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tudent\Documents\Github\ISYS40251_Deriving-Value-Data-Analytics\HSEQ\"/>
    </mc:Choice>
  </mc:AlternateContent>
  <xr:revisionPtr revIDLastSave="0" documentId="13_ncr:1_{44FFF98B-0F58-47EC-880B-BE06B7D6ED11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1" l="1"/>
  <c r="K22" i="1"/>
  <c r="K24" i="1"/>
  <c r="K2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2" i="1"/>
</calcChain>
</file>

<file path=xl/sharedStrings.xml><?xml version="1.0" encoding="utf-8"?>
<sst xmlns="http://schemas.openxmlformats.org/spreadsheetml/2006/main" count="81" uniqueCount="39">
  <si>
    <t>Date</t>
  </si>
  <si>
    <t>Employee</t>
  </si>
  <si>
    <t>Accident Area</t>
  </si>
  <si>
    <t>Note</t>
  </si>
  <si>
    <t>Conveyor Belt 1</t>
  </si>
  <si>
    <t>Conveyor Belt 2</t>
  </si>
  <si>
    <t>Loading bay 3</t>
  </si>
  <si>
    <t>Cold Storage 1</t>
  </si>
  <si>
    <t>Warehouse</t>
  </si>
  <si>
    <t>Loading bay 1</t>
  </si>
  <si>
    <t>Loading bay 2</t>
  </si>
  <si>
    <t>Cold Stoage 2</t>
  </si>
  <si>
    <t>Staircase</t>
  </si>
  <si>
    <t>Lobby</t>
  </si>
  <si>
    <t>Main Office</t>
  </si>
  <si>
    <t>Meeting Room 1</t>
  </si>
  <si>
    <t>Meeting Room 2</t>
  </si>
  <si>
    <t>Employee nearly trapped finger</t>
  </si>
  <si>
    <t>Employee slipped on spillage by conveyor belt</t>
  </si>
  <si>
    <t>Nearly stumbled off faulty ladder.</t>
  </si>
  <si>
    <t>Didn't fasten ladder before climbing during night shift.</t>
  </si>
  <si>
    <t>Didn't hear reversing forklift.</t>
  </si>
  <si>
    <t>Faulty door mechanism closed door and locked. Colleague was present and let them out.</t>
  </si>
  <si>
    <t>Same</t>
  </si>
  <si>
    <t>Same 2</t>
  </si>
  <si>
    <t>Areas</t>
  </si>
  <si>
    <t>Number of Near Misses</t>
  </si>
  <si>
    <t>Total Near Misses</t>
  </si>
  <si>
    <t>Actual</t>
  </si>
  <si>
    <t>Number of Employees</t>
  </si>
  <si>
    <t>Total Hours Worked</t>
  </si>
  <si>
    <t>Near Miss Frequency Rate per 1 Million Hours (Last 12 Months)</t>
  </si>
  <si>
    <t>YEAR</t>
  </si>
  <si>
    <t>Near Miss frequency</t>
  </si>
  <si>
    <t>2022</t>
  </si>
  <si>
    <t>2023</t>
  </si>
  <si>
    <t>2024</t>
  </si>
  <si>
    <t>2025</t>
  </si>
  <si>
    <t>Target (To improve by 35%)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</si>
</sst>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4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3">
    <dxf>
      <alignment horizontal="general" vertical="bottom" textRotation="0" wrapText="1" indent="0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Near Miss Frequency Rate per 1 Million Hours Worked</a:t>
            </a:r>
            <a:br>
              <a:rPr lang="en-GB"/>
            </a:br>
            <a:r>
              <a:rPr lang="en-GB"/>
              <a:t> (Last 12 Months)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BD-4989-93A2-D5B82EE3DA9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BD-4989-93A2-D5B82EE3DA9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Sheet1!$J$24:$J$25</c:f>
              <c:strCache>
                <c:ptCount val="2"/>
                <c:pt idx="0">
                  <c:v>Actual</c:v>
                </c:pt>
                <c:pt idx="1">
                  <c:v>Target (To improve by 35%)</c:v>
                </c:pt>
              </c:strCache>
            </c:strRef>
          </c:cat>
          <c:val>
            <c:numRef>
              <c:f>Sheet1!$K$24:$K$25</c:f>
              <c:numCache>
                <c:formatCode>0.00</c:formatCode>
                <c:ptCount val="2"/>
                <c:pt idx="0">
                  <c:v>66.971080669710801</c:v>
                </c:pt>
                <c:pt idx="1">
                  <c:v>50.228310502283101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D-4989-93A2-D5B82EE3D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7081791"/>
        <c:axId val="377083231"/>
      </c:barChart>
      <c:catAx>
        <c:axId val="37708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83231"/>
        <c:crosses val="autoZero"/>
        <c:auto val="1"/>
        <c:lblAlgn val="ctr"/>
        <c:lblOffset val="100"/>
        <c:noMultiLvlLbl val="0"/>
      </c:catAx>
      <c:valAx>
        <c:axId val="37708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08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Sheet1!$A$31</c:f>
              <c:strCache>
                <c:ptCount val="1"/>
                <c:pt idx="0">
                  <c:v>Near Miss frequency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Sheet1!$B$30:$E$30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Sheet1!$B$31:$E$31</c:f>
              <c:numCache>
                <c:formatCode>General</c:formatCode>
                <c:ptCount val="4"/>
                <c:pt idx="0">
                  <c:v>69</c:v>
                </c:pt>
                <c:pt idx="1">
                  <c:v>70</c:v>
                </c:pt>
                <c:pt idx="2">
                  <c:v>66.97</c:v>
                </c:pt>
                <c:pt idx="3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82-49D3-9E8F-0DCDC717A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2352095"/>
        <c:axId val="522351615"/>
      </c:lineChart>
      <c:catAx>
        <c:axId val="52235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351615"/>
        <c:crosses val="autoZero"/>
        <c:auto val="1"/>
        <c:lblAlgn val="ctr"/>
        <c:lblOffset val="100"/>
        <c:noMultiLvlLbl val="0"/>
      </c:catAx>
      <c:valAx>
        <c:axId val="522351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35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426720</xdr:colOff>
      <xdr:row>26</xdr:row>
      <xdr:rowOff>133350</xdr:rowOff>
    </xdr:from>
    <xdr:to>
      <xdr:col>11</xdr:col>
      <xdr:colOff>205740</xdr:colOff>
      <xdr:row>41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0234CB-EF4A-54BC-A23E-B1A5C9176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403860</xdr:colOff>
      <xdr:row>33</xdr:row>
      <xdr:rowOff>34290</xdr:rowOff>
    </xdr:from>
    <xdr:to>
      <xdr:col>3</xdr:col>
      <xdr:colOff>1699260</xdr:colOff>
      <xdr:row>48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2A9D33-626D-4A45-BF2D-03AF98145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727ED-985B-4051-996A-C5D5A2DF4046}" name="Table1" displayName="Table1" ref="A1:D24" totalsRowShown="0" headerRowDxfId="2">
  <autoFilter ref="A1:D24" xr:uid="{E50727ED-985B-4051-996A-C5D5A2DF4046}"/>
  <tableColumns count="4">
    <tableColumn id="1" xr3:uid="{EB80D444-AA58-4DC8-A0AC-780EBB96A5A9}" name="Date" dataDxfId="1"/>
    <tableColumn id="2" xr3:uid="{6C17F3FA-B9AD-49E7-8C9F-A88C3216A6AD}" name="Employee"/>
    <tableColumn id="3" xr3:uid="{10BE5C26-22C7-4B2E-8C8B-5B12068CD62A}" name="Accident Area"/>
    <tableColumn id="4" xr3:uid="{DCD7E861-3926-4A60-8709-52238ACDFA4C}" name="Note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897594-6040-489B-86C0-840E6F6071F6}" name="Table2" displayName="Table2" ref="A30:E31" totalsRowShown="0">
  <autoFilter ref="A30:E31" xr:uid="{99897594-6040-489B-86C0-840E6F6071F6}"/>
  <tableColumns count="5">
    <tableColumn id="1" xr3:uid="{4814B2FD-8749-49A1-AE63-9F6670EC7565}" name="YEAR"/>
    <tableColumn id="2" xr3:uid="{379F8A2B-8654-4550-9536-DDF55F203185}" name="2022"/>
    <tableColumn id="3" xr3:uid="{A9C5AEFE-2817-4BE1-8B82-DC819FA0BB09}" name="2023"/>
    <tableColumn id="4" xr3:uid="{6C5298B3-A2C5-4D9F-803A-FA868D66C816}" name="2024"/>
    <tableColumn id="5" xr3:uid="{7B4B351D-0324-413F-9845-1003160FDFD4}" name="20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B23" workbookViewId="0">
      <selection activeCell="J26" sqref="J26"/>
    </sheetView>
  </sheetViews>
  <sheetFormatPr defaultRowHeight="14.4" x14ac:dyDescent="0.3"/>
  <cols>
    <col min="1" max="1" width="12" customWidth="1"/>
    <col min="2" max="2" width="24.5546875" customWidth="1"/>
    <col min="3" max="3" width="23.21875" customWidth="1"/>
    <col min="4" max="4" width="46.77734375" style="4" customWidth="1"/>
    <col min="10" max="10" width="23.88671875" customWidth="1"/>
    <col min="11" max="11" width="23.44140625" customWidth="1"/>
  </cols>
  <sheetData>
    <row r="1" spans="1:11" x14ac:dyDescent="0.3">
      <c r="A1" s="2" t="s">
        <v>0</v>
      </c>
      <c r="B1" s="2" t="s">
        <v>1</v>
      </c>
      <c r="C1" s="2" t="s">
        <v>2</v>
      </c>
      <c r="D1" s="3" t="s">
        <v>3</v>
      </c>
      <c r="J1" s="2" t="s">
        <v>25</v>
      </c>
      <c r="K1" s="2" t="s">
        <v>26</v>
      </c>
    </row>
    <row r="2" spans="1:11" x14ac:dyDescent="0.3">
      <c r="A2" s="1">
        <v>45292</v>
      </c>
      <c r="B2" t="s">
        <v>24</v>
      </c>
      <c r="C2" t="s">
        <v>4</v>
      </c>
      <c r="D2" s="4" t="s">
        <v>17</v>
      </c>
      <c r="J2" t="s">
        <v>4</v>
      </c>
      <c r="K2">
        <f>COUNTIF(Table1[Accident Area],J2)</f>
        <v>3</v>
      </c>
    </row>
    <row r="3" spans="1:11" x14ac:dyDescent="0.3">
      <c r="A3" s="1">
        <v>45325</v>
      </c>
      <c r="B3" t="s">
        <v>24</v>
      </c>
      <c r="C3" t="s">
        <v>5</v>
      </c>
      <c r="D3" s="4" t="s">
        <v>17</v>
      </c>
      <c r="J3" t="s">
        <v>5</v>
      </c>
      <c r="K3">
        <f>COUNTIF(Table1[Accident Area],J3)</f>
        <v>1</v>
      </c>
    </row>
    <row r="4" spans="1:11" x14ac:dyDescent="0.3">
      <c r="A4" s="1">
        <v>45325</v>
      </c>
      <c r="C4" t="s">
        <v>6</v>
      </c>
      <c r="D4" s="4" t="s">
        <v>21</v>
      </c>
      <c r="J4" t="s">
        <v>5</v>
      </c>
      <c r="K4">
        <f>COUNTIF(Table1[Accident Area],J4)</f>
        <v>1</v>
      </c>
    </row>
    <row r="5" spans="1:11" x14ac:dyDescent="0.3">
      <c r="A5" s="1">
        <v>45356</v>
      </c>
      <c r="C5" t="s">
        <v>6</v>
      </c>
      <c r="D5" s="4" t="s">
        <v>21</v>
      </c>
      <c r="J5" t="s">
        <v>9</v>
      </c>
      <c r="K5">
        <f>COUNTIF(Table1[Accident Area],J5)</f>
        <v>0</v>
      </c>
    </row>
    <row r="6" spans="1:11" ht="28.8" x14ac:dyDescent="0.3">
      <c r="A6" s="1">
        <v>45387</v>
      </c>
      <c r="C6" t="s">
        <v>7</v>
      </c>
      <c r="D6" s="4" t="s">
        <v>22</v>
      </c>
      <c r="J6" t="s">
        <v>10</v>
      </c>
      <c r="K6">
        <f>COUNTIF(Table1[Accident Area],J6)</f>
        <v>0</v>
      </c>
    </row>
    <row r="7" spans="1:11" ht="28.8" x14ac:dyDescent="0.3">
      <c r="A7" s="1">
        <v>45449</v>
      </c>
      <c r="C7" t="s">
        <v>7</v>
      </c>
      <c r="D7" s="4" t="s">
        <v>22</v>
      </c>
      <c r="J7" t="s">
        <v>6</v>
      </c>
      <c r="K7">
        <f>COUNTIF(Table1[Accident Area],J7)</f>
        <v>7</v>
      </c>
    </row>
    <row r="8" spans="1:11" x14ac:dyDescent="0.3">
      <c r="A8" s="1">
        <v>45450</v>
      </c>
      <c r="C8" t="s">
        <v>4</v>
      </c>
      <c r="D8" s="4" t="s">
        <v>17</v>
      </c>
      <c r="J8" t="s">
        <v>7</v>
      </c>
      <c r="K8">
        <f>COUNTIF(Table1[Accident Area],J8)</f>
        <v>5</v>
      </c>
    </row>
    <row r="9" spans="1:11" x14ac:dyDescent="0.3">
      <c r="A9" s="1">
        <v>45451</v>
      </c>
      <c r="C9" t="s">
        <v>4</v>
      </c>
      <c r="D9" s="4" t="s">
        <v>18</v>
      </c>
      <c r="J9" t="s">
        <v>11</v>
      </c>
      <c r="K9">
        <f>COUNTIF(Table1[Accident Area],J9)</f>
        <v>0</v>
      </c>
    </row>
    <row r="10" spans="1:11" x14ac:dyDescent="0.3">
      <c r="A10" s="1">
        <v>45483</v>
      </c>
      <c r="C10" t="s">
        <v>8</v>
      </c>
      <c r="D10" s="4" t="s">
        <v>19</v>
      </c>
      <c r="J10" t="s">
        <v>8</v>
      </c>
      <c r="K10">
        <f>COUNTIF(Table1[Accident Area],J10)</f>
        <v>6</v>
      </c>
    </row>
    <row r="11" spans="1:11" x14ac:dyDescent="0.3">
      <c r="A11" s="1">
        <v>45519</v>
      </c>
      <c r="C11" t="s">
        <v>8</v>
      </c>
      <c r="D11" s="4" t="s">
        <v>19</v>
      </c>
      <c r="J11" t="s">
        <v>12</v>
      </c>
      <c r="K11">
        <f>COUNTIF(Table1[Accident Area],J11)</f>
        <v>0</v>
      </c>
    </row>
    <row r="12" spans="1:11" x14ac:dyDescent="0.3">
      <c r="A12" s="1">
        <v>45546</v>
      </c>
      <c r="C12" t="s">
        <v>6</v>
      </c>
      <c r="D12" s="4" t="s">
        <v>21</v>
      </c>
      <c r="J12" t="s">
        <v>13</v>
      </c>
      <c r="K12">
        <f>COUNTIF(Table1[Accident Area],J12)</f>
        <v>0</v>
      </c>
    </row>
    <row r="13" spans="1:11" x14ac:dyDescent="0.3">
      <c r="A13" s="1">
        <v>45547</v>
      </c>
      <c r="C13" t="s">
        <v>6</v>
      </c>
      <c r="D13" s="4" t="s">
        <v>21</v>
      </c>
      <c r="J13" t="s">
        <v>14</v>
      </c>
      <c r="K13">
        <f>COUNTIF(Table1[Accident Area],J13)</f>
        <v>0</v>
      </c>
    </row>
    <row r="14" spans="1:11" x14ac:dyDescent="0.3">
      <c r="A14" s="1">
        <v>45555</v>
      </c>
      <c r="C14" t="s">
        <v>6</v>
      </c>
      <c r="D14" s="4" t="s">
        <v>21</v>
      </c>
      <c r="J14" t="s">
        <v>15</v>
      </c>
      <c r="K14">
        <f>COUNTIF(Table1[Accident Area],J14)</f>
        <v>0</v>
      </c>
    </row>
    <row r="15" spans="1:11" x14ac:dyDescent="0.3">
      <c r="A15" s="1">
        <v>45579</v>
      </c>
      <c r="C15" t="s">
        <v>8</v>
      </c>
      <c r="D15" s="4" t="s">
        <v>20</v>
      </c>
      <c r="J15" t="s">
        <v>16</v>
      </c>
      <c r="K15">
        <f>COUNTIF(Table1[Accident Area],J15)</f>
        <v>0</v>
      </c>
    </row>
    <row r="16" spans="1:11" x14ac:dyDescent="0.3">
      <c r="A16" s="1">
        <v>45580</v>
      </c>
      <c r="C16" t="s">
        <v>8</v>
      </c>
      <c r="D16" s="4" t="s">
        <v>19</v>
      </c>
    </row>
    <row r="17" spans="1:11" x14ac:dyDescent="0.3">
      <c r="A17" s="1">
        <v>45585</v>
      </c>
      <c r="B17" t="s">
        <v>23</v>
      </c>
      <c r="C17" t="s">
        <v>8</v>
      </c>
      <c r="D17" s="4" t="s">
        <v>20</v>
      </c>
    </row>
    <row r="18" spans="1:11" x14ac:dyDescent="0.3">
      <c r="A18" s="1">
        <v>45596</v>
      </c>
      <c r="B18" t="s">
        <v>23</v>
      </c>
      <c r="C18" t="s">
        <v>8</v>
      </c>
      <c r="D18" s="4" t="s">
        <v>20</v>
      </c>
      <c r="J18" s="5" t="s">
        <v>27</v>
      </c>
    </row>
    <row r="19" spans="1:11" x14ac:dyDescent="0.3">
      <c r="A19" s="1">
        <v>45597</v>
      </c>
      <c r="C19" t="s">
        <v>6</v>
      </c>
      <c r="D19" s="4" t="s">
        <v>21</v>
      </c>
      <c r="J19" t="s">
        <v>28</v>
      </c>
      <c r="K19">
        <v>22</v>
      </c>
    </row>
    <row r="20" spans="1:11" x14ac:dyDescent="0.3">
      <c r="A20" s="1">
        <v>45615</v>
      </c>
      <c r="C20" t="s">
        <v>6</v>
      </c>
      <c r="D20" s="4" t="s">
        <v>21</v>
      </c>
      <c r="K20">
        <f>COUNT(Table1[Date])</f>
        <v>22</v>
      </c>
    </row>
    <row r="21" spans="1:11" ht="28.8" x14ac:dyDescent="0.3">
      <c r="A21" s="1">
        <v>45646</v>
      </c>
      <c r="C21" t="s">
        <v>7</v>
      </c>
      <c r="D21" s="4" t="s">
        <v>22</v>
      </c>
      <c r="J21" s="2" t="s">
        <v>29</v>
      </c>
      <c r="K21">
        <v>150</v>
      </c>
    </row>
    <row r="22" spans="1:11" ht="28.8" x14ac:dyDescent="0.3">
      <c r="A22" s="1">
        <v>45647</v>
      </c>
      <c r="C22" t="s">
        <v>7</v>
      </c>
      <c r="D22" s="4" t="s">
        <v>22</v>
      </c>
      <c r="J22" s="2" t="s">
        <v>30</v>
      </c>
      <c r="K22">
        <f>(365/2)*12*K21</f>
        <v>328500</v>
      </c>
    </row>
    <row r="23" spans="1:11" ht="28.8" x14ac:dyDescent="0.3">
      <c r="A23" s="1">
        <v>45648</v>
      </c>
      <c r="C23" t="s">
        <v>7</v>
      </c>
      <c r="D23" s="4" t="s">
        <v>22</v>
      </c>
      <c r="J23" s="2" t="s">
        <v>31</v>
      </c>
    </row>
    <row r="24" spans="1:11" x14ac:dyDescent="0.3">
      <c r="A24" s="1"/>
      <c r="J24" s="2" t="s">
        <v>28</v>
      </c>
      <c r="K24" s="6">
        <f>(K19*1000000)/K22</f>
        <v>66.971080669710801</v>
      </c>
    </row>
    <row r="25" spans="1:11" x14ac:dyDescent="0.3">
      <c r="J25" s="2" t="s">
        <v>38</v>
      </c>
      <c r="K25" s="6">
        <f>K24*0.75</f>
        <v>50.228310502283101</v>
      </c>
    </row>
    <row r="30" spans="1:11" x14ac:dyDescent="0.3">
      <c r="A30" t="s">
        <v>32</v>
      </c>
      <c r="B30" t="s">
        <v>34</v>
      </c>
      <c r="C30" t="s">
        <v>35</v>
      </c>
      <c r="D30" t="s">
        <v>36</v>
      </c>
      <c r="E30" t="s">
        <v>37</v>
      </c>
    </row>
    <row r="31" spans="1:11" x14ac:dyDescent="0.3">
      <c r="A31" t="s">
        <v>33</v>
      </c>
      <c r="B31">
        <v>69</v>
      </c>
      <c r="C31">
        <v>70</v>
      </c>
      <c r="D31">
        <v>66.97</v>
      </c>
      <c r="E31">
        <v>45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A99DA-E27C-4A03-B327-7ED6B0832492}">
  <dimension ref="A1"/>
  <sheetViews>
    <sheetView workbookViewId="0">
      <selection sqref="A1:A15"/>
    </sheetView>
  </sheetViews>
  <sheetFormatPr defaultRowHeight="14.4" x14ac:dyDescent="0.3"/>
  <cols>
    <col min="1" max="1" width="22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Butterfield</dc:creator>
  <cp:lastModifiedBy>Dylan Butterfield 2025 (N1423084)</cp:lastModifiedBy>
  <dcterms:created xsi:type="dcterms:W3CDTF">2015-06-05T18:17:20Z</dcterms:created>
  <dcterms:modified xsi:type="dcterms:W3CDTF">2026-01-13T13:03:47Z</dcterms:modified>
</cp:coreProperties>
</file>