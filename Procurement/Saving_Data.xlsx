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udent\Documents\Github\ISYS40251_Deriving-Value-Data-Analytics\Procurement\"/>
    </mc:Choice>
  </mc:AlternateContent>
  <xr:revisionPtr revIDLastSave="0" documentId="13_ncr:1_{C9921626-F60D-47DD-BB13-1D2C2A1D31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ving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  <c r="H37" i="1"/>
  <c r="H36" i="1"/>
  <c r="H33" i="1"/>
  <c r="H32" i="1"/>
  <c r="H31" i="1"/>
  <c r="H30" i="1"/>
  <c r="H29" i="1"/>
  <c r="H27" i="1"/>
  <c r="H26" i="1"/>
  <c r="H25" i="1"/>
  <c r="H24" i="1"/>
  <c r="H23" i="1"/>
  <c r="H22" i="1"/>
  <c r="H21" i="1"/>
  <c r="H20" i="1"/>
  <c r="H19" i="1"/>
  <c r="H17" i="1"/>
  <c r="H18" i="1"/>
  <c r="H16" i="1"/>
  <c r="H15" i="1"/>
  <c r="H14" i="1"/>
  <c r="H12" i="1"/>
  <c r="H13" i="1"/>
  <c r="H11" i="1"/>
  <c r="H9" i="1"/>
  <c r="H8" i="1"/>
  <c r="H7" i="1"/>
  <c r="H5" i="1"/>
  <c r="H4" i="1"/>
  <c r="H3" i="1"/>
  <c r="H6" i="1"/>
  <c r="H10" i="1"/>
  <c r="H28" i="1"/>
  <c r="H34" i="1"/>
  <c r="H35" i="1"/>
  <c r="H2" i="1"/>
</calcChain>
</file>

<file path=xl/sharedStrings.xml><?xml version="1.0" encoding="utf-8"?>
<sst xmlns="http://schemas.openxmlformats.org/spreadsheetml/2006/main" count="46" uniqueCount="46">
  <si>
    <t>Date</t>
  </si>
  <si>
    <t>Monthly Baseline (£)</t>
  </si>
  <si>
    <t>Monthly Price (£)</t>
  </si>
  <si>
    <t>Monthly Saving (£)</t>
  </si>
  <si>
    <t>Saving Target (£)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</si>
  <si>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</si>
  <si>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</si>
  <si>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</si>
  <si>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</si>
  <si>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</si>
  <si>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</si>
  <si>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</si>
  <si>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</si>
  <si>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</si>
  <si>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</si>
  <si>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</si>
  <si>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</si>
  <si>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</si>
  <si>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</si>
  <si>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</si>
  <si>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</si>
  <si>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</si>
  <si>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</si>
  <si>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</si>
  <si>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</si>
  <si>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</si>
  <si>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</si>
  <si>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</si>
  <si>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</si>
  <si>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</si>
  <si>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</si>
  <si>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</si>
  <si>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</si>
  <si>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</si>
  <si>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</si>
  <si>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</si>
  <si>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</si>
  <si>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</si>
  <si>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</si>
  <si>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</si>
  <si>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</si>
  <si>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Saving Target Met</t>
  </si>
  <si>
    <t>Forecast Saving (£)</t>
  </si>
  <si>
    <t>Saving Percentage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</si>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</sst>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4" fontId="0" fillId="0" borderId="0" xfId="0" applyNumberForma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B1" sqref="B1"/>
    </sheetView>
  </sheetViews>
  <sheetFormatPr defaultRowHeight="14.4" x14ac:dyDescent="0.3"/>
  <cols>
    <col min="1" max="1" width="9" bestFit="1" customWidth="1"/>
    <col min="2" max="3" width="9" customWidth="1"/>
    <col min="4" max="4" width="18.5546875" bestFit="1" customWidth="1"/>
    <col min="5" max="5" width="15.6640625" bestFit="1" customWidth="1"/>
    <col min="6" max="6" width="17.21875" bestFit="1" customWidth="1"/>
    <col min="7" max="7" width="15.21875" bestFit="1" customWidth="1"/>
    <col min="8" max="8" width="16.88671875" bestFit="1" customWidth="1"/>
    <col min="9" max="9" width="16.33203125" bestFit="1" customWidth="1"/>
    <col min="10" max="10" width="16.5546875" bestFit="1" customWidth="1"/>
  </cols>
  <sheetData>
    <row r="1" spans="1:11" x14ac:dyDescent="0.3">
      <c r="A1" s="1" t="s">
        <v>0</v>
      </c>
      <c r="B1" s="1" t="s">
        <v>44</v>
      </c>
      <c r="C1" s="1" t="s">
        <v>45</v>
      </c>
      <c r="D1" s="1" t="s">
        <v>1</v>
      </c>
      <c r="E1" s="1" t="s">
        <v>2</v>
      </c>
      <c r="F1" s="1" t="s">
        <v>3</v>
      </c>
      <c r="G1" s="1" t="s">
        <v>4</v>
      </c>
      <c r="H1" s="3" t="s">
        <v>42</v>
      </c>
      <c r="I1" s="4" t="s">
        <v>41</v>
      </c>
      <c r="J1" s="2" t="s">
        <v>43</v>
      </c>
    </row>
    <row r="2" spans="1:11" x14ac:dyDescent="0.3">
      <c r="A2" t="s">
        <v>5</v>
      </c>
      <c r="B2">
        <f>MONTH(A2)</f>
        <v>1</v>
      </c>
      <c r="C2">
        <f>YEAR(A2)</f>
        <v>2022</v>
      </c>
      <c r="D2" s="5">
        <v>250936</v>
      </c>
      <c r="E2" s="5">
        <v>243158</v>
      </c>
      <c r="F2" s="5">
        <v>7778</v>
      </c>
      <c r="G2" s="5">
        <v>6500</v>
      </c>
      <c r="H2" s="5">
        <f>G2*1.05</f>
        <v>6825</v>
      </c>
      <c r="I2" t="str">
        <f>IF(G2&lt;F2,"Yes","No")</f>
        <v>Yes</v>
      </c>
      <c r="J2" s="6">
        <f>F2/D2</f>
        <v>3.0995951158861224E-2</v>
      </c>
      <c r="K2" s="7"/>
    </row>
    <row r="3" spans="1:11" x14ac:dyDescent="0.3">
      <c r="A3" t="s">
        <v>6</v>
      </c>
      <c r="B3">
        <f t="shared" ref="B3:B37" si="0">MONTH(A3)</f>
        <v>2</v>
      </c>
      <c r="C3">
        <f t="shared" ref="C3:C37" si="1">YEAR(A3)</f>
        <v>2022</v>
      </c>
      <c r="D3" s="5">
        <v>213868</v>
      </c>
      <c r="E3" s="5">
        <v>205691</v>
      </c>
      <c r="F3" s="5">
        <v>8177</v>
      </c>
      <c r="G3" s="5">
        <v>8000</v>
      </c>
      <c r="H3" s="5">
        <f>G3*1.04</f>
        <v>8320</v>
      </c>
      <c r="I3" t="str">
        <f t="shared" ref="I3:I37" si="2">IF(G3&lt;F3,"Yes","No")</f>
        <v>Yes</v>
      </c>
      <c r="J3" s="6">
        <f t="shared" ref="J3:J37" si="3">F3/D3</f>
        <v>3.8233863878654122E-2</v>
      </c>
    </row>
    <row r="4" spans="1:11" x14ac:dyDescent="0.3">
      <c r="A4" t="s">
        <v>7</v>
      </c>
      <c r="B4">
        <f t="shared" si="0"/>
        <v>3</v>
      </c>
      <c r="C4">
        <f t="shared" si="1"/>
        <v>2022</v>
      </c>
      <c r="D4" s="5">
        <v>217526</v>
      </c>
      <c r="E4" s="5">
        <v>209025</v>
      </c>
      <c r="F4" s="5">
        <v>8501</v>
      </c>
      <c r="G4" s="5">
        <v>9500</v>
      </c>
      <c r="H4" s="5">
        <f>G4*0.95</f>
        <v>9025</v>
      </c>
      <c r="I4" t="str">
        <f t="shared" si="2"/>
        <v>No</v>
      </c>
      <c r="J4" s="6">
        <f t="shared" si="3"/>
        <v>3.9080385792962677E-2</v>
      </c>
    </row>
    <row r="5" spans="1:11" x14ac:dyDescent="0.3">
      <c r="A5" t="s">
        <v>8</v>
      </c>
      <c r="B5">
        <f t="shared" si="0"/>
        <v>4</v>
      </c>
      <c r="C5">
        <f t="shared" si="1"/>
        <v>2022</v>
      </c>
      <c r="D5" s="5">
        <v>217317</v>
      </c>
      <c r="E5" s="5">
        <v>206040</v>
      </c>
      <c r="F5" s="5">
        <v>11277</v>
      </c>
      <c r="G5" s="5">
        <v>11000</v>
      </c>
      <c r="H5" s="5">
        <f>G5*0.99</f>
        <v>10890</v>
      </c>
      <c r="I5" t="str">
        <f t="shared" si="2"/>
        <v>Yes</v>
      </c>
      <c r="J5" s="6">
        <f t="shared" si="3"/>
        <v>5.189193666395174E-2</v>
      </c>
    </row>
    <row r="6" spans="1:11" x14ac:dyDescent="0.3">
      <c r="A6" t="s">
        <v>9</v>
      </c>
      <c r="B6">
        <f t="shared" si="0"/>
        <v>5</v>
      </c>
      <c r="C6">
        <f t="shared" si="1"/>
        <v>2022</v>
      </c>
      <c r="D6" s="5">
        <v>213799</v>
      </c>
      <c r="E6" s="5">
        <v>201172</v>
      </c>
      <c r="F6" s="5">
        <v>12627</v>
      </c>
      <c r="G6" s="5">
        <v>12000</v>
      </c>
      <c r="H6" s="5">
        <f t="shared" ref="H6:H35" si="4">G6*1.05</f>
        <v>12600</v>
      </c>
      <c r="I6" t="str">
        <f t="shared" si="2"/>
        <v>Yes</v>
      </c>
      <c r="J6" s="6">
        <f t="shared" si="3"/>
        <v>5.9060145276638339E-2</v>
      </c>
    </row>
    <row r="7" spans="1:11" x14ac:dyDescent="0.3">
      <c r="A7" t="s">
        <v>10</v>
      </c>
      <c r="B7">
        <f t="shared" si="0"/>
        <v>6</v>
      </c>
      <c r="C7">
        <f t="shared" si="1"/>
        <v>2022</v>
      </c>
      <c r="D7" s="5">
        <v>200727</v>
      </c>
      <c r="E7" s="5">
        <v>188073</v>
      </c>
      <c r="F7" s="5">
        <v>12654</v>
      </c>
      <c r="G7" s="5">
        <v>15750</v>
      </c>
      <c r="H7" s="5">
        <f>G7*0.86</f>
        <v>13545</v>
      </c>
      <c r="I7" t="str">
        <f t="shared" si="2"/>
        <v>No</v>
      </c>
      <c r="J7" s="6">
        <f t="shared" si="3"/>
        <v>6.3040846522889299E-2</v>
      </c>
    </row>
    <row r="8" spans="1:11" x14ac:dyDescent="0.3">
      <c r="A8" t="s">
        <v>11</v>
      </c>
      <c r="B8">
        <f t="shared" si="0"/>
        <v>7</v>
      </c>
      <c r="C8">
        <f t="shared" si="1"/>
        <v>2022</v>
      </c>
      <c r="D8" s="5">
        <v>240539</v>
      </c>
      <c r="E8" s="5">
        <v>225829</v>
      </c>
      <c r="F8" s="5">
        <v>14710</v>
      </c>
      <c r="G8" s="5">
        <v>16800</v>
      </c>
      <c r="H8" s="5">
        <f>G8*0.87</f>
        <v>14616</v>
      </c>
      <c r="I8" t="str">
        <f t="shared" si="2"/>
        <v>No</v>
      </c>
      <c r="J8" s="6">
        <f t="shared" si="3"/>
        <v>6.115432424679574E-2</v>
      </c>
    </row>
    <row r="9" spans="1:11" x14ac:dyDescent="0.3">
      <c r="A9" t="s">
        <v>12</v>
      </c>
      <c r="B9">
        <f t="shared" si="0"/>
        <v>8</v>
      </c>
      <c r="C9">
        <f t="shared" si="1"/>
        <v>2022</v>
      </c>
      <c r="D9" s="5">
        <v>207863</v>
      </c>
      <c r="E9" s="5">
        <v>189602</v>
      </c>
      <c r="F9" s="5">
        <v>18261</v>
      </c>
      <c r="G9" s="5">
        <v>18000</v>
      </c>
      <c r="H9" s="5">
        <f>G9*0.99</f>
        <v>17820</v>
      </c>
      <c r="I9" t="str">
        <f t="shared" si="2"/>
        <v>Yes</v>
      </c>
      <c r="J9" s="6">
        <f t="shared" si="3"/>
        <v>8.7851132717222405E-2</v>
      </c>
    </row>
    <row r="10" spans="1:11" x14ac:dyDescent="0.3">
      <c r="A10" t="s">
        <v>13</v>
      </c>
      <c r="B10">
        <f t="shared" si="0"/>
        <v>9</v>
      </c>
      <c r="C10">
        <f t="shared" si="1"/>
        <v>2022</v>
      </c>
      <c r="D10" s="5">
        <v>261948</v>
      </c>
      <c r="E10" s="5">
        <v>243025</v>
      </c>
      <c r="F10" s="5">
        <v>18923</v>
      </c>
      <c r="G10" s="5">
        <v>18500</v>
      </c>
      <c r="H10" s="5">
        <f t="shared" si="4"/>
        <v>19425</v>
      </c>
      <c r="I10" t="str">
        <f t="shared" si="2"/>
        <v>Yes</v>
      </c>
      <c r="J10" s="6">
        <f t="shared" si="3"/>
        <v>7.2239528456029448E-2</v>
      </c>
    </row>
    <row r="11" spans="1:11" x14ac:dyDescent="0.3">
      <c r="A11" t="s">
        <v>14</v>
      </c>
      <c r="B11">
        <f t="shared" si="0"/>
        <v>10</v>
      </c>
      <c r="C11">
        <f t="shared" si="1"/>
        <v>2022</v>
      </c>
      <c r="D11" s="5">
        <v>207367</v>
      </c>
      <c r="E11" s="5">
        <v>186096</v>
      </c>
      <c r="F11" s="5">
        <v>21271</v>
      </c>
      <c r="G11" s="5">
        <v>22000</v>
      </c>
      <c r="H11" s="5">
        <f>G11*0.95</f>
        <v>20900</v>
      </c>
      <c r="I11" t="str">
        <f t="shared" si="2"/>
        <v>No</v>
      </c>
      <c r="J11" s="6">
        <f t="shared" si="3"/>
        <v>0.10257659126090458</v>
      </c>
    </row>
    <row r="12" spans="1:11" x14ac:dyDescent="0.3">
      <c r="A12" t="s">
        <v>15</v>
      </c>
      <c r="B12">
        <f t="shared" si="0"/>
        <v>11</v>
      </c>
      <c r="C12">
        <f t="shared" si="1"/>
        <v>2022</v>
      </c>
      <c r="D12" s="5">
        <v>207299</v>
      </c>
      <c r="E12" s="5">
        <v>185378</v>
      </c>
      <c r="F12" s="5">
        <v>21921</v>
      </c>
      <c r="G12" s="5">
        <v>24000</v>
      </c>
      <c r="H12" s="5">
        <f t="shared" ref="H12:H13" si="5">G12*0.95</f>
        <v>22800</v>
      </c>
      <c r="I12" t="str">
        <f t="shared" si="2"/>
        <v>No</v>
      </c>
      <c r="J12" s="6">
        <f t="shared" si="3"/>
        <v>0.10574580678150884</v>
      </c>
    </row>
    <row r="13" spans="1:11" x14ac:dyDescent="0.3">
      <c r="A13" t="s">
        <v>16</v>
      </c>
      <c r="B13">
        <f t="shared" si="0"/>
        <v>12</v>
      </c>
      <c r="C13">
        <f t="shared" si="1"/>
        <v>2022</v>
      </c>
      <c r="D13" s="5">
        <v>225065</v>
      </c>
      <c r="E13" s="5">
        <v>195479</v>
      </c>
      <c r="F13" s="5">
        <v>29586</v>
      </c>
      <c r="G13" s="5">
        <v>25500</v>
      </c>
      <c r="H13" s="5">
        <f t="shared" si="5"/>
        <v>24225</v>
      </c>
      <c r="I13" t="str">
        <f t="shared" si="2"/>
        <v>Yes</v>
      </c>
      <c r="J13" s="6">
        <f t="shared" si="3"/>
        <v>0.13145535734121253</v>
      </c>
    </row>
    <row r="14" spans="1:11" x14ac:dyDescent="0.3">
      <c r="A14" t="s">
        <v>17</v>
      </c>
      <c r="B14">
        <f t="shared" si="0"/>
        <v>1</v>
      </c>
      <c r="C14">
        <f t="shared" si="1"/>
        <v>2023</v>
      </c>
      <c r="D14" s="5">
        <v>211647</v>
      </c>
      <c r="E14" s="5">
        <v>207582</v>
      </c>
      <c r="F14" s="5">
        <v>4065</v>
      </c>
      <c r="G14" s="5">
        <v>7500</v>
      </c>
      <c r="H14" s="5">
        <f>G14*0.85</f>
        <v>6375</v>
      </c>
      <c r="I14" t="str">
        <f t="shared" si="2"/>
        <v>No</v>
      </c>
      <c r="J14" s="6">
        <f t="shared" si="3"/>
        <v>1.9206508951225391E-2</v>
      </c>
    </row>
    <row r="15" spans="1:11" x14ac:dyDescent="0.3">
      <c r="A15" t="s">
        <v>18</v>
      </c>
      <c r="B15">
        <f t="shared" si="0"/>
        <v>2</v>
      </c>
      <c r="C15">
        <f t="shared" si="1"/>
        <v>2023</v>
      </c>
      <c r="D15" s="5">
        <v>210804</v>
      </c>
      <c r="E15" s="5">
        <v>205133</v>
      </c>
      <c r="F15" s="5">
        <v>5671</v>
      </c>
      <c r="G15" s="5">
        <v>9000</v>
      </c>
      <c r="H15" s="5">
        <f>G15*0.85</f>
        <v>7650</v>
      </c>
      <c r="I15" t="str">
        <f t="shared" si="2"/>
        <v>No</v>
      </c>
      <c r="J15" s="6">
        <f t="shared" si="3"/>
        <v>2.6901766569894309E-2</v>
      </c>
    </row>
    <row r="16" spans="1:11" x14ac:dyDescent="0.3">
      <c r="A16" t="s">
        <v>19</v>
      </c>
      <c r="B16">
        <f t="shared" si="0"/>
        <v>3</v>
      </c>
      <c r="C16">
        <f t="shared" si="1"/>
        <v>2023</v>
      </c>
      <c r="D16" s="5">
        <v>218711</v>
      </c>
      <c r="E16" s="5">
        <v>209094</v>
      </c>
      <c r="F16" s="5">
        <v>9617</v>
      </c>
      <c r="G16" s="5">
        <v>9500</v>
      </c>
      <c r="H16" s="5">
        <f>G16*0.99</f>
        <v>9405</v>
      </c>
      <c r="I16" t="str">
        <f t="shared" si="2"/>
        <v>Yes</v>
      </c>
      <c r="J16" s="6">
        <f t="shared" si="3"/>
        <v>4.3971268020355628E-2</v>
      </c>
    </row>
    <row r="17" spans="1:10" x14ac:dyDescent="0.3">
      <c r="A17" t="s">
        <v>20</v>
      </c>
      <c r="B17">
        <f t="shared" si="0"/>
        <v>4</v>
      </c>
      <c r="C17">
        <f t="shared" si="1"/>
        <v>2023</v>
      </c>
      <c r="D17" s="5">
        <v>239127</v>
      </c>
      <c r="E17" s="5">
        <v>229166</v>
      </c>
      <c r="F17" s="5">
        <v>9961</v>
      </c>
      <c r="G17" s="5">
        <v>11500</v>
      </c>
      <c r="H17" s="5">
        <f>G17*0.86</f>
        <v>9890</v>
      </c>
      <c r="I17" t="str">
        <f t="shared" si="2"/>
        <v>No</v>
      </c>
      <c r="J17" s="6">
        <f t="shared" si="3"/>
        <v>4.1655689236263574E-2</v>
      </c>
    </row>
    <row r="18" spans="1:10" x14ac:dyDescent="0.3">
      <c r="A18" t="s">
        <v>21</v>
      </c>
      <c r="B18">
        <f t="shared" si="0"/>
        <v>5</v>
      </c>
      <c r="C18">
        <f t="shared" si="1"/>
        <v>2023</v>
      </c>
      <c r="D18" s="5">
        <v>214620</v>
      </c>
      <c r="E18" s="5">
        <v>204173</v>
      </c>
      <c r="F18" s="5">
        <v>10447</v>
      </c>
      <c r="G18" s="5">
        <v>12500</v>
      </c>
      <c r="H18" s="5">
        <f t="shared" ref="H18" si="6">G18*0.99</f>
        <v>12375</v>
      </c>
      <c r="I18" t="str">
        <f t="shared" si="2"/>
        <v>No</v>
      </c>
      <c r="J18" s="6">
        <f t="shared" si="3"/>
        <v>4.8676730966359147E-2</v>
      </c>
    </row>
    <row r="19" spans="1:10" x14ac:dyDescent="0.3">
      <c r="A19" t="s">
        <v>22</v>
      </c>
      <c r="B19">
        <f t="shared" si="0"/>
        <v>6</v>
      </c>
      <c r="C19">
        <f t="shared" si="1"/>
        <v>2023</v>
      </c>
      <c r="D19" s="5">
        <v>202771</v>
      </c>
      <c r="E19" s="5">
        <v>189246</v>
      </c>
      <c r="F19" s="5">
        <v>13525</v>
      </c>
      <c r="G19" s="5">
        <v>13500</v>
      </c>
      <c r="H19" s="5">
        <f>G19*0.95</f>
        <v>12825</v>
      </c>
      <c r="I19" t="str">
        <f t="shared" si="2"/>
        <v>Yes</v>
      </c>
      <c r="J19" s="6">
        <f t="shared" si="3"/>
        <v>6.6700859590375347E-2</v>
      </c>
    </row>
    <row r="20" spans="1:10" x14ac:dyDescent="0.3">
      <c r="A20" t="s">
        <v>23</v>
      </c>
      <c r="B20">
        <f t="shared" si="0"/>
        <v>7</v>
      </c>
      <c r="C20">
        <f t="shared" si="1"/>
        <v>2023</v>
      </c>
      <c r="D20" s="5">
        <v>205158</v>
      </c>
      <c r="E20" s="5">
        <v>189865</v>
      </c>
      <c r="F20" s="5">
        <v>15293</v>
      </c>
      <c r="G20" s="5">
        <v>15000</v>
      </c>
      <c r="H20" s="5">
        <f>G20*0.95</f>
        <v>14250</v>
      </c>
      <c r="I20" t="str">
        <f t="shared" si="2"/>
        <v>Yes</v>
      </c>
      <c r="J20" s="6">
        <f t="shared" si="3"/>
        <v>7.4542547694947309E-2</v>
      </c>
    </row>
    <row r="21" spans="1:10" x14ac:dyDescent="0.3">
      <c r="A21" t="s">
        <v>24</v>
      </c>
      <c r="B21">
        <f t="shared" si="0"/>
        <v>8</v>
      </c>
      <c r="C21">
        <f t="shared" si="1"/>
        <v>2023</v>
      </c>
      <c r="D21" s="5">
        <v>204878</v>
      </c>
      <c r="E21" s="5">
        <v>187577</v>
      </c>
      <c r="F21" s="5">
        <v>17301</v>
      </c>
      <c r="G21" s="5">
        <v>19450</v>
      </c>
      <c r="H21" s="5">
        <f>G21*0.95</f>
        <v>18477.5</v>
      </c>
      <c r="I21" t="str">
        <f t="shared" si="2"/>
        <v>No</v>
      </c>
      <c r="J21" s="6">
        <f t="shared" si="3"/>
        <v>8.4445377248899348E-2</v>
      </c>
    </row>
    <row r="22" spans="1:10" x14ac:dyDescent="0.3">
      <c r="A22" t="s">
        <v>25</v>
      </c>
      <c r="B22">
        <f t="shared" si="0"/>
        <v>9</v>
      </c>
      <c r="C22">
        <f t="shared" si="1"/>
        <v>2023</v>
      </c>
      <c r="D22" s="5">
        <v>218002</v>
      </c>
      <c r="E22" s="5">
        <v>200011</v>
      </c>
      <c r="F22" s="5">
        <v>17991</v>
      </c>
      <c r="G22" s="5">
        <v>20000</v>
      </c>
      <c r="H22" s="5">
        <f t="shared" ref="H22" si="7">G22*0.95</f>
        <v>19000</v>
      </c>
      <c r="I22" t="str">
        <f t="shared" si="2"/>
        <v>No</v>
      </c>
      <c r="J22" s="6">
        <f t="shared" si="3"/>
        <v>8.2526765809487992E-2</v>
      </c>
    </row>
    <row r="23" spans="1:10" x14ac:dyDescent="0.3">
      <c r="A23" t="s">
        <v>26</v>
      </c>
      <c r="B23">
        <f t="shared" si="0"/>
        <v>10</v>
      </c>
      <c r="C23">
        <f t="shared" si="1"/>
        <v>2023</v>
      </c>
      <c r="D23" s="5">
        <v>208832</v>
      </c>
      <c r="E23" s="5">
        <v>187036</v>
      </c>
      <c r="F23" s="5">
        <v>21796</v>
      </c>
      <c r="G23" s="5">
        <v>23000</v>
      </c>
      <c r="H23" s="5">
        <f>G23*0.945</f>
        <v>21735</v>
      </c>
      <c r="I23" t="str">
        <f t="shared" si="2"/>
        <v>No</v>
      </c>
      <c r="J23" s="6">
        <f t="shared" si="3"/>
        <v>0.10437097762794974</v>
      </c>
    </row>
    <row r="24" spans="1:10" x14ac:dyDescent="0.3">
      <c r="A24" t="s">
        <v>27</v>
      </c>
      <c r="B24">
        <f t="shared" si="0"/>
        <v>11</v>
      </c>
      <c r="C24">
        <f t="shared" si="1"/>
        <v>2023</v>
      </c>
      <c r="D24" s="5">
        <v>208944</v>
      </c>
      <c r="E24" s="5">
        <v>185364</v>
      </c>
      <c r="F24" s="5">
        <v>23580</v>
      </c>
      <c r="G24" s="5">
        <v>25000</v>
      </c>
      <c r="H24" s="5">
        <f>G24*0.95</f>
        <v>23750</v>
      </c>
      <c r="I24" t="str">
        <f t="shared" si="2"/>
        <v>No</v>
      </c>
      <c r="J24" s="6">
        <f t="shared" si="3"/>
        <v>0.11285320468642315</v>
      </c>
    </row>
    <row r="25" spans="1:10" x14ac:dyDescent="0.3">
      <c r="A25" t="s">
        <v>28</v>
      </c>
      <c r="B25">
        <f t="shared" si="0"/>
        <v>12</v>
      </c>
      <c r="C25">
        <f t="shared" si="1"/>
        <v>2023</v>
      </c>
      <c r="D25" s="5">
        <v>281309</v>
      </c>
      <c r="E25" s="5">
        <v>253678</v>
      </c>
      <c r="F25" s="5">
        <v>27631</v>
      </c>
      <c r="G25" s="5">
        <v>26500</v>
      </c>
      <c r="H25" s="5">
        <f>G25*0.95</f>
        <v>25175</v>
      </c>
      <c r="I25" t="str">
        <f t="shared" si="2"/>
        <v>Yes</v>
      </c>
      <c r="J25" s="6">
        <f t="shared" si="3"/>
        <v>9.8222950563259623E-2</v>
      </c>
    </row>
    <row r="26" spans="1:10" x14ac:dyDescent="0.3">
      <c r="A26" t="s">
        <v>29</v>
      </c>
      <c r="B26">
        <f t="shared" si="0"/>
        <v>1</v>
      </c>
      <c r="C26">
        <f t="shared" si="1"/>
        <v>2024</v>
      </c>
      <c r="D26" s="5">
        <v>211218</v>
      </c>
      <c r="E26" s="5">
        <v>203022</v>
      </c>
      <c r="F26" s="5">
        <v>8196</v>
      </c>
      <c r="G26" s="5">
        <v>8000</v>
      </c>
      <c r="H26" s="5">
        <f>G26*0.99</f>
        <v>7920</v>
      </c>
      <c r="I26" t="str">
        <f t="shared" si="2"/>
        <v>Yes</v>
      </c>
      <c r="J26" s="6">
        <f t="shared" si="3"/>
        <v>3.8803511064397923E-2</v>
      </c>
    </row>
    <row r="27" spans="1:10" x14ac:dyDescent="0.3">
      <c r="A27" t="s">
        <v>30</v>
      </c>
      <c r="B27">
        <f t="shared" si="0"/>
        <v>2</v>
      </c>
      <c r="C27">
        <f t="shared" si="1"/>
        <v>2024</v>
      </c>
      <c r="D27" s="5">
        <v>213221</v>
      </c>
      <c r="E27" s="5">
        <v>205902</v>
      </c>
      <c r="F27" s="5">
        <v>7319</v>
      </c>
      <c r="G27" s="5">
        <v>9500</v>
      </c>
      <c r="H27" s="5">
        <f>G27*0.9</f>
        <v>8550</v>
      </c>
      <c r="I27" t="str">
        <f t="shared" si="2"/>
        <v>No</v>
      </c>
      <c r="J27" s="6">
        <f t="shared" si="3"/>
        <v>3.4325887224991906E-2</v>
      </c>
    </row>
    <row r="28" spans="1:10" x14ac:dyDescent="0.3">
      <c r="A28" t="s">
        <v>31</v>
      </c>
      <c r="B28">
        <f t="shared" si="0"/>
        <v>3</v>
      </c>
      <c r="C28">
        <f t="shared" si="1"/>
        <v>2024</v>
      </c>
      <c r="D28" s="5">
        <v>200069</v>
      </c>
      <c r="E28" s="5">
        <v>185625</v>
      </c>
      <c r="F28" s="5">
        <v>14444</v>
      </c>
      <c r="G28" s="5">
        <v>12000</v>
      </c>
      <c r="H28" s="5">
        <f t="shared" si="4"/>
        <v>12600</v>
      </c>
      <c r="I28" t="str">
        <f t="shared" si="2"/>
        <v>Yes</v>
      </c>
      <c r="J28" s="6">
        <f t="shared" si="3"/>
        <v>7.2195092693020907E-2</v>
      </c>
    </row>
    <row r="29" spans="1:10" x14ac:dyDescent="0.3">
      <c r="A29" t="s">
        <v>32</v>
      </c>
      <c r="B29">
        <f t="shared" si="0"/>
        <v>4</v>
      </c>
      <c r="C29">
        <f t="shared" si="1"/>
        <v>2024</v>
      </c>
      <c r="D29" s="5">
        <v>213960</v>
      </c>
      <c r="E29" s="5">
        <v>201271</v>
      </c>
      <c r="F29" s="5">
        <v>12689</v>
      </c>
      <c r="G29" s="5">
        <v>12500</v>
      </c>
      <c r="H29" s="5">
        <f>G29*0.97</f>
        <v>12125</v>
      </c>
      <c r="I29" t="str">
        <f t="shared" si="2"/>
        <v>Yes</v>
      </c>
      <c r="J29" s="6">
        <f t="shared" si="3"/>
        <v>5.9305477659375584E-2</v>
      </c>
    </row>
    <row r="30" spans="1:10" x14ac:dyDescent="0.3">
      <c r="A30" t="s">
        <v>33</v>
      </c>
      <c r="B30">
        <f t="shared" si="0"/>
        <v>5</v>
      </c>
      <c r="C30">
        <f t="shared" si="1"/>
        <v>2024</v>
      </c>
      <c r="D30" s="5">
        <v>246430</v>
      </c>
      <c r="E30" s="5">
        <v>230218</v>
      </c>
      <c r="F30" s="5">
        <v>16212</v>
      </c>
      <c r="G30" s="5">
        <v>15500</v>
      </c>
      <c r="H30" s="5">
        <f>G30*1.02</f>
        <v>15810</v>
      </c>
      <c r="I30" t="str">
        <f t="shared" si="2"/>
        <v>Yes</v>
      </c>
      <c r="J30" s="6">
        <f t="shared" si="3"/>
        <v>6.5787444710465451E-2</v>
      </c>
    </row>
    <row r="31" spans="1:10" x14ac:dyDescent="0.3">
      <c r="A31" t="s">
        <v>34</v>
      </c>
      <c r="B31">
        <f t="shared" si="0"/>
        <v>6</v>
      </c>
      <c r="C31">
        <f t="shared" si="1"/>
        <v>2024</v>
      </c>
      <c r="D31" s="5">
        <v>220935</v>
      </c>
      <c r="E31" s="5">
        <v>205747</v>
      </c>
      <c r="F31" s="5">
        <v>15188</v>
      </c>
      <c r="G31" s="5">
        <v>17250</v>
      </c>
      <c r="H31" s="5">
        <f>G31*0.96</f>
        <v>16560</v>
      </c>
      <c r="I31" t="str">
        <f t="shared" si="2"/>
        <v>No</v>
      </c>
      <c r="J31" s="6">
        <f t="shared" si="3"/>
        <v>6.8744200783035739E-2</v>
      </c>
    </row>
    <row r="32" spans="1:10" x14ac:dyDescent="0.3">
      <c r="A32" t="s">
        <v>35</v>
      </c>
      <c r="B32">
        <f t="shared" si="0"/>
        <v>7</v>
      </c>
      <c r="C32">
        <f t="shared" si="1"/>
        <v>2024</v>
      </c>
      <c r="D32" s="5">
        <v>207901</v>
      </c>
      <c r="E32" s="5">
        <v>188926</v>
      </c>
      <c r="F32" s="5">
        <v>18975</v>
      </c>
      <c r="G32" s="5">
        <v>18300</v>
      </c>
      <c r="H32" s="5">
        <f>G32*1.02</f>
        <v>18666</v>
      </c>
      <c r="I32" t="str">
        <f t="shared" si="2"/>
        <v>Yes</v>
      </c>
      <c r="J32" s="6">
        <f t="shared" si="3"/>
        <v>9.1269402263577382E-2</v>
      </c>
    </row>
    <row r="33" spans="1:10" x14ac:dyDescent="0.3">
      <c r="A33" t="s">
        <v>36</v>
      </c>
      <c r="B33">
        <f t="shared" si="0"/>
        <v>8</v>
      </c>
      <c r="C33">
        <f t="shared" si="1"/>
        <v>2024</v>
      </c>
      <c r="D33" s="5">
        <v>216175</v>
      </c>
      <c r="E33" s="5">
        <v>200372</v>
      </c>
      <c r="F33" s="5">
        <v>15803</v>
      </c>
      <c r="G33" s="5">
        <v>19950</v>
      </c>
      <c r="H33" s="5">
        <f>G33*0.88</f>
        <v>17556</v>
      </c>
      <c r="I33" t="str">
        <f t="shared" si="2"/>
        <v>No</v>
      </c>
      <c r="J33" s="6">
        <f t="shared" si="3"/>
        <v>7.3102810223198797E-2</v>
      </c>
    </row>
    <row r="34" spans="1:10" x14ac:dyDescent="0.3">
      <c r="A34" t="s">
        <v>37</v>
      </c>
      <c r="B34">
        <f t="shared" si="0"/>
        <v>9</v>
      </c>
      <c r="C34">
        <f t="shared" si="1"/>
        <v>2024</v>
      </c>
      <c r="D34" s="5">
        <v>202097</v>
      </c>
      <c r="E34" s="5">
        <v>180505</v>
      </c>
      <c r="F34" s="5">
        <v>21592</v>
      </c>
      <c r="G34" s="5">
        <v>20500</v>
      </c>
      <c r="H34" s="5">
        <f t="shared" si="4"/>
        <v>21525</v>
      </c>
      <c r="I34" t="str">
        <f t="shared" si="2"/>
        <v>Yes</v>
      </c>
      <c r="J34" s="6">
        <f t="shared" si="3"/>
        <v>0.10683978485578707</v>
      </c>
    </row>
    <row r="35" spans="1:10" x14ac:dyDescent="0.3">
      <c r="A35" t="s">
        <v>38</v>
      </c>
      <c r="B35">
        <f t="shared" si="0"/>
        <v>10</v>
      </c>
      <c r="C35">
        <f t="shared" si="1"/>
        <v>2024</v>
      </c>
      <c r="D35" s="5">
        <v>217436</v>
      </c>
      <c r="E35" s="5">
        <v>193781</v>
      </c>
      <c r="F35" s="5">
        <v>23655</v>
      </c>
      <c r="G35" s="5">
        <v>23500</v>
      </c>
      <c r="H35" s="5">
        <f t="shared" si="4"/>
        <v>24675</v>
      </c>
      <c r="I35" t="str">
        <f t="shared" si="2"/>
        <v>Yes</v>
      </c>
      <c r="J35" s="6">
        <f t="shared" si="3"/>
        <v>0.108790632645928</v>
      </c>
    </row>
    <row r="36" spans="1:10" x14ac:dyDescent="0.3">
      <c r="A36" t="s">
        <v>39</v>
      </c>
      <c r="B36">
        <f t="shared" si="0"/>
        <v>11</v>
      </c>
      <c r="C36">
        <f t="shared" si="1"/>
        <v>2024</v>
      </c>
      <c r="D36" s="5">
        <v>258910</v>
      </c>
      <c r="E36" s="5">
        <v>233397</v>
      </c>
      <c r="F36" s="5">
        <v>25513</v>
      </c>
      <c r="G36" s="5">
        <v>25500</v>
      </c>
      <c r="H36" s="5">
        <f>G36*0.98</f>
        <v>24990</v>
      </c>
      <c r="I36" t="str">
        <f t="shared" si="2"/>
        <v>Yes</v>
      </c>
      <c r="J36" s="6">
        <f t="shared" si="3"/>
        <v>9.8540033216175507E-2</v>
      </c>
    </row>
    <row r="37" spans="1:10" x14ac:dyDescent="0.3">
      <c r="A37" t="s">
        <v>40</v>
      </c>
      <c r="B37">
        <f t="shared" si="0"/>
        <v>12</v>
      </c>
      <c r="C37">
        <f t="shared" si="1"/>
        <v>2024</v>
      </c>
      <c r="D37" s="5">
        <v>209407</v>
      </c>
      <c r="E37" s="5">
        <v>185122</v>
      </c>
      <c r="F37" s="5">
        <v>24285</v>
      </c>
      <c r="G37" s="5">
        <v>27000</v>
      </c>
      <c r="H37" s="5">
        <f>G37*0.95</f>
        <v>25650</v>
      </c>
      <c r="I37" t="str">
        <f t="shared" si="2"/>
        <v>No</v>
      </c>
      <c r="J37" s="6">
        <f t="shared" si="3"/>
        <v>0.11597033528010048</v>
      </c>
    </row>
  </sheetData>
  <sortState xmlns:xlrd2="http://schemas.microsoft.com/office/spreadsheetml/2017/richdata2" ref="D26:F37">
    <sortCondition ref="F26:F37"/>
  </sortState>
  <pageMargins left="0.75" right="0.75" top="1" bottom="1" header="0.5" footer="0.5"/>
  <ignoredErrors>
    <ignoredError sqref="H17 H23 H3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2026-01-05T09:25:42Z</dcterms:created>
  <dcterms:modified xsi:type="dcterms:W3CDTF">2026-01-20T18:24:24Z</dcterms:modified>
</cp:coreProperties>
</file>