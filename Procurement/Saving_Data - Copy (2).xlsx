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dylan\Documents\GitHub\ISYS40251_Deriving-Value-Data-Analytics\Procurement\"/>
    </mc:Choice>
  </mc:AlternateContent>
  <xr:revisionPtr revIDLastSave="0" documentId="13_ncr:1_{074CA718-410D-4FDC-A882-D03A05F1380A}" xr6:coauthVersionLast="47" xr6:coauthVersionMax="47" xr10:uidLastSave="{00000000-0000-0000-0000-000000000000}"/>
  <bookViews>
    <workbookView xWindow="0" yWindow="360" windowWidth="23256" windowHeight="1389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2" i="1"/>
  <c r="F37" i="1"/>
  <c r="F36" i="1"/>
  <c r="F33" i="1"/>
  <c r="F32" i="1"/>
  <c r="F31" i="1"/>
  <c r="F30" i="1"/>
  <c r="F29" i="1"/>
  <c r="F27" i="1"/>
  <c r="F26" i="1"/>
  <c r="F25" i="1"/>
  <c r="F24" i="1"/>
  <c r="F23" i="1"/>
  <c r="F22" i="1"/>
  <c r="F21" i="1"/>
  <c r="F20" i="1"/>
  <c r="F19" i="1"/>
  <c r="F17" i="1"/>
  <c r="F18" i="1"/>
  <c r="F16" i="1"/>
  <c r="F15" i="1"/>
  <c r="F14" i="1"/>
  <c r="F12" i="1"/>
  <c r="F13" i="1"/>
  <c r="F11" i="1"/>
  <c r="F9" i="1"/>
  <c r="F8" i="1"/>
  <c r="F7" i="1"/>
  <c r="F5" i="1"/>
  <c r="F4" i="1"/>
  <c r="F3" i="1"/>
  <c r="F6" i="1"/>
  <c r="F10" i="1"/>
  <c r="F28" i="1"/>
  <c r="F34" i="1"/>
  <c r="F35" i="1"/>
  <c r="F2" i="1"/>
</calcChain>
</file>

<file path=xl/sharedStrings.xml><?xml version="1.0" encoding="utf-8"?>
<sst xmlns="http://schemas.openxmlformats.org/spreadsheetml/2006/main" count="43" uniqueCount="43">
  <si>
    <t>Date</t>
  </si>
  <si>
    <t>Monthly Baseline (£)</t>
  </si>
  <si>
    <t>Monthly Price (£)</t>
  </si>
  <si>
    <t>Monthly Saving (£)</t>
  </si>
  <si>
    <t>Saving Target (£)</t>
  </si>
  <si>
    <t>Jan 2022</t>
  </si>
  <si>
    <t>Feb 2022</t>
  </si>
  <si>
    <t>Mar 2022</t>
  </si>
  <si>
    <t>Apr 2022</t>
  </si>
  <si>
    <t>May 2022</t>
  </si>
  <si>
    <t>Jun 2022</t>
  </si>
  <si>
    <t>Jul 2022</t>
  </si>
  <si>
    <t>Aug 2022</t>
  </si>
  <si>
    <t>Sep 2022</t>
  </si>
  <si>
    <t>Oct 2022</t>
  </si>
  <si>
    <t>Nov 2022</t>
  </si>
  <si>
    <t>Dec 2022</t>
  </si>
  <si>
    <t>Jan 2023</t>
  </si>
  <si>
    <t>Feb 2023</t>
  </si>
  <si>
    <t>Mar 2023</t>
  </si>
  <si>
    <t>Apr 2023</t>
  </si>
  <si>
    <t>May 2023</t>
  </si>
  <si>
    <t>Jun 2023</t>
  </si>
  <si>
    <t>Jul 2023</t>
  </si>
  <si>
    <t>Aug 2023</t>
  </si>
  <si>
    <t>Sep 2023</t>
  </si>
  <si>
    <t>Oct 2023</t>
  </si>
  <si>
    <t>Nov 2023</t>
  </si>
  <si>
    <t>Dec 2023</t>
  </si>
  <si>
    <t>Jan 2024</t>
  </si>
  <si>
    <t>Feb 2024</t>
  </si>
  <si>
    <t>Mar 2024</t>
  </si>
  <si>
    <t>Apr 2024</t>
  </si>
  <si>
    <t>May 2024</t>
  </si>
  <si>
    <t>Jun 2024</t>
  </si>
  <si>
    <t>Jul 2024</t>
  </si>
  <si>
    <t>Aug 2024</t>
  </si>
  <si>
    <t>Sep 2024</t>
  </si>
  <si>
    <t>Oct 2024</t>
  </si>
  <si>
    <t>Nov 2024</t>
  </si>
  <si>
    <t>Dec 2024</t>
  </si>
  <si>
    <t>Saving Target Met</t>
  </si>
  <si>
    <t>Forecast Saving (£)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</si>
</sst>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###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4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164" fontId="0" fillId="0" borderId="0" xfId="0" applyNumberFormat="1"/>
    <xf numFmtId="9" fontId="0" fillId="0" borderId="0" xfId="1" applyFont="1"/>
    <xf numFmtId="9" fontId="0" fillId="0" borderId="0" xfId="0" applyNumberFormat="1"/>
  </cellXfs>
  <cellStyles count="2">
    <cellStyle name="Normal" xfId="0" builtinId="0"/>
    <cellStyle name="Per 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7"/>
  <sheetViews>
    <sheetView tabSelected="1" workbookViewId="0">
      <selection activeCell="F2" sqref="F2"/>
    </sheetView>
  </sheetViews>
  <sheetFormatPr defaultRowHeight="14.4" x14ac:dyDescent="0.3"/>
  <cols>
    <col min="1" max="1" width="9" bestFit="1" customWidth="1"/>
    <col min="2" max="2" width="18.5546875" bestFit="1" customWidth="1"/>
    <col min="3" max="3" width="15.6640625" bestFit="1" customWidth="1"/>
    <col min="4" max="4" width="17.21875" bestFit="1" customWidth="1"/>
    <col min="5" max="5" width="15.21875" bestFit="1" customWidth="1"/>
    <col min="6" max="6" width="16.88671875" bestFit="1" customWidth="1"/>
    <col min="7" max="7" width="16.3320312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42</v>
      </c>
      <c r="G1" s="4" t="s">
        <v>41</v>
      </c>
      <c r="H1" s="2"/>
    </row>
    <row r="2" spans="1:9" x14ac:dyDescent="0.3">
      <c r="A2" t="s">
        <v>5</v>
      </c>
      <c r="B2" s="5">
        <v>250936</v>
      </c>
      <c r="C2" s="5">
        <v>243158</v>
      </c>
      <c r="D2" s="5">
        <v>7778</v>
      </c>
      <c r="E2" s="5">
        <v>6500</v>
      </c>
      <c r="F2" s="5">
        <f>E2*1.05</f>
        <v>6825</v>
      </c>
      <c r="G2" t="str">
        <f>IF(E2&lt;D2,"Yes","No")</f>
        <v>Yes</v>
      </c>
      <c r="H2" s="6">
        <f>D2/B2</f>
        <v>3.0995951158861224E-2</v>
      </c>
      <c r="I2" s="7">
        <f>AVERAGE(H2:H37)</f>
        <v>7.1696531380086817E-2</v>
      </c>
    </row>
    <row r="3" spans="1:9" x14ac:dyDescent="0.3">
      <c r="A3" t="s">
        <v>6</v>
      </c>
      <c r="B3" s="5">
        <v>213868</v>
      </c>
      <c r="C3" s="5">
        <v>205691</v>
      </c>
      <c r="D3" s="5">
        <v>8177</v>
      </c>
      <c r="E3" s="5">
        <v>8000</v>
      </c>
      <c r="F3" s="5">
        <f>E3*1.04</f>
        <v>8320</v>
      </c>
      <c r="G3" t="str">
        <f t="shared" ref="G3:G37" si="0">IF(E3&lt;D3,"Yes","No")</f>
        <v>Yes</v>
      </c>
      <c r="H3" s="6">
        <f t="shared" ref="H3:H37" si="1">D3/B3</f>
        <v>3.8233863878654122E-2</v>
      </c>
    </row>
    <row r="4" spans="1:9" x14ac:dyDescent="0.3">
      <c r="A4" t="s">
        <v>7</v>
      </c>
      <c r="B4" s="5">
        <v>217526</v>
      </c>
      <c r="C4" s="5">
        <v>209025</v>
      </c>
      <c r="D4" s="5">
        <v>8501</v>
      </c>
      <c r="E4" s="5">
        <v>9500</v>
      </c>
      <c r="F4" s="5">
        <f>E4*0.95</f>
        <v>9025</v>
      </c>
      <c r="G4" t="str">
        <f t="shared" si="0"/>
        <v>No</v>
      </c>
      <c r="H4" s="6">
        <f t="shared" si="1"/>
        <v>3.9080385792962677E-2</v>
      </c>
    </row>
    <row r="5" spans="1:9" x14ac:dyDescent="0.3">
      <c r="A5" t="s">
        <v>8</v>
      </c>
      <c r="B5" s="5">
        <v>217317</v>
      </c>
      <c r="C5" s="5">
        <v>206040</v>
      </c>
      <c r="D5" s="5">
        <v>11277</v>
      </c>
      <c r="E5" s="5">
        <v>11000</v>
      </c>
      <c r="F5" s="5">
        <f>E5*0.99</f>
        <v>10890</v>
      </c>
      <c r="G5" t="str">
        <f t="shared" si="0"/>
        <v>Yes</v>
      </c>
      <c r="H5" s="6">
        <f t="shared" si="1"/>
        <v>5.189193666395174E-2</v>
      </c>
    </row>
    <row r="6" spans="1:9" x14ac:dyDescent="0.3">
      <c r="A6" t="s">
        <v>9</v>
      </c>
      <c r="B6" s="5">
        <v>213799</v>
      </c>
      <c r="C6" s="5">
        <v>201172</v>
      </c>
      <c r="D6" s="5">
        <v>12627</v>
      </c>
      <c r="E6" s="5">
        <v>12000</v>
      </c>
      <c r="F6" s="5">
        <f t="shared" ref="F6:F35" si="2">E6*1.05</f>
        <v>12600</v>
      </c>
      <c r="G6" t="str">
        <f t="shared" si="0"/>
        <v>Yes</v>
      </c>
      <c r="H6" s="6">
        <f t="shared" si="1"/>
        <v>5.9060145276638339E-2</v>
      </c>
    </row>
    <row r="7" spans="1:9" x14ac:dyDescent="0.3">
      <c r="A7" t="s">
        <v>10</v>
      </c>
      <c r="B7" s="5">
        <v>200727</v>
      </c>
      <c r="C7" s="5">
        <v>188073</v>
      </c>
      <c r="D7" s="5">
        <v>12654</v>
      </c>
      <c r="E7" s="5">
        <v>15750</v>
      </c>
      <c r="F7" s="5">
        <f>E7*0.86</f>
        <v>13545</v>
      </c>
      <c r="G7" t="str">
        <f t="shared" si="0"/>
        <v>No</v>
      </c>
      <c r="H7" s="6">
        <f t="shared" si="1"/>
        <v>6.3040846522889299E-2</v>
      </c>
    </row>
    <row r="8" spans="1:9" x14ac:dyDescent="0.3">
      <c r="A8" t="s">
        <v>11</v>
      </c>
      <c r="B8" s="5">
        <v>240539</v>
      </c>
      <c r="C8" s="5">
        <v>225829</v>
      </c>
      <c r="D8" s="5">
        <v>14710</v>
      </c>
      <c r="E8" s="5">
        <v>16800</v>
      </c>
      <c r="F8" s="5">
        <f>E8*0.87</f>
        <v>14616</v>
      </c>
      <c r="G8" t="str">
        <f t="shared" si="0"/>
        <v>No</v>
      </c>
      <c r="H8" s="6">
        <f t="shared" si="1"/>
        <v>6.115432424679574E-2</v>
      </c>
    </row>
    <row r="9" spans="1:9" x14ac:dyDescent="0.3">
      <c r="A9" t="s">
        <v>12</v>
      </c>
      <c r="B9" s="5">
        <v>207863</v>
      </c>
      <c r="C9" s="5">
        <v>189602</v>
      </c>
      <c r="D9" s="5">
        <v>18261</v>
      </c>
      <c r="E9" s="5">
        <v>18000</v>
      </c>
      <c r="F9" s="5">
        <f>E9*0.99</f>
        <v>17820</v>
      </c>
      <c r="G9" t="str">
        <f t="shared" si="0"/>
        <v>Yes</v>
      </c>
      <c r="H9" s="6">
        <f t="shared" si="1"/>
        <v>8.7851132717222405E-2</v>
      </c>
    </row>
    <row r="10" spans="1:9" x14ac:dyDescent="0.3">
      <c r="A10" t="s">
        <v>13</v>
      </c>
      <c r="B10" s="5">
        <v>261948</v>
      </c>
      <c r="C10" s="5">
        <v>243025</v>
      </c>
      <c r="D10" s="5">
        <v>18923</v>
      </c>
      <c r="E10" s="5">
        <v>18500</v>
      </c>
      <c r="F10" s="5">
        <f t="shared" si="2"/>
        <v>19425</v>
      </c>
      <c r="G10" t="str">
        <f t="shared" si="0"/>
        <v>Yes</v>
      </c>
      <c r="H10" s="6">
        <f t="shared" si="1"/>
        <v>7.2239528456029448E-2</v>
      </c>
    </row>
    <row r="11" spans="1:9" x14ac:dyDescent="0.3">
      <c r="A11" t="s">
        <v>14</v>
      </c>
      <c r="B11" s="5">
        <v>207367</v>
      </c>
      <c r="C11" s="5">
        <v>186096</v>
      </c>
      <c r="D11" s="5">
        <v>21271</v>
      </c>
      <c r="E11" s="5">
        <v>22000</v>
      </c>
      <c r="F11" s="5">
        <f>E11*0.95</f>
        <v>20900</v>
      </c>
      <c r="G11" t="str">
        <f t="shared" si="0"/>
        <v>No</v>
      </c>
      <c r="H11" s="6">
        <f t="shared" si="1"/>
        <v>0.10257659126090458</v>
      </c>
    </row>
    <row r="12" spans="1:9" x14ac:dyDescent="0.3">
      <c r="A12" t="s">
        <v>15</v>
      </c>
      <c r="B12" s="5">
        <v>207299</v>
      </c>
      <c r="C12" s="5">
        <v>185378</v>
      </c>
      <c r="D12" s="5">
        <v>21921</v>
      </c>
      <c r="E12" s="5">
        <v>24000</v>
      </c>
      <c r="F12" s="5">
        <f t="shared" ref="F12:F13" si="3">E12*0.95</f>
        <v>22800</v>
      </c>
      <c r="G12" t="str">
        <f t="shared" si="0"/>
        <v>No</v>
      </c>
      <c r="H12" s="6">
        <f t="shared" si="1"/>
        <v>0.10574580678150884</v>
      </c>
    </row>
    <row r="13" spans="1:9" x14ac:dyDescent="0.3">
      <c r="A13" t="s">
        <v>16</v>
      </c>
      <c r="B13" s="5">
        <v>225065</v>
      </c>
      <c r="C13" s="5">
        <v>195479</v>
      </c>
      <c r="D13" s="5">
        <v>29586</v>
      </c>
      <c r="E13" s="5">
        <v>25500</v>
      </c>
      <c r="F13" s="5">
        <f t="shared" si="3"/>
        <v>24225</v>
      </c>
      <c r="G13" t="str">
        <f t="shared" si="0"/>
        <v>Yes</v>
      </c>
      <c r="H13" s="6">
        <f t="shared" si="1"/>
        <v>0.13145535734121253</v>
      </c>
    </row>
    <row r="14" spans="1:9" x14ac:dyDescent="0.3">
      <c r="A14" t="s">
        <v>17</v>
      </c>
      <c r="B14" s="5">
        <v>211647</v>
      </c>
      <c r="C14" s="5">
        <v>207582</v>
      </c>
      <c r="D14" s="5">
        <v>4065</v>
      </c>
      <c r="E14" s="5">
        <v>7500</v>
      </c>
      <c r="F14" s="5">
        <f>E14*0.85</f>
        <v>6375</v>
      </c>
      <c r="G14" t="str">
        <f t="shared" si="0"/>
        <v>No</v>
      </c>
      <c r="H14" s="6">
        <f t="shared" si="1"/>
        <v>1.9206508951225391E-2</v>
      </c>
    </row>
    <row r="15" spans="1:9" x14ac:dyDescent="0.3">
      <c r="A15" t="s">
        <v>18</v>
      </c>
      <c r="B15" s="5">
        <v>210804</v>
      </c>
      <c r="C15" s="5">
        <v>205133</v>
      </c>
      <c r="D15" s="5">
        <v>5671</v>
      </c>
      <c r="E15" s="5">
        <v>9000</v>
      </c>
      <c r="F15" s="5">
        <f>E15*0.85</f>
        <v>7650</v>
      </c>
      <c r="G15" t="str">
        <f t="shared" si="0"/>
        <v>No</v>
      </c>
      <c r="H15" s="6">
        <f t="shared" si="1"/>
        <v>2.6901766569894309E-2</v>
      </c>
    </row>
    <row r="16" spans="1:9" x14ac:dyDescent="0.3">
      <c r="A16" t="s">
        <v>19</v>
      </c>
      <c r="B16" s="5">
        <v>218711</v>
      </c>
      <c r="C16" s="5">
        <v>209094</v>
      </c>
      <c r="D16" s="5">
        <v>9617</v>
      </c>
      <c r="E16" s="5">
        <v>9500</v>
      </c>
      <c r="F16" s="5">
        <f>E16*0.99</f>
        <v>9405</v>
      </c>
      <c r="G16" t="str">
        <f t="shared" si="0"/>
        <v>Yes</v>
      </c>
      <c r="H16" s="6">
        <f t="shared" si="1"/>
        <v>4.3971268020355628E-2</v>
      </c>
    </row>
    <row r="17" spans="1:8" x14ac:dyDescent="0.3">
      <c r="A17" t="s">
        <v>20</v>
      </c>
      <c r="B17" s="5">
        <v>239127</v>
      </c>
      <c r="C17" s="5">
        <v>229166</v>
      </c>
      <c r="D17" s="5">
        <v>9961</v>
      </c>
      <c r="E17" s="5">
        <v>11500</v>
      </c>
      <c r="F17" s="5">
        <f>E17*0.86</f>
        <v>9890</v>
      </c>
      <c r="G17" t="str">
        <f t="shared" si="0"/>
        <v>No</v>
      </c>
      <c r="H17" s="6">
        <f t="shared" si="1"/>
        <v>4.1655689236263574E-2</v>
      </c>
    </row>
    <row r="18" spans="1:8" x14ac:dyDescent="0.3">
      <c r="A18" t="s">
        <v>21</v>
      </c>
      <c r="B18" s="5">
        <v>214620</v>
      </c>
      <c r="C18" s="5">
        <v>204173</v>
      </c>
      <c r="D18" s="5">
        <v>10447</v>
      </c>
      <c r="E18" s="5">
        <v>12500</v>
      </c>
      <c r="F18" s="5">
        <f t="shared" ref="F18" si="4">E18*0.99</f>
        <v>12375</v>
      </c>
      <c r="G18" t="str">
        <f t="shared" si="0"/>
        <v>No</v>
      </c>
      <c r="H18" s="6">
        <f t="shared" si="1"/>
        <v>4.8676730966359147E-2</v>
      </c>
    </row>
    <row r="19" spans="1:8" x14ac:dyDescent="0.3">
      <c r="A19" t="s">
        <v>22</v>
      </c>
      <c r="B19" s="5">
        <v>202771</v>
      </c>
      <c r="C19" s="5">
        <v>189246</v>
      </c>
      <c r="D19" s="5">
        <v>13525</v>
      </c>
      <c r="E19" s="5">
        <v>13500</v>
      </c>
      <c r="F19" s="5">
        <f>E19*0.95</f>
        <v>12825</v>
      </c>
      <c r="G19" t="str">
        <f t="shared" si="0"/>
        <v>Yes</v>
      </c>
      <c r="H19" s="6">
        <f t="shared" si="1"/>
        <v>6.6700859590375347E-2</v>
      </c>
    </row>
    <row r="20" spans="1:8" x14ac:dyDescent="0.3">
      <c r="A20" t="s">
        <v>23</v>
      </c>
      <c r="B20" s="5">
        <v>205158</v>
      </c>
      <c r="C20" s="5">
        <v>189865</v>
      </c>
      <c r="D20" s="5">
        <v>15293</v>
      </c>
      <c r="E20" s="5">
        <v>15000</v>
      </c>
      <c r="F20" s="5">
        <f>E20*0.95</f>
        <v>14250</v>
      </c>
      <c r="G20" t="str">
        <f t="shared" si="0"/>
        <v>Yes</v>
      </c>
      <c r="H20" s="6">
        <f t="shared" si="1"/>
        <v>7.4542547694947309E-2</v>
      </c>
    </row>
    <row r="21" spans="1:8" x14ac:dyDescent="0.3">
      <c r="A21" t="s">
        <v>24</v>
      </c>
      <c r="B21" s="5">
        <v>204878</v>
      </c>
      <c r="C21" s="5">
        <v>187577</v>
      </c>
      <c r="D21" s="5">
        <v>17301</v>
      </c>
      <c r="E21" s="5">
        <v>19450</v>
      </c>
      <c r="F21" s="5">
        <f>E21*0.95</f>
        <v>18477.5</v>
      </c>
      <c r="G21" t="str">
        <f t="shared" si="0"/>
        <v>No</v>
      </c>
      <c r="H21" s="6">
        <f t="shared" si="1"/>
        <v>8.4445377248899348E-2</v>
      </c>
    </row>
    <row r="22" spans="1:8" x14ac:dyDescent="0.3">
      <c r="A22" t="s">
        <v>25</v>
      </c>
      <c r="B22" s="5">
        <v>218002</v>
      </c>
      <c r="C22" s="5">
        <v>200011</v>
      </c>
      <c r="D22" s="5">
        <v>17991</v>
      </c>
      <c r="E22" s="5">
        <v>20000</v>
      </c>
      <c r="F22" s="5">
        <f t="shared" ref="F22" si="5">E22*0.95</f>
        <v>19000</v>
      </c>
      <c r="G22" t="str">
        <f t="shared" si="0"/>
        <v>No</v>
      </c>
      <c r="H22" s="6">
        <f t="shared" si="1"/>
        <v>8.2526765809487992E-2</v>
      </c>
    </row>
    <row r="23" spans="1:8" x14ac:dyDescent="0.3">
      <c r="A23" t="s">
        <v>26</v>
      </c>
      <c r="B23" s="5">
        <v>208832</v>
      </c>
      <c r="C23" s="5">
        <v>187036</v>
      </c>
      <c r="D23" s="5">
        <v>21796</v>
      </c>
      <c r="E23" s="5">
        <v>23000</v>
      </c>
      <c r="F23" s="5">
        <f>E23*0.945</f>
        <v>21735</v>
      </c>
      <c r="G23" t="str">
        <f t="shared" si="0"/>
        <v>No</v>
      </c>
      <c r="H23" s="6">
        <f t="shared" si="1"/>
        <v>0.10437097762794974</v>
      </c>
    </row>
    <row r="24" spans="1:8" x14ac:dyDescent="0.3">
      <c r="A24" t="s">
        <v>27</v>
      </c>
      <c r="B24" s="5">
        <v>208944</v>
      </c>
      <c r="C24" s="5">
        <v>185364</v>
      </c>
      <c r="D24" s="5">
        <v>23580</v>
      </c>
      <c r="E24" s="5">
        <v>25000</v>
      </c>
      <c r="F24" s="5">
        <f>E24*0.95</f>
        <v>23750</v>
      </c>
      <c r="G24" t="str">
        <f t="shared" si="0"/>
        <v>No</v>
      </c>
      <c r="H24" s="6">
        <f t="shared" si="1"/>
        <v>0.11285320468642315</v>
      </c>
    </row>
    <row r="25" spans="1:8" x14ac:dyDescent="0.3">
      <c r="A25" t="s">
        <v>28</v>
      </c>
      <c r="B25" s="5">
        <v>281309</v>
      </c>
      <c r="C25" s="5">
        <v>253678</v>
      </c>
      <c r="D25" s="5">
        <v>27631</v>
      </c>
      <c r="E25" s="5">
        <v>26500</v>
      </c>
      <c r="F25" s="5">
        <f>E25*0.95</f>
        <v>25175</v>
      </c>
      <c r="G25" t="str">
        <f t="shared" si="0"/>
        <v>Yes</v>
      </c>
      <c r="H25" s="6">
        <f t="shared" si="1"/>
        <v>9.8222950563259623E-2</v>
      </c>
    </row>
    <row r="26" spans="1:8" x14ac:dyDescent="0.3">
      <c r="A26" t="s">
        <v>29</v>
      </c>
      <c r="B26" s="5">
        <v>211218</v>
      </c>
      <c r="C26" s="5">
        <v>203022</v>
      </c>
      <c r="D26" s="5">
        <v>8196</v>
      </c>
      <c r="E26" s="5">
        <v>8000</v>
      </c>
      <c r="F26" s="5">
        <f>E26*0.99</f>
        <v>7920</v>
      </c>
      <c r="G26" t="str">
        <f t="shared" si="0"/>
        <v>Yes</v>
      </c>
      <c r="H26" s="6">
        <f t="shared" si="1"/>
        <v>3.8803511064397923E-2</v>
      </c>
    </row>
    <row r="27" spans="1:8" x14ac:dyDescent="0.3">
      <c r="A27" t="s">
        <v>30</v>
      </c>
      <c r="B27" s="5">
        <v>213221</v>
      </c>
      <c r="C27" s="5">
        <v>205902</v>
      </c>
      <c r="D27" s="5">
        <v>7319</v>
      </c>
      <c r="E27" s="5">
        <v>9500</v>
      </c>
      <c r="F27" s="5">
        <f>E27*0.9</f>
        <v>8550</v>
      </c>
      <c r="G27" t="str">
        <f t="shared" si="0"/>
        <v>No</v>
      </c>
      <c r="H27" s="6">
        <f t="shared" si="1"/>
        <v>3.4325887224991906E-2</v>
      </c>
    </row>
    <row r="28" spans="1:8" x14ac:dyDescent="0.3">
      <c r="A28" t="s">
        <v>31</v>
      </c>
      <c r="B28" s="5">
        <v>200069</v>
      </c>
      <c r="C28" s="5">
        <v>185625</v>
      </c>
      <c r="D28" s="5">
        <v>14444</v>
      </c>
      <c r="E28" s="5">
        <v>12000</v>
      </c>
      <c r="F28" s="5">
        <f t="shared" si="2"/>
        <v>12600</v>
      </c>
      <c r="G28" t="str">
        <f t="shared" si="0"/>
        <v>Yes</v>
      </c>
      <c r="H28" s="6">
        <f t="shared" si="1"/>
        <v>7.2195092693020907E-2</v>
      </c>
    </row>
    <row r="29" spans="1:8" x14ac:dyDescent="0.3">
      <c r="A29" t="s">
        <v>32</v>
      </c>
      <c r="B29" s="5">
        <v>213960</v>
      </c>
      <c r="C29" s="5">
        <v>201271</v>
      </c>
      <c r="D29" s="5">
        <v>12689</v>
      </c>
      <c r="E29" s="5">
        <v>12500</v>
      </c>
      <c r="F29" s="5">
        <f>E29*0.97</f>
        <v>12125</v>
      </c>
      <c r="G29" t="str">
        <f t="shared" si="0"/>
        <v>Yes</v>
      </c>
      <c r="H29" s="6">
        <f t="shared" si="1"/>
        <v>5.9305477659375584E-2</v>
      </c>
    </row>
    <row r="30" spans="1:8" x14ac:dyDescent="0.3">
      <c r="A30" t="s">
        <v>33</v>
      </c>
      <c r="B30" s="5">
        <v>246430</v>
      </c>
      <c r="C30" s="5">
        <v>230218</v>
      </c>
      <c r="D30" s="5">
        <v>16212</v>
      </c>
      <c r="E30" s="5">
        <v>15500</v>
      </c>
      <c r="F30" s="5">
        <f>E30*1.02</f>
        <v>15810</v>
      </c>
      <c r="G30" t="str">
        <f t="shared" si="0"/>
        <v>Yes</v>
      </c>
      <c r="H30" s="6">
        <f t="shared" si="1"/>
        <v>6.5787444710465451E-2</v>
      </c>
    </row>
    <row r="31" spans="1:8" x14ac:dyDescent="0.3">
      <c r="A31" t="s">
        <v>34</v>
      </c>
      <c r="B31" s="5">
        <v>220935</v>
      </c>
      <c r="C31" s="5">
        <v>205747</v>
      </c>
      <c r="D31" s="5">
        <v>15188</v>
      </c>
      <c r="E31" s="5">
        <v>17250</v>
      </c>
      <c r="F31" s="5">
        <f>E31*0.96</f>
        <v>16560</v>
      </c>
      <c r="G31" t="str">
        <f t="shared" si="0"/>
        <v>No</v>
      </c>
      <c r="H31" s="6">
        <f t="shared" si="1"/>
        <v>6.8744200783035739E-2</v>
      </c>
    </row>
    <row r="32" spans="1:8" x14ac:dyDescent="0.3">
      <c r="A32" t="s">
        <v>35</v>
      </c>
      <c r="B32" s="5">
        <v>207901</v>
      </c>
      <c r="C32" s="5">
        <v>188926</v>
      </c>
      <c r="D32" s="5">
        <v>18975</v>
      </c>
      <c r="E32" s="5">
        <v>18300</v>
      </c>
      <c r="F32" s="5">
        <f>E32*1.02</f>
        <v>18666</v>
      </c>
      <c r="G32" t="str">
        <f t="shared" si="0"/>
        <v>Yes</v>
      </c>
      <c r="H32" s="6">
        <f t="shared" si="1"/>
        <v>9.1269402263577382E-2</v>
      </c>
    </row>
    <row r="33" spans="1:8" x14ac:dyDescent="0.3">
      <c r="A33" t="s">
        <v>36</v>
      </c>
      <c r="B33" s="5">
        <v>216175</v>
      </c>
      <c r="C33" s="5">
        <v>200372</v>
      </c>
      <c r="D33" s="5">
        <v>15803</v>
      </c>
      <c r="E33" s="5">
        <v>19950</v>
      </c>
      <c r="F33" s="5">
        <f>E33*0.88</f>
        <v>17556</v>
      </c>
      <c r="G33" t="str">
        <f t="shared" si="0"/>
        <v>No</v>
      </c>
      <c r="H33" s="6">
        <f t="shared" si="1"/>
        <v>7.3102810223198797E-2</v>
      </c>
    </row>
    <row r="34" spans="1:8" x14ac:dyDescent="0.3">
      <c r="A34" t="s">
        <v>37</v>
      </c>
      <c r="B34" s="5">
        <v>202097</v>
      </c>
      <c r="C34" s="5">
        <v>180505</v>
      </c>
      <c r="D34" s="5">
        <v>21592</v>
      </c>
      <c r="E34" s="5">
        <v>20500</v>
      </c>
      <c r="F34" s="5">
        <f t="shared" si="2"/>
        <v>21525</v>
      </c>
      <c r="G34" t="str">
        <f t="shared" si="0"/>
        <v>Yes</v>
      </c>
      <c r="H34" s="6">
        <f t="shared" si="1"/>
        <v>0.10683978485578707</v>
      </c>
    </row>
    <row r="35" spans="1:8" x14ac:dyDescent="0.3">
      <c r="A35" t="s">
        <v>38</v>
      </c>
      <c r="B35" s="5">
        <v>217436</v>
      </c>
      <c r="C35" s="5">
        <v>193781</v>
      </c>
      <c r="D35" s="5">
        <v>23655</v>
      </c>
      <c r="E35" s="5">
        <v>23500</v>
      </c>
      <c r="F35" s="5">
        <f t="shared" si="2"/>
        <v>24675</v>
      </c>
      <c r="G35" t="str">
        <f t="shared" si="0"/>
        <v>Yes</v>
      </c>
      <c r="H35" s="6">
        <f t="shared" si="1"/>
        <v>0.108790632645928</v>
      </c>
    </row>
    <row r="36" spans="1:8" x14ac:dyDescent="0.3">
      <c r="A36" t="s">
        <v>39</v>
      </c>
      <c r="B36" s="5">
        <v>258910</v>
      </c>
      <c r="C36" s="5">
        <v>233397</v>
      </c>
      <c r="D36" s="5">
        <v>25513</v>
      </c>
      <c r="E36" s="5">
        <v>25500</v>
      </c>
      <c r="F36" s="5">
        <f>E36*0.98</f>
        <v>24990</v>
      </c>
      <c r="G36" t="str">
        <f t="shared" si="0"/>
        <v>Yes</v>
      </c>
      <c r="H36" s="6">
        <f t="shared" si="1"/>
        <v>9.8540033216175507E-2</v>
      </c>
    </row>
    <row r="37" spans="1:8" x14ac:dyDescent="0.3">
      <c r="A37" t="s">
        <v>40</v>
      </c>
      <c r="B37" s="5">
        <v>209407</v>
      </c>
      <c r="C37" s="5">
        <v>185122</v>
      </c>
      <c r="D37" s="5">
        <v>24285</v>
      </c>
      <c r="E37" s="5">
        <v>27000</v>
      </c>
      <c r="F37" s="5">
        <f>E37*0.95</f>
        <v>25650</v>
      </c>
      <c r="G37" t="str">
        <f t="shared" si="0"/>
        <v>No</v>
      </c>
      <c r="H37" s="6">
        <f t="shared" si="1"/>
        <v>0.11597033528010048</v>
      </c>
    </row>
  </sheetData>
  <sortState xmlns:xlrd2="http://schemas.microsoft.com/office/spreadsheetml/2017/richdata2" ref="B26:D37">
    <sortCondition ref="D26:D37"/>
  </sortState>
  <pageMargins left="0.75" right="0.75" top="1" bottom="1" header="0.5" footer="0.5"/>
  <ignoredErrors>
    <ignoredError sqref="F17 F23 F31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Dylan Butterfield 2025 (N1423084)</cp:lastModifiedBy>
  <dcterms:created xsi:type="dcterms:W3CDTF">2026-01-05T09:25:42Z</dcterms:created>
  <dcterms:modified xsi:type="dcterms:W3CDTF">2026-01-14T22:03:36Z</dcterms:modified>
</cp:coreProperties>
</file>