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ylan\Documents\GitHub\ISYS40251_Deriving-Value-Data-Analytics\Sales_Marketing\"/>
    </mc:Choice>
  </mc:AlternateContent>
  <xr:revisionPtr revIDLastSave="0" documentId="13_ncr:1_{6D079F61-855F-4E9E-87F5-F7DF44F8D23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3" sheetId="3" r:id="rId1"/>
    <sheet name="Sheet1" sheetId="1" r:id="rId2"/>
    <sheet name="Sheet2" sheetId="2" r:id="rId3"/>
  </sheets>
  <definedNames>
    <definedName name="NativeTimeline_Date">#N/A</definedName>
  </definedNames>
  <calcPr calcId="191029"/>
  <pivotCaches>
    <pivotCache cacheId="5" r:id="rId4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0" i="2" l="1"/>
  <c r="J30" i="2"/>
  <c r="H30" i="2"/>
  <c r="D32" i="2"/>
  <c r="D31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2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1" i="2"/>
  <c r="A1" i="2" a="1"/>
  <c r="A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<sst xmlns="http://schemas.openxmlformats.org/spreadsheetml/2006/main" count="8243" uniqueCount="43">
  <si>
    <t>Sales Person</t>
  </si>
  <si>
    <t>Country</t>
  </si>
  <si>
    <t>Product</t>
  </si>
  <si>
    <t>Date</t>
  </si>
  <si>
    <t>Amount</t>
  </si>
  <si>
    <t>Marney O'Breem</t>
  </si>
  <si>
    <t>UK</t>
  </si>
  <si>
    <t>Human Immunodeficiency Detection Machine</t>
  </si>
  <si>
    <t>Curtice Advani</t>
  </si>
  <si>
    <t>China</t>
  </si>
  <si>
    <t>Mallorie Waber</t>
  </si>
  <si>
    <t>USA</t>
  </si>
  <si>
    <t>Topical Corticosteroids Cream</t>
  </si>
  <si>
    <t>Canada</t>
  </si>
  <si>
    <t>Anticoagulation Care Device</t>
  </si>
  <si>
    <t>Rafaela Blaksland</t>
  </si>
  <si>
    <t>Germany</t>
  </si>
  <si>
    <t>Seasonal Influenza Vaccine</t>
  </si>
  <si>
    <t>Jan Morforth</t>
  </si>
  <si>
    <t>Asthma Inhaler</t>
  </si>
  <si>
    <t>Oby Sorrel</t>
  </si>
  <si>
    <t>Switzerland</t>
  </si>
  <si>
    <t>Roddy Speechley</t>
  </si>
  <si>
    <t>Hepatitis Vaccine</t>
  </si>
  <si>
    <t>Jehu Rudeforth</t>
  </si>
  <si>
    <t>HIV Medicine</t>
  </si>
  <si>
    <t>Gigi Bohling</t>
  </si>
  <si>
    <t>Gunar Cockshoot</t>
  </si>
  <si>
    <t>Meningitis B Vaccine</t>
  </si>
  <si>
    <t>Van Tuxwell</t>
  </si>
  <si>
    <t>Beverie Moffet</t>
  </si>
  <si>
    <t>Brien Boise</t>
  </si>
  <si>
    <t>Karlen McCaffrey</t>
  </si>
  <si>
    <t>Barr Faughny</t>
  </si>
  <si>
    <t>Sales Growth %</t>
  </si>
  <si>
    <t>Average Daily Growth in Jan</t>
  </si>
  <si>
    <t>Average Daily Growth in Feb</t>
  </si>
  <si>
    <t>Total Rev Jan</t>
  </si>
  <si>
    <t>Total Rev Feb</t>
  </si>
  <si>
    <t>Growth from Jan to Feb</t>
  </si>
  <si>
    <t>Row Labels</t>
  </si>
  <si>
    <t>Grand Total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</si>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</sst>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£&quot;#,##0;[Red]\-&quot;£&quot;#,##0"/>
    <numFmt numFmtId="164" formatCode="&quot;£&quot;#,##0.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6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9" fontId="0" fillId="0" borderId="0" xfId="1" applyFont="1"/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2">
    <cellStyle name="Normal" xfId="0" builtinId="0"/>
    <cellStyle name="Per cent" xfId="1" builtinId="5"/>
  </cellStyles>
  <dxfs count="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0" formatCode="&quot;£&quot;#,##0;[Red]\-&quot;£&quot;#,##0"/>
    </dxf>
    <dxf>
      <numFmt numFmtId="19" formatCode="dd/mm/yyyy"/>
    </dxf>
    <dxf>
      <border outline="0">
        <bottom style="thin">
          <color indexed="64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220980</xdr:colOff>
      <xdr:row>13</xdr:row>
      <xdr:rowOff>0</xdr:rowOff>
    </xdr:from>
    <xdr:to>
      <xdr:col>10</xdr:col>
      <xdr:colOff>129540</xdr:colOff>
      <xdr:row>21</xdr:row>
      <xdr:rowOff>106680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2" name="Date">
              <a:extLst>
                <a:ext uri="{FF2B5EF4-FFF2-40B4-BE49-F238E27FC236}">
                  <a16:creationId xmlns:a16="http://schemas.microsoft.com/office/drawing/2014/main" id="{87266651-66CF-13E6-EEFD-AD2C79E9E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22420" y="2377440"/>
              <a:ext cx="4785360" cy="1569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ylan butterfield" refreshedDate="46031.73651840278" createdVersion="8" refreshedVersion="8" minRefreshableVersion="3" recordCount="2738" xr:uid="{38F2543D-CA63-4B23-A86B-72C067A4ECB7}">
  <cacheSource type="worksheet">
    <worksheetSource name="Table1"/>
  </cacheSource>
  <cacheFields count="9">
    <cacheField name="Sales Person" numFmtId="0">
      <sharedItems/>
    </cacheField>
    <cacheField name="Country" numFmtId="0">
      <sharedItems/>
    </cacheField>
    <cacheField name="Product" numFmtId="0">
      <sharedItems count="8">
        <s v="Anticoagulation Care Device"/>
        <s v="HIV Medicine"/>
        <s v="Meningitis B Vaccine"/>
        <s v="Topical Corticosteroids Cream"/>
        <s v="Asthma Inhaler"/>
        <s v="Hepatitis Vaccine"/>
        <s v="Seasonal Influenza Vaccine"/>
        <s v="Human Immunodeficiency Detection Machine"/>
      </sharedItems>
    </cacheField>
    <cacheField name="Date" numFmtId="14">
      <sharedItems containsSemiMixedTypes="0" containsNonDate="0" containsDate="1" containsString="0" minDate="2023-01-01T00:00:00" maxDate="2025-01-01T00:00:00" count="716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2T00:00:00"/>
        <d v="2023-08-14T00:00:00"/>
        <d v="2023-08-15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29T00:00:00"/>
        <d v="2023-12-30T00:00:00"/>
        <d v="2023-12-31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9T00:00:00"/>
        <d v="2024-12-30T00:00:00"/>
        <d v="2024-12-31T00:00:00"/>
      </sharedItems>
      <fieldGroup par="8"/>
    </cacheField>
    <cacheField name="Amount" numFmtId="6">
      <sharedItems containsSemiMixedTypes="0" containsString="0" containsNumber="1" containsInteger="1" minValue="1007" maxValue="13996"/>
    </cacheField>
    <cacheField name="Sales Growth %" numFmtId="0">
      <sharedItems containsNonDate="0" containsString="0" containsBlank="1" count="1">
        <m/>
      </sharedItems>
    </cacheField>
    <cacheField name="Months (Date)" numFmtId="0" databaseField="0">
      <fieldGroup base="3">
        <rangePr groupBy="months" startDate="2023-01-01T00:00:00" endDate="2025-01-01T00:00:00"/>
        <groupItems count="14">
          <s v="&lt;01/0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1/2025"/>
        </groupItems>
      </fieldGroup>
    </cacheField>
    <cacheField name="Quarters (Date)" numFmtId="0" databaseField="0">
      <fieldGroup base="3">
        <rangePr groupBy="quarters" startDate="2023-01-01T00:00:00" endDate="2025-01-01T00:00:00"/>
        <groupItems count="6">
          <s v="&lt;01/01/2023"/>
          <s v="Qtr1"/>
          <s v="Qtr2"/>
          <s v="Qtr3"/>
          <s v="Qtr4"/>
          <s v="&gt;01/01/2025"/>
        </groupItems>
      </fieldGroup>
    </cacheField>
    <cacheField name="Years (Date)" numFmtId="0" databaseField="0">
      <fieldGroup base="3">
        <rangePr groupBy="years" startDate="2023-01-01T00:00:00" endDate="2025-01-01T00:00:00"/>
        <groupItems count="5">
          <s v="&lt;01/01/2023"/>
          <s v="2023"/>
          <s v="2024"/>
          <s v="2025"/>
          <s v="&gt;01/01/2025"/>
        </groupItems>
      </fieldGroup>
    </cacheField>
  </cacheFields>
  <extLst>
    <ext xmlns:x14="http://schemas.microsoft.com/office/spreadsheetml/2009/9/main" uri="{725AE2AE-9491-48be-B2B4-4EB974FC3084}">
      <x14:pivotCacheDefinition pivotCacheId="11800508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8">
  <r>
    <s v="Jehu Rudeforth"/>
    <s v="Canada"/>
    <x v="0"/>
    <x v="0"/>
    <n v="5216"/>
    <x v="0"/>
  </r>
  <r>
    <s v="Karlen McCaffrey"/>
    <s v="UK"/>
    <x v="0"/>
    <x v="0"/>
    <n v="7972"/>
    <x v="0"/>
  </r>
  <r>
    <s v="Jehu Rudeforth"/>
    <s v="Germany"/>
    <x v="1"/>
    <x v="0"/>
    <n v="7297"/>
    <x v="0"/>
  </r>
  <r>
    <s v="Mallorie Waber"/>
    <s v="China"/>
    <x v="1"/>
    <x v="0"/>
    <n v="13823"/>
    <x v="0"/>
  </r>
  <r>
    <s v="Gunar Cockshoot"/>
    <s v="Germany"/>
    <x v="2"/>
    <x v="1"/>
    <n v="12694"/>
    <x v="0"/>
  </r>
  <r>
    <s v="Brien Boise"/>
    <s v="China"/>
    <x v="2"/>
    <x v="2"/>
    <n v="6224"/>
    <x v="0"/>
  </r>
  <r>
    <s v="Beverie Moffet"/>
    <s v="USA"/>
    <x v="3"/>
    <x v="2"/>
    <n v="2218"/>
    <x v="0"/>
  </r>
  <r>
    <s v="Roddy Speechley"/>
    <s v="UK"/>
    <x v="0"/>
    <x v="3"/>
    <n v="6455"/>
    <x v="0"/>
  </r>
  <r>
    <s v="Roddy Speechley"/>
    <s v="USA"/>
    <x v="4"/>
    <x v="3"/>
    <n v="12070"/>
    <x v="0"/>
  </r>
  <r>
    <s v="Jan Morforth"/>
    <s v="Germany"/>
    <x v="4"/>
    <x v="3"/>
    <n v="5435"/>
    <x v="0"/>
  </r>
  <r>
    <s v="Marney O'Breem"/>
    <s v="China"/>
    <x v="5"/>
    <x v="3"/>
    <n v="4786"/>
    <x v="0"/>
  </r>
  <r>
    <s v="Jehu Rudeforth"/>
    <s v="Canada"/>
    <x v="1"/>
    <x v="3"/>
    <n v="7816"/>
    <x v="0"/>
  </r>
  <r>
    <s v="Mallorie Waber"/>
    <s v="UK"/>
    <x v="6"/>
    <x v="3"/>
    <n v="1519"/>
    <x v="0"/>
  </r>
  <r>
    <s v="Barr Faughny"/>
    <s v="China"/>
    <x v="0"/>
    <x v="4"/>
    <n v="10472"/>
    <x v="0"/>
  </r>
  <r>
    <s v="Karlen McCaffrey"/>
    <s v="Germany"/>
    <x v="0"/>
    <x v="4"/>
    <n v="9682"/>
    <x v="0"/>
  </r>
  <r>
    <s v="Rafaela Blaksland"/>
    <s v="UK"/>
    <x v="4"/>
    <x v="4"/>
    <n v="12833"/>
    <x v="0"/>
  </r>
  <r>
    <s v="Rafaela Blaksland"/>
    <s v="UK"/>
    <x v="1"/>
    <x v="4"/>
    <n v="5795"/>
    <x v="0"/>
  </r>
  <r>
    <s v="Van Tuxwell"/>
    <s v="USA"/>
    <x v="1"/>
    <x v="4"/>
    <n v="2010"/>
    <x v="0"/>
  </r>
  <r>
    <s v="Roddy Speechley"/>
    <s v="Switzerland"/>
    <x v="7"/>
    <x v="4"/>
    <n v="2597"/>
    <x v="0"/>
  </r>
  <r>
    <s v="Jehu Rudeforth"/>
    <s v="Germany"/>
    <x v="0"/>
    <x v="5"/>
    <n v="2600"/>
    <x v="0"/>
  </r>
  <r>
    <s v="Rafaela Blaksland"/>
    <s v="UK"/>
    <x v="0"/>
    <x v="5"/>
    <n v="11100"/>
    <x v="0"/>
  </r>
  <r>
    <s v="Oby Sorrel"/>
    <s v="Switzerland"/>
    <x v="0"/>
    <x v="5"/>
    <n v="6777"/>
    <x v="0"/>
  </r>
  <r>
    <s v="Van Tuxwell"/>
    <s v="Canada"/>
    <x v="4"/>
    <x v="5"/>
    <n v="4350"/>
    <x v="0"/>
  </r>
  <r>
    <s v="Jehu Rudeforth"/>
    <s v="USA"/>
    <x v="1"/>
    <x v="5"/>
    <n v="2161"/>
    <x v="0"/>
  </r>
  <r>
    <s v="Mallorie Waber"/>
    <s v="USA"/>
    <x v="2"/>
    <x v="5"/>
    <n v="11470"/>
    <x v="0"/>
  </r>
  <r>
    <s v="Jehu Rudeforth"/>
    <s v="UK"/>
    <x v="4"/>
    <x v="6"/>
    <n v="7805"/>
    <x v="0"/>
  </r>
  <r>
    <s v="Jan Morforth"/>
    <s v="China"/>
    <x v="1"/>
    <x v="6"/>
    <n v="7763"/>
    <x v="0"/>
  </r>
  <r>
    <s v="Jehu Rudeforth"/>
    <s v="UK"/>
    <x v="7"/>
    <x v="6"/>
    <n v="11071"/>
    <x v="0"/>
  </r>
  <r>
    <s v="Marney O'Breem"/>
    <s v="China"/>
    <x v="3"/>
    <x v="6"/>
    <n v="11682"/>
    <x v="0"/>
  </r>
  <r>
    <s v="Barr Faughny"/>
    <s v="Germany"/>
    <x v="3"/>
    <x v="6"/>
    <n v="4574"/>
    <x v="0"/>
  </r>
  <r>
    <s v="Mallorie Waber"/>
    <s v="Switzerland"/>
    <x v="0"/>
    <x v="7"/>
    <n v="13903"/>
    <x v="0"/>
  </r>
  <r>
    <s v="Jehu Rudeforth"/>
    <s v="Switzerland"/>
    <x v="0"/>
    <x v="7"/>
    <n v="12689"/>
    <x v="0"/>
  </r>
  <r>
    <s v="Karlen McCaffrey"/>
    <s v="Switzerland"/>
    <x v="4"/>
    <x v="7"/>
    <n v="12726"/>
    <x v="0"/>
  </r>
  <r>
    <s v="Beverie Moffet"/>
    <s v="USA"/>
    <x v="3"/>
    <x v="7"/>
    <n v="10112"/>
    <x v="0"/>
  </r>
  <r>
    <s v="Curtice Advani"/>
    <s v="USA"/>
    <x v="4"/>
    <x v="8"/>
    <n v="6012"/>
    <x v="0"/>
  </r>
  <r>
    <s v="Mallorie Waber"/>
    <s v="Canada"/>
    <x v="6"/>
    <x v="8"/>
    <n v="5996"/>
    <x v="0"/>
  </r>
  <r>
    <s v="Oby Sorrel"/>
    <s v="Canada"/>
    <x v="6"/>
    <x v="9"/>
    <n v="13562"/>
    <x v="0"/>
  </r>
  <r>
    <s v="Jan Morforth"/>
    <s v="Canada"/>
    <x v="5"/>
    <x v="10"/>
    <n v="10399"/>
    <x v="0"/>
  </r>
  <r>
    <s v="Jan Morforth"/>
    <s v="Switzerland"/>
    <x v="5"/>
    <x v="10"/>
    <n v="10355"/>
    <x v="0"/>
  </r>
  <r>
    <s v="Roddy Speechley"/>
    <s v="USA"/>
    <x v="7"/>
    <x v="10"/>
    <n v="3088"/>
    <x v="0"/>
  </r>
  <r>
    <s v="Gunar Cockshoot"/>
    <s v="USA"/>
    <x v="5"/>
    <x v="11"/>
    <n v="8860"/>
    <x v="0"/>
  </r>
  <r>
    <s v="Marney O'Breem"/>
    <s v="USA"/>
    <x v="3"/>
    <x v="11"/>
    <n v="10887"/>
    <x v="0"/>
  </r>
  <r>
    <s v="Marney O'Breem"/>
    <s v="Switzerland"/>
    <x v="4"/>
    <x v="12"/>
    <n v="3760"/>
    <x v="0"/>
  </r>
  <r>
    <s v="Barr Faughny"/>
    <s v="Switzerland"/>
    <x v="3"/>
    <x v="12"/>
    <n v="12338"/>
    <x v="0"/>
  </r>
  <r>
    <s v="Gunar Cockshoot"/>
    <s v="UK"/>
    <x v="7"/>
    <x v="13"/>
    <n v="6529"/>
    <x v="0"/>
  </r>
  <r>
    <s v="Karlen McCaffrey"/>
    <s v="China"/>
    <x v="2"/>
    <x v="13"/>
    <n v="8320"/>
    <x v="0"/>
  </r>
  <r>
    <s v="Mallorie Waber"/>
    <s v="UK"/>
    <x v="2"/>
    <x v="13"/>
    <n v="7620"/>
    <x v="0"/>
  </r>
  <r>
    <s v="Barr Faughny"/>
    <s v="Switzerland"/>
    <x v="0"/>
    <x v="14"/>
    <n v="1369"/>
    <x v="0"/>
  </r>
  <r>
    <s v="Mallorie Waber"/>
    <s v="Switzerland"/>
    <x v="4"/>
    <x v="14"/>
    <n v="2364"/>
    <x v="0"/>
  </r>
  <r>
    <s v="Oby Sorrel"/>
    <s v="USA"/>
    <x v="1"/>
    <x v="14"/>
    <n v="1421"/>
    <x v="0"/>
  </r>
  <r>
    <s v="Gigi Bohling"/>
    <s v="UK"/>
    <x v="7"/>
    <x v="14"/>
    <n v="1824"/>
    <x v="0"/>
  </r>
  <r>
    <s v="Oby Sorrel"/>
    <s v="UK"/>
    <x v="2"/>
    <x v="14"/>
    <n v="10269"/>
    <x v="0"/>
  </r>
  <r>
    <s v="Gunar Cockshoot"/>
    <s v="USA"/>
    <x v="6"/>
    <x v="14"/>
    <n v="7597"/>
    <x v="0"/>
  </r>
  <r>
    <s v="Oby Sorrel"/>
    <s v="UK"/>
    <x v="3"/>
    <x v="14"/>
    <n v="2810"/>
    <x v="0"/>
  </r>
  <r>
    <s v="Gigi Bohling"/>
    <s v="USA"/>
    <x v="3"/>
    <x v="14"/>
    <n v="7440"/>
    <x v="0"/>
  </r>
  <r>
    <s v="Karlen McCaffrey"/>
    <s v="Canada"/>
    <x v="3"/>
    <x v="14"/>
    <n v="7260"/>
    <x v="0"/>
  </r>
  <r>
    <s v="Rafaela Blaksland"/>
    <s v="UK"/>
    <x v="1"/>
    <x v="15"/>
    <n v="8624"/>
    <x v="0"/>
  </r>
  <r>
    <s v="Gigi Bohling"/>
    <s v="Germany"/>
    <x v="1"/>
    <x v="15"/>
    <n v="5437"/>
    <x v="0"/>
  </r>
  <r>
    <s v="Brien Boise"/>
    <s v="Switzerland"/>
    <x v="7"/>
    <x v="15"/>
    <n v="4910"/>
    <x v="0"/>
  </r>
  <r>
    <s v="Gunar Cockshoot"/>
    <s v="UK"/>
    <x v="6"/>
    <x v="15"/>
    <n v="4113"/>
    <x v="0"/>
  </r>
  <r>
    <s v="Marney O'Breem"/>
    <s v="Switzerland"/>
    <x v="6"/>
    <x v="15"/>
    <n v="13452"/>
    <x v="0"/>
  </r>
  <r>
    <s v="Rafaela Blaksland"/>
    <s v="Switzerland"/>
    <x v="1"/>
    <x v="16"/>
    <n v="13540"/>
    <x v="0"/>
  </r>
  <r>
    <s v="Brien Boise"/>
    <s v="Germany"/>
    <x v="7"/>
    <x v="16"/>
    <n v="9053"/>
    <x v="0"/>
  </r>
  <r>
    <s v="Brien Boise"/>
    <s v="UK"/>
    <x v="6"/>
    <x v="17"/>
    <n v="9456"/>
    <x v="0"/>
  </r>
  <r>
    <s v="Beverie Moffet"/>
    <s v="Germany"/>
    <x v="3"/>
    <x v="17"/>
    <n v="9138"/>
    <x v="0"/>
  </r>
  <r>
    <s v="Brien Boise"/>
    <s v="China"/>
    <x v="3"/>
    <x v="17"/>
    <n v="6853"/>
    <x v="0"/>
  </r>
  <r>
    <s v="Karlen McCaffrey"/>
    <s v="Canada"/>
    <x v="0"/>
    <x v="18"/>
    <n v="2781"/>
    <x v="0"/>
  </r>
  <r>
    <s v="Mallorie Waber"/>
    <s v="China"/>
    <x v="0"/>
    <x v="18"/>
    <n v="9217"/>
    <x v="0"/>
  </r>
  <r>
    <s v="Brien Boise"/>
    <s v="USA"/>
    <x v="4"/>
    <x v="18"/>
    <n v="6679"/>
    <x v="0"/>
  </r>
  <r>
    <s v="Van Tuxwell"/>
    <s v="USA"/>
    <x v="1"/>
    <x v="18"/>
    <n v="10174"/>
    <x v="0"/>
  </r>
  <r>
    <s v="Gigi Bohling"/>
    <s v="Switzerland"/>
    <x v="6"/>
    <x v="18"/>
    <n v="11108"/>
    <x v="0"/>
  </r>
  <r>
    <s v="Oby Sorrel"/>
    <s v="USA"/>
    <x v="6"/>
    <x v="18"/>
    <n v="4794"/>
    <x v="0"/>
  </r>
  <r>
    <s v="Karlen McCaffrey"/>
    <s v="Switzerland"/>
    <x v="3"/>
    <x v="18"/>
    <n v="3132"/>
    <x v="0"/>
  </r>
  <r>
    <s v="Oby Sorrel"/>
    <s v="UK"/>
    <x v="5"/>
    <x v="19"/>
    <n v="11752"/>
    <x v="0"/>
  </r>
  <r>
    <s v="Marney O'Breem"/>
    <s v="China"/>
    <x v="5"/>
    <x v="19"/>
    <n v="6444"/>
    <x v="0"/>
  </r>
  <r>
    <s v="Roddy Speechley"/>
    <s v="Canada"/>
    <x v="4"/>
    <x v="20"/>
    <n v="6648"/>
    <x v="0"/>
  </r>
  <r>
    <s v="Curtice Advani"/>
    <s v="China"/>
    <x v="5"/>
    <x v="20"/>
    <n v="13386"/>
    <x v="0"/>
  </r>
  <r>
    <s v="Gunar Cockshoot"/>
    <s v="USA"/>
    <x v="1"/>
    <x v="20"/>
    <n v="9254"/>
    <x v="0"/>
  </r>
  <r>
    <s v="Marney O'Breem"/>
    <s v="China"/>
    <x v="6"/>
    <x v="20"/>
    <n v="13000"/>
    <x v="0"/>
  </r>
  <r>
    <s v="Mallorie Waber"/>
    <s v="Switzerland"/>
    <x v="3"/>
    <x v="20"/>
    <n v="8302"/>
    <x v="0"/>
  </r>
  <r>
    <s v="Mallorie Waber"/>
    <s v="USA"/>
    <x v="3"/>
    <x v="20"/>
    <n v="12667"/>
    <x v="0"/>
  </r>
  <r>
    <s v="Barr Faughny"/>
    <s v="USA"/>
    <x v="0"/>
    <x v="21"/>
    <n v="8888"/>
    <x v="0"/>
  </r>
  <r>
    <s v="Jehu Rudeforth"/>
    <s v="Switzerland"/>
    <x v="0"/>
    <x v="21"/>
    <n v="2836"/>
    <x v="0"/>
  </r>
  <r>
    <s v="Beverie Moffet"/>
    <s v="UK"/>
    <x v="0"/>
    <x v="21"/>
    <n v="2335"/>
    <x v="0"/>
  </r>
  <r>
    <s v="Jan Morforth"/>
    <s v="Canada"/>
    <x v="1"/>
    <x v="21"/>
    <n v="10927"/>
    <x v="0"/>
  </r>
  <r>
    <s v="Marney O'Breem"/>
    <s v="UK"/>
    <x v="7"/>
    <x v="21"/>
    <n v="13111"/>
    <x v="0"/>
  </r>
  <r>
    <s v="Beverie Moffet"/>
    <s v="USA"/>
    <x v="7"/>
    <x v="21"/>
    <n v="13335"/>
    <x v="0"/>
  </r>
  <r>
    <s v="Beverie Moffet"/>
    <s v="China"/>
    <x v="4"/>
    <x v="22"/>
    <n v="1400"/>
    <x v="0"/>
  </r>
  <r>
    <s v="Mallorie Waber"/>
    <s v="Canada"/>
    <x v="4"/>
    <x v="22"/>
    <n v="8878"/>
    <x v="0"/>
  </r>
  <r>
    <s v="Rafaela Blaksland"/>
    <s v="Switzerland"/>
    <x v="2"/>
    <x v="22"/>
    <n v="3357"/>
    <x v="0"/>
  </r>
  <r>
    <s v="Gigi Bohling"/>
    <s v="USA"/>
    <x v="4"/>
    <x v="23"/>
    <n v="9167"/>
    <x v="0"/>
  </r>
  <r>
    <s v="Gunar Cockshoot"/>
    <s v="China"/>
    <x v="7"/>
    <x v="23"/>
    <n v="11645"/>
    <x v="0"/>
  </r>
  <r>
    <s v="Karlen McCaffrey"/>
    <s v="USA"/>
    <x v="7"/>
    <x v="23"/>
    <n v="8727"/>
    <x v="0"/>
  </r>
  <r>
    <s v="Mallorie Waber"/>
    <s v="UK"/>
    <x v="4"/>
    <x v="24"/>
    <n v="12815"/>
    <x v="0"/>
  </r>
  <r>
    <s v="Jan Morforth"/>
    <s v="China"/>
    <x v="4"/>
    <x v="24"/>
    <n v="8386"/>
    <x v="0"/>
  </r>
  <r>
    <s v="Oby Sorrel"/>
    <s v="China"/>
    <x v="5"/>
    <x v="24"/>
    <n v="2703"/>
    <x v="0"/>
  </r>
  <r>
    <s v="Mallorie Waber"/>
    <s v="Switzerland"/>
    <x v="1"/>
    <x v="24"/>
    <n v="1631"/>
    <x v="0"/>
  </r>
  <r>
    <s v="Gunar Cockshoot"/>
    <s v="Canada"/>
    <x v="7"/>
    <x v="24"/>
    <n v="13093"/>
    <x v="0"/>
  </r>
  <r>
    <s v="Karlen McCaffrey"/>
    <s v="Germany"/>
    <x v="3"/>
    <x v="24"/>
    <n v="2887"/>
    <x v="0"/>
  </r>
  <r>
    <s v="Van Tuxwell"/>
    <s v="China"/>
    <x v="4"/>
    <x v="25"/>
    <n v="2970"/>
    <x v="0"/>
  </r>
  <r>
    <s v="Van Tuxwell"/>
    <s v="UK"/>
    <x v="7"/>
    <x v="25"/>
    <n v="3862"/>
    <x v="0"/>
  </r>
  <r>
    <s v="Mallorie Waber"/>
    <s v="Switzerland"/>
    <x v="7"/>
    <x v="25"/>
    <n v="9957"/>
    <x v="0"/>
  </r>
  <r>
    <s v="Gunar Cockshoot"/>
    <s v="Germany"/>
    <x v="5"/>
    <x v="26"/>
    <n v="3829"/>
    <x v="0"/>
  </r>
  <r>
    <s v="Karlen McCaffrey"/>
    <s v="USA"/>
    <x v="1"/>
    <x v="26"/>
    <n v="7847"/>
    <x v="0"/>
  </r>
  <r>
    <s v="Curtice Advani"/>
    <s v="Germany"/>
    <x v="3"/>
    <x v="26"/>
    <n v="12830"/>
    <x v="0"/>
  </r>
  <r>
    <s v="Gunar Cockshoot"/>
    <s v="Switzerland"/>
    <x v="0"/>
    <x v="27"/>
    <n v="7831"/>
    <x v="0"/>
  </r>
  <r>
    <s v="Gigi Bohling"/>
    <s v="Germany"/>
    <x v="0"/>
    <x v="27"/>
    <n v="4652"/>
    <x v="0"/>
  </r>
  <r>
    <s v="Beverie Moffet"/>
    <s v="UK"/>
    <x v="1"/>
    <x v="27"/>
    <n v="7627"/>
    <x v="0"/>
  </r>
  <r>
    <s v="Jehu Rudeforth"/>
    <s v="China"/>
    <x v="2"/>
    <x v="27"/>
    <n v="3474"/>
    <x v="0"/>
  </r>
  <r>
    <s v="Roddy Speechley"/>
    <s v="USA"/>
    <x v="4"/>
    <x v="28"/>
    <n v="8144"/>
    <x v="0"/>
  </r>
  <r>
    <s v="Beverie Moffet"/>
    <s v="Germany"/>
    <x v="7"/>
    <x v="28"/>
    <n v="8762"/>
    <x v="0"/>
  </r>
  <r>
    <s v="Oby Sorrel"/>
    <s v="Switzerland"/>
    <x v="3"/>
    <x v="28"/>
    <n v="1465"/>
    <x v="0"/>
  </r>
  <r>
    <s v="Oby Sorrel"/>
    <s v="UK"/>
    <x v="5"/>
    <x v="29"/>
    <n v="6131"/>
    <x v="0"/>
  </r>
  <r>
    <s v="Brien Boise"/>
    <s v="Germany"/>
    <x v="5"/>
    <x v="29"/>
    <n v="9880"/>
    <x v="0"/>
  </r>
  <r>
    <s v="Rafaela Blaksland"/>
    <s v="Germany"/>
    <x v="6"/>
    <x v="29"/>
    <n v="9728"/>
    <x v="0"/>
  </r>
  <r>
    <s v="Oby Sorrel"/>
    <s v="USA"/>
    <x v="6"/>
    <x v="29"/>
    <n v="4058"/>
    <x v="0"/>
  </r>
  <r>
    <s v="Roddy Speechley"/>
    <s v="China"/>
    <x v="6"/>
    <x v="30"/>
    <n v="10802"/>
    <x v="0"/>
  </r>
  <r>
    <s v="Curtice Advani"/>
    <s v="USA"/>
    <x v="3"/>
    <x v="30"/>
    <n v="2008"/>
    <x v="0"/>
  </r>
  <r>
    <s v="Van Tuxwell"/>
    <s v="Switzerland"/>
    <x v="3"/>
    <x v="30"/>
    <n v="10440"/>
    <x v="0"/>
  </r>
  <r>
    <s v="Karlen McCaffrey"/>
    <s v="USA"/>
    <x v="4"/>
    <x v="31"/>
    <n v="8049"/>
    <x v="0"/>
  </r>
  <r>
    <s v="Karlen McCaffrey"/>
    <s v="UK"/>
    <x v="5"/>
    <x v="31"/>
    <n v="5906"/>
    <x v="0"/>
  </r>
  <r>
    <s v="Barr Faughny"/>
    <s v="USA"/>
    <x v="7"/>
    <x v="31"/>
    <n v="10509"/>
    <x v="0"/>
  </r>
  <r>
    <s v="Marney O'Breem"/>
    <s v="China"/>
    <x v="5"/>
    <x v="32"/>
    <n v="10492"/>
    <x v="0"/>
  </r>
  <r>
    <s v="Mallorie Waber"/>
    <s v="Germany"/>
    <x v="2"/>
    <x v="32"/>
    <n v="11126"/>
    <x v="0"/>
  </r>
  <r>
    <s v="Jehu Rudeforth"/>
    <s v="UK"/>
    <x v="6"/>
    <x v="32"/>
    <n v="13791"/>
    <x v="0"/>
  </r>
  <r>
    <s v="Barr Faughny"/>
    <s v="UK"/>
    <x v="0"/>
    <x v="33"/>
    <n v="2117"/>
    <x v="0"/>
  </r>
  <r>
    <s v="Marney O'Breem"/>
    <s v="Switzerland"/>
    <x v="0"/>
    <x v="33"/>
    <n v="8031"/>
    <x v="0"/>
  </r>
  <r>
    <s v="Gigi Bohling"/>
    <s v="Germany"/>
    <x v="6"/>
    <x v="33"/>
    <n v="13912"/>
    <x v="0"/>
  </r>
  <r>
    <s v="Curtice Advani"/>
    <s v="USA"/>
    <x v="6"/>
    <x v="33"/>
    <n v="12974"/>
    <x v="0"/>
  </r>
  <r>
    <s v="Roddy Speechley"/>
    <s v="Switzerland"/>
    <x v="0"/>
    <x v="34"/>
    <n v="13486"/>
    <x v="0"/>
  </r>
  <r>
    <s v="Jan Morforth"/>
    <s v="Germany"/>
    <x v="5"/>
    <x v="34"/>
    <n v="12309"/>
    <x v="0"/>
  </r>
  <r>
    <s v="Jehu Rudeforth"/>
    <s v="China"/>
    <x v="1"/>
    <x v="34"/>
    <n v="10110"/>
    <x v="0"/>
  </r>
  <r>
    <s v="Roddy Speechley"/>
    <s v="Germany"/>
    <x v="7"/>
    <x v="34"/>
    <n v="9014"/>
    <x v="0"/>
  </r>
  <r>
    <s v="Roddy Speechley"/>
    <s v="UK"/>
    <x v="7"/>
    <x v="34"/>
    <n v="11082"/>
    <x v="0"/>
  </r>
  <r>
    <s v="Curtice Advani"/>
    <s v="China"/>
    <x v="7"/>
    <x v="34"/>
    <n v="6334"/>
    <x v="0"/>
  </r>
  <r>
    <s v="Gigi Bohling"/>
    <s v="Switzerland"/>
    <x v="2"/>
    <x v="34"/>
    <n v="13996"/>
    <x v="0"/>
  </r>
  <r>
    <s v="Gigi Bohling"/>
    <s v="Germany"/>
    <x v="6"/>
    <x v="34"/>
    <n v="4675"/>
    <x v="0"/>
  </r>
  <r>
    <s v="Roddy Speechley"/>
    <s v="USA"/>
    <x v="4"/>
    <x v="35"/>
    <n v="13775"/>
    <x v="0"/>
  </r>
  <r>
    <s v="Rafaela Blaksland"/>
    <s v="Switzerland"/>
    <x v="5"/>
    <x v="35"/>
    <n v="5803"/>
    <x v="0"/>
  </r>
  <r>
    <s v="Van Tuxwell"/>
    <s v="Canada"/>
    <x v="1"/>
    <x v="35"/>
    <n v="1637"/>
    <x v="0"/>
  </r>
  <r>
    <s v="Rafaela Blaksland"/>
    <s v="Germany"/>
    <x v="2"/>
    <x v="35"/>
    <n v="1865"/>
    <x v="0"/>
  </r>
  <r>
    <s v="Gigi Bohling"/>
    <s v="China"/>
    <x v="2"/>
    <x v="35"/>
    <n v="3711"/>
    <x v="0"/>
  </r>
  <r>
    <s v="Gunar Cockshoot"/>
    <s v="Switzerland"/>
    <x v="6"/>
    <x v="35"/>
    <n v="13128"/>
    <x v="0"/>
  </r>
  <r>
    <s v="Van Tuxwell"/>
    <s v="Germany"/>
    <x v="4"/>
    <x v="36"/>
    <n v="1157"/>
    <x v="0"/>
  </r>
  <r>
    <s v="Curtice Advani"/>
    <s v="Canada"/>
    <x v="6"/>
    <x v="36"/>
    <n v="12766"/>
    <x v="0"/>
  </r>
  <r>
    <s v="Roddy Speechley"/>
    <s v="China"/>
    <x v="0"/>
    <x v="37"/>
    <n v="4057"/>
    <x v="0"/>
  </r>
  <r>
    <s v="Barr Faughny"/>
    <s v="Germany"/>
    <x v="4"/>
    <x v="37"/>
    <n v="7518"/>
    <x v="0"/>
  </r>
  <r>
    <s v="Curtice Advani"/>
    <s v="Germany"/>
    <x v="1"/>
    <x v="37"/>
    <n v="1531"/>
    <x v="0"/>
  </r>
  <r>
    <s v="Oby Sorrel"/>
    <s v="Germany"/>
    <x v="1"/>
    <x v="37"/>
    <n v="7400"/>
    <x v="0"/>
  </r>
  <r>
    <s v="Jehu Rudeforth"/>
    <s v="UK"/>
    <x v="1"/>
    <x v="37"/>
    <n v="1720"/>
    <x v="0"/>
  </r>
  <r>
    <s v="Rafaela Blaksland"/>
    <s v="Switzerland"/>
    <x v="6"/>
    <x v="37"/>
    <n v="13636"/>
    <x v="0"/>
  </r>
  <r>
    <s v="Roddy Speechley"/>
    <s v="China"/>
    <x v="3"/>
    <x v="37"/>
    <n v="4129"/>
    <x v="0"/>
  </r>
  <r>
    <s v="Jan Morforth"/>
    <s v="Switzerland"/>
    <x v="0"/>
    <x v="38"/>
    <n v="11480"/>
    <x v="0"/>
  </r>
  <r>
    <s v="Rafaela Blaksland"/>
    <s v="Switzerland"/>
    <x v="4"/>
    <x v="38"/>
    <n v="12023"/>
    <x v="0"/>
  </r>
  <r>
    <s v="Rafaela Blaksland"/>
    <s v="USA"/>
    <x v="4"/>
    <x v="38"/>
    <n v="10552"/>
    <x v="0"/>
  </r>
  <r>
    <s v="Beverie Moffet"/>
    <s v="China"/>
    <x v="5"/>
    <x v="38"/>
    <n v="10607"/>
    <x v="0"/>
  </r>
  <r>
    <s v="Beverie Moffet"/>
    <s v="China"/>
    <x v="2"/>
    <x v="38"/>
    <n v="9584"/>
    <x v="0"/>
  </r>
  <r>
    <s v="Mallorie Waber"/>
    <s v="Switzerland"/>
    <x v="2"/>
    <x v="38"/>
    <n v="9302"/>
    <x v="0"/>
  </r>
  <r>
    <s v="Gigi Bohling"/>
    <s v="Germany"/>
    <x v="6"/>
    <x v="38"/>
    <n v="5925"/>
    <x v="0"/>
  </r>
  <r>
    <s v="Van Tuxwell"/>
    <s v="China"/>
    <x v="4"/>
    <x v="39"/>
    <n v="1679"/>
    <x v="0"/>
  </r>
  <r>
    <s v="Van Tuxwell"/>
    <s v="Switzerland"/>
    <x v="1"/>
    <x v="39"/>
    <n v="1618"/>
    <x v="0"/>
  </r>
  <r>
    <s v="Mallorie Waber"/>
    <s v="USA"/>
    <x v="7"/>
    <x v="39"/>
    <n v="8925"/>
    <x v="0"/>
  </r>
  <r>
    <s v="Barr Faughny"/>
    <s v="Switzerland"/>
    <x v="6"/>
    <x v="39"/>
    <n v="5852"/>
    <x v="0"/>
  </r>
  <r>
    <s v="Gunar Cockshoot"/>
    <s v="UK"/>
    <x v="1"/>
    <x v="40"/>
    <n v="13078"/>
    <x v="0"/>
  </r>
  <r>
    <s v="Brien Boise"/>
    <s v="Canada"/>
    <x v="1"/>
    <x v="40"/>
    <n v="4231"/>
    <x v="0"/>
  </r>
  <r>
    <s v="Beverie Moffet"/>
    <s v="UK"/>
    <x v="2"/>
    <x v="40"/>
    <n v="4531"/>
    <x v="0"/>
  </r>
  <r>
    <s v="Beverie Moffet"/>
    <s v="Switzerland"/>
    <x v="6"/>
    <x v="40"/>
    <n v="2247"/>
    <x v="0"/>
  </r>
  <r>
    <s v="Mallorie Waber"/>
    <s v="UK"/>
    <x v="4"/>
    <x v="41"/>
    <n v="4300"/>
    <x v="0"/>
  </r>
  <r>
    <s v="Marney O'Breem"/>
    <s v="Canada"/>
    <x v="1"/>
    <x v="41"/>
    <n v="11304"/>
    <x v="0"/>
  </r>
  <r>
    <s v="Van Tuxwell"/>
    <s v="USA"/>
    <x v="6"/>
    <x v="41"/>
    <n v="11396"/>
    <x v="0"/>
  </r>
  <r>
    <s v="Oby Sorrel"/>
    <s v="China"/>
    <x v="3"/>
    <x v="41"/>
    <n v="9489"/>
    <x v="0"/>
  </r>
  <r>
    <s v="Brien Boise"/>
    <s v="Germany"/>
    <x v="5"/>
    <x v="42"/>
    <n v="2574"/>
    <x v="0"/>
  </r>
  <r>
    <s v="Jan Morforth"/>
    <s v="USA"/>
    <x v="1"/>
    <x v="42"/>
    <n v="10632"/>
    <x v="0"/>
  </r>
  <r>
    <s v="Roddy Speechley"/>
    <s v="China"/>
    <x v="2"/>
    <x v="42"/>
    <n v="9798"/>
    <x v="0"/>
  </r>
  <r>
    <s v="Gigi Bohling"/>
    <s v="UK"/>
    <x v="6"/>
    <x v="42"/>
    <n v="10098"/>
    <x v="0"/>
  </r>
  <r>
    <s v="Jan Morforth"/>
    <s v="China"/>
    <x v="0"/>
    <x v="43"/>
    <n v="4863"/>
    <x v="0"/>
  </r>
  <r>
    <s v="Jehu Rudeforth"/>
    <s v="Switzerland"/>
    <x v="0"/>
    <x v="43"/>
    <n v="3867"/>
    <x v="0"/>
  </r>
  <r>
    <s v="Jan Morforth"/>
    <s v="Switzerland"/>
    <x v="4"/>
    <x v="43"/>
    <n v="9785"/>
    <x v="0"/>
  </r>
  <r>
    <s v="Gunar Cockshoot"/>
    <s v="Germany"/>
    <x v="1"/>
    <x v="43"/>
    <n v="4955"/>
    <x v="0"/>
  </r>
  <r>
    <s v="Curtice Advani"/>
    <s v="Canada"/>
    <x v="1"/>
    <x v="43"/>
    <n v="11466"/>
    <x v="0"/>
  </r>
  <r>
    <s v="Jan Morforth"/>
    <s v="USA"/>
    <x v="6"/>
    <x v="43"/>
    <n v="1310"/>
    <x v="0"/>
  </r>
  <r>
    <s v="Barr Faughny"/>
    <s v="China"/>
    <x v="3"/>
    <x v="43"/>
    <n v="8213"/>
    <x v="0"/>
  </r>
  <r>
    <s v="Gunar Cockshoot"/>
    <s v="Germany"/>
    <x v="5"/>
    <x v="44"/>
    <n v="8787"/>
    <x v="0"/>
  </r>
  <r>
    <s v="Roddy Speechley"/>
    <s v="Germany"/>
    <x v="5"/>
    <x v="44"/>
    <n v="2220"/>
    <x v="0"/>
  </r>
  <r>
    <s v="Mallorie Waber"/>
    <s v="China"/>
    <x v="1"/>
    <x v="44"/>
    <n v="9351"/>
    <x v="0"/>
  </r>
  <r>
    <s v="Jehu Rudeforth"/>
    <s v="Germany"/>
    <x v="1"/>
    <x v="44"/>
    <n v="3112"/>
    <x v="0"/>
  </r>
  <r>
    <s v="Karlen McCaffrey"/>
    <s v="USA"/>
    <x v="4"/>
    <x v="45"/>
    <n v="6398"/>
    <x v="0"/>
  </r>
  <r>
    <s v="Barr Faughny"/>
    <s v="Switzerland"/>
    <x v="4"/>
    <x v="45"/>
    <n v="4971"/>
    <x v="0"/>
  </r>
  <r>
    <s v="Jehu Rudeforth"/>
    <s v="Canada"/>
    <x v="5"/>
    <x v="45"/>
    <n v="9276"/>
    <x v="0"/>
  </r>
  <r>
    <s v="Beverie Moffet"/>
    <s v="Canada"/>
    <x v="1"/>
    <x v="45"/>
    <n v="4009"/>
    <x v="0"/>
  </r>
  <r>
    <s v="Beverie Moffet"/>
    <s v="China"/>
    <x v="0"/>
    <x v="46"/>
    <n v="4086"/>
    <x v="0"/>
  </r>
  <r>
    <s v="Barr Faughny"/>
    <s v="Canada"/>
    <x v="1"/>
    <x v="46"/>
    <n v="6241"/>
    <x v="0"/>
  </r>
  <r>
    <s v="Roddy Speechley"/>
    <s v="Germany"/>
    <x v="6"/>
    <x v="46"/>
    <n v="8805"/>
    <x v="0"/>
  </r>
  <r>
    <s v="Karlen McCaffrey"/>
    <s v="China"/>
    <x v="6"/>
    <x v="46"/>
    <n v="9621"/>
    <x v="0"/>
  </r>
  <r>
    <s v="Roddy Speechley"/>
    <s v="Canada"/>
    <x v="3"/>
    <x v="46"/>
    <n v="8282"/>
    <x v="0"/>
  </r>
  <r>
    <s v="Karlen McCaffrey"/>
    <s v="USA"/>
    <x v="1"/>
    <x v="47"/>
    <n v="1516"/>
    <x v="0"/>
  </r>
  <r>
    <s v="Gunar Cockshoot"/>
    <s v="USA"/>
    <x v="6"/>
    <x v="47"/>
    <n v="12805"/>
    <x v="0"/>
  </r>
  <r>
    <s v="Gigi Bohling"/>
    <s v="Switzerland"/>
    <x v="0"/>
    <x v="48"/>
    <n v="8109"/>
    <x v="0"/>
  </r>
  <r>
    <s v="Oby Sorrel"/>
    <s v="China"/>
    <x v="0"/>
    <x v="48"/>
    <n v="2392"/>
    <x v="0"/>
  </r>
  <r>
    <s v="Rafaela Blaksland"/>
    <s v="Germany"/>
    <x v="1"/>
    <x v="48"/>
    <n v="4938"/>
    <x v="0"/>
  </r>
  <r>
    <s v="Brien Boise"/>
    <s v="Canada"/>
    <x v="1"/>
    <x v="48"/>
    <n v="3125"/>
    <x v="0"/>
  </r>
  <r>
    <s v="Gunar Cockshoot"/>
    <s v="USA"/>
    <x v="1"/>
    <x v="48"/>
    <n v="7513"/>
    <x v="0"/>
  </r>
  <r>
    <s v="Karlen McCaffrey"/>
    <s v="Canada"/>
    <x v="7"/>
    <x v="48"/>
    <n v="9785"/>
    <x v="0"/>
  </r>
  <r>
    <s v="Curtice Advani"/>
    <s v="Canada"/>
    <x v="7"/>
    <x v="48"/>
    <n v="10024"/>
    <x v="0"/>
  </r>
  <r>
    <s v="Roddy Speechley"/>
    <s v="Canada"/>
    <x v="6"/>
    <x v="48"/>
    <n v="1451"/>
    <x v="0"/>
  </r>
  <r>
    <s v="Mallorie Waber"/>
    <s v="Germany"/>
    <x v="3"/>
    <x v="48"/>
    <n v="1633"/>
    <x v="0"/>
  </r>
  <r>
    <s v="Karlen McCaffrey"/>
    <s v="Germany"/>
    <x v="1"/>
    <x v="49"/>
    <n v="8722"/>
    <x v="0"/>
  </r>
  <r>
    <s v="Mallorie Waber"/>
    <s v="Canada"/>
    <x v="0"/>
    <x v="50"/>
    <n v="13358"/>
    <x v="0"/>
  </r>
  <r>
    <s v="Jehu Rudeforth"/>
    <s v="UK"/>
    <x v="7"/>
    <x v="50"/>
    <n v="1180"/>
    <x v="0"/>
  </r>
  <r>
    <s v="Jehu Rudeforth"/>
    <s v="Switzerland"/>
    <x v="2"/>
    <x v="50"/>
    <n v="3973"/>
    <x v="0"/>
  </r>
  <r>
    <s v="Oby Sorrel"/>
    <s v="USA"/>
    <x v="2"/>
    <x v="50"/>
    <n v="10762"/>
    <x v="0"/>
  </r>
  <r>
    <s v="Rafaela Blaksland"/>
    <s v="Canada"/>
    <x v="4"/>
    <x v="51"/>
    <n v="2207"/>
    <x v="0"/>
  </r>
  <r>
    <s v="Van Tuxwell"/>
    <s v="UK"/>
    <x v="5"/>
    <x v="51"/>
    <n v="6279"/>
    <x v="0"/>
  </r>
  <r>
    <s v="Karlen McCaffrey"/>
    <s v="Germany"/>
    <x v="5"/>
    <x v="51"/>
    <n v="10701"/>
    <x v="0"/>
  </r>
  <r>
    <s v="Karlen McCaffrey"/>
    <s v="USA"/>
    <x v="1"/>
    <x v="51"/>
    <n v="2073"/>
    <x v="0"/>
  </r>
  <r>
    <s v="Gigi Bohling"/>
    <s v="Germany"/>
    <x v="0"/>
    <x v="52"/>
    <n v="8366"/>
    <x v="0"/>
  </r>
  <r>
    <s v="Mallorie Waber"/>
    <s v="UK"/>
    <x v="1"/>
    <x v="52"/>
    <n v="10058"/>
    <x v="0"/>
  </r>
  <r>
    <s v="Marney O'Breem"/>
    <s v="UK"/>
    <x v="1"/>
    <x v="52"/>
    <n v="7459"/>
    <x v="0"/>
  </r>
  <r>
    <s v="Curtice Advani"/>
    <s v="UK"/>
    <x v="7"/>
    <x v="52"/>
    <n v="12953"/>
    <x v="0"/>
  </r>
  <r>
    <s v="Van Tuxwell"/>
    <s v="China"/>
    <x v="2"/>
    <x v="52"/>
    <n v="1235"/>
    <x v="0"/>
  </r>
  <r>
    <s v="Brien Boise"/>
    <s v="China"/>
    <x v="0"/>
    <x v="53"/>
    <n v="1128"/>
    <x v="0"/>
  </r>
  <r>
    <s v="Mallorie Waber"/>
    <s v="USA"/>
    <x v="1"/>
    <x v="53"/>
    <n v="3222"/>
    <x v="0"/>
  </r>
  <r>
    <s v="Gigi Bohling"/>
    <s v="USA"/>
    <x v="7"/>
    <x v="53"/>
    <n v="9075"/>
    <x v="0"/>
  </r>
  <r>
    <s v="Gunar Cockshoot"/>
    <s v="Canada"/>
    <x v="1"/>
    <x v="54"/>
    <n v="3627"/>
    <x v="0"/>
  </r>
  <r>
    <s v="Gigi Bohling"/>
    <s v="Canada"/>
    <x v="2"/>
    <x v="54"/>
    <n v="6431"/>
    <x v="0"/>
  </r>
  <r>
    <s v="Barr Faughny"/>
    <s v="Germany"/>
    <x v="0"/>
    <x v="55"/>
    <n v="5153"/>
    <x v="0"/>
  </r>
  <r>
    <s v="Gigi Bohling"/>
    <s v="Canada"/>
    <x v="1"/>
    <x v="55"/>
    <n v="3759"/>
    <x v="0"/>
  </r>
  <r>
    <s v="Gigi Bohling"/>
    <s v="Germany"/>
    <x v="1"/>
    <x v="55"/>
    <n v="10578"/>
    <x v="0"/>
  </r>
  <r>
    <s v="Oby Sorrel"/>
    <s v="UK"/>
    <x v="1"/>
    <x v="55"/>
    <n v="12622"/>
    <x v="0"/>
  </r>
  <r>
    <s v="Gigi Bohling"/>
    <s v="Switzerland"/>
    <x v="4"/>
    <x v="56"/>
    <n v="10074"/>
    <x v="0"/>
  </r>
  <r>
    <s v="Curtice Advani"/>
    <s v="Germany"/>
    <x v="4"/>
    <x v="56"/>
    <n v="3274"/>
    <x v="0"/>
  </r>
  <r>
    <s v="Curtice Advani"/>
    <s v="Switzerland"/>
    <x v="1"/>
    <x v="56"/>
    <n v="13157"/>
    <x v="0"/>
  </r>
  <r>
    <s v="Rafaela Blaksland"/>
    <s v="Switzerland"/>
    <x v="7"/>
    <x v="56"/>
    <n v="10767"/>
    <x v="0"/>
  </r>
  <r>
    <s v="Gigi Bohling"/>
    <s v="USA"/>
    <x v="2"/>
    <x v="56"/>
    <n v="6721"/>
    <x v="0"/>
  </r>
  <r>
    <s v="Jehu Rudeforth"/>
    <s v="USA"/>
    <x v="4"/>
    <x v="57"/>
    <n v="6885"/>
    <x v="0"/>
  </r>
  <r>
    <s v="Roddy Speechley"/>
    <s v="Germany"/>
    <x v="5"/>
    <x v="57"/>
    <n v="8091"/>
    <x v="0"/>
  </r>
  <r>
    <s v="Karlen McCaffrey"/>
    <s v="UK"/>
    <x v="2"/>
    <x v="57"/>
    <n v="6385"/>
    <x v="0"/>
  </r>
  <r>
    <s v="Van Tuxwell"/>
    <s v="China"/>
    <x v="6"/>
    <x v="57"/>
    <n v="6707"/>
    <x v="0"/>
  </r>
  <r>
    <s v="Jan Morforth"/>
    <s v="China"/>
    <x v="4"/>
    <x v="58"/>
    <n v="2112"/>
    <x v="0"/>
  </r>
  <r>
    <s v="Gigi Bohling"/>
    <s v="UK"/>
    <x v="7"/>
    <x v="58"/>
    <n v="1798"/>
    <x v="0"/>
  </r>
  <r>
    <s v="Curtice Advani"/>
    <s v="UK"/>
    <x v="0"/>
    <x v="59"/>
    <n v="3296"/>
    <x v="0"/>
  </r>
  <r>
    <s v="Oby Sorrel"/>
    <s v="Canada"/>
    <x v="4"/>
    <x v="59"/>
    <n v="2439"/>
    <x v="0"/>
  </r>
  <r>
    <s v="Karlen McCaffrey"/>
    <s v="USA"/>
    <x v="4"/>
    <x v="59"/>
    <n v="6520"/>
    <x v="0"/>
  </r>
  <r>
    <s v="Karlen McCaffrey"/>
    <s v="Canada"/>
    <x v="4"/>
    <x v="59"/>
    <n v="10370"/>
    <x v="0"/>
  </r>
  <r>
    <s v="Karlen McCaffrey"/>
    <s v="Switzerland"/>
    <x v="2"/>
    <x v="59"/>
    <n v="7577"/>
    <x v="0"/>
  </r>
  <r>
    <s v="Roddy Speechley"/>
    <s v="Switzerland"/>
    <x v="6"/>
    <x v="59"/>
    <n v="2948"/>
    <x v="0"/>
  </r>
  <r>
    <s v="Mallorie Waber"/>
    <s v="Germany"/>
    <x v="6"/>
    <x v="59"/>
    <n v="8339"/>
    <x v="0"/>
  </r>
  <r>
    <s v="Van Tuxwell"/>
    <s v="China"/>
    <x v="6"/>
    <x v="59"/>
    <n v="12340"/>
    <x v="0"/>
  </r>
  <r>
    <s v="Van Tuxwell"/>
    <s v="Germany"/>
    <x v="5"/>
    <x v="60"/>
    <n v="8503"/>
    <x v="0"/>
  </r>
  <r>
    <s v="Van Tuxwell"/>
    <s v="Germany"/>
    <x v="5"/>
    <x v="60"/>
    <n v="9110"/>
    <x v="0"/>
  </r>
  <r>
    <s v="Van Tuxwell"/>
    <s v="Canada"/>
    <x v="3"/>
    <x v="60"/>
    <n v="8588"/>
    <x v="0"/>
  </r>
  <r>
    <s v="Oby Sorrel"/>
    <s v="UK"/>
    <x v="4"/>
    <x v="61"/>
    <n v="2955"/>
    <x v="0"/>
  </r>
  <r>
    <s v="Marney O'Breem"/>
    <s v="Canada"/>
    <x v="7"/>
    <x v="61"/>
    <n v="6403"/>
    <x v="0"/>
  </r>
  <r>
    <s v="Jan Morforth"/>
    <s v="Germany"/>
    <x v="2"/>
    <x v="61"/>
    <n v="5031"/>
    <x v="0"/>
  </r>
  <r>
    <s v="Beverie Moffet"/>
    <s v="USA"/>
    <x v="0"/>
    <x v="62"/>
    <n v="1025"/>
    <x v="0"/>
  </r>
  <r>
    <s v="Mallorie Waber"/>
    <s v="UK"/>
    <x v="5"/>
    <x v="62"/>
    <n v="3193"/>
    <x v="0"/>
  </r>
  <r>
    <s v="Jan Morforth"/>
    <s v="Canada"/>
    <x v="7"/>
    <x v="62"/>
    <n v="11405"/>
    <x v="0"/>
  </r>
  <r>
    <s v="Oby Sorrel"/>
    <s v="Canada"/>
    <x v="0"/>
    <x v="63"/>
    <n v="9831"/>
    <x v="0"/>
  </r>
  <r>
    <s v="Jehu Rudeforth"/>
    <s v="UK"/>
    <x v="5"/>
    <x v="63"/>
    <n v="11032"/>
    <x v="0"/>
  </r>
  <r>
    <s v="Karlen McCaffrey"/>
    <s v="Germany"/>
    <x v="5"/>
    <x v="63"/>
    <n v="4959"/>
    <x v="0"/>
  </r>
  <r>
    <s v="Jehu Rudeforth"/>
    <s v="UK"/>
    <x v="7"/>
    <x v="64"/>
    <n v="3044"/>
    <x v="0"/>
  </r>
  <r>
    <s v="Karlen McCaffrey"/>
    <s v="Switzerland"/>
    <x v="2"/>
    <x v="64"/>
    <n v="4934"/>
    <x v="0"/>
  </r>
  <r>
    <s v="Mallorie Waber"/>
    <s v="UK"/>
    <x v="3"/>
    <x v="64"/>
    <n v="1168"/>
    <x v="0"/>
  </r>
  <r>
    <s v="Barr Faughny"/>
    <s v="UK"/>
    <x v="1"/>
    <x v="65"/>
    <n v="11408"/>
    <x v="0"/>
  </r>
  <r>
    <s v="Brien Boise"/>
    <s v="Canada"/>
    <x v="7"/>
    <x v="65"/>
    <n v="3444"/>
    <x v="0"/>
  </r>
  <r>
    <s v="Brien Boise"/>
    <s v="UK"/>
    <x v="6"/>
    <x v="65"/>
    <n v="9448"/>
    <x v="0"/>
  </r>
  <r>
    <s v="Marney O'Breem"/>
    <s v="UK"/>
    <x v="6"/>
    <x v="65"/>
    <n v="4399"/>
    <x v="0"/>
  </r>
  <r>
    <s v="Curtice Advani"/>
    <s v="UK"/>
    <x v="3"/>
    <x v="65"/>
    <n v="1195"/>
    <x v="0"/>
  </r>
  <r>
    <s v="Marney O'Breem"/>
    <s v="China"/>
    <x v="4"/>
    <x v="66"/>
    <n v="8213"/>
    <x v="0"/>
  </r>
  <r>
    <s v="Brien Boise"/>
    <s v="China"/>
    <x v="4"/>
    <x v="66"/>
    <n v="11302"/>
    <x v="0"/>
  </r>
  <r>
    <s v="Beverie Moffet"/>
    <s v="Switzerland"/>
    <x v="7"/>
    <x v="66"/>
    <n v="2818"/>
    <x v="0"/>
  </r>
  <r>
    <s v="Brien Boise"/>
    <s v="Canada"/>
    <x v="3"/>
    <x v="66"/>
    <n v="6538"/>
    <x v="0"/>
  </r>
  <r>
    <s v="Gigi Bohling"/>
    <s v="UK"/>
    <x v="0"/>
    <x v="67"/>
    <n v="3180"/>
    <x v="0"/>
  </r>
  <r>
    <s v="Jehu Rudeforth"/>
    <s v="UK"/>
    <x v="5"/>
    <x v="67"/>
    <n v="8735"/>
    <x v="0"/>
  </r>
  <r>
    <s v="Gunar Cockshoot"/>
    <s v="China"/>
    <x v="1"/>
    <x v="67"/>
    <n v="6474"/>
    <x v="0"/>
  </r>
  <r>
    <s v="Curtice Advani"/>
    <s v="Canada"/>
    <x v="1"/>
    <x v="67"/>
    <n v="7136"/>
    <x v="0"/>
  </r>
  <r>
    <s v="Marney O'Breem"/>
    <s v="USA"/>
    <x v="7"/>
    <x v="67"/>
    <n v="13830"/>
    <x v="0"/>
  </r>
  <r>
    <s v="Brien Boise"/>
    <s v="USA"/>
    <x v="3"/>
    <x v="68"/>
    <n v="5185"/>
    <x v="0"/>
  </r>
  <r>
    <s v="Jehu Rudeforth"/>
    <s v="Canada"/>
    <x v="5"/>
    <x v="69"/>
    <n v="6343"/>
    <x v="0"/>
  </r>
  <r>
    <s v="Jan Morforth"/>
    <s v="Germany"/>
    <x v="7"/>
    <x v="69"/>
    <n v="5462"/>
    <x v="0"/>
  </r>
  <r>
    <s v="Oby Sorrel"/>
    <s v="China"/>
    <x v="2"/>
    <x v="69"/>
    <n v="10643"/>
    <x v="0"/>
  </r>
  <r>
    <s v="Beverie Moffet"/>
    <s v="USA"/>
    <x v="6"/>
    <x v="69"/>
    <n v="8520"/>
    <x v="0"/>
  </r>
  <r>
    <s v="Oby Sorrel"/>
    <s v="Canada"/>
    <x v="0"/>
    <x v="70"/>
    <n v="10599"/>
    <x v="0"/>
  </r>
  <r>
    <s v="Gigi Bohling"/>
    <s v="Germany"/>
    <x v="4"/>
    <x v="70"/>
    <n v="5078"/>
    <x v="0"/>
  </r>
  <r>
    <s v="Curtice Advani"/>
    <s v="UK"/>
    <x v="4"/>
    <x v="70"/>
    <n v="10598"/>
    <x v="0"/>
  </r>
  <r>
    <s v="Gigi Bohling"/>
    <s v="Switzerland"/>
    <x v="2"/>
    <x v="70"/>
    <n v="1745"/>
    <x v="0"/>
  </r>
  <r>
    <s v="Curtice Advani"/>
    <s v="Canada"/>
    <x v="6"/>
    <x v="70"/>
    <n v="13593"/>
    <x v="0"/>
  </r>
  <r>
    <s v="Roddy Speechley"/>
    <s v="Canada"/>
    <x v="1"/>
    <x v="71"/>
    <n v="2994"/>
    <x v="0"/>
  </r>
  <r>
    <s v="Curtice Advani"/>
    <s v="Germany"/>
    <x v="0"/>
    <x v="72"/>
    <n v="4626"/>
    <x v="0"/>
  </r>
  <r>
    <s v="Van Tuxwell"/>
    <s v="Switzerland"/>
    <x v="1"/>
    <x v="72"/>
    <n v="12369"/>
    <x v="0"/>
  </r>
  <r>
    <s v="Jehu Rudeforth"/>
    <s v="USA"/>
    <x v="2"/>
    <x v="72"/>
    <n v="7062"/>
    <x v="0"/>
  </r>
  <r>
    <s v="Gigi Bohling"/>
    <s v="China"/>
    <x v="3"/>
    <x v="72"/>
    <n v="2455"/>
    <x v="0"/>
  </r>
  <r>
    <s v="Beverie Moffet"/>
    <s v="China"/>
    <x v="7"/>
    <x v="73"/>
    <n v="13230"/>
    <x v="0"/>
  </r>
  <r>
    <s v="Oby Sorrel"/>
    <s v="Germany"/>
    <x v="2"/>
    <x v="73"/>
    <n v="9206"/>
    <x v="0"/>
  </r>
  <r>
    <s v="Karlen McCaffrey"/>
    <s v="Germany"/>
    <x v="3"/>
    <x v="73"/>
    <n v="13584"/>
    <x v="0"/>
  </r>
  <r>
    <s v="Jan Morforth"/>
    <s v="Canada"/>
    <x v="4"/>
    <x v="74"/>
    <n v="4565"/>
    <x v="0"/>
  </r>
  <r>
    <s v="Gunar Cockshoot"/>
    <s v="China"/>
    <x v="7"/>
    <x v="75"/>
    <n v="4790"/>
    <x v="0"/>
  </r>
  <r>
    <s v="Marney O'Breem"/>
    <s v="China"/>
    <x v="5"/>
    <x v="76"/>
    <n v="11758"/>
    <x v="0"/>
  </r>
  <r>
    <s v="Rafaela Blaksland"/>
    <s v="China"/>
    <x v="2"/>
    <x v="76"/>
    <n v="2079"/>
    <x v="0"/>
  </r>
  <r>
    <s v="Karlen McCaffrey"/>
    <s v="Canada"/>
    <x v="3"/>
    <x v="76"/>
    <n v="10684"/>
    <x v="0"/>
  </r>
  <r>
    <s v="Gunar Cockshoot"/>
    <s v="USA"/>
    <x v="3"/>
    <x v="76"/>
    <n v="10114"/>
    <x v="0"/>
  </r>
  <r>
    <s v="Brien Boise"/>
    <s v="China"/>
    <x v="4"/>
    <x v="77"/>
    <n v="4756"/>
    <x v="0"/>
  </r>
  <r>
    <s v="Curtice Advani"/>
    <s v="Canada"/>
    <x v="5"/>
    <x v="77"/>
    <n v="12188"/>
    <x v="0"/>
  </r>
  <r>
    <s v="Beverie Moffet"/>
    <s v="Germany"/>
    <x v="3"/>
    <x v="77"/>
    <n v="2628"/>
    <x v="0"/>
  </r>
  <r>
    <s v="Jan Morforth"/>
    <s v="Canada"/>
    <x v="4"/>
    <x v="78"/>
    <n v="2704"/>
    <x v="0"/>
  </r>
  <r>
    <s v="Van Tuxwell"/>
    <s v="UK"/>
    <x v="3"/>
    <x v="78"/>
    <n v="3973"/>
    <x v="0"/>
  </r>
  <r>
    <s v="Roddy Speechley"/>
    <s v="Switzerland"/>
    <x v="5"/>
    <x v="79"/>
    <n v="6131"/>
    <x v="0"/>
  </r>
  <r>
    <s v="Van Tuxwell"/>
    <s v="Canada"/>
    <x v="6"/>
    <x v="79"/>
    <n v="4268"/>
    <x v="0"/>
  </r>
  <r>
    <s v="Mallorie Waber"/>
    <s v="China"/>
    <x v="2"/>
    <x v="80"/>
    <n v="8106"/>
    <x v="0"/>
  </r>
  <r>
    <s v="Gigi Bohling"/>
    <s v="Canada"/>
    <x v="7"/>
    <x v="81"/>
    <n v="10516"/>
    <x v="0"/>
  </r>
  <r>
    <s v="Gigi Bohling"/>
    <s v="Germany"/>
    <x v="3"/>
    <x v="81"/>
    <n v="6303"/>
    <x v="0"/>
  </r>
  <r>
    <s v="Brien Boise"/>
    <s v="Switzerland"/>
    <x v="0"/>
    <x v="82"/>
    <n v="8085"/>
    <x v="0"/>
  </r>
  <r>
    <s v="Oby Sorrel"/>
    <s v="China"/>
    <x v="4"/>
    <x v="82"/>
    <n v="2967"/>
    <x v="0"/>
  </r>
  <r>
    <s v="Roddy Speechley"/>
    <s v="Germany"/>
    <x v="7"/>
    <x v="82"/>
    <n v="8185"/>
    <x v="0"/>
  </r>
  <r>
    <s v="Rafaela Blaksland"/>
    <s v="Switzerland"/>
    <x v="7"/>
    <x v="82"/>
    <n v="5081"/>
    <x v="0"/>
  </r>
  <r>
    <s v="Brien Boise"/>
    <s v="USA"/>
    <x v="6"/>
    <x v="82"/>
    <n v="4367"/>
    <x v="0"/>
  </r>
  <r>
    <s v="Karlen McCaffrey"/>
    <s v="Canada"/>
    <x v="3"/>
    <x v="82"/>
    <n v="10595"/>
    <x v="0"/>
  </r>
  <r>
    <s v="Gunar Cockshoot"/>
    <s v="UK"/>
    <x v="4"/>
    <x v="83"/>
    <n v="1689"/>
    <x v="0"/>
  </r>
  <r>
    <s v="Brien Boise"/>
    <s v="China"/>
    <x v="0"/>
    <x v="84"/>
    <n v="6659"/>
    <x v="0"/>
  </r>
  <r>
    <s v="Rafaela Blaksland"/>
    <s v="UK"/>
    <x v="0"/>
    <x v="85"/>
    <n v="4202"/>
    <x v="0"/>
  </r>
  <r>
    <s v="Van Tuxwell"/>
    <s v="UK"/>
    <x v="4"/>
    <x v="85"/>
    <n v="12340"/>
    <x v="0"/>
  </r>
  <r>
    <s v="Oby Sorrel"/>
    <s v="USA"/>
    <x v="2"/>
    <x v="86"/>
    <n v="1501"/>
    <x v="0"/>
  </r>
  <r>
    <s v="Van Tuxwell"/>
    <s v="USA"/>
    <x v="3"/>
    <x v="86"/>
    <n v="4574"/>
    <x v="0"/>
  </r>
  <r>
    <s v="Marney O'Breem"/>
    <s v="Switzerland"/>
    <x v="4"/>
    <x v="87"/>
    <n v="2966"/>
    <x v="0"/>
  </r>
  <r>
    <s v="Gigi Bohling"/>
    <s v="Canada"/>
    <x v="4"/>
    <x v="87"/>
    <n v="5618"/>
    <x v="0"/>
  </r>
  <r>
    <s v="Gunar Cockshoot"/>
    <s v="UK"/>
    <x v="6"/>
    <x v="87"/>
    <n v="2409"/>
    <x v="0"/>
  </r>
  <r>
    <s v="Van Tuxwell"/>
    <s v="Canada"/>
    <x v="5"/>
    <x v="88"/>
    <n v="10046"/>
    <x v="0"/>
  </r>
  <r>
    <s v="Barr Faughny"/>
    <s v="Canada"/>
    <x v="5"/>
    <x v="88"/>
    <n v="2055"/>
    <x v="0"/>
  </r>
  <r>
    <s v="Mallorie Waber"/>
    <s v="Canada"/>
    <x v="7"/>
    <x v="88"/>
    <n v="10826"/>
    <x v="0"/>
  </r>
  <r>
    <s v="Jan Morforth"/>
    <s v="USA"/>
    <x v="7"/>
    <x v="88"/>
    <n v="10852"/>
    <x v="0"/>
  </r>
  <r>
    <s v="Curtice Advani"/>
    <s v="UK"/>
    <x v="7"/>
    <x v="88"/>
    <n v="1847"/>
    <x v="0"/>
  </r>
  <r>
    <s v="Brien Boise"/>
    <s v="Switzerland"/>
    <x v="6"/>
    <x v="88"/>
    <n v="9599"/>
    <x v="0"/>
  </r>
  <r>
    <s v="Mallorie Waber"/>
    <s v="UK"/>
    <x v="5"/>
    <x v="89"/>
    <n v="4690"/>
    <x v="0"/>
  </r>
  <r>
    <s v="Brien Boise"/>
    <s v="USA"/>
    <x v="5"/>
    <x v="89"/>
    <n v="7047"/>
    <x v="0"/>
  </r>
  <r>
    <s v="Curtice Advani"/>
    <s v="USA"/>
    <x v="2"/>
    <x v="89"/>
    <n v="9889"/>
    <x v="0"/>
  </r>
  <r>
    <s v="Gigi Bohling"/>
    <s v="Switzerland"/>
    <x v="6"/>
    <x v="89"/>
    <n v="4386"/>
    <x v="0"/>
  </r>
  <r>
    <s v="Jehu Rudeforth"/>
    <s v="UK"/>
    <x v="6"/>
    <x v="89"/>
    <n v="10938"/>
    <x v="0"/>
  </r>
  <r>
    <s v="Karlen McCaffrey"/>
    <s v="Germany"/>
    <x v="3"/>
    <x v="89"/>
    <n v="10800"/>
    <x v="0"/>
  </r>
  <r>
    <s v="Marney O'Breem"/>
    <s v="UK"/>
    <x v="5"/>
    <x v="90"/>
    <n v="10452"/>
    <x v="0"/>
  </r>
  <r>
    <s v="Jehu Rudeforth"/>
    <s v="Germany"/>
    <x v="1"/>
    <x v="90"/>
    <n v="3049"/>
    <x v="0"/>
  </r>
  <r>
    <s v="Mallorie Waber"/>
    <s v="Germany"/>
    <x v="7"/>
    <x v="90"/>
    <n v="13005"/>
    <x v="0"/>
  </r>
  <r>
    <s v="Gunar Cockshoot"/>
    <s v="USA"/>
    <x v="7"/>
    <x v="90"/>
    <n v="11130"/>
    <x v="0"/>
  </r>
  <r>
    <s v="Gigi Bohling"/>
    <s v="Germany"/>
    <x v="6"/>
    <x v="90"/>
    <n v="1473"/>
    <x v="0"/>
  </r>
  <r>
    <s v="Rafaela Blaksland"/>
    <s v="UK"/>
    <x v="6"/>
    <x v="90"/>
    <n v="6328"/>
    <x v="0"/>
  </r>
  <r>
    <s v="Gunar Cockshoot"/>
    <s v="China"/>
    <x v="0"/>
    <x v="91"/>
    <n v="7726"/>
    <x v="0"/>
  </r>
  <r>
    <s v="Van Tuxwell"/>
    <s v="UK"/>
    <x v="0"/>
    <x v="91"/>
    <n v="7553"/>
    <x v="0"/>
  </r>
  <r>
    <s v="Roddy Speechley"/>
    <s v="Switzerland"/>
    <x v="4"/>
    <x v="91"/>
    <n v="3447"/>
    <x v="0"/>
  </r>
  <r>
    <s v="Marney O'Breem"/>
    <s v="Canada"/>
    <x v="1"/>
    <x v="91"/>
    <n v="10900"/>
    <x v="0"/>
  </r>
  <r>
    <s v="Oby Sorrel"/>
    <s v="Canada"/>
    <x v="2"/>
    <x v="91"/>
    <n v="3734"/>
    <x v="0"/>
  </r>
  <r>
    <s v="Curtice Advani"/>
    <s v="Switzerland"/>
    <x v="3"/>
    <x v="91"/>
    <n v="2033"/>
    <x v="0"/>
  </r>
  <r>
    <s v="Mallorie Waber"/>
    <s v="Switzerland"/>
    <x v="3"/>
    <x v="91"/>
    <n v="5098"/>
    <x v="0"/>
  </r>
  <r>
    <s v="Brien Boise"/>
    <s v="Canada"/>
    <x v="3"/>
    <x v="91"/>
    <n v="1437"/>
    <x v="0"/>
  </r>
  <r>
    <s v="Curtice Advani"/>
    <s v="USA"/>
    <x v="5"/>
    <x v="92"/>
    <n v="11562"/>
    <x v="0"/>
  </r>
  <r>
    <s v="Van Tuxwell"/>
    <s v="Switzerland"/>
    <x v="1"/>
    <x v="92"/>
    <n v="10540"/>
    <x v="0"/>
  </r>
  <r>
    <s v="Rafaela Blaksland"/>
    <s v="UK"/>
    <x v="0"/>
    <x v="93"/>
    <n v="6330"/>
    <x v="0"/>
  </r>
  <r>
    <s v="Karlen McCaffrey"/>
    <s v="USA"/>
    <x v="0"/>
    <x v="93"/>
    <n v="6627"/>
    <x v="0"/>
  </r>
  <r>
    <s v="Marney O'Breem"/>
    <s v="Germany"/>
    <x v="4"/>
    <x v="93"/>
    <n v="4553"/>
    <x v="0"/>
  </r>
  <r>
    <s v="Marney O'Breem"/>
    <s v="Germany"/>
    <x v="5"/>
    <x v="93"/>
    <n v="5461"/>
    <x v="0"/>
  </r>
  <r>
    <s v="Gigi Bohling"/>
    <s v="Germany"/>
    <x v="0"/>
    <x v="94"/>
    <n v="1889"/>
    <x v="0"/>
  </r>
  <r>
    <s v="Barr Faughny"/>
    <s v="Switzerland"/>
    <x v="2"/>
    <x v="94"/>
    <n v="12085"/>
    <x v="0"/>
  </r>
  <r>
    <s v="Gunar Cockshoot"/>
    <s v="Germany"/>
    <x v="3"/>
    <x v="94"/>
    <n v="6586"/>
    <x v="0"/>
  </r>
  <r>
    <s v="Roddy Speechley"/>
    <s v="UK"/>
    <x v="4"/>
    <x v="95"/>
    <n v="2988"/>
    <x v="0"/>
  </r>
  <r>
    <s v="Beverie Moffet"/>
    <s v="Germany"/>
    <x v="5"/>
    <x v="95"/>
    <n v="5271"/>
    <x v="0"/>
  </r>
  <r>
    <s v="Beverie Moffet"/>
    <s v="Canada"/>
    <x v="2"/>
    <x v="95"/>
    <n v="9886"/>
    <x v="0"/>
  </r>
  <r>
    <s v="Roddy Speechley"/>
    <s v="Germany"/>
    <x v="3"/>
    <x v="95"/>
    <n v="2981"/>
    <x v="0"/>
  </r>
  <r>
    <s v="Curtice Advani"/>
    <s v="Switzerland"/>
    <x v="5"/>
    <x v="96"/>
    <n v="8633"/>
    <x v="0"/>
  </r>
  <r>
    <s v="Oby Sorrel"/>
    <s v="Germany"/>
    <x v="1"/>
    <x v="96"/>
    <n v="11397"/>
    <x v="0"/>
  </r>
  <r>
    <s v="Rafaela Blaksland"/>
    <s v="Canada"/>
    <x v="7"/>
    <x v="96"/>
    <n v="1966"/>
    <x v="0"/>
  </r>
  <r>
    <s v="Roddy Speechley"/>
    <s v="USA"/>
    <x v="2"/>
    <x v="96"/>
    <n v="6195"/>
    <x v="0"/>
  </r>
  <r>
    <s v="Brien Boise"/>
    <s v="Switzerland"/>
    <x v="4"/>
    <x v="97"/>
    <n v="3562"/>
    <x v="0"/>
  </r>
  <r>
    <s v="Karlen McCaffrey"/>
    <s v="China"/>
    <x v="4"/>
    <x v="97"/>
    <n v="13571"/>
    <x v="0"/>
  </r>
  <r>
    <s v="Marney O'Breem"/>
    <s v="USA"/>
    <x v="1"/>
    <x v="97"/>
    <n v="9321"/>
    <x v="0"/>
  </r>
  <r>
    <s v="Mallorie Waber"/>
    <s v="China"/>
    <x v="1"/>
    <x v="97"/>
    <n v="3928"/>
    <x v="0"/>
  </r>
  <r>
    <s v="Brien Boise"/>
    <s v="Canada"/>
    <x v="2"/>
    <x v="97"/>
    <n v="13874"/>
    <x v="0"/>
  </r>
  <r>
    <s v="Oby Sorrel"/>
    <s v="Canada"/>
    <x v="1"/>
    <x v="98"/>
    <n v="10182"/>
    <x v="0"/>
  </r>
  <r>
    <s v="Oby Sorrel"/>
    <s v="USA"/>
    <x v="7"/>
    <x v="98"/>
    <n v="7300"/>
    <x v="0"/>
  </r>
  <r>
    <s v="Gunar Cockshoot"/>
    <s v="China"/>
    <x v="3"/>
    <x v="98"/>
    <n v="13376"/>
    <x v="0"/>
  </r>
  <r>
    <s v="Karlen McCaffrey"/>
    <s v="Switzerland"/>
    <x v="3"/>
    <x v="98"/>
    <n v="2019"/>
    <x v="0"/>
  </r>
  <r>
    <s v="Oby Sorrel"/>
    <s v="UK"/>
    <x v="2"/>
    <x v="99"/>
    <n v="2238"/>
    <x v="0"/>
  </r>
  <r>
    <s v="Curtice Advani"/>
    <s v="USA"/>
    <x v="2"/>
    <x v="99"/>
    <n v="6751"/>
    <x v="0"/>
  </r>
  <r>
    <s v="Mallorie Waber"/>
    <s v="UK"/>
    <x v="3"/>
    <x v="99"/>
    <n v="4257"/>
    <x v="0"/>
  </r>
  <r>
    <s v="Karlen McCaffrey"/>
    <s v="USA"/>
    <x v="3"/>
    <x v="99"/>
    <n v="8467"/>
    <x v="0"/>
  </r>
  <r>
    <s v="Brien Boise"/>
    <s v="Switzerland"/>
    <x v="3"/>
    <x v="99"/>
    <n v="11548"/>
    <x v="0"/>
  </r>
  <r>
    <s v="Oby Sorrel"/>
    <s v="Germany"/>
    <x v="0"/>
    <x v="100"/>
    <n v="2616"/>
    <x v="0"/>
  </r>
  <r>
    <s v="Oby Sorrel"/>
    <s v="Germany"/>
    <x v="4"/>
    <x v="100"/>
    <n v="13961"/>
    <x v="0"/>
  </r>
  <r>
    <s v="Marney O'Breem"/>
    <s v="UK"/>
    <x v="1"/>
    <x v="100"/>
    <n v="10742"/>
    <x v="0"/>
  </r>
  <r>
    <s v="Gunar Cockshoot"/>
    <s v="Switzerland"/>
    <x v="7"/>
    <x v="100"/>
    <n v="1595"/>
    <x v="0"/>
  </r>
  <r>
    <s v="Marney O'Breem"/>
    <s v="Germany"/>
    <x v="2"/>
    <x v="100"/>
    <n v="9535"/>
    <x v="0"/>
  </r>
  <r>
    <s v="Gunar Cockshoot"/>
    <s v="Switzerland"/>
    <x v="2"/>
    <x v="100"/>
    <n v="5885"/>
    <x v="0"/>
  </r>
  <r>
    <s v="Brien Boise"/>
    <s v="USA"/>
    <x v="5"/>
    <x v="101"/>
    <n v="4002"/>
    <x v="0"/>
  </r>
  <r>
    <s v="Brien Boise"/>
    <s v="Canada"/>
    <x v="7"/>
    <x v="101"/>
    <n v="11300"/>
    <x v="0"/>
  </r>
  <r>
    <s v="Beverie Moffet"/>
    <s v="UK"/>
    <x v="6"/>
    <x v="101"/>
    <n v="11011"/>
    <x v="0"/>
  </r>
  <r>
    <s v="Brien Boise"/>
    <s v="China"/>
    <x v="6"/>
    <x v="101"/>
    <n v="7508"/>
    <x v="0"/>
  </r>
  <r>
    <s v="Roddy Speechley"/>
    <s v="Germany"/>
    <x v="4"/>
    <x v="102"/>
    <n v="5628"/>
    <x v="0"/>
  </r>
  <r>
    <s v="Van Tuxwell"/>
    <s v="China"/>
    <x v="5"/>
    <x v="102"/>
    <n v="4388"/>
    <x v="0"/>
  </r>
  <r>
    <s v="Gunar Cockshoot"/>
    <s v="China"/>
    <x v="1"/>
    <x v="102"/>
    <n v="6874"/>
    <x v="0"/>
  </r>
  <r>
    <s v="Beverie Moffet"/>
    <s v="Canada"/>
    <x v="7"/>
    <x v="102"/>
    <n v="7835"/>
    <x v="0"/>
  </r>
  <r>
    <s v="Gigi Bohling"/>
    <s v="China"/>
    <x v="2"/>
    <x v="102"/>
    <n v="12428"/>
    <x v="0"/>
  </r>
  <r>
    <s v="Mallorie Waber"/>
    <s v="Germany"/>
    <x v="2"/>
    <x v="102"/>
    <n v="9219"/>
    <x v="0"/>
  </r>
  <r>
    <s v="Mallorie Waber"/>
    <s v="USA"/>
    <x v="4"/>
    <x v="103"/>
    <n v="7896"/>
    <x v="0"/>
  </r>
  <r>
    <s v="Mallorie Waber"/>
    <s v="USA"/>
    <x v="2"/>
    <x v="103"/>
    <n v="8204"/>
    <x v="0"/>
  </r>
  <r>
    <s v="Oby Sorrel"/>
    <s v="UK"/>
    <x v="4"/>
    <x v="104"/>
    <n v="6018"/>
    <x v="0"/>
  </r>
  <r>
    <s v="Marney O'Breem"/>
    <s v="Canada"/>
    <x v="6"/>
    <x v="104"/>
    <n v="13161"/>
    <x v="0"/>
  </r>
  <r>
    <s v="Mallorie Waber"/>
    <s v="China"/>
    <x v="3"/>
    <x v="104"/>
    <n v="1732"/>
    <x v="0"/>
  </r>
  <r>
    <s v="Mallorie Waber"/>
    <s v="UK"/>
    <x v="0"/>
    <x v="105"/>
    <n v="3529"/>
    <x v="0"/>
  </r>
  <r>
    <s v="Curtice Advani"/>
    <s v="USA"/>
    <x v="4"/>
    <x v="105"/>
    <n v="4006"/>
    <x v="0"/>
  </r>
  <r>
    <s v="Brien Boise"/>
    <s v="Germany"/>
    <x v="4"/>
    <x v="105"/>
    <n v="10213"/>
    <x v="0"/>
  </r>
  <r>
    <s v="Brien Boise"/>
    <s v="USA"/>
    <x v="7"/>
    <x v="105"/>
    <n v="2699"/>
    <x v="0"/>
  </r>
  <r>
    <s v="Gunar Cockshoot"/>
    <s v="China"/>
    <x v="0"/>
    <x v="106"/>
    <n v="9717"/>
    <x v="0"/>
  </r>
  <r>
    <s v="Oby Sorrel"/>
    <s v="Canada"/>
    <x v="0"/>
    <x v="106"/>
    <n v="7616"/>
    <x v="0"/>
  </r>
  <r>
    <s v="Beverie Moffet"/>
    <s v="USA"/>
    <x v="0"/>
    <x v="106"/>
    <n v="13103"/>
    <x v="0"/>
  </r>
  <r>
    <s v="Van Tuxwell"/>
    <s v="Germany"/>
    <x v="4"/>
    <x v="106"/>
    <n v="8409"/>
    <x v="0"/>
  </r>
  <r>
    <s v="Van Tuxwell"/>
    <s v="Switzerland"/>
    <x v="2"/>
    <x v="106"/>
    <n v="7265"/>
    <x v="0"/>
  </r>
  <r>
    <s v="Curtice Advani"/>
    <s v="UK"/>
    <x v="2"/>
    <x v="106"/>
    <n v="11694"/>
    <x v="0"/>
  </r>
  <r>
    <s v="Marney O'Breem"/>
    <s v="Germany"/>
    <x v="0"/>
    <x v="107"/>
    <n v="3515"/>
    <x v="0"/>
  </r>
  <r>
    <s v="Barr Faughny"/>
    <s v="Germany"/>
    <x v="7"/>
    <x v="107"/>
    <n v="4281"/>
    <x v="0"/>
  </r>
  <r>
    <s v="Gunar Cockshoot"/>
    <s v="Switzerland"/>
    <x v="2"/>
    <x v="107"/>
    <n v="3607"/>
    <x v="0"/>
  </r>
  <r>
    <s v="Rafaela Blaksland"/>
    <s v="Switzerland"/>
    <x v="2"/>
    <x v="107"/>
    <n v="5172"/>
    <x v="0"/>
  </r>
  <r>
    <s v="Jehu Rudeforth"/>
    <s v="Germany"/>
    <x v="2"/>
    <x v="108"/>
    <n v="9665"/>
    <x v="0"/>
  </r>
  <r>
    <s v="Barr Faughny"/>
    <s v="Switzerland"/>
    <x v="6"/>
    <x v="108"/>
    <n v="5111"/>
    <x v="0"/>
  </r>
  <r>
    <s v="Oby Sorrel"/>
    <s v="USA"/>
    <x v="0"/>
    <x v="109"/>
    <n v="6636"/>
    <x v="0"/>
  </r>
  <r>
    <s v="Oby Sorrel"/>
    <s v="China"/>
    <x v="4"/>
    <x v="109"/>
    <n v="3189"/>
    <x v="0"/>
  </r>
  <r>
    <s v="Roddy Speechley"/>
    <s v="Switzerland"/>
    <x v="2"/>
    <x v="109"/>
    <n v="13089"/>
    <x v="0"/>
  </r>
  <r>
    <s v="Marney O'Breem"/>
    <s v="USA"/>
    <x v="2"/>
    <x v="109"/>
    <n v="1925"/>
    <x v="0"/>
  </r>
  <r>
    <s v="Karlen McCaffrey"/>
    <s v="Germany"/>
    <x v="3"/>
    <x v="109"/>
    <n v="8919"/>
    <x v="0"/>
  </r>
  <r>
    <s v="Marney O'Breem"/>
    <s v="Canada"/>
    <x v="5"/>
    <x v="110"/>
    <n v="10894"/>
    <x v="0"/>
  </r>
  <r>
    <s v="Gunar Cockshoot"/>
    <s v="China"/>
    <x v="1"/>
    <x v="110"/>
    <n v="8614"/>
    <x v="0"/>
  </r>
  <r>
    <s v="Roddy Speechley"/>
    <s v="UK"/>
    <x v="7"/>
    <x v="110"/>
    <n v="6852"/>
    <x v="0"/>
  </r>
  <r>
    <s v="Van Tuxwell"/>
    <s v="USA"/>
    <x v="3"/>
    <x v="110"/>
    <n v="6973"/>
    <x v="0"/>
  </r>
  <r>
    <s v="Mallorie Waber"/>
    <s v="Switzerland"/>
    <x v="0"/>
    <x v="111"/>
    <n v="3940"/>
    <x v="0"/>
  </r>
  <r>
    <s v="Van Tuxwell"/>
    <s v="USA"/>
    <x v="3"/>
    <x v="111"/>
    <n v="3564"/>
    <x v="0"/>
  </r>
  <r>
    <s v="Beverie Moffet"/>
    <s v="Switzerland"/>
    <x v="0"/>
    <x v="112"/>
    <n v="13257"/>
    <x v="0"/>
  </r>
  <r>
    <s v="Barr Faughny"/>
    <s v="Switzerland"/>
    <x v="0"/>
    <x v="112"/>
    <n v="5597"/>
    <x v="0"/>
  </r>
  <r>
    <s v="Beverie Moffet"/>
    <s v="China"/>
    <x v="7"/>
    <x v="112"/>
    <n v="7403"/>
    <x v="0"/>
  </r>
  <r>
    <s v="Barr Faughny"/>
    <s v="China"/>
    <x v="7"/>
    <x v="112"/>
    <n v="4281"/>
    <x v="0"/>
  </r>
  <r>
    <s v="Curtice Advani"/>
    <s v="Germany"/>
    <x v="6"/>
    <x v="112"/>
    <n v="4659"/>
    <x v="0"/>
  </r>
  <r>
    <s v="Jan Morforth"/>
    <s v="Switzerland"/>
    <x v="0"/>
    <x v="113"/>
    <n v="6608"/>
    <x v="0"/>
  </r>
  <r>
    <s v="Oby Sorrel"/>
    <s v="Switzerland"/>
    <x v="0"/>
    <x v="113"/>
    <n v="4986"/>
    <x v="0"/>
  </r>
  <r>
    <s v="Barr Faughny"/>
    <s v="Switzerland"/>
    <x v="5"/>
    <x v="113"/>
    <n v="12286"/>
    <x v="0"/>
  </r>
  <r>
    <s v="Gigi Bohling"/>
    <s v="USA"/>
    <x v="1"/>
    <x v="113"/>
    <n v="7873"/>
    <x v="0"/>
  </r>
  <r>
    <s v="Van Tuxwell"/>
    <s v="Canada"/>
    <x v="7"/>
    <x v="113"/>
    <n v="13889"/>
    <x v="0"/>
  </r>
  <r>
    <s v="Jan Morforth"/>
    <s v="USA"/>
    <x v="3"/>
    <x v="113"/>
    <n v="8855"/>
    <x v="0"/>
  </r>
  <r>
    <s v="Roddy Speechley"/>
    <s v="USA"/>
    <x v="0"/>
    <x v="114"/>
    <n v="3162"/>
    <x v="0"/>
  </r>
  <r>
    <s v="Beverie Moffet"/>
    <s v="Canada"/>
    <x v="4"/>
    <x v="114"/>
    <n v="5710"/>
    <x v="0"/>
  </r>
  <r>
    <s v="Brien Boise"/>
    <s v="USA"/>
    <x v="7"/>
    <x v="114"/>
    <n v="2594"/>
    <x v="0"/>
  </r>
  <r>
    <s v="Roddy Speechley"/>
    <s v="Switzerland"/>
    <x v="5"/>
    <x v="115"/>
    <n v="9319"/>
    <x v="0"/>
  </r>
  <r>
    <s v="Oby Sorrel"/>
    <s v="Canada"/>
    <x v="5"/>
    <x v="115"/>
    <n v="10961"/>
    <x v="0"/>
  </r>
  <r>
    <s v="Marney O'Breem"/>
    <s v="Switzerland"/>
    <x v="5"/>
    <x v="115"/>
    <n v="1513"/>
    <x v="0"/>
  </r>
  <r>
    <s v="Karlen McCaffrey"/>
    <s v="Germany"/>
    <x v="2"/>
    <x v="115"/>
    <n v="12370"/>
    <x v="0"/>
  </r>
  <r>
    <s v="Karlen McCaffrey"/>
    <s v="UK"/>
    <x v="6"/>
    <x v="115"/>
    <n v="13926"/>
    <x v="0"/>
  </r>
  <r>
    <s v="Gigi Bohling"/>
    <s v="Switzerland"/>
    <x v="0"/>
    <x v="116"/>
    <n v="1437"/>
    <x v="0"/>
  </r>
  <r>
    <s v="Brien Boise"/>
    <s v="Germany"/>
    <x v="4"/>
    <x v="116"/>
    <n v="6321"/>
    <x v="0"/>
  </r>
  <r>
    <s v="Rafaela Blaksland"/>
    <s v="Canada"/>
    <x v="4"/>
    <x v="116"/>
    <n v="13741"/>
    <x v="0"/>
  </r>
  <r>
    <s v="Jan Morforth"/>
    <s v="China"/>
    <x v="6"/>
    <x v="117"/>
    <n v="11827"/>
    <x v="0"/>
  </r>
  <r>
    <s v="Brien Boise"/>
    <s v="UK"/>
    <x v="0"/>
    <x v="118"/>
    <n v="5070"/>
    <x v="0"/>
  </r>
  <r>
    <s v="Brien Boise"/>
    <s v="UK"/>
    <x v="4"/>
    <x v="118"/>
    <n v="12026"/>
    <x v="0"/>
  </r>
  <r>
    <s v="Roddy Speechley"/>
    <s v="Germany"/>
    <x v="5"/>
    <x v="118"/>
    <n v="12315"/>
    <x v="0"/>
  </r>
  <r>
    <s v="Gigi Bohling"/>
    <s v="UK"/>
    <x v="2"/>
    <x v="118"/>
    <n v="11719"/>
    <x v="0"/>
  </r>
  <r>
    <s v="Rafaela Blaksland"/>
    <s v="Germany"/>
    <x v="7"/>
    <x v="119"/>
    <n v="1105"/>
    <x v="0"/>
  </r>
  <r>
    <s v="Karlen McCaffrey"/>
    <s v="UK"/>
    <x v="2"/>
    <x v="119"/>
    <n v="4373"/>
    <x v="0"/>
  </r>
  <r>
    <s v="Gigi Bohling"/>
    <s v="USA"/>
    <x v="2"/>
    <x v="119"/>
    <n v="5292"/>
    <x v="0"/>
  </r>
  <r>
    <s v="Marney O'Breem"/>
    <s v="Canada"/>
    <x v="0"/>
    <x v="120"/>
    <n v="2471"/>
    <x v="0"/>
  </r>
  <r>
    <s v="Rafaela Blaksland"/>
    <s v="China"/>
    <x v="5"/>
    <x v="120"/>
    <n v="8191"/>
    <x v="0"/>
  </r>
  <r>
    <s v="Jan Morforth"/>
    <s v="Germany"/>
    <x v="7"/>
    <x v="120"/>
    <n v="3772"/>
    <x v="0"/>
  </r>
  <r>
    <s v="Jehu Rudeforth"/>
    <s v="Germany"/>
    <x v="4"/>
    <x v="121"/>
    <n v="13256"/>
    <x v="0"/>
  </r>
  <r>
    <s v="Jehu Rudeforth"/>
    <s v="UK"/>
    <x v="2"/>
    <x v="121"/>
    <n v="6065"/>
    <x v="0"/>
  </r>
  <r>
    <s v="Jan Morforth"/>
    <s v="UK"/>
    <x v="6"/>
    <x v="121"/>
    <n v="7922"/>
    <x v="0"/>
  </r>
  <r>
    <s v="Marney O'Breem"/>
    <s v="Canada"/>
    <x v="0"/>
    <x v="122"/>
    <n v="12630"/>
    <x v="0"/>
  </r>
  <r>
    <s v="Gunar Cockshoot"/>
    <s v="Germany"/>
    <x v="2"/>
    <x v="122"/>
    <n v="11610"/>
    <x v="0"/>
  </r>
  <r>
    <s v="Jan Morforth"/>
    <s v="Switzerland"/>
    <x v="6"/>
    <x v="122"/>
    <n v="6851"/>
    <x v="0"/>
  </r>
  <r>
    <s v="Mallorie Waber"/>
    <s v="UK"/>
    <x v="6"/>
    <x v="122"/>
    <n v="6969"/>
    <x v="0"/>
  </r>
  <r>
    <s v="Mallorie Waber"/>
    <s v="China"/>
    <x v="0"/>
    <x v="123"/>
    <n v="5900"/>
    <x v="0"/>
  </r>
  <r>
    <s v="Jehu Rudeforth"/>
    <s v="Canada"/>
    <x v="5"/>
    <x v="123"/>
    <n v="8352"/>
    <x v="0"/>
  </r>
  <r>
    <s v="Oby Sorrel"/>
    <s v="Canada"/>
    <x v="7"/>
    <x v="123"/>
    <n v="7223"/>
    <x v="0"/>
  </r>
  <r>
    <s v="Van Tuxwell"/>
    <s v="UK"/>
    <x v="7"/>
    <x v="123"/>
    <n v="11227"/>
    <x v="0"/>
  </r>
  <r>
    <s v="Roddy Speechley"/>
    <s v="Switzerland"/>
    <x v="2"/>
    <x v="123"/>
    <n v="13522"/>
    <x v="0"/>
  </r>
  <r>
    <s v="Jehu Rudeforth"/>
    <s v="USA"/>
    <x v="2"/>
    <x v="123"/>
    <n v="8027"/>
    <x v="0"/>
  </r>
  <r>
    <s v="Gunar Cockshoot"/>
    <s v="Canada"/>
    <x v="6"/>
    <x v="123"/>
    <n v="6802"/>
    <x v="0"/>
  </r>
  <r>
    <s v="Rafaela Blaksland"/>
    <s v="USA"/>
    <x v="4"/>
    <x v="124"/>
    <n v="5319"/>
    <x v="0"/>
  </r>
  <r>
    <s v="Gigi Bohling"/>
    <s v="China"/>
    <x v="2"/>
    <x v="124"/>
    <n v="2147"/>
    <x v="0"/>
  </r>
  <r>
    <s v="Beverie Moffet"/>
    <s v="UK"/>
    <x v="2"/>
    <x v="124"/>
    <n v="7148"/>
    <x v="0"/>
  </r>
  <r>
    <s v="Oby Sorrel"/>
    <s v="USA"/>
    <x v="0"/>
    <x v="125"/>
    <n v="8088"/>
    <x v="0"/>
  </r>
  <r>
    <s v="Jehu Rudeforth"/>
    <s v="USA"/>
    <x v="1"/>
    <x v="125"/>
    <n v="5130"/>
    <x v="0"/>
  </r>
  <r>
    <s v="Van Tuxwell"/>
    <s v="Canada"/>
    <x v="4"/>
    <x v="126"/>
    <n v="1606"/>
    <x v="0"/>
  </r>
  <r>
    <s v="Marney O'Breem"/>
    <s v="Switzerland"/>
    <x v="6"/>
    <x v="126"/>
    <n v="2495"/>
    <x v="0"/>
  </r>
  <r>
    <s v="Marney O'Breem"/>
    <s v="USA"/>
    <x v="6"/>
    <x v="126"/>
    <n v="9540"/>
    <x v="0"/>
  </r>
  <r>
    <s v="Brien Boise"/>
    <s v="Germany"/>
    <x v="0"/>
    <x v="127"/>
    <n v="7993"/>
    <x v="0"/>
  </r>
  <r>
    <s v="Gunar Cockshoot"/>
    <s v="UK"/>
    <x v="5"/>
    <x v="127"/>
    <n v="1564"/>
    <x v="0"/>
  </r>
  <r>
    <s v="Mallorie Waber"/>
    <s v="China"/>
    <x v="2"/>
    <x v="127"/>
    <n v="11329"/>
    <x v="0"/>
  </r>
  <r>
    <s v="Gigi Bohling"/>
    <s v="UK"/>
    <x v="3"/>
    <x v="127"/>
    <n v="12291"/>
    <x v="0"/>
  </r>
  <r>
    <s v="Oby Sorrel"/>
    <s v="UK"/>
    <x v="0"/>
    <x v="128"/>
    <n v="8146"/>
    <x v="0"/>
  </r>
  <r>
    <s v="Jehu Rudeforth"/>
    <s v="Canada"/>
    <x v="0"/>
    <x v="128"/>
    <n v="6834"/>
    <x v="0"/>
  </r>
  <r>
    <s v="Marney O'Breem"/>
    <s v="UK"/>
    <x v="1"/>
    <x v="128"/>
    <n v="8403"/>
    <x v="0"/>
  </r>
  <r>
    <s v="Curtice Advani"/>
    <s v="China"/>
    <x v="2"/>
    <x v="128"/>
    <n v="1210"/>
    <x v="0"/>
  </r>
  <r>
    <s v="Van Tuxwell"/>
    <s v="Canada"/>
    <x v="5"/>
    <x v="129"/>
    <n v="4866"/>
    <x v="0"/>
  </r>
  <r>
    <s v="Van Tuxwell"/>
    <s v="China"/>
    <x v="1"/>
    <x v="129"/>
    <n v="10106"/>
    <x v="0"/>
  </r>
  <r>
    <s v="Gunar Cockshoot"/>
    <s v="China"/>
    <x v="6"/>
    <x v="129"/>
    <n v="1212"/>
    <x v="0"/>
  </r>
  <r>
    <s v="Marney O'Breem"/>
    <s v="Switzerland"/>
    <x v="3"/>
    <x v="129"/>
    <n v="4356"/>
    <x v="0"/>
  </r>
  <r>
    <s v="Jan Morforth"/>
    <s v="Germany"/>
    <x v="3"/>
    <x v="129"/>
    <n v="10765"/>
    <x v="0"/>
  </r>
  <r>
    <s v="Gunar Cockshoot"/>
    <s v="China"/>
    <x v="4"/>
    <x v="130"/>
    <n v="13502"/>
    <x v="0"/>
  </r>
  <r>
    <s v="Rafaela Blaksland"/>
    <s v="China"/>
    <x v="4"/>
    <x v="130"/>
    <n v="3809"/>
    <x v="0"/>
  </r>
  <r>
    <s v="Oby Sorrel"/>
    <s v="Germany"/>
    <x v="6"/>
    <x v="130"/>
    <n v="1785"/>
    <x v="0"/>
  </r>
  <r>
    <s v="Gigi Bohling"/>
    <s v="Germany"/>
    <x v="6"/>
    <x v="130"/>
    <n v="13953"/>
    <x v="0"/>
  </r>
  <r>
    <s v="Gunar Cockshoot"/>
    <s v="Switzerland"/>
    <x v="7"/>
    <x v="131"/>
    <n v="1982"/>
    <x v="0"/>
  </r>
  <r>
    <s v="Curtice Advani"/>
    <s v="China"/>
    <x v="7"/>
    <x v="131"/>
    <n v="3853"/>
    <x v="0"/>
  </r>
  <r>
    <s v="Gigi Bohling"/>
    <s v="Germany"/>
    <x v="2"/>
    <x v="131"/>
    <n v="12678"/>
    <x v="0"/>
  </r>
  <r>
    <s v="Oby Sorrel"/>
    <s v="Germany"/>
    <x v="4"/>
    <x v="132"/>
    <n v="8161"/>
    <x v="0"/>
  </r>
  <r>
    <s v="Jan Morforth"/>
    <s v="USA"/>
    <x v="5"/>
    <x v="132"/>
    <n v="2166"/>
    <x v="0"/>
  </r>
  <r>
    <s v="Gigi Bohling"/>
    <s v="UK"/>
    <x v="1"/>
    <x v="132"/>
    <n v="10921"/>
    <x v="0"/>
  </r>
  <r>
    <s v="Barr Faughny"/>
    <s v="UK"/>
    <x v="7"/>
    <x v="132"/>
    <n v="6647"/>
    <x v="0"/>
  </r>
  <r>
    <s v="Karlen McCaffrey"/>
    <s v="China"/>
    <x v="7"/>
    <x v="132"/>
    <n v="3018"/>
    <x v="0"/>
  </r>
  <r>
    <s v="Oby Sorrel"/>
    <s v="China"/>
    <x v="7"/>
    <x v="133"/>
    <n v="2753"/>
    <x v="0"/>
  </r>
  <r>
    <s v="Beverie Moffet"/>
    <s v="Switzerland"/>
    <x v="7"/>
    <x v="133"/>
    <n v="11257"/>
    <x v="0"/>
  </r>
  <r>
    <s v="Barr Faughny"/>
    <s v="UK"/>
    <x v="1"/>
    <x v="134"/>
    <n v="4144"/>
    <x v="0"/>
  </r>
  <r>
    <s v="Roddy Speechley"/>
    <s v="Canada"/>
    <x v="3"/>
    <x v="134"/>
    <n v="7888"/>
    <x v="0"/>
  </r>
  <r>
    <s v="Curtice Advani"/>
    <s v="USA"/>
    <x v="3"/>
    <x v="134"/>
    <n v="6228"/>
    <x v="0"/>
  </r>
  <r>
    <s v="Rafaela Blaksland"/>
    <s v="USA"/>
    <x v="7"/>
    <x v="135"/>
    <n v="3333"/>
    <x v="0"/>
  </r>
  <r>
    <s v="Roddy Speechley"/>
    <s v="Switzerland"/>
    <x v="2"/>
    <x v="135"/>
    <n v="1558"/>
    <x v="0"/>
  </r>
  <r>
    <s v="Roddy Speechley"/>
    <s v="Switzerland"/>
    <x v="3"/>
    <x v="135"/>
    <n v="12726"/>
    <x v="0"/>
  </r>
  <r>
    <s v="Mallorie Waber"/>
    <s v="Switzerland"/>
    <x v="3"/>
    <x v="135"/>
    <n v="9286"/>
    <x v="0"/>
  </r>
  <r>
    <s v="Barr Faughny"/>
    <s v="Switzerland"/>
    <x v="0"/>
    <x v="136"/>
    <n v="4868"/>
    <x v="0"/>
  </r>
  <r>
    <s v="Karlen McCaffrey"/>
    <s v="China"/>
    <x v="4"/>
    <x v="136"/>
    <n v="10527"/>
    <x v="0"/>
  </r>
  <r>
    <s v="Roddy Speechley"/>
    <s v="USA"/>
    <x v="4"/>
    <x v="136"/>
    <n v="10910"/>
    <x v="0"/>
  </r>
  <r>
    <s v="Brien Boise"/>
    <s v="Switzerland"/>
    <x v="6"/>
    <x v="136"/>
    <n v="10209"/>
    <x v="0"/>
  </r>
  <r>
    <s v="Curtice Advani"/>
    <s v="Canada"/>
    <x v="6"/>
    <x v="136"/>
    <n v="13392"/>
    <x v="0"/>
  </r>
  <r>
    <s v="Mallorie Waber"/>
    <s v="Switzerland"/>
    <x v="0"/>
    <x v="137"/>
    <n v="4567"/>
    <x v="0"/>
  </r>
  <r>
    <s v="Beverie Moffet"/>
    <s v="China"/>
    <x v="7"/>
    <x v="137"/>
    <n v="11788"/>
    <x v="0"/>
  </r>
  <r>
    <s v="Brien Boise"/>
    <s v="China"/>
    <x v="6"/>
    <x v="137"/>
    <n v="8850"/>
    <x v="0"/>
  </r>
  <r>
    <s v="Gunar Cockshoot"/>
    <s v="Canada"/>
    <x v="1"/>
    <x v="138"/>
    <n v="2478"/>
    <x v="0"/>
  </r>
  <r>
    <s v="Jehu Rudeforth"/>
    <s v="China"/>
    <x v="0"/>
    <x v="139"/>
    <n v="11047"/>
    <x v="0"/>
  </r>
  <r>
    <s v="Oby Sorrel"/>
    <s v="China"/>
    <x v="0"/>
    <x v="139"/>
    <n v="7989"/>
    <x v="0"/>
  </r>
  <r>
    <s v="Roddy Speechley"/>
    <s v="Switzerland"/>
    <x v="1"/>
    <x v="139"/>
    <n v="10732"/>
    <x v="0"/>
  </r>
  <r>
    <s v="Curtice Advani"/>
    <s v="Switzerland"/>
    <x v="1"/>
    <x v="139"/>
    <n v="2080"/>
    <x v="0"/>
  </r>
  <r>
    <s v="Roddy Speechley"/>
    <s v="Switzerland"/>
    <x v="2"/>
    <x v="140"/>
    <n v="3624"/>
    <x v="0"/>
  </r>
  <r>
    <s v="Curtice Advani"/>
    <s v="USA"/>
    <x v="4"/>
    <x v="141"/>
    <n v="2584"/>
    <x v="0"/>
  </r>
  <r>
    <s v="Jehu Rudeforth"/>
    <s v="USA"/>
    <x v="2"/>
    <x v="141"/>
    <n v="4641"/>
    <x v="0"/>
  </r>
  <r>
    <s v="Jehu Rudeforth"/>
    <s v="China"/>
    <x v="0"/>
    <x v="142"/>
    <n v="9683"/>
    <x v="0"/>
  </r>
  <r>
    <s v="Barr Faughny"/>
    <s v="Canada"/>
    <x v="4"/>
    <x v="142"/>
    <n v="9975"/>
    <x v="0"/>
  </r>
  <r>
    <s v="Gigi Bohling"/>
    <s v="Germany"/>
    <x v="5"/>
    <x v="142"/>
    <n v="4924"/>
    <x v="0"/>
  </r>
  <r>
    <s v="Barr Faughny"/>
    <s v="USA"/>
    <x v="1"/>
    <x v="142"/>
    <n v="3757"/>
    <x v="0"/>
  </r>
  <r>
    <s v="Roddy Speechley"/>
    <s v="USA"/>
    <x v="1"/>
    <x v="142"/>
    <n v="7310"/>
    <x v="0"/>
  </r>
  <r>
    <s v="Oby Sorrel"/>
    <s v="Switzerland"/>
    <x v="6"/>
    <x v="142"/>
    <n v="11484"/>
    <x v="0"/>
  </r>
  <r>
    <s v="Jehu Rudeforth"/>
    <s v="China"/>
    <x v="4"/>
    <x v="143"/>
    <n v="2182"/>
    <x v="0"/>
  </r>
  <r>
    <s v="Oby Sorrel"/>
    <s v="China"/>
    <x v="7"/>
    <x v="143"/>
    <n v="2917"/>
    <x v="0"/>
  </r>
  <r>
    <s v="Jehu Rudeforth"/>
    <s v="Switzerland"/>
    <x v="6"/>
    <x v="143"/>
    <n v="9219"/>
    <x v="0"/>
  </r>
  <r>
    <s v="Van Tuxwell"/>
    <s v="Canada"/>
    <x v="3"/>
    <x v="143"/>
    <n v="10807"/>
    <x v="0"/>
  </r>
  <r>
    <s v="Brien Boise"/>
    <s v="Switzerland"/>
    <x v="1"/>
    <x v="144"/>
    <n v="1582"/>
    <x v="0"/>
  </r>
  <r>
    <s v="Jan Morforth"/>
    <s v="Germany"/>
    <x v="2"/>
    <x v="145"/>
    <n v="5974"/>
    <x v="0"/>
  </r>
  <r>
    <s v="Gigi Bohling"/>
    <s v="China"/>
    <x v="6"/>
    <x v="145"/>
    <n v="4310"/>
    <x v="0"/>
  </r>
  <r>
    <s v="Barr Faughny"/>
    <s v="Switzerland"/>
    <x v="3"/>
    <x v="145"/>
    <n v="11190"/>
    <x v="0"/>
  </r>
  <r>
    <s v="Jehu Rudeforth"/>
    <s v="Canada"/>
    <x v="3"/>
    <x v="145"/>
    <n v="6582"/>
    <x v="0"/>
  </r>
  <r>
    <s v="Rafaela Blaksland"/>
    <s v="USA"/>
    <x v="0"/>
    <x v="146"/>
    <n v="4591"/>
    <x v="0"/>
  </r>
  <r>
    <s v="Marney O'Breem"/>
    <s v="Canada"/>
    <x v="4"/>
    <x v="146"/>
    <n v="4590"/>
    <x v="0"/>
  </r>
  <r>
    <s v="Beverie Moffet"/>
    <s v="USA"/>
    <x v="4"/>
    <x v="146"/>
    <n v="13991"/>
    <x v="0"/>
  </r>
  <r>
    <s v="Marney O'Breem"/>
    <s v="Switzerland"/>
    <x v="3"/>
    <x v="146"/>
    <n v="3908"/>
    <x v="0"/>
  </r>
  <r>
    <s v="Curtice Advani"/>
    <s v="Switzerland"/>
    <x v="1"/>
    <x v="147"/>
    <n v="6004"/>
    <x v="0"/>
  </r>
  <r>
    <s v="Mallorie Waber"/>
    <s v="China"/>
    <x v="2"/>
    <x v="147"/>
    <n v="13134"/>
    <x v="0"/>
  </r>
  <r>
    <s v="Gunar Cockshoot"/>
    <s v="USA"/>
    <x v="2"/>
    <x v="147"/>
    <n v="13918"/>
    <x v="0"/>
  </r>
  <r>
    <s v="Beverie Moffet"/>
    <s v="USA"/>
    <x v="6"/>
    <x v="147"/>
    <n v="10443"/>
    <x v="0"/>
  </r>
  <r>
    <s v="Jan Morforth"/>
    <s v="China"/>
    <x v="0"/>
    <x v="148"/>
    <n v="13716"/>
    <x v="0"/>
  </r>
  <r>
    <s v="Jehu Rudeforth"/>
    <s v="USA"/>
    <x v="5"/>
    <x v="148"/>
    <n v="3504"/>
    <x v="0"/>
  </r>
  <r>
    <s v="Mallorie Waber"/>
    <s v="China"/>
    <x v="5"/>
    <x v="148"/>
    <n v="1073"/>
    <x v="0"/>
  </r>
  <r>
    <s v="Brien Boise"/>
    <s v="China"/>
    <x v="1"/>
    <x v="148"/>
    <n v="2942"/>
    <x v="0"/>
  </r>
  <r>
    <s v="Gunar Cockshoot"/>
    <s v="China"/>
    <x v="6"/>
    <x v="148"/>
    <n v="5092"/>
    <x v="0"/>
  </r>
  <r>
    <s v="Curtice Advani"/>
    <s v="Canada"/>
    <x v="3"/>
    <x v="149"/>
    <n v="12514"/>
    <x v="0"/>
  </r>
  <r>
    <s v="Van Tuxwell"/>
    <s v="UK"/>
    <x v="4"/>
    <x v="150"/>
    <n v="11541"/>
    <x v="0"/>
  </r>
  <r>
    <s v="Roddy Speechley"/>
    <s v="Canada"/>
    <x v="4"/>
    <x v="150"/>
    <n v="13427"/>
    <x v="0"/>
  </r>
  <r>
    <s v="Roddy Speechley"/>
    <s v="Switzerland"/>
    <x v="2"/>
    <x v="150"/>
    <n v="6453"/>
    <x v="0"/>
  </r>
  <r>
    <s v="Oby Sorrel"/>
    <s v="Canada"/>
    <x v="3"/>
    <x v="150"/>
    <n v="3238"/>
    <x v="0"/>
  </r>
  <r>
    <s v="Barr Faughny"/>
    <s v="Canada"/>
    <x v="3"/>
    <x v="150"/>
    <n v="13383"/>
    <x v="0"/>
  </r>
  <r>
    <s v="Jan Morforth"/>
    <s v="USA"/>
    <x v="5"/>
    <x v="151"/>
    <n v="2936"/>
    <x v="0"/>
  </r>
  <r>
    <s v="Barr Faughny"/>
    <s v="UK"/>
    <x v="1"/>
    <x v="151"/>
    <n v="1733"/>
    <x v="0"/>
  </r>
  <r>
    <s v="Karlen McCaffrey"/>
    <s v="Germany"/>
    <x v="1"/>
    <x v="151"/>
    <n v="6375"/>
    <x v="0"/>
  </r>
  <r>
    <s v="Brien Boise"/>
    <s v="USA"/>
    <x v="2"/>
    <x v="151"/>
    <n v="5149"/>
    <x v="0"/>
  </r>
  <r>
    <s v="Curtice Advani"/>
    <s v="China"/>
    <x v="6"/>
    <x v="151"/>
    <n v="6816"/>
    <x v="0"/>
  </r>
  <r>
    <s v="Van Tuxwell"/>
    <s v="Germany"/>
    <x v="6"/>
    <x v="151"/>
    <n v="2051"/>
    <x v="0"/>
  </r>
  <r>
    <s v="Barr Faughny"/>
    <s v="USA"/>
    <x v="6"/>
    <x v="152"/>
    <n v="7051"/>
    <x v="0"/>
  </r>
  <r>
    <s v="Oby Sorrel"/>
    <s v="Canada"/>
    <x v="3"/>
    <x v="152"/>
    <n v="7139"/>
    <x v="0"/>
  </r>
  <r>
    <s v="Mallorie Waber"/>
    <s v="USA"/>
    <x v="0"/>
    <x v="153"/>
    <n v="12454"/>
    <x v="0"/>
  </r>
  <r>
    <s v="Oby Sorrel"/>
    <s v="Germany"/>
    <x v="0"/>
    <x v="153"/>
    <n v="13384"/>
    <x v="0"/>
  </r>
  <r>
    <s v="Gunar Cockshoot"/>
    <s v="UK"/>
    <x v="4"/>
    <x v="153"/>
    <n v="7551"/>
    <x v="0"/>
  </r>
  <r>
    <s v="Roddy Speechley"/>
    <s v="Germany"/>
    <x v="7"/>
    <x v="153"/>
    <n v="9805"/>
    <x v="0"/>
  </r>
  <r>
    <s v="Jan Morforth"/>
    <s v="China"/>
    <x v="7"/>
    <x v="153"/>
    <n v="7487"/>
    <x v="0"/>
  </r>
  <r>
    <s v="Gunar Cockshoot"/>
    <s v="Canada"/>
    <x v="2"/>
    <x v="153"/>
    <n v="8105"/>
    <x v="0"/>
  </r>
  <r>
    <s v="Mallorie Waber"/>
    <s v="China"/>
    <x v="6"/>
    <x v="154"/>
    <n v="7163"/>
    <x v="0"/>
  </r>
  <r>
    <s v="Curtice Advani"/>
    <s v="UK"/>
    <x v="6"/>
    <x v="154"/>
    <n v="8532"/>
    <x v="0"/>
  </r>
  <r>
    <s v="Barr Faughny"/>
    <s v="Canada"/>
    <x v="4"/>
    <x v="155"/>
    <n v="2264"/>
    <x v="0"/>
  </r>
  <r>
    <s v="Rafaela Blaksland"/>
    <s v="UK"/>
    <x v="1"/>
    <x v="155"/>
    <n v="9370"/>
    <x v="0"/>
  </r>
  <r>
    <s v="Mallorie Waber"/>
    <s v="China"/>
    <x v="7"/>
    <x v="155"/>
    <n v="6567"/>
    <x v="0"/>
  </r>
  <r>
    <s v="Brien Boise"/>
    <s v="Germany"/>
    <x v="2"/>
    <x v="155"/>
    <n v="6848"/>
    <x v="0"/>
  </r>
  <r>
    <s v="Rafaela Blaksland"/>
    <s v="China"/>
    <x v="2"/>
    <x v="155"/>
    <n v="13226"/>
    <x v="0"/>
  </r>
  <r>
    <s v="Roddy Speechley"/>
    <s v="USA"/>
    <x v="3"/>
    <x v="155"/>
    <n v="9287"/>
    <x v="0"/>
  </r>
  <r>
    <s v="Curtice Advani"/>
    <s v="UK"/>
    <x v="4"/>
    <x v="156"/>
    <n v="2732"/>
    <x v="0"/>
  </r>
  <r>
    <s v="Oby Sorrel"/>
    <s v="USA"/>
    <x v="4"/>
    <x v="156"/>
    <n v="9933"/>
    <x v="0"/>
  </r>
  <r>
    <s v="Roddy Speechley"/>
    <s v="Canada"/>
    <x v="5"/>
    <x v="156"/>
    <n v="1556"/>
    <x v="0"/>
  </r>
  <r>
    <s v="Gigi Bohling"/>
    <s v="USA"/>
    <x v="0"/>
    <x v="157"/>
    <n v="7633"/>
    <x v="0"/>
  </r>
  <r>
    <s v="Beverie Moffet"/>
    <s v="UK"/>
    <x v="1"/>
    <x v="157"/>
    <n v="13424"/>
    <x v="0"/>
  </r>
  <r>
    <s v="Karlen McCaffrey"/>
    <s v="Switzerland"/>
    <x v="2"/>
    <x v="157"/>
    <n v="6449"/>
    <x v="0"/>
  </r>
  <r>
    <s v="Mallorie Waber"/>
    <s v="USA"/>
    <x v="0"/>
    <x v="158"/>
    <n v="5669"/>
    <x v="0"/>
  </r>
  <r>
    <s v="Gunar Cockshoot"/>
    <s v="USA"/>
    <x v="1"/>
    <x v="158"/>
    <n v="2144"/>
    <x v="0"/>
  </r>
  <r>
    <s v="Karlen McCaffrey"/>
    <s v="USA"/>
    <x v="7"/>
    <x v="158"/>
    <n v="10797"/>
    <x v="0"/>
  </r>
  <r>
    <s v="Beverie Moffet"/>
    <s v="Switzerland"/>
    <x v="7"/>
    <x v="158"/>
    <n v="1372"/>
    <x v="0"/>
  </r>
  <r>
    <s v="Jan Morforth"/>
    <s v="USA"/>
    <x v="2"/>
    <x v="158"/>
    <n v="7968"/>
    <x v="0"/>
  </r>
  <r>
    <s v="Rafaela Blaksland"/>
    <s v="UK"/>
    <x v="2"/>
    <x v="158"/>
    <n v="10985"/>
    <x v="0"/>
  </r>
  <r>
    <s v="Beverie Moffet"/>
    <s v="Switzerland"/>
    <x v="7"/>
    <x v="159"/>
    <n v="9730"/>
    <x v="0"/>
  </r>
  <r>
    <s v="Barr Faughny"/>
    <s v="China"/>
    <x v="6"/>
    <x v="159"/>
    <n v="12736"/>
    <x v="0"/>
  </r>
  <r>
    <s v="Brien Boise"/>
    <s v="Switzerland"/>
    <x v="7"/>
    <x v="160"/>
    <n v="5701"/>
    <x v="0"/>
  </r>
  <r>
    <s v="Jehu Rudeforth"/>
    <s v="China"/>
    <x v="0"/>
    <x v="161"/>
    <n v="8737"/>
    <x v="0"/>
  </r>
  <r>
    <s v="Van Tuxwell"/>
    <s v="Germany"/>
    <x v="5"/>
    <x v="161"/>
    <n v="12404"/>
    <x v="0"/>
  </r>
  <r>
    <s v="Jan Morforth"/>
    <s v="USA"/>
    <x v="1"/>
    <x v="161"/>
    <n v="2697"/>
    <x v="0"/>
  </r>
  <r>
    <s v="Jan Morforth"/>
    <s v="USA"/>
    <x v="6"/>
    <x v="161"/>
    <n v="4967"/>
    <x v="0"/>
  </r>
  <r>
    <s v="Beverie Moffet"/>
    <s v="China"/>
    <x v="3"/>
    <x v="161"/>
    <n v="2186"/>
    <x v="0"/>
  </r>
  <r>
    <s v="Curtice Advani"/>
    <s v="Canada"/>
    <x v="5"/>
    <x v="162"/>
    <n v="3068"/>
    <x v="0"/>
  </r>
  <r>
    <s v="Beverie Moffet"/>
    <s v="Canada"/>
    <x v="6"/>
    <x v="162"/>
    <n v="7083"/>
    <x v="0"/>
  </r>
  <r>
    <s v="Roddy Speechley"/>
    <s v="USA"/>
    <x v="3"/>
    <x v="163"/>
    <n v="5704"/>
    <x v="0"/>
  </r>
  <r>
    <s v="Beverie Moffet"/>
    <s v="UK"/>
    <x v="0"/>
    <x v="164"/>
    <n v="10194"/>
    <x v="0"/>
  </r>
  <r>
    <s v="Mallorie Waber"/>
    <s v="UK"/>
    <x v="7"/>
    <x v="164"/>
    <n v="4059"/>
    <x v="0"/>
  </r>
  <r>
    <s v="Mallorie Waber"/>
    <s v="Germany"/>
    <x v="2"/>
    <x v="164"/>
    <n v="7426"/>
    <x v="0"/>
  </r>
  <r>
    <s v="Jehu Rudeforth"/>
    <s v="Germany"/>
    <x v="2"/>
    <x v="164"/>
    <n v="4807"/>
    <x v="0"/>
  </r>
  <r>
    <s v="Karlen McCaffrey"/>
    <s v="UK"/>
    <x v="0"/>
    <x v="165"/>
    <n v="1996"/>
    <x v="0"/>
  </r>
  <r>
    <s v="Marney O'Breem"/>
    <s v="Germany"/>
    <x v="4"/>
    <x v="165"/>
    <n v="5393"/>
    <x v="0"/>
  </r>
  <r>
    <s v="Van Tuxwell"/>
    <s v="UK"/>
    <x v="4"/>
    <x v="165"/>
    <n v="3827"/>
    <x v="0"/>
  </r>
  <r>
    <s v="Rafaela Blaksland"/>
    <s v="Switzerland"/>
    <x v="1"/>
    <x v="165"/>
    <n v="8052"/>
    <x v="0"/>
  </r>
  <r>
    <s v="Rafaela Blaksland"/>
    <s v="China"/>
    <x v="7"/>
    <x v="165"/>
    <n v="11199"/>
    <x v="0"/>
  </r>
  <r>
    <s v="Rafaela Blaksland"/>
    <s v="UK"/>
    <x v="3"/>
    <x v="165"/>
    <n v="5271"/>
    <x v="0"/>
  </r>
  <r>
    <s v="Gigi Bohling"/>
    <s v="Germany"/>
    <x v="0"/>
    <x v="166"/>
    <n v="2329"/>
    <x v="0"/>
  </r>
  <r>
    <s v="Van Tuxwell"/>
    <s v="UK"/>
    <x v="0"/>
    <x v="166"/>
    <n v="11295"/>
    <x v="0"/>
  </r>
  <r>
    <s v="Curtice Advani"/>
    <s v="Canada"/>
    <x v="4"/>
    <x v="166"/>
    <n v="10834"/>
    <x v="0"/>
  </r>
  <r>
    <s v="Jehu Rudeforth"/>
    <s v="China"/>
    <x v="4"/>
    <x v="166"/>
    <n v="10912"/>
    <x v="0"/>
  </r>
  <r>
    <s v="Karlen McCaffrey"/>
    <s v="Switzerland"/>
    <x v="1"/>
    <x v="166"/>
    <n v="8002"/>
    <x v="0"/>
  </r>
  <r>
    <s v="Curtice Advani"/>
    <s v="UK"/>
    <x v="6"/>
    <x v="166"/>
    <n v="3841"/>
    <x v="0"/>
  </r>
  <r>
    <s v="Rafaela Blaksland"/>
    <s v="Germany"/>
    <x v="4"/>
    <x v="167"/>
    <n v="6270"/>
    <x v="0"/>
  </r>
  <r>
    <s v="Beverie Moffet"/>
    <s v="Switzerland"/>
    <x v="4"/>
    <x v="167"/>
    <n v="6786"/>
    <x v="0"/>
  </r>
  <r>
    <s v="Gigi Bohling"/>
    <s v="USA"/>
    <x v="7"/>
    <x v="167"/>
    <n v="7712"/>
    <x v="0"/>
  </r>
  <r>
    <s v="Brien Boise"/>
    <s v="Switzerland"/>
    <x v="6"/>
    <x v="167"/>
    <n v="5113"/>
    <x v="0"/>
  </r>
  <r>
    <s v="Karlen McCaffrey"/>
    <s v="UK"/>
    <x v="4"/>
    <x v="168"/>
    <n v="11827"/>
    <x v="0"/>
  </r>
  <r>
    <s v="Karlen McCaffrey"/>
    <s v="Canada"/>
    <x v="5"/>
    <x v="168"/>
    <n v="11669"/>
    <x v="0"/>
  </r>
  <r>
    <s v="Oby Sorrel"/>
    <s v="Canada"/>
    <x v="5"/>
    <x v="168"/>
    <n v="8696"/>
    <x v="0"/>
  </r>
  <r>
    <s v="Curtice Advani"/>
    <s v="Germany"/>
    <x v="7"/>
    <x v="168"/>
    <n v="6184"/>
    <x v="0"/>
  </r>
  <r>
    <s v="Jan Morforth"/>
    <s v="UK"/>
    <x v="6"/>
    <x v="168"/>
    <n v="7888"/>
    <x v="0"/>
  </r>
  <r>
    <s v="Roddy Speechley"/>
    <s v="Germany"/>
    <x v="4"/>
    <x v="169"/>
    <n v="2201"/>
    <x v="0"/>
  </r>
  <r>
    <s v="Rafaela Blaksland"/>
    <s v="China"/>
    <x v="1"/>
    <x v="169"/>
    <n v="9426"/>
    <x v="0"/>
  </r>
  <r>
    <s v="Roddy Speechley"/>
    <s v="Switzerland"/>
    <x v="1"/>
    <x v="169"/>
    <n v="1973"/>
    <x v="0"/>
  </r>
  <r>
    <s v="Marney O'Breem"/>
    <s v="Germany"/>
    <x v="7"/>
    <x v="169"/>
    <n v="2487"/>
    <x v="0"/>
  </r>
  <r>
    <s v="Gunar Cockshoot"/>
    <s v="Germany"/>
    <x v="4"/>
    <x v="170"/>
    <n v="5283"/>
    <x v="0"/>
  </r>
  <r>
    <s v="Brien Boise"/>
    <s v="USA"/>
    <x v="2"/>
    <x v="170"/>
    <n v="8492"/>
    <x v="0"/>
  </r>
  <r>
    <s v="Van Tuxwell"/>
    <s v="UK"/>
    <x v="4"/>
    <x v="171"/>
    <n v="8283"/>
    <x v="0"/>
  </r>
  <r>
    <s v="Mallorie Waber"/>
    <s v="Canada"/>
    <x v="3"/>
    <x v="171"/>
    <n v="3030"/>
    <x v="0"/>
  </r>
  <r>
    <s v="Gigi Bohling"/>
    <s v="China"/>
    <x v="0"/>
    <x v="172"/>
    <n v="11453"/>
    <x v="0"/>
  </r>
  <r>
    <s v="Curtice Advani"/>
    <s v="USA"/>
    <x v="5"/>
    <x v="172"/>
    <n v="4835"/>
    <x v="0"/>
  </r>
  <r>
    <s v="Jehu Rudeforth"/>
    <s v="China"/>
    <x v="5"/>
    <x v="172"/>
    <n v="10504"/>
    <x v="0"/>
  </r>
  <r>
    <s v="Oby Sorrel"/>
    <s v="UK"/>
    <x v="1"/>
    <x v="172"/>
    <n v="3710"/>
    <x v="0"/>
  </r>
  <r>
    <s v="Van Tuxwell"/>
    <s v="China"/>
    <x v="7"/>
    <x v="172"/>
    <n v="7527"/>
    <x v="0"/>
  </r>
  <r>
    <s v="Van Tuxwell"/>
    <s v="Germany"/>
    <x v="0"/>
    <x v="173"/>
    <n v="10079"/>
    <x v="0"/>
  </r>
  <r>
    <s v="Rafaela Blaksland"/>
    <s v="China"/>
    <x v="2"/>
    <x v="173"/>
    <n v="2208"/>
    <x v="0"/>
  </r>
  <r>
    <s v="Oby Sorrel"/>
    <s v="USA"/>
    <x v="5"/>
    <x v="174"/>
    <n v="5606"/>
    <x v="0"/>
  </r>
  <r>
    <s v="Rafaela Blaksland"/>
    <s v="Canada"/>
    <x v="2"/>
    <x v="174"/>
    <n v="7594"/>
    <x v="0"/>
  </r>
  <r>
    <s v="Karlen McCaffrey"/>
    <s v="Germany"/>
    <x v="6"/>
    <x v="174"/>
    <n v="6915"/>
    <x v="0"/>
  </r>
  <r>
    <s v="Van Tuxwell"/>
    <s v="UK"/>
    <x v="3"/>
    <x v="174"/>
    <n v="13557"/>
    <x v="0"/>
  </r>
  <r>
    <s v="Jehu Rudeforth"/>
    <s v="USA"/>
    <x v="3"/>
    <x v="174"/>
    <n v="1275"/>
    <x v="0"/>
  </r>
  <r>
    <s v="Jan Morforth"/>
    <s v="UK"/>
    <x v="0"/>
    <x v="175"/>
    <n v="9240"/>
    <x v="0"/>
  </r>
  <r>
    <s v="Jehu Rudeforth"/>
    <s v="UK"/>
    <x v="5"/>
    <x v="176"/>
    <n v="11948"/>
    <x v="0"/>
  </r>
  <r>
    <s v="Jehu Rudeforth"/>
    <s v="Switzerland"/>
    <x v="7"/>
    <x v="176"/>
    <n v="10761"/>
    <x v="0"/>
  </r>
  <r>
    <s v="Jehu Rudeforth"/>
    <s v="China"/>
    <x v="2"/>
    <x v="176"/>
    <n v="2590"/>
    <x v="0"/>
  </r>
  <r>
    <s v="Barr Faughny"/>
    <s v="UK"/>
    <x v="0"/>
    <x v="177"/>
    <n v="13349"/>
    <x v="0"/>
  </r>
  <r>
    <s v="Van Tuxwell"/>
    <s v="Canada"/>
    <x v="0"/>
    <x v="177"/>
    <n v="6527"/>
    <x v="0"/>
  </r>
  <r>
    <s v="Karlen McCaffrey"/>
    <s v="Canada"/>
    <x v="4"/>
    <x v="177"/>
    <n v="13474"/>
    <x v="0"/>
  </r>
  <r>
    <s v="Barr Faughny"/>
    <s v="Switzerland"/>
    <x v="5"/>
    <x v="177"/>
    <n v="11429"/>
    <x v="0"/>
  </r>
  <r>
    <s v="Jehu Rudeforth"/>
    <s v="China"/>
    <x v="3"/>
    <x v="177"/>
    <n v="6421"/>
    <x v="0"/>
  </r>
  <r>
    <s v="Barr Faughny"/>
    <s v="UK"/>
    <x v="0"/>
    <x v="178"/>
    <n v="1199"/>
    <x v="0"/>
  </r>
  <r>
    <s v="Gunar Cockshoot"/>
    <s v="Switzerland"/>
    <x v="4"/>
    <x v="178"/>
    <n v="1977"/>
    <x v="0"/>
  </r>
  <r>
    <s v="Oby Sorrel"/>
    <s v="UK"/>
    <x v="2"/>
    <x v="178"/>
    <n v="6577"/>
    <x v="0"/>
  </r>
  <r>
    <s v="Van Tuxwell"/>
    <s v="USA"/>
    <x v="6"/>
    <x v="178"/>
    <n v="3508"/>
    <x v="0"/>
  </r>
  <r>
    <s v="Beverie Moffet"/>
    <s v="UK"/>
    <x v="6"/>
    <x v="178"/>
    <n v="13625"/>
    <x v="0"/>
  </r>
  <r>
    <s v="Marney O'Breem"/>
    <s v="USA"/>
    <x v="1"/>
    <x v="179"/>
    <n v="11267"/>
    <x v="0"/>
  </r>
  <r>
    <s v="Beverie Moffet"/>
    <s v="Germany"/>
    <x v="2"/>
    <x v="179"/>
    <n v="10160"/>
    <x v="0"/>
  </r>
  <r>
    <s v="Rafaela Blaksland"/>
    <s v="UK"/>
    <x v="3"/>
    <x v="179"/>
    <n v="6208"/>
    <x v="0"/>
  </r>
  <r>
    <s v="Gunar Cockshoot"/>
    <s v="UK"/>
    <x v="0"/>
    <x v="180"/>
    <n v="6450"/>
    <x v="0"/>
  </r>
  <r>
    <s v="Mallorie Waber"/>
    <s v="UK"/>
    <x v="1"/>
    <x v="180"/>
    <n v="12356"/>
    <x v="0"/>
  </r>
  <r>
    <s v="Gigi Bohling"/>
    <s v="China"/>
    <x v="0"/>
    <x v="181"/>
    <n v="7014"/>
    <x v="0"/>
  </r>
  <r>
    <s v="Barr Faughny"/>
    <s v="USA"/>
    <x v="4"/>
    <x v="182"/>
    <n v="13003"/>
    <x v="0"/>
  </r>
  <r>
    <s v="Oby Sorrel"/>
    <s v="UK"/>
    <x v="5"/>
    <x v="182"/>
    <n v="7937"/>
    <x v="0"/>
  </r>
  <r>
    <s v="Gunar Cockshoot"/>
    <s v="USA"/>
    <x v="5"/>
    <x v="182"/>
    <n v="8972"/>
    <x v="0"/>
  </r>
  <r>
    <s v="Curtice Advani"/>
    <s v="Switzerland"/>
    <x v="5"/>
    <x v="182"/>
    <n v="7940"/>
    <x v="0"/>
  </r>
  <r>
    <s v="Marney O'Breem"/>
    <s v="Germany"/>
    <x v="7"/>
    <x v="182"/>
    <n v="12151"/>
    <x v="0"/>
  </r>
  <r>
    <s v="Jan Morforth"/>
    <s v="Germany"/>
    <x v="2"/>
    <x v="182"/>
    <n v="7841"/>
    <x v="0"/>
  </r>
  <r>
    <s v="Brien Boise"/>
    <s v="Germany"/>
    <x v="2"/>
    <x v="182"/>
    <n v="10308"/>
    <x v="0"/>
  </r>
  <r>
    <s v="Curtice Advani"/>
    <s v="UK"/>
    <x v="2"/>
    <x v="182"/>
    <n v="3147"/>
    <x v="0"/>
  </r>
  <r>
    <s v="Karlen McCaffrey"/>
    <s v="China"/>
    <x v="6"/>
    <x v="182"/>
    <n v="11688"/>
    <x v="0"/>
  </r>
  <r>
    <s v="Gigi Bohling"/>
    <s v="China"/>
    <x v="1"/>
    <x v="183"/>
    <n v="12245"/>
    <x v="0"/>
  </r>
  <r>
    <s v="Gunar Cockshoot"/>
    <s v="UK"/>
    <x v="7"/>
    <x v="183"/>
    <n v="13784"/>
    <x v="0"/>
  </r>
  <r>
    <s v="Beverie Moffet"/>
    <s v="Canada"/>
    <x v="2"/>
    <x v="183"/>
    <n v="7119"/>
    <x v="0"/>
  </r>
  <r>
    <s v="Rafaela Blaksland"/>
    <s v="Canada"/>
    <x v="6"/>
    <x v="183"/>
    <n v="1681"/>
    <x v="0"/>
  </r>
  <r>
    <s v="Rafaela Blaksland"/>
    <s v="Canada"/>
    <x v="6"/>
    <x v="183"/>
    <n v="10688"/>
    <x v="0"/>
  </r>
  <r>
    <s v="Beverie Moffet"/>
    <s v="Switzerland"/>
    <x v="5"/>
    <x v="184"/>
    <n v="10122"/>
    <x v="0"/>
  </r>
  <r>
    <s v="Curtice Advani"/>
    <s v="China"/>
    <x v="5"/>
    <x v="184"/>
    <n v="2093"/>
    <x v="0"/>
  </r>
  <r>
    <s v="Roddy Speechley"/>
    <s v="Switzerland"/>
    <x v="1"/>
    <x v="184"/>
    <n v="3068"/>
    <x v="0"/>
  </r>
  <r>
    <s v="Rafaela Blaksland"/>
    <s v="USA"/>
    <x v="6"/>
    <x v="184"/>
    <n v="8926"/>
    <x v="0"/>
  </r>
  <r>
    <s v="Roddy Speechley"/>
    <s v="China"/>
    <x v="0"/>
    <x v="185"/>
    <n v="8052"/>
    <x v="0"/>
  </r>
  <r>
    <s v="Karlen McCaffrey"/>
    <s v="Canada"/>
    <x v="6"/>
    <x v="185"/>
    <n v="3158"/>
    <x v="0"/>
  </r>
  <r>
    <s v="Brien Boise"/>
    <s v="USA"/>
    <x v="4"/>
    <x v="186"/>
    <n v="8397"/>
    <x v="0"/>
  </r>
  <r>
    <s v="Gunar Cockshoot"/>
    <s v="China"/>
    <x v="2"/>
    <x v="186"/>
    <n v="3866"/>
    <x v="0"/>
  </r>
  <r>
    <s v="Brien Boise"/>
    <s v="Germany"/>
    <x v="6"/>
    <x v="186"/>
    <n v="2791"/>
    <x v="0"/>
  </r>
  <r>
    <s v="Jan Morforth"/>
    <s v="Switzerland"/>
    <x v="0"/>
    <x v="187"/>
    <n v="3903"/>
    <x v="0"/>
  </r>
  <r>
    <s v="Brien Boise"/>
    <s v="UK"/>
    <x v="7"/>
    <x v="187"/>
    <n v="10250"/>
    <x v="0"/>
  </r>
  <r>
    <s v="Mallorie Waber"/>
    <s v="Switzerland"/>
    <x v="3"/>
    <x v="187"/>
    <n v="4167"/>
    <x v="0"/>
  </r>
  <r>
    <s v="Van Tuxwell"/>
    <s v="Germany"/>
    <x v="1"/>
    <x v="188"/>
    <n v="9854"/>
    <x v="0"/>
  </r>
  <r>
    <s v="Roddy Speechley"/>
    <s v="Canada"/>
    <x v="7"/>
    <x v="188"/>
    <n v="4488"/>
    <x v="0"/>
  </r>
  <r>
    <s v="Brien Boise"/>
    <s v="China"/>
    <x v="7"/>
    <x v="188"/>
    <n v="3401"/>
    <x v="0"/>
  </r>
  <r>
    <s v="Roddy Speechley"/>
    <s v="USA"/>
    <x v="2"/>
    <x v="188"/>
    <n v="11980"/>
    <x v="0"/>
  </r>
  <r>
    <s v="Gunar Cockshoot"/>
    <s v="USA"/>
    <x v="3"/>
    <x v="188"/>
    <n v="13215"/>
    <x v="0"/>
  </r>
  <r>
    <s v="Rafaela Blaksland"/>
    <s v="Canada"/>
    <x v="2"/>
    <x v="189"/>
    <n v="13858"/>
    <x v="0"/>
  </r>
  <r>
    <s v="Marney O'Breem"/>
    <s v="USA"/>
    <x v="0"/>
    <x v="190"/>
    <n v="5628"/>
    <x v="0"/>
  </r>
  <r>
    <s v="Gigi Bohling"/>
    <s v="China"/>
    <x v="5"/>
    <x v="190"/>
    <n v="8998"/>
    <x v="0"/>
  </r>
  <r>
    <s v="Karlen McCaffrey"/>
    <s v="USA"/>
    <x v="5"/>
    <x v="190"/>
    <n v="10611"/>
    <x v="0"/>
  </r>
  <r>
    <s v="Barr Faughny"/>
    <s v="UK"/>
    <x v="7"/>
    <x v="190"/>
    <n v="1129"/>
    <x v="0"/>
  </r>
  <r>
    <s v="Gunar Cockshoot"/>
    <s v="Switzerland"/>
    <x v="6"/>
    <x v="190"/>
    <n v="1712"/>
    <x v="0"/>
  </r>
  <r>
    <s v="Rafaela Blaksland"/>
    <s v="Switzerland"/>
    <x v="5"/>
    <x v="191"/>
    <n v="2875"/>
    <x v="0"/>
  </r>
  <r>
    <s v="Brien Boise"/>
    <s v="Switzerland"/>
    <x v="5"/>
    <x v="191"/>
    <n v="12641"/>
    <x v="0"/>
  </r>
  <r>
    <s v="Van Tuxwell"/>
    <s v="Canada"/>
    <x v="1"/>
    <x v="191"/>
    <n v="13618"/>
    <x v="0"/>
  </r>
  <r>
    <s v="Roddy Speechley"/>
    <s v="Switzerland"/>
    <x v="7"/>
    <x v="191"/>
    <n v="9314"/>
    <x v="0"/>
  </r>
  <r>
    <s v="Gunar Cockshoot"/>
    <s v="Germany"/>
    <x v="2"/>
    <x v="191"/>
    <n v="1695"/>
    <x v="0"/>
  </r>
  <r>
    <s v="Karlen McCaffrey"/>
    <s v="UK"/>
    <x v="3"/>
    <x v="191"/>
    <n v="13752"/>
    <x v="0"/>
  </r>
  <r>
    <s v="Roddy Speechley"/>
    <s v="China"/>
    <x v="4"/>
    <x v="192"/>
    <n v="4181"/>
    <x v="0"/>
  </r>
  <r>
    <s v="Karlen McCaffrey"/>
    <s v="Switzerland"/>
    <x v="5"/>
    <x v="192"/>
    <n v="10467"/>
    <x v="0"/>
  </r>
  <r>
    <s v="Roddy Speechley"/>
    <s v="Switzerland"/>
    <x v="2"/>
    <x v="192"/>
    <n v="7291"/>
    <x v="0"/>
  </r>
  <r>
    <s v="Curtice Advani"/>
    <s v="China"/>
    <x v="2"/>
    <x v="192"/>
    <n v="1987"/>
    <x v="0"/>
  </r>
  <r>
    <s v="Beverie Moffet"/>
    <s v="Canada"/>
    <x v="6"/>
    <x v="192"/>
    <n v="9780"/>
    <x v="0"/>
  </r>
  <r>
    <s v="Gunar Cockshoot"/>
    <s v="China"/>
    <x v="0"/>
    <x v="193"/>
    <n v="2150"/>
    <x v="0"/>
  </r>
  <r>
    <s v="Jan Morforth"/>
    <s v="Canada"/>
    <x v="0"/>
    <x v="193"/>
    <n v="11342"/>
    <x v="0"/>
  </r>
  <r>
    <s v="Jan Morforth"/>
    <s v="China"/>
    <x v="5"/>
    <x v="193"/>
    <n v="3836"/>
    <x v="0"/>
  </r>
  <r>
    <s v="Van Tuxwell"/>
    <s v="China"/>
    <x v="7"/>
    <x v="193"/>
    <n v="10885"/>
    <x v="0"/>
  </r>
  <r>
    <s v="Rafaela Blaksland"/>
    <s v="Canada"/>
    <x v="2"/>
    <x v="193"/>
    <n v="4632"/>
    <x v="0"/>
  </r>
  <r>
    <s v="Marney O'Breem"/>
    <s v="Canada"/>
    <x v="2"/>
    <x v="193"/>
    <n v="2913"/>
    <x v="0"/>
  </r>
  <r>
    <s v="Jehu Rudeforth"/>
    <s v="Canada"/>
    <x v="6"/>
    <x v="193"/>
    <n v="7767"/>
    <x v="0"/>
  </r>
  <r>
    <s v="Curtice Advani"/>
    <s v="Germany"/>
    <x v="4"/>
    <x v="194"/>
    <n v="2276"/>
    <x v="0"/>
  </r>
  <r>
    <s v="Jan Morforth"/>
    <s v="Germany"/>
    <x v="5"/>
    <x v="194"/>
    <n v="13774"/>
    <x v="0"/>
  </r>
  <r>
    <s v="Curtice Advani"/>
    <s v="USA"/>
    <x v="7"/>
    <x v="194"/>
    <n v="2255"/>
    <x v="0"/>
  </r>
  <r>
    <s v="Karlen McCaffrey"/>
    <s v="Canada"/>
    <x v="2"/>
    <x v="194"/>
    <n v="12055"/>
    <x v="0"/>
  </r>
  <r>
    <s v="Jehu Rudeforth"/>
    <s v="Canada"/>
    <x v="6"/>
    <x v="194"/>
    <n v="4585"/>
    <x v="0"/>
  </r>
  <r>
    <s v="Brien Boise"/>
    <s v="Canada"/>
    <x v="3"/>
    <x v="194"/>
    <n v="3615"/>
    <x v="0"/>
  </r>
  <r>
    <s v="Rafaela Blaksland"/>
    <s v="UK"/>
    <x v="3"/>
    <x v="194"/>
    <n v="8347"/>
    <x v="0"/>
  </r>
  <r>
    <s v="Oby Sorrel"/>
    <s v="China"/>
    <x v="0"/>
    <x v="195"/>
    <n v="9734"/>
    <x v="0"/>
  </r>
  <r>
    <s v="Mallorie Waber"/>
    <s v="China"/>
    <x v="0"/>
    <x v="195"/>
    <n v="3099"/>
    <x v="0"/>
  </r>
  <r>
    <s v="Brien Boise"/>
    <s v="Germany"/>
    <x v="2"/>
    <x v="195"/>
    <n v="10658"/>
    <x v="0"/>
  </r>
  <r>
    <s v="Karlen McCaffrey"/>
    <s v="UK"/>
    <x v="2"/>
    <x v="195"/>
    <n v="13465"/>
    <x v="0"/>
  </r>
  <r>
    <s v="Gunar Cockshoot"/>
    <s v="Germany"/>
    <x v="4"/>
    <x v="196"/>
    <n v="7992"/>
    <x v="0"/>
  </r>
  <r>
    <s v="Mallorie Waber"/>
    <s v="UK"/>
    <x v="4"/>
    <x v="196"/>
    <n v="4872"/>
    <x v="0"/>
  </r>
  <r>
    <s v="Karlen McCaffrey"/>
    <s v="Germany"/>
    <x v="4"/>
    <x v="196"/>
    <n v="6556"/>
    <x v="0"/>
  </r>
  <r>
    <s v="Beverie Moffet"/>
    <s v="USA"/>
    <x v="5"/>
    <x v="196"/>
    <n v="10140"/>
    <x v="0"/>
  </r>
  <r>
    <s v="Beverie Moffet"/>
    <s v="USA"/>
    <x v="1"/>
    <x v="196"/>
    <n v="4966"/>
    <x v="0"/>
  </r>
  <r>
    <s v="Beverie Moffet"/>
    <s v="USA"/>
    <x v="1"/>
    <x v="196"/>
    <n v="1024"/>
    <x v="0"/>
  </r>
  <r>
    <s v="Beverie Moffet"/>
    <s v="Germany"/>
    <x v="1"/>
    <x v="196"/>
    <n v="12772"/>
    <x v="0"/>
  </r>
  <r>
    <s v="Marney O'Breem"/>
    <s v="Canada"/>
    <x v="6"/>
    <x v="196"/>
    <n v="1167"/>
    <x v="0"/>
  </r>
  <r>
    <s v="Beverie Moffet"/>
    <s v="Germany"/>
    <x v="5"/>
    <x v="197"/>
    <n v="3649"/>
    <x v="0"/>
  </r>
  <r>
    <s v="Barr Faughny"/>
    <s v="China"/>
    <x v="2"/>
    <x v="197"/>
    <n v="3747"/>
    <x v="0"/>
  </r>
  <r>
    <s v="Jan Morforth"/>
    <s v="USA"/>
    <x v="2"/>
    <x v="197"/>
    <n v="9541"/>
    <x v="0"/>
  </r>
  <r>
    <s v="Gunar Cockshoot"/>
    <s v="USA"/>
    <x v="5"/>
    <x v="198"/>
    <n v="10389"/>
    <x v="0"/>
  </r>
  <r>
    <s v="Oby Sorrel"/>
    <s v="Canada"/>
    <x v="5"/>
    <x v="198"/>
    <n v="11429"/>
    <x v="0"/>
  </r>
  <r>
    <s v="Rafaela Blaksland"/>
    <s v="USA"/>
    <x v="5"/>
    <x v="198"/>
    <n v="13248"/>
    <x v="0"/>
  </r>
  <r>
    <s v="Mallorie Waber"/>
    <s v="USA"/>
    <x v="1"/>
    <x v="198"/>
    <n v="13633"/>
    <x v="0"/>
  </r>
  <r>
    <s v="Oby Sorrel"/>
    <s v="Canada"/>
    <x v="3"/>
    <x v="198"/>
    <n v="4618"/>
    <x v="0"/>
  </r>
  <r>
    <s v="Brien Boise"/>
    <s v="Canada"/>
    <x v="3"/>
    <x v="198"/>
    <n v="13505"/>
    <x v="0"/>
  </r>
  <r>
    <s v="Gunar Cockshoot"/>
    <s v="UK"/>
    <x v="3"/>
    <x v="198"/>
    <n v="5015"/>
    <x v="0"/>
  </r>
  <r>
    <s v="Beverie Moffet"/>
    <s v="Germany"/>
    <x v="0"/>
    <x v="199"/>
    <n v="5464"/>
    <x v="0"/>
  </r>
  <r>
    <s v="Marney O'Breem"/>
    <s v="Canada"/>
    <x v="5"/>
    <x v="199"/>
    <n v="7227"/>
    <x v="0"/>
  </r>
  <r>
    <s v="Rafaela Blaksland"/>
    <s v="Germany"/>
    <x v="5"/>
    <x v="199"/>
    <n v="4381"/>
    <x v="0"/>
  </r>
  <r>
    <s v="Oby Sorrel"/>
    <s v="UK"/>
    <x v="7"/>
    <x v="199"/>
    <n v="11734"/>
    <x v="0"/>
  </r>
  <r>
    <s v="Karlen McCaffrey"/>
    <s v="China"/>
    <x v="6"/>
    <x v="199"/>
    <n v="5282"/>
    <x v="0"/>
  </r>
  <r>
    <s v="Gunar Cockshoot"/>
    <s v="China"/>
    <x v="5"/>
    <x v="200"/>
    <n v="8216"/>
    <x v="0"/>
  </r>
  <r>
    <s v="Roddy Speechley"/>
    <s v="Canada"/>
    <x v="1"/>
    <x v="200"/>
    <n v="3071"/>
    <x v="0"/>
  </r>
  <r>
    <s v="Curtice Advani"/>
    <s v="USA"/>
    <x v="2"/>
    <x v="200"/>
    <n v="7452"/>
    <x v="0"/>
  </r>
  <r>
    <s v="Jehu Rudeforth"/>
    <s v="Switzerland"/>
    <x v="2"/>
    <x v="201"/>
    <n v="11448"/>
    <x v="0"/>
  </r>
  <r>
    <s v="Gigi Bohling"/>
    <s v="USA"/>
    <x v="2"/>
    <x v="201"/>
    <n v="4125"/>
    <x v="0"/>
  </r>
  <r>
    <s v="Oby Sorrel"/>
    <s v="UK"/>
    <x v="0"/>
    <x v="202"/>
    <n v="3326"/>
    <x v="0"/>
  </r>
  <r>
    <s v="Gunar Cockshoot"/>
    <s v="Switzerland"/>
    <x v="7"/>
    <x v="202"/>
    <n v="6205"/>
    <x v="0"/>
  </r>
  <r>
    <s v="Roddy Speechley"/>
    <s v="USA"/>
    <x v="3"/>
    <x v="202"/>
    <n v="5554"/>
    <x v="0"/>
  </r>
  <r>
    <s v="Jan Morforth"/>
    <s v="Canada"/>
    <x v="4"/>
    <x v="203"/>
    <n v="13509"/>
    <x v="0"/>
  </r>
  <r>
    <s v="Karlen McCaffrey"/>
    <s v="UK"/>
    <x v="5"/>
    <x v="203"/>
    <n v="11515"/>
    <x v="0"/>
  </r>
  <r>
    <s v="Brien Boise"/>
    <s v="Switzerland"/>
    <x v="5"/>
    <x v="203"/>
    <n v="12503"/>
    <x v="0"/>
  </r>
  <r>
    <s v="Gunar Cockshoot"/>
    <s v="USA"/>
    <x v="2"/>
    <x v="203"/>
    <n v="8053"/>
    <x v="0"/>
  </r>
  <r>
    <s v="Barr Faughny"/>
    <s v="China"/>
    <x v="2"/>
    <x v="203"/>
    <n v="2003"/>
    <x v="0"/>
  </r>
  <r>
    <s v="Van Tuxwell"/>
    <s v="Canada"/>
    <x v="6"/>
    <x v="203"/>
    <n v="3559"/>
    <x v="0"/>
  </r>
  <r>
    <s v="Karlen McCaffrey"/>
    <s v="Canada"/>
    <x v="0"/>
    <x v="204"/>
    <n v="12205"/>
    <x v="0"/>
  </r>
  <r>
    <s v="Mallorie Waber"/>
    <s v="USA"/>
    <x v="2"/>
    <x v="204"/>
    <n v="13132"/>
    <x v="0"/>
  </r>
  <r>
    <s v="Karlen McCaffrey"/>
    <s v="UK"/>
    <x v="6"/>
    <x v="204"/>
    <n v="1948"/>
    <x v="0"/>
  </r>
  <r>
    <s v="Gigi Bohling"/>
    <s v="UK"/>
    <x v="0"/>
    <x v="205"/>
    <n v="5162"/>
    <x v="0"/>
  </r>
  <r>
    <s v="Curtice Advani"/>
    <s v="Canada"/>
    <x v="0"/>
    <x v="205"/>
    <n v="5305"/>
    <x v="0"/>
  </r>
  <r>
    <s v="Jehu Rudeforth"/>
    <s v="Canada"/>
    <x v="5"/>
    <x v="205"/>
    <n v="7888"/>
    <x v="0"/>
  </r>
  <r>
    <s v="Beverie Moffet"/>
    <s v="UK"/>
    <x v="6"/>
    <x v="205"/>
    <n v="11741"/>
    <x v="0"/>
  </r>
  <r>
    <s v="Jehu Rudeforth"/>
    <s v="Switzerland"/>
    <x v="2"/>
    <x v="206"/>
    <n v="2044"/>
    <x v="0"/>
  </r>
  <r>
    <s v="Roddy Speechley"/>
    <s v="Canada"/>
    <x v="3"/>
    <x v="206"/>
    <n v="2277"/>
    <x v="0"/>
  </r>
  <r>
    <s v="Marney O'Breem"/>
    <s v="China"/>
    <x v="3"/>
    <x v="206"/>
    <n v="11616"/>
    <x v="0"/>
  </r>
  <r>
    <s v="Brien Boise"/>
    <s v="UK"/>
    <x v="4"/>
    <x v="207"/>
    <n v="13461"/>
    <x v="0"/>
  </r>
  <r>
    <s v="Oby Sorrel"/>
    <s v="UK"/>
    <x v="7"/>
    <x v="207"/>
    <n v="11438"/>
    <x v="0"/>
  </r>
  <r>
    <s v="Brien Boise"/>
    <s v="UK"/>
    <x v="2"/>
    <x v="207"/>
    <n v="7386"/>
    <x v="0"/>
  </r>
  <r>
    <s v="Jehu Rudeforth"/>
    <s v="UK"/>
    <x v="0"/>
    <x v="208"/>
    <n v="3013"/>
    <x v="0"/>
  </r>
  <r>
    <s v="Roddy Speechley"/>
    <s v="Switzerland"/>
    <x v="0"/>
    <x v="208"/>
    <n v="1186"/>
    <x v="0"/>
  </r>
  <r>
    <s v="Brien Boise"/>
    <s v="China"/>
    <x v="0"/>
    <x v="208"/>
    <n v="4305"/>
    <x v="0"/>
  </r>
  <r>
    <s v="Curtice Advani"/>
    <s v="China"/>
    <x v="0"/>
    <x v="208"/>
    <n v="9765"/>
    <x v="0"/>
  </r>
  <r>
    <s v="Rafaela Blaksland"/>
    <s v="Canada"/>
    <x v="1"/>
    <x v="208"/>
    <n v="6692"/>
    <x v="0"/>
  </r>
  <r>
    <s v="Mallorie Waber"/>
    <s v="USA"/>
    <x v="1"/>
    <x v="208"/>
    <n v="7666"/>
    <x v="0"/>
  </r>
  <r>
    <s v="Karlen McCaffrey"/>
    <s v="Canada"/>
    <x v="1"/>
    <x v="208"/>
    <n v="11732"/>
    <x v="0"/>
  </r>
  <r>
    <s v="Van Tuxwell"/>
    <s v="Canada"/>
    <x v="0"/>
    <x v="209"/>
    <n v="3064"/>
    <x v="0"/>
  </r>
  <r>
    <s v="Brien Boise"/>
    <s v="USA"/>
    <x v="5"/>
    <x v="209"/>
    <n v="5717"/>
    <x v="0"/>
  </r>
  <r>
    <s v="Roddy Speechley"/>
    <s v="USA"/>
    <x v="5"/>
    <x v="209"/>
    <n v="4155"/>
    <x v="0"/>
  </r>
  <r>
    <s v="Gigi Bohling"/>
    <s v="Germany"/>
    <x v="7"/>
    <x v="209"/>
    <n v="5483"/>
    <x v="0"/>
  </r>
  <r>
    <s v="Oby Sorrel"/>
    <s v="Canada"/>
    <x v="6"/>
    <x v="209"/>
    <n v="2610"/>
    <x v="0"/>
  </r>
  <r>
    <s v="Curtice Advani"/>
    <s v="USA"/>
    <x v="1"/>
    <x v="210"/>
    <n v="10427"/>
    <x v="0"/>
  </r>
  <r>
    <s v="Jehu Rudeforth"/>
    <s v="China"/>
    <x v="7"/>
    <x v="210"/>
    <n v="10162"/>
    <x v="0"/>
  </r>
  <r>
    <s v="Jan Morforth"/>
    <s v="China"/>
    <x v="2"/>
    <x v="210"/>
    <n v="3628"/>
    <x v="0"/>
  </r>
  <r>
    <s v="Roddy Speechley"/>
    <s v="Germany"/>
    <x v="6"/>
    <x v="210"/>
    <n v="6864"/>
    <x v="0"/>
  </r>
  <r>
    <s v="Gigi Bohling"/>
    <s v="Switzerland"/>
    <x v="6"/>
    <x v="210"/>
    <n v="1810"/>
    <x v="0"/>
  </r>
  <r>
    <s v="Mallorie Waber"/>
    <s v="UK"/>
    <x v="0"/>
    <x v="211"/>
    <n v="6221"/>
    <x v="0"/>
  </r>
  <r>
    <s v="Brien Boise"/>
    <s v="China"/>
    <x v="4"/>
    <x v="211"/>
    <n v="1056"/>
    <x v="0"/>
  </r>
  <r>
    <s v="Marney O'Breem"/>
    <s v="Canada"/>
    <x v="5"/>
    <x v="211"/>
    <n v="2761"/>
    <x v="0"/>
  </r>
  <r>
    <s v="Gigi Bohling"/>
    <s v="USA"/>
    <x v="7"/>
    <x v="211"/>
    <n v="2544"/>
    <x v="0"/>
  </r>
  <r>
    <s v="Marney O'Breem"/>
    <s v="UK"/>
    <x v="6"/>
    <x v="211"/>
    <n v="10580"/>
    <x v="0"/>
  </r>
  <r>
    <s v="Gunar Cockshoot"/>
    <s v="Switzerland"/>
    <x v="6"/>
    <x v="212"/>
    <n v="2033"/>
    <x v="0"/>
  </r>
  <r>
    <s v="Mallorie Waber"/>
    <s v="Canada"/>
    <x v="6"/>
    <x v="212"/>
    <n v="7086"/>
    <x v="0"/>
  </r>
  <r>
    <s v="Curtice Advani"/>
    <s v="USA"/>
    <x v="3"/>
    <x v="212"/>
    <n v="8771"/>
    <x v="0"/>
  </r>
  <r>
    <s v="Marney O'Breem"/>
    <s v="Switzerland"/>
    <x v="3"/>
    <x v="212"/>
    <n v="12735"/>
    <x v="0"/>
  </r>
  <r>
    <s v="Beverie Moffet"/>
    <s v="Germany"/>
    <x v="6"/>
    <x v="213"/>
    <n v="10271"/>
    <x v="0"/>
  </r>
  <r>
    <s v="Jehu Rudeforth"/>
    <s v="USA"/>
    <x v="3"/>
    <x v="213"/>
    <n v="1867"/>
    <x v="0"/>
  </r>
  <r>
    <s v="Jehu Rudeforth"/>
    <s v="Germany"/>
    <x v="3"/>
    <x v="213"/>
    <n v="10631"/>
    <x v="0"/>
  </r>
  <r>
    <s v="Van Tuxwell"/>
    <s v="Switzerland"/>
    <x v="7"/>
    <x v="214"/>
    <n v="3714"/>
    <x v="0"/>
  </r>
  <r>
    <s v="Van Tuxwell"/>
    <s v="Switzerland"/>
    <x v="3"/>
    <x v="214"/>
    <n v="8593"/>
    <x v="0"/>
  </r>
  <r>
    <s v="Barr Faughny"/>
    <s v="Germany"/>
    <x v="0"/>
    <x v="215"/>
    <n v="9591"/>
    <x v="0"/>
  </r>
  <r>
    <s v="Barr Faughny"/>
    <s v="UK"/>
    <x v="0"/>
    <x v="215"/>
    <n v="10531"/>
    <x v="0"/>
  </r>
  <r>
    <s v="Rafaela Blaksland"/>
    <s v="Canada"/>
    <x v="5"/>
    <x v="215"/>
    <n v="8442"/>
    <x v="0"/>
  </r>
  <r>
    <s v="Beverie Moffet"/>
    <s v="Germany"/>
    <x v="1"/>
    <x v="215"/>
    <n v="3425"/>
    <x v="0"/>
  </r>
  <r>
    <s v="Rafaela Blaksland"/>
    <s v="Germany"/>
    <x v="6"/>
    <x v="215"/>
    <n v="3065"/>
    <x v="0"/>
  </r>
  <r>
    <s v="Mallorie Waber"/>
    <s v="Germany"/>
    <x v="0"/>
    <x v="216"/>
    <n v="12950"/>
    <x v="0"/>
  </r>
  <r>
    <s v="Rafaela Blaksland"/>
    <s v="Switzerland"/>
    <x v="0"/>
    <x v="216"/>
    <n v="9470"/>
    <x v="0"/>
  </r>
  <r>
    <s v="Beverie Moffet"/>
    <s v="UK"/>
    <x v="4"/>
    <x v="216"/>
    <n v="7136"/>
    <x v="0"/>
  </r>
  <r>
    <s v="Mallorie Waber"/>
    <s v="UK"/>
    <x v="7"/>
    <x v="216"/>
    <n v="5679"/>
    <x v="0"/>
  </r>
  <r>
    <s v="Beverie Moffet"/>
    <s v="Switzerland"/>
    <x v="3"/>
    <x v="216"/>
    <n v="11078"/>
    <x v="0"/>
  </r>
  <r>
    <s v="Curtice Advani"/>
    <s v="China"/>
    <x v="0"/>
    <x v="217"/>
    <n v="1637"/>
    <x v="0"/>
  </r>
  <r>
    <s v="Jehu Rudeforth"/>
    <s v="USA"/>
    <x v="4"/>
    <x v="217"/>
    <n v="6770"/>
    <x v="0"/>
  </r>
  <r>
    <s v="Gigi Bohling"/>
    <s v="Germany"/>
    <x v="3"/>
    <x v="217"/>
    <n v="9602"/>
    <x v="0"/>
  </r>
  <r>
    <s v="Brien Boise"/>
    <s v="USA"/>
    <x v="4"/>
    <x v="218"/>
    <n v="1086"/>
    <x v="0"/>
  </r>
  <r>
    <s v="Van Tuxwell"/>
    <s v="USA"/>
    <x v="5"/>
    <x v="218"/>
    <n v="2693"/>
    <x v="0"/>
  </r>
  <r>
    <s v="Jan Morforth"/>
    <s v="Germany"/>
    <x v="1"/>
    <x v="218"/>
    <n v="10702"/>
    <x v="0"/>
  </r>
  <r>
    <s v="Rafaela Blaksland"/>
    <s v="USA"/>
    <x v="1"/>
    <x v="218"/>
    <n v="7766"/>
    <x v="0"/>
  </r>
  <r>
    <s v="Roddy Speechley"/>
    <s v="Switzerland"/>
    <x v="1"/>
    <x v="218"/>
    <n v="2081"/>
    <x v="0"/>
  </r>
  <r>
    <s v="Mallorie Waber"/>
    <s v="China"/>
    <x v="6"/>
    <x v="218"/>
    <n v="5610"/>
    <x v="0"/>
  </r>
  <r>
    <s v="Oby Sorrel"/>
    <s v="Canada"/>
    <x v="7"/>
    <x v="219"/>
    <n v="6780"/>
    <x v="0"/>
  </r>
  <r>
    <s v="Mallorie Waber"/>
    <s v="China"/>
    <x v="6"/>
    <x v="219"/>
    <n v="3055"/>
    <x v="0"/>
  </r>
  <r>
    <s v="Roddy Speechley"/>
    <s v="Canada"/>
    <x v="0"/>
    <x v="220"/>
    <n v="3429"/>
    <x v="0"/>
  </r>
  <r>
    <s v="Barr Faughny"/>
    <s v="UK"/>
    <x v="0"/>
    <x v="220"/>
    <n v="10829"/>
    <x v="0"/>
  </r>
  <r>
    <s v="Barr Faughny"/>
    <s v="Switzerland"/>
    <x v="4"/>
    <x v="220"/>
    <n v="6750"/>
    <x v="0"/>
  </r>
  <r>
    <s v="Marney O'Breem"/>
    <s v="China"/>
    <x v="6"/>
    <x v="220"/>
    <n v="10349"/>
    <x v="0"/>
  </r>
  <r>
    <s v="Barr Faughny"/>
    <s v="China"/>
    <x v="3"/>
    <x v="220"/>
    <n v="6900"/>
    <x v="0"/>
  </r>
  <r>
    <s v="Curtice Advani"/>
    <s v="China"/>
    <x v="7"/>
    <x v="221"/>
    <n v="10863"/>
    <x v="0"/>
  </r>
  <r>
    <s v="Jehu Rudeforth"/>
    <s v="China"/>
    <x v="1"/>
    <x v="222"/>
    <n v="12421"/>
    <x v="0"/>
  </r>
  <r>
    <s v="Oby Sorrel"/>
    <s v="USA"/>
    <x v="2"/>
    <x v="222"/>
    <n v="6227"/>
    <x v="0"/>
  </r>
  <r>
    <s v="Roddy Speechley"/>
    <s v="Switzerland"/>
    <x v="3"/>
    <x v="222"/>
    <n v="10994"/>
    <x v="0"/>
  </r>
  <r>
    <s v="Mallorie Waber"/>
    <s v="Canada"/>
    <x v="7"/>
    <x v="223"/>
    <n v="8311"/>
    <x v="0"/>
  </r>
  <r>
    <s v="Oby Sorrel"/>
    <s v="Canada"/>
    <x v="6"/>
    <x v="223"/>
    <n v="3041"/>
    <x v="0"/>
  </r>
  <r>
    <s v="Rafaela Blaksland"/>
    <s v="China"/>
    <x v="3"/>
    <x v="223"/>
    <n v="3273"/>
    <x v="0"/>
  </r>
  <r>
    <s v="Brien Boise"/>
    <s v="Switzerland"/>
    <x v="4"/>
    <x v="224"/>
    <n v="7155"/>
    <x v="0"/>
  </r>
  <r>
    <s v="Curtice Advani"/>
    <s v="Germany"/>
    <x v="5"/>
    <x v="224"/>
    <n v="7403"/>
    <x v="0"/>
  </r>
  <r>
    <s v="Beverie Moffet"/>
    <s v="USA"/>
    <x v="5"/>
    <x v="224"/>
    <n v="2974"/>
    <x v="0"/>
  </r>
  <r>
    <s v="Rafaela Blaksland"/>
    <s v="UK"/>
    <x v="0"/>
    <x v="225"/>
    <n v="9827"/>
    <x v="0"/>
  </r>
  <r>
    <s v="Roddy Speechley"/>
    <s v="Germany"/>
    <x v="5"/>
    <x v="225"/>
    <n v="13052"/>
    <x v="0"/>
  </r>
  <r>
    <s v="Karlen McCaffrey"/>
    <s v="Canada"/>
    <x v="7"/>
    <x v="225"/>
    <n v="3485"/>
    <x v="0"/>
  </r>
  <r>
    <s v="Van Tuxwell"/>
    <s v="China"/>
    <x v="6"/>
    <x v="225"/>
    <n v="11364"/>
    <x v="0"/>
  </r>
  <r>
    <s v="Jan Morforth"/>
    <s v="Germany"/>
    <x v="3"/>
    <x v="225"/>
    <n v="1523"/>
    <x v="0"/>
  </r>
  <r>
    <s v="Roddy Speechley"/>
    <s v="China"/>
    <x v="4"/>
    <x v="226"/>
    <n v="11274"/>
    <x v="0"/>
  </r>
  <r>
    <s v="Brien Boise"/>
    <s v="Canada"/>
    <x v="1"/>
    <x v="226"/>
    <n v="6117"/>
    <x v="0"/>
  </r>
  <r>
    <s v="Jan Morforth"/>
    <s v="USA"/>
    <x v="1"/>
    <x v="226"/>
    <n v="2823"/>
    <x v="0"/>
  </r>
  <r>
    <s v="Barr Faughny"/>
    <s v="Canada"/>
    <x v="1"/>
    <x v="227"/>
    <n v="9363"/>
    <x v="0"/>
  </r>
  <r>
    <s v="Gunar Cockshoot"/>
    <s v="UK"/>
    <x v="7"/>
    <x v="227"/>
    <n v="6838"/>
    <x v="0"/>
  </r>
  <r>
    <s v="Curtice Advani"/>
    <s v="Canada"/>
    <x v="6"/>
    <x v="227"/>
    <n v="11031"/>
    <x v="0"/>
  </r>
  <r>
    <s v="Roddy Speechley"/>
    <s v="Germany"/>
    <x v="5"/>
    <x v="228"/>
    <n v="12514"/>
    <x v="0"/>
  </r>
  <r>
    <s v="Jehu Rudeforth"/>
    <s v="UK"/>
    <x v="1"/>
    <x v="228"/>
    <n v="7132"/>
    <x v="0"/>
  </r>
  <r>
    <s v="Van Tuxwell"/>
    <s v="USA"/>
    <x v="2"/>
    <x v="228"/>
    <n v="4766"/>
    <x v="0"/>
  </r>
  <r>
    <s v="Barr Faughny"/>
    <s v="UK"/>
    <x v="7"/>
    <x v="229"/>
    <n v="11844"/>
    <x v="0"/>
  </r>
  <r>
    <s v="Curtice Advani"/>
    <s v="UK"/>
    <x v="3"/>
    <x v="229"/>
    <n v="9443"/>
    <x v="0"/>
  </r>
  <r>
    <s v="Karlen McCaffrey"/>
    <s v="China"/>
    <x v="0"/>
    <x v="230"/>
    <n v="12791"/>
    <x v="0"/>
  </r>
  <r>
    <s v="Curtice Advani"/>
    <s v="China"/>
    <x v="1"/>
    <x v="230"/>
    <n v="13779"/>
    <x v="0"/>
  </r>
  <r>
    <s v="Jan Morforth"/>
    <s v="Germany"/>
    <x v="0"/>
    <x v="231"/>
    <n v="9320"/>
    <x v="0"/>
  </r>
  <r>
    <s v="Gunar Cockshoot"/>
    <s v="Germany"/>
    <x v="4"/>
    <x v="231"/>
    <n v="8702"/>
    <x v="0"/>
  </r>
  <r>
    <s v="Marney O'Breem"/>
    <s v="USA"/>
    <x v="5"/>
    <x v="231"/>
    <n v="13489"/>
    <x v="0"/>
  </r>
  <r>
    <s v="Mallorie Waber"/>
    <s v="UK"/>
    <x v="2"/>
    <x v="231"/>
    <n v="1789"/>
    <x v="0"/>
  </r>
  <r>
    <s v="Roddy Speechley"/>
    <s v="UK"/>
    <x v="6"/>
    <x v="231"/>
    <n v="2096"/>
    <x v="0"/>
  </r>
  <r>
    <s v="Jan Morforth"/>
    <s v="Canada"/>
    <x v="6"/>
    <x v="231"/>
    <n v="2604"/>
    <x v="0"/>
  </r>
  <r>
    <s v="Gigi Bohling"/>
    <s v="Switzerland"/>
    <x v="2"/>
    <x v="232"/>
    <n v="10520"/>
    <x v="0"/>
  </r>
  <r>
    <s v="Jehu Rudeforth"/>
    <s v="Germany"/>
    <x v="1"/>
    <x v="233"/>
    <n v="4063"/>
    <x v="0"/>
  </r>
  <r>
    <s v="Karlen McCaffrey"/>
    <s v="USA"/>
    <x v="7"/>
    <x v="233"/>
    <n v="6521"/>
    <x v="0"/>
  </r>
  <r>
    <s v="Marney O'Breem"/>
    <s v="USA"/>
    <x v="7"/>
    <x v="233"/>
    <n v="3851"/>
    <x v="0"/>
  </r>
  <r>
    <s v="Beverie Moffet"/>
    <s v="UK"/>
    <x v="4"/>
    <x v="234"/>
    <n v="6661"/>
    <x v="0"/>
  </r>
  <r>
    <s v="Barr Faughny"/>
    <s v="China"/>
    <x v="5"/>
    <x v="234"/>
    <n v="10292"/>
    <x v="0"/>
  </r>
  <r>
    <s v="Curtice Advani"/>
    <s v="Germany"/>
    <x v="3"/>
    <x v="234"/>
    <n v="13632"/>
    <x v="0"/>
  </r>
  <r>
    <s v="Mallorie Waber"/>
    <s v="USA"/>
    <x v="3"/>
    <x v="234"/>
    <n v="12618"/>
    <x v="0"/>
  </r>
  <r>
    <s v="Brien Boise"/>
    <s v="Switzerland"/>
    <x v="3"/>
    <x v="234"/>
    <n v="8494"/>
    <x v="0"/>
  </r>
  <r>
    <s v="Beverie Moffet"/>
    <s v="Switzerland"/>
    <x v="7"/>
    <x v="235"/>
    <n v="11435"/>
    <x v="0"/>
  </r>
  <r>
    <s v="Marney O'Breem"/>
    <s v="Switzerland"/>
    <x v="3"/>
    <x v="235"/>
    <n v="7519"/>
    <x v="0"/>
  </r>
  <r>
    <s v="Karlen McCaffrey"/>
    <s v="USA"/>
    <x v="0"/>
    <x v="236"/>
    <n v="8108"/>
    <x v="0"/>
  </r>
  <r>
    <s v="Gunar Cockshoot"/>
    <s v="Switzerland"/>
    <x v="7"/>
    <x v="236"/>
    <n v="10004"/>
    <x v="0"/>
  </r>
  <r>
    <s v="Jehu Rudeforth"/>
    <s v="USA"/>
    <x v="2"/>
    <x v="236"/>
    <n v="9463"/>
    <x v="0"/>
  </r>
  <r>
    <s v="Gunar Cockshoot"/>
    <s v="UK"/>
    <x v="3"/>
    <x v="236"/>
    <n v="10548"/>
    <x v="0"/>
  </r>
  <r>
    <s v="Van Tuxwell"/>
    <s v="Switzerland"/>
    <x v="7"/>
    <x v="237"/>
    <n v="8422"/>
    <x v="0"/>
  </r>
  <r>
    <s v="Jehu Rudeforth"/>
    <s v="Germany"/>
    <x v="2"/>
    <x v="237"/>
    <n v="6519"/>
    <x v="0"/>
  </r>
  <r>
    <s v="Oby Sorrel"/>
    <s v="Germany"/>
    <x v="0"/>
    <x v="238"/>
    <n v="7815"/>
    <x v="0"/>
  </r>
  <r>
    <s v="Brien Boise"/>
    <s v="Canada"/>
    <x v="4"/>
    <x v="238"/>
    <n v="8693"/>
    <x v="0"/>
  </r>
  <r>
    <s v="Van Tuxwell"/>
    <s v="China"/>
    <x v="5"/>
    <x v="238"/>
    <n v="13952"/>
    <x v="0"/>
  </r>
  <r>
    <s v="Van Tuxwell"/>
    <s v="USA"/>
    <x v="7"/>
    <x v="238"/>
    <n v="8570"/>
    <x v="0"/>
  </r>
  <r>
    <s v="Rafaela Blaksland"/>
    <s v="USA"/>
    <x v="7"/>
    <x v="238"/>
    <n v="1055"/>
    <x v="0"/>
  </r>
  <r>
    <s v="Mallorie Waber"/>
    <s v="UK"/>
    <x v="6"/>
    <x v="238"/>
    <n v="7025"/>
    <x v="0"/>
  </r>
  <r>
    <s v="Beverie Moffet"/>
    <s v="Canada"/>
    <x v="6"/>
    <x v="238"/>
    <n v="5355"/>
    <x v="0"/>
  </r>
  <r>
    <s v="Curtice Advani"/>
    <s v="Switzerland"/>
    <x v="6"/>
    <x v="238"/>
    <n v="1718"/>
    <x v="0"/>
  </r>
  <r>
    <s v="Van Tuxwell"/>
    <s v="China"/>
    <x v="3"/>
    <x v="238"/>
    <n v="6444"/>
    <x v="0"/>
  </r>
  <r>
    <s v="Marney O'Breem"/>
    <s v="China"/>
    <x v="5"/>
    <x v="239"/>
    <n v="7837"/>
    <x v="0"/>
  </r>
  <r>
    <s v="Curtice Advani"/>
    <s v="Switzerland"/>
    <x v="6"/>
    <x v="239"/>
    <n v="13502"/>
    <x v="0"/>
  </r>
  <r>
    <s v="Roddy Speechley"/>
    <s v="Switzerland"/>
    <x v="4"/>
    <x v="240"/>
    <n v="13574"/>
    <x v="0"/>
  </r>
  <r>
    <s v="Curtice Advani"/>
    <s v="China"/>
    <x v="5"/>
    <x v="240"/>
    <n v="7531"/>
    <x v="0"/>
  </r>
  <r>
    <s v="Gigi Bohling"/>
    <s v="Canada"/>
    <x v="5"/>
    <x v="240"/>
    <n v="10203"/>
    <x v="0"/>
  </r>
  <r>
    <s v="Jan Morforth"/>
    <s v="Switzerland"/>
    <x v="1"/>
    <x v="240"/>
    <n v="8552"/>
    <x v="0"/>
  </r>
  <r>
    <s v="Roddy Speechley"/>
    <s v="Switzerland"/>
    <x v="7"/>
    <x v="240"/>
    <n v="3218"/>
    <x v="0"/>
  </r>
  <r>
    <s v="Karlen McCaffrey"/>
    <s v="Canada"/>
    <x v="2"/>
    <x v="241"/>
    <n v="1402"/>
    <x v="0"/>
  </r>
  <r>
    <s v="Rafaela Blaksland"/>
    <s v="Canada"/>
    <x v="6"/>
    <x v="242"/>
    <n v="11855"/>
    <x v="0"/>
  </r>
  <r>
    <s v="Jehu Rudeforth"/>
    <s v="UK"/>
    <x v="6"/>
    <x v="242"/>
    <n v="9596"/>
    <x v="0"/>
  </r>
  <r>
    <s v="Gunar Cockshoot"/>
    <s v="UK"/>
    <x v="3"/>
    <x v="243"/>
    <n v="3759"/>
    <x v="0"/>
  </r>
  <r>
    <s v="Curtice Advani"/>
    <s v="USA"/>
    <x v="3"/>
    <x v="243"/>
    <n v="3248"/>
    <x v="0"/>
  </r>
  <r>
    <s v="Beverie Moffet"/>
    <s v="China"/>
    <x v="1"/>
    <x v="244"/>
    <n v="12794"/>
    <x v="0"/>
  </r>
  <r>
    <s v="Roddy Speechley"/>
    <s v="China"/>
    <x v="6"/>
    <x v="244"/>
    <n v="4917"/>
    <x v="0"/>
  </r>
  <r>
    <s v="Karlen McCaffrey"/>
    <s v="China"/>
    <x v="4"/>
    <x v="245"/>
    <n v="2237"/>
    <x v="0"/>
  </r>
  <r>
    <s v="Karlen McCaffrey"/>
    <s v="Germany"/>
    <x v="7"/>
    <x v="245"/>
    <n v="7303"/>
    <x v="0"/>
  </r>
  <r>
    <s v="Curtice Advani"/>
    <s v="Switzerland"/>
    <x v="6"/>
    <x v="245"/>
    <n v="3937"/>
    <x v="0"/>
  </r>
  <r>
    <s v="Curtice Advani"/>
    <s v="Switzerland"/>
    <x v="6"/>
    <x v="245"/>
    <n v="13243"/>
    <x v="0"/>
  </r>
  <r>
    <s v="Gunar Cockshoot"/>
    <s v="USA"/>
    <x v="3"/>
    <x v="245"/>
    <n v="5355"/>
    <x v="0"/>
  </r>
  <r>
    <s v="Barr Faughny"/>
    <s v="Canada"/>
    <x v="4"/>
    <x v="246"/>
    <n v="2201"/>
    <x v="0"/>
  </r>
  <r>
    <s v="Jan Morforth"/>
    <s v="USA"/>
    <x v="6"/>
    <x v="246"/>
    <n v="5211"/>
    <x v="0"/>
  </r>
  <r>
    <s v="Karlen McCaffrey"/>
    <s v="China"/>
    <x v="0"/>
    <x v="247"/>
    <n v="13400"/>
    <x v="0"/>
  </r>
  <r>
    <s v="Van Tuxwell"/>
    <s v="Switzerland"/>
    <x v="0"/>
    <x v="247"/>
    <n v="10774"/>
    <x v="0"/>
  </r>
  <r>
    <s v="Jehu Rudeforth"/>
    <s v="UK"/>
    <x v="4"/>
    <x v="247"/>
    <n v="6943"/>
    <x v="0"/>
  </r>
  <r>
    <s v="Roddy Speechley"/>
    <s v="USA"/>
    <x v="5"/>
    <x v="247"/>
    <n v="2848"/>
    <x v="0"/>
  </r>
  <r>
    <s v="Mallorie Waber"/>
    <s v="Switzerland"/>
    <x v="1"/>
    <x v="247"/>
    <n v="10262"/>
    <x v="0"/>
  </r>
  <r>
    <s v="Curtice Advani"/>
    <s v="UK"/>
    <x v="7"/>
    <x v="247"/>
    <n v="1234"/>
    <x v="0"/>
  </r>
  <r>
    <s v="Rafaela Blaksland"/>
    <s v="Germany"/>
    <x v="6"/>
    <x v="247"/>
    <n v="3617"/>
    <x v="0"/>
  </r>
  <r>
    <s v="Oby Sorrel"/>
    <s v="UK"/>
    <x v="5"/>
    <x v="248"/>
    <n v="6394"/>
    <x v="0"/>
  </r>
  <r>
    <s v="Marney O'Breem"/>
    <s v="China"/>
    <x v="3"/>
    <x v="248"/>
    <n v="2599"/>
    <x v="0"/>
  </r>
  <r>
    <s v="Brien Boise"/>
    <s v="Germany"/>
    <x v="4"/>
    <x v="249"/>
    <n v="12251"/>
    <x v="0"/>
  </r>
  <r>
    <s v="Beverie Moffet"/>
    <s v="UK"/>
    <x v="5"/>
    <x v="249"/>
    <n v="1165"/>
    <x v="0"/>
  </r>
  <r>
    <s v="Gigi Bohling"/>
    <s v="Canada"/>
    <x v="1"/>
    <x v="249"/>
    <n v="1558"/>
    <x v="0"/>
  </r>
  <r>
    <s v="Barr Faughny"/>
    <s v="USA"/>
    <x v="6"/>
    <x v="249"/>
    <n v="2726"/>
    <x v="0"/>
  </r>
  <r>
    <s v="Oby Sorrel"/>
    <s v="UK"/>
    <x v="4"/>
    <x v="250"/>
    <n v="13500"/>
    <x v="0"/>
  </r>
  <r>
    <s v="Brien Boise"/>
    <s v="UK"/>
    <x v="5"/>
    <x v="250"/>
    <n v="6990"/>
    <x v="0"/>
  </r>
  <r>
    <s v="Van Tuxwell"/>
    <s v="USA"/>
    <x v="1"/>
    <x v="250"/>
    <n v="3080"/>
    <x v="0"/>
  </r>
  <r>
    <s v="Rafaela Blaksland"/>
    <s v="Canada"/>
    <x v="7"/>
    <x v="250"/>
    <n v="6733"/>
    <x v="0"/>
  </r>
  <r>
    <s v="Barr Faughny"/>
    <s v="UK"/>
    <x v="4"/>
    <x v="251"/>
    <n v="8746"/>
    <x v="0"/>
  </r>
  <r>
    <s v="Brien Boise"/>
    <s v="Germany"/>
    <x v="2"/>
    <x v="251"/>
    <n v="6598"/>
    <x v="0"/>
  </r>
  <r>
    <s v="Brien Boise"/>
    <s v="UK"/>
    <x v="3"/>
    <x v="251"/>
    <n v="7009"/>
    <x v="0"/>
  </r>
  <r>
    <s v="Gunar Cockshoot"/>
    <s v="Germany"/>
    <x v="5"/>
    <x v="252"/>
    <n v="12321"/>
    <x v="0"/>
  </r>
  <r>
    <s v="Karlen McCaffrey"/>
    <s v="Canada"/>
    <x v="3"/>
    <x v="252"/>
    <n v="1989"/>
    <x v="0"/>
  </r>
  <r>
    <s v="Rafaela Blaksland"/>
    <s v="Switzerland"/>
    <x v="0"/>
    <x v="253"/>
    <n v="8632"/>
    <x v="0"/>
  </r>
  <r>
    <s v="Mallorie Waber"/>
    <s v="Canada"/>
    <x v="4"/>
    <x v="253"/>
    <n v="10924"/>
    <x v="0"/>
  </r>
  <r>
    <s v="Barr Faughny"/>
    <s v="Canada"/>
    <x v="4"/>
    <x v="253"/>
    <n v="4544"/>
    <x v="0"/>
  </r>
  <r>
    <s v="Jan Morforth"/>
    <s v="Germany"/>
    <x v="4"/>
    <x v="253"/>
    <n v="4241"/>
    <x v="0"/>
  </r>
  <r>
    <s v="Van Tuxwell"/>
    <s v="Germany"/>
    <x v="1"/>
    <x v="253"/>
    <n v="7038"/>
    <x v="0"/>
  </r>
  <r>
    <s v="Brien Boise"/>
    <s v="Switzerland"/>
    <x v="2"/>
    <x v="253"/>
    <n v="8532"/>
    <x v="0"/>
  </r>
  <r>
    <s v="Jan Morforth"/>
    <s v="Switzerland"/>
    <x v="3"/>
    <x v="253"/>
    <n v="6783"/>
    <x v="0"/>
  </r>
  <r>
    <s v="Jehu Rudeforth"/>
    <s v="Switzerland"/>
    <x v="3"/>
    <x v="254"/>
    <n v="11744"/>
    <x v="0"/>
  </r>
  <r>
    <s v="Brien Boise"/>
    <s v="UK"/>
    <x v="4"/>
    <x v="255"/>
    <n v="9834"/>
    <x v="0"/>
  </r>
  <r>
    <s v="Roddy Speechley"/>
    <s v="USA"/>
    <x v="2"/>
    <x v="255"/>
    <n v="2907"/>
    <x v="0"/>
  </r>
  <r>
    <s v="Jan Morforth"/>
    <s v="UK"/>
    <x v="6"/>
    <x v="255"/>
    <n v="8978"/>
    <x v="0"/>
  </r>
  <r>
    <s v="Karlen McCaffrey"/>
    <s v="Germany"/>
    <x v="1"/>
    <x v="256"/>
    <n v="4775"/>
    <x v="0"/>
  </r>
  <r>
    <s v="Jan Morforth"/>
    <s v="UK"/>
    <x v="1"/>
    <x v="256"/>
    <n v="1463"/>
    <x v="0"/>
  </r>
  <r>
    <s v="Gigi Bohling"/>
    <s v="Canada"/>
    <x v="2"/>
    <x v="256"/>
    <n v="12153"/>
    <x v="0"/>
  </r>
  <r>
    <s v="Roddy Speechley"/>
    <s v="China"/>
    <x v="3"/>
    <x v="256"/>
    <n v="5418"/>
    <x v="0"/>
  </r>
  <r>
    <s v="Roddy Speechley"/>
    <s v="Germany"/>
    <x v="4"/>
    <x v="257"/>
    <n v="11101"/>
    <x v="0"/>
  </r>
  <r>
    <s v="Brien Boise"/>
    <s v="UK"/>
    <x v="4"/>
    <x v="257"/>
    <n v="8294"/>
    <x v="0"/>
  </r>
  <r>
    <s v="Barr Faughny"/>
    <s v="Canada"/>
    <x v="5"/>
    <x v="257"/>
    <n v="10339"/>
    <x v="0"/>
  </r>
  <r>
    <s v="Gigi Bohling"/>
    <s v="USA"/>
    <x v="5"/>
    <x v="257"/>
    <n v="12774"/>
    <x v="0"/>
  </r>
  <r>
    <s v="Gunar Cockshoot"/>
    <s v="Canada"/>
    <x v="2"/>
    <x v="257"/>
    <n v="5526"/>
    <x v="0"/>
  </r>
  <r>
    <s v="Gigi Bohling"/>
    <s v="Canada"/>
    <x v="6"/>
    <x v="257"/>
    <n v="11767"/>
    <x v="0"/>
  </r>
  <r>
    <s v="Beverie Moffet"/>
    <s v="UK"/>
    <x v="0"/>
    <x v="258"/>
    <n v="5468"/>
    <x v="0"/>
  </r>
  <r>
    <s v="Oby Sorrel"/>
    <s v="Canada"/>
    <x v="0"/>
    <x v="258"/>
    <n v="2834"/>
    <x v="0"/>
  </r>
  <r>
    <s v="Jan Morforth"/>
    <s v="Germany"/>
    <x v="5"/>
    <x v="258"/>
    <n v="7116"/>
    <x v="0"/>
  </r>
  <r>
    <s v="Gunar Cockshoot"/>
    <s v="Canada"/>
    <x v="6"/>
    <x v="258"/>
    <n v="11586"/>
    <x v="0"/>
  </r>
  <r>
    <s v="Mallorie Waber"/>
    <s v="Germany"/>
    <x v="5"/>
    <x v="259"/>
    <n v="13952"/>
    <x v="0"/>
  </r>
  <r>
    <s v="Karlen McCaffrey"/>
    <s v="Germany"/>
    <x v="1"/>
    <x v="259"/>
    <n v="4497"/>
    <x v="0"/>
  </r>
  <r>
    <s v="Gigi Bohling"/>
    <s v="Switzerland"/>
    <x v="1"/>
    <x v="259"/>
    <n v="8321"/>
    <x v="0"/>
  </r>
  <r>
    <s v="Gunar Cockshoot"/>
    <s v="USA"/>
    <x v="3"/>
    <x v="259"/>
    <n v="4097"/>
    <x v="0"/>
  </r>
  <r>
    <s v="Karlen McCaffrey"/>
    <s v="Germany"/>
    <x v="0"/>
    <x v="260"/>
    <n v="10614"/>
    <x v="0"/>
  </r>
  <r>
    <s v="Brien Boise"/>
    <s v="USA"/>
    <x v="4"/>
    <x v="260"/>
    <n v="9727"/>
    <x v="0"/>
  </r>
  <r>
    <s v="Roddy Speechley"/>
    <s v="Canada"/>
    <x v="5"/>
    <x v="260"/>
    <n v="4233"/>
    <x v="0"/>
  </r>
  <r>
    <s v="Rafaela Blaksland"/>
    <s v="Germany"/>
    <x v="2"/>
    <x v="260"/>
    <n v="2172"/>
    <x v="0"/>
  </r>
  <r>
    <s v="Curtice Advani"/>
    <s v="USA"/>
    <x v="6"/>
    <x v="260"/>
    <n v="13375"/>
    <x v="0"/>
  </r>
  <r>
    <s v="Roddy Speechley"/>
    <s v="USA"/>
    <x v="6"/>
    <x v="260"/>
    <n v="10455"/>
    <x v="0"/>
  </r>
  <r>
    <s v="Oby Sorrel"/>
    <s v="USA"/>
    <x v="2"/>
    <x v="261"/>
    <n v="10748"/>
    <x v="0"/>
  </r>
  <r>
    <s v="Van Tuxwell"/>
    <s v="Canada"/>
    <x v="5"/>
    <x v="262"/>
    <n v="1947"/>
    <x v="0"/>
  </r>
  <r>
    <s v="Rafaela Blaksland"/>
    <s v="USA"/>
    <x v="7"/>
    <x v="262"/>
    <n v="1977"/>
    <x v="0"/>
  </r>
  <r>
    <s v="Gigi Bohling"/>
    <s v="Switzerland"/>
    <x v="7"/>
    <x v="262"/>
    <n v="4819"/>
    <x v="0"/>
  </r>
  <r>
    <s v="Rafaela Blaksland"/>
    <s v="Switzerland"/>
    <x v="2"/>
    <x v="262"/>
    <n v="12960"/>
    <x v="0"/>
  </r>
  <r>
    <s v="Jan Morforth"/>
    <s v="UK"/>
    <x v="3"/>
    <x v="262"/>
    <n v="1404"/>
    <x v="0"/>
  </r>
  <r>
    <s v="Gunar Cockshoot"/>
    <s v="Switzerland"/>
    <x v="3"/>
    <x v="263"/>
    <n v="10356"/>
    <x v="0"/>
  </r>
  <r>
    <s v="Curtice Advani"/>
    <s v="USA"/>
    <x v="3"/>
    <x v="263"/>
    <n v="12849"/>
    <x v="0"/>
  </r>
  <r>
    <s v="Jan Morforth"/>
    <s v="Canada"/>
    <x v="1"/>
    <x v="264"/>
    <n v="1600"/>
    <x v="0"/>
  </r>
  <r>
    <s v="Jehu Rudeforth"/>
    <s v="Switzerland"/>
    <x v="1"/>
    <x v="264"/>
    <n v="4140"/>
    <x v="0"/>
  </r>
  <r>
    <s v="Gigi Bohling"/>
    <s v="China"/>
    <x v="7"/>
    <x v="264"/>
    <n v="2016"/>
    <x v="0"/>
  </r>
  <r>
    <s v="Jan Morforth"/>
    <s v="Germany"/>
    <x v="6"/>
    <x v="264"/>
    <n v="3448"/>
    <x v="0"/>
  </r>
  <r>
    <s v="Barr Faughny"/>
    <s v="UK"/>
    <x v="7"/>
    <x v="265"/>
    <n v="1363"/>
    <x v="0"/>
  </r>
  <r>
    <s v="Curtice Advani"/>
    <s v="Canada"/>
    <x v="4"/>
    <x v="266"/>
    <n v="4358"/>
    <x v="0"/>
  </r>
  <r>
    <s v="Jehu Rudeforth"/>
    <s v="Switzerland"/>
    <x v="1"/>
    <x v="266"/>
    <n v="3663"/>
    <x v="0"/>
  </r>
  <r>
    <s v="Jan Morforth"/>
    <s v="China"/>
    <x v="7"/>
    <x v="266"/>
    <n v="1789"/>
    <x v="0"/>
  </r>
  <r>
    <s v="Oby Sorrel"/>
    <s v="USA"/>
    <x v="3"/>
    <x v="266"/>
    <n v="13578"/>
    <x v="0"/>
  </r>
  <r>
    <s v="Mallorie Waber"/>
    <s v="Switzerland"/>
    <x v="5"/>
    <x v="267"/>
    <n v="10908"/>
    <x v="0"/>
  </r>
  <r>
    <s v="Mallorie Waber"/>
    <s v="Canada"/>
    <x v="5"/>
    <x v="267"/>
    <n v="7691"/>
    <x v="0"/>
  </r>
  <r>
    <s v="Van Tuxwell"/>
    <s v="Switzerland"/>
    <x v="1"/>
    <x v="267"/>
    <n v="11738"/>
    <x v="0"/>
  </r>
  <r>
    <s v="Mallorie Waber"/>
    <s v="USA"/>
    <x v="1"/>
    <x v="267"/>
    <n v="11351"/>
    <x v="0"/>
  </r>
  <r>
    <s v="Karlen McCaffrey"/>
    <s v="Canada"/>
    <x v="1"/>
    <x v="267"/>
    <n v="7120"/>
    <x v="0"/>
  </r>
  <r>
    <s v="Mallorie Waber"/>
    <s v="Germany"/>
    <x v="7"/>
    <x v="267"/>
    <n v="5923"/>
    <x v="0"/>
  </r>
  <r>
    <s v="Karlen McCaffrey"/>
    <s v="UK"/>
    <x v="2"/>
    <x v="267"/>
    <n v="12683"/>
    <x v="0"/>
  </r>
  <r>
    <s v="Jehu Rudeforth"/>
    <s v="Switzerland"/>
    <x v="3"/>
    <x v="267"/>
    <n v="11900"/>
    <x v="0"/>
  </r>
  <r>
    <s v="Rafaela Blaksland"/>
    <s v="USA"/>
    <x v="0"/>
    <x v="268"/>
    <n v="5163"/>
    <x v="0"/>
  </r>
  <r>
    <s v="Oby Sorrel"/>
    <s v="Switzerland"/>
    <x v="2"/>
    <x v="269"/>
    <n v="9233"/>
    <x v="0"/>
  </r>
  <r>
    <s v="Beverie Moffet"/>
    <s v="China"/>
    <x v="0"/>
    <x v="270"/>
    <n v="8028"/>
    <x v="0"/>
  </r>
  <r>
    <s v="Beverie Moffet"/>
    <s v="Canada"/>
    <x v="0"/>
    <x v="270"/>
    <n v="12915"/>
    <x v="0"/>
  </r>
  <r>
    <s v="Oby Sorrel"/>
    <s v="China"/>
    <x v="4"/>
    <x v="270"/>
    <n v="12350"/>
    <x v="0"/>
  </r>
  <r>
    <s v="Brien Boise"/>
    <s v="UK"/>
    <x v="1"/>
    <x v="270"/>
    <n v="12540"/>
    <x v="0"/>
  </r>
  <r>
    <s v="Beverie Moffet"/>
    <s v="UK"/>
    <x v="4"/>
    <x v="271"/>
    <n v="4201"/>
    <x v="0"/>
  </r>
  <r>
    <s v="Jan Morforth"/>
    <s v="Germany"/>
    <x v="5"/>
    <x v="272"/>
    <n v="12880"/>
    <x v="0"/>
  </r>
  <r>
    <s v="Oby Sorrel"/>
    <s v="Canada"/>
    <x v="1"/>
    <x v="272"/>
    <n v="8516"/>
    <x v="0"/>
  </r>
  <r>
    <s v="Curtice Advani"/>
    <s v="Switzerland"/>
    <x v="7"/>
    <x v="272"/>
    <n v="2729"/>
    <x v="0"/>
  </r>
  <r>
    <s v="Jan Morforth"/>
    <s v="Canada"/>
    <x v="0"/>
    <x v="273"/>
    <n v="13502"/>
    <x v="0"/>
  </r>
  <r>
    <s v="Gigi Bohling"/>
    <s v="Canada"/>
    <x v="6"/>
    <x v="273"/>
    <n v="3888"/>
    <x v="0"/>
  </r>
  <r>
    <s v="Beverie Moffet"/>
    <s v="Germany"/>
    <x v="0"/>
    <x v="274"/>
    <n v="6709"/>
    <x v="0"/>
  </r>
  <r>
    <s v="Karlen McCaffrey"/>
    <s v="China"/>
    <x v="1"/>
    <x v="274"/>
    <n v="8547"/>
    <x v="0"/>
  </r>
  <r>
    <s v="Beverie Moffet"/>
    <s v="Switzerland"/>
    <x v="2"/>
    <x v="274"/>
    <n v="4571"/>
    <x v="0"/>
  </r>
  <r>
    <s v="Rafaela Blaksland"/>
    <s v="Canada"/>
    <x v="0"/>
    <x v="275"/>
    <n v="11953"/>
    <x v="0"/>
  </r>
  <r>
    <s v="Marney O'Breem"/>
    <s v="Germany"/>
    <x v="0"/>
    <x v="275"/>
    <n v="11708"/>
    <x v="0"/>
  </r>
  <r>
    <s v="Curtice Advani"/>
    <s v="China"/>
    <x v="7"/>
    <x v="275"/>
    <n v="6039"/>
    <x v="0"/>
  </r>
  <r>
    <s v="Curtice Advani"/>
    <s v="Canada"/>
    <x v="6"/>
    <x v="275"/>
    <n v="6862"/>
    <x v="0"/>
  </r>
  <r>
    <s v="Roddy Speechley"/>
    <s v="UK"/>
    <x v="3"/>
    <x v="275"/>
    <n v="8719"/>
    <x v="0"/>
  </r>
  <r>
    <s v="Marney O'Breem"/>
    <s v="USA"/>
    <x v="3"/>
    <x v="275"/>
    <n v="11673"/>
    <x v="0"/>
  </r>
  <r>
    <s v="Gigi Bohling"/>
    <s v="Canada"/>
    <x v="1"/>
    <x v="276"/>
    <n v="11792"/>
    <x v="0"/>
  </r>
  <r>
    <s v="Marney O'Breem"/>
    <s v="Switzerland"/>
    <x v="7"/>
    <x v="276"/>
    <n v="7634"/>
    <x v="0"/>
  </r>
  <r>
    <s v="Gunar Cockshoot"/>
    <s v="Germany"/>
    <x v="6"/>
    <x v="276"/>
    <n v="10103"/>
    <x v="0"/>
  </r>
  <r>
    <s v="Mallorie Waber"/>
    <s v="China"/>
    <x v="1"/>
    <x v="277"/>
    <n v="6624"/>
    <x v="0"/>
  </r>
  <r>
    <s v="Beverie Moffet"/>
    <s v="Germany"/>
    <x v="1"/>
    <x v="277"/>
    <n v="11004"/>
    <x v="0"/>
  </r>
  <r>
    <s v="Marney O'Breem"/>
    <s v="Canada"/>
    <x v="1"/>
    <x v="277"/>
    <n v="7179"/>
    <x v="0"/>
  </r>
  <r>
    <s v="Beverie Moffet"/>
    <s v="UK"/>
    <x v="6"/>
    <x v="277"/>
    <n v="11541"/>
    <x v="0"/>
  </r>
  <r>
    <s v="Brien Boise"/>
    <s v="UK"/>
    <x v="0"/>
    <x v="278"/>
    <n v="8400"/>
    <x v="0"/>
  </r>
  <r>
    <s v="Rafaela Blaksland"/>
    <s v="Germany"/>
    <x v="0"/>
    <x v="278"/>
    <n v="1554"/>
    <x v="0"/>
  </r>
  <r>
    <s v="Curtice Advani"/>
    <s v="Germany"/>
    <x v="4"/>
    <x v="278"/>
    <n v="10467"/>
    <x v="0"/>
  </r>
  <r>
    <s v="Oby Sorrel"/>
    <s v="Canada"/>
    <x v="5"/>
    <x v="278"/>
    <n v="1562"/>
    <x v="0"/>
  </r>
  <r>
    <s v="Gigi Bohling"/>
    <s v="Germany"/>
    <x v="1"/>
    <x v="278"/>
    <n v="11882"/>
    <x v="0"/>
  </r>
  <r>
    <s v="Roddy Speechley"/>
    <s v="UK"/>
    <x v="2"/>
    <x v="278"/>
    <n v="2303"/>
    <x v="0"/>
  </r>
  <r>
    <s v="Barr Faughny"/>
    <s v="UK"/>
    <x v="6"/>
    <x v="278"/>
    <n v="8882"/>
    <x v="0"/>
  </r>
  <r>
    <s v="Mallorie Waber"/>
    <s v="Germany"/>
    <x v="3"/>
    <x v="278"/>
    <n v="6272"/>
    <x v="0"/>
  </r>
  <r>
    <s v="Brien Boise"/>
    <s v="UK"/>
    <x v="0"/>
    <x v="279"/>
    <n v="11715"/>
    <x v="0"/>
  </r>
  <r>
    <s v="Van Tuxwell"/>
    <s v="China"/>
    <x v="6"/>
    <x v="279"/>
    <n v="8816"/>
    <x v="0"/>
  </r>
  <r>
    <s v="Karlen McCaffrey"/>
    <s v="China"/>
    <x v="4"/>
    <x v="280"/>
    <n v="5871"/>
    <x v="0"/>
  </r>
  <r>
    <s v="Brien Boise"/>
    <s v="UK"/>
    <x v="2"/>
    <x v="280"/>
    <n v="4345"/>
    <x v="0"/>
  </r>
  <r>
    <s v="Barr Faughny"/>
    <s v="Germany"/>
    <x v="3"/>
    <x v="280"/>
    <n v="3922"/>
    <x v="0"/>
  </r>
  <r>
    <s v="Karlen McCaffrey"/>
    <s v="Canada"/>
    <x v="0"/>
    <x v="281"/>
    <n v="5550"/>
    <x v="0"/>
  </r>
  <r>
    <s v="Rafaela Blaksland"/>
    <s v="UK"/>
    <x v="0"/>
    <x v="281"/>
    <n v="9664"/>
    <x v="0"/>
  </r>
  <r>
    <s v="Beverie Moffet"/>
    <s v="USA"/>
    <x v="4"/>
    <x v="281"/>
    <n v="1625"/>
    <x v="0"/>
  </r>
  <r>
    <s v="Beverie Moffet"/>
    <s v="Switzerland"/>
    <x v="4"/>
    <x v="281"/>
    <n v="3630"/>
    <x v="0"/>
  </r>
  <r>
    <s v="Gunar Cockshoot"/>
    <s v="USA"/>
    <x v="5"/>
    <x v="281"/>
    <n v="9325"/>
    <x v="0"/>
  </r>
  <r>
    <s v="Rafaela Blaksland"/>
    <s v="Canada"/>
    <x v="5"/>
    <x v="281"/>
    <n v="2022"/>
    <x v="0"/>
  </r>
  <r>
    <s v="Oby Sorrel"/>
    <s v="Canada"/>
    <x v="5"/>
    <x v="281"/>
    <n v="13890"/>
    <x v="0"/>
  </r>
  <r>
    <s v="Karlen McCaffrey"/>
    <s v="UK"/>
    <x v="1"/>
    <x v="281"/>
    <n v="13472"/>
    <x v="0"/>
  </r>
  <r>
    <s v="Brien Boise"/>
    <s v="Switzerland"/>
    <x v="7"/>
    <x v="281"/>
    <n v="11233"/>
    <x v="0"/>
  </r>
  <r>
    <s v="Beverie Moffet"/>
    <s v="Germany"/>
    <x v="6"/>
    <x v="281"/>
    <n v="7448"/>
    <x v="0"/>
  </r>
  <r>
    <s v="Van Tuxwell"/>
    <s v="Germany"/>
    <x v="3"/>
    <x v="281"/>
    <n v="1821"/>
    <x v="0"/>
  </r>
  <r>
    <s v="Roddy Speechley"/>
    <s v="China"/>
    <x v="3"/>
    <x v="281"/>
    <n v="12745"/>
    <x v="0"/>
  </r>
  <r>
    <s v="Oby Sorrel"/>
    <s v="UK"/>
    <x v="4"/>
    <x v="282"/>
    <n v="2075"/>
    <x v="0"/>
  </r>
  <r>
    <s v="Barr Faughny"/>
    <s v="China"/>
    <x v="2"/>
    <x v="282"/>
    <n v="11541"/>
    <x v="0"/>
  </r>
  <r>
    <s v="Rafaela Blaksland"/>
    <s v="Germany"/>
    <x v="2"/>
    <x v="282"/>
    <n v="3058"/>
    <x v="0"/>
  </r>
  <r>
    <s v="Gigi Bohling"/>
    <s v="China"/>
    <x v="2"/>
    <x v="282"/>
    <n v="2646"/>
    <x v="0"/>
  </r>
  <r>
    <s v="Gunar Cockshoot"/>
    <s v="Germany"/>
    <x v="6"/>
    <x v="282"/>
    <n v="1837"/>
    <x v="0"/>
  </r>
  <r>
    <s v="Jehu Rudeforth"/>
    <s v="Germany"/>
    <x v="3"/>
    <x v="282"/>
    <n v="7606"/>
    <x v="0"/>
  </r>
  <r>
    <s v="Gigi Bohling"/>
    <s v="Switzerland"/>
    <x v="3"/>
    <x v="282"/>
    <n v="13921"/>
    <x v="0"/>
  </r>
  <r>
    <s v="Marney O'Breem"/>
    <s v="China"/>
    <x v="0"/>
    <x v="283"/>
    <n v="2627"/>
    <x v="0"/>
  </r>
  <r>
    <s v="Roddy Speechley"/>
    <s v="UK"/>
    <x v="1"/>
    <x v="283"/>
    <n v="4497"/>
    <x v="0"/>
  </r>
  <r>
    <s v="Beverie Moffet"/>
    <s v="UK"/>
    <x v="5"/>
    <x v="284"/>
    <n v="8592"/>
    <x v="0"/>
  </r>
  <r>
    <s v="Karlen McCaffrey"/>
    <s v="Germany"/>
    <x v="1"/>
    <x v="284"/>
    <n v="5519"/>
    <x v="0"/>
  </r>
  <r>
    <s v="Van Tuxwell"/>
    <s v="Switzerland"/>
    <x v="1"/>
    <x v="284"/>
    <n v="5400"/>
    <x v="0"/>
  </r>
  <r>
    <s v="Karlen McCaffrey"/>
    <s v="USA"/>
    <x v="7"/>
    <x v="284"/>
    <n v="13817"/>
    <x v="0"/>
  </r>
  <r>
    <s v="Barr Faughny"/>
    <s v="Canada"/>
    <x v="3"/>
    <x v="284"/>
    <n v="13993"/>
    <x v="0"/>
  </r>
  <r>
    <s v="Oby Sorrel"/>
    <s v="Canada"/>
    <x v="1"/>
    <x v="285"/>
    <n v="4190"/>
    <x v="0"/>
  </r>
  <r>
    <s v="Curtice Advani"/>
    <s v="Germany"/>
    <x v="1"/>
    <x v="285"/>
    <n v="6673"/>
    <x v="0"/>
  </r>
  <r>
    <s v="Barr Faughny"/>
    <s v="Switzerland"/>
    <x v="5"/>
    <x v="286"/>
    <n v="13435"/>
    <x v="0"/>
  </r>
  <r>
    <s v="Beverie Moffet"/>
    <s v="China"/>
    <x v="7"/>
    <x v="286"/>
    <n v="6310"/>
    <x v="0"/>
  </r>
  <r>
    <s v="Beverie Moffet"/>
    <s v="China"/>
    <x v="2"/>
    <x v="286"/>
    <n v="2353"/>
    <x v="0"/>
  </r>
  <r>
    <s v="Brien Boise"/>
    <s v="USA"/>
    <x v="2"/>
    <x v="286"/>
    <n v="11851"/>
    <x v="0"/>
  </r>
  <r>
    <s v="Jehu Rudeforth"/>
    <s v="Canada"/>
    <x v="3"/>
    <x v="286"/>
    <n v="5789"/>
    <x v="0"/>
  </r>
  <r>
    <s v="Beverie Moffet"/>
    <s v="UK"/>
    <x v="0"/>
    <x v="287"/>
    <n v="13165"/>
    <x v="0"/>
  </r>
  <r>
    <s v="Curtice Advani"/>
    <s v="China"/>
    <x v="7"/>
    <x v="287"/>
    <n v="11602"/>
    <x v="0"/>
  </r>
  <r>
    <s v="Marney O'Breem"/>
    <s v="USA"/>
    <x v="7"/>
    <x v="287"/>
    <n v="4836"/>
    <x v="0"/>
  </r>
  <r>
    <s v="Mallorie Waber"/>
    <s v="USA"/>
    <x v="2"/>
    <x v="287"/>
    <n v="2475"/>
    <x v="0"/>
  </r>
  <r>
    <s v="Gunar Cockshoot"/>
    <s v="UK"/>
    <x v="6"/>
    <x v="288"/>
    <n v="7063"/>
    <x v="0"/>
  </r>
  <r>
    <s v="Brien Boise"/>
    <s v="USA"/>
    <x v="0"/>
    <x v="289"/>
    <n v="13705"/>
    <x v="0"/>
  </r>
  <r>
    <s v="Marney O'Breem"/>
    <s v="Switzerland"/>
    <x v="7"/>
    <x v="289"/>
    <n v="1236"/>
    <x v="0"/>
  </r>
  <r>
    <s v="Brien Boise"/>
    <s v="UK"/>
    <x v="2"/>
    <x v="289"/>
    <n v="2550"/>
    <x v="0"/>
  </r>
  <r>
    <s v="Rafaela Blaksland"/>
    <s v="China"/>
    <x v="3"/>
    <x v="289"/>
    <n v="10973"/>
    <x v="0"/>
  </r>
  <r>
    <s v="Curtice Advani"/>
    <s v="Germany"/>
    <x v="3"/>
    <x v="290"/>
    <n v="4450"/>
    <x v="0"/>
  </r>
  <r>
    <s v="Karlen McCaffrey"/>
    <s v="Switzerland"/>
    <x v="4"/>
    <x v="291"/>
    <n v="3421"/>
    <x v="0"/>
  </r>
  <r>
    <s v="Gunar Cockshoot"/>
    <s v="China"/>
    <x v="0"/>
    <x v="292"/>
    <n v="6311"/>
    <x v="0"/>
  </r>
  <r>
    <s v="Brien Boise"/>
    <s v="Switzerland"/>
    <x v="5"/>
    <x v="292"/>
    <n v="3342"/>
    <x v="0"/>
  </r>
  <r>
    <s v="Brien Boise"/>
    <s v="UK"/>
    <x v="7"/>
    <x v="292"/>
    <n v="9611"/>
    <x v="0"/>
  </r>
  <r>
    <s v="Roddy Speechley"/>
    <s v="USA"/>
    <x v="2"/>
    <x v="292"/>
    <n v="6775"/>
    <x v="0"/>
  </r>
  <r>
    <s v="Rafaela Blaksland"/>
    <s v="UK"/>
    <x v="6"/>
    <x v="292"/>
    <n v="2432"/>
    <x v="0"/>
  </r>
  <r>
    <s v="Gigi Bohling"/>
    <s v="USA"/>
    <x v="6"/>
    <x v="292"/>
    <n v="4149"/>
    <x v="0"/>
  </r>
  <r>
    <s v="Brien Boise"/>
    <s v="Switzerland"/>
    <x v="6"/>
    <x v="292"/>
    <n v="9661"/>
    <x v="0"/>
  </r>
  <r>
    <s v="Brien Boise"/>
    <s v="USA"/>
    <x v="6"/>
    <x v="292"/>
    <n v="3381"/>
    <x v="0"/>
  </r>
  <r>
    <s v="Curtice Advani"/>
    <s v="China"/>
    <x v="0"/>
    <x v="293"/>
    <n v="2479"/>
    <x v="0"/>
  </r>
  <r>
    <s v="Karlen McCaffrey"/>
    <s v="Germany"/>
    <x v="4"/>
    <x v="294"/>
    <n v="13494"/>
    <x v="0"/>
  </r>
  <r>
    <s v="Jan Morforth"/>
    <s v="Switzerland"/>
    <x v="2"/>
    <x v="294"/>
    <n v="13834"/>
    <x v="0"/>
  </r>
  <r>
    <s v="Oby Sorrel"/>
    <s v="Switzerland"/>
    <x v="0"/>
    <x v="295"/>
    <n v="2174"/>
    <x v="0"/>
  </r>
  <r>
    <s v="Roddy Speechley"/>
    <s v="Canada"/>
    <x v="4"/>
    <x v="295"/>
    <n v="2204"/>
    <x v="0"/>
  </r>
  <r>
    <s v="Curtice Advani"/>
    <s v="UK"/>
    <x v="5"/>
    <x v="295"/>
    <n v="12065"/>
    <x v="0"/>
  </r>
  <r>
    <s v="Rafaela Blaksland"/>
    <s v="Germany"/>
    <x v="5"/>
    <x v="295"/>
    <n v="6056"/>
    <x v="0"/>
  </r>
  <r>
    <s v="Oby Sorrel"/>
    <s v="Switzerland"/>
    <x v="1"/>
    <x v="295"/>
    <n v="13815"/>
    <x v="0"/>
  </r>
  <r>
    <s v="Van Tuxwell"/>
    <s v="Switzerland"/>
    <x v="6"/>
    <x v="295"/>
    <n v="8436"/>
    <x v="0"/>
  </r>
  <r>
    <s v="Van Tuxwell"/>
    <s v="Switzerland"/>
    <x v="0"/>
    <x v="296"/>
    <n v="10251"/>
    <x v="0"/>
  </r>
  <r>
    <s v="Marney O'Breem"/>
    <s v="USA"/>
    <x v="1"/>
    <x v="296"/>
    <n v="4657"/>
    <x v="0"/>
  </r>
  <r>
    <s v="Brien Boise"/>
    <s v="UK"/>
    <x v="1"/>
    <x v="296"/>
    <n v="2864"/>
    <x v="0"/>
  </r>
  <r>
    <s v="Beverie Moffet"/>
    <s v="USA"/>
    <x v="7"/>
    <x v="296"/>
    <n v="10766"/>
    <x v="0"/>
  </r>
  <r>
    <s v="Rafaela Blaksland"/>
    <s v="Canada"/>
    <x v="6"/>
    <x v="296"/>
    <n v="9069"/>
    <x v="0"/>
  </r>
  <r>
    <s v="Gigi Bohling"/>
    <s v="UK"/>
    <x v="5"/>
    <x v="297"/>
    <n v="13248"/>
    <x v="0"/>
  </r>
  <r>
    <s v="Jehu Rudeforth"/>
    <s v="USA"/>
    <x v="7"/>
    <x v="297"/>
    <n v="6644"/>
    <x v="0"/>
  </r>
  <r>
    <s v="Curtice Advani"/>
    <s v="Germany"/>
    <x v="7"/>
    <x v="297"/>
    <n v="9467"/>
    <x v="0"/>
  </r>
  <r>
    <s v="Jehu Rudeforth"/>
    <s v="China"/>
    <x v="3"/>
    <x v="297"/>
    <n v="9707"/>
    <x v="0"/>
  </r>
  <r>
    <s v="Marney O'Breem"/>
    <s v="UK"/>
    <x v="5"/>
    <x v="298"/>
    <n v="11797"/>
    <x v="0"/>
  </r>
  <r>
    <s v="Karlen McCaffrey"/>
    <s v="China"/>
    <x v="5"/>
    <x v="298"/>
    <n v="10783"/>
    <x v="0"/>
  </r>
  <r>
    <s v="Gunar Cockshoot"/>
    <s v="Canada"/>
    <x v="6"/>
    <x v="298"/>
    <n v="9898"/>
    <x v="0"/>
  </r>
  <r>
    <s v="Gigi Bohling"/>
    <s v="UK"/>
    <x v="6"/>
    <x v="298"/>
    <n v="11924"/>
    <x v="0"/>
  </r>
  <r>
    <s v="Karlen McCaffrey"/>
    <s v="Germany"/>
    <x v="4"/>
    <x v="299"/>
    <n v="4910"/>
    <x v="0"/>
  </r>
  <r>
    <s v="Gigi Bohling"/>
    <s v="China"/>
    <x v="1"/>
    <x v="299"/>
    <n v="3021"/>
    <x v="0"/>
  </r>
  <r>
    <s v="Curtice Advani"/>
    <s v="China"/>
    <x v="7"/>
    <x v="299"/>
    <n v="11741"/>
    <x v="0"/>
  </r>
  <r>
    <s v="Oby Sorrel"/>
    <s v="Germany"/>
    <x v="4"/>
    <x v="300"/>
    <n v="11678"/>
    <x v="0"/>
  </r>
  <r>
    <s v="Jehu Rudeforth"/>
    <s v="Switzerland"/>
    <x v="5"/>
    <x v="300"/>
    <n v="5258"/>
    <x v="0"/>
  </r>
  <r>
    <s v="Mallorie Waber"/>
    <s v="China"/>
    <x v="5"/>
    <x v="300"/>
    <n v="11227"/>
    <x v="0"/>
  </r>
  <r>
    <s v="Mallorie Waber"/>
    <s v="Germany"/>
    <x v="7"/>
    <x v="300"/>
    <n v="10938"/>
    <x v="0"/>
  </r>
  <r>
    <s v="Marney O'Breem"/>
    <s v="Canada"/>
    <x v="7"/>
    <x v="300"/>
    <n v="4247"/>
    <x v="0"/>
  </r>
  <r>
    <s v="Marney O'Breem"/>
    <s v="China"/>
    <x v="6"/>
    <x v="300"/>
    <n v="7205"/>
    <x v="0"/>
  </r>
  <r>
    <s v="Gunar Cockshoot"/>
    <s v="China"/>
    <x v="6"/>
    <x v="301"/>
    <n v="8001"/>
    <x v="0"/>
  </r>
  <r>
    <s v="Rafaela Blaksland"/>
    <s v="UK"/>
    <x v="0"/>
    <x v="302"/>
    <n v="6801"/>
    <x v="0"/>
  </r>
  <r>
    <s v="Barr Faughny"/>
    <s v="UK"/>
    <x v="0"/>
    <x v="302"/>
    <n v="9219"/>
    <x v="0"/>
  </r>
  <r>
    <s v="Karlen McCaffrey"/>
    <s v="Canada"/>
    <x v="4"/>
    <x v="302"/>
    <n v="5045"/>
    <x v="0"/>
  </r>
  <r>
    <s v="Roddy Speechley"/>
    <s v="China"/>
    <x v="5"/>
    <x v="302"/>
    <n v="3531"/>
    <x v="0"/>
  </r>
  <r>
    <s v="Karlen McCaffrey"/>
    <s v="USA"/>
    <x v="1"/>
    <x v="302"/>
    <n v="8712"/>
    <x v="0"/>
  </r>
  <r>
    <s v="Oby Sorrel"/>
    <s v="China"/>
    <x v="7"/>
    <x v="302"/>
    <n v="2196"/>
    <x v="0"/>
  </r>
  <r>
    <s v="Gigi Bohling"/>
    <s v="Germany"/>
    <x v="6"/>
    <x v="302"/>
    <n v="7860"/>
    <x v="0"/>
  </r>
  <r>
    <s v="Jehu Rudeforth"/>
    <s v="China"/>
    <x v="6"/>
    <x v="302"/>
    <n v="8774"/>
    <x v="0"/>
  </r>
  <r>
    <s v="Marney O'Breem"/>
    <s v="USA"/>
    <x v="3"/>
    <x v="302"/>
    <n v="7154"/>
    <x v="0"/>
  </r>
  <r>
    <s v="Marney O'Breem"/>
    <s v="USA"/>
    <x v="0"/>
    <x v="303"/>
    <n v="11906"/>
    <x v="0"/>
  </r>
  <r>
    <s v="Gunar Cockshoot"/>
    <s v="USA"/>
    <x v="6"/>
    <x v="303"/>
    <n v="8688"/>
    <x v="0"/>
  </r>
  <r>
    <s v="Rafaela Blaksland"/>
    <s v="Germany"/>
    <x v="4"/>
    <x v="304"/>
    <n v="11990"/>
    <x v="0"/>
  </r>
  <r>
    <s v="Curtice Advani"/>
    <s v="Switzerland"/>
    <x v="4"/>
    <x v="304"/>
    <n v="12074"/>
    <x v="0"/>
  </r>
  <r>
    <s v="Karlen McCaffrey"/>
    <s v="USA"/>
    <x v="6"/>
    <x v="304"/>
    <n v="8749"/>
    <x v="0"/>
  </r>
  <r>
    <s v="Beverie Moffet"/>
    <s v="USA"/>
    <x v="4"/>
    <x v="305"/>
    <n v="3296"/>
    <x v="0"/>
  </r>
  <r>
    <s v="Roddy Speechley"/>
    <s v="China"/>
    <x v="5"/>
    <x v="305"/>
    <n v="12664"/>
    <x v="0"/>
  </r>
  <r>
    <s v="Oby Sorrel"/>
    <s v="UK"/>
    <x v="7"/>
    <x v="305"/>
    <n v="2948"/>
    <x v="0"/>
  </r>
  <r>
    <s v="Rafaela Blaksland"/>
    <s v="UK"/>
    <x v="7"/>
    <x v="305"/>
    <n v="7360"/>
    <x v="0"/>
  </r>
  <r>
    <s v="Oby Sorrel"/>
    <s v="Switzerland"/>
    <x v="6"/>
    <x v="305"/>
    <n v="12019"/>
    <x v="0"/>
  </r>
  <r>
    <s v="Marney O'Breem"/>
    <s v="China"/>
    <x v="4"/>
    <x v="306"/>
    <n v="12938"/>
    <x v="0"/>
  </r>
  <r>
    <s v="Oby Sorrel"/>
    <s v="USA"/>
    <x v="4"/>
    <x v="307"/>
    <n v="2536"/>
    <x v="0"/>
  </r>
  <r>
    <s v="Rafaela Blaksland"/>
    <s v="Germany"/>
    <x v="1"/>
    <x v="307"/>
    <n v="12016"/>
    <x v="0"/>
  </r>
  <r>
    <s v="Mallorie Waber"/>
    <s v="USA"/>
    <x v="2"/>
    <x v="307"/>
    <n v="13407"/>
    <x v="0"/>
  </r>
  <r>
    <s v="Roddy Speechley"/>
    <s v="USA"/>
    <x v="6"/>
    <x v="307"/>
    <n v="6840"/>
    <x v="0"/>
  </r>
  <r>
    <s v="Brien Boise"/>
    <s v="UK"/>
    <x v="6"/>
    <x v="307"/>
    <n v="7080"/>
    <x v="0"/>
  </r>
  <r>
    <s v="Rafaela Blaksland"/>
    <s v="China"/>
    <x v="6"/>
    <x v="307"/>
    <n v="1986"/>
    <x v="0"/>
  </r>
  <r>
    <s v="Marney O'Breem"/>
    <s v="Germany"/>
    <x v="3"/>
    <x v="307"/>
    <n v="10115"/>
    <x v="0"/>
  </r>
  <r>
    <s v="Gigi Bohling"/>
    <s v="UK"/>
    <x v="3"/>
    <x v="307"/>
    <n v="1115"/>
    <x v="0"/>
  </r>
  <r>
    <s v="Jehu Rudeforth"/>
    <s v="China"/>
    <x v="1"/>
    <x v="308"/>
    <n v="13076"/>
    <x v="0"/>
  </r>
  <r>
    <s v="Marney O'Breem"/>
    <s v="UK"/>
    <x v="2"/>
    <x v="308"/>
    <n v="11444"/>
    <x v="0"/>
  </r>
  <r>
    <s v="Gunar Cockshoot"/>
    <s v="Canada"/>
    <x v="2"/>
    <x v="308"/>
    <n v="13625"/>
    <x v="0"/>
  </r>
  <r>
    <s v="Gigi Bohling"/>
    <s v="Germany"/>
    <x v="2"/>
    <x v="308"/>
    <n v="5838"/>
    <x v="0"/>
  </r>
  <r>
    <s v="Karlen McCaffrey"/>
    <s v="Germany"/>
    <x v="6"/>
    <x v="308"/>
    <n v="3861"/>
    <x v="0"/>
  </r>
  <r>
    <s v="Jan Morforth"/>
    <s v="Germany"/>
    <x v="0"/>
    <x v="309"/>
    <n v="9374"/>
    <x v="0"/>
  </r>
  <r>
    <s v="Brien Boise"/>
    <s v="Canada"/>
    <x v="4"/>
    <x v="309"/>
    <n v="1939"/>
    <x v="0"/>
  </r>
  <r>
    <s v="Jan Morforth"/>
    <s v="USA"/>
    <x v="5"/>
    <x v="309"/>
    <n v="11489"/>
    <x v="0"/>
  </r>
  <r>
    <s v="Brien Boise"/>
    <s v="Germany"/>
    <x v="2"/>
    <x v="309"/>
    <n v="9254"/>
    <x v="0"/>
  </r>
  <r>
    <s v="Curtice Advani"/>
    <s v="Germany"/>
    <x v="0"/>
    <x v="310"/>
    <n v="5895"/>
    <x v="0"/>
  </r>
  <r>
    <s v="Marney O'Breem"/>
    <s v="Canada"/>
    <x v="0"/>
    <x v="310"/>
    <n v="12491"/>
    <x v="0"/>
  </r>
  <r>
    <s v="Jehu Rudeforth"/>
    <s v="USA"/>
    <x v="4"/>
    <x v="310"/>
    <n v="1297"/>
    <x v="0"/>
  </r>
  <r>
    <s v="Brien Boise"/>
    <s v="China"/>
    <x v="5"/>
    <x v="310"/>
    <n v="3864"/>
    <x v="0"/>
  </r>
  <r>
    <s v="Gigi Bohling"/>
    <s v="USA"/>
    <x v="1"/>
    <x v="310"/>
    <n v="10956"/>
    <x v="0"/>
  </r>
  <r>
    <s v="Oby Sorrel"/>
    <s v="Switzerland"/>
    <x v="0"/>
    <x v="311"/>
    <n v="5104"/>
    <x v="0"/>
  </r>
  <r>
    <s v="Gunar Cockshoot"/>
    <s v="UK"/>
    <x v="7"/>
    <x v="311"/>
    <n v="10253"/>
    <x v="0"/>
  </r>
  <r>
    <s v="Oby Sorrel"/>
    <s v="Switzerland"/>
    <x v="3"/>
    <x v="311"/>
    <n v="9375"/>
    <x v="0"/>
  </r>
  <r>
    <s v="Roddy Speechley"/>
    <s v="USA"/>
    <x v="5"/>
    <x v="312"/>
    <n v="9237"/>
    <x v="0"/>
  </r>
  <r>
    <s v="Gunar Cockshoot"/>
    <s v="UK"/>
    <x v="2"/>
    <x v="312"/>
    <n v="4781"/>
    <x v="0"/>
  </r>
  <r>
    <s v="Beverie Moffet"/>
    <s v="Germany"/>
    <x v="3"/>
    <x v="312"/>
    <n v="13052"/>
    <x v="0"/>
  </r>
  <r>
    <s v="Roddy Speechley"/>
    <s v="Switzerland"/>
    <x v="4"/>
    <x v="313"/>
    <n v="11333"/>
    <x v="0"/>
  </r>
  <r>
    <s v="Marney O'Breem"/>
    <s v="USA"/>
    <x v="5"/>
    <x v="313"/>
    <n v="7523"/>
    <x v="0"/>
  </r>
  <r>
    <s v="Oby Sorrel"/>
    <s v="Germany"/>
    <x v="2"/>
    <x v="313"/>
    <n v="9160"/>
    <x v="0"/>
  </r>
  <r>
    <s v="Jehu Rudeforth"/>
    <s v="UK"/>
    <x v="3"/>
    <x v="313"/>
    <n v="7994"/>
    <x v="0"/>
  </r>
  <r>
    <s v="Karlen McCaffrey"/>
    <s v="Canada"/>
    <x v="3"/>
    <x v="313"/>
    <n v="5824"/>
    <x v="0"/>
  </r>
  <r>
    <s v="Beverie Moffet"/>
    <s v="Switzerland"/>
    <x v="4"/>
    <x v="314"/>
    <n v="12677"/>
    <x v="0"/>
  </r>
  <r>
    <s v="Mallorie Waber"/>
    <s v="USA"/>
    <x v="6"/>
    <x v="314"/>
    <n v="8193"/>
    <x v="0"/>
  </r>
  <r>
    <s v="Roddy Speechley"/>
    <s v="Canada"/>
    <x v="6"/>
    <x v="314"/>
    <n v="2780"/>
    <x v="0"/>
  </r>
  <r>
    <s v="Roddy Speechley"/>
    <s v="USA"/>
    <x v="4"/>
    <x v="315"/>
    <n v="2557"/>
    <x v="0"/>
  </r>
  <r>
    <s v="Beverie Moffet"/>
    <s v="UK"/>
    <x v="7"/>
    <x v="315"/>
    <n v="1121"/>
    <x v="0"/>
  </r>
  <r>
    <s v="Curtice Advani"/>
    <s v="USA"/>
    <x v="2"/>
    <x v="315"/>
    <n v="4043"/>
    <x v="0"/>
  </r>
  <r>
    <s v="Gunar Cockshoot"/>
    <s v="Germany"/>
    <x v="4"/>
    <x v="316"/>
    <n v="9254"/>
    <x v="0"/>
  </r>
  <r>
    <s v="Beverie Moffet"/>
    <s v="Canada"/>
    <x v="3"/>
    <x v="316"/>
    <n v="4687"/>
    <x v="0"/>
  </r>
  <r>
    <s v="Gunar Cockshoot"/>
    <s v="China"/>
    <x v="0"/>
    <x v="317"/>
    <n v="13654"/>
    <x v="0"/>
  </r>
  <r>
    <s v="Mallorie Waber"/>
    <s v="USA"/>
    <x v="5"/>
    <x v="317"/>
    <n v="9733"/>
    <x v="0"/>
  </r>
  <r>
    <s v="Gunar Cockshoot"/>
    <s v="Canada"/>
    <x v="3"/>
    <x v="317"/>
    <n v="1280"/>
    <x v="0"/>
  </r>
  <r>
    <s v="Gunar Cockshoot"/>
    <s v="Germany"/>
    <x v="0"/>
    <x v="318"/>
    <n v="8242"/>
    <x v="0"/>
  </r>
  <r>
    <s v="Gunar Cockshoot"/>
    <s v="UK"/>
    <x v="4"/>
    <x v="318"/>
    <n v="12693"/>
    <x v="0"/>
  </r>
  <r>
    <s v="Van Tuxwell"/>
    <s v="China"/>
    <x v="2"/>
    <x v="318"/>
    <n v="8537"/>
    <x v="0"/>
  </r>
  <r>
    <s v="Van Tuxwell"/>
    <s v="Germany"/>
    <x v="6"/>
    <x v="318"/>
    <n v="10516"/>
    <x v="0"/>
  </r>
  <r>
    <s v="Rafaela Blaksland"/>
    <s v="UK"/>
    <x v="3"/>
    <x v="318"/>
    <n v="9232"/>
    <x v="0"/>
  </r>
  <r>
    <s v="Beverie Moffet"/>
    <s v="UK"/>
    <x v="3"/>
    <x v="318"/>
    <n v="10390"/>
    <x v="0"/>
  </r>
  <r>
    <s v="Jehu Rudeforth"/>
    <s v="Canada"/>
    <x v="5"/>
    <x v="319"/>
    <n v="11210"/>
    <x v="0"/>
  </r>
  <r>
    <s v="Jehu Rudeforth"/>
    <s v="Canada"/>
    <x v="6"/>
    <x v="319"/>
    <n v="3197"/>
    <x v="0"/>
  </r>
  <r>
    <s v="Gunar Cockshoot"/>
    <s v="Canada"/>
    <x v="3"/>
    <x v="319"/>
    <n v="8893"/>
    <x v="0"/>
  </r>
  <r>
    <s v="Marney O'Breem"/>
    <s v="Germany"/>
    <x v="3"/>
    <x v="319"/>
    <n v="10909"/>
    <x v="0"/>
  </r>
  <r>
    <s v="Marney O'Breem"/>
    <s v="Switzerland"/>
    <x v="0"/>
    <x v="320"/>
    <n v="6656"/>
    <x v="0"/>
  </r>
  <r>
    <s v="Oby Sorrel"/>
    <s v="UK"/>
    <x v="5"/>
    <x v="320"/>
    <n v="11098"/>
    <x v="0"/>
  </r>
  <r>
    <s v="Rafaela Blaksland"/>
    <s v="UK"/>
    <x v="5"/>
    <x v="320"/>
    <n v="13078"/>
    <x v="0"/>
  </r>
  <r>
    <s v="Jehu Rudeforth"/>
    <s v="USA"/>
    <x v="2"/>
    <x v="320"/>
    <n v="13259"/>
    <x v="0"/>
  </r>
  <r>
    <s v="Gigi Bohling"/>
    <s v="China"/>
    <x v="6"/>
    <x v="320"/>
    <n v="9952"/>
    <x v="0"/>
  </r>
  <r>
    <s v="Mallorie Waber"/>
    <s v="China"/>
    <x v="5"/>
    <x v="321"/>
    <n v="5445"/>
    <x v="0"/>
  </r>
  <r>
    <s v="Oby Sorrel"/>
    <s v="UK"/>
    <x v="5"/>
    <x v="321"/>
    <n v="5321"/>
    <x v="0"/>
  </r>
  <r>
    <s v="Brien Boise"/>
    <s v="China"/>
    <x v="2"/>
    <x v="321"/>
    <n v="13630"/>
    <x v="0"/>
  </r>
  <r>
    <s v="Curtice Advani"/>
    <s v="Switzerland"/>
    <x v="0"/>
    <x v="322"/>
    <n v="5265"/>
    <x v="0"/>
  </r>
  <r>
    <s v="Gigi Bohling"/>
    <s v="USA"/>
    <x v="5"/>
    <x v="322"/>
    <n v="8773"/>
    <x v="0"/>
  </r>
  <r>
    <s v="Mallorie Waber"/>
    <s v="Germany"/>
    <x v="5"/>
    <x v="322"/>
    <n v="9724"/>
    <x v="0"/>
  </r>
  <r>
    <s v="Oby Sorrel"/>
    <s v="UK"/>
    <x v="6"/>
    <x v="322"/>
    <n v="12587"/>
    <x v="0"/>
  </r>
  <r>
    <s v="Curtice Advani"/>
    <s v="UK"/>
    <x v="6"/>
    <x v="322"/>
    <n v="9023"/>
    <x v="0"/>
  </r>
  <r>
    <s v="Karlen McCaffrey"/>
    <s v="Switzerland"/>
    <x v="6"/>
    <x v="322"/>
    <n v="8453"/>
    <x v="0"/>
  </r>
  <r>
    <s v="Brien Boise"/>
    <s v="Canada"/>
    <x v="3"/>
    <x v="322"/>
    <n v="4813"/>
    <x v="0"/>
  </r>
  <r>
    <s v="Mallorie Waber"/>
    <s v="UK"/>
    <x v="4"/>
    <x v="323"/>
    <n v="13958"/>
    <x v="0"/>
  </r>
  <r>
    <s v="Barr Faughny"/>
    <s v="Switzerland"/>
    <x v="5"/>
    <x v="323"/>
    <n v="12277"/>
    <x v="0"/>
  </r>
  <r>
    <s v="Mallorie Waber"/>
    <s v="Germany"/>
    <x v="4"/>
    <x v="324"/>
    <n v="6101"/>
    <x v="0"/>
  </r>
  <r>
    <s v="Brien Boise"/>
    <s v="USA"/>
    <x v="3"/>
    <x v="324"/>
    <n v="1111"/>
    <x v="0"/>
  </r>
  <r>
    <s v="Marney O'Breem"/>
    <s v="Switzerland"/>
    <x v="0"/>
    <x v="325"/>
    <n v="13451"/>
    <x v="0"/>
  </r>
  <r>
    <s v="Beverie Moffet"/>
    <s v="Canada"/>
    <x v="0"/>
    <x v="325"/>
    <n v="8480"/>
    <x v="0"/>
  </r>
  <r>
    <s v="Rafaela Blaksland"/>
    <s v="China"/>
    <x v="2"/>
    <x v="325"/>
    <n v="10057"/>
    <x v="0"/>
  </r>
  <r>
    <s v="Van Tuxwell"/>
    <s v="USA"/>
    <x v="2"/>
    <x v="325"/>
    <n v="9605"/>
    <x v="0"/>
  </r>
  <r>
    <s v="Gigi Bohling"/>
    <s v="Switzerland"/>
    <x v="6"/>
    <x v="325"/>
    <n v="3012"/>
    <x v="0"/>
  </r>
  <r>
    <s v="Barr Faughny"/>
    <s v="Canada"/>
    <x v="7"/>
    <x v="326"/>
    <n v="4491"/>
    <x v="0"/>
  </r>
  <r>
    <s v="Marney O'Breem"/>
    <s v="Canada"/>
    <x v="6"/>
    <x v="326"/>
    <n v="13852"/>
    <x v="0"/>
  </r>
  <r>
    <s v="Gunar Cockshoot"/>
    <s v="UK"/>
    <x v="0"/>
    <x v="327"/>
    <n v="13421"/>
    <x v="0"/>
  </r>
  <r>
    <s v="Curtice Advani"/>
    <s v="Switzerland"/>
    <x v="4"/>
    <x v="327"/>
    <n v="8912"/>
    <x v="0"/>
  </r>
  <r>
    <s v="Oby Sorrel"/>
    <s v="Switzerland"/>
    <x v="5"/>
    <x v="327"/>
    <n v="5599"/>
    <x v="0"/>
  </r>
  <r>
    <s v="Rafaela Blaksland"/>
    <s v="Germany"/>
    <x v="5"/>
    <x v="327"/>
    <n v="11089"/>
    <x v="0"/>
  </r>
  <r>
    <s v="Van Tuxwell"/>
    <s v="Switzerland"/>
    <x v="5"/>
    <x v="327"/>
    <n v="7132"/>
    <x v="0"/>
  </r>
  <r>
    <s v="Jan Morforth"/>
    <s v="UK"/>
    <x v="6"/>
    <x v="327"/>
    <n v="2270"/>
    <x v="0"/>
  </r>
  <r>
    <s v="Rafaela Blaksland"/>
    <s v="USA"/>
    <x v="3"/>
    <x v="327"/>
    <n v="11096"/>
    <x v="0"/>
  </r>
  <r>
    <s v="Gigi Bohling"/>
    <s v="Switzerland"/>
    <x v="4"/>
    <x v="328"/>
    <n v="2340"/>
    <x v="0"/>
  </r>
  <r>
    <s v="Curtice Advani"/>
    <s v="USA"/>
    <x v="4"/>
    <x v="328"/>
    <n v="7115"/>
    <x v="0"/>
  </r>
  <r>
    <s v="Van Tuxwell"/>
    <s v="UK"/>
    <x v="4"/>
    <x v="328"/>
    <n v="11623"/>
    <x v="0"/>
  </r>
  <r>
    <s v="Barr Faughny"/>
    <s v="Canada"/>
    <x v="7"/>
    <x v="328"/>
    <n v="1728"/>
    <x v="0"/>
  </r>
  <r>
    <s v="Rafaela Blaksland"/>
    <s v="China"/>
    <x v="2"/>
    <x v="328"/>
    <n v="4568"/>
    <x v="0"/>
  </r>
  <r>
    <s v="Karlen McCaffrey"/>
    <s v="Canada"/>
    <x v="5"/>
    <x v="329"/>
    <n v="6483"/>
    <x v="0"/>
  </r>
  <r>
    <s v="Roddy Speechley"/>
    <s v="Canada"/>
    <x v="5"/>
    <x v="329"/>
    <n v="9293"/>
    <x v="0"/>
  </r>
  <r>
    <s v="Karlen McCaffrey"/>
    <s v="USA"/>
    <x v="7"/>
    <x v="329"/>
    <n v="10430"/>
    <x v="0"/>
  </r>
  <r>
    <s v="Brien Boise"/>
    <s v="Germany"/>
    <x v="2"/>
    <x v="329"/>
    <n v="1775"/>
    <x v="0"/>
  </r>
  <r>
    <s v="Rafaela Blaksland"/>
    <s v="UK"/>
    <x v="2"/>
    <x v="329"/>
    <n v="10830"/>
    <x v="0"/>
  </r>
  <r>
    <s v="Brien Boise"/>
    <s v="Switzerland"/>
    <x v="6"/>
    <x v="329"/>
    <n v="6906"/>
    <x v="0"/>
  </r>
  <r>
    <s v="Mallorie Waber"/>
    <s v="China"/>
    <x v="0"/>
    <x v="330"/>
    <n v="11743"/>
    <x v="0"/>
  </r>
  <r>
    <s v="Oby Sorrel"/>
    <s v="Canada"/>
    <x v="7"/>
    <x v="330"/>
    <n v="2241"/>
    <x v="0"/>
  </r>
  <r>
    <s v="Van Tuxwell"/>
    <s v="Switzerland"/>
    <x v="2"/>
    <x v="330"/>
    <n v="4921"/>
    <x v="0"/>
  </r>
  <r>
    <s v="Brien Boise"/>
    <s v="USA"/>
    <x v="5"/>
    <x v="331"/>
    <n v="10396"/>
    <x v="0"/>
  </r>
  <r>
    <s v="Curtice Advani"/>
    <s v="Switzerland"/>
    <x v="1"/>
    <x v="331"/>
    <n v="12276"/>
    <x v="0"/>
  </r>
  <r>
    <s v="Gigi Bohling"/>
    <s v="China"/>
    <x v="7"/>
    <x v="331"/>
    <n v="1826"/>
    <x v="0"/>
  </r>
  <r>
    <s v="Rafaela Blaksland"/>
    <s v="UK"/>
    <x v="2"/>
    <x v="331"/>
    <n v="4350"/>
    <x v="0"/>
  </r>
  <r>
    <s v="Gunar Cockshoot"/>
    <s v="USA"/>
    <x v="6"/>
    <x v="331"/>
    <n v="12639"/>
    <x v="0"/>
  </r>
  <r>
    <s v="Gunar Cockshoot"/>
    <s v="UK"/>
    <x v="4"/>
    <x v="332"/>
    <n v="11131"/>
    <x v="0"/>
  </r>
  <r>
    <s v="Barr Faughny"/>
    <s v="Switzerland"/>
    <x v="5"/>
    <x v="332"/>
    <n v="11008"/>
    <x v="0"/>
  </r>
  <r>
    <s v="Jehu Rudeforth"/>
    <s v="Switzerland"/>
    <x v="5"/>
    <x v="332"/>
    <n v="6089"/>
    <x v="0"/>
  </r>
  <r>
    <s v="Gigi Bohling"/>
    <s v="USA"/>
    <x v="3"/>
    <x v="332"/>
    <n v="2743"/>
    <x v="0"/>
  </r>
  <r>
    <s v="Beverie Moffet"/>
    <s v="Germany"/>
    <x v="3"/>
    <x v="332"/>
    <n v="2370"/>
    <x v="0"/>
  </r>
  <r>
    <s v="Beverie Moffet"/>
    <s v="Canada"/>
    <x v="4"/>
    <x v="333"/>
    <n v="2601"/>
    <x v="0"/>
  </r>
  <r>
    <s v="Barr Faughny"/>
    <s v="Switzerland"/>
    <x v="3"/>
    <x v="333"/>
    <n v="11804"/>
    <x v="0"/>
  </r>
  <r>
    <s v="Rafaela Blaksland"/>
    <s v="Canada"/>
    <x v="4"/>
    <x v="334"/>
    <n v="1216"/>
    <x v="0"/>
  </r>
  <r>
    <s v="Oby Sorrel"/>
    <s v="Canada"/>
    <x v="6"/>
    <x v="334"/>
    <n v="5608"/>
    <x v="0"/>
  </r>
  <r>
    <s v="Oby Sorrel"/>
    <s v="Switzerland"/>
    <x v="3"/>
    <x v="334"/>
    <n v="6588"/>
    <x v="0"/>
  </r>
  <r>
    <s v="Rafaela Blaksland"/>
    <s v="Switzerland"/>
    <x v="3"/>
    <x v="334"/>
    <n v="8302"/>
    <x v="0"/>
  </r>
  <r>
    <s v="Brien Boise"/>
    <s v="USA"/>
    <x v="5"/>
    <x v="335"/>
    <n v="6370"/>
    <x v="0"/>
  </r>
  <r>
    <s v="Jan Morforth"/>
    <s v="USA"/>
    <x v="5"/>
    <x v="335"/>
    <n v="6782"/>
    <x v="0"/>
  </r>
  <r>
    <s v="Gunar Cockshoot"/>
    <s v="China"/>
    <x v="1"/>
    <x v="335"/>
    <n v="8663"/>
    <x v="0"/>
  </r>
  <r>
    <s v="Jehu Rudeforth"/>
    <s v="Germany"/>
    <x v="7"/>
    <x v="335"/>
    <n v="1220"/>
    <x v="0"/>
  </r>
  <r>
    <s v="Gunar Cockshoot"/>
    <s v="China"/>
    <x v="2"/>
    <x v="335"/>
    <n v="2941"/>
    <x v="0"/>
  </r>
  <r>
    <s v="Marney O'Breem"/>
    <s v="China"/>
    <x v="6"/>
    <x v="335"/>
    <n v="3917"/>
    <x v="0"/>
  </r>
  <r>
    <s v="Jan Morforth"/>
    <s v="China"/>
    <x v="6"/>
    <x v="335"/>
    <n v="11292"/>
    <x v="0"/>
  </r>
  <r>
    <s v="Gunar Cockshoot"/>
    <s v="USA"/>
    <x v="0"/>
    <x v="336"/>
    <n v="5197"/>
    <x v="0"/>
  </r>
  <r>
    <s v="Gigi Bohling"/>
    <s v="USA"/>
    <x v="1"/>
    <x v="336"/>
    <n v="10407"/>
    <x v="0"/>
  </r>
  <r>
    <s v="Marney O'Breem"/>
    <s v="Switzerland"/>
    <x v="2"/>
    <x v="336"/>
    <n v="11179"/>
    <x v="0"/>
  </r>
  <r>
    <s v="Jan Morforth"/>
    <s v="China"/>
    <x v="4"/>
    <x v="337"/>
    <n v="9285"/>
    <x v="0"/>
  </r>
  <r>
    <s v="Oby Sorrel"/>
    <s v="China"/>
    <x v="2"/>
    <x v="337"/>
    <n v="3713"/>
    <x v="0"/>
  </r>
  <r>
    <s v="Gigi Bohling"/>
    <s v="UK"/>
    <x v="6"/>
    <x v="337"/>
    <n v="6697"/>
    <x v="0"/>
  </r>
  <r>
    <s v="Brien Boise"/>
    <s v="UK"/>
    <x v="6"/>
    <x v="337"/>
    <n v="8886"/>
    <x v="0"/>
  </r>
  <r>
    <s v="Beverie Moffet"/>
    <s v="UK"/>
    <x v="3"/>
    <x v="338"/>
    <n v="5607"/>
    <x v="0"/>
  </r>
  <r>
    <s v="Jehu Rudeforth"/>
    <s v="UK"/>
    <x v="5"/>
    <x v="339"/>
    <n v="5632"/>
    <x v="0"/>
  </r>
  <r>
    <s v="Van Tuxwell"/>
    <s v="Germany"/>
    <x v="6"/>
    <x v="339"/>
    <n v="7358"/>
    <x v="0"/>
  </r>
  <r>
    <s v="Gigi Bohling"/>
    <s v="UK"/>
    <x v="3"/>
    <x v="339"/>
    <n v="8686"/>
    <x v="0"/>
  </r>
  <r>
    <s v="Mallorie Waber"/>
    <s v="UK"/>
    <x v="7"/>
    <x v="340"/>
    <n v="10898"/>
    <x v="0"/>
  </r>
  <r>
    <s v="Gunar Cockshoot"/>
    <s v="Switzerland"/>
    <x v="1"/>
    <x v="341"/>
    <n v="3717"/>
    <x v="0"/>
  </r>
  <r>
    <s v="Beverie Moffet"/>
    <s v="China"/>
    <x v="5"/>
    <x v="342"/>
    <n v="5736"/>
    <x v="0"/>
  </r>
  <r>
    <s v="Marney O'Breem"/>
    <s v="USA"/>
    <x v="0"/>
    <x v="343"/>
    <n v="8833"/>
    <x v="0"/>
  </r>
  <r>
    <s v="Gigi Bohling"/>
    <s v="China"/>
    <x v="4"/>
    <x v="343"/>
    <n v="4877"/>
    <x v="0"/>
  </r>
  <r>
    <s v="Van Tuxwell"/>
    <s v="China"/>
    <x v="4"/>
    <x v="343"/>
    <n v="11435"/>
    <x v="0"/>
  </r>
  <r>
    <s v="Van Tuxwell"/>
    <s v="Canada"/>
    <x v="5"/>
    <x v="343"/>
    <n v="1921"/>
    <x v="0"/>
  </r>
  <r>
    <s v="Roddy Speechley"/>
    <s v="China"/>
    <x v="1"/>
    <x v="343"/>
    <n v="2583"/>
    <x v="0"/>
  </r>
  <r>
    <s v="Beverie Moffet"/>
    <s v="Germany"/>
    <x v="2"/>
    <x v="343"/>
    <n v="8007"/>
    <x v="0"/>
  </r>
  <r>
    <s v="Rafaela Blaksland"/>
    <s v="China"/>
    <x v="3"/>
    <x v="343"/>
    <n v="10668"/>
    <x v="0"/>
  </r>
  <r>
    <s v="Jehu Rudeforth"/>
    <s v="China"/>
    <x v="4"/>
    <x v="344"/>
    <n v="6287"/>
    <x v="0"/>
  </r>
  <r>
    <s v="Karlen McCaffrey"/>
    <s v="Canada"/>
    <x v="5"/>
    <x v="344"/>
    <n v="2494"/>
    <x v="0"/>
  </r>
  <r>
    <s v="Roddy Speechley"/>
    <s v="China"/>
    <x v="5"/>
    <x v="344"/>
    <n v="11568"/>
    <x v="0"/>
  </r>
  <r>
    <s v="Rafaela Blaksland"/>
    <s v="China"/>
    <x v="1"/>
    <x v="344"/>
    <n v="3952"/>
    <x v="0"/>
  </r>
  <r>
    <s v="Gigi Bohling"/>
    <s v="Switzerland"/>
    <x v="2"/>
    <x v="344"/>
    <n v="9315"/>
    <x v="0"/>
  </r>
  <r>
    <s v="Beverie Moffet"/>
    <s v="UK"/>
    <x v="1"/>
    <x v="345"/>
    <n v="4404"/>
    <x v="0"/>
  </r>
  <r>
    <s v="Gigi Bohling"/>
    <s v="Germany"/>
    <x v="6"/>
    <x v="345"/>
    <n v="8299"/>
    <x v="0"/>
  </r>
  <r>
    <s v="Barr Faughny"/>
    <s v="China"/>
    <x v="0"/>
    <x v="346"/>
    <n v="9428"/>
    <x v="0"/>
  </r>
  <r>
    <s v="Gunar Cockshoot"/>
    <s v="Germany"/>
    <x v="5"/>
    <x v="346"/>
    <n v="8307"/>
    <x v="0"/>
  </r>
  <r>
    <s v="Roddy Speechley"/>
    <s v="Germany"/>
    <x v="1"/>
    <x v="346"/>
    <n v="3600"/>
    <x v="0"/>
  </r>
  <r>
    <s v="Karlen McCaffrey"/>
    <s v="China"/>
    <x v="1"/>
    <x v="346"/>
    <n v="4920"/>
    <x v="0"/>
  </r>
  <r>
    <s v="Mallorie Waber"/>
    <s v="Switzerland"/>
    <x v="3"/>
    <x v="346"/>
    <n v="2307"/>
    <x v="0"/>
  </r>
  <r>
    <s v="Beverie Moffet"/>
    <s v="UK"/>
    <x v="0"/>
    <x v="347"/>
    <n v="3872"/>
    <x v="0"/>
  </r>
  <r>
    <s v="Brien Boise"/>
    <s v="USA"/>
    <x v="1"/>
    <x v="347"/>
    <n v="3517"/>
    <x v="0"/>
  </r>
  <r>
    <s v="Beverie Moffet"/>
    <s v="Canada"/>
    <x v="6"/>
    <x v="347"/>
    <n v="8822"/>
    <x v="0"/>
  </r>
  <r>
    <s v="Jan Morforth"/>
    <s v="China"/>
    <x v="6"/>
    <x v="347"/>
    <n v="8590"/>
    <x v="0"/>
  </r>
  <r>
    <s v="Beverie Moffet"/>
    <s v="UK"/>
    <x v="5"/>
    <x v="348"/>
    <n v="7721"/>
    <x v="0"/>
  </r>
  <r>
    <s v="Jan Morforth"/>
    <s v="Switzerland"/>
    <x v="6"/>
    <x v="348"/>
    <n v="1942"/>
    <x v="0"/>
  </r>
  <r>
    <s v="Brien Boise"/>
    <s v="USA"/>
    <x v="4"/>
    <x v="349"/>
    <n v="13008"/>
    <x v="0"/>
  </r>
  <r>
    <s v="Gunar Cockshoot"/>
    <s v="China"/>
    <x v="5"/>
    <x v="349"/>
    <n v="2907"/>
    <x v="0"/>
  </r>
  <r>
    <s v="Van Tuxwell"/>
    <s v="China"/>
    <x v="2"/>
    <x v="349"/>
    <n v="11725"/>
    <x v="0"/>
  </r>
  <r>
    <s v="Jehu Rudeforth"/>
    <s v="China"/>
    <x v="6"/>
    <x v="349"/>
    <n v="6801"/>
    <x v="0"/>
  </r>
  <r>
    <s v="Barr Faughny"/>
    <s v="USA"/>
    <x v="6"/>
    <x v="349"/>
    <n v="10213"/>
    <x v="0"/>
  </r>
  <r>
    <s v="Gunar Cockshoot"/>
    <s v="USA"/>
    <x v="3"/>
    <x v="349"/>
    <n v="7611"/>
    <x v="0"/>
  </r>
  <r>
    <s v="Marney O'Breem"/>
    <s v="UK"/>
    <x v="3"/>
    <x v="349"/>
    <n v="12255"/>
    <x v="0"/>
  </r>
  <r>
    <s v="Jehu Rudeforth"/>
    <s v="Switzerland"/>
    <x v="0"/>
    <x v="350"/>
    <n v="8152"/>
    <x v="0"/>
  </r>
  <r>
    <s v="Gigi Bohling"/>
    <s v="UK"/>
    <x v="7"/>
    <x v="350"/>
    <n v="13433"/>
    <x v="0"/>
  </r>
  <r>
    <s v="Beverie Moffet"/>
    <s v="USA"/>
    <x v="7"/>
    <x v="350"/>
    <n v="12288"/>
    <x v="0"/>
  </r>
  <r>
    <s v="Brien Boise"/>
    <s v="Germany"/>
    <x v="2"/>
    <x v="350"/>
    <n v="5772"/>
    <x v="0"/>
  </r>
  <r>
    <s v="Karlen McCaffrey"/>
    <s v="China"/>
    <x v="5"/>
    <x v="351"/>
    <n v="8609"/>
    <x v="0"/>
  </r>
  <r>
    <s v="Jan Morforth"/>
    <s v="China"/>
    <x v="5"/>
    <x v="351"/>
    <n v="4952"/>
    <x v="0"/>
  </r>
  <r>
    <s v="Mallorie Waber"/>
    <s v="USA"/>
    <x v="1"/>
    <x v="351"/>
    <n v="9195"/>
    <x v="0"/>
  </r>
  <r>
    <s v="Van Tuxwell"/>
    <s v="UK"/>
    <x v="5"/>
    <x v="352"/>
    <n v="1585"/>
    <x v="0"/>
  </r>
  <r>
    <s v="Jan Morforth"/>
    <s v="Germany"/>
    <x v="1"/>
    <x v="352"/>
    <n v="8863"/>
    <x v="0"/>
  </r>
  <r>
    <s v="Jan Morforth"/>
    <s v="UK"/>
    <x v="1"/>
    <x v="352"/>
    <n v="4370"/>
    <x v="0"/>
  </r>
  <r>
    <s v="Brien Boise"/>
    <s v="USA"/>
    <x v="2"/>
    <x v="352"/>
    <n v="7954"/>
    <x v="0"/>
  </r>
  <r>
    <s v="Van Tuxwell"/>
    <s v="Canada"/>
    <x v="0"/>
    <x v="353"/>
    <n v="12974"/>
    <x v="0"/>
  </r>
  <r>
    <s v="Jan Morforth"/>
    <s v="Canada"/>
    <x v="4"/>
    <x v="353"/>
    <n v="5452"/>
    <x v="0"/>
  </r>
  <r>
    <s v="Gigi Bohling"/>
    <s v="Switzerland"/>
    <x v="1"/>
    <x v="353"/>
    <n v="1554"/>
    <x v="0"/>
  </r>
  <r>
    <s v="Jan Morforth"/>
    <s v="USA"/>
    <x v="7"/>
    <x v="353"/>
    <n v="13613"/>
    <x v="0"/>
  </r>
  <r>
    <s v="Curtice Advani"/>
    <s v="Switzerland"/>
    <x v="0"/>
    <x v="354"/>
    <n v="10387"/>
    <x v="0"/>
  </r>
  <r>
    <s v="Rafaela Blaksland"/>
    <s v="Canada"/>
    <x v="5"/>
    <x v="354"/>
    <n v="1828"/>
    <x v="0"/>
  </r>
  <r>
    <s v="Gunar Cockshoot"/>
    <s v="Germany"/>
    <x v="4"/>
    <x v="355"/>
    <n v="5544"/>
    <x v="0"/>
  </r>
  <r>
    <s v="Curtice Advani"/>
    <s v="China"/>
    <x v="4"/>
    <x v="355"/>
    <n v="9027"/>
    <x v="0"/>
  </r>
  <r>
    <s v="Curtice Advani"/>
    <s v="UK"/>
    <x v="2"/>
    <x v="355"/>
    <n v="1322"/>
    <x v="0"/>
  </r>
  <r>
    <s v="Jehu Rudeforth"/>
    <s v="UK"/>
    <x v="6"/>
    <x v="355"/>
    <n v="10220"/>
    <x v="0"/>
  </r>
  <r>
    <s v="Roddy Speechley"/>
    <s v="Canada"/>
    <x v="0"/>
    <x v="356"/>
    <n v="1731"/>
    <x v="0"/>
  </r>
  <r>
    <s v="Gigi Bohling"/>
    <s v="Canada"/>
    <x v="4"/>
    <x v="356"/>
    <n v="12292"/>
    <x v="0"/>
  </r>
  <r>
    <s v="Beverie Moffet"/>
    <s v="China"/>
    <x v="2"/>
    <x v="356"/>
    <n v="3571"/>
    <x v="0"/>
  </r>
  <r>
    <s v="Karlen McCaffrey"/>
    <s v="Switzerland"/>
    <x v="1"/>
    <x v="357"/>
    <n v="2579"/>
    <x v="0"/>
  </r>
  <r>
    <s v="Van Tuxwell"/>
    <s v="UK"/>
    <x v="7"/>
    <x v="357"/>
    <n v="5835"/>
    <x v="0"/>
  </r>
  <r>
    <s v="Barr Faughny"/>
    <s v="Switzerland"/>
    <x v="7"/>
    <x v="357"/>
    <n v="13704"/>
    <x v="0"/>
  </r>
  <r>
    <s v="Mallorie Waber"/>
    <s v="USA"/>
    <x v="4"/>
    <x v="358"/>
    <n v="1551"/>
    <x v="0"/>
  </r>
  <r>
    <s v="Karlen McCaffrey"/>
    <s v="Germany"/>
    <x v="4"/>
    <x v="358"/>
    <n v="7917"/>
    <x v="0"/>
  </r>
  <r>
    <s v="Oby Sorrel"/>
    <s v="USA"/>
    <x v="7"/>
    <x v="358"/>
    <n v="6777"/>
    <x v="0"/>
  </r>
  <r>
    <s v="Oby Sorrel"/>
    <s v="Canada"/>
    <x v="7"/>
    <x v="358"/>
    <n v="4268"/>
    <x v="0"/>
  </r>
  <r>
    <s v="Brien Boise"/>
    <s v="Germany"/>
    <x v="2"/>
    <x v="358"/>
    <n v="9621"/>
    <x v="0"/>
  </r>
  <r>
    <s v="Marney O'Breem"/>
    <s v="Switzerland"/>
    <x v="6"/>
    <x v="358"/>
    <n v="6022"/>
    <x v="0"/>
  </r>
  <r>
    <s v="Beverie Moffet"/>
    <s v="USA"/>
    <x v="6"/>
    <x v="358"/>
    <n v="3007"/>
    <x v="0"/>
  </r>
  <r>
    <s v="Jehu Rudeforth"/>
    <s v="USA"/>
    <x v="1"/>
    <x v="359"/>
    <n v="7839"/>
    <x v="0"/>
  </r>
  <r>
    <s v="Gigi Bohling"/>
    <s v="Germany"/>
    <x v="1"/>
    <x v="359"/>
    <n v="10560"/>
    <x v="0"/>
  </r>
  <r>
    <s v="Jan Morforth"/>
    <s v="Germany"/>
    <x v="3"/>
    <x v="359"/>
    <n v="13045"/>
    <x v="0"/>
  </r>
  <r>
    <s v="Marney O'Breem"/>
    <s v="Canada"/>
    <x v="3"/>
    <x v="359"/>
    <n v="12825"/>
    <x v="0"/>
  </r>
  <r>
    <s v="Gunar Cockshoot"/>
    <s v="USA"/>
    <x v="4"/>
    <x v="360"/>
    <n v="3890"/>
    <x v="0"/>
  </r>
  <r>
    <s v="Jehu Rudeforth"/>
    <s v="China"/>
    <x v="1"/>
    <x v="360"/>
    <n v="7733"/>
    <x v="0"/>
  </r>
  <r>
    <s v="Roddy Speechley"/>
    <s v="China"/>
    <x v="6"/>
    <x v="360"/>
    <n v="11656"/>
    <x v="0"/>
  </r>
  <r>
    <s v="Gunar Cockshoot"/>
    <s v="UK"/>
    <x v="3"/>
    <x v="360"/>
    <n v="10029"/>
    <x v="0"/>
  </r>
  <r>
    <s v="Beverie Moffet"/>
    <s v="Switzerland"/>
    <x v="3"/>
    <x v="360"/>
    <n v="9119"/>
    <x v="0"/>
  </r>
  <r>
    <s v="Roddy Speechley"/>
    <s v="UK"/>
    <x v="0"/>
    <x v="361"/>
    <n v="7088"/>
    <x v="0"/>
  </r>
  <r>
    <s v="Beverie Moffet"/>
    <s v="Canada"/>
    <x v="4"/>
    <x v="361"/>
    <n v="8370"/>
    <x v="0"/>
  </r>
  <r>
    <s v="Brien Boise"/>
    <s v="UK"/>
    <x v="4"/>
    <x v="361"/>
    <n v="3864"/>
    <x v="0"/>
  </r>
  <r>
    <s v="Brien Boise"/>
    <s v="USA"/>
    <x v="5"/>
    <x v="361"/>
    <n v="9639"/>
    <x v="0"/>
  </r>
  <r>
    <s v="Marney O'Breem"/>
    <s v="Switzerland"/>
    <x v="5"/>
    <x v="361"/>
    <n v="6490"/>
    <x v="0"/>
  </r>
  <r>
    <s v="Gunar Cockshoot"/>
    <s v="Canada"/>
    <x v="7"/>
    <x v="361"/>
    <n v="7358"/>
    <x v="0"/>
  </r>
  <r>
    <s v="Gunar Cockshoot"/>
    <s v="UK"/>
    <x v="7"/>
    <x v="361"/>
    <n v="10934"/>
    <x v="0"/>
  </r>
  <r>
    <s v="Brien Boise"/>
    <s v="USA"/>
    <x v="2"/>
    <x v="361"/>
    <n v="12356"/>
    <x v="0"/>
  </r>
  <r>
    <s v="Jan Morforth"/>
    <s v="Canada"/>
    <x v="1"/>
    <x v="362"/>
    <n v="4751"/>
    <x v="0"/>
  </r>
  <r>
    <s v="Van Tuxwell"/>
    <s v="Germany"/>
    <x v="1"/>
    <x v="362"/>
    <n v="4511"/>
    <x v="0"/>
  </r>
  <r>
    <s v="Oby Sorrel"/>
    <s v="UK"/>
    <x v="7"/>
    <x v="362"/>
    <n v="13876"/>
    <x v="0"/>
  </r>
  <r>
    <s v="Marney O'Breem"/>
    <s v="Germany"/>
    <x v="2"/>
    <x v="362"/>
    <n v="6115"/>
    <x v="0"/>
  </r>
  <r>
    <s v="Van Tuxwell"/>
    <s v="Germany"/>
    <x v="3"/>
    <x v="362"/>
    <n v="5090"/>
    <x v="0"/>
  </r>
  <r>
    <s v="Curtice Advani"/>
    <s v="Switzerland"/>
    <x v="1"/>
    <x v="363"/>
    <n v="11007"/>
    <x v="0"/>
  </r>
  <r>
    <s v="Gigi Bohling"/>
    <s v="USA"/>
    <x v="7"/>
    <x v="363"/>
    <n v="7699"/>
    <x v="0"/>
  </r>
  <r>
    <s v="Oby Sorrel"/>
    <s v="Canada"/>
    <x v="0"/>
    <x v="364"/>
    <n v="3267"/>
    <x v="0"/>
  </r>
  <r>
    <s v="Mallorie Waber"/>
    <s v="Switzerland"/>
    <x v="4"/>
    <x v="364"/>
    <n v="7424"/>
    <x v="0"/>
  </r>
  <r>
    <s v="Brien Boise"/>
    <s v="Canada"/>
    <x v="5"/>
    <x v="364"/>
    <n v="2981"/>
    <x v="0"/>
  </r>
  <r>
    <s v="Van Tuxwell"/>
    <s v="USA"/>
    <x v="5"/>
    <x v="364"/>
    <n v="1680"/>
    <x v="0"/>
  </r>
  <r>
    <s v="Marney O'Breem"/>
    <s v="Canada"/>
    <x v="5"/>
    <x v="364"/>
    <n v="8234"/>
    <x v="0"/>
  </r>
  <r>
    <s v="Gunar Cockshoot"/>
    <s v="Canada"/>
    <x v="1"/>
    <x v="364"/>
    <n v="10024"/>
    <x v="0"/>
  </r>
  <r>
    <s v="Jehu Rudeforth"/>
    <s v="Switzerland"/>
    <x v="2"/>
    <x v="364"/>
    <n v="5670"/>
    <x v="0"/>
  </r>
  <r>
    <s v="Gigi Bohling"/>
    <s v="Canada"/>
    <x v="6"/>
    <x v="364"/>
    <n v="8151"/>
    <x v="0"/>
  </r>
  <r>
    <s v="Jan Morforth"/>
    <s v="Switzerland"/>
    <x v="0"/>
    <x v="365"/>
    <n v="9608"/>
    <x v="0"/>
  </r>
  <r>
    <s v="Barr Faughny"/>
    <s v="USA"/>
    <x v="4"/>
    <x v="365"/>
    <n v="1398"/>
    <x v="0"/>
  </r>
  <r>
    <s v="Rafaela Blaksland"/>
    <s v="UK"/>
    <x v="1"/>
    <x v="365"/>
    <n v="1975"/>
    <x v="0"/>
  </r>
  <r>
    <s v="Van Tuxwell"/>
    <s v="Canada"/>
    <x v="1"/>
    <x v="365"/>
    <n v="9132"/>
    <x v="0"/>
  </r>
  <r>
    <s v="Jan Morforth"/>
    <s v="Canada"/>
    <x v="7"/>
    <x v="365"/>
    <n v="3723"/>
    <x v="0"/>
  </r>
  <r>
    <s v="Marney O'Breem"/>
    <s v="UK"/>
    <x v="2"/>
    <x v="365"/>
    <n v="1243"/>
    <x v="0"/>
  </r>
  <r>
    <s v="Oby Sorrel"/>
    <s v="Switzerland"/>
    <x v="1"/>
    <x v="366"/>
    <n v="11464"/>
    <x v="0"/>
  </r>
  <r>
    <s v="Rafaela Blaksland"/>
    <s v="UK"/>
    <x v="2"/>
    <x v="366"/>
    <n v="3469"/>
    <x v="0"/>
  </r>
  <r>
    <s v="Van Tuxwell"/>
    <s v="UK"/>
    <x v="2"/>
    <x v="366"/>
    <n v="9136"/>
    <x v="0"/>
  </r>
  <r>
    <s v="Barr Faughny"/>
    <s v="USA"/>
    <x v="0"/>
    <x v="367"/>
    <n v="11549"/>
    <x v="0"/>
  </r>
  <r>
    <s v="Gigi Bohling"/>
    <s v="Germany"/>
    <x v="1"/>
    <x v="367"/>
    <n v="11348"/>
    <x v="0"/>
  </r>
  <r>
    <s v="Gunar Cockshoot"/>
    <s v="UK"/>
    <x v="1"/>
    <x v="367"/>
    <n v="8021"/>
    <x v="0"/>
  </r>
  <r>
    <s v="Beverie Moffet"/>
    <s v="Germany"/>
    <x v="7"/>
    <x v="367"/>
    <n v="9330"/>
    <x v="0"/>
  </r>
  <r>
    <s v="Van Tuxwell"/>
    <s v="UK"/>
    <x v="3"/>
    <x v="367"/>
    <n v="7024"/>
    <x v="0"/>
  </r>
  <r>
    <s v="Marney O'Breem"/>
    <s v="Canada"/>
    <x v="0"/>
    <x v="368"/>
    <n v="3790"/>
    <x v="0"/>
  </r>
  <r>
    <s v="Marney O'Breem"/>
    <s v="Canada"/>
    <x v="0"/>
    <x v="368"/>
    <n v="12482"/>
    <x v="0"/>
  </r>
  <r>
    <s v="Curtice Advani"/>
    <s v="Canada"/>
    <x v="2"/>
    <x v="368"/>
    <n v="3147"/>
    <x v="0"/>
  </r>
  <r>
    <s v="Mallorie Waber"/>
    <s v="USA"/>
    <x v="3"/>
    <x v="368"/>
    <n v="1280"/>
    <x v="0"/>
  </r>
  <r>
    <s v="Oby Sorrel"/>
    <s v="USA"/>
    <x v="3"/>
    <x v="368"/>
    <n v="2160"/>
    <x v="0"/>
  </r>
  <r>
    <s v="Jan Morforth"/>
    <s v="China"/>
    <x v="0"/>
    <x v="369"/>
    <n v="8538"/>
    <x v="0"/>
  </r>
  <r>
    <s v="Van Tuxwell"/>
    <s v="Switzerland"/>
    <x v="0"/>
    <x v="369"/>
    <n v="7712"/>
    <x v="0"/>
  </r>
  <r>
    <s v="Beverie Moffet"/>
    <s v="USA"/>
    <x v="6"/>
    <x v="369"/>
    <n v="2882"/>
    <x v="0"/>
  </r>
  <r>
    <s v="Van Tuxwell"/>
    <s v="UK"/>
    <x v="3"/>
    <x v="369"/>
    <n v="8920"/>
    <x v="0"/>
  </r>
  <r>
    <s v="Roddy Speechley"/>
    <s v="UK"/>
    <x v="4"/>
    <x v="370"/>
    <n v="3757"/>
    <x v="0"/>
  </r>
  <r>
    <s v="Curtice Advani"/>
    <s v="Switzerland"/>
    <x v="5"/>
    <x v="370"/>
    <n v="13946"/>
    <x v="0"/>
  </r>
  <r>
    <s v="Rafaela Blaksland"/>
    <s v="Switzerland"/>
    <x v="1"/>
    <x v="370"/>
    <n v="3206"/>
    <x v="0"/>
  </r>
  <r>
    <s v="Jehu Rudeforth"/>
    <s v="China"/>
    <x v="2"/>
    <x v="370"/>
    <n v="10245"/>
    <x v="0"/>
  </r>
  <r>
    <s v="Mallorie Waber"/>
    <s v="China"/>
    <x v="6"/>
    <x v="370"/>
    <n v="8862"/>
    <x v="0"/>
  </r>
  <r>
    <s v="Karlen McCaffrey"/>
    <s v="Canada"/>
    <x v="6"/>
    <x v="370"/>
    <n v="5034"/>
    <x v="0"/>
  </r>
  <r>
    <s v="Curtice Advani"/>
    <s v="China"/>
    <x v="6"/>
    <x v="370"/>
    <n v="13921"/>
    <x v="0"/>
  </r>
  <r>
    <s v="Oby Sorrel"/>
    <s v="Germany"/>
    <x v="0"/>
    <x v="371"/>
    <n v="11961"/>
    <x v="0"/>
  </r>
  <r>
    <s v="Curtice Advani"/>
    <s v="USA"/>
    <x v="0"/>
    <x v="371"/>
    <n v="3255"/>
    <x v="0"/>
  </r>
  <r>
    <s v="Roddy Speechley"/>
    <s v="China"/>
    <x v="1"/>
    <x v="371"/>
    <n v="13991"/>
    <x v="0"/>
  </r>
  <r>
    <s v="Roddy Speechley"/>
    <s v="USA"/>
    <x v="6"/>
    <x v="371"/>
    <n v="12954"/>
    <x v="0"/>
  </r>
  <r>
    <s v="Oby Sorrel"/>
    <s v="Switzerland"/>
    <x v="3"/>
    <x v="371"/>
    <n v="5548"/>
    <x v="0"/>
  </r>
  <r>
    <s v="Gunar Cockshoot"/>
    <s v="China"/>
    <x v="4"/>
    <x v="372"/>
    <n v="3338"/>
    <x v="0"/>
  </r>
  <r>
    <s v="Oby Sorrel"/>
    <s v="China"/>
    <x v="5"/>
    <x v="372"/>
    <n v="8111"/>
    <x v="0"/>
  </r>
  <r>
    <s v="Brien Boise"/>
    <s v="Switzerland"/>
    <x v="1"/>
    <x v="372"/>
    <n v="3388"/>
    <x v="0"/>
  </r>
  <r>
    <s v="Roddy Speechley"/>
    <s v="USA"/>
    <x v="6"/>
    <x v="372"/>
    <n v="6031"/>
    <x v="0"/>
  </r>
  <r>
    <s v="Marney O'Breem"/>
    <s v="UK"/>
    <x v="6"/>
    <x v="372"/>
    <n v="7427"/>
    <x v="0"/>
  </r>
  <r>
    <s v="Rafaela Blaksland"/>
    <s v="UK"/>
    <x v="2"/>
    <x v="373"/>
    <n v="2277"/>
    <x v="0"/>
  </r>
  <r>
    <s v="Marney O'Breem"/>
    <s v="Canada"/>
    <x v="5"/>
    <x v="374"/>
    <n v="2711"/>
    <x v="0"/>
  </r>
  <r>
    <s v="Rafaela Blaksland"/>
    <s v="UK"/>
    <x v="1"/>
    <x v="374"/>
    <n v="7226"/>
    <x v="0"/>
  </r>
  <r>
    <s v="Mallorie Waber"/>
    <s v="Germany"/>
    <x v="3"/>
    <x v="374"/>
    <n v="2255"/>
    <x v="0"/>
  </r>
  <r>
    <s v="Curtice Advani"/>
    <s v="China"/>
    <x v="3"/>
    <x v="374"/>
    <n v="4056"/>
    <x v="0"/>
  </r>
  <r>
    <s v="Jehu Rudeforth"/>
    <s v="Germany"/>
    <x v="3"/>
    <x v="374"/>
    <n v="7099"/>
    <x v="0"/>
  </r>
  <r>
    <s v="Oby Sorrel"/>
    <s v="Switzerland"/>
    <x v="5"/>
    <x v="375"/>
    <n v="12145"/>
    <x v="0"/>
  </r>
  <r>
    <s v="Gigi Bohling"/>
    <s v="USA"/>
    <x v="5"/>
    <x v="375"/>
    <n v="6408"/>
    <x v="0"/>
  </r>
  <r>
    <s v="Curtice Advani"/>
    <s v="China"/>
    <x v="1"/>
    <x v="375"/>
    <n v="11167"/>
    <x v="0"/>
  </r>
  <r>
    <s v="Jehu Rudeforth"/>
    <s v="USA"/>
    <x v="1"/>
    <x v="376"/>
    <n v="2777"/>
    <x v="0"/>
  </r>
  <r>
    <s v="Barr Faughny"/>
    <s v="China"/>
    <x v="2"/>
    <x v="376"/>
    <n v="1195"/>
    <x v="0"/>
  </r>
  <r>
    <s v="Karlen McCaffrey"/>
    <s v="USA"/>
    <x v="3"/>
    <x v="376"/>
    <n v="10757"/>
    <x v="0"/>
  </r>
  <r>
    <s v="Curtice Advani"/>
    <s v="UK"/>
    <x v="1"/>
    <x v="377"/>
    <n v="10355"/>
    <x v="0"/>
  </r>
  <r>
    <s v="Karlen McCaffrey"/>
    <s v="Switzerland"/>
    <x v="5"/>
    <x v="378"/>
    <n v="4063"/>
    <x v="0"/>
  </r>
  <r>
    <s v="Beverie Moffet"/>
    <s v="USA"/>
    <x v="5"/>
    <x v="378"/>
    <n v="6940"/>
    <x v="0"/>
  </r>
  <r>
    <s v="Van Tuxwell"/>
    <s v="China"/>
    <x v="2"/>
    <x v="378"/>
    <n v="11454"/>
    <x v="0"/>
  </r>
  <r>
    <s v="Curtice Advani"/>
    <s v="Germany"/>
    <x v="2"/>
    <x v="378"/>
    <n v="7770"/>
    <x v="0"/>
  </r>
  <r>
    <s v="Oby Sorrel"/>
    <s v="UK"/>
    <x v="3"/>
    <x v="378"/>
    <n v="12408"/>
    <x v="0"/>
  </r>
  <r>
    <s v="Gunar Cockshoot"/>
    <s v="China"/>
    <x v="0"/>
    <x v="379"/>
    <n v="2625"/>
    <x v="0"/>
  </r>
  <r>
    <s v="Karlen McCaffrey"/>
    <s v="Canada"/>
    <x v="5"/>
    <x v="379"/>
    <n v="12674"/>
    <x v="0"/>
  </r>
  <r>
    <s v="Beverie Moffet"/>
    <s v="UK"/>
    <x v="5"/>
    <x v="379"/>
    <n v="11831"/>
    <x v="0"/>
  </r>
  <r>
    <s v="Curtice Advani"/>
    <s v="UK"/>
    <x v="7"/>
    <x v="379"/>
    <n v="13222"/>
    <x v="0"/>
  </r>
  <r>
    <s v="Rafaela Blaksland"/>
    <s v="Canada"/>
    <x v="3"/>
    <x v="379"/>
    <n v="11437"/>
    <x v="0"/>
  </r>
  <r>
    <s v="Barr Faughny"/>
    <s v="China"/>
    <x v="0"/>
    <x v="380"/>
    <n v="11245"/>
    <x v="0"/>
  </r>
  <r>
    <s v="Roddy Speechley"/>
    <s v="Switzerland"/>
    <x v="4"/>
    <x v="380"/>
    <n v="12076"/>
    <x v="0"/>
  </r>
  <r>
    <s v="Mallorie Waber"/>
    <s v="UK"/>
    <x v="5"/>
    <x v="381"/>
    <n v="4966"/>
    <x v="0"/>
  </r>
  <r>
    <s v="Karlen McCaffrey"/>
    <s v="China"/>
    <x v="1"/>
    <x v="381"/>
    <n v="9309"/>
    <x v="0"/>
  </r>
  <r>
    <s v="Mallorie Waber"/>
    <s v="UK"/>
    <x v="7"/>
    <x v="381"/>
    <n v="3365"/>
    <x v="0"/>
  </r>
  <r>
    <s v="Roddy Speechley"/>
    <s v="USA"/>
    <x v="7"/>
    <x v="381"/>
    <n v="2847"/>
    <x v="0"/>
  </r>
  <r>
    <s v="Jan Morforth"/>
    <s v="USA"/>
    <x v="6"/>
    <x v="381"/>
    <n v="10714"/>
    <x v="0"/>
  </r>
  <r>
    <s v="Mallorie Waber"/>
    <s v="Germany"/>
    <x v="3"/>
    <x v="381"/>
    <n v="13965"/>
    <x v="0"/>
  </r>
  <r>
    <s v="Barr Faughny"/>
    <s v="UK"/>
    <x v="3"/>
    <x v="381"/>
    <n v="2841"/>
    <x v="0"/>
  </r>
  <r>
    <s v="Jan Morforth"/>
    <s v="China"/>
    <x v="0"/>
    <x v="382"/>
    <n v="9998"/>
    <x v="0"/>
  </r>
  <r>
    <s v="Van Tuxwell"/>
    <s v="Canada"/>
    <x v="5"/>
    <x v="382"/>
    <n v="10019"/>
    <x v="0"/>
  </r>
  <r>
    <s v="Curtice Advani"/>
    <s v="Germany"/>
    <x v="2"/>
    <x v="382"/>
    <n v="12072"/>
    <x v="0"/>
  </r>
  <r>
    <s v="Marney O'Breem"/>
    <s v="USA"/>
    <x v="6"/>
    <x v="382"/>
    <n v="6881"/>
    <x v="0"/>
  </r>
  <r>
    <s v="Marney O'Breem"/>
    <s v="Switzerland"/>
    <x v="3"/>
    <x v="382"/>
    <n v="4414"/>
    <x v="0"/>
  </r>
  <r>
    <s v="Curtice Advani"/>
    <s v="USA"/>
    <x v="3"/>
    <x v="382"/>
    <n v="6083"/>
    <x v="0"/>
  </r>
  <r>
    <s v="Curtice Advani"/>
    <s v="China"/>
    <x v="5"/>
    <x v="383"/>
    <n v="5648"/>
    <x v="0"/>
  </r>
  <r>
    <s v="Gigi Bohling"/>
    <s v="UK"/>
    <x v="2"/>
    <x v="383"/>
    <n v="1932"/>
    <x v="0"/>
  </r>
  <r>
    <s v="Van Tuxwell"/>
    <s v="UK"/>
    <x v="6"/>
    <x v="383"/>
    <n v="4466"/>
    <x v="0"/>
  </r>
  <r>
    <s v="Oby Sorrel"/>
    <s v="China"/>
    <x v="4"/>
    <x v="384"/>
    <n v="8317"/>
    <x v="0"/>
  </r>
  <r>
    <s v="Van Tuxwell"/>
    <s v="Canada"/>
    <x v="7"/>
    <x v="384"/>
    <n v="3212"/>
    <x v="0"/>
  </r>
  <r>
    <s v="Rafaela Blaksland"/>
    <s v="Switzerland"/>
    <x v="0"/>
    <x v="385"/>
    <n v="10664"/>
    <x v="0"/>
  </r>
  <r>
    <s v="Roddy Speechley"/>
    <s v="UK"/>
    <x v="5"/>
    <x v="385"/>
    <n v="12783"/>
    <x v="0"/>
  </r>
  <r>
    <s v="Van Tuxwell"/>
    <s v="Canada"/>
    <x v="1"/>
    <x v="385"/>
    <n v="6558"/>
    <x v="0"/>
  </r>
  <r>
    <s v="Marney O'Breem"/>
    <s v="Switzerland"/>
    <x v="7"/>
    <x v="385"/>
    <n v="7410"/>
    <x v="0"/>
  </r>
  <r>
    <s v="Gunar Cockshoot"/>
    <s v="UK"/>
    <x v="3"/>
    <x v="385"/>
    <n v="13831"/>
    <x v="0"/>
  </r>
  <r>
    <s v="Jehu Rudeforth"/>
    <s v="Canada"/>
    <x v="1"/>
    <x v="386"/>
    <n v="11971"/>
    <x v="0"/>
  </r>
  <r>
    <s v="Jehu Rudeforth"/>
    <s v="UK"/>
    <x v="0"/>
    <x v="387"/>
    <n v="9373"/>
    <x v="0"/>
  </r>
  <r>
    <s v="Oby Sorrel"/>
    <s v="Germany"/>
    <x v="0"/>
    <x v="387"/>
    <n v="13782"/>
    <x v="0"/>
  </r>
  <r>
    <s v="Brien Boise"/>
    <s v="Switzerland"/>
    <x v="1"/>
    <x v="387"/>
    <n v="3294"/>
    <x v="0"/>
  </r>
  <r>
    <s v="Jan Morforth"/>
    <s v="Switzerland"/>
    <x v="4"/>
    <x v="388"/>
    <n v="5975"/>
    <x v="0"/>
  </r>
  <r>
    <s v="Jehu Rudeforth"/>
    <s v="UK"/>
    <x v="4"/>
    <x v="388"/>
    <n v="9986"/>
    <x v="0"/>
  </r>
  <r>
    <s v="Curtice Advani"/>
    <s v="Switzerland"/>
    <x v="1"/>
    <x v="388"/>
    <n v="10455"/>
    <x v="0"/>
  </r>
  <r>
    <s v="Jehu Rudeforth"/>
    <s v="China"/>
    <x v="2"/>
    <x v="388"/>
    <n v="6110"/>
    <x v="0"/>
  </r>
  <r>
    <s v="Gunar Cockshoot"/>
    <s v="Germany"/>
    <x v="3"/>
    <x v="388"/>
    <n v="12934"/>
    <x v="0"/>
  </r>
  <r>
    <s v="Jehu Rudeforth"/>
    <s v="Switzerland"/>
    <x v="4"/>
    <x v="389"/>
    <n v="2728"/>
    <x v="0"/>
  </r>
  <r>
    <s v="Karlen McCaffrey"/>
    <s v="Switzerland"/>
    <x v="1"/>
    <x v="390"/>
    <n v="9183"/>
    <x v="0"/>
  </r>
  <r>
    <s v="Gunar Cockshoot"/>
    <s v="UK"/>
    <x v="2"/>
    <x v="390"/>
    <n v="3327"/>
    <x v="0"/>
  </r>
  <r>
    <s v="Gigi Bohling"/>
    <s v="USA"/>
    <x v="2"/>
    <x v="390"/>
    <n v="12096"/>
    <x v="0"/>
  </r>
  <r>
    <s v="Beverie Moffet"/>
    <s v="Canada"/>
    <x v="0"/>
    <x v="391"/>
    <n v="8289"/>
    <x v="0"/>
  </r>
  <r>
    <s v="Jehu Rudeforth"/>
    <s v="USA"/>
    <x v="5"/>
    <x v="391"/>
    <n v="12579"/>
    <x v="0"/>
  </r>
  <r>
    <s v="Karlen McCaffrey"/>
    <s v="UK"/>
    <x v="1"/>
    <x v="391"/>
    <n v="3926"/>
    <x v="0"/>
  </r>
  <r>
    <s v="Mallorie Waber"/>
    <s v="Germany"/>
    <x v="7"/>
    <x v="391"/>
    <n v="5313"/>
    <x v="0"/>
  </r>
  <r>
    <s v="Mallorie Waber"/>
    <s v="USA"/>
    <x v="2"/>
    <x v="392"/>
    <n v="1587"/>
    <x v="0"/>
  </r>
  <r>
    <s v="Roddy Speechley"/>
    <s v="UK"/>
    <x v="2"/>
    <x v="392"/>
    <n v="12056"/>
    <x v="0"/>
  </r>
  <r>
    <s v="Marney O'Breem"/>
    <s v="Canada"/>
    <x v="2"/>
    <x v="392"/>
    <n v="11892"/>
    <x v="0"/>
  </r>
  <r>
    <s v="Gunar Cockshoot"/>
    <s v="USA"/>
    <x v="6"/>
    <x v="392"/>
    <n v="10203"/>
    <x v="0"/>
  </r>
  <r>
    <s v="Jehu Rudeforth"/>
    <s v="Canada"/>
    <x v="1"/>
    <x v="393"/>
    <n v="2147"/>
    <x v="0"/>
  </r>
  <r>
    <s v="Gunar Cockshoot"/>
    <s v="UK"/>
    <x v="1"/>
    <x v="393"/>
    <n v="6607"/>
    <x v="0"/>
  </r>
  <r>
    <s v="Marney O'Breem"/>
    <s v="Germany"/>
    <x v="7"/>
    <x v="393"/>
    <n v="7221"/>
    <x v="0"/>
  </r>
  <r>
    <s v="Jehu Rudeforth"/>
    <s v="UK"/>
    <x v="7"/>
    <x v="393"/>
    <n v="11411"/>
    <x v="0"/>
  </r>
  <r>
    <s v="Oby Sorrel"/>
    <s v="Switzerland"/>
    <x v="2"/>
    <x v="393"/>
    <n v="3169"/>
    <x v="0"/>
  </r>
  <r>
    <s v="Mallorie Waber"/>
    <s v="UK"/>
    <x v="6"/>
    <x v="393"/>
    <n v="2877"/>
    <x v="0"/>
  </r>
  <r>
    <s v="Rafaela Blaksland"/>
    <s v="Canada"/>
    <x v="0"/>
    <x v="394"/>
    <n v="7885"/>
    <x v="0"/>
  </r>
  <r>
    <s v="Mallorie Waber"/>
    <s v="Canada"/>
    <x v="7"/>
    <x v="394"/>
    <n v="5604"/>
    <x v="0"/>
  </r>
  <r>
    <s v="Van Tuxwell"/>
    <s v="Switzerland"/>
    <x v="2"/>
    <x v="394"/>
    <n v="2682"/>
    <x v="0"/>
  </r>
  <r>
    <s v="Van Tuxwell"/>
    <s v="UK"/>
    <x v="4"/>
    <x v="395"/>
    <n v="7658"/>
    <x v="0"/>
  </r>
  <r>
    <s v="Brien Boise"/>
    <s v="Switzerland"/>
    <x v="4"/>
    <x v="395"/>
    <n v="4406"/>
    <x v="0"/>
  </r>
  <r>
    <s v="Curtice Advani"/>
    <s v="Germany"/>
    <x v="7"/>
    <x v="395"/>
    <n v="2876"/>
    <x v="0"/>
  </r>
  <r>
    <s v="Marney O'Breem"/>
    <s v="UK"/>
    <x v="6"/>
    <x v="395"/>
    <n v="13595"/>
    <x v="0"/>
  </r>
  <r>
    <s v="Barr Faughny"/>
    <s v="UK"/>
    <x v="3"/>
    <x v="395"/>
    <n v="9175"/>
    <x v="0"/>
  </r>
  <r>
    <s v="Oby Sorrel"/>
    <s v="USA"/>
    <x v="0"/>
    <x v="396"/>
    <n v="1949"/>
    <x v="0"/>
  </r>
  <r>
    <s v="Karlen McCaffrey"/>
    <s v="UK"/>
    <x v="5"/>
    <x v="396"/>
    <n v="5749"/>
    <x v="0"/>
  </r>
  <r>
    <s v="Oby Sorrel"/>
    <s v="China"/>
    <x v="4"/>
    <x v="397"/>
    <n v="4813"/>
    <x v="0"/>
  </r>
  <r>
    <s v="Jan Morforth"/>
    <s v="USA"/>
    <x v="5"/>
    <x v="397"/>
    <n v="7002"/>
    <x v="0"/>
  </r>
  <r>
    <s v="Gunar Cockshoot"/>
    <s v="Germany"/>
    <x v="3"/>
    <x v="397"/>
    <n v="9369"/>
    <x v="0"/>
  </r>
  <r>
    <s v="Beverie Moffet"/>
    <s v="USA"/>
    <x v="3"/>
    <x v="398"/>
    <n v="12616"/>
    <x v="0"/>
  </r>
  <r>
    <s v="Rafaela Blaksland"/>
    <s v="UK"/>
    <x v="4"/>
    <x v="399"/>
    <n v="6131"/>
    <x v="0"/>
  </r>
  <r>
    <s v="Karlen McCaffrey"/>
    <s v="Germany"/>
    <x v="7"/>
    <x v="399"/>
    <n v="10099"/>
    <x v="0"/>
  </r>
  <r>
    <s v="Marney O'Breem"/>
    <s v="China"/>
    <x v="7"/>
    <x v="399"/>
    <n v="13731"/>
    <x v="0"/>
  </r>
  <r>
    <s v="Oby Sorrel"/>
    <s v="Canada"/>
    <x v="0"/>
    <x v="400"/>
    <n v="9193"/>
    <x v="0"/>
  </r>
  <r>
    <s v="Gigi Bohling"/>
    <s v="Canada"/>
    <x v="7"/>
    <x v="400"/>
    <n v="12749"/>
    <x v="0"/>
  </r>
  <r>
    <s v="Gigi Bohling"/>
    <s v="Canada"/>
    <x v="7"/>
    <x v="400"/>
    <n v="10153"/>
    <x v="0"/>
  </r>
  <r>
    <s v="Mallorie Waber"/>
    <s v="China"/>
    <x v="6"/>
    <x v="400"/>
    <n v="8102"/>
    <x v="0"/>
  </r>
  <r>
    <s v="Van Tuxwell"/>
    <s v="Canada"/>
    <x v="5"/>
    <x v="401"/>
    <n v="6637"/>
    <x v="0"/>
  </r>
  <r>
    <s v="Oby Sorrel"/>
    <s v="Canada"/>
    <x v="7"/>
    <x v="401"/>
    <n v="10681"/>
    <x v="0"/>
  </r>
  <r>
    <s v="Beverie Moffet"/>
    <s v="Canada"/>
    <x v="2"/>
    <x v="401"/>
    <n v="3395"/>
    <x v="0"/>
  </r>
  <r>
    <s v="Beverie Moffet"/>
    <s v="Switzerland"/>
    <x v="5"/>
    <x v="402"/>
    <n v="8479"/>
    <x v="0"/>
  </r>
  <r>
    <s v="Mallorie Waber"/>
    <s v="Germany"/>
    <x v="5"/>
    <x v="402"/>
    <n v="2616"/>
    <x v="0"/>
  </r>
  <r>
    <s v="Gigi Bohling"/>
    <s v="Canada"/>
    <x v="7"/>
    <x v="402"/>
    <n v="4764"/>
    <x v="0"/>
  </r>
  <r>
    <s v="Beverie Moffet"/>
    <s v="UK"/>
    <x v="6"/>
    <x v="402"/>
    <n v="1971"/>
    <x v="0"/>
  </r>
  <r>
    <s v="Van Tuxwell"/>
    <s v="Germany"/>
    <x v="3"/>
    <x v="402"/>
    <n v="4954"/>
    <x v="0"/>
  </r>
  <r>
    <s v="Brien Boise"/>
    <s v="China"/>
    <x v="5"/>
    <x v="403"/>
    <n v="10537"/>
    <x v="0"/>
  </r>
  <r>
    <s v="Roddy Speechley"/>
    <s v="USA"/>
    <x v="1"/>
    <x v="403"/>
    <n v="2529"/>
    <x v="0"/>
  </r>
  <r>
    <s v="Rafaela Blaksland"/>
    <s v="Canada"/>
    <x v="3"/>
    <x v="403"/>
    <n v="6971"/>
    <x v="0"/>
  </r>
  <r>
    <s v="Karlen McCaffrey"/>
    <s v="USA"/>
    <x v="4"/>
    <x v="404"/>
    <n v="10576"/>
    <x v="0"/>
  </r>
  <r>
    <s v="Curtice Advani"/>
    <s v="Switzerland"/>
    <x v="1"/>
    <x v="404"/>
    <n v="7025"/>
    <x v="0"/>
  </r>
  <r>
    <s v="Brien Boise"/>
    <s v="USA"/>
    <x v="7"/>
    <x v="404"/>
    <n v="4890"/>
    <x v="0"/>
  </r>
  <r>
    <s v="Curtice Advani"/>
    <s v="Switzerland"/>
    <x v="7"/>
    <x v="404"/>
    <n v="2723"/>
    <x v="0"/>
  </r>
  <r>
    <s v="Karlen McCaffrey"/>
    <s v="USA"/>
    <x v="7"/>
    <x v="405"/>
    <n v="2657"/>
    <x v="0"/>
  </r>
  <r>
    <s v="Barr Faughny"/>
    <s v="UK"/>
    <x v="6"/>
    <x v="405"/>
    <n v="4189"/>
    <x v="0"/>
  </r>
  <r>
    <s v="Roddy Speechley"/>
    <s v="USA"/>
    <x v="3"/>
    <x v="405"/>
    <n v="9572"/>
    <x v="0"/>
  </r>
  <r>
    <s v="Rafaela Blaksland"/>
    <s v="Switzerland"/>
    <x v="0"/>
    <x v="406"/>
    <n v="1983"/>
    <x v="0"/>
  </r>
  <r>
    <s v="Mallorie Waber"/>
    <s v="UK"/>
    <x v="0"/>
    <x v="407"/>
    <n v="9789"/>
    <x v="0"/>
  </r>
  <r>
    <s v="Jan Morforth"/>
    <s v="Germany"/>
    <x v="1"/>
    <x v="407"/>
    <n v="3402"/>
    <x v="0"/>
  </r>
  <r>
    <s v="Jehu Rudeforth"/>
    <s v="Germany"/>
    <x v="1"/>
    <x v="407"/>
    <n v="13949"/>
    <x v="0"/>
  </r>
  <r>
    <s v="Karlen McCaffrey"/>
    <s v="Germany"/>
    <x v="2"/>
    <x v="407"/>
    <n v="7850"/>
    <x v="0"/>
  </r>
  <r>
    <s v="Barr Faughny"/>
    <s v="China"/>
    <x v="0"/>
    <x v="408"/>
    <n v="11944"/>
    <x v="0"/>
  </r>
  <r>
    <s v="Rafaela Blaksland"/>
    <s v="China"/>
    <x v="5"/>
    <x v="408"/>
    <n v="13684"/>
    <x v="0"/>
  </r>
  <r>
    <s v="Marney O'Breem"/>
    <s v="UK"/>
    <x v="1"/>
    <x v="408"/>
    <n v="8437"/>
    <x v="0"/>
  </r>
  <r>
    <s v="Jan Morforth"/>
    <s v="USA"/>
    <x v="1"/>
    <x v="408"/>
    <n v="6097"/>
    <x v="0"/>
  </r>
  <r>
    <s v="Curtice Advani"/>
    <s v="Germany"/>
    <x v="4"/>
    <x v="409"/>
    <n v="13795"/>
    <x v="0"/>
  </r>
  <r>
    <s v="Beverie Moffet"/>
    <s v="Switzerland"/>
    <x v="3"/>
    <x v="409"/>
    <n v="13388"/>
    <x v="0"/>
  </r>
  <r>
    <s v="Gigi Bohling"/>
    <s v="Switzerland"/>
    <x v="5"/>
    <x v="410"/>
    <n v="12713"/>
    <x v="0"/>
  </r>
  <r>
    <s v="Beverie Moffet"/>
    <s v="Switzerland"/>
    <x v="7"/>
    <x v="410"/>
    <n v="4494"/>
    <x v="0"/>
  </r>
  <r>
    <s v="Rafaela Blaksland"/>
    <s v="USA"/>
    <x v="2"/>
    <x v="410"/>
    <n v="5359"/>
    <x v="0"/>
  </r>
  <r>
    <s v="Oby Sorrel"/>
    <s v="USA"/>
    <x v="5"/>
    <x v="411"/>
    <n v="7093"/>
    <x v="0"/>
  </r>
  <r>
    <s v="Mallorie Waber"/>
    <s v="Germany"/>
    <x v="6"/>
    <x v="411"/>
    <n v="10320"/>
    <x v="0"/>
  </r>
  <r>
    <s v="Rafaela Blaksland"/>
    <s v="UK"/>
    <x v="3"/>
    <x v="411"/>
    <n v="3379"/>
    <x v="0"/>
  </r>
  <r>
    <s v="Rafaela Blaksland"/>
    <s v="Germany"/>
    <x v="0"/>
    <x v="412"/>
    <n v="6160"/>
    <x v="0"/>
  </r>
  <r>
    <s v="Marney O'Breem"/>
    <s v="UK"/>
    <x v="0"/>
    <x v="412"/>
    <n v="6113"/>
    <x v="0"/>
  </r>
  <r>
    <s v="Mallorie Waber"/>
    <s v="Canada"/>
    <x v="4"/>
    <x v="412"/>
    <n v="8374"/>
    <x v="0"/>
  </r>
  <r>
    <s v="Jehu Rudeforth"/>
    <s v="USA"/>
    <x v="4"/>
    <x v="412"/>
    <n v="8698"/>
    <x v="0"/>
  </r>
  <r>
    <s v="Mallorie Waber"/>
    <s v="Canada"/>
    <x v="7"/>
    <x v="412"/>
    <n v="8621"/>
    <x v="0"/>
  </r>
  <r>
    <s v="Marney O'Breem"/>
    <s v="UK"/>
    <x v="2"/>
    <x v="412"/>
    <n v="3829"/>
    <x v="0"/>
  </r>
  <r>
    <s v="Jan Morforth"/>
    <s v="Switzerland"/>
    <x v="7"/>
    <x v="413"/>
    <n v="9213"/>
    <x v="0"/>
  </r>
  <r>
    <s v="Roddy Speechley"/>
    <s v="Switzerland"/>
    <x v="2"/>
    <x v="413"/>
    <n v="13087"/>
    <x v="0"/>
  </r>
  <r>
    <s v="Beverie Moffet"/>
    <s v="USA"/>
    <x v="7"/>
    <x v="414"/>
    <n v="13373"/>
    <x v="0"/>
  </r>
  <r>
    <s v="Jan Morforth"/>
    <s v="China"/>
    <x v="6"/>
    <x v="414"/>
    <n v="11478"/>
    <x v="0"/>
  </r>
  <r>
    <s v="Jehu Rudeforth"/>
    <s v="USA"/>
    <x v="6"/>
    <x v="415"/>
    <n v="2342"/>
    <x v="0"/>
  </r>
  <r>
    <s v="Rafaela Blaksland"/>
    <s v="China"/>
    <x v="6"/>
    <x v="415"/>
    <n v="13705"/>
    <x v="0"/>
  </r>
  <r>
    <s v="Van Tuxwell"/>
    <s v="UK"/>
    <x v="5"/>
    <x v="416"/>
    <n v="3193"/>
    <x v="0"/>
  </r>
  <r>
    <s v="Jan Morforth"/>
    <s v="USA"/>
    <x v="6"/>
    <x v="416"/>
    <n v="11231"/>
    <x v="0"/>
  </r>
  <r>
    <s v="Rafaela Blaksland"/>
    <s v="Switzerland"/>
    <x v="3"/>
    <x v="416"/>
    <n v="4742"/>
    <x v="0"/>
  </r>
  <r>
    <s v="Rafaela Blaksland"/>
    <s v="UK"/>
    <x v="4"/>
    <x v="417"/>
    <n v="11899"/>
    <x v="0"/>
  </r>
  <r>
    <s v="Karlen McCaffrey"/>
    <s v="Canada"/>
    <x v="4"/>
    <x v="417"/>
    <n v="6816"/>
    <x v="0"/>
  </r>
  <r>
    <s v="Oby Sorrel"/>
    <s v="USA"/>
    <x v="7"/>
    <x v="417"/>
    <n v="5292"/>
    <x v="0"/>
  </r>
  <r>
    <s v="Barr Faughny"/>
    <s v="Canada"/>
    <x v="7"/>
    <x v="417"/>
    <n v="7588"/>
    <x v="0"/>
  </r>
  <r>
    <s v="Mallorie Waber"/>
    <s v="Switzerland"/>
    <x v="4"/>
    <x v="418"/>
    <n v="12980"/>
    <x v="0"/>
  </r>
  <r>
    <s v="Oby Sorrel"/>
    <s v="Germany"/>
    <x v="5"/>
    <x v="418"/>
    <n v="10521"/>
    <x v="0"/>
  </r>
  <r>
    <s v="Mallorie Waber"/>
    <s v="Canada"/>
    <x v="5"/>
    <x v="418"/>
    <n v="12276"/>
    <x v="0"/>
  </r>
  <r>
    <s v="Barr Faughny"/>
    <s v="Canada"/>
    <x v="2"/>
    <x v="418"/>
    <n v="6571"/>
    <x v="0"/>
  </r>
  <r>
    <s v="Brien Boise"/>
    <s v="Canada"/>
    <x v="2"/>
    <x v="418"/>
    <n v="8818"/>
    <x v="0"/>
  </r>
  <r>
    <s v="Barr Faughny"/>
    <s v="Switzerland"/>
    <x v="5"/>
    <x v="419"/>
    <n v="4415"/>
    <x v="0"/>
  </r>
  <r>
    <s v="Roddy Speechley"/>
    <s v="UK"/>
    <x v="7"/>
    <x v="419"/>
    <n v="4597"/>
    <x v="0"/>
  </r>
  <r>
    <s v="Barr Faughny"/>
    <s v="China"/>
    <x v="7"/>
    <x v="420"/>
    <n v="1475"/>
    <x v="0"/>
  </r>
  <r>
    <s v="Gunar Cockshoot"/>
    <s v="Canada"/>
    <x v="2"/>
    <x v="420"/>
    <n v="13015"/>
    <x v="0"/>
  </r>
  <r>
    <s v="Jehu Rudeforth"/>
    <s v="Switzerland"/>
    <x v="0"/>
    <x v="421"/>
    <n v="10479"/>
    <x v="0"/>
  </r>
  <r>
    <s v="Beverie Moffet"/>
    <s v="China"/>
    <x v="4"/>
    <x v="421"/>
    <n v="1918"/>
    <x v="0"/>
  </r>
  <r>
    <s v="Oby Sorrel"/>
    <s v="USA"/>
    <x v="5"/>
    <x v="421"/>
    <n v="8038"/>
    <x v="0"/>
  </r>
  <r>
    <s v="Gunar Cockshoot"/>
    <s v="Canada"/>
    <x v="7"/>
    <x v="421"/>
    <n v="3138"/>
    <x v="0"/>
  </r>
  <r>
    <s v="Gunar Cockshoot"/>
    <s v="Switzerland"/>
    <x v="6"/>
    <x v="421"/>
    <n v="11824"/>
    <x v="0"/>
  </r>
  <r>
    <s v="Gigi Bohling"/>
    <s v="China"/>
    <x v="3"/>
    <x v="421"/>
    <n v="10419"/>
    <x v="0"/>
  </r>
  <r>
    <s v="Beverie Moffet"/>
    <s v="USA"/>
    <x v="3"/>
    <x v="421"/>
    <n v="12928"/>
    <x v="0"/>
  </r>
  <r>
    <s v="Mallorie Waber"/>
    <s v="Germany"/>
    <x v="3"/>
    <x v="421"/>
    <n v="2649"/>
    <x v="0"/>
  </r>
  <r>
    <s v="Jan Morforth"/>
    <s v="Canada"/>
    <x v="1"/>
    <x v="422"/>
    <n v="9582"/>
    <x v="0"/>
  </r>
  <r>
    <s v="Gunar Cockshoot"/>
    <s v="Canada"/>
    <x v="3"/>
    <x v="422"/>
    <n v="3822"/>
    <x v="0"/>
  </r>
  <r>
    <s v="Beverie Moffet"/>
    <s v="Canada"/>
    <x v="3"/>
    <x v="422"/>
    <n v="8646"/>
    <x v="0"/>
  </r>
  <r>
    <s v="Marney O'Breem"/>
    <s v="Canada"/>
    <x v="5"/>
    <x v="423"/>
    <n v="11017"/>
    <x v="0"/>
  </r>
  <r>
    <s v="Marney O'Breem"/>
    <s v="USA"/>
    <x v="6"/>
    <x v="423"/>
    <n v="13544"/>
    <x v="0"/>
  </r>
  <r>
    <s v="Gigi Bohling"/>
    <s v="Canada"/>
    <x v="3"/>
    <x v="423"/>
    <n v="2985"/>
    <x v="0"/>
  </r>
  <r>
    <s v="Karlen McCaffrey"/>
    <s v="Switzerland"/>
    <x v="0"/>
    <x v="424"/>
    <n v="3643"/>
    <x v="0"/>
  </r>
  <r>
    <s v="Rafaela Blaksland"/>
    <s v="Canada"/>
    <x v="4"/>
    <x v="424"/>
    <n v="8300"/>
    <x v="0"/>
  </r>
  <r>
    <s v="Marney O'Breem"/>
    <s v="Canada"/>
    <x v="2"/>
    <x v="424"/>
    <n v="3330"/>
    <x v="0"/>
  </r>
  <r>
    <s v="Curtice Advani"/>
    <s v="China"/>
    <x v="6"/>
    <x v="424"/>
    <n v="8795"/>
    <x v="0"/>
  </r>
  <r>
    <s v="Curtice Advani"/>
    <s v="China"/>
    <x v="5"/>
    <x v="425"/>
    <n v="6291"/>
    <x v="0"/>
  </r>
  <r>
    <s v="Barr Faughny"/>
    <s v="USA"/>
    <x v="7"/>
    <x v="425"/>
    <n v="7613"/>
    <x v="0"/>
  </r>
  <r>
    <s v="Gigi Bohling"/>
    <s v="China"/>
    <x v="6"/>
    <x v="425"/>
    <n v="4095"/>
    <x v="0"/>
  </r>
  <r>
    <s v="Brien Boise"/>
    <s v="USA"/>
    <x v="0"/>
    <x v="426"/>
    <n v="4879"/>
    <x v="0"/>
  </r>
  <r>
    <s v="Van Tuxwell"/>
    <s v="Canada"/>
    <x v="4"/>
    <x v="426"/>
    <n v="3238"/>
    <x v="0"/>
  </r>
  <r>
    <s v="Curtice Advani"/>
    <s v="Germany"/>
    <x v="6"/>
    <x v="426"/>
    <n v="8622"/>
    <x v="0"/>
  </r>
  <r>
    <s v="Gunar Cockshoot"/>
    <s v="China"/>
    <x v="3"/>
    <x v="426"/>
    <n v="6002"/>
    <x v="0"/>
  </r>
  <r>
    <s v="Curtice Advani"/>
    <s v="USA"/>
    <x v="0"/>
    <x v="427"/>
    <n v="9347"/>
    <x v="0"/>
  </r>
  <r>
    <s v="Beverie Moffet"/>
    <s v="Switzerland"/>
    <x v="1"/>
    <x v="427"/>
    <n v="7702"/>
    <x v="0"/>
  </r>
  <r>
    <s v="Oby Sorrel"/>
    <s v="Germany"/>
    <x v="7"/>
    <x v="427"/>
    <n v="10122"/>
    <x v="0"/>
  </r>
  <r>
    <s v="Brien Boise"/>
    <s v="China"/>
    <x v="2"/>
    <x v="427"/>
    <n v="12077"/>
    <x v="0"/>
  </r>
  <r>
    <s v="Mallorie Waber"/>
    <s v="Switzerland"/>
    <x v="6"/>
    <x v="427"/>
    <n v="5069"/>
    <x v="0"/>
  </r>
  <r>
    <s v="Brien Boise"/>
    <s v="Germany"/>
    <x v="6"/>
    <x v="427"/>
    <n v="1806"/>
    <x v="0"/>
  </r>
  <r>
    <s v="Barr Faughny"/>
    <s v="Switzerland"/>
    <x v="3"/>
    <x v="427"/>
    <n v="4467"/>
    <x v="0"/>
  </r>
  <r>
    <s v="Karlen McCaffrey"/>
    <s v="Canada"/>
    <x v="3"/>
    <x v="428"/>
    <n v="4745"/>
    <x v="0"/>
  </r>
  <r>
    <s v="Roddy Speechley"/>
    <s v="Canada"/>
    <x v="4"/>
    <x v="429"/>
    <n v="5963"/>
    <x v="0"/>
  </r>
  <r>
    <s v="Brien Boise"/>
    <s v="China"/>
    <x v="7"/>
    <x v="429"/>
    <n v="13272"/>
    <x v="0"/>
  </r>
  <r>
    <s v="Curtice Advani"/>
    <s v="Canada"/>
    <x v="0"/>
    <x v="430"/>
    <n v="10126"/>
    <x v="0"/>
  </r>
  <r>
    <s v="Rafaela Blaksland"/>
    <s v="UK"/>
    <x v="4"/>
    <x v="430"/>
    <n v="12756"/>
    <x v="0"/>
  </r>
  <r>
    <s v="Van Tuxwell"/>
    <s v="Canada"/>
    <x v="1"/>
    <x v="430"/>
    <n v="2512"/>
    <x v="0"/>
  </r>
  <r>
    <s v="Roddy Speechley"/>
    <s v="Switzerland"/>
    <x v="7"/>
    <x v="430"/>
    <n v="2166"/>
    <x v="0"/>
  </r>
  <r>
    <s v="Marney O'Breem"/>
    <s v="Switzerland"/>
    <x v="2"/>
    <x v="430"/>
    <n v="7410"/>
    <x v="0"/>
  </r>
  <r>
    <s v="Roddy Speechley"/>
    <s v="Canada"/>
    <x v="1"/>
    <x v="431"/>
    <n v="10341"/>
    <x v="0"/>
  </r>
  <r>
    <s v="Brien Boise"/>
    <s v="UK"/>
    <x v="2"/>
    <x v="431"/>
    <n v="13586"/>
    <x v="0"/>
  </r>
  <r>
    <s v="Rafaela Blaksland"/>
    <s v="Canada"/>
    <x v="0"/>
    <x v="432"/>
    <n v="6850"/>
    <x v="0"/>
  </r>
  <r>
    <s v="Mallorie Waber"/>
    <s v="Switzerland"/>
    <x v="5"/>
    <x v="432"/>
    <n v="7381"/>
    <x v="0"/>
  </r>
  <r>
    <s v="Barr Faughny"/>
    <s v="Canada"/>
    <x v="5"/>
    <x v="432"/>
    <n v="7297"/>
    <x v="0"/>
  </r>
  <r>
    <s v="Jan Morforth"/>
    <s v="Canada"/>
    <x v="7"/>
    <x v="432"/>
    <n v="3982"/>
    <x v="0"/>
  </r>
  <r>
    <s v="Mallorie Waber"/>
    <s v="USA"/>
    <x v="7"/>
    <x v="433"/>
    <n v="6880"/>
    <x v="0"/>
  </r>
  <r>
    <s v="Beverie Moffet"/>
    <s v="Canada"/>
    <x v="6"/>
    <x v="433"/>
    <n v="9638"/>
    <x v="0"/>
  </r>
  <r>
    <s v="Brien Boise"/>
    <s v="UK"/>
    <x v="3"/>
    <x v="433"/>
    <n v="10974"/>
    <x v="0"/>
  </r>
  <r>
    <s v="Beverie Moffet"/>
    <s v="Canada"/>
    <x v="3"/>
    <x v="433"/>
    <n v="4186"/>
    <x v="0"/>
  </r>
  <r>
    <s v="Jan Morforth"/>
    <s v="USA"/>
    <x v="1"/>
    <x v="434"/>
    <n v="12257"/>
    <x v="0"/>
  </r>
  <r>
    <s v="Barr Faughny"/>
    <s v="UK"/>
    <x v="2"/>
    <x v="434"/>
    <n v="13789"/>
    <x v="0"/>
  </r>
  <r>
    <s v="Oby Sorrel"/>
    <s v="China"/>
    <x v="4"/>
    <x v="435"/>
    <n v="1525"/>
    <x v="0"/>
  </r>
  <r>
    <s v="Mallorie Waber"/>
    <s v="Switzerland"/>
    <x v="5"/>
    <x v="435"/>
    <n v="9081"/>
    <x v="0"/>
  </r>
  <r>
    <s v="Karlen McCaffrey"/>
    <s v="Switzerland"/>
    <x v="7"/>
    <x v="435"/>
    <n v="9720"/>
    <x v="0"/>
  </r>
  <r>
    <s v="Jehu Rudeforth"/>
    <s v="Switzerland"/>
    <x v="1"/>
    <x v="436"/>
    <n v="11179"/>
    <x v="0"/>
  </r>
  <r>
    <s v="Roddy Speechley"/>
    <s v="Switzerland"/>
    <x v="7"/>
    <x v="436"/>
    <n v="10177"/>
    <x v="0"/>
  </r>
  <r>
    <s v="Gigi Bohling"/>
    <s v="Germany"/>
    <x v="7"/>
    <x v="437"/>
    <n v="5668"/>
    <x v="0"/>
  </r>
  <r>
    <s v="Barr Faughny"/>
    <s v="Germany"/>
    <x v="7"/>
    <x v="437"/>
    <n v="1083"/>
    <x v="0"/>
  </r>
  <r>
    <s v="Brien Boise"/>
    <s v="USA"/>
    <x v="2"/>
    <x v="437"/>
    <n v="2768"/>
    <x v="0"/>
  </r>
  <r>
    <s v="Beverie Moffet"/>
    <s v="UK"/>
    <x v="0"/>
    <x v="438"/>
    <n v="8295"/>
    <x v="0"/>
  </r>
  <r>
    <s v="Brien Boise"/>
    <s v="UK"/>
    <x v="1"/>
    <x v="438"/>
    <n v="5403"/>
    <x v="0"/>
  </r>
  <r>
    <s v="Mallorie Waber"/>
    <s v="Germany"/>
    <x v="7"/>
    <x v="438"/>
    <n v="13584"/>
    <x v="0"/>
  </r>
  <r>
    <s v="Roddy Speechley"/>
    <s v="Canada"/>
    <x v="7"/>
    <x v="438"/>
    <n v="2364"/>
    <x v="0"/>
  </r>
  <r>
    <s v="Karlen McCaffrey"/>
    <s v="Germany"/>
    <x v="7"/>
    <x v="438"/>
    <n v="13504"/>
    <x v="0"/>
  </r>
  <r>
    <s v="Roddy Speechley"/>
    <s v="Germany"/>
    <x v="3"/>
    <x v="438"/>
    <n v="6393"/>
    <x v="0"/>
  </r>
  <r>
    <s v="Gunar Cockshoot"/>
    <s v="Germany"/>
    <x v="0"/>
    <x v="439"/>
    <n v="13988"/>
    <x v="0"/>
  </r>
  <r>
    <s v="Curtice Advani"/>
    <s v="USA"/>
    <x v="4"/>
    <x v="439"/>
    <n v="10653"/>
    <x v="0"/>
  </r>
  <r>
    <s v="Oby Sorrel"/>
    <s v="Germany"/>
    <x v="2"/>
    <x v="439"/>
    <n v="6491"/>
    <x v="0"/>
  </r>
  <r>
    <s v="Curtice Advani"/>
    <s v="USA"/>
    <x v="3"/>
    <x v="439"/>
    <n v="10818"/>
    <x v="0"/>
  </r>
  <r>
    <s v="Marney O'Breem"/>
    <s v="UK"/>
    <x v="7"/>
    <x v="440"/>
    <n v="2822"/>
    <x v="0"/>
  </r>
  <r>
    <s v="Jehu Rudeforth"/>
    <s v="China"/>
    <x v="3"/>
    <x v="440"/>
    <n v="11452"/>
    <x v="0"/>
  </r>
  <r>
    <s v="Mallorie Waber"/>
    <s v="China"/>
    <x v="4"/>
    <x v="441"/>
    <n v="9241"/>
    <x v="0"/>
  </r>
  <r>
    <s v="Karlen McCaffrey"/>
    <s v="Germany"/>
    <x v="7"/>
    <x v="441"/>
    <n v="4233"/>
    <x v="0"/>
  </r>
  <r>
    <s v="Gigi Bohling"/>
    <s v="Germany"/>
    <x v="7"/>
    <x v="441"/>
    <n v="10310"/>
    <x v="0"/>
  </r>
  <r>
    <s v="Oby Sorrel"/>
    <s v="Switzerland"/>
    <x v="2"/>
    <x v="441"/>
    <n v="10665"/>
    <x v="0"/>
  </r>
  <r>
    <s v="Beverie Moffet"/>
    <s v="USA"/>
    <x v="6"/>
    <x v="441"/>
    <n v="12833"/>
    <x v="0"/>
  </r>
  <r>
    <s v="Gigi Bohling"/>
    <s v="USA"/>
    <x v="4"/>
    <x v="442"/>
    <n v="5597"/>
    <x v="0"/>
  </r>
  <r>
    <s v="Van Tuxwell"/>
    <s v="China"/>
    <x v="1"/>
    <x v="442"/>
    <n v="11365"/>
    <x v="0"/>
  </r>
  <r>
    <s v="Gigi Bohling"/>
    <s v="Switzerland"/>
    <x v="1"/>
    <x v="442"/>
    <n v="2968"/>
    <x v="0"/>
  </r>
  <r>
    <s v="Van Tuxwell"/>
    <s v="Switzerland"/>
    <x v="7"/>
    <x v="442"/>
    <n v="9936"/>
    <x v="0"/>
  </r>
  <r>
    <s v="Gigi Bohling"/>
    <s v="Germany"/>
    <x v="2"/>
    <x v="442"/>
    <n v="1563"/>
    <x v="0"/>
  </r>
  <r>
    <s v="Marney O'Breem"/>
    <s v="Canada"/>
    <x v="6"/>
    <x v="442"/>
    <n v="9105"/>
    <x v="0"/>
  </r>
  <r>
    <s v="Mallorie Waber"/>
    <s v="Canada"/>
    <x v="0"/>
    <x v="443"/>
    <n v="3551"/>
    <x v="0"/>
  </r>
  <r>
    <s v="Curtice Advani"/>
    <s v="UK"/>
    <x v="5"/>
    <x v="443"/>
    <n v="12153"/>
    <x v="0"/>
  </r>
  <r>
    <s v="Brien Boise"/>
    <s v="Germany"/>
    <x v="1"/>
    <x v="443"/>
    <n v="6099"/>
    <x v="0"/>
  </r>
  <r>
    <s v="Gunar Cockshoot"/>
    <s v="Germany"/>
    <x v="7"/>
    <x v="443"/>
    <n v="10961"/>
    <x v="0"/>
  </r>
  <r>
    <s v="Brien Boise"/>
    <s v="UK"/>
    <x v="7"/>
    <x v="443"/>
    <n v="4103"/>
    <x v="0"/>
  </r>
  <r>
    <s v="Karlen McCaffrey"/>
    <s v="Germany"/>
    <x v="2"/>
    <x v="443"/>
    <n v="13519"/>
    <x v="0"/>
  </r>
  <r>
    <s v="Beverie Moffet"/>
    <s v="China"/>
    <x v="6"/>
    <x v="443"/>
    <n v="6413"/>
    <x v="0"/>
  </r>
  <r>
    <s v="Brien Boise"/>
    <s v="UK"/>
    <x v="3"/>
    <x v="443"/>
    <n v="12709"/>
    <x v="0"/>
  </r>
  <r>
    <s v="Rafaela Blaksland"/>
    <s v="USA"/>
    <x v="3"/>
    <x v="443"/>
    <n v="1608"/>
    <x v="0"/>
  </r>
  <r>
    <s v="Van Tuxwell"/>
    <s v="Canada"/>
    <x v="1"/>
    <x v="444"/>
    <n v="3017"/>
    <x v="0"/>
  </r>
  <r>
    <s v="Jan Morforth"/>
    <s v="Switzerland"/>
    <x v="0"/>
    <x v="445"/>
    <n v="13211"/>
    <x v="0"/>
  </r>
  <r>
    <s v="Oby Sorrel"/>
    <s v="Switzerland"/>
    <x v="0"/>
    <x v="445"/>
    <n v="13571"/>
    <x v="0"/>
  </r>
  <r>
    <s v="Karlen McCaffrey"/>
    <s v="UK"/>
    <x v="5"/>
    <x v="445"/>
    <n v="10206"/>
    <x v="0"/>
  </r>
  <r>
    <s v="Mallorie Waber"/>
    <s v="UK"/>
    <x v="0"/>
    <x v="446"/>
    <n v="9518"/>
    <x v="0"/>
  </r>
  <r>
    <s v="Gigi Bohling"/>
    <s v="China"/>
    <x v="0"/>
    <x v="446"/>
    <n v="1719"/>
    <x v="0"/>
  </r>
  <r>
    <s v="Van Tuxwell"/>
    <s v="USA"/>
    <x v="4"/>
    <x v="446"/>
    <n v="4546"/>
    <x v="0"/>
  </r>
  <r>
    <s v="Jan Morforth"/>
    <s v="UK"/>
    <x v="5"/>
    <x v="446"/>
    <n v="6701"/>
    <x v="0"/>
  </r>
  <r>
    <s v="Van Tuxwell"/>
    <s v="Canada"/>
    <x v="1"/>
    <x v="446"/>
    <n v="3554"/>
    <x v="0"/>
  </r>
  <r>
    <s v="Jehu Rudeforth"/>
    <s v="USA"/>
    <x v="2"/>
    <x v="446"/>
    <n v="2608"/>
    <x v="0"/>
  </r>
  <r>
    <s v="Marney O'Breem"/>
    <s v="UK"/>
    <x v="6"/>
    <x v="446"/>
    <n v="6458"/>
    <x v="0"/>
  </r>
  <r>
    <s v="Oby Sorrel"/>
    <s v="China"/>
    <x v="6"/>
    <x v="446"/>
    <n v="6346"/>
    <x v="0"/>
  </r>
  <r>
    <s v="Rafaela Blaksland"/>
    <s v="Canada"/>
    <x v="4"/>
    <x v="447"/>
    <n v="5830"/>
    <x v="0"/>
  </r>
  <r>
    <s v="Beverie Moffet"/>
    <s v="Canada"/>
    <x v="4"/>
    <x v="447"/>
    <n v="3564"/>
    <x v="0"/>
  </r>
  <r>
    <s v="Marney O'Breem"/>
    <s v="China"/>
    <x v="1"/>
    <x v="447"/>
    <n v="12829"/>
    <x v="0"/>
  </r>
  <r>
    <s v="Gunar Cockshoot"/>
    <s v="Germany"/>
    <x v="3"/>
    <x v="447"/>
    <n v="7486"/>
    <x v="0"/>
  </r>
  <r>
    <s v="Jehu Rudeforth"/>
    <s v="Canada"/>
    <x v="0"/>
    <x v="448"/>
    <n v="10353"/>
    <x v="0"/>
  </r>
  <r>
    <s v="Barr Faughny"/>
    <s v="China"/>
    <x v="5"/>
    <x v="448"/>
    <n v="9490"/>
    <x v="0"/>
  </r>
  <r>
    <s v="Gunar Cockshoot"/>
    <s v="UK"/>
    <x v="7"/>
    <x v="448"/>
    <n v="13280"/>
    <x v="0"/>
  </r>
  <r>
    <s v="Karlen McCaffrey"/>
    <s v="USA"/>
    <x v="3"/>
    <x v="448"/>
    <n v="6086"/>
    <x v="0"/>
  </r>
  <r>
    <s v="Van Tuxwell"/>
    <s v="China"/>
    <x v="0"/>
    <x v="449"/>
    <n v="3725"/>
    <x v="0"/>
  </r>
  <r>
    <s v="Mallorie Waber"/>
    <s v="Canada"/>
    <x v="4"/>
    <x v="449"/>
    <n v="13831"/>
    <x v="0"/>
  </r>
  <r>
    <s v="Gunar Cockshoot"/>
    <s v="China"/>
    <x v="5"/>
    <x v="449"/>
    <n v="1818"/>
    <x v="0"/>
  </r>
  <r>
    <s v="Gunar Cockshoot"/>
    <s v="USA"/>
    <x v="5"/>
    <x v="449"/>
    <n v="12810"/>
    <x v="0"/>
  </r>
  <r>
    <s v="Jan Morforth"/>
    <s v="Germany"/>
    <x v="3"/>
    <x v="449"/>
    <n v="6448"/>
    <x v="0"/>
  </r>
  <r>
    <s v="Roddy Speechley"/>
    <s v="USA"/>
    <x v="2"/>
    <x v="450"/>
    <n v="4095"/>
    <x v="0"/>
  </r>
  <r>
    <s v="Oby Sorrel"/>
    <s v="Canada"/>
    <x v="6"/>
    <x v="450"/>
    <n v="10192"/>
    <x v="0"/>
  </r>
  <r>
    <s v="Roddy Speechley"/>
    <s v="USA"/>
    <x v="0"/>
    <x v="451"/>
    <n v="13770"/>
    <x v="0"/>
  </r>
  <r>
    <s v="Oby Sorrel"/>
    <s v="UK"/>
    <x v="0"/>
    <x v="451"/>
    <n v="1227"/>
    <x v="0"/>
  </r>
  <r>
    <s v="Rafaela Blaksland"/>
    <s v="UK"/>
    <x v="5"/>
    <x v="451"/>
    <n v="11510"/>
    <x v="0"/>
  </r>
  <r>
    <s v="Mallorie Waber"/>
    <s v="USA"/>
    <x v="2"/>
    <x v="452"/>
    <n v="4597"/>
    <x v="0"/>
  </r>
  <r>
    <s v="Oby Sorrel"/>
    <s v="USA"/>
    <x v="6"/>
    <x v="452"/>
    <n v="12135"/>
    <x v="0"/>
  </r>
  <r>
    <s v="Barr Faughny"/>
    <s v="UK"/>
    <x v="0"/>
    <x v="453"/>
    <n v="12206"/>
    <x v="0"/>
  </r>
  <r>
    <s v="Beverie Moffet"/>
    <s v="China"/>
    <x v="6"/>
    <x v="453"/>
    <n v="8026"/>
    <x v="0"/>
  </r>
  <r>
    <s v="Karlen McCaffrey"/>
    <s v="Germany"/>
    <x v="0"/>
    <x v="454"/>
    <n v="12117"/>
    <x v="0"/>
  </r>
  <r>
    <s v="Rafaela Blaksland"/>
    <s v="USA"/>
    <x v="4"/>
    <x v="454"/>
    <n v="5887"/>
    <x v="0"/>
  </r>
  <r>
    <s v="Oby Sorrel"/>
    <s v="Germany"/>
    <x v="5"/>
    <x v="454"/>
    <n v="6771"/>
    <x v="0"/>
  </r>
  <r>
    <s v="Jan Morforth"/>
    <s v="Canada"/>
    <x v="5"/>
    <x v="455"/>
    <n v="8631"/>
    <x v="0"/>
  </r>
  <r>
    <s v="Van Tuxwell"/>
    <s v="Switzerland"/>
    <x v="5"/>
    <x v="456"/>
    <n v="1243"/>
    <x v="0"/>
  </r>
  <r>
    <s v="Brien Boise"/>
    <s v="USA"/>
    <x v="7"/>
    <x v="456"/>
    <n v="2024"/>
    <x v="0"/>
  </r>
  <r>
    <s v="Barr Faughny"/>
    <s v="Canada"/>
    <x v="6"/>
    <x v="456"/>
    <n v="6171"/>
    <x v="0"/>
  </r>
  <r>
    <s v="Karlen McCaffrey"/>
    <s v="China"/>
    <x v="6"/>
    <x v="456"/>
    <n v="13726"/>
    <x v="0"/>
  </r>
  <r>
    <s v="Marney O'Breem"/>
    <s v="Canada"/>
    <x v="3"/>
    <x v="456"/>
    <n v="11483"/>
    <x v="0"/>
  </r>
  <r>
    <s v="Rafaela Blaksland"/>
    <s v="China"/>
    <x v="0"/>
    <x v="457"/>
    <n v="4957"/>
    <x v="0"/>
  </r>
  <r>
    <s v="Karlen McCaffrey"/>
    <s v="Canada"/>
    <x v="0"/>
    <x v="457"/>
    <n v="4848"/>
    <x v="0"/>
  </r>
  <r>
    <s v="Curtice Advani"/>
    <s v="Germany"/>
    <x v="1"/>
    <x v="457"/>
    <n v="2558"/>
    <x v="0"/>
  </r>
  <r>
    <s v="Karlen McCaffrey"/>
    <s v="Germany"/>
    <x v="7"/>
    <x v="457"/>
    <n v="1997"/>
    <x v="0"/>
  </r>
  <r>
    <s v="Van Tuxwell"/>
    <s v="China"/>
    <x v="7"/>
    <x v="457"/>
    <n v="5202"/>
    <x v="0"/>
  </r>
  <r>
    <s v="Roddy Speechley"/>
    <s v="UK"/>
    <x v="7"/>
    <x v="458"/>
    <n v="13569"/>
    <x v="0"/>
  </r>
  <r>
    <s v="Karlen McCaffrey"/>
    <s v="Canada"/>
    <x v="0"/>
    <x v="459"/>
    <n v="6724"/>
    <x v="0"/>
  </r>
  <r>
    <s v="Beverie Moffet"/>
    <s v="Switzerland"/>
    <x v="0"/>
    <x v="459"/>
    <n v="5776"/>
    <x v="0"/>
  </r>
  <r>
    <s v="Rafaela Blaksland"/>
    <s v="China"/>
    <x v="6"/>
    <x v="459"/>
    <n v="7603"/>
    <x v="0"/>
  </r>
  <r>
    <s v="Marney O'Breem"/>
    <s v="Switzerland"/>
    <x v="6"/>
    <x v="459"/>
    <n v="10090"/>
    <x v="0"/>
  </r>
  <r>
    <s v="Gigi Bohling"/>
    <s v="USA"/>
    <x v="3"/>
    <x v="459"/>
    <n v="10331"/>
    <x v="0"/>
  </r>
  <r>
    <s v="Rafaela Blaksland"/>
    <s v="UK"/>
    <x v="3"/>
    <x v="459"/>
    <n v="4162"/>
    <x v="0"/>
  </r>
  <r>
    <s v="Mallorie Waber"/>
    <s v="China"/>
    <x v="3"/>
    <x v="459"/>
    <n v="9291"/>
    <x v="0"/>
  </r>
  <r>
    <s v="Beverie Moffet"/>
    <s v="USA"/>
    <x v="7"/>
    <x v="460"/>
    <n v="3854"/>
    <x v="0"/>
  </r>
  <r>
    <s v="Beverie Moffet"/>
    <s v="Switzerland"/>
    <x v="0"/>
    <x v="461"/>
    <n v="13015"/>
    <x v="0"/>
  </r>
  <r>
    <s v="Curtice Advani"/>
    <s v="Germany"/>
    <x v="5"/>
    <x v="461"/>
    <n v="9488"/>
    <x v="0"/>
  </r>
  <r>
    <s v="Rafaela Blaksland"/>
    <s v="Switzerland"/>
    <x v="1"/>
    <x v="461"/>
    <n v="11106"/>
    <x v="0"/>
  </r>
  <r>
    <s v="Rafaela Blaksland"/>
    <s v="UK"/>
    <x v="1"/>
    <x v="461"/>
    <n v="8399"/>
    <x v="0"/>
  </r>
  <r>
    <s v="Van Tuxwell"/>
    <s v="USA"/>
    <x v="7"/>
    <x v="461"/>
    <n v="13679"/>
    <x v="0"/>
  </r>
  <r>
    <s v="Karlen McCaffrey"/>
    <s v="Canada"/>
    <x v="6"/>
    <x v="461"/>
    <n v="8287"/>
    <x v="0"/>
  </r>
  <r>
    <s v="Oby Sorrel"/>
    <s v="Canada"/>
    <x v="0"/>
    <x v="462"/>
    <n v="13288"/>
    <x v="0"/>
  </r>
  <r>
    <s v="Oby Sorrel"/>
    <s v="UK"/>
    <x v="0"/>
    <x v="462"/>
    <n v="4748"/>
    <x v="0"/>
  </r>
  <r>
    <s v="Jehu Rudeforth"/>
    <s v="Canada"/>
    <x v="4"/>
    <x v="462"/>
    <n v="10676"/>
    <x v="0"/>
  </r>
  <r>
    <s v="Marney O'Breem"/>
    <s v="Germany"/>
    <x v="4"/>
    <x v="462"/>
    <n v="3704"/>
    <x v="0"/>
  </r>
  <r>
    <s v="Oby Sorrel"/>
    <s v="Switzerland"/>
    <x v="7"/>
    <x v="462"/>
    <n v="12071"/>
    <x v="0"/>
  </r>
  <r>
    <s v="Mallorie Waber"/>
    <s v="China"/>
    <x v="7"/>
    <x v="462"/>
    <n v="1559"/>
    <x v="0"/>
  </r>
  <r>
    <s v="Karlen McCaffrey"/>
    <s v="China"/>
    <x v="2"/>
    <x v="462"/>
    <n v="10990"/>
    <x v="0"/>
  </r>
  <r>
    <s v="Beverie Moffet"/>
    <s v="UK"/>
    <x v="3"/>
    <x v="462"/>
    <n v="6473"/>
    <x v="0"/>
  </r>
  <r>
    <s v="Roddy Speechley"/>
    <s v="China"/>
    <x v="4"/>
    <x v="463"/>
    <n v="12268"/>
    <x v="0"/>
  </r>
  <r>
    <s v="Jehu Rudeforth"/>
    <s v="Germany"/>
    <x v="1"/>
    <x v="463"/>
    <n v="5476"/>
    <x v="0"/>
  </r>
  <r>
    <s v="Rafaela Blaksland"/>
    <s v="Canada"/>
    <x v="1"/>
    <x v="463"/>
    <n v="12298"/>
    <x v="0"/>
  </r>
  <r>
    <s v="Karlen McCaffrey"/>
    <s v="Canada"/>
    <x v="6"/>
    <x v="463"/>
    <n v="11155"/>
    <x v="0"/>
  </r>
  <r>
    <s v="Beverie Moffet"/>
    <s v="China"/>
    <x v="0"/>
    <x v="464"/>
    <n v="8112"/>
    <x v="0"/>
  </r>
  <r>
    <s v="Jehu Rudeforth"/>
    <s v="Switzerland"/>
    <x v="4"/>
    <x v="464"/>
    <n v="5521"/>
    <x v="0"/>
  </r>
  <r>
    <s v="Roddy Speechley"/>
    <s v="UK"/>
    <x v="5"/>
    <x v="464"/>
    <n v="6329"/>
    <x v="0"/>
  </r>
  <r>
    <s v="Curtice Advani"/>
    <s v="Switzerland"/>
    <x v="0"/>
    <x v="465"/>
    <n v="8099"/>
    <x v="0"/>
  </r>
  <r>
    <s v="Van Tuxwell"/>
    <s v="UK"/>
    <x v="5"/>
    <x v="465"/>
    <n v="9458"/>
    <x v="0"/>
  </r>
  <r>
    <s v="Van Tuxwell"/>
    <s v="Canada"/>
    <x v="7"/>
    <x v="465"/>
    <n v="3218"/>
    <x v="0"/>
  </r>
  <r>
    <s v="Mallorie Waber"/>
    <s v="Switzerland"/>
    <x v="0"/>
    <x v="466"/>
    <n v="10590"/>
    <x v="0"/>
  </r>
  <r>
    <s v="Jan Morforth"/>
    <s v="USA"/>
    <x v="7"/>
    <x v="466"/>
    <n v="7078"/>
    <x v="0"/>
  </r>
  <r>
    <s v="Mallorie Waber"/>
    <s v="Canada"/>
    <x v="6"/>
    <x v="466"/>
    <n v="2316"/>
    <x v="0"/>
  </r>
  <r>
    <s v="Marney O'Breem"/>
    <s v="UK"/>
    <x v="7"/>
    <x v="467"/>
    <n v="2576"/>
    <x v="0"/>
  </r>
  <r>
    <s v="Rafaela Blaksland"/>
    <s v="UK"/>
    <x v="7"/>
    <x v="467"/>
    <n v="4290"/>
    <x v="0"/>
  </r>
  <r>
    <s v="Marney O'Breem"/>
    <s v="Canada"/>
    <x v="3"/>
    <x v="467"/>
    <n v="1840"/>
    <x v="0"/>
  </r>
  <r>
    <s v="Gigi Bohling"/>
    <s v="UK"/>
    <x v="3"/>
    <x v="467"/>
    <n v="2680"/>
    <x v="0"/>
  </r>
  <r>
    <s v="Curtice Advani"/>
    <s v="Switzerland"/>
    <x v="4"/>
    <x v="468"/>
    <n v="1304"/>
    <x v="0"/>
  </r>
  <r>
    <s v="Jan Morforth"/>
    <s v="Canada"/>
    <x v="5"/>
    <x v="468"/>
    <n v="7290"/>
    <x v="0"/>
  </r>
  <r>
    <s v="Curtice Advani"/>
    <s v="USA"/>
    <x v="5"/>
    <x v="468"/>
    <n v="11987"/>
    <x v="0"/>
  </r>
  <r>
    <s v="Beverie Moffet"/>
    <s v="China"/>
    <x v="6"/>
    <x v="468"/>
    <n v="5423"/>
    <x v="0"/>
  </r>
  <r>
    <s v="Jehu Rudeforth"/>
    <s v="Germany"/>
    <x v="1"/>
    <x v="469"/>
    <n v="11458"/>
    <x v="0"/>
  </r>
  <r>
    <s v="Jan Morforth"/>
    <s v="Switzerland"/>
    <x v="6"/>
    <x v="469"/>
    <n v="5783"/>
    <x v="0"/>
  </r>
  <r>
    <s v="Jehu Rudeforth"/>
    <s v="Canada"/>
    <x v="3"/>
    <x v="469"/>
    <n v="10242"/>
    <x v="0"/>
  </r>
  <r>
    <s v="Brien Boise"/>
    <s v="Switzerland"/>
    <x v="5"/>
    <x v="470"/>
    <n v="9822"/>
    <x v="0"/>
  </r>
  <r>
    <s v="Jehu Rudeforth"/>
    <s v="Germany"/>
    <x v="1"/>
    <x v="470"/>
    <n v="4757"/>
    <x v="0"/>
  </r>
  <r>
    <s v="Marney O'Breem"/>
    <s v="Germany"/>
    <x v="2"/>
    <x v="470"/>
    <n v="9593"/>
    <x v="0"/>
  </r>
  <r>
    <s v="Rafaela Blaksland"/>
    <s v="Switzerland"/>
    <x v="2"/>
    <x v="470"/>
    <n v="9551"/>
    <x v="0"/>
  </r>
  <r>
    <s v="Oby Sorrel"/>
    <s v="China"/>
    <x v="6"/>
    <x v="470"/>
    <n v="12529"/>
    <x v="0"/>
  </r>
  <r>
    <s v="Marney O'Breem"/>
    <s v="China"/>
    <x v="3"/>
    <x v="470"/>
    <n v="4815"/>
    <x v="0"/>
  </r>
  <r>
    <s v="Oby Sorrel"/>
    <s v="China"/>
    <x v="4"/>
    <x v="471"/>
    <n v="12990"/>
    <x v="0"/>
  </r>
  <r>
    <s v="Gunar Cockshoot"/>
    <s v="USA"/>
    <x v="4"/>
    <x v="471"/>
    <n v="1599"/>
    <x v="0"/>
  </r>
  <r>
    <s v="Barr Faughny"/>
    <s v="USA"/>
    <x v="7"/>
    <x v="471"/>
    <n v="5330"/>
    <x v="0"/>
  </r>
  <r>
    <s v="Roddy Speechley"/>
    <s v="Canada"/>
    <x v="4"/>
    <x v="472"/>
    <n v="1019"/>
    <x v="0"/>
  </r>
  <r>
    <s v="Van Tuxwell"/>
    <s v="Switzerland"/>
    <x v="1"/>
    <x v="472"/>
    <n v="1544"/>
    <x v="0"/>
  </r>
  <r>
    <s v="Karlen McCaffrey"/>
    <s v="China"/>
    <x v="1"/>
    <x v="472"/>
    <n v="4039"/>
    <x v="0"/>
  </r>
  <r>
    <s v="Karlen McCaffrey"/>
    <s v="China"/>
    <x v="7"/>
    <x v="472"/>
    <n v="3262"/>
    <x v="0"/>
  </r>
  <r>
    <s v="Marney O'Breem"/>
    <s v="China"/>
    <x v="2"/>
    <x v="472"/>
    <n v="12910"/>
    <x v="0"/>
  </r>
  <r>
    <s v="Gigi Bohling"/>
    <s v="USA"/>
    <x v="7"/>
    <x v="473"/>
    <n v="9117"/>
    <x v="0"/>
  </r>
  <r>
    <s v="Karlen McCaffrey"/>
    <s v="Germany"/>
    <x v="0"/>
    <x v="474"/>
    <n v="1071"/>
    <x v="0"/>
  </r>
  <r>
    <s v="Barr Faughny"/>
    <s v="Germany"/>
    <x v="7"/>
    <x v="474"/>
    <n v="6934"/>
    <x v="0"/>
  </r>
  <r>
    <s v="Marney O'Breem"/>
    <s v="USA"/>
    <x v="2"/>
    <x v="474"/>
    <n v="8492"/>
    <x v="0"/>
  </r>
  <r>
    <s v="Gigi Bohling"/>
    <s v="UK"/>
    <x v="2"/>
    <x v="474"/>
    <n v="11304"/>
    <x v="0"/>
  </r>
  <r>
    <s v="Mallorie Waber"/>
    <s v="UK"/>
    <x v="3"/>
    <x v="474"/>
    <n v="8322"/>
    <x v="0"/>
  </r>
  <r>
    <s v="Van Tuxwell"/>
    <s v="China"/>
    <x v="7"/>
    <x v="475"/>
    <n v="6048"/>
    <x v="0"/>
  </r>
  <r>
    <s v="Gunar Cockshoot"/>
    <s v="Switzerland"/>
    <x v="7"/>
    <x v="475"/>
    <n v="1447"/>
    <x v="0"/>
  </r>
  <r>
    <s v="Curtice Advani"/>
    <s v="Germany"/>
    <x v="6"/>
    <x v="475"/>
    <n v="3429"/>
    <x v="0"/>
  </r>
  <r>
    <s v="Gigi Bohling"/>
    <s v="Canada"/>
    <x v="3"/>
    <x v="475"/>
    <n v="4019"/>
    <x v="0"/>
  </r>
  <r>
    <s v="Beverie Moffet"/>
    <s v="UK"/>
    <x v="0"/>
    <x v="476"/>
    <n v="12077"/>
    <x v="0"/>
  </r>
  <r>
    <s v="Oby Sorrel"/>
    <s v="Canada"/>
    <x v="4"/>
    <x v="476"/>
    <n v="1910"/>
    <x v="0"/>
  </r>
  <r>
    <s v="Marney O'Breem"/>
    <s v="China"/>
    <x v="4"/>
    <x v="476"/>
    <n v="10483"/>
    <x v="0"/>
  </r>
  <r>
    <s v="Van Tuxwell"/>
    <s v="China"/>
    <x v="5"/>
    <x v="476"/>
    <n v="8421"/>
    <x v="0"/>
  </r>
  <r>
    <s v="Roddy Speechley"/>
    <s v="UK"/>
    <x v="1"/>
    <x v="476"/>
    <n v="12688"/>
    <x v="0"/>
  </r>
  <r>
    <s v="Karlen McCaffrey"/>
    <s v="Canada"/>
    <x v="7"/>
    <x v="476"/>
    <n v="9994"/>
    <x v="0"/>
  </r>
  <r>
    <s v="Gigi Bohling"/>
    <s v="USA"/>
    <x v="6"/>
    <x v="476"/>
    <n v="4251"/>
    <x v="0"/>
  </r>
  <r>
    <s v="Marney O'Breem"/>
    <s v="USA"/>
    <x v="6"/>
    <x v="476"/>
    <n v="1915"/>
    <x v="0"/>
  </r>
  <r>
    <s v="Karlen McCaffrey"/>
    <s v="USA"/>
    <x v="3"/>
    <x v="476"/>
    <n v="8668"/>
    <x v="0"/>
  </r>
  <r>
    <s v="Marney O'Breem"/>
    <s v="Germany"/>
    <x v="1"/>
    <x v="477"/>
    <n v="9581"/>
    <x v="0"/>
  </r>
  <r>
    <s v="Gunar Cockshoot"/>
    <s v="Canada"/>
    <x v="2"/>
    <x v="477"/>
    <n v="5461"/>
    <x v="0"/>
  </r>
  <r>
    <s v="Gunar Cockshoot"/>
    <s v="USA"/>
    <x v="3"/>
    <x v="477"/>
    <n v="11387"/>
    <x v="0"/>
  </r>
  <r>
    <s v="Marney O'Breem"/>
    <s v="Switzerland"/>
    <x v="4"/>
    <x v="478"/>
    <n v="7146"/>
    <x v="0"/>
  </r>
  <r>
    <s v="Gunar Cockshoot"/>
    <s v="UK"/>
    <x v="2"/>
    <x v="478"/>
    <n v="5450"/>
    <x v="0"/>
  </r>
  <r>
    <s v="Roddy Speechley"/>
    <s v="Switzerland"/>
    <x v="6"/>
    <x v="478"/>
    <n v="3883"/>
    <x v="0"/>
  </r>
  <r>
    <s v="Brien Boise"/>
    <s v="Switzerland"/>
    <x v="6"/>
    <x v="478"/>
    <n v="10514"/>
    <x v="0"/>
  </r>
  <r>
    <s v="Oby Sorrel"/>
    <s v="Canada"/>
    <x v="4"/>
    <x v="479"/>
    <n v="13622"/>
    <x v="0"/>
  </r>
  <r>
    <s v="Van Tuxwell"/>
    <s v="Germany"/>
    <x v="4"/>
    <x v="479"/>
    <n v="10661"/>
    <x v="0"/>
  </r>
  <r>
    <s v="Brien Boise"/>
    <s v="China"/>
    <x v="4"/>
    <x v="479"/>
    <n v="10651"/>
    <x v="0"/>
  </r>
  <r>
    <s v="Curtice Advani"/>
    <s v="Canada"/>
    <x v="4"/>
    <x v="479"/>
    <n v="7292"/>
    <x v="0"/>
  </r>
  <r>
    <s v="Gigi Bohling"/>
    <s v="China"/>
    <x v="5"/>
    <x v="479"/>
    <n v="9777"/>
    <x v="0"/>
  </r>
  <r>
    <s v="Van Tuxwell"/>
    <s v="Switzerland"/>
    <x v="5"/>
    <x v="479"/>
    <n v="11297"/>
    <x v="0"/>
  </r>
  <r>
    <s v="Mallorie Waber"/>
    <s v="Germany"/>
    <x v="1"/>
    <x v="479"/>
    <n v="5184"/>
    <x v="0"/>
  </r>
  <r>
    <s v="Beverie Moffet"/>
    <s v="Switzerland"/>
    <x v="7"/>
    <x v="479"/>
    <n v="10156"/>
    <x v="0"/>
  </r>
  <r>
    <s v="Roddy Speechley"/>
    <s v="USA"/>
    <x v="7"/>
    <x v="479"/>
    <n v="4194"/>
    <x v="0"/>
  </r>
  <r>
    <s v="Karlen McCaffrey"/>
    <s v="USA"/>
    <x v="6"/>
    <x v="479"/>
    <n v="3717"/>
    <x v="0"/>
  </r>
  <r>
    <s v="Roddy Speechley"/>
    <s v="USA"/>
    <x v="3"/>
    <x v="479"/>
    <n v="4446"/>
    <x v="0"/>
  </r>
  <r>
    <s v="Curtice Advani"/>
    <s v="UK"/>
    <x v="4"/>
    <x v="480"/>
    <n v="11986"/>
    <x v="0"/>
  </r>
  <r>
    <s v="Gigi Bohling"/>
    <s v="UK"/>
    <x v="5"/>
    <x v="480"/>
    <n v="5315"/>
    <x v="0"/>
  </r>
  <r>
    <s v="Roddy Speechley"/>
    <s v="Germany"/>
    <x v="5"/>
    <x v="480"/>
    <n v="6167"/>
    <x v="0"/>
  </r>
  <r>
    <s v="Roddy Speechley"/>
    <s v="Canada"/>
    <x v="7"/>
    <x v="480"/>
    <n v="2946"/>
    <x v="0"/>
  </r>
  <r>
    <s v="Marney O'Breem"/>
    <s v="Canada"/>
    <x v="2"/>
    <x v="480"/>
    <n v="9363"/>
    <x v="0"/>
  </r>
  <r>
    <s v="Oby Sorrel"/>
    <s v="Germany"/>
    <x v="4"/>
    <x v="481"/>
    <n v="10562"/>
    <x v="0"/>
  </r>
  <r>
    <s v="Barr Faughny"/>
    <s v="Germany"/>
    <x v="4"/>
    <x v="481"/>
    <n v="8078"/>
    <x v="0"/>
  </r>
  <r>
    <s v="Roddy Speechley"/>
    <s v="Switzerland"/>
    <x v="6"/>
    <x v="481"/>
    <n v="9795"/>
    <x v="0"/>
  </r>
  <r>
    <s v="Gunar Cockshoot"/>
    <s v="UK"/>
    <x v="3"/>
    <x v="481"/>
    <n v="10317"/>
    <x v="0"/>
  </r>
  <r>
    <s v="Rafaela Blaksland"/>
    <s v="UK"/>
    <x v="4"/>
    <x v="482"/>
    <n v="4645"/>
    <x v="0"/>
  </r>
  <r>
    <s v="Van Tuxwell"/>
    <s v="UK"/>
    <x v="1"/>
    <x v="482"/>
    <n v="6029"/>
    <x v="0"/>
  </r>
  <r>
    <s v="Jan Morforth"/>
    <s v="USA"/>
    <x v="2"/>
    <x v="482"/>
    <n v="3987"/>
    <x v="0"/>
  </r>
  <r>
    <s v="Van Tuxwell"/>
    <s v="China"/>
    <x v="0"/>
    <x v="483"/>
    <n v="2820"/>
    <x v="0"/>
  </r>
  <r>
    <s v="Karlen McCaffrey"/>
    <s v="Germany"/>
    <x v="0"/>
    <x v="483"/>
    <n v="4278"/>
    <x v="0"/>
  </r>
  <r>
    <s v="Gunar Cockshoot"/>
    <s v="USA"/>
    <x v="1"/>
    <x v="483"/>
    <n v="6954"/>
    <x v="0"/>
  </r>
  <r>
    <s v="Gunar Cockshoot"/>
    <s v="Switzerland"/>
    <x v="6"/>
    <x v="483"/>
    <n v="10298"/>
    <x v="0"/>
  </r>
  <r>
    <s v="Gigi Bohling"/>
    <s v="China"/>
    <x v="3"/>
    <x v="483"/>
    <n v="12929"/>
    <x v="0"/>
  </r>
  <r>
    <s v="Brien Boise"/>
    <s v="China"/>
    <x v="3"/>
    <x v="483"/>
    <n v="11037"/>
    <x v="0"/>
  </r>
  <r>
    <s v="Barr Faughny"/>
    <s v="Canada"/>
    <x v="2"/>
    <x v="484"/>
    <n v="1326"/>
    <x v="0"/>
  </r>
  <r>
    <s v="Curtice Advani"/>
    <s v="USA"/>
    <x v="6"/>
    <x v="485"/>
    <n v="8105"/>
    <x v="0"/>
  </r>
  <r>
    <s v="Mallorie Waber"/>
    <s v="China"/>
    <x v="3"/>
    <x v="485"/>
    <n v="9548"/>
    <x v="0"/>
  </r>
  <r>
    <s v="Jan Morforth"/>
    <s v="USA"/>
    <x v="4"/>
    <x v="486"/>
    <n v="5586"/>
    <x v="0"/>
  </r>
  <r>
    <s v="Jehu Rudeforth"/>
    <s v="UK"/>
    <x v="1"/>
    <x v="486"/>
    <n v="3614"/>
    <x v="0"/>
  </r>
  <r>
    <s v="Van Tuxwell"/>
    <s v="China"/>
    <x v="1"/>
    <x v="486"/>
    <n v="6041"/>
    <x v="0"/>
  </r>
  <r>
    <s v="Brien Boise"/>
    <s v="China"/>
    <x v="7"/>
    <x v="486"/>
    <n v="2222"/>
    <x v="0"/>
  </r>
  <r>
    <s v="Beverie Moffet"/>
    <s v="Canada"/>
    <x v="7"/>
    <x v="486"/>
    <n v="4528"/>
    <x v="0"/>
  </r>
  <r>
    <s v="Gunar Cockshoot"/>
    <s v="Switzerland"/>
    <x v="3"/>
    <x v="486"/>
    <n v="6935"/>
    <x v="0"/>
  </r>
  <r>
    <s v="Jehu Rudeforth"/>
    <s v="Switzerland"/>
    <x v="5"/>
    <x v="487"/>
    <n v="6559"/>
    <x v="0"/>
  </r>
  <r>
    <s v="Rafaela Blaksland"/>
    <s v="Switzerland"/>
    <x v="1"/>
    <x v="487"/>
    <n v="13463"/>
    <x v="0"/>
  </r>
  <r>
    <s v="Jehu Rudeforth"/>
    <s v="UK"/>
    <x v="7"/>
    <x v="487"/>
    <n v="9935"/>
    <x v="0"/>
  </r>
  <r>
    <s v="Beverie Moffet"/>
    <s v="Germany"/>
    <x v="2"/>
    <x v="487"/>
    <n v="2419"/>
    <x v="0"/>
  </r>
  <r>
    <s v="Barr Faughny"/>
    <s v="UK"/>
    <x v="0"/>
    <x v="488"/>
    <n v="9391"/>
    <x v="0"/>
  </r>
  <r>
    <s v="Beverie Moffet"/>
    <s v="UK"/>
    <x v="1"/>
    <x v="488"/>
    <n v="11271"/>
    <x v="0"/>
  </r>
  <r>
    <s v="Mallorie Waber"/>
    <s v="USA"/>
    <x v="1"/>
    <x v="488"/>
    <n v="10228"/>
    <x v="0"/>
  </r>
  <r>
    <s v="Marney O'Breem"/>
    <s v="USA"/>
    <x v="0"/>
    <x v="489"/>
    <n v="6429"/>
    <x v="0"/>
  </r>
  <r>
    <s v="Gigi Bohling"/>
    <s v="Canada"/>
    <x v="0"/>
    <x v="489"/>
    <n v="2937"/>
    <x v="0"/>
  </r>
  <r>
    <s v="Rafaela Blaksland"/>
    <s v="USA"/>
    <x v="6"/>
    <x v="489"/>
    <n v="10337"/>
    <x v="0"/>
  </r>
  <r>
    <s v="Karlen McCaffrey"/>
    <s v="China"/>
    <x v="3"/>
    <x v="489"/>
    <n v="9711"/>
    <x v="0"/>
  </r>
  <r>
    <s v="Karlen McCaffrey"/>
    <s v="Germany"/>
    <x v="0"/>
    <x v="490"/>
    <n v="12492"/>
    <x v="0"/>
  </r>
  <r>
    <s v="Brien Boise"/>
    <s v="Germany"/>
    <x v="6"/>
    <x v="490"/>
    <n v="2073"/>
    <x v="0"/>
  </r>
  <r>
    <s v="Gigi Bohling"/>
    <s v="Switzerland"/>
    <x v="6"/>
    <x v="490"/>
    <n v="6292"/>
    <x v="0"/>
  </r>
  <r>
    <s v="Curtice Advani"/>
    <s v="Canada"/>
    <x v="0"/>
    <x v="491"/>
    <n v="10120"/>
    <x v="0"/>
  </r>
  <r>
    <s v="Gigi Bohling"/>
    <s v="Switzerland"/>
    <x v="1"/>
    <x v="491"/>
    <n v="3432"/>
    <x v="0"/>
  </r>
  <r>
    <s v="Jehu Rudeforth"/>
    <s v="UK"/>
    <x v="2"/>
    <x v="491"/>
    <n v="8263"/>
    <x v="0"/>
  </r>
  <r>
    <s v="Van Tuxwell"/>
    <s v="Canada"/>
    <x v="6"/>
    <x v="491"/>
    <n v="6957"/>
    <x v="0"/>
  </r>
  <r>
    <s v="Gunar Cockshoot"/>
    <s v="Canada"/>
    <x v="3"/>
    <x v="491"/>
    <n v="4633"/>
    <x v="0"/>
  </r>
  <r>
    <s v="Jan Morforth"/>
    <s v="Switzerland"/>
    <x v="3"/>
    <x v="491"/>
    <n v="1416"/>
    <x v="0"/>
  </r>
  <r>
    <s v="Curtice Advani"/>
    <s v="USA"/>
    <x v="0"/>
    <x v="492"/>
    <n v="7643"/>
    <x v="0"/>
  </r>
  <r>
    <s v="Jehu Rudeforth"/>
    <s v="USA"/>
    <x v="1"/>
    <x v="492"/>
    <n v="3124"/>
    <x v="0"/>
  </r>
  <r>
    <s v="Oby Sorrel"/>
    <s v="China"/>
    <x v="1"/>
    <x v="492"/>
    <n v="13589"/>
    <x v="0"/>
  </r>
  <r>
    <s v="Beverie Moffet"/>
    <s v="Canada"/>
    <x v="7"/>
    <x v="492"/>
    <n v="1906"/>
    <x v="0"/>
  </r>
  <r>
    <s v="Gunar Cockshoot"/>
    <s v="Germany"/>
    <x v="2"/>
    <x v="492"/>
    <n v="11539"/>
    <x v="0"/>
  </r>
  <r>
    <s v="Van Tuxwell"/>
    <s v="USA"/>
    <x v="4"/>
    <x v="493"/>
    <n v="3899"/>
    <x v="0"/>
  </r>
  <r>
    <s v="Jan Morforth"/>
    <s v="Canada"/>
    <x v="1"/>
    <x v="493"/>
    <n v="11868"/>
    <x v="0"/>
  </r>
  <r>
    <s v="Marney O'Breem"/>
    <s v="USA"/>
    <x v="1"/>
    <x v="493"/>
    <n v="11275"/>
    <x v="0"/>
  </r>
  <r>
    <s v="Brien Boise"/>
    <s v="USA"/>
    <x v="7"/>
    <x v="493"/>
    <n v="6432"/>
    <x v="0"/>
  </r>
  <r>
    <s v="Gunar Cockshoot"/>
    <s v="China"/>
    <x v="3"/>
    <x v="493"/>
    <n v="12096"/>
    <x v="0"/>
  </r>
  <r>
    <s v="Brien Boise"/>
    <s v="China"/>
    <x v="3"/>
    <x v="493"/>
    <n v="11158"/>
    <x v="0"/>
  </r>
  <r>
    <s v="Gigi Bohling"/>
    <s v="UK"/>
    <x v="0"/>
    <x v="494"/>
    <n v="13347"/>
    <x v="0"/>
  </r>
  <r>
    <s v="Brien Boise"/>
    <s v="Canada"/>
    <x v="0"/>
    <x v="494"/>
    <n v="13620"/>
    <x v="0"/>
  </r>
  <r>
    <s v="Oby Sorrel"/>
    <s v="China"/>
    <x v="7"/>
    <x v="494"/>
    <n v="1336"/>
    <x v="0"/>
  </r>
  <r>
    <s v="Jehu Rudeforth"/>
    <s v="Switzerland"/>
    <x v="2"/>
    <x v="494"/>
    <n v="8714"/>
    <x v="0"/>
  </r>
  <r>
    <s v="Mallorie Waber"/>
    <s v="UK"/>
    <x v="3"/>
    <x v="494"/>
    <n v="11644"/>
    <x v="0"/>
  </r>
  <r>
    <s v="Barr Faughny"/>
    <s v="UK"/>
    <x v="1"/>
    <x v="495"/>
    <n v="1945"/>
    <x v="0"/>
  </r>
  <r>
    <s v="Marney O'Breem"/>
    <s v="Germany"/>
    <x v="1"/>
    <x v="495"/>
    <n v="10083"/>
    <x v="0"/>
  </r>
  <r>
    <s v="Curtice Advani"/>
    <s v="UK"/>
    <x v="1"/>
    <x v="495"/>
    <n v="6253"/>
    <x v="0"/>
  </r>
  <r>
    <s v="Mallorie Waber"/>
    <s v="USA"/>
    <x v="2"/>
    <x v="495"/>
    <n v="9203"/>
    <x v="0"/>
  </r>
  <r>
    <s v="Jan Morforth"/>
    <s v="Switzerland"/>
    <x v="5"/>
    <x v="496"/>
    <n v="9374"/>
    <x v="0"/>
  </r>
  <r>
    <s v="Rafaela Blaksland"/>
    <s v="Canada"/>
    <x v="7"/>
    <x v="496"/>
    <n v="12512"/>
    <x v="0"/>
  </r>
  <r>
    <s v="Oby Sorrel"/>
    <s v="China"/>
    <x v="2"/>
    <x v="496"/>
    <n v="7171"/>
    <x v="0"/>
  </r>
  <r>
    <s v="Karlen McCaffrey"/>
    <s v="Canada"/>
    <x v="0"/>
    <x v="497"/>
    <n v="5912"/>
    <x v="0"/>
  </r>
  <r>
    <s v="Brien Boise"/>
    <s v="Switzerland"/>
    <x v="1"/>
    <x v="497"/>
    <n v="12196"/>
    <x v="0"/>
  </r>
  <r>
    <s v="Roddy Speechley"/>
    <s v="Canada"/>
    <x v="1"/>
    <x v="497"/>
    <n v="9687"/>
    <x v="0"/>
  </r>
  <r>
    <s v="Beverie Moffet"/>
    <s v="Switzerland"/>
    <x v="6"/>
    <x v="497"/>
    <n v="5132"/>
    <x v="0"/>
  </r>
  <r>
    <s v="Beverie Moffet"/>
    <s v="Canada"/>
    <x v="3"/>
    <x v="497"/>
    <n v="6822"/>
    <x v="0"/>
  </r>
  <r>
    <s v="Roddy Speechley"/>
    <s v="Germany"/>
    <x v="0"/>
    <x v="498"/>
    <n v="10299"/>
    <x v="0"/>
  </r>
  <r>
    <s v="Jehu Rudeforth"/>
    <s v="USA"/>
    <x v="4"/>
    <x v="498"/>
    <n v="3005"/>
    <x v="0"/>
  </r>
  <r>
    <s v="Rafaela Blaksland"/>
    <s v="Switzerland"/>
    <x v="1"/>
    <x v="498"/>
    <n v="9243"/>
    <x v="0"/>
  </r>
  <r>
    <s v="Mallorie Waber"/>
    <s v="Switzerland"/>
    <x v="5"/>
    <x v="499"/>
    <n v="7939"/>
    <x v="0"/>
  </r>
  <r>
    <s v="Curtice Advani"/>
    <s v="USA"/>
    <x v="1"/>
    <x v="499"/>
    <n v="7368"/>
    <x v="0"/>
  </r>
  <r>
    <s v="Gunar Cockshoot"/>
    <s v="Switzerland"/>
    <x v="6"/>
    <x v="499"/>
    <n v="4717"/>
    <x v="0"/>
  </r>
  <r>
    <s v="Van Tuxwell"/>
    <s v="UK"/>
    <x v="3"/>
    <x v="499"/>
    <n v="3754"/>
    <x v="0"/>
  </r>
  <r>
    <s v="Mallorie Waber"/>
    <s v="China"/>
    <x v="1"/>
    <x v="500"/>
    <n v="1982"/>
    <x v="0"/>
  </r>
  <r>
    <s v="Jehu Rudeforth"/>
    <s v="Canada"/>
    <x v="2"/>
    <x v="500"/>
    <n v="4099"/>
    <x v="0"/>
  </r>
  <r>
    <s v="Jan Morforth"/>
    <s v="UK"/>
    <x v="3"/>
    <x v="500"/>
    <n v="11744"/>
    <x v="0"/>
  </r>
  <r>
    <s v="Karlen McCaffrey"/>
    <s v="USA"/>
    <x v="5"/>
    <x v="501"/>
    <n v="5880"/>
    <x v="0"/>
  </r>
  <r>
    <s v="Rafaela Blaksland"/>
    <s v="USA"/>
    <x v="1"/>
    <x v="501"/>
    <n v="2611"/>
    <x v="0"/>
  </r>
  <r>
    <s v="Karlen McCaffrey"/>
    <s v="UK"/>
    <x v="7"/>
    <x v="501"/>
    <n v="8001"/>
    <x v="0"/>
  </r>
  <r>
    <s v="Jan Morforth"/>
    <s v="UK"/>
    <x v="7"/>
    <x v="501"/>
    <n v="12886"/>
    <x v="0"/>
  </r>
  <r>
    <s v="Van Tuxwell"/>
    <s v="China"/>
    <x v="2"/>
    <x v="501"/>
    <n v="11979"/>
    <x v="0"/>
  </r>
  <r>
    <s v="Jehu Rudeforth"/>
    <s v="USA"/>
    <x v="6"/>
    <x v="501"/>
    <n v="7820"/>
    <x v="0"/>
  </r>
  <r>
    <s v="Jan Morforth"/>
    <s v="Switzerland"/>
    <x v="7"/>
    <x v="502"/>
    <n v="11843"/>
    <x v="0"/>
  </r>
  <r>
    <s v="Gunar Cockshoot"/>
    <s v="Germany"/>
    <x v="3"/>
    <x v="502"/>
    <n v="1314"/>
    <x v="0"/>
  </r>
  <r>
    <s v="Roddy Speechley"/>
    <s v="USA"/>
    <x v="3"/>
    <x v="502"/>
    <n v="5215"/>
    <x v="0"/>
  </r>
  <r>
    <s v="Oby Sorrel"/>
    <s v="Germany"/>
    <x v="3"/>
    <x v="502"/>
    <n v="10546"/>
    <x v="0"/>
  </r>
  <r>
    <s v="Mallorie Waber"/>
    <s v="China"/>
    <x v="0"/>
    <x v="503"/>
    <n v="5396"/>
    <x v="0"/>
  </r>
  <r>
    <s v="Mallorie Waber"/>
    <s v="Canada"/>
    <x v="0"/>
    <x v="503"/>
    <n v="2644"/>
    <x v="0"/>
  </r>
  <r>
    <s v="Rafaela Blaksland"/>
    <s v="Switzerland"/>
    <x v="5"/>
    <x v="503"/>
    <n v="6753"/>
    <x v="0"/>
  </r>
  <r>
    <s v="Rafaela Blaksland"/>
    <s v="Switzerland"/>
    <x v="1"/>
    <x v="503"/>
    <n v="7715"/>
    <x v="0"/>
  </r>
  <r>
    <s v="Curtice Advani"/>
    <s v="Canada"/>
    <x v="6"/>
    <x v="503"/>
    <n v="4215"/>
    <x v="0"/>
  </r>
  <r>
    <s v="Brien Boise"/>
    <s v="Switzerland"/>
    <x v="6"/>
    <x v="504"/>
    <n v="3917"/>
    <x v="0"/>
  </r>
  <r>
    <s v="Gunar Cockshoot"/>
    <s v="Switzerland"/>
    <x v="6"/>
    <x v="504"/>
    <n v="7210"/>
    <x v="0"/>
  </r>
  <r>
    <s v="Gigi Bohling"/>
    <s v="USA"/>
    <x v="0"/>
    <x v="505"/>
    <n v="7627"/>
    <x v="0"/>
  </r>
  <r>
    <s v="Beverie Moffet"/>
    <s v="Germany"/>
    <x v="1"/>
    <x v="505"/>
    <n v="3026"/>
    <x v="0"/>
  </r>
  <r>
    <s v="Brien Boise"/>
    <s v="Switzerland"/>
    <x v="7"/>
    <x v="505"/>
    <n v="8365"/>
    <x v="0"/>
  </r>
  <r>
    <s v="Mallorie Waber"/>
    <s v="UK"/>
    <x v="3"/>
    <x v="505"/>
    <n v="4665"/>
    <x v="0"/>
  </r>
  <r>
    <s v="Roddy Speechley"/>
    <s v="UK"/>
    <x v="3"/>
    <x v="505"/>
    <n v="13527"/>
    <x v="0"/>
  </r>
  <r>
    <s v="Jehu Rudeforth"/>
    <s v="Switzerland"/>
    <x v="2"/>
    <x v="506"/>
    <n v="10778"/>
    <x v="0"/>
  </r>
  <r>
    <s v="Van Tuxwell"/>
    <s v="Germany"/>
    <x v="2"/>
    <x v="506"/>
    <n v="10527"/>
    <x v="0"/>
  </r>
  <r>
    <s v="Beverie Moffet"/>
    <s v="China"/>
    <x v="3"/>
    <x v="506"/>
    <n v="8126"/>
    <x v="0"/>
  </r>
  <r>
    <s v="Brien Boise"/>
    <s v="China"/>
    <x v="4"/>
    <x v="507"/>
    <n v="2214"/>
    <x v="0"/>
  </r>
  <r>
    <s v="Mallorie Waber"/>
    <s v="USA"/>
    <x v="1"/>
    <x v="507"/>
    <n v="9570"/>
    <x v="0"/>
  </r>
  <r>
    <s v="Mallorie Waber"/>
    <s v="Germany"/>
    <x v="7"/>
    <x v="507"/>
    <n v="1249"/>
    <x v="0"/>
  </r>
  <r>
    <s v="Rafaela Blaksland"/>
    <s v="Canada"/>
    <x v="3"/>
    <x v="507"/>
    <n v="13609"/>
    <x v="0"/>
  </r>
  <r>
    <s v="Gigi Bohling"/>
    <s v="UK"/>
    <x v="0"/>
    <x v="508"/>
    <n v="10218"/>
    <x v="0"/>
  </r>
  <r>
    <s v="Jan Morforth"/>
    <s v="UK"/>
    <x v="0"/>
    <x v="508"/>
    <n v="12725"/>
    <x v="0"/>
  </r>
  <r>
    <s v="Jan Morforth"/>
    <s v="Switzerland"/>
    <x v="5"/>
    <x v="508"/>
    <n v="10473"/>
    <x v="0"/>
  </r>
  <r>
    <s v="Jehu Rudeforth"/>
    <s v="Switzerland"/>
    <x v="1"/>
    <x v="508"/>
    <n v="7508"/>
    <x v="0"/>
  </r>
  <r>
    <s v="Beverie Moffet"/>
    <s v="Germany"/>
    <x v="6"/>
    <x v="508"/>
    <n v="10216"/>
    <x v="0"/>
  </r>
  <r>
    <s v="Beverie Moffet"/>
    <s v="China"/>
    <x v="3"/>
    <x v="508"/>
    <n v="4837"/>
    <x v="0"/>
  </r>
  <r>
    <s v="Jan Morforth"/>
    <s v="UK"/>
    <x v="1"/>
    <x v="509"/>
    <n v="1575"/>
    <x v="0"/>
  </r>
  <r>
    <s v="Mallorie Waber"/>
    <s v="Switzerland"/>
    <x v="7"/>
    <x v="509"/>
    <n v="10483"/>
    <x v="0"/>
  </r>
  <r>
    <s v="Marney O'Breem"/>
    <s v="USA"/>
    <x v="7"/>
    <x v="509"/>
    <n v="6632"/>
    <x v="0"/>
  </r>
  <r>
    <s v="Van Tuxwell"/>
    <s v="USA"/>
    <x v="6"/>
    <x v="509"/>
    <n v="9091"/>
    <x v="0"/>
  </r>
  <r>
    <s v="Gunar Cockshoot"/>
    <s v="Switzerland"/>
    <x v="6"/>
    <x v="509"/>
    <n v="9798"/>
    <x v="0"/>
  </r>
  <r>
    <s v="Curtice Advani"/>
    <s v="USA"/>
    <x v="6"/>
    <x v="509"/>
    <n v="10776"/>
    <x v="0"/>
  </r>
  <r>
    <s v="Curtice Advani"/>
    <s v="Canada"/>
    <x v="6"/>
    <x v="509"/>
    <n v="1835"/>
    <x v="0"/>
  </r>
  <r>
    <s v="Beverie Moffet"/>
    <s v="Canada"/>
    <x v="0"/>
    <x v="510"/>
    <n v="10299"/>
    <x v="0"/>
  </r>
  <r>
    <s v="Beverie Moffet"/>
    <s v="Germany"/>
    <x v="0"/>
    <x v="510"/>
    <n v="9339"/>
    <x v="0"/>
  </r>
  <r>
    <s v="Beverie Moffet"/>
    <s v="Switzerland"/>
    <x v="7"/>
    <x v="510"/>
    <n v="4032"/>
    <x v="0"/>
  </r>
  <r>
    <s v="Jehu Rudeforth"/>
    <s v="Switzerland"/>
    <x v="4"/>
    <x v="511"/>
    <n v="2585"/>
    <x v="0"/>
  </r>
  <r>
    <s v="Rafaela Blaksland"/>
    <s v="Canada"/>
    <x v="4"/>
    <x v="511"/>
    <n v="10462"/>
    <x v="0"/>
  </r>
  <r>
    <s v="Marney O'Breem"/>
    <s v="China"/>
    <x v="5"/>
    <x v="512"/>
    <n v="7964"/>
    <x v="0"/>
  </r>
  <r>
    <s v="Barr Faughny"/>
    <s v="Canada"/>
    <x v="5"/>
    <x v="512"/>
    <n v="2530"/>
    <x v="0"/>
  </r>
  <r>
    <s v="Rafaela Blaksland"/>
    <s v="China"/>
    <x v="1"/>
    <x v="512"/>
    <n v="4703"/>
    <x v="0"/>
  </r>
  <r>
    <s v="Karlen McCaffrey"/>
    <s v="Germany"/>
    <x v="2"/>
    <x v="512"/>
    <n v="1009"/>
    <x v="0"/>
  </r>
  <r>
    <s v="Curtice Advani"/>
    <s v="Switzerland"/>
    <x v="2"/>
    <x v="512"/>
    <n v="10466"/>
    <x v="0"/>
  </r>
  <r>
    <s v="Van Tuxwell"/>
    <s v="Canada"/>
    <x v="3"/>
    <x v="512"/>
    <n v="9934"/>
    <x v="0"/>
  </r>
  <r>
    <s v="Mallorie Waber"/>
    <s v="Switzerland"/>
    <x v="5"/>
    <x v="513"/>
    <n v="10647"/>
    <x v="0"/>
  </r>
  <r>
    <s v="Jan Morforth"/>
    <s v="USA"/>
    <x v="3"/>
    <x v="513"/>
    <n v="11109"/>
    <x v="0"/>
  </r>
  <r>
    <s v="Gigi Bohling"/>
    <s v="Germany"/>
    <x v="0"/>
    <x v="514"/>
    <n v="6757"/>
    <x v="0"/>
  </r>
  <r>
    <s v="Jan Morforth"/>
    <s v="UK"/>
    <x v="0"/>
    <x v="514"/>
    <n v="6708"/>
    <x v="0"/>
  </r>
  <r>
    <s v="Roddy Speechley"/>
    <s v="Canada"/>
    <x v="2"/>
    <x v="514"/>
    <n v="8064"/>
    <x v="0"/>
  </r>
  <r>
    <s v="Rafaela Blaksland"/>
    <s v="China"/>
    <x v="2"/>
    <x v="514"/>
    <n v="7134"/>
    <x v="0"/>
  </r>
  <r>
    <s v="Oby Sorrel"/>
    <s v="Switzerland"/>
    <x v="6"/>
    <x v="514"/>
    <n v="13135"/>
    <x v="0"/>
  </r>
  <r>
    <s v="Marney O'Breem"/>
    <s v="Switzerland"/>
    <x v="0"/>
    <x v="515"/>
    <n v="3454"/>
    <x v="0"/>
  </r>
  <r>
    <s v="Barr Faughny"/>
    <s v="Germany"/>
    <x v="4"/>
    <x v="515"/>
    <n v="9356"/>
    <x v="0"/>
  </r>
  <r>
    <s v="Gigi Bohling"/>
    <s v="USA"/>
    <x v="5"/>
    <x v="515"/>
    <n v="13000"/>
    <x v="0"/>
  </r>
  <r>
    <s v="Rafaela Blaksland"/>
    <s v="USA"/>
    <x v="1"/>
    <x v="515"/>
    <n v="11890"/>
    <x v="0"/>
  </r>
  <r>
    <s v="Mallorie Waber"/>
    <s v="UK"/>
    <x v="1"/>
    <x v="515"/>
    <n v="11845"/>
    <x v="0"/>
  </r>
  <r>
    <s v="Brien Boise"/>
    <s v="USA"/>
    <x v="7"/>
    <x v="515"/>
    <n v="4437"/>
    <x v="0"/>
  </r>
  <r>
    <s v="Van Tuxwell"/>
    <s v="China"/>
    <x v="6"/>
    <x v="515"/>
    <n v="2584"/>
    <x v="0"/>
  </r>
  <r>
    <s v="Gunar Cockshoot"/>
    <s v="Germany"/>
    <x v="3"/>
    <x v="515"/>
    <n v="8220"/>
    <x v="0"/>
  </r>
  <r>
    <s v="Brien Boise"/>
    <s v="USA"/>
    <x v="0"/>
    <x v="516"/>
    <n v="5737"/>
    <x v="0"/>
  </r>
  <r>
    <s v="Curtice Advani"/>
    <s v="Canada"/>
    <x v="1"/>
    <x v="516"/>
    <n v="4059"/>
    <x v="0"/>
  </r>
  <r>
    <s v="Roddy Speechley"/>
    <s v="UK"/>
    <x v="7"/>
    <x v="516"/>
    <n v="10423"/>
    <x v="0"/>
  </r>
  <r>
    <s v="Rafaela Blaksland"/>
    <s v="Switzerland"/>
    <x v="2"/>
    <x v="516"/>
    <n v="13938"/>
    <x v="0"/>
  </r>
  <r>
    <s v="Karlen McCaffrey"/>
    <s v="Germany"/>
    <x v="2"/>
    <x v="516"/>
    <n v="13013"/>
    <x v="0"/>
  </r>
  <r>
    <s v="Oby Sorrel"/>
    <s v="Canada"/>
    <x v="6"/>
    <x v="516"/>
    <n v="11520"/>
    <x v="0"/>
  </r>
  <r>
    <s v="Oby Sorrel"/>
    <s v="USA"/>
    <x v="0"/>
    <x v="517"/>
    <n v="2647"/>
    <x v="0"/>
  </r>
  <r>
    <s v="Jan Morforth"/>
    <s v="UK"/>
    <x v="0"/>
    <x v="517"/>
    <n v="5134"/>
    <x v="0"/>
  </r>
  <r>
    <s v="Mallorie Waber"/>
    <s v="USA"/>
    <x v="4"/>
    <x v="517"/>
    <n v="8794"/>
    <x v="0"/>
  </r>
  <r>
    <s v="Jan Morforth"/>
    <s v="China"/>
    <x v="4"/>
    <x v="517"/>
    <n v="9390"/>
    <x v="0"/>
  </r>
  <r>
    <s v="Roddy Speechley"/>
    <s v="USA"/>
    <x v="5"/>
    <x v="517"/>
    <n v="12487"/>
    <x v="0"/>
  </r>
  <r>
    <s v="Oby Sorrel"/>
    <s v="Canada"/>
    <x v="1"/>
    <x v="517"/>
    <n v="5607"/>
    <x v="0"/>
  </r>
  <r>
    <s v="Barr Faughny"/>
    <s v="Canada"/>
    <x v="2"/>
    <x v="517"/>
    <n v="10819"/>
    <x v="0"/>
  </r>
  <r>
    <s v="Karlen McCaffrey"/>
    <s v="UK"/>
    <x v="6"/>
    <x v="517"/>
    <n v="4966"/>
    <x v="0"/>
  </r>
  <r>
    <s v="Jan Morforth"/>
    <s v="Germany"/>
    <x v="7"/>
    <x v="518"/>
    <n v="9420"/>
    <x v="0"/>
  </r>
  <r>
    <s v="Curtice Advani"/>
    <s v="China"/>
    <x v="0"/>
    <x v="519"/>
    <n v="2790"/>
    <x v="0"/>
  </r>
  <r>
    <s v="Rafaela Blaksland"/>
    <s v="China"/>
    <x v="1"/>
    <x v="519"/>
    <n v="2707"/>
    <x v="0"/>
  </r>
  <r>
    <s v="Oby Sorrel"/>
    <s v="Canada"/>
    <x v="6"/>
    <x v="519"/>
    <n v="13085"/>
    <x v="0"/>
  </r>
  <r>
    <s v="Roddy Speechley"/>
    <s v="Germany"/>
    <x v="0"/>
    <x v="520"/>
    <n v="2350"/>
    <x v="0"/>
  </r>
  <r>
    <s v="Rafaela Blaksland"/>
    <s v="UK"/>
    <x v="4"/>
    <x v="520"/>
    <n v="7518"/>
    <x v="0"/>
  </r>
  <r>
    <s v="Barr Faughny"/>
    <s v="UK"/>
    <x v="2"/>
    <x v="520"/>
    <n v="11240"/>
    <x v="0"/>
  </r>
  <r>
    <s v="Gunar Cockshoot"/>
    <s v="Canada"/>
    <x v="6"/>
    <x v="520"/>
    <n v="3435"/>
    <x v="0"/>
  </r>
  <r>
    <s v="Rafaela Blaksland"/>
    <s v="UK"/>
    <x v="6"/>
    <x v="520"/>
    <n v="8903"/>
    <x v="0"/>
  </r>
  <r>
    <s v="Barr Faughny"/>
    <s v="Germany"/>
    <x v="0"/>
    <x v="521"/>
    <n v="3052"/>
    <x v="0"/>
  </r>
  <r>
    <s v="Brien Boise"/>
    <s v="UK"/>
    <x v="5"/>
    <x v="521"/>
    <n v="9751"/>
    <x v="0"/>
  </r>
  <r>
    <s v="Curtice Advani"/>
    <s v="China"/>
    <x v="1"/>
    <x v="521"/>
    <n v="12210"/>
    <x v="0"/>
  </r>
  <r>
    <s v="Gigi Bohling"/>
    <s v="USA"/>
    <x v="7"/>
    <x v="521"/>
    <n v="1248"/>
    <x v="0"/>
  </r>
  <r>
    <s v="Van Tuxwell"/>
    <s v="China"/>
    <x v="6"/>
    <x v="521"/>
    <n v="9746"/>
    <x v="0"/>
  </r>
  <r>
    <s v="Beverie Moffet"/>
    <s v="China"/>
    <x v="6"/>
    <x v="521"/>
    <n v="13192"/>
    <x v="0"/>
  </r>
  <r>
    <s v="Karlen McCaffrey"/>
    <s v="Germany"/>
    <x v="6"/>
    <x v="521"/>
    <n v="7220"/>
    <x v="0"/>
  </r>
  <r>
    <s v="Van Tuxwell"/>
    <s v="Canada"/>
    <x v="6"/>
    <x v="521"/>
    <n v="4076"/>
    <x v="0"/>
  </r>
  <r>
    <s v="Brien Boise"/>
    <s v="China"/>
    <x v="0"/>
    <x v="522"/>
    <n v="9923"/>
    <x v="0"/>
  </r>
  <r>
    <s v="Karlen McCaffrey"/>
    <s v="UK"/>
    <x v="4"/>
    <x v="522"/>
    <n v="8033"/>
    <x v="0"/>
  </r>
  <r>
    <s v="Gunar Cockshoot"/>
    <s v="Germany"/>
    <x v="1"/>
    <x v="522"/>
    <n v="6953"/>
    <x v="0"/>
  </r>
  <r>
    <s v="Brien Boise"/>
    <s v="China"/>
    <x v="6"/>
    <x v="522"/>
    <n v="10540"/>
    <x v="0"/>
  </r>
  <r>
    <s v="Roddy Speechley"/>
    <s v="Switzerland"/>
    <x v="0"/>
    <x v="523"/>
    <n v="2621"/>
    <x v="0"/>
  </r>
  <r>
    <s v="Van Tuxwell"/>
    <s v="China"/>
    <x v="4"/>
    <x v="523"/>
    <n v="3080"/>
    <x v="0"/>
  </r>
  <r>
    <s v="Brien Boise"/>
    <s v="China"/>
    <x v="1"/>
    <x v="523"/>
    <n v="4534"/>
    <x v="0"/>
  </r>
  <r>
    <s v="Roddy Speechley"/>
    <s v="UK"/>
    <x v="7"/>
    <x v="523"/>
    <n v="12582"/>
    <x v="0"/>
  </r>
  <r>
    <s v="Jan Morforth"/>
    <s v="USA"/>
    <x v="2"/>
    <x v="523"/>
    <n v="1955"/>
    <x v="0"/>
  </r>
  <r>
    <s v="Jehu Rudeforth"/>
    <s v="Switzerland"/>
    <x v="2"/>
    <x v="523"/>
    <n v="6944"/>
    <x v="0"/>
  </r>
  <r>
    <s v="Van Tuxwell"/>
    <s v="Germany"/>
    <x v="3"/>
    <x v="523"/>
    <n v="13974"/>
    <x v="0"/>
  </r>
  <r>
    <s v="Brien Boise"/>
    <s v="China"/>
    <x v="4"/>
    <x v="524"/>
    <n v="10840"/>
    <x v="0"/>
  </r>
  <r>
    <s v="Roddy Speechley"/>
    <s v="Switzerland"/>
    <x v="5"/>
    <x v="524"/>
    <n v="5527"/>
    <x v="0"/>
  </r>
  <r>
    <s v="Curtice Advani"/>
    <s v="Germany"/>
    <x v="2"/>
    <x v="524"/>
    <n v="1247"/>
    <x v="0"/>
  </r>
  <r>
    <s v="Oby Sorrel"/>
    <s v="China"/>
    <x v="2"/>
    <x v="524"/>
    <n v="10374"/>
    <x v="0"/>
  </r>
  <r>
    <s v="Oby Sorrel"/>
    <s v="Canada"/>
    <x v="2"/>
    <x v="524"/>
    <n v="11212"/>
    <x v="0"/>
  </r>
  <r>
    <s v="Karlen McCaffrey"/>
    <s v="UK"/>
    <x v="6"/>
    <x v="524"/>
    <n v="7463"/>
    <x v="0"/>
  </r>
  <r>
    <s v="Brien Boise"/>
    <s v="Canada"/>
    <x v="3"/>
    <x v="524"/>
    <n v="5733"/>
    <x v="0"/>
  </r>
  <r>
    <s v="Van Tuxwell"/>
    <s v="Canada"/>
    <x v="5"/>
    <x v="525"/>
    <n v="9001"/>
    <x v="0"/>
  </r>
  <r>
    <s v="Jan Morforth"/>
    <s v="Switzerland"/>
    <x v="1"/>
    <x v="525"/>
    <n v="10371"/>
    <x v="0"/>
  </r>
  <r>
    <s v="Jan Morforth"/>
    <s v="Switzerland"/>
    <x v="4"/>
    <x v="526"/>
    <n v="1690"/>
    <x v="0"/>
  </r>
  <r>
    <s v="Jan Morforth"/>
    <s v="Canada"/>
    <x v="1"/>
    <x v="526"/>
    <n v="10374"/>
    <x v="0"/>
  </r>
  <r>
    <s v="Brien Boise"/>
    <s v="Switzerland"/>
    <x v="6"/>
    <x v="526"/>
    <n v="12204"/>
    <x v="0"/>
  </r>
  <r>
    <s v="Gigi Bohling"/>
    <s v="Switzerland"/>
    <x v="5"/>
    <x v="527"/>
    <n v="6877"/>
    <x v="0"/>
  </r>
  <r>
    <s v="Brien Boise"/>
    <s v="Canada"/>
    <x v="2"/>
    <x v="527"/>
    <n v="12436"/>
    <x v="0"/>
  </r>
  <r>
    <s v="Oby Sorrel"/>
    <s v="Switzerland"/>
    <x v="6"/>
    <x v="527"/>
    <n v="8395"/>
    <x v="0"/>
  </r>
  <r>
    <s v="Barr Faughny"/>
    <s v="Canada"/>
    <x v="3"/>
    <x v="527"/>
    <n v="1656"/>
    <x v="0"/>
  </r>
  <r>
    <s v="Brien Boise"/>
    <s v="Germany"/>
    <x v="0"/>
    <x v="528"/>
    <n v="7724"/>
    <x v="0"/>
  </r>
  <r>
    <s v="Karlen McCaffrey"/>
    <s v="UK"/>
    <x v="4"/>
    <x v="528"/>
    <n v="8777"/>
    <x v="0"/>
  </r>
  <r>
    <s v="Gunar Cockshoot"/>
    <s v="China"/>
    <x v="6"/>
    <x v="528"/>
    <n v="10554"/>
    <x v="0"/>
  </r>
  <r>
    <s v="Van Tuxwell"/>
    <s v="UK"/>
    <x v="5"/>
    <x v="529"/>
    <n v="10279"/>
    <x v="0"/>
  </r>
  <r>
    <s v="Barr Faughny"/>
    <s v="Switzerland"/>
    <x v="1"/>
    <x v="529"/>
    <n v="2140"/>
    <x v="0"/>
  </r>
  <r>
    <s v="Rafaela Blaksland"/>
    <s v="USA"/>
    <x v="7"/>
    <x v="529"/>
    <n v="13912"/>
    <x v="0"/>
  </r>
  <r>
    <s v="Roddy Speechley"/>
    <s v="China"/>
    <x v="3"/>
    <x v="529"/>
    <n v="12360"/>
    <x v="0"/>
  </r>
  <r>
    <s v="Beverie Moffet"/>
    <s v="Canada"/>
    <x v="3"/>
    <x v="530"/>
    <n v="4676"/>
    <x v="0"/>
  </r>
  <r>
    <s v="Gunar Cockshoot"/>
    <s v="UK"/>
    <x v="0"/>
    <x v="531"/>
    <n v="6603"/>
    <x v="0"/>
  </r>
  <r>
    <s v="Jan Morforth"/>
    <s v="Switzerland"/>
    <x v="4"/>
    <x v="531"/>
    <n v="11519"/>
    <x v="0"/>
  </r>
  <r>
    <s v="Roddy Speechley"/>
    <s v="China"/>
    <x v="1"/>
    <x v="531"/>
    <n v="13236"/>
    <x v="0"/>
  </r>
  <r>
    <s v="Beverie Moffet"/>
    <s v="Switzerland"/>
    <x v="6"/>
    <x v="531"/>
    <n v="9587"/>
    <x v="0"/>
  </r>
  <r>
    <s v="Oby Sorrel"/>
    <s v="China"/>
    <x v="0"/>
    <x v="532"/>
    <n v="10767"/>
    <x v="0"/>
  </r>
  <r>
    <s v="Van Tuxwell"/>
    <s v="China"/>
    <x v="4"/>
    <x v="532"/>
    <n v="3582"/>
    <x v="0"/>
  </r>
  <r>
    <s v="Roddy Speechley"/>
    <s v="Switzerland"/>
    <x v="7"/>
    <x v="532"/>
    <n v="5485"/>
    <x v="0"/>
  </r>
  <r>
    <s v="Van Tuxwell"/>
    <s v="China"/>
    <x v="2"/>
    <x v="532"/>
    <n v="12903"/>
    <x v="0"/>
  </r>
  <r>
    <s v="Rafaela Blaksland"/>
    <s v="UK"/>
    <x v="2"/>
    <x v="532"/>
    <n v="5116"/>
    <x v="0"/>
  </r>
  <r>
    <s v="Mallorie Waber"/>
    <s v="UK"/>
    <x v="3"/>
    <x v="532"/>
    <n v="3079"/>
    <x v="0"/>
  </r>
  <r>
    <s v="Roddy Speechley"/>
    <s v="Germany"/>
    <x v="0"/>
    <x v="533"/>
    <n v="2218"/>
    <x v="0"/>
  </r>
  <r>
    <s v="Jan Morforth"/>
    <s v="Germany"/>
    <x v="5"/>
    <x v="533"/>
    <n v="6608"/>
    <x v="0"/>
  </r>
  <r>
    <s v="Karlen McCaffrey"/>
    <s v="USA"/>
    <x v="5"/>
    <x v="533"/>
    <n v="11365"/>
    <x v="0"/>
  </r>
  <r>
    <s v="Brien Boise"/>
    <s v="Canada"/>
    <x v="7"/>
    <x v="533"/>
    <n v="8604"/>
    <x v="0"/>
  </r>
  <r>
    <s v="Gigi Bohling"/>
    <s v="UK"/>
    <x v="2"/>
    <x v="533"/>
    <n v="8969"/>
    <x v="0"/>
  </r>
  <r>
    <s v="Rafaela Blaksland"/>
    <s v="UK"/>
    <x v="2"/>
    <x v="533"/>
    <n v="12725"/>
    <x v="0"/>
  </r>
  <r>
    <s v="Karlen McCaffrey"/>
    <s v="Switzerland"/>
    <x v="6"/>
    <x v="533"/>
    <n v="5702"/>
    <x v="0"/>
  </r>
  <r>
    <s v="Van Tuxwell"/>
    <s v="USA"/>
    <x v="3"/>
    <x v="533"/>
    <n v="1064"/>
    <x v="0"/>
  </r>
  <r>
    <s v="Brien Boise"/>
    <s v="China"/>
    <x v="0"/>
    <x v="534"/>
    <n v="3644"/>
    <x v="0"/>
  </r>
  <r>
    <s v="Gigi Bohling"/>
    <s v="UK"/>
    <x v="7"/>
    <x v="534"/>
    <n v="7790"/>
    <x v="0"/>
  </r>
  <r>
    <s v="Brien Boise"/>
    <s v="China"/>
    <x v="7"/>
    <x v="534"/>
    <n v="13693"/>
    <x v="0"/>
  </r>
  <r>
    <s v="Karlen McCaffrey"/>
    <s v="Germany"/>
    <x v="0"/>
    <x v="535"/>
    <n v="9740"/>
    <x v="0"/>
  </r>
  <r>
    <s v="Curtice Advani"/>
    <s v="USA"/>
    <x v="4"/>
    <x v="535"/>
    <n v="9350"/>
    <x v="0"/>
  </r>
  <r>
    <s v="Jehu Rudeforth"/>
    <s v="Canada"/>
    <x v="1"/>
    <x v="535"/>
    <n v="4132"/>
    <x v="0"/>
  </r>
  <r>
    <s v="Curtice Advani"/>
    <s v="Germany"/>
    <x v="6"/>
    <x v="535"/>
    <n v="9591"/>
    <x v="0"/>
  </r>
  <r>
    <s v="Brien Boise"/>
    <s v="Switzerland"/>
    <x v="6"/>
    <x v="535"/>
    <n v="7821"/>
    <x v="0"/>
  </r>
  <r>
    <s v="Curtice Advani"/>
    <s v="UK"/>
    <x v="3"/>
    <x v="535"/>
    <n v="9698"/>
    <x v="0"/>
  </r>
  <r>
    <s v="Curtice Advani"/>
    <s v="Germany"/>
    <x v="0"/>
    <x v="536"/>
    <n v="11823"/>
    <x v="0"/>
  </r>
  <r>
    <s v="Marney O'Breem"/>
    <s v="UK"/>
    <x v="0"/>
    <x v="536"/>
    <n v="10289"/>
    <x v="0"/>
  </r>
  <r>
    <s v="Marney O'Breem"/>
    <s v="China"/>
    <x v="4"/>
    <x v="536"/>
    <n v="4337"/>
    <x v="0"/>
  </r>
  <r>
    <s v="Rafaela Blaksland"/>
    <s v="Germany"/>
    <x v="7"/>
    <x v="536"/>
    <n v="2011"/>
    <x v="0"/>
  </r>
  <r>
    <s v="Gigi Bohling"/>
    <s v="Switzerland"/>
    <x v="7"/>
    <x v="536"/>
    <n v="5405"/>
    <x v="0"/>
  </r>
  <r>
    <s v="Gunar Cockshoot"/>
    <s v="Switzerland"/>
    <x v="7"/>
    <x v="536"/>
    <n v="10727"/>
    <x v="0"/>
  </r>
  <r>
    <s v="Brien Boise"/>
    <s v="Canada"/>
    <x v="2"/>
    <x v="536"/>
    <n v="1469"/>
    <x v="0"/>
  </r>
  <r>
    <s v="Oby Sorrel"/>
    <s v="Germany"/>
    <x v="6"/>
    <x v="536"/>
    <n v="11444"/>
    <x v="0"/>
  </r>
  <r>
    <s v="Brien Boise"/>
    <s v="Switzerland"/>
    <x v="6"/>
    <x v="536"/>
    <n v="3101"/>
    <x v="0"/>
  </r>
  <r>
    <s v="Jan Morforth"/>
    <s v="Canada"/>
    <x v="3"/>
    <x v="536"/>
    <n v="1771"/>
    <x v="0"/>
  </r>
  <r>
    <s v="Oby Sorrel"/>
    <s v="UK"/>
    <x v="4"/>
    <x v="537"/>
    <n v="7437"/>
    <x v="0"/>
  </r>
  <r>
    <s v="Jan Morforth"/>
    <s v="USA"/>
    <x v="6"/>
    <x v="537"/>
    <n v="10196"/>
    <x v="0"/>
  </r>
  <r>
    <s v="Gigi Bohling"/>
    <s v="Switzerland"/>
    <x v="6"/>
    <x v="537"/>
    <n v="3516"/>
    <x v="0"/>
  </r>
  <r>
    <s v="Jan Morforth"/>
    <s v="Switzerland"/>
    <x v="3"/>
    <x v="537"/>
    <n v="12615"/>
    <x v="0"/>
  </r>
  <r>
    <s v="Barr Faughny"/>
    <s v="Switzerland"/>
    <x v="4"/>
    <x v="538"/>
    <n v="12750"/>
    <x v="0"/>
  </r>
  <r>
    <s v="Marney O'Breem"/>
    <s v="USA"/>
    <x v="7"/>
    <x v="538"/>
    <n v="2238"/>
    <x v="0"/>
  </r>
  <r>
    <s v="Jan Morforth"/>
    <s v="Switzerland"/>
    <x v="7"/>
    <x v="539"/>
    <n v="1657"/>
    <x v="0"/>
  </r>
  <r>
    <s v="Barr Faughny"/>
    <s v="Switzerland"/>
    <x v="3"/>
    <x v="539"/>
    <n v="9886"/>
    <x v="0"/>
  </r>
  <r>
    <s v="Karlen McCaffrey"/>
    <s v="Canada"/>
    <x v="7"/>
    <x v="540"/>
    <n v="1384"/>
    <x v="0"/>
  </r>
  <r>
    <s v="Van Tuxwell"/>
    <s v="Canada"/>
    <x v="4"/>
    <x v="541"/>
    <n v="4222"/>
    <x v="0"/>
  </r>
  <r>
    <s v="Barr Faughny"/>
    <s v="UK"/>
    <x v="0"/>
    <x v="542"/>
    <n v="13377"/>
    <x v="0"/>
  </r>
  <r>
    <s v="Karlen McCaffrey"/>
    <s v="China"/>
    <x v="0"/>
    <x v="542"/>
    <n v="5627"/>
    <x v="0"/>
  </r>
  <r>
    <s v="Jan Morforth"/>
    <s v="USA"/>
    <x v="5"/>
    <x v="542"/>
    <n v="7566"/>
    <x v="0"/>
  </r>
  <r>
    <s v="Jehu Rudeforth"/>
    <s v="USA"/>
    <x v="3"/>
    <x v="542"/>
    <n v="12382"/>
    <x v="0"/>
  </r>
  <r>
    <s v="Jan Morforth"/>
    <s v="USA"/>
    <x v="4"/>
    <x v="543"/>
    <n v="8268"/>
    <x v="0"/>
  </r>
  <r>
    <s v="Roddy Speechley"/>
    <s v="Germany"/>
    <x v="2"/>
    <x v="543"/>
    <n v="5738"/>
    <x v="0"/>
  </r>
  <r>
    <s v="Oby Sorrel"/>
    <s v="USA"/>
    <x v="2"/>
    <x v="543"/>
    <n v="13377"/>
    <x v="0"/>
  </r>
  <r>
    <s v="Mallorie Waber"/>
    <s v="USA"/>
    <x v="3"/>
    <x v="543"/>
    <n v="4267"/>
    <x v="0"/>
  </r>
  <r>
    <s v="Mallorie Waber"/>
    <s v="Switzerland"/>
    <x v="3"/>
    <x v="543"/>
    <n v="5254"/>
    <x v="0"/>
  </r>
  <r>
    <s v="Gunar Cockshoot"/>
    <s v="USA"/>
    <x v="0"/>
    <x v="544"/>
    <n v="9051"/>
    <x v="0"/>
  </r>
  <r>
    <s v="Jan Morforth"/>
    <s v="Canada"/>
    <x v="0"/>
    <x v="544"/>
    <n v="12311"/>
    <x v="0"/>
  </r>
  <r>
    <s v="Jehu Rudeforth"/>
    <s v="China"/>
    <x v="4"/>
    <x v="544"/>
    <n v="6230"/>
    <x v="0"/>
  </r>
  <r>
    <s v="Van Tuxwell"/>
    <s v="Canada"/>
    <x v="1"/>
    <x v="544"/>
    <n v="7264"/>
    <x v="0"/>
  </r>
  <r>
    <s v="Jan Morforth"/>
    <s v="Switzerland"/>
    <x v="1"/>
    <x v="544"/>
    <n v="10849"/>
    <x v="0"/>
  </r>
  <r>
    <s v="Beverie Moffet"/>
    <s v="China"/>
    <x v="7"/>
    <x v="544"/>
    <n v="13471"/>
    <x v="0"/>
  </r>
  <r>
    <s v="Curtice Advani"/>
    <s v="Canada"/>
    <x v="3"/>
    <x v="544"/>
    <n v="5089"/>
    <x v="0"/>
  </r>
  <r>
    <s v="Van Tuxwell"/>
    <s v="UK"/>
    <x v="7"/>
    <x v="545"/>
    <n v="4856"/>
    <x v="0"/>
  </r>
  <r>
    <s v="Oby Sorrel"/>
    <s v="Germany"/>
    <x v="7"/>
    <x v="545"/>
    <n v="13645"/>
    <x v="0"/>
  </r>
  <r>
    <s v="Gigi Bohling"/>
    <s v="China"/>
    <x v="2"/>
    <x v="545"/>
    <n v="5454"/>
    <x v="0"/>
  </r>
  <r>
    <s v="Beverie Moffet"/>
    <s v="UK"/>
    <x v="6"/>
    <x v="545"/>
    <n v="3690"/>
    <x v="0"/>
  </r>
  <r>
    <s v="Van Tuxwell"/>
    <s v="Switzerland"/>
    <x v="6"/>
    <x v="545"/>
    <n v="10538"/>
    <x v="0"/>
  </r>
  <r>
    <s v="Curtice Advani"/>
    <s v="Switzerland"/>
    <x v="3"/>
    <x v="545"/>
    <n v="13394"/>
    <x v="0"/>
  </r>
  <r>
    <s v="Gunar Cockshoot"/>
    <s v="Germany"/>
    <x v="4"/>
    <x v="546"/>
    <n v="7625"/>
    <x v="0"/>
  </r>
  <r>
    <s v="Mallorie Waber"/>
    <s v="China"/>
    <x v="7"/>
    <x v="546"/>
    <n v="1784"/>
    <x v="0"/>
  </r>
  <r>
    <s v="Oby Sorrel"/>
    <s v="USA"/>
    <x v="2"/>
    <x v="546"/>
    <n v="10518"/>
    <x v="0"/>
  </r>
  <r>
    <s v="Oby Sorrel"/>
    <s v="UK"/>
    <x v="4"/>
    <x v="547"/>
    <n v="3971"/>
    <x v="0"/>
  </r>
  <r>
    <s v="Curtice Advani"/>
    <s v="Germany"/>
    <x v="1"/>
    <x v="547"/>
    <n v="3049"/>
    <x v="0"/>
  </r>
  <r>
    <s v="Mallorie Waber"/>
    <s v="UK"/>
    <x v="2"/>
    <x v="547"/>
    <n v="11592"/>
    <x v="0"/>
  </r>
  <r>
    <s v="Oby Sorrel"/>
    <s v="USA"/>
    <x v="3"/>
    <x v="547"/>
    <n v="1358"/>
    <x v="0"/>
  </r>
  <r>
    <s v="Gigi Bohling"/>
    <s v="USA"/>
    <x v="5"/>
    <x v="548"/>
    <n v="11092"/>
    <x v="0"/>
  </r>
  <r>
    <s v="Gigi Bohling"/>
    <s v="Canada"/>
    <x v="2"/>
    <x v="548"/>
    <n v="5178"/>
    <x v="0"/>
  </r>
  <r>
    <s v="Marney O'Breem"/>
    <s v="UK"/>
    <x v="5"/>
    <x v="549"/>
    <n v="8893"/>
    <x v="0"/>
  </r>
  <r>
    <s v="Gigi Bohling"/>
    <s v="USA"/>
    <x v="7"/>
    <x v="549"/>
    <n v="9900"/>
    <x v="0"/>
  </r>
  <r>
    <s v="Beverie Moffet"/>
    <s v="Switzerland"/>
    <x v="2"/>
    <x v="549"/>
    <n v="2537"/>
    <x v="0"/>
  </r>
  <r>
    <s v="Rafaela Blaksland"/>
    <s v="Canada"/>
    <x v="6"/>
    <x v="549"/>
    <n v="7564"/>
    <x v="0"/>
  </r>
  <r>
    <s v="Van Tuxwell"/>
    <s v="China"/>
    <x v="3"/>
    <x v="549"/>
    <n v="8240"/>
    <x v="0"/>
  </r>
  <r>
    <s v="Van Tuxwell"/>
    <s v="Switzerland"/>
    <x v="4"/>
    <x v="550"/>
    <n v="1490"/>
    <x v="0"/>
  </r>
  <r>
    <s v="Marney O'Breem"/>
    <s v="Germany"/>
    <x v="5"/>
    <x v="550"/>
    <n v="4942"/>
    <x v="0"/>
  </r>
  <r>
    <s v="Karlen McCaffrey"/>
    <s v="USA"/>
    <x v="1"/>
    <x v="550"/>
    <n v="1534"/>
    <x v="0"/>
  </r>
  <r>
    <s v="Curtice Advani"/>
    <s v="UK"/>
    <x v="7"/>
    <x v="550"/>
    <n v="11712"/>
    <x v="0"/>
  </r>
  <r>
    <s v="Marney O'Breem"/>
    <s v="UK"/>
    <x v="7"/>
    <x v="550"/>
    <n v="8363"/>
    <x v="0"/>
  </r>
  <r>
    <s v="Oby Sorrel"/>
    <s v="USA"/>
    <x v="0"/>
    <x v="551"/>
    <n v="3691"/>
    <x v="0"/>
  </r>
  <r>
    <s v="Karlen McCaffrey"/>
    <s v="Switzerland"/>
    <x v="6"/>
    <x v="551"/>
    <n v="13738"/>
    <x v="0"/>
  </r>
  <r>
    <s v="Beverie Moffet"/>
    <s v="Germany"/>
    <x v="0"/>
    <x v="552"/>
    <n v="3973"/>
    <x v="0"/>
  </r>
  <r>
    <s v="Jan Morforth"/>
    <s v="UK"/>
    <x v="5"/>
    <x v="553"/>
    <n v="10922"/>
    <x v="0"/>
  </r>
  <r>
    <s v="Curtice Advani"/>
    <s v="UK"/>
    <x v="1"/>
    <x v="553"/>
    <n v="3551"/>
    <x v="0"/>
  </r>
  <r>
    <s v="Beverie Moffet"/>
    <s v="Canada"/>
    <x v="2"/>
    <x v="553"/>
    <n v="13946"/>
    <x v="0"/>
  </r>
  <r>
    <s v="Beverie Moffet"/>
    <s v="Switzerland"/>
    <x v="2"/>
    <x v="553"/>
    <n v="2550"/>
    <x v="0"/>
  </r>
  <r>
    <s v="Rafaela Blaksland"/>
    <s v="China"/>
    <x v="1"/>
    <x v="554"/>
    <n v="8572"/>
    <x v="0"/>
  </r>
  <r>
    <s v="Jehu Rudeforth"/>
    <s v="Switzerland"/>
    <x v="3"/>
    <x v="554"/>
    <n v="6287"/>
    <x v="0"/>
  </r>
  <r>
    <s v="Marney O'Breem"/>
    <s v="Germany"/>
    <x v="5"/>
    <x v="555"/>
    <n v="10543"/>
    <x v="0"/>
  </r>
  <r>
    <s v="Barr Faughny"/>
    <s v="Canada"/>
    <x v="7"/>
    <x v="555"/>
    <n v="7740"/>
    <x v="0"/>
  </r>
  <r>
    <s v="Van Tuxwell"/>
    <s v="USA"/>
    <x v="0"/>
    <x v="556"/>
    <n v="1714"/>
    <x v="0"/>
  </r>
  <r>
    <s v="Karlen McCaffrey"/>
    <s v="Germany"/>
    <x v="5"/>
    <x v="556"/>
    <n v="6041"/>
    <x v="0"/>
  </r>
  <r>
    <s v="Gunar Cockshoot"/>
    <s v="USA"/>
    <x v="5"/>
    <x v="556"/>
    <n v="1838"/>
    <x v="0"/>
  </r>
  <r>
    <s v="Gigi Bohling"/>
    <s v="Switzerland"/>
    <x v="1"/>
    <x v="556"/>
    <n v="9641"/>
    <x v="0"/>
  </r>
  <r>
    <s v="Curtice Advani"/>
    <s v="UK"/>
    <x v="2"/>
    <x v="556"/>
    <n v="3833"/>
    <x v="0"/>
  </r>
  <r>
    <s v="Karlen McCaffrey"/>
    <s v="Germany"/>
    <x v="6"/>
    <x v="556"/>
    <n v="11764"/>
    <x v="0"/>
  </r>
  <r>
    <s v="Mallorie Waber"/>
    <s v="China"/>
    <x v="3"/>
    <x v="556"/>
    <n v="11688"/>
    <x v="0"/>
  </r>
  <r>
    <s v="Rafaela Blaksland"/>
    <s v="Germany"/>
    <x v="3"/>
    <x v="557"/>
    <n v="7956"/>
    <x v="0"/>
  </r>
  <r>
    <s v="Marney O'Breem"/>
    <s v="UK"/>
    <x v="4"/>
    <x v="558"/>
    <n v="12712"/>
    <x v="0"/>
  </r>
  <r>
    <s v="Jehu Rudeforth"/>
    <s v="Canada"/>
    <x v="1"/>
    <x v="558"/>
    <n v="1092"/>
    <x v="0"/>
  </r>
  <r>
    <s v="Rafaela Blaksland"/>
    <s v="China"/>
    <x v="7"/>
    <x v="558"/>
    <n v="4387"/>
    <x v="0"/>
  </r>
  <r>
    <s v="Oby Sorrel"/>
    <s v="USA"/>
    <x v="7"/>
    <x v="558"/>
    <n v="3444"/>
    <x v="0"/>
  </r>
  <r>
    <s v="Roddy Speechley"/>
    <s v="Switzerland"/>
    <x v="2"/>
    <x v="558"/>
    <n v="4800"/>
    <x v="0"/>
  </r>
  <r>
    <s v="Gigi Bohling"/>
    <s v="UK"/>
    <x v="6"/>
    <x v="558"/>
    <n v="9477"/>
    <x v="0"/>
  </r>
  <r>
    <s v="Oby Sorrel"/>
    <s v="China"/>
    <x v="6"/>
    <x v="558"/>
    <n v="10556"/>
    <x v="0"/>
  </r>
  <r>
    <s v="Roddy Speechley"/>
    <s v="Switzerland"/>
    <x v="4"/>
    <x v="559"/>
    <n v="8174"/>
    <x v="0"/>
  </r>
  <r>
    <s v="Jan Morforth"/>
    <s v="Germany"/>
    <x v="4"/>
    <x v="559"/>
    <n v="10887"/>
    <x v="0"/>
  </r>
  <r>
    <s v="Oby Sorrel"/>
    <s v="Germany"/>
    <x v="5"/>
    <x v="559"/>
    <n v="3877"/>
    <x v="0"/>
  </r>
  <r>
    <s v="Beverie Moffet"/>
    <s v="Switzerland"/>
    <x v="1"/>
    <x v="559"/>
    <n v="9395"/>
    <x v="0"/>
  </r>
  <r>
    <s v="Barr Faughny"/>
    <s v="UK"/>
    <x v="1"/>
    <x v="560"/>
    <n v="5764"/>
    <x v="0"/>
  </r>
  <r>
    <s v="Brien Boise"/>
    <s v="USA"/>
    <x v="7"/>
    <x v="560"/>
    <n v="1823"/>
    <x v="0"/>
  </r>
  <r>
    <s v="Gigi Bohling"/>
    <s v="Switzerland"/>
    <x v="6"/>
    <x v="560"/>
    <n v="10416"/>
    <x v="0"/>
  </r>
  <r>
    <s v="Jehu Rudeforth"/>
    <s v="Switzerland"/>
    <x v="7"/>
    <x v="561"/>
    <n v="9735"/>
    <x v="0"/>
  </r>
  <r>
    <s v="Karlen McCaffrey"/>
    <s v="UK"/>
    <x v="4"/>
    <x v="562"/>
    <n v="11936"/>
    <x v="0"/>
  </r>
  <r>
    <s v="Mallorie Waber"/>
    <s v="Germany"/>
    <x v="4"/>
    <x v="562"/>
    <n v="4829"/>
    <x v="0"/>
  </r>
  <r>
    <s v="Rafaela Blaksland"/>
    <s v="Canada"/>
    <x v="3"/>
    <x v="563"/>
    <n v="2125"/>
    <x v="0"/>
  </r>
  <r>
    <s v="Oby Sorrel"/>
    <s v="Switzerland"/>
    <x v="0"/>
    <x v="564"/>
    <n v="11750"/>
    <x v="0"/>
  </r>
  <r>
    <s v="Marney O'Breem"/>
    <s v="China"/>
    <x v="2"/>
    <x v="564"/>
    <n v="10961"/>
    <x v="0"/>
  </r>
  <r>
    <s v="Curtice Advani"/>
    <s v="Canada"/>
    <x v="6"/>
    <x v="564"/>
    <n v="5183"/>
    <x v="0"/>
  </r>
  <r>
    <s v="Mallorie Waber"/>
    <s v="Canada"/>
    <x v="3"/>
    <x v="564"/>
    <n v="11449"/>
    <x v="0"/>
  </r>
  <r>
    <s v="Marney O'Breem"/>
    <s v="USA"/>
    <x v="0"/>
    <x v="565"/>
    <n v="13180"/>
    <x v="0"/>
  </r>
  <r>
    <s v="Barr Faughny"/>
    <s v="UK"/>
    <x v="4"/>
    <x v="565"/>
    <n v="12333"/>
    <x v="0"/>
  </r>
  <r>
    <s v="Roddy Speechley"/>
    <s v="Switzerland"/>
    <x v="6"/>
    <x v="565"/>
    <n v="5328"/>
    <x v="0"/>
  </r>
  <r>
    <s v="Curtice Advani"/>
    <s v="UK"/>
    <x v="7"/>
    <x v="566"/>
    <n v="13611"/>
    <x v="0"/>
  </r>
  <r>
    <s v="Jan Morforth"/>
    <s v="USA"/>
    <x v="5"/>
    <x v="567"/>
    <n v="10549"/>
    <x v="0"/>
  </r>
  <r>
    <s v="Jan Morforth"/>
    <s v="UK"/>
    <x v="2"/>
    <x v="567"/>
    <n v="1502"/>
    <x v="0"/>
  </r>
  <r>
    <s v="Mallorie Waber"/>
    <s v="Germany"/>
    <x v="3"/>
    <x v="567"/>
    <n v="6523"/>
    <x v="0"/>
  </r>
  <r>
    <s v="Karlen McCaffrey"/>
    <s v="Germany"/>
    <x v="0"/>
    <x v="568"/>
    <n v="6767"/>
    <x v="0"/>
  </r>
  <r>
    <s v="Rafaela Blaksland"/>
    <s v="Canada"/>
    <x v="5"/>
    <x v="568"/>
    <n v="3721"/>
    <x v="0"/>
  </r>
  <r>
    <s v="Curtice Advani"/>
    <s v="Switzerland"/>
    <x v="1"/>
    <x v="568"/>
    <n v="6142"/>
    <x v="0"/>
  </r>
  <r>
    <s v="Oby Sorrel"/>
    <s v="Switzerland"/>
    <x v="7"/>
    <x v="568"/>
    <n v="2173"/>
    <x v="0"/>
  </r>
  <r>
    <s v="Marney O'Breem"/>
    <s v="UK"/>
    <x v="3"/>
    <x v="568"/>
    <n v="12253"/>
    <x v="0"/>
  </r>
  <r>
    <s v="Gunar Cockshoot"/>
    <s v="China"/>
    <x v="4"/>
    <x v="569"/>
    <n v="12943"/>
    <x v="0"/>
  </r>
  <r>
    <s v="Roddy Speechley"/>
    <s v="China"/>
    <x v="6"/>
    <x v="569"/>
    <n v="5895"/>
    <x v="0"/>
  </r>
  <r>
    <s v="Gunar Cockshoot"/>
    <s v="UK"/>
    <x v="4"/>
    <x v="570"/>
    <n v="1199"/>
    <x v="0"/>
  </r>
  <r>
    <s v="Gunar Cockshoot"/>
    <s v="China"/>
    <x v="2"/>
    <x v="570"/>
    <n v="7740"/>
    <x v="0"/>
  </r>
  <r>
    <s v="Karlen McCaffrey"/>
    <s v="China"/>
    <x v="3"/>
    <x v="570"/>
    <n v="3674"/>
    <x v="0"/>
  </r>
  <r>
    <s v="Gigi Bohling"/>
    <s v="UK"/>
    <x v="0"/>
    <x v="571"/>
    <n v="2252"/>
    <x v="0"/>
  </r>
  <r>
    <s v="Jehu Rudeforth"/>
    <s v="Canada"/>
    <x v="4"/>
    <x v="571"/>
    <n v="12693"/>
    <x v="0"/>
  </r>
  <r>
    <s v="Mallorie Waber"/>
    <s v="UK"/>
    <x v="4"/>
    <x v="571"/>
    <n v="5281"/>
    <x v="0"/>
  </r>
  <r>
    <s v="Roddy Speechley"/>
    <s v="Canada"/>
    <x v="1"/>
    <x v="571"/>
    <n v="13257"/>
    <x v="0"/>
  </r>
  <r>
    <s v="Van Tuxwell"/>
    <s v="USA"/>
    <x v="0"/>
    <x v="572"/>
    <n v="1511"/>
    <x v="0"/>
  </r>
  <r>
    <s v="Mallorie Waber"/>
    <s v="Canada"/>
    <x v="5"/>
    <x v="572"/>
    <n v="12705"/>
    <x v="0"/>
  </r>
  <r>
    <s v="Gunar Cockshoot"/>
    <s v="Germany"/>
    <x v="6"/>
    <x v="572"/>
    <n v="12509"/>
    <x v="0"/>
  </r>
  <r>
    <s v="Gunar Cockshoot"/>
    <s v="UK"/>
    <x v="3"/>
    <x v="572"/>
    <n v="13247"/>
    <x v="0"/>
  </r>
  <r>
    <s v="Barr Faughny"/>
    <s v="UK"/>
    <x v="5"/>
    <x v="573"/>
    <n v="8454"/>
    <x v="0"/>
  </r>
  <r>
    <s v="Jan Morforth"/>
    <s v="Switzerland"/>
    <x v="1"/>
    <x v="573"/>
    <n v="13045"/>
    <x v="0"/>
  </r>
  <r>
    <s v="Jehu Rudeforth"/>
    <s v="Germany"/>
    <x v="7"/>
    <x v="573"/>
    <n v="1667"/>
    <x v="0"/>
  </r>
  <r>
    <s v="Karlen McCaffrey"/>
    <s v="China"/>
    <x v="2"/>
    <x v="573"/>
    <n v="7630"/>
    <x v="0"/>
  </r>
  <r>
    <s v="Beverie Moffet"/>
    <s v="China"/>
    <x v="5"/>
    <x v="574"/>
    <n v="8302"/>
    <x v="0"/>
  </r>
  <r>
    <s v="Brien Boise"/>
    <s v="Switzerland"/>
    <x v="3"/>
    <x v="574"/>
    <n v="11157"/>
    <x v="0"/>
  </r>
  <r>
    <s v="Beverie Moffet"/>
    <s v="USA"/>
    <x v="5"/>
    <x v="575"/>
    <n v="11728"/>
    <x v="0"/>
  </r>
  <r>
    <s v="Marney O'Breem"/>
    <s v="China"/>
    <x v="1"/>
    <x v="575"/>
    <n v="11689"/>
    <x v="0"/>
  </r>
  <r>
    <s v="Roddy Speechley"/>
    <s v="Canada"/>
    <x v="2"/>
    <x v="575"/>
    <n v="13229"/>
    <x v="0"/>
  </r>
  <r>
    <s v="Gunar Cockshoot"/>
    <s v="China"/>
    <x v="0"/>
    <x v="576"/>
    <n v="9292"/>
    <x v="0"/>
  </r>
  <r>
    <s v="Gunar Cockshoot"/>
    <s v="UK"/>
    <x v="3"/>
    <x v="576"/>
    <n v="10397"/>
    <x v="0"/>
  </r>
  <r>
    <s v="Marney O'Breem"/>
    <s v="UK"/>
    <x v="1"/>
    <x v="577"/>
    <n v="8074"/>
    <x v="0"/>
  </r>
  <r>
    <s v="Jan Morforth"/>
    <s v="Canada"/>
    <x v="1"/>
    <x v="577"/>
    <n v="5031"/>
    <x v="0"/>
  </r>
  <r>
    <s v="Marney O'Breem"/>
    <s v="USA"/>
    <x v="6"/>
    <x v="577"/>
    <n v="13319"/>
    <x v="0"/>
  </r>
  <r>
    <s v="Oby Sorrel"/>
    <s v="USA"/>
    <x v="3"/>
    <x v="577"/>
    <n v="6174"/>
    <x v="0"/>
  </r>
  <r>
    <s v="Roddy Speechley"/>
    <s v="Switzerland"/>
    <x v="4"/>
    <x v="578"/>
    <n v="12134"/>
    <x v="0"/>
  </r>
  <r>
    <s v="Roddy Speechley"/>
    <s v="China"/>
    <x v="5"/>
    <x v="578"/>
    <n v="3610"/>
    <x v="0"/>
  </r>
  <r>
    <s v="Oby Sorrel"/>
    <s v="Canada"/>
    <x v="7"/>
    <x v="578"/>
    <n v="3613"/>
    <x v="0"/>
  </r>
  <r>
    <s v="Mallorie Waber"/>
    <s v="Switzerland"/>
    <x v="6"/>
    <x v="578"/>
    <n v="6200"/>
    <x v="0"/>
  </r>
  <r>
    <s v="Curtice Advani"/>
    <s v="UK"/>
    <x v="3"/>
    <x v="578"/>
    <n v="6651"/>
    <x v="0"/>
  </r>
  <r>
    <s v="Mallorie Waber"/>
    <s v="China"/>
    <x v="0"/>
    <x v="579"/>
    <n v="5824"/>
    <x v="0"/>
  </r>
  <r>
    <s v="Roddy Speechley"/>
    <s v="USA"/>
    <x v="4"/>
    <x v="579"/>
    <n v="8293"/>
    <x v="0"/>
  </r>
  <r>
    <s v="Gigi Bohling"/>
    <s v="China"/>
    <x v="2"/>
    <x v="579"/>
    <n v="1733"/>
    <x v="0"/>
  </r>
  <r>
    <s v="Gunar Cockshoot"/>
    <s v="UK"/>
    <x v="6"/>
    <x v="579"/>
    <n v="1275"/>
    <x v="0"/>
  </r>
  <r>
    <s v="Jehu Rudeforth"/>
    <s v="Canada"/>
    <x v="3"/>
    <x v="579"/>
    <n v="12659"/>
    <x v="0"/>
  </r>
  <r>
    <s v="Mallorie Waber"/>
    <s v="Canada"/>
    <x v="0"/>
    <x v="580"/>
    <n v="3016"/>
    <x v="0"/>
  </r>
  <r>
    <s v="Gunar Cockshoot"/>
    <s v="UK"/>
    <x v="4"/>
    <x v="580"/>
    <n v="8392"/>
    <x v="0"/>
  </r>
  <r>
    <s v="Jehu Rudeforth"/>
    <s v="UK"/>
    <x v="5"/>
    <x v="580"/>
    <n v="8365"/>
    <x v="0"/>
  </r>
  <r>
    <s v="Roddy Speechley"/>
    <s v="USA"/>
    <x v="5"/>
    <x v="580"/>
    <n v="7283"/>
    <x v="0"/>
  </r>
  <r>
    <s v="Jehu Rudeforth"/>
    <s v="USA"/>
    <x v="1"/>
    <x v="580"/>
    <n v="5728"/>
    <x v="0"/>
  </r>
  <r>
    <s v="Barr Faughny"/>
    <s v="Canada"/>
    <x v="7"/>
    <x v="580"/>
    <n v="4380"/>
    <x v="0"/>
  </r>
  <r>
    <s v="Mallorie Waber"/>
    <s v="Germany"/>
    <x v="0"/>
    <x v="581"/>
    <n v="13636"/>
    <x v="0"/>
  </r>
  <r>
    <s v="Karlen McCaffrey"/>
    <s v="Canada"/>
    <x v="5"/>
    <x v="581"/>
    <n v="12088"/>
    <x v="0"/>
  </r>
  <r>
    <s v="Gunar Cockshoot"/>
    <s v="USA"/>
    <x v="6"/>
    <x v="581"/>
    <n v="1969"/>
    <x v="0"/>
  </r>
  <r>
    <s v="Karlen McCaffrey"/>
    <s v="UK"/>
    <x v="6"/>
    <x v="581"/>
    <n v="11155"/>
    <x v="0"/>
  </r>
  <r>
    <s v="Karlen McCaffrey"/>
    <s v="China"/>
    <x v="0"/>
    <x v="582"/>
    <n v="5106"/>
    <x v="0"/>
  </r>
  <r>
    <s v="Barr Faughny"/>
    <s v="Switzerland"/>
    <x v="5"/>
    <x v="582"/>
    <n v="6454"/>
    <x v="0"/>
  </r>
  <r>
    <s v="Rafaela Blaksland"/>
    <s v="China"/>
    <x v="3"/>
    <x v="582"/>
    <n v="1616"/>
    <x v="0"/>
  </r>
  <r>
    <s v="Jehu Rudeforth"/>
    <s v="USA"/>
    <x v="0"/>
    <x v="583"/>
    <n v="8643"/>
    <x v="0"/>
  </r>
  <r>
    <s v="Barr Faughny"/>
    <s v="Germany"/>
    <x v="4"/>
    <x v="584"/>
    <n v="11582"/>
    <x v="0"/>
  </r>
  <r>
    <s v="Mallorie Waber"/>
    <s v="UK"/>
    <x v="4"/>
    <x v="584"/>
    <n v="7467"/>
    <x v="0"/>
  </r>
  <r>
    <s v="Brien Boise"/>
    <s v="China"/>
    <x v="5"/>
    <x v="584"/>
    <n v="10522"/>
    <x v="0"/>
  </r>
  <r>
    <s v="Curtice Advani"/>
    <s v="Switzerland"/>
    <x v="1"/>
    <x v="584"/>
    <n v="9654"/>
    <x v="0"/>
  </r>
  <r>
    <s v="Brien Boise"/>
    <s v="China"/>
    <x v="2"/>
    <x v="584"/>
    <n v="2588"/>
    <x v="0"/>
  </r>
  <r>
    <s v="Jan Morforth"/>
    <s v="UK"/>
    <x v="0"/>
    <x v="585"/>
    <n v="12334"/>
    <x v="0"/>
  </r>
  <r>
    <s v="Gunar Cockshoot"/>
    <s v="Canada"/>
    <x v="4"/>
    <x v="585"/>
    <n v="2212"/>
    <x v="0"/>
  </r>
  <r>
    <s v="Roddy Speechley"/>
    <s v="Switzerland"/>
    <x v="1"/>
    <x v="585"/>
    <n v="5970"/>
    <x v="0"/>
  </r>
  <r>
    <s v="Curtice Advani"/>
    <s v="USA"/>
    <x v="2"/>
    <x v="585"/>
    <n v="13183"/>
    <x v="0"/>
  </r>
  <r>
    <s v="Jan Morforth"/>
    <s v="Germany"/>
    <x v="4"/>
    <x v="586"/>
    <n v="7852"/>
    <x v="0"/>
  </r>
  <r>
    <s v="Mallorie Waber"/>
    <s v="Canada"/>
    <x v="5"/>
    <x v="586"/>
    <n v="9228"/>
    <x v="0"/>
  </r>
  <r>
    <s v="Jehu Rudeforth"/>
    <s v="USA"/>
    <x v="7"/>
    <x v="586"/>
    <n v="2983"/>
    <x v="0"/>
  </r>
  <r>
    <s v="Brien Boise"/>
    <s v="Canada"/>
    <x v="7"/>
    <x v="586"/>
    <n v="9902"/>
    <x v="0"/>
  </r>
  <r>
    <s v="Curtice Advani"/>
    <s v="China"/>
    <x v="7"/>
    <x v="586"/>
    <n v="5082"/>
    <x v="0"/>
  </r>
  <r>
    <s v="Van Tuxwell"/>
    <s v="UK"/>
    <x v="2"/>
    <x v="586"/>
    <n v="10068"/>
    <x v="0"/>
  </r>
  <r>
    <s v="Mallorie Waber"/>
    <s v="UK"/>
    <x v="2"/>
    <x v="586"/>
    <n v="7116"/>
    <x v="0"/>
  </r>
  <r>
    <s v="Curtice Advani"/>
    <s v="USA"/>
    <x v="6"/>
    <x v="586"/>
    <n v="6199"/>
    <x v="0"/>
  </r>
  <r>
    <s v="Curtice Advani"/>
    <s v="Switzerland"/>
    <x v="5"/>
    <x v="587"/>
    <n v="9282"/>
    <x v="0"/>
  </r>
  <r>
    <s v="Oby Sorrel"/>
    <s v="China"/>
    <x v="7"/>
    <x v="587"/>
    <n v="9051"/>
    <x v="0"/>
  </r>
  <r>
    <s v="Gunar Cockshoot"/>
    <s v="Germany"/>
    <x v="6"/>
    <x v="587"/>
    <n v="8858"/>
    <x v="0"/>
  </r>
  <r>
    <s v="Gunar Cockshoot"/>
    <s v="Canada"/>
    <x v="6"/>
    <x v="587"/>
    <n v="4622"/>
    <x v="0"/>
  </r>
  <r>
    <s v="Marney O'Breem"/>
    <s v="China"/>
    <x v="7"/>
    <x v="588"/>
    <n v="10229"/>
    <x v="0"/>
  </r>
  <r>
    <s v="Beverie Moffet"/>
    <s v="China"/>
    <x v="6"/>
    <x v="588"/>
    <n v="3828"/>
    <x v="0"/>
  </r>
  <r>
    <s v="Karlen McCaffrey"/>
    <s v="China"/>
    <x v="3"/>
    <x v="588"/>
    <n v="8859"/>
    <x v="0"/>
  </r>
  <r>
    <s v="Mallorie Waber"/>
    <s v="Canada"/>
    <x v="0"/>
    <x v="589"/>
    <n v="4272"/>
    <x v="0"/>
  </r>
  <r>
    <s v="Roddy Speechley"/>
    <s v="USA"/>
    <x v="5"/>
    <x v="589"/>
    <n v="11359"/>
    <x v="0"/>
  </r>
  <r>
    <s v="Brien Boise"/>
    <s v="Canada"/>
    <x v="1"/>
    <x v="589"/>
    <n v="9999"/>
    <x v="0"/>
  </r>
  <r>
    <s v="Karlen McCaffrey"/>
    <s v="UK"/>
    <x v="7"/>
    <x v="589"/>
    <n v="10237"/>
    <x v="0"/>
  </r>
  <r>
    <s v="Brien Boise"/>
    <s v="Canada"/>
    <x v="2"/>
    <x v="589"/>
    <n v="6255"/>
    <x v="0"/>
  </r>
  <r>
    <s v="Gigi Bohling"/>
    <s v="USA"/>
    <x v="2"/>
    <x v="589"/>
    <n v="6664"/>
    <x v="0"/>
  </r>
  <r>
    <s v="Gigi Bohling"/>
    <s v="China"/>
    <x v="6"/>
    <x v="589"/>
    <n v="8541"/>
    <x v="0"/>
  </r>
  <r>
    <s v="Gunar Cockshoot"/>
    <s v="China"/>
    <x v="0"/>
    <x v="590"/>
    <n v="4410"/>
    <x v="0"/>
  </r>
  <r>
    <s v="Jehu Rudeforth"/>
    <s v="Switzerland"/>
    <x v="5"/>
    <x v="590"/>
    <n v="7357"/>
    <x v="0"/>
  </r>
  <r>
    <s v="Rafaela Blaksland"/>
    <s v="Germany"/>
    <x v="1"/>
    <x v="590"/>
    <n v="11397"/>
    <x v="0"/>
  </r>
  <r>
    <s v="Gunar Cockshoot"/>
    <s v="China"/>
    <x v="7"/>
    <x v="590"/>
    <n v="13415"/>
    <x v="0"/>
  </r>
  <r>
    <s v="Beverie Moffet"/>
    <s v="Germany"/>
    <x v="2"/>
    <x v="590"/>
    <n v="13782"/>
    <x v="0"/>
  </r>
  <r>
    <s v="Roddy Speechley"/>
    <s v="USA"/>
    <x v="6"/>
    <x v="590"/>
    <n v="3701"/>
    <x v="0"/>
  </r>
  <r>
    <s v="Jan Morforth"/>
    <s v="Canada"/>
    <x v="3"/>
    <x v="590"/>
    <n v="5454"/>
    <x v="0"/>
  </r>
  <r>
    <s v="Brien Boise"/>
    <s v="Germany"/>
    <x v="3"/>
    <x v="591"/>
    <n v="4732"/>
    <x v="0"/>
  </r>
  <r>
    <s v="Barr Faughny"/>
    <s v="UK"/>
    <x v="3"/>
    <x v="591"/>
    <n v="2895"/>
    <x v="0"/>
  </r>
  <r>
    <s v="Rafaela Blaksland"/>
    <s v="China"/>
    <x v="6"/>
    <x v="592"/>
    <n v="8244"/>
    <x v="0"/>
  </r>
  <r>
    <s v="Mallorie Waber"/>
    <s v="UK"/>
    <x v="4"/>
    <x v="593"/>
    <n v="11560"/>
    <x v="0"/>
  </r>
  <r>
    <s v="Curtice Advani"/>
    <s v="China"/>
    <x v="7"/>
    <x v="593"/>
    <n v="1809"/>
    <x v="0"/>
  </r>
  <r>
    <s v="Marney O'Breem"/>
    <s v="Canada"/>
    <x v="6"/>
    <x v="593"/>
    <n v="13886"/>
    <x v="0"/>
  </r>
  <r>
    <s v="Gunar Cockshoot"/>
    <s v="Canada"/>
    <x v="6"/>
    <x v="593"/>
    <n v="11077"/>
    <x v="0"/>
  </r>
  <r>
    <s v="Brien Boise"/>
    <s v="UK"/>
    <x v="3"/>
    <x v="593"/>
    <n v="3322"/>
    <x v="0"/>
  </r>
  <r>
    <s v="Brien Boise"/>
    <s v="UK"/>
    <x v="3"/>
    <x v="593"/>
    <n v="12371"/>
    <x v="0"/>
  </r>
  <r>
    <s v="Gunar Cockshoot"/>
    <s v="Germany"/>
    <x v="7"/>
    <x v="594"/>
    <n v="3030"/>
    <x v="0"/>
  </r>
  <r>
    <s v="Rafaela Blaksland"/>
    <s v="China"/>
    <x v="7"/>
    <x v="594"/>
    <n v="1999"/>
    <x v="0"/>
  </r>
  <r>
    <s v="Karlen McCaffrey"/>
    <s v="Switzerland"/>
    <x v="2"/>
    <x v="594"/>
    <n v="8216"/>
    <x v="0"/>
  </r>
  <r>
    <s v="Marney O'Breem"/>
    <s v="Canada"/>
    <x v="6"/>
    <x v="594"/>
    <n v="6045"/>
    <x v="0"/>
  </r>
  <r>
    <s v="Jan Morforth"/>
    <s v="UK"/>
    <x v="1"/>
    <x v="595"/>
    <n v="1974"/>
    <x v="0"/>
  </r>
  <r>
    <s v="Marney O'Breem"/>
    <s v="China"/>
    <x v="2"/>
    <x v="596"/>
    <n v="6362"/>
    <x v="0"/>
  </r>
  <r>
    <s v="Jan Morforth"/>
    <s v="USA"/>
    <x v="3"/>
    <x v="596"/>
    <n v="7275"/>
    <x v="0"/>
  </r>
  <r>
    <s v="Gunar Cockshoot"/>
    <s v="Canada"/>
    <x v="0"/>
    <x v="597"/>
    <n v="2725"/>
    <x v="0"/>
  </r>
  <r>
    <s v="Van Tuxwell"/>
    <s v="Canada"/>
    <x v="0"/>
    <x v="597"/>
    <n v="7817"/>
    <x v="0"/>
  </r>
  <r>
    <s v="Curtice Advani"/>
    <s v="Germany"/>
    <x v="4"/>
    <x v="597"/>
    <n v="10749"/>
    <x v="0"/>
  </r>
  <r>
    <s v="Gigi Bohling"/>
    <s v="Germany"/>
    <x v="1"/>
    <x v="597"/>
    <n v="3218"/>
    <x v="0"/>
  </r>
  <r>
    <s v="Van Tuxwell"/>
    <s v="Switzerland"/>
    <x v="3"/>
    <x v="597"/>
    <n v="11259"/>
    <x v="0"/>
  </r>
  <r>
    <s v="Brien Boise"/>
    <s v="Canada"/>
    <x v="0"/>
    <x v="598"/>
    <n v="12271"/>
    <x v="0"/>
  </r>
  <r>
    <s v="Roddy Speechley"/>
    <s v="Canada"/>
    <x v="0"/>
    <x v="598"/>
    <n v="9495"/>
    <x v="0"/>
  </r>
  <r>
    <s v="Barr Faughny"/>
    <s v="China"/>
    <x v="1"/>
    <x v="598"/>
    <n v="2314"/>
    <x v="0"/>
  </r>
  <r>
    <s v="Beverie Moffet"/>
    <s v="Germany"/>
    <x v="6"/>
    <x v="598"/>
    <n v="13308"/>
    <x v="0"/>
  </r>
  <r>
    <s v="Curtice Advani"/>
    <s v="UK"/>
    <x v="3"/>
    <x v="598"/>
    <n v="2474"/>
    <x v="0"/>
  </r>
  <r>
    <s v="Curtice Advani"/>
    <s v="USA"/>
    <x v="0"/>
    <x v="599"/>
    <n v="8218"/>
    <x v="0"/>
  </r>
  <r>
    <s v="Karlen McCaffrey"/>
    <s v="Canada"/>
    <x v="5"/>
    <x v="599"/>
    <n v="1410"/>
    <x v="0"/>
  </r>
  <r>
    <s v="Jan Morforth"/>
    <s v="UK"/>
    <x v="7"/>
    <x v="599"/>
    <n v="4999"/>
    <x v="0"/>
  </r>
  <r>
    <s v="Karlen McCaffrey"/>
    <s v="Canada"/>
    <x v="2"/>
    <x v="599"/>
    <n v="4057"/>
    <x v="0"/>
  </r>
  <r>
    <s v="Rafaela Blaksland"/>
    <s v="Canada"/>
    <x v="1"/>
    <x v="600"/>
    <n v="1416"/>
    <x v="0"/>
  </r>
  <r>
    <s v="Curtice Advani"/>
    <s v="Switzerland"/>
    <x v="0"/>
    <x v="601"/>
    <n v="12083"/>
    <x v="0"/>
  </r>
  <r>
    <s v="Van Tuxwell"/>
    <s v="USA"/>
    <x v="4"/>
    <x v="601"/>
    <n v="7883"/>
    <x v="0"/>
  </r>
  <r>
    <s v="Mallorie Waber"/>
    <s v="UK"/>
    <x v="3"/>
    <x v="601"/>
    <n v="10376"/>
    <x v="0"/>
  </r>
  <r>
    <s v="Curtice Advani"/>
    <s v="USA"/>
    <x v="3"/>
    <x v="601"/>
    <n v="8729"/>
    <x v="0"/>
  </r>
  <r>
    <s v="Karlen McCaffrey"/>
    <s v="Switzerland"/>
    <x v="5"/>
    <x v="602"/>
    <n v="6213"/>
    <x v="0"/>
  </r>
  <r>
    <s v="Gigi Bohling"/>
    <s v="UK"/>
    <x v="2"/>
    <x v="602"/>
    <n v="5104"/>
    <x v="0"/>
  </r>
  <r>
    <s v="Mallorie Waber"/>
    <s v="China"/>
    <x v="2"/>
    <x v="602"/>
    <n v="3173"/>
    <x v="0"/>
  </r>
  <r>
    <s v="Gunar Cockshoot"/>
    <s v="China"/>
    <x v="6"/>
    <x v="602"/>
    <n v="6405"/>
    <x v="0"/>
  </r>
  <r>
    <s v="Oby Sorrel"/>
    <s v="Germany"/>
    <x v="0"/>
    <x v="603"/>
    <n v="9536"/>
    <x v="0"/>
  </r>
  <r>
    <s v="Mallorie Waber"/>
    <s v="China"/>
    <x v="4"/>
    <x v="603"/>
    <n v="7869"/>
    <x v="0"/>
  </r>
  <r>
    <s v="Rafaela Blaksland"/>
    <s v="USA"/>
    <x v="1"/>
    <x v="603"/>
    <n v="8219"/>
    <x v="0"/>
  </r>
  <r>
    <s v="Van Tuxwell"/>
    <s v="Canada"/>
    <x v="1"/>
    <x v="603"/>
    <n v="13605"/>
    <x v="0"/>
  </r>
  <r>
    <s v="Curtice Advani"/>
    <s v="Switzerland"/>
    <x v="7"/>
    <x v="603"/>
    <n v="7361"/>
    <x v="0"/>
  </r>
  <r>
    <s v="Van Tuxwell"/>
    <s v="Switzerland"/>
    <x v="2"/>
    <x v="603"/>
    <n v="5566"/>
    <x v="0"/>
  </r>
  <r>
    <s v="Roddy Speechley"/>
    <s v="Germany"/>
    <x v="6"/>
    <x v="603"/>
    <n v="8810"/>
    <x v="0"/>
  </r>
  <r>
    <s v="Karlen McCaffrey"/>
    <s v="China"/>
    <x v="5"/>
    <x v="604"/>
    <n v="3775"/>
    <x v="0"/>
  </r>
  <r>
    <s v="Barr Faughny"/>
    <s v="Switzerland"/>
    <x v="7"/>
    <x v="604"/>
    <n v="13347"/>
    <x v="0"/>
  </r>
  <r>
    <s v="Van Tuxwell"/>
    <s v="China"/>
    <x v="2"/>
    <x v="604"/>
    <n v="6113"/>
    <x v="0"/>
  </r>
  <r>
    <s v="Brien Boise"/>
    <s v="Germany"/>
    <x v="4"/>
    <x v="605"/>
    <n v="10795"/>
    <x v="0"/>
  </r>
  <r>
    <s v="Karlen McCaffrey"/>
    <s v="China"/>
    <x v="4"/>
    <x v="605"/>
    <n v="4258"/>
    <x v="0"/>
  </r>
  <r>
    <s v="Van Tuxwell"/>
    <s v="UK"/>
    <x v="1"/>
    <x v="605"/>
    <n v="9132"/>
    <x v="0"/>
  </r>
  <r>
    <s v="Marney O'Breem"/>
    <s v="UK"/>
    <x v="6"/>
    <x v="605"/>
    <n v="11289"/>
    <x v="0"/>
  </r>
  <r>
    <s v="Brien Boise"/>
    <s v="Canada"/>
    <x v="3"/>
    <x v="605"/>
    <n v="10318"/>
    <x v="0"/>
  </r>
  <r>
    <s v="Curtice Advani"/>
    <s v="China"/>
    <x v="4"/>
    <x v="606"/>
    <n v="10946"/>
    <x v="0"/>
  </r>
  <r>
    <s v="Gunar Cockshoot"/>
    <s v="Switzerland"/>
    <x v="1"/>
    <x v="606"/>
    <n v="2231"/>
    <x v="0"/>
  </r>
  <r>
    <s v="Curtice Advani"/>
    <s v="China"/>
    <x v="1"/>
    <x v="606"/>
    <n v="10150"/>
    <x v="0"/>
  </r>
  <r>
    <s v="Gigi Bohling"/>
    <s v="Canada"/>
    <x v="4"/>
    <x v="607"/>
    <n v="13027"/>
    <x v="0"/>
  </r>
  <r>
    <s v="Marney O'Breem"/>
    <s v="China"/>
    <x v="4"/>
    <x v="607"/>
    <n v="9338"/>
    <x v="0"/>
  </r>
  <r>
    <s v="Jehu Rudeforth"/>
    <s v="UK"/>
    <x v="4"/>
    <x v="607"/>
    <n v="7685"/>
    <x v="0"/>
  </r>
  <r>
    <s v="Marney O'Breem"/>
    <s v="Germany"/>
    <x v="2"/>
    <x v="607"/>
    <n v="3339"/>
    <x v="0"/>
  </r>
  <r>
    <s v="Jehu Rudeforth"/>
    <s v="Germany"/>
    <x v="6"/>
    <x v="607"/>
    <n v="4610"/>
    <x v="0"/>
  </r>
  <r>
    <s v="Marney O'Breem"/>
    <s v="Germany"/>
    <x v="0"/>
    <x v="608"/>
    <n v="11031"/>
    <x v="0"/>
  </r>
  <r>
    <s v="Mallorie Waber"/>
    <s v="UK"/>
    <x v="1"/>
    <x v="608"/>
    <n v="8585"/>
    <x v="0"/>
  </r>
  <r>
    <s v="Karlen McCaffrey"/>
    <s v="Canada"/>
    <x v="7"/>
    <x v="608"/>
    <n v="6897"/>
    <x v="0"/>
  </r>
  <r>
    <s v="Marney O'Breem"/>
    <s v="China"/>
    <x v="6"/>
    <x v="608"/>
    <n v="4553"/>
    <x v="0"/>
  </r>
  <r>
    <s v="Van Tuxwell"/>
    <s v="UK"/>
    <x v="0"/>
    <x v="609"/>
    <n v="10090"/>
    <x v="0"/>
  </r>
  <r>
    <s v="Oby Sorrel"/>
    <s v="Canada"/>
    <x v="4"/>
    <x v="609"/>
    <n v="9609"/>
    <x v="0"/>
  </r>
  <r>
    <s v="Gigi Bohling"/>
    <s v="Switzerland"/>
    <x v="7"/>
    <x v="609"/>
    <n v="3523"/>
    <x v="0"/>
  </r>
  <r>
    <s v="Gigi Bohling"/>
    <s v="USA"/>
    <x v="7"/>
    <x v="609"/>
    <n v="1664"/>
    <x v="0"/>
  </r>
  <r>
    <s v="Beverie Moffet"/>
    <s v="Switzerland"/>
    <x v="6"/>
    <x v="609"/>
    <n v="1887"/>
    <x v="0"/>
  </r>
  <r>
    <s v="Jehu Rudeforth"/>
    <s v="Switzerland"/>
    <x v="3"/>
    <x v="609"/>
    <n v="9118"/>
    <x v="0"/>
  </r>
  <r>
    <s v="Jehu Rudeforth"/>
    <s v="Canada"/>
    <x v="0"/>
    <x v="610"/>
    <n v="11810"/>
    <x v="0"/>
  </r>
  <r>
    <s v="Jan Morforth"/>
    <s v="Germany"/>
    <x v="0"/>
    <x v="610"/>
    <n v="7486"/>
    <x v="0"/>
  </r>
  <r>
    <s v="Marney O'Breem"/>
    <s v="USA"/>
    <x v="4"/>
    <x v="610"/>
    <n v="12682"/>
    <x v="0"/>
  </r>
  <r>
    <s v="Rafaela Blaksland"/>
    <s v="Germany"/>
    <x v="1"/>
    <x v="610"/>
    <n v="13765"/>
    <x v="0"/>
  </r>
  <r>
    <s v="Roddy Speechley"/>
    <s v="Switzerland"/>
    <x v="2"/>
    <x v="610"/>
    <n v="2910"/>
    <x v="0"/>
  </r>
  <r>
    <s v="Curtice Advani"/>
    <s v="Switzerland"/>
    <x v="6"/>
    <x v="611"/>
    <n v="9564"/>
    <x v="0"/>
  </r>
  <r>
    <s v="Curtice Advani"/>
    <s v="UK"/>
    <x v="4"/>
    <x v="612"/>
    <n v="13904"/>
    <x v="0"/>
  </r>
  <r>
    <s v="Gunar Cockshoot"/>
    <s v="Canada"/>
    <x v="5"/>
    <x v="612"/>
    <n v="12771"/>
    <x v="0"/>
  </r>
  <r>
    <s v="Brien Boise"/>
    <s v="Switzerland"/>
    <x v="7"/>
    <x v="612"/>
    <n v="2790"/>
    <x v="0"/>
  </r>
  <r>
    <s v="Jehu Rudeforth"/>
    <s v="UK"/>
    <x v="0"/>
    <x v="613"/>
    <n v="12889"/>
    <x v="0"/>
  </r>
  <r>
    <s v="Gigi Bohling"/>
    <s v="Switzerland"/>
    <x v="0"/>
    <x v="613"/>
    <n v="10817"/>
    <x v="0"/>
  </r>
  <r>
    <s v="Rafaela Blaksland"/>
    <s v="Switzerland"/>
    <x v="5"/>
    <x v="613"/>
    <n v="9008"/>
    <x v="0"/>
  </r>
  <r>
    <s v="Gigi Bohling"/>
    <s v="Germany"/>
    <x v="1"/>
    <x v="613"/>
    <n v="7068"/>
    <x v="0"/>
  </r>
  <r>
    <s v="Van Tuxwell"/>
    <s v="Switzerland"/>
    <x v="3"/>
    <x v="614"/>
    <n v="1071"/>
    <x v="0"/>
  </r>
  <r>
    <s v="Mallorie Waber"/>
    <s v="UK"/>
    <x v="0"/>
    <x v="615"/>
    <n v="12711"/>
    <x v="0"/>
  </r>
  <r>
    <s v="Marney O'Breem"/>
    <s v="USA"/>
    <x v="0"/>
    <x v="615"/>
    <n v="1355"/>
    <x v="0"/>
  </r>
  <r>
    <s v="Gunar Cockshoot"/>
    <s v="USA"/>
    <x v="4"/>
    <x v="615"/>
    <n v="13331"/>
    <x v="0"/>
  </r>
  <r>
    <s v="Karlen McCaffrey"/>
    <s v="China"/>
    <x v="5"/>
    <x v="615"/>
    <n v="2290"/>
    <x v="0"/>
  </r>
  <r>
    <s v="Barr Faughny"/>
    <s v="UK"/>
    <x v="7"/>
    <x v="615"/>
    <n v="2435"/>
    <x v="0"/>
  </r>
  <r>
    <s v="Gigi Bohling"/>
    <s v="Canada"/>
    <x v="2"/>
    <x v="615"/>
    <n v="7851"/>
    <x v="0"/>
  </r>
  <r>
    <s v="Roddy Speechley"/>
    <s v="Switzerland"/>
    <x v="6"/>
    <x v="615"/>
    <n v="1908"/>
    <x v="0"/>
  </r>
  <r>
    <s v="Gunar Cockshoot"/>
    <s v="Germany"/>
    <x v="0"/>
    <x v="616"/>
    <n v="1491"/>
    <x v="0"/>
  </r>
  <r>
    <s v="Barr Faughny"/>
    <s v="Switzerland"/>
    <x v="4"/>
    <x v="617"/>
    <n v="6992"/>
    <x v="0"/>
  </r>
  <r>
    <s v="Jan Morforth"/>
    <s v="UK"/>
    <x v="1"/>
    <x v="617"/>
    <n v="8254"/>
    <x v="0"/>
  </r>
  <r>
    <s v="Rafaela Blaksland"/>
    <s v="Switzerland"/>
    <x v="2"/>
    <x v="617"/>
    <n v="2307"/>
    <x v="0"/>
  </r>
  <r>
    <s v="Curtice Advani"/>
    <s v="Switzerland"/>
    <x v="1"/>
    <x v="618"/>
    <n v="12342"/>
    <x v="0"/>
  </r>
  <r>
    <s v="Roddy Speechley"/>
    <s v="USA"/>
    <x v="6"/>
    <x v="618"/>
    <n v="5801"/>
    <x v="0"/>
  </r>
  <r>
    <s v="Jan Morforth"/>
    <s v="USA"/>
    <x v="3"/>
    <x v="618"/>
    <n v="13582"/>
    <x v="0"/>
  </r>
  <r>
    <s v="Roddy Speechley"/>
    <s v="China"/>
    <x v="3"/>
    <x v="618"/>
    <n v="12074"/>
    <x v="0"/>
  </r>
  <r>
    <s v="Brien Boise"/>
    <s v="Switzerland"/>
    <x v="1"/>
    <x v="619"/>
    <n v="9462"/>
    <x v="0"/>
  </r>
  <r>
    <s v="Jehu Rudeforth"/>
    <s v="Switzerland"/>
    <x v="1"/>
    <x v="619"/>
    <n v="9988"/>
    <x v="0"/>
  </r>
  <r>
    <s v="Karlen McCaffrey"/>
    <s v="Canada"/>
    <x v="2"/>
    <x v="619"/>
    <n v="13597"/>
    <x v="0"/>
  </r>
  <r>
    <s v="Gigi Bohling"/>
    <s v="USA"/>
    <x v="2"/>
    <x v="619"/>
    <n v="3976"/>
    <x v="0"/>
  </r>
  <r>
    <s v="Roddy Speechley"/>
    <s v="Canada"/>
    <x v="5"/>
    <x v="620"/>
    <n v="3229"/>
    <x v="0"/>
  </r>
  <r>
    <s v="Gigi Bohling"/>
    <s v="Germany"/>
    <x v="7"/>
    <x v="620"/>
    <n v="12782"/>
    <x v="0"/>
  </r>
  <r>
    <s v="Oby Sorrel"/>
    <s v="Canada"/>
    <x v="0"/>
    <x v="621"/>
    <n v="12102"/>
    <x v="0"/>
  </r>
  <r>
    <s v="Gigi Bohling"/>
    <s v="Germany"/>
    <x v="4"/>
    <x v="621"/>
    <n v="7677"/>
    <x v="0"/>
  </r>
  <r>
    <s v="Oby Sorrel"/>
    <s v="Canada"/>
    <x v="1"/>
    <x v="621"/>
    <n v="9356"/>
    <x v="0"/>
  </r>
  <r>
    <s v="Jan Morforth"/>
    <s v="Switzerland"/>
    <x v="5"/>
    <x v="622"/>
    <n v="2039"/>
    <x v="0"/>
  </r>
  <r>
    <s v="Curtice Advani"/>
    <s v="Canada"/>
    <x v="7"/>
    <x v="622"/>
    <n v="3979"/>
    <x v="0"/>
  </r>
  <r>
    <s v="Beverie Moffet"/>
    <s v="USA"/>
    <x v="6"/>
    <x v="622"/>
    <n v="4822"/>
    <x v="0"/>
  </r>
  <r>
    <s v="Jehu Rudeforth"/>
    <s v="Switzerland"/>
    <x v="0"/>
    <x v="623"/>
    <n v="13903"/>
    <x v="0"/>
  </r>
  <r>
    <s v="Jan Morforth"/>
    <s v="Germany"/>
    <x v="4"/>
    <x v="623"/>
    <n v="11353"/>
    <x v="0"/>
  </r>
  <r>
    <s v="Curtice Advani"/>
    <s v="USA"/>
    <x v="3"/>
    <x v="623"/>
    <n v="11862"/>
    <x v="0"/>
  </r>
  <r>
    <s v="Jehu Rudeforth"/>
    <s v="China"/>
    <x v="0"/>
    <x v="624"/>
    <n v="10626"/>
    <x v="0"/>
  </r>
  <r>
    <s v="Rafaela Blaksland"/>
    <s v="Canada"/>
    <x v="1"/>
    <x v="624"/>
    <n v="11331"/>
    <x v="0"/>
  </r>
  <r>
    <s v="Mallorie Waber"/>
    <s v="Canada"/>
    <x v="2"/>
    <x v="624"/>
    <n v="6623"/>
    <x v="0"/>
  </r>
  <r>
    <s v="Marney O'Breem"/>
    <s v="USA"/>
    <x v="2"/>
    <x v="624"/>
    <n v="7079"/>
    <x v="0"/>
  </r>
  <r>
    <s v="Marney O'Breem"/>
    <s v="Germany"/>
    <x v="3"/>
    <x v="624"/>
    <n v="5750"/>
    <x v="0"/>
  </r>
  <r>
    <s v="Gigi Bohling"/>
    <s v="USA"/>
    <x v="1"/>
    <x v="625"/>
    <n v="8212"/>
    <x v="0"/>
  </r>
  <r>
    <s v="Roddy Speechley"/>
    <s v="Switzerland"/>
    <x v="7"/>
    <x v="625"/>
    <n v="11015"/>
    <x v="0"/>
  </r>
  <r>
    <s v="Beverie Moffet"/>
    <s v="China"/>
    <x v="0"/>
    <x v="626"/>
    <n v="8184"/>
    <x v="0"/>
  </r>
  <r>
    <s v="Roddy Speechley"/>
    <s v="Germany"/>
    <x v="0"/>
    <x v="627"/>
    <n v="7662"/>
    <x v="0"/>
  </r>
  <r>
    <s v="Gunar Cockshoot"/>
    <s v="UK"/>
    <x v="0"/>
    <x v="627"/>
    <n v="1049"/>
    <x v="0"/>
  </r>
  <r>
    <s v="Brien Boise"/>
    <s v="China"/>
    <x v="4"/>
    <x v="627"/>
    <n v="2535"/>
    <x v="0"/>
  </r>
  <r>
    <s v="Brien Boise"/>
    <s v="China"/>
    <x v="3"/>
    <x v="627"/>
    <n v="6612"/>
    <x v="0"/>
  </r>
  <r>
    <s v="Brien Boise"/>
    <s v="USA"/>
    <x v="0"/>
    <x v="628"/>
    <n v="9237"/>
    <x v="0"/>
  </r>
  <r>
    <s v="Curtice Advani"/>
    <s v="Germany"/>
    <x v="4"/>
    <x v="628"/>
    <n v="5936"/>
    <x v="0"/>
  </r>
  <r>
    <s v="Curtice Advani"/>
    <s v="Switzerland"/>
    <x v="5"/>
    <x v="628"/>
    <n v="1665"/>
    <x v="0"/>
  </r>
  <r>
    <s v="Brien Boise"/>
    <s v="UK"/>
    <x v="6"/>
    <x v="629"/>
    <n v="1693"/>
    <x v="0"/>
  </r>
  <r>
    <s v="Gunar Cockshoot"/>
    <s v="China"/>
    <x v="0"/>
    <x v="630"/>
    <n v="3947"/>
    <x v="0"/>
  </r>
  <r>
    <s v="Beverie Moffet"/>
    <s v="China"/>
    <x v="0"/>
    <x v="630"/>
    <n v="1214"/>
    <x v="0"/>
  </r>
  <r>
    <s v="Rafaela Blaksland"/>
    <s v="Switzerland"/>
    <x v="4"/>
    <x v="630"/>
    <n v="6116"/>
    <x v="0"/>
  </r>
  <r>
    <s v="Oby Sorrel"/>
    <s v="Canada"/>
    <x v="5"/>
    <x v="630"/>
    <n v="5465"/>
    <x v="0"/>
  </r>
  <r>
    <s v="Marney O'Breem"/>
    <s v="USA"/>
    <x v="1"/>
    <x v="630"/>
    <n v="5502"/>
    <x v="0"/>
  </r>
  <r>
    <s v="Gigi Bohling"/>
    <s v="USA"/>
    <x v="1"/>
    <x v="630"/>
    <n v="1565"/>
    <x v="0"/>
  </r>
  <r>
    <s v="Marney O'Breem"/>
    <s v="Canada"/>
    <x v="7"/>
    <x v="630"/>
    <n v="8759"/>
    <x v="0"/>
  </r>
  <r>
    <s v="Karlen McCaffrey"/>
    <s v="Switzerland"/>
    <x v="4"/>
    <x v="631"/>
    <n v="8381"/>
    <x v="0"/>
  </r>
  <r>
    <s v="Gunar Cockshoot"/>
    <s v="China"/>
    <x v="1"/>
    <x v="631"/>
    <n v="7801"/>
    <x v="0"/>
  </r>
  <r>
    <s v="Barr Faughny"/>
    <s v="Germany"/>
    <x v="3"/>
    <x v="631"/>
    <n v="4210"/>
    <x v="0"/>
  </r>
  <r>
    <s v="Jehu Rudeforth"/>
    <s v="Switzerland"/>
    <x v="3"/>
    <x v="631"/>
    <n v="4298"/>
    <x v="0"/>
  </r>
  <r>
    <s v="Brien Boise"/>
    <s v="USA"/>
    <x v="3"/>
    <x v="631"/>
    <n v="5363"/>
    <x v="0"/>
  </r>
  <r>
    <s v="Marney O'Breem"/>
    <s v="China"/>
    <x v="5"/>
    <x v="632"/>
    <n v="12247"/>
    <x v="0"/>
  </r>
  <r>
    <s v="Gigi Bohling"/>
    <s v="Switzerland"/>
    <x v="5"/>
    <x v="632"/>
    <n v="11416"/>
    <x v="0"/>
  </r>
  <r>
    <s v="Karlen McCaffrey"/>
    <s v="Switzerland"/>
    <x v="2"/>
    <x v="632"/>
    <n v="4574"/>
    <x v="0"/>
  </r>
  <r>
    <s v="Rafaela Blaksland"/>
    <s v="Canada"/>
    <x v="7"/>
    <x v="633"/>
    <n v="5359"/>
    <x v="0"/>
  </r>
  <r>
    <s v="Roddy Speechley"/>
    <s v="China"/>
    <x v="7"/>
    <x v="634"/>
    <n v="8562"/>
    <x v="0"/>
  </r>
  <r>
    <s v="Rafaela Blaksland"/>
    <s v="Germany"/>
    <x v="3"/>
    <x v="634"/>
    <n v="6927"/>
    <x v="0"/>
  </r>
  <r>
    <s v="Marney O'Breem"/>
    <s v="USA"/>
    <x v="0"/>
    <x v="635"/>
    <n v="1436"/>
    <x v="0"/>
  </r>
  <r>
    <s v="Barr Faughny"/>
    <s v="Canada"/>
    <x v="7"/>
    <x v="635"/>
    <n v="11837"/>
    <x v="0"/>
  </r>
  <r>
    <s v="Mallorie Waber"/>
    <s v="Canada"/>
    <x v="6"/>
    <x v="635"/>
    <n v="3058"/>
    <x v="0"/>
  </r>
  <r>
    <s v="Roddy Speechley"/>
    <s v="UK"/>
    <x v="3"/>
    <x v="635"/>
    <n v="5820"/>
    <x v="0"/>
  </r>
  <r>
    <s v="Van Tuxwell"/>
    <s v="UK"/>
    <x v="5"/>
    <x v="636"/>
    <n v="2545"/>
    <x v="0"/>
  </r>
  <r>
    <s v="Curtice Advani"/>
    <s v="Switzerland"/>
    <x v="1"/>
    <x v="636"/>
    <n v="2805"/>
    <x v="0"/>
  </r>
  <r>
    <s v="Mallorie Waber"/>
    <s v="China"/>
    <x v="1"/>
    <x v="636"/>
    <n v="7890"/>
    <x v="0"/>
  </r>
  <r>
    <s v="Barr Faughny"/>
    <s v="Canada"/>
    <x v="1"/>
    <x v="636"/>
    <n v="11349"/>
    <x v="0"/>
  </r>
  <r>
    <s v="Mallorie Waber"/>
    <s v="UK"/>
    <x v="7"/>
    <x v="636"/>
    <n v="13633"/>
    <x v="0"/>
  </r>
  <r>
    <s v="Rafaela Blaksland"/>
    <s v="Germany"/>
    <x v="7"/>
    <x v="636"/>
    <n v="6132"/>
    <x v="0"/>
  </r>
  <r>
    <s v="Karlen McCaffrey"/>
    <s v="Switzerland"/>
    <x v="6"/>
    <x v="636"/>
    <n v="13013"/>
    <x v="0"/>
  </r>
  <r>
    <s v="Karlen McCaffrey"/>
    <s v="Switzerland"/>
    <x v="3"/>
    <x v="636"/>
    <n v="8225"/>
    <x v="0"/>
  </r>
  <r>
    <s v="Gigi Bohling"/>
    <s v="China"/>
    <x v="7"/>
    <x v="637"/>
    <n v="12515"/>
    <x v="0"/>
  </r>
  <r>
    <s v="Barr Faughny"/>
    <s v="Germany"/>
    <x v="7"/>
    <x v="637"/>
    <n v="5252"/>
    <x v="0"/>
  </r>
  <r>
    <s v="Oby Sorrel"/>
    <s v="Germany"/>
    <x v="2"/>
    <x v="637"/>
    <n v="6155"/>
    <x v="0"/>
  </r>
  <r>
    <s v="Brien Boise"/>
    <s v="Germany"/>
    <x v="7"/>
    <x v="638"/>
    <n v="10489"/>
    <x v="0"/>
  </r>
  <r>
    <s v="Mallorie Waber"/>
    <s v="USA"/>
    <x v="7"/>
    <x v="638"/>
    <n v="8820"/>
    <x v="0"/>
  </r>
  <r>
    <s v="Oby Sorrel"/>
    <s v="USA"/>
    <x v="7"/>
    <x v="638"/>
    <n v="1851"/>
    <x v="0"/>
  </r>
  <r>
    <s v="Van Tuxwell"/>
    <s v="Switzerland"/>
    <x v="3"/>
    <x v="638"/>
    <n v="10997"/>
    <x v="0"/>
  </r>
  <r>
    <s v="Gigi Bohling"/>
    <s v="UK"/>
    <x v="3"/>
    <x v="638"/>
    <n v="3778"/>
    <x v="0"/>
  </r>
  <r>
    <s v="Jehu Rudeforth"/>
    <s v="UK"/>
    <x v="4"/>
    <x v="639"/>
    <n v="7027"/>
    <x v="0"/>
  </r>
  <r>
    <s v="Gigi Bohling"/>
    <s v="China"/>
    <x v="4"/>
    <x v="639"/>
    <n v="7886"/>
    <x v="0"/>
  </r>
  <r>
    <s v="Beverie Moffet"/>
    <s v="Canada"/>
    <x v="5"/>
    <x v="639"/>
    <n v="5608"/>
    <x v="0"/>
  </r>
  <r>
    <s v="Barr Faughny"/>
    <s v="Canada"/>
    <x v="3"/>
    <x v="639"/>
    <n v="12698"/>
    <x v="0"/>
  </r>
  <r>
    <s v="Curtice Advani"/>
    <s v="China"/>
    <x v="0"/>
    <x v="640"/>
    <n v="8620"/>
    <x v="0"/>
  </r>
  <r>
    <s v="Karlen McCaffrey"/>
    <s v="UK"/>
    <x v="1"/>
    <x v="640"/>
    <n v="10906"/>
    <x v="0"/>
  </r>
  <r>
    <s v="Jehu Rudeforth"/>
    <s v="China"/>
    <x v="7"/>
    <x v="640"/>
    <n v="12488"/>
    <x v="0"/>
  </r>
  <r>
    <s v="Jan Morforth"/>
    <s v="Switzerland"/>
    <x v="7"/>
    <x v="640"/>
    <n v="11565"/>
    <x v="0"/>
  </r>
  <r>
    <s v="Mallorie Waber"/>
    <s v="China"/>
    <x v="2"/>
    <x v="640"/>
    <n v="8526"/>
    <x v="0"/>
  </r>
  <r>
    <s v="Van Tuxwell"/>
    <s v="USA"/>
    <x v="5"/>
    <x v="641"/>
    <n v="4064"/>
    <x v="0"/>
  </r>
  <r>
    <s v="Rafaela Blaksland"/>
    <s v="China"/>
    <x v="1"/>
    <x v="641"/>
    <n v="7873"/>
    <x v="0"/>
  </r>
  <r>
    <s v="Jehu Rudeforth"/>
    <s v="Switzerland"/>
    <x v="1"/>
    <x v="642"/>
    <n v="3848"/>
    <x v="0"/>
  </r>
  <r>
    <s v="Oby Sorrel"/>
    <s v="USA"/>
    <x v="0"/>
    <x v="643"/>
    <n v="12681"/>
    <x v="0"/>
  </r>
  <r>
    <s v="Gigi Bohling"/>
    <s v="China"/>
    <x v="4"/>
    <x v="643"/>
    <n v="3428"/>
    <x v="0"/>
  </r>
  <r>
    <s v="Van Tuxwell"/>
    <s v="Canada"/>
    <x v="1"/>
    <x v="643"/>
    <n v="8840"/>
    <x v="0"/>
  </r>
  <r>
    <s v="Curtice Advani"/>
    <s v="China"/>
    <x v="6"/>
    <x v="643"/>
    <n v="3579"/>
    <x v="0"/>
  </r>
  <r>
    <s v="Curtice Advani"/>
    <s v="Canada"/>
    <x v="4"/>
    <x v="644"/>
    <n v="13298"/>
    <x v="0"/>
  </r>
  <r>
    <s v="Marney O'Breem"/>
    <s v="Canada"/>
    <x v="4"/>
    <x v="644"/>
    <n v="5679"/>
    <x v="0"/>
  </r>
  <r>
    <s v="Jehu Rudeforth"/>
    <s v="Germany"/>
    <x v="5"/>
    <x v="644"/>
    <n v="4269"/>
    <x v="0"/>
  </r>
  <r>
    <s v="Marney O'Breem"/>
    <s v="UK"/>
    <x v="5"/>
    <x v="644"/>
    <n v="9769"/>
    <x v="0"/>
  </r>
  <r>
    <s v="Beverie Moffet"/>
    <s v="Canada"/>
    <x v="1"/>
    <x v="644"/>
    <n v="1891"/>
    <x v="0"/>
  </r>
  <r>
    <s v="Mallorie Waber"/>
    <s v="Canada"/>
    <x v="2"/>
    <x v="644"/>
    <n v="4947"/>
    <x v="0"/>
  </r>
  <r>
    <s v="Jehu Rudeforth"/>
    <s v="Germany"/>
    <x v="6"/>
    <x v="644"/>
    <n v="1669"/>
    <x v="0"/>
  </r>
  <r>
    <s v="Van Tuxwell"/>
    <s v="Canada"/>
    <x v="3"/>
    <x v="644"/>
    <n v="6795"/>
    <x v="0"/>
  </r>
  <r>
    <s v="Jan Morforth"/>
    <s v="UK"/>
    <x v="4"/>
    <x v="645"/>
    <n v="6502"/>
    <x v="0"/>
  </r>
  <r>
    <s v="Marney O'Breem"/>
    <s v="Canada"/>
    <x v="7"/>
    <x v="645"/>
    <n v="2214"/>
    <x v="0"/>
  </r>
  <r>
    <s v="Karlen McCaffrey"/>
    <s v="Germany"/>
    <x v="5"/>
    <x v="646"/>
    <n v="9074"/>
    <x v="0"/>
  </r>
  <r>
    <s v="Oby Sorrel"/>
    <s v="China"/>
    <x v="1"/>
    <x v="646"/>
    <n v="13604"/>
    <x v="0"/>
  </r>
  <r>
    <s v="Roddy Speechley"/>
    <s v="UK"/>
    <x v="6"/>
    <x v="646"/>
    <n v="6081"/>
    <x v="0"/>
  </r>
  <r>
    <s v="Van Tuxwell"/>
    <s v="Germany"/>
    <x v="0"/>
    <x v="647"/>
    <n v="11890"/>
    <x v="0"/>
  </r>
  <r>
    <s v="Beverie Moffet"/>
    <s v="Canada"/>
    <x v="0"/>
    <x v="647"/>
    <n v="1487"/>
    <x v="0"/>
  </r>
  <r>
    <s v="Beverie Moffet"/>
    <s v="China"/>
    <x v="5"/>
    <x v="647"/>
    <n v="1472"/>
    <x v="0"/>
  </r>
  <r>
    <s v="Jan Morforth"/>
    <s v="China"/>
    <x v="5"/>
    <x v="647"/>
    <n v="3066"/>
    <x v="0"/>
  </r>
  <r>
    <s v="Beverie Moffet"/>
    <s v="UK"/>
    <x v="1"/>
    <x v="647"/>
    <n v="3080"/>
    <x v="0"/>
  </r>
  <r>
    <s v="Jan Morforth"/>
    <s v="USA"/>
    <x v="2"/>
    <x v="647"/>
    <n v="8332"/>
    <x v="0"/>
  </r>
  <r>
    <s v="Beverie Moffet"/>
    <s v="UK"/>
    <x v="6"/>
    <x v="647"/>
    <n v="11946"/>
    <x v="0"/>
  </r>
  <r>
    <s v="Barr Faughny"/>
    <s v="Switzerland"/>
    <x v="4"/>
    <x v="648"/>
    <n v="9202"/>
    <x v="0"/>
  </r>
  <r>
    <s v="Karlen McCaffrey"/>
    <s v="UK"/>
    <x v="1"/>
    <x v="648"/>
    <n v="6048"/>
    <x v="0"/>
  </r>
  <r>
    <s v="Jehu Rudeforth"/>
    <s v="USA"/>
    <x v="7"/>
    <x v="648"/>
    <n v="11739"/>
    <x v="0"/>
  </r>
  <r>
    <s v="Gigi Bohling"/>
    <s v="Switzerland"/>
    <x v="3"/>
    <x v="648"/>
    <n v="9610"/>
    <x v="0"/>
  </r>
  <r>
    <s v="Beverie Moffet"/>
    <s v="Switzerland"/>
    <x v="4"/>
    <x v="649"/>
    <n v="9115"/>
    <x v="0"/>
  </r>
  <r>
    <s v="Beverie Moffet"/>
    <s v="USA"/>
    <x v="5"/>
    <x v="649"/>
    <n v="8948"/>
    <x v="0"/>
  </r>
  <r>
    <s v="Barr Faughny"/>
    <s v="USA"/>
    <x v="1"/>
    <x v="649"/>
    <n v="12996"/>
    <x v="0"/>
  </r>
  <r>
    <s v="Beverie Moffet"/>
    <s v="Switzerland"/>
    <x v="1"/>
    <x v="649"/>
    <n v="7816"/>
    <x v="0"/>
  </r>
  <r>
    <s v="Karlen McCaffrey"/>
    <s v="China"/>
    <x v="0"/>
    <x v="650"/>
    <n v="1162"/>
    <x v="0"/>
  </r>
  <r>
    <s v="Marney O'Breem"/>
    <s v="China"/>
    <x v="4"/>
    <x v="651"/>
    <n v="2400"/>
    <x v="0"/>
  </r>
  <r>
    <s v="Karlen McCaffrey"/>
    <s v="Germany"/>
    <x v="7"/>
    <x v="651"/>
    <n v="9755"/>
    <x v="0"/>
  </r>
  <r>
    <s v="Roddy Speechley"/>
    <s v="Germany"/>
    <x v="2"/>
    <x v="651"/>
    <n v="2389"/>
    <x v="0"/>
  </r>
  <r>
    <s v="Jan Morforth"/>
    <s v="UK"/>
    <x v="6"/>
    <x v="652"/>
    <n v="5676"/>
    <x v="0"/>
  </r>
  <r>
    <s v="Barr Faughny"/>
    <s v="Canada"/>
    <x v="0"/>
    <x v="653"/>
    <n v="1016"/>
    <x v="0"/>
  </r>
  <r>
    <s v="Marney O'Breem"/>
    <s v="Switzerland"/>
    <x v="5"/>
    <x v="653"/>
    <n v="5172"/>
    <x v="0"/>
  </r>
  <r>
    <s v="Gunar Cockshoot"/>
    <s v="UK"/>
    <x v="5"/>
    <x v="653"/>
    <n v="7946"/>
    <x v="0"/>
  </r>
  <r>
    <s v="Rafaela Blaksland"/>
    <s v="Germany"/>
    <x v="1"/>
    <x v="653"/>
    <n v="2896"/>
    <x v="0"/>
  </r>
  <r>
    <s v="Van Tuxwell"/>
    <s v="Canada"/>
    <x v="6"/>
    <x v="653"/>
    <n v="10857"/>
    <x v="0"/>
  </r>
  <r>
    <s v="Jehu Rudeforth"/>
    <s v="USA"/>
    <x v="0"/>
    <x v="654"/>
    <n v="5363"/>
    <x v="0"/>
  </r>
  <r>
    <s v="Beverie Moffet"/>
    <s v="UK"/>
    <x v="6"/>
    <x v="654"/>
    <n v="13729"/>
    <x v="0"/>
  </r>
  <r>
    <s v="Van Tuxwell"/>
    <s v="Switzerland"/>
    <x v="5"/>
    <x v="655"/>
    <n v="12067"/>
    <x v="0"/>
  </r>
  <r>
    <s v="Van Tuxwell"/>
    <s v="Switzerland"/>
    <x v="6"/>
    <x v="655"/>
    <n v="13449"/>
    <x v="0"/>
  </r>
  <r>
    <s v="Karlen McCaffrey"/>
    <s v="Canada"/>
    <x v="2"/>
    <x v="656"/>
    <n v="12048"/>
    <x v="0"/>
  </r>
  <r>
    <s v="Karlen McCaffrey"/>
    <s v="China"/>
    <x v="0"/>
    <x v="657"/>
    <n v="2943"/>
    <x v="0"/>
  </r>
  <r>
    <s v="Jan Morforth"/>
    <s v="Switzerland"/>
    <x v="0"/>
    <x v="657"/>
    <n v="11881"/>
    <x v="0"/>
  </r>
  <r>
    <s v="Van Tuxwell"/>
    <s v="USA"/>
    <x v="1"/>
    <x v="657"/>
    <n v="6498"/>
    <x v="0"/>
  </r>
  <r>
    <s v="Barr Faughny"/>
    <s v="China"/>
    <x v="1"/>
    <x v="657"/>
    <n v="3023"/>
    <x v="0"/>
  </r>
  <r>
    <s v="Roddy Speechley"/>
    <s v="Germany"/>
    <x v="2"/>
    <x v="657"/>
    <n v="7726"/>
    <x v="0"/>
  </r>
  <r>
    <s v="Beverie Moffet"/>
    <s v="USA"/>
    <x v="6"/>
    <x v="657"/>
    <n v="9900"/>
    <x v="0"/>
  </r>
  <r>
    <s v="Roddy Speechley"/>
    <s v="China"/>
    <x v="4"/>
    <x v="658"/>
    <n v="12252"/>
    <x v="0"/>
  </r>
  <r>
    <s v="Barr Faughny"/>
    <s v="Canada"/>
    <x v="5"/>
    <x v="658"/>
    <n v="6931"/>
    <x v="0"/>
  </r>
  <r>
    <s v="Brien Boise"/>
    <s v="UK"/>
    <x v="1"/>
    <x v="658"/>
    <n v="2033"/>
    <x v="0"/>
  </r>
  <r>
    <s v="Barr Faughny"/>
    <s v="China"/>
    <x v="7"/>
    <x v="658"/>
    <n v="1423"/>
    <x v="0"/>
  </r>
  <r>
    <s v="Mallorie Waber"/>
    <s v="Canada"/>
    <x v="7"/>
    <x v="658"/>
    <n v="1216"/>
    <x v="0"/>
  </r>
  <r>
    <s v="Roddy Speechley"/>
    <s v="Germany"/>
    <x v="5"/>
    <x v="659"/>
    <n v="12274"/>
    <x v="0"/>
  </r>
  <r>
    <s v="Gunar Cockshoot"/>
    <s v="UK"/>
    <x v="1"/>
    <x v="659"/>
    <n v="6354"/>
    <x v="0"/>
  </r>
  <r>
    <s v="Beverie Moffet"/>
    <s v="Germany"/>
    <x v="7"/>
    <x v="659"/>
    <n v="6483"/>
    <x v="0"/>
  </r>
  <r>
    <s v="Jehu Rudeforth"/>
    <s v="China"/>
    <x v="3"/>
    <x v="659"/>
    <n v="6692"/>
    <x v="0"/>
  </r>
  <r>
    <s v="Gigi Bohling"/>
    <s v="USA"/>
    <x v="0"/>
    <x v="660"/>
    <n v="12761"/>
    <x v="0"/>
  </r>
  <r>
    <s v="Van Tuxwell"/>
    <s v="Switzerland"/>
    <x v="0"/>
    <x v="660"/>
    <n v="7486"/>
    <x v="0"/>
  </r>
  <r>
    <s v="Barr Faughny"/>
    <s v="Switzerland"/>
    <x v="5"/>
    <x v="660"/>
    <n v="11502"/>
    <x v="0"/>
  </r>
  <r>
    <s v="Brien Boise"/>
    <s v="Germany"/>
    <x v="1"/>
    <x v="660"/>
    <n v="3101"/>
    <x v="0"/>
  </r>
  <r>
    <s v="Karlen McCaffrey"/>
    <s v="China"/>
    <x v="6"/>
    <x v="660"/>
    <n v="7704"/>
    <x v="0"/>
  </r>
  <r>
    <s v="Gunar Cockshoot"/>
    <s v="Switzerland"/>
    <x v="0"/>
    <x v="661"/>
    <n v="10374"/>
    <x v="0"/>
  </r>
  <r>
    <s v="Brien Boise"/>
    <s v="Canada"/>
    <x v="1"/>
    <x v="661"/>
    <n v="9397"/>
    <x v="0"/>
  </r>
  <r>
    <s v="Jehu Rudeforth"/>
    <s v="Canada"/>
    <x v="7"/>
    <x v="661"/>
    <n v="8154"/>
    <x v="0"/>
  </r>
  <r>
    <s v="Barr Faughny"/>
    <s v="Canada"/>
    <x v="6"/>
    <x v="661"/>
    <n v="4576"/>
    <x v="0"/>
  </r>
  <r>
    <s v="Jehu Rudeforth"/>
    <s v="Canada"/>
    <x v="4"/>
    <x v="662"/>
    <n v="7181"/>
    <x v="0"/>
  </r>
  <r>
    <s v="Marney O'Breem"/>
    <s v="Canada"/>
    <x v="1"/>
    <x v="662"/>
    <n v="6196"/>
    <x v="0"/>
  </r>
  <r>
    <s v="Barr Faughny"/>
    <s v="China"/>
    <x v="3"/>
    <x v="662"/>
    <n v="4658"/>
    <x v="0"/>
  </r>
  <r>
    <s v="Mallorie Waber"/>
    <s v="UK"/>
    <x v="5"/>
    <x v="663"/>
    <n v="2410"/>
    <x v="0"/>
  </r>
  <r>
    <s v="Roddy Speechley"/>
    <s v="UK"/>
    <x v="1"/>
    <x v="663"/>
    <n v="4711"/>
    <x v="0"/>
  </r>
  <r>
    <s v="Mallorie Waber"/>
    <s v="USA"/>
    <x v="7"/>
    <x v="663"/>
    <n v="10340"/>
    <x v="0"/>
  </r>
  <r>
    <s v="Jehu Rudeforth"/>
    <s v="USA"/>
    <x v="6"/>
    <x v="663"/>
    <n v="11792"/>
    <x v="0"/>
  </r>
  <r>
    <s v="Marney O'Breem"/>
    <s v="UK"/>
    <x v="6"/>
    <x v="663"/>
    <n v="3253"/>
    <x v="0"/>
  </r>
  <r>
    <s v="Curtice Advani"/>
    <s v="USA"/>
    <x v="3"/>
    <x v="663"/>
    <n v="4032"/>
    <x v="0"/>
  </r>
  <r>
    <s v="Beverie Moffet"/>
    <s v="Switzerland"/>
    <x v="0"/>
    <x v="664"/>
    <n v="13815"/>
    <x v="0"/>
  </r>
  <r>
    <s v="Gunar Cockshoot"/>
    <s v="Canada"/>
    <x v="0"/>
    <x v="664"/>
    <n v="13291"/>
    <x v="0"/>
  </r>
  <r>
    <s v="Karlen McCaffrey"/>
    <s v="Germany"/>
    <x v="1"/>
    <x v="664"/>
    <n v="4219"/>
    <x v="0"/>
  </r>
  <r>
    <s v="Karlen McCaffrey"/>
    <s v="China"/>
    <x v="2"/>
    <x v="664"/>
    <n v="9553"/>
    <x v="0"/>
  </r>
  <r>
    <s v="Barr Faughny"/>
    <s v="USA"/>
    <x v="5"/>
    <x v="665"/>
    <n v="1730"/>
    <x v="0"/>
  </r>
  <r>
    <s v="Karlen McCaffrey"/>
    <s v="USA"/>
    <x v="3"/>
    <x v="665"/>
    <n v="4116"/>
    <x v="0"/>
  </r>
  <r>
    <s v="Gunar Cockshoot"/>
    <s v="Canada"/>
    <x v="3"/>
    <x v="665"/>
    <n v="11439"/>
    <x v="0"/>
  </r>
  <r>
    <s v="Rafaela Blaksland"/>
    <s v="Switzerland"/>
    <x v="1"/>
    <x v="666"/>
    <n v="8932"/>
    <x v="0"/>
  </r>
  <r>
    <s v="Barr Faughny"/>
    <s v="UK"/>
    <x v="1"/>
    <x v="666"/>
    <n v="13990"/>
    <x v="0"/>
  </r>
  <r>
    <s v="Karlen McCaffrey"/>
    <s v="Canada"/>
    <x v="1"/>
    <x v="666"/>
    <n v="7531"/>
    <x v="0"/>
  </r>
  <r>
    <s v="Karlen McCaffrey"/>
    <s v="China"/>
    <x v="2"/>
    <x v="666"/>
    <n v="11144"/>
    <x v="0"/>
  </r>
  <r>
    <s v="Oby Sorrel"/>
    <s v="Germany"/>
    <x v="6"/>
    <x v="666"/>
    <n v="2477"/>
    <x v="0"/>
  </r>
  <r>
    <s v="Karlen McCaffrey"/>
    <s v="UK"/>
    <x v="0"/>
    <x v="667"/>
    <n v="1419"/>
    <x v="0"/>
  </r>
  <r>
    <s v="Gigi Bohling"/>
    <s v="Canada"/>
    <x v="4"/>
    <x v="667"/>
    <n v="1541"/>
    <x v="0"/>
  </r>
  <r>
    <s v="Gigi Bohling"/>
    <s v="Germany"/>
    <x v="2"/>
    <x v="667"/>
    <n v="2564"/>
    <x v="0"/>
  </r>
  <r>
    <s v="Gigi Bohling"/>
    <s v="China"/>
    <x v="3"/>
    <x v="667"/>
    <n v="5310"/>
    <x v="0"/>
  </r>
  <r>
    <s v="Marney O'Breem"/>
    <s v="Switzerland"/>
    <x v="3"/>
    <x v="667"/>
    <n v="11169"/>
    <x v="0"/>
  </r>
  <r>
    <s v="Roddy Speechley"/>
    <s v="USA"/>
    <x v="3"/>
    <x v="667"/>
    <n v="7830"/>
    <x v="0"/>
  </r>
  <r>
    <s v="Barr Faughny"/>
    <s v="China"/>
    <x v="4"/>
    <x v="668"/>
    <n v="11690"/>
    <x v="0"/>
  </r>
  <r>
    <s v="Van Tuxwell"/>
    <s v="UK"/>
    <x v="1"/>
    <x v="668"/>
    <n v="4666"/>
    <x v="0"/>
  </r>
  <r>
    <s v="Oby Sorrel"/>
    <s v="China"/>
    <x v="7"/>
    <x v="668"/>
    <n v="8380"/>
    <x v="0"/>
  </r>
  <r>
    <s v="Gigi Bohling"/>
    <s v="Switzerland"/>
    <x v="5"/>
    <x v="669"/>
    <n v="10544"/>
    <x v="0"/>
  </r>
  <r>
    <s v="Jehu Rudeforth"/>
    <s v="Canada"/>
    <x v="2"/>
    <x v="669"/>
    <n v="3510"/>
    <x v="0"/>
  </r>
  <r>
    <s v="Marney O'Breem"/>
    <s v="UK"/>
    <x v="6"/>
    <x v="669"/>
    <n v="11744"/>
    <x v="0"/>
  </r>
  <r>
    <s v="Van Tuxwell"/>
    <s v="UK"/>
    <x v="0"/>
    <x v="670"/>
    <n v="11865"/>
    <x v="0"/>
  </r>
  <r>
    <s v="Brien Boise"/>
    <s v="UK"/>
    <x v="5"/>
    <x v="670"/>
    <n v="3110"/>
    <x v="0"/>
  </r>
  <r>
    <s v="Gunar Cockshoot"/>
    <s v="China"/>
    <x v="7"/>
    <x v="670"/>
    <n v="1714"/>
    <x v="0"/>
  </r>
  <r>
    <s v="Brien Boise"/>
    <s v="Switzerland"/>
    <x v="2"/>
    <x v="670"/>
    <n v="4715"/>
    <x v="0"/>
  </r>
  <r>
    <s v="Roddy Speechley"/>
    <s v="China"/>
    <x v="2"/>
    <x v="670"/>
    <n v="8845"/>
    <x v="0"/>
  </r>
  <r>
    <s v="Barr Faughny"/>
    <s v="USA"/>
    <x v="6"/>
    <x v="670"/>
    <n v="8567"/>
    <x v="0"/>
  </r>
  <r>
    <s v="Rafaela Blaksland"/>
    <s v="China"/>
    <x v="3"/>
    <x v="670"/>
    <n v="2907"/>
    <x v="0"/>
  </r>
  <r>
    <s v="Oby Sorrel"/>
    <s v="Germany"/>
    <x v="5"/>
    <x v="671"/>
    <n v="3736"/>
    <x v="0"/>
  </r>
  <r>
    <s v="Marney O'Breem"/>
    <s v="Canada"/>
    <x v="1"/>
    <x v="671"/>
    <n v="7002"/>
    <x v="0"/>
  </r>
  <r>
    <s v="Rafaela Blaksland"/>
    <s v="USA"/>
    <x v="1"/>
    <x v="671"/>
    <n v="11617"/>
    <x v="0"/>
  </r>
  <r>
    <s v="Curtice Advani"/>
    <s v="China"/>
    <x v="6"/>
    <x v="671"/>
    <n v="11826"/>
    <x v="0"/>
  </r>
  <r>
    <s v="Mallorie Waber"/>
    <s v="USA"/>
    <x v="3"/>
    <x v="671"/>
    <n v="9739"/>
    <x v="0"/>
  </r>
  <r>
    <s v="Karlen McCaffrey"/>
    <s v="Switzerland"/>
    <x v="4"/>
    <x v="672"/>
    <n v="7966"/>
    <x v="0"/>
  </r>
  <r>
    <s v="Mallorie Waber"/>
    <s v="China"/>
    <x v="5"/>
    <x v="672"/>
    <n v="8501"/>
    <x v="0"/>
  </r>
  <r>
    <s v="Barr Faughny"/>
    <s v="Germany"/>
    <x v="4"/>
    <x v="673"/>
    <n v="2084"/>
    <x v="0"/>
  </r>
  <r>
    <s v="Oby Sorrel"/>
    <s v="Germany"/>
    <x v="4"/>
    <x v="673"/>
    <n v="6057"/>
    <x v="0"/>
  </r>
  <r>
    <s v="Beverie Moffet"/>
    <s v="USA"/>
    <x v="5"/>
    <x v="673"/>
    <n v="1274"/>
    <x v="0"/>
  </r>
  <r>
    <s v="Beverie Moffet"/>
    <s v="UK"/>
    <x v="7"/>
    <x v="673"/>
    <n v="5609"/>
    <x v="0"/>
  </r>
  <r>
    <s v="Karlen McCaffrey"/>
    <s v="USA"/>
    <x v="7"/>
    <x v="673"/>
    <n v="3071"/>
    <x v="0"/>
  </r>
  <r>
    <s v="Beverie Moffet"/>
    <s v="Germany"/>
    <x v="3"/>
    <x v="673"/>
    <n v="3564"/>
    <x v="0"/>
  </r>
  <r>
    <s v="Jehu Rudeforth"/>
    <s v="Germany"/>
    <x v="2"/>
    <x v="674"/>
    <n v="5415"/>
    <x v="0"/>
  </r>
  <r>
    <s v="Gigi Bohling"/>
    <s v="China"/>
    <x v="6"/>
    <x v="674"/>
    <n v="1731"/>
    <x v="0"/>
  </r>
  <r>
    <s v="Jan Morforth"/>
    <s v="Canada"/>
    <x v="0"/>
    <x v="675"/>
    <n v="6373"/>
    <x v="0"/>
  </r>
  <r>
    <s v="Jan Morforth"/>
    <s v="UK"/>
    <x v="0"/>
    <x v="676"/>
    <n v="13523"/>
    <x v="0"/>
  </r>
  <r>
    <s v="Curtice Advani"/>
    <s v="UK"/>
    <x v="0"/>
    <x v="676"/>
    <n v="6442"/>
    <x v="0"/>
  </r>
  <r>
    <s v="Gunar Cockshoot"/>
    <s v="China"/>
    <x v="7"/>
    <x v="676"/>
    <n v="8256"/>
    <x v="0"/>
  </r>
  <r>
    <s v="Brien Boise"/>
    <s v="UK"/>
    <x v="3"/>
    <x v="676"/>
    <n v="9045"/>
    <x v="0"/>
  </r>
  <r>
    <s v="Jan Morforth"/>
    <s v="Germany"/>
    <x v="4"/>
    <x v="677"/>
    <n v="4689"/>
    <x v="0"/>
  </r>
  <r>
    <s v="Roddy Speechley"/>
    <s v="Canada"/>
    <x v="5"/>
    <x v="677"/>
    <n v="12009"/>
    <x v="0"/>
  </r>
  <r>
    <s v="Gunar Cockshoot"/>
    <s v="USA"/>
    <x v="5"/>
    <x v="677"/>
    <n v="13211"/>
    <x v="0"/>
  </r>
  <r>
    <s v="Brien Boise"/>
    <s v="Canada"/>
    <x v="2"/>
    <x v="677"/>
    <n v="2282"/>
    <x v="0"/>
  </r>
  <r>
    <s v="Curtice Advani"/>
    <s v="USA"/>
    <x v="6"/>
    <x v="677"/>
    <n v="11855"/>
    <x v="0"/>
  </r>
  <r>
    <s v="Gunar Cockshoot"/>
    <s v="Canada"/>
    <x v="3"/>
    <x v="677"/>
    <n v="2645"/>
    <x v="0"/>
  </r>
  <r>
    <s v="Mallorie Waber"/>
    <s v="China"/>
    <x v="4"/>
    <x v="678"/>
    <n v="1007"/>
    <x v="0"/>
  </r>
  <r>
    <s v="Jan Morforth"/>
    <s v="Switzerland"/>
    <x v="1"/>
    <x v="678"/>
    <n v="10328"/>
    <x v="0"/>
  </r>
  <r>
    <s v="Jan Morforth"/>
    <s v="Canada"/>
    <x v="7"/>
    <x v="678"/>
    <n v="5474"/>
    <x v="0"/>
  </r>
  <r>
    <s v="Gigi Bohling"/>
    <s v="Germany"/>
    <x v="2"/>
    <x v="679"/>
    <n v="5413"/>
    <x v="0"/>
  </r>
  <r>
    <s v="Curtice Advani"/>
    <s v="China"/>
    <x v="3"/>
    <x v="679"/>
    <n v="10497"/>
    <x v="0"/>
  </r>
  <r>
    <s v="Karlen McCaffrey"/>
    <s v="USA"/>
    <x v="3"/>
    <x v="679"/>
    <n v="1579"/>
    <x v="0"/>
  </r>
  <r>
    <s v="Karlen McCaffrey"/>
    <s v="UK"/>
    <x v="0"/>
    <x v="680"/>
    <n v="11621"/>
    <x v="0"/>
  </r>
  <r>
    <s v="Rafaela Blaksland"/>
    <s v="UK"/>
    <x v="5"/>
    <x v="680"/>
    <n v="3768"/>
    <x v="0"/>
  </r>
  <r>
    <s v="Van Tuxwell"/>
    <s v="USA"/>
    <x v="6"/>
    <x v="680"/>
    <n v="5627"/>
    <x v="0"/>
  </r>
  <r>
    <s v="Roddy Speechley"/>
    <s v="Switzerland"/>
    <x v="4"/>
    <x v="681"/>
    <n v="13324"/>
    <x v="0"/>
  </r>
  <r>
    <s v="Brien Boise"/>
    <s v="Germany"/>
    <x v="4"/>
    <x v="681"/>
    <n v="4162"/>
    <x v="0"/>
  </r>
  <r>
    <s v="Marney O'Breem"/>
    <s v="Switzerland"/>
    <x v="5"/>
    <x v="681"/>
    <n v="5928"/>
    <x v="0"/>
  </r>
  <r>
    <s v="Jan Morforth"/>
    <s v="China"/>
    <x v="7"/>
    <x v="681"/>
    <n v="9513"/>
    <x v="0"/>
  </r>
  <r>
    <s v="Marney O'Breem"/>
    <s v="Canada"/>
    <x v="7"/>
    <x v="681"/>
    <n v="4725"/>
    <x v="0"/>
  </r>
  <r>
    <s v="Beverie Moffet"/>
    <s v="Germany"/>
    <x v="7"/>
    <x v="681"/>
    <n v="5279"/>
    <x v="0"/>
  </r>
  <r>
    <s v="Roddy Speechley"/>
    <s v="USA"/>
    <x v="3"/>
    <x v="681"/>
    <n v="13624"/>
    <x v="0"/>
  </r>
  <r>
    <s v="Brien Boise"/>
    <s v="China"/>
    <x v="2"/>
    <x v="682"/>
    <n v="9019"/>
    <x v="0"/>
  </r>
  <r>
    <s v="Karlen McCaffrey"/>
    <s v="UK"/>
    <x v="6"/>
    <x v="682"/>
    <n v="4996"/>
    <x v="0"/>
  </r>
  <r>
    <s v="Brien Boise"/>
    <s v="UK"/>
    <x v="0"/>
    <x v="683"/>
    <n v="13309"/>
    <x v="0"/>
  </r>
  <r>
    <s v="Beverie Moffet"/>
    <s v="China"/>
    <x v="6"/>
    <x v="683"/>
    <n v="2274"/>
    <x v="0"/>
  </r>
  <r>
    <s v="Barr Faughny"/>
    <s v="UK"/>
    <x v="0"/>
    <x v="684"/>
    <n v="6086"/>
    <x v="0"/>
  </r>
  <r>
    <s v="Gunar Cockshoot"/>
    <s v="Germany"/>
    <x v="0"/>
    <x v="684"/>
    <n v="1524"/>
    <x v="0"/>
  </r>
  <r>
    <s v="Marney O'Breem"/>
    <s v="Germany"/>
    <x v="4"/>
    <x v="684"/>
    <n v="3404"/>
    <x v="0"/>
  </r>
  <r>
    <s v="Gigi Bohling"/>
    <s v="China"/>
    <x v="4"/>
    <x v="684"/>
    <n v="13157"/>
    <x v="0"/>
  </r>
  <r>
    <s v="Karlen McCaffrey"/>
    <s v="USA"/>
    <x v="7"/>
    <x v="684"/>
    <n v="12882"/>
    <x v="0"/>
  </r>
  <r>
    <s v="Beverie Moffet"/>
    <s v="USA"/>
    <x v="7"/>
    <x v="684"/>
    <n v="5482"/>
    <x v="0"/>
  </r>
  <r>
    <s v="Beverie Moffet"/>
    <s v="USA"/>
    <x v="2"/>
    <x v="684"/>
    <n v="10011"/>
    <x v="0"/>
  </r>
  <r>
    <s v="Beverie Moffet"/>
    <s v="Switzerland"/>
    <x v="5"/>
    <x v="685"/>
    <n v="8918"/>
    <x v="0"/>
  </r>
  <r>
    <s v="Jan Morforth"/>
    <s v="Switzerland"/>
    <x v="7"/>
    <x v="685"/>
    <n v="4964"/>
    <x v="0"/>
  </r>
  <r>
    <s v="Mallorie Waber"/>
    <s v="Germany"/>
    <x v="7"/>
    <x v="686"/>
    <n v="8821"/>
    <x v="0"/>
  </r>
  <r>
    <s v="Gigi Bohling"/>
    <s v="Switzerland"/>
    <x v="2"/>
    <x v="686"/>
    <n v="8721"/>
    <x v="0"/>
  </r>
  <r>
    <s v="Oby Sorrel"/>
    <s v="Switzerland"/>
    <x v="0"/>
    <x v="687"/>
    <n v="9216"/>
    <x v="0"/>
  </r>
  <r>
    <s v="Beverie Moffet"/>
    <s v="Switzerland"/>
    <x v="4"/>
    <x v="687"/>
    <n v="8519"/>
    <x v="0"/>
  </r>
  <r>
    <s v="Van Tuxwell"/>
    <s v="UK"/>
    <x v="5"/>
    <x v="687"/>
    <n v="1832"/>
    <x v="0"/>
  </r>
  <r>
    <s v="Marney O'Breem"/>
    <s v="UK"/>
    <x v="5"/>
    <x v="687"/>
    <n v="8811"/>
    <x v="0"/>
  </r>
  <r>
    <s v="Oby Sorrel"/>
    <s v="Germany"/>
    <x v="7"/>
    <x v="687"/>
    <n v="11655"/>
    <x v="0"/>
  </r>
  <r>
    <s v="Jan Morforth"/>
    <s v="UK"/>
    <x v="3"/>
    <x v="687"/>
    <n v="12418"/>
    <x v="0"/>
  </r>
  <r>
    <s v="Curtice Advani"/>
    <s v="USA"/>
    <x v="1"/>
    <x v="688"/>
    <n v="5539"/>
    <x v="0"/>
  </r>
  <r>
    <s v="Brien Boise"/>
    <s v="Canada"/>
    <x v="1"/>
    <x v="689"/>
    <n v="11313"/>
    <x v="0"/>
  </r>
  <r>
    <s v="Jehu Rudeforth"/>
    <s v="UK"/>
    <x v="1"/>
    <x v="689"/>
    <n v="2154"/>
    <x v="0"/>
  </r>
  <r>
    <s v="Brien Boise"/>
    <s v="UK"/>
    <x v="7"/>
    <x v="689"/>
    <n v="4599"/>
    <x v="0"/>
  </r>
  <r>
    <s v="Brien Boise"/>
    <s v="Germany"/>
    <x v="7"/>
    <x v="689"/>
    <n v="5260"/>
    <x v="0"/>
  </r>
  <r>
    <s v="Gigi Bohling"/>
    <s v="China"/>
    <x v="2"/>
    <x v="689"/>
    <n v="4654"/>
    <x v="0"/>
  </r>
  <r>
    <s v="Jan Morforth"/>
    <s v="China"/>
    <x v="3"/>
    <x v="689"/>
    <n v="2209"/>
    <x v="0"/>
  </r>
  <r>
    <s v="Oby Sorrel"/>
    <s v="USA"/>
    <x v="0"/>
    <x v="690"/>
    <n v="6305"/>
    <x v="0"/>
  </r>
  <r>
    <s v="Beverie Moffet"/>
    <s v="Germany"/>
    <x v="6"/>
    <x v="690"/>
    <n v="11702"/>
    <x v="0"/>
  </r>
  <r>
    <s v="Jehu Rudeforth"/>
    <s v="Canada"/>
    <x v="3"/>
    <x v="690"/>
    <n v="8976"/>
    <x v="0"/>
  </r>
  <r>
    <s v="Curtice Advani"/>
    <s v="Canada"/>
    <x v="2"/>
    <x v="691"/>
    <n v="10198"/>
    <x v="0"/>
  </r>
  <r>
    <s v="Gigi Bohling"/>
    <s v="Germany"/>
    <x v="6"/>
    <x v="691"/>
    <n v="5727"/>
    <x v="0"/>
  </r>
  <r>
    <s v="Jehu Rudeforth"/>
    <s v="Canada"/>
    <x v="7"/>
    <x v="692"/>
    <n v="8400"/>
    <x v="0"/>
  </r>
  <r>
    <s v="Gigi Bohling"/>
    <s v="China"/>
    <x v="2"/>
    <x v="692"/>
    <n v="6415"/>
    <x v="0"/>
  </r>
  <r>
    <s v="Marney O'Breem"/>
    <s v="China"/>
    <x v="6"/>
    <x v="692"/>
    <n v="8560"/>
    <x v="0"/>
  </r>
  <r>
    <s v="Gunar Cockshoot"/>
    <s v="Germany"/>
    <x v="1"/>
    <x v="693"/>
    <n v="7340"/>
    <x v="0"/>
  </r>
  <r>
    <s v="Brien Boise"/>
    <s v="UK"/>
    <x v="7"/>
    <x v="693"/>
    <n v="12914"/>
    <x v="0"/>
  </r>
  <r>
    <s v="Mallorie Waber"/>
    <s v="China"/>
    <x v="5"/>
    <x v="694"/>
    <n v="2895"/>
    <x v="0"/>
  </r>
  <r>
    <s v="Jan Morforth"/>
    <s v="Switzerland"/>
    <x v="7"/>
    <x v="694"/>
    <n v="9500"/>
    <x v="0"/>
  </r>
  <r>
    <s v="Jehu Rudeforth"/>
    <s v="China"/>
    <x v="6"/>
    <x v="694"/>
    <n v="13929"/>
    <x v="0"/>
  </r>
  <r>
    <s v="Gunar Cockshoot"/>
    <s v="Germany"/>
    <x v="4"/>
    <x v="695"/>
    <n v="10043"/>
    <x v="0"/>
  </r>
  <r>
    <s v="Roddy Speechley"/>
    <s v="Canada"/>
    <x v="5"/>
    <x v="695"/>
    <n v="9831"/>
    <x v="0"/>
  </r>
  <r>
    <s v="Gigi Bohling"/>
    <s v="USA"/>
    <x v="1"/>
    <x v="695"/>
    <n v="12601"/>
    <x v="0"/>
  </r>
  <r>
    <s v="Curtice Advani"/>
    <s v="Switzerland"/>
    <x v="7"/>
    <x v="695"/>
    <n v="3115"/>
    <x v="0"/>
  </r>
  <r>
    <s v="Gigi Bohling"/>
    <s v="USA"/>
    <x v="0"/>
    <x v="696"/>
    <n v="8844"/>
    <x v="0"/>
  </r>
  <r>
    <s v="Van Tuxwell"/>
    <s v="USA"/>
    <x v="5"/>
    <x v="696"/>
    <n v="13361"/>
    <x v="0"/>
  </r>
  <r>
    <s v="Karlen McCaffrey"/>
    <s v="China"/>
    <x v="2"/>
    <x v="696"/>
    <n v="5333"/>
    <x v="0"/>
  </r>
  <r>
    <s v="Curtice Advani"/>
    <s v="USA"/>
    <x v="3"/>
    <x v="696"/>
    <n v="7292"/>
    <x v="0"/>
  </r>
  <r>
    <s v="Marney O'Breem"/>
    <s v="UK"/>
    <x v="3"/>
    <x v="696"/>
    <n v="5955"/>
    <x v="0"/>
  </r>
  <r>
    <s v="Beverie Moffet"/>
    <s v="Canada"/>
    <x v="4"/>
    <x v="697"/>
    <n v="4421"/>
    <x v="0"/>
  </r>
  <r>
    <s v="Gunar Cockshoot"/>
    <s v="China"/>
    <x v="5"/>
    <x v="697"/>
    <n v="5785"/>
    <x v="0"/>
  </r>
  <r>
    <s v="Van Tuxwell"/>
    <s v="Germany"/>
    <x v="6"/>
    <x v="697"/>
    <n v="7831"/>
    <x v="0"/>
  </r>
  <r>
    <s v="Gunar Cockshoot"/>
    <s v="UK"/>
    <x v="3"/>
    <x v="697"/>
    <n v="12629"/>
    <x v="0"/>
  </r>
  <r>
    <s v="Karlen McCaffrey"/>
    <s v="USA"/>
    <x v="0"/>
    <x v="698"/>
    <n v="13918"/>
    <x v="0"/>
  </r>
  <r>
    <s v="Van Tuxwell"/>
    <s v="UK"/>
    <x v="7"/>
    <x v="698"/>
    <n v="1167"/>
    <x v="0"/>
  </r>
  <r>
    <s v="Roddy Speechley"/>
    <s v="Switzerland"/>
    <x v="6"/>
    <x v="698"/>
    <n v="3878"/>
    <x v="0"/>
  </r>
  <r>
    <s v="Gunar Cockshoot"/>
    <s v="China"/>
    <x v="6"/>
    <x v="698"/>
    <n v="7696"/>
    <x v="0"/>
  </r>
  <r>
    <s v="Jehu Rudeforth"/>
    <s v="UK"/>
    <x v="3"/>
    <x v="698"/>
    <n v="3763"/>
    <x v="0"/>
  </r>
  <r>
    <s v="Marney O'Breem"/>
    <s v="China"/>
    <x v="4"/>
    <x v="699"/>
    <n v="10059"/>
    <x v="0"/>
  </r>
  <r>
    <s v="Beverie Moffet"/>
    <s v="UK"/>
    <x v="4"/>
    <x v="699"/>
    <n v="13304"/>
    <x v="0"/>
  </r>
  <r>
    <s v="Van Tuxwell"/>
    <s v="Germany"/>
    <x v="2"/>
    <x v="699"/>
    <n v="2571"/>
    <x v="0"/>
  </r>
  <r>
    <s v="Oby Sorrel"/>
    <s v="USA"/>
    <x v="6"/>
    <x v="699"/>
    <n v="8532"/>
    <x v="0"/>
  </r>
  <r>
    <s v="Gigi Bohling"/>
    <s v="China"/>
    <x v="6"/>
    <x v="699"/>
    <n v="4675"/>
    <x v="0"/>
  </r>
  <r>
    <s v="Rafaela Blaksland"/>
    <s v="Germany"/>
    <x v="6"/>
    <x v="699"/>
    <n v="8322"/>
    <x v="0"/>
  </r>
  <r>
    <s v="Curtice Advani"/>
    <s v="Switzerland"/>
    <x v="5"/>
    <x v="700"/>
    <n v="1537"/>
    <x v="0"/>
  </r>
  <r>
    <s v="Mallorie Waber"/>
    <s v="China"/>
    <x v="7"/>
    <x v="700"/>
    <n v="13227"/>
    <x v="0"/>
  </r>
  <r>
    <s v="Rafaela Blaksland"/>
    <s v="UK"/>
    <x v="6"/>
    <x v="700"/>
    <n v="5643"/>
    <x v="0"/>
  </r>
  <r>
    <s v="Jehu Rudeforth"/>
    <s v="USA"/>
    <x v="2"/>
    <x v="701"/>
    <n v="1365"/>
    <x v="0"/>
  </r>
  <r>
    <s v="Curtice Advani"/>
    <s v="Switzerland"/>
    <x v="6"/>
    <x v="701"/>
    <n v="3580"/>
    <x v="0"/>
  </r>
  <r>
    <s v="Roddy Speechley"/>
    <s v="Canada"/>
    <x v="5"/>
    <x v="702"/>
    <n v="8041"/>
    <x v="0"/>
  </r>
  <r>
    <s v="Barr Faughny"/>
    <s v="Germany"/>
    <x v="2"/>
    <x v="702"/>
    <n v="3441"/>
    <x v="0"/>
  </r>
  <r>
    <s v="Beverie Moffet"/>
    <s v="China"/>
    <x v="3"/>
    <x v="702"/>
    <n v="4824"/>
    <x v="0"/>
  </r>
  <r>
    <s v="Curtice Advani"/>
    <s v="Switzerland"/>
    <x v="3"/>
    <x v="702"/>
    <n v="2183"/>
    <x v="0"/>
  </r>
  <r>
    <s v="Rafaela Blaksland"/>
    <s v="Switzerland"/>
    <x v="5"/>
    <x v="703"/>
    <n v="7666"/>
    <x v="0"/>
  </r>
  <r>
    <s v="Curtice Advani"/>
    <s v="China"/>
    <x v="1"/>
    <x v="703"/>
    <n v="5375"/>
    <x v="0"/>
  </r>
  <r>
    <s v="Gigi Bohling"/>
    <s v="China"/>
    <x v="3"/>
    <x v="703"/>
    <n v="13849"/>
    <x v="0"/>
  </r>
  <r>
    <s v="Mallorie Waber"/>
    <s v="China"/>
    <x v="0"/>
    <x v="704"/>
    <n v="4211"/>
    <x v="0"/>
  </r>
  <r>
    <s v="Brien Boise"/>
    <s v="Germany"/>
    <x v="0"/>
    <x v="704"/>
    <n v="3087"/>
    <x v="0"/>
  </r>
  <r>
    <s v="Mallorie Waber"/>
    <s v="Germany"/>
    <x v="5"/>
    <x v="704"/>
    <n v="11304"/>
    <x v="0"/>
  </r>
  <r>
    <s v="Rafaela Blaksland"/>
    <s v="China"/>
    <x v="5"/>
    <x v="704"/>
    <n v="1077"/>
    <x v="0"/>
  </r>
  <r>
    <s v="Van Tuxwell"/>
    <s v="Germany"/>
    <x v="7"/>
    <x v="705"/>
    <n v="9909"/>
    <x v="0"/>
  </r>
  <r>
    <s v="Mallorie Waber"/>
    <s v="Canada"/>
    <x v="1"/>
    <x v="706"/>
    <n v="3910"/>
    <x v="0"/>
  </r>
  <r>
    <s v="Van Tuxwell"/>
    <s v="USA"/>
    <x v="3"/>
    <x v="706"/>
    <n v="12732"/>
    <x v="0"/>
  </r>
  <r>
    <s v="Gigi Bohling"/>
    <s v="USA"/>
    <x v="4"/>
    <x v="707"/>
    <n v="4204"/>
    <x v="0"/>
  </r>
  <r>
    <s v="Barr Faughny"/>
    <s v="China"/>
    <x v="7"/>
    <x v="707"/>
    <n v="7900"/>
    <x v="0"/>
  </r>
  <r>
    <s v="Brien Boise"/>
    <s v="Germany"/>
    <x v="2"/>
    <x v="707"/>
    <n v="11864"/>
    <x v="0"/>
  </r>
  <r>
    <s v="Curtice Advani"/>
    <s v="Canada"/>
    <x v="3"/>
    <x v="707"/>
    <n v="6101"/>
    <x v="0"/>
  </r>
  <r>
    <s v="Karlen McCaffrey"/>
    <s v="Canada"/>
    <x v="0"/>
    <x v="708"/>
    <n v="3450"/>
    <x v="0"/>
  </r>
  <r>
    <s v="Brien Boise"/>
    <s v="USA"/>
    <x v="6"/>
    <x v="708"/>
    <n v="4712"/>
    <x v="0"/>
  </r>
  <r>
    <s v="Oby Sorrel"/>
    <s v="China"/>
    <x v="7"/>
    <x v="709"/>
    <n v="6868"/>
    <x v="0"/>
  </r>
  <r>
    <s v="Roddy Speechley"/>
    <s v="China"/>
    <x v="6"/>
    <x v="709"/>
    <n v="4894"/>
    <x v="0"/>
  </r>
  <r>
    <s v="Mallorie Waber"/>
    <s v="China"/>
    <x v="1"/>
    <x v="710"/>
    <n v="7068"/>
    <x v="0"/>
  </r>
  <r>
    <s v="Curtice Advani"/>
    <s v="Germany"/>
    <x v="2"/>
    <x v="710"/>
    <n v="1726"/>
    <x v="0"/>
  </r>
  <r>
    <s v="Mallorie Waber"/>
    <s v="Canada"/>
    <x v="2"/>
    <x v="710"/>
    <n v="11515"/>
    <x v="0"/>
  </r>
  <r>
    <s v="Beverie Moffet"/>
    <s v="USA"/>
    <x v="6"/>
    <x v="710"/>
    <n v="10863"/>
    <x v="0"/>
  </r>
  <r>
    <s v="Gigi Bohling"/>
    <s v="Germany"/>
    <x v="6"/>
    <x v="710"/>
    <n v="2554"/>
    <x v="0"/>
  </r>
  <r>
    <s v="Beverie Moffet"/>
    <s v="USA"/>
    <x v="6"/>
    <x v="710"/>
    <n v="3815"/>
    <x v="0"/>
  </r>
  <r>
    <s v="Mallorie Waber"/>
    <s v="Switzerland"/>
    <x v="4"/>
    <x v="711"/>
    <n v="2063"/>
    <x v="0"/>
  </r>
  <r>
    <s v="Oby Sorrel"/>
    <s v="Switzerland"/>
    <x v="5"/>
    <x v="712"/>
    <n v="7509"/>
    <x v="0"/>
  </r>
  <r>
    <s v="Karlen McCaffrey"/>
    <s v="USA"/>
    <x v="7"/>
    <x v="712"/>
    <n v="9839"/>
    <x v="0"/>
  </r>
  <r>
    <s v="Karlen McCaffrey"/>
    <s v="UK"/>
    <x v="3"/>
    <x v="712"/>
    <n v="10182"/>
    <x v="0"/>
  </r>
  <r>
    <s v="Rafaela Blaksland"/>
    <s v="Canada"/>
    <x v="3"/>
    <x v="712"/>
    <n v="6347"/>
    <x v="0"/>
  </r>
  <r>
    <s v="Rafaela Blaksland"/>
    <s v="USA"/>
    <x v="5"/>
    <x v="713"/>
    <n v="1321"/>
    <x v="0"/>
  </r>
  <r>
    <s v="Barr Faughny"/>
    <s v="Germany"/>
    <x v="1"/>
    <x v="713"/>
    <n v="1294"/>
    <x v="0"/>
  </r>
  <r>
    <s v="Rafaela Blaksland"/>
    <s v="UK"/>
    <x v="1"/>
    <x v="713"/>
    <n v="1506"/>
    <x v="0"/>
  </r>
  <r>
    <s v="Van Tuxwell"/>
    <s v="Switzerland"/>
    <x v="7"/>
    <x v="713"/>
    <n v="3993"/>
    <x v="0"/>
  </r>
  <r>
    <s v="Van Tuxwell"/>
    <s v="USA"/>
    <x v="7"/>
    <x v="713"/>
    <n v="13558"/>
    <x v="0"/>
  </r>
  <r>
    <s v="Oby Sorrel"/>
    <s v="Canada"/>
    <x v="2"/>
    <x v="713"/>
    <n v="7905"/>
    <x v="0"/>
  </r>
  <r>
    <s v="Beverie Moffet"/>
    <s v="China"/>
    <x v="3"/>
    <x v="713"/>
    <n v="12449"/>
    <x v="0"/>
  </r>
  <r>
    <s v="Marney O'Breem"/>
    <s v="Canada"/>
    <x v="4"/>
    <x v="714"/>
    <n v="7540"/>
    <x v="0"/>
  </r>
  <r>
    <s v="Oby Sorrel"/>
    <s v="Canada"/>
    <x v="7"/>
    <x v="714"/>
    <n v="10403"/>
    <x v="0"/>
  </r>
  <r>
    <s v="Brien Boise"/>
    <s v="China"/>
    <x v="4"/>
    <x v="715"/>
    <n v="11357"/>
    <x v="0"/>
  </r>
  <r>
    <s v="Gigi Bohling"/>
    <s v="China"/>
    <x v="5"/>
    <x v="715"/>
    <n v="4880"/>
    <x v="0"/>
  </r>
  <r>
    <s v="Oby Sorrel"/>
    <s v="UK"/>
    <x v="5"/>
    <x v="715"/>
    <n v="4958"/>
    <x v="0"/>
  </r>
  <r>
    <s v="Oby Sorrel"/>
    <s v="UK"/>
    <x v="5"/>
    <x v="715"/>
    <n v="7664"/>
    <x v="0"/>
  </r>
  <r>
    <s v="Gigi Bohling"/>
    <s v="China"/>
    <x v="5"/>
    <x v="715"/>
    <n v="7599"/>
    <x v="0"/>
  </r>
  <r>
    <s v="Van Tuxwell"/>
    <s v="UK"/>
    <x v="1"/>
    <x v="715"/>
    <n v="11021"/>
    <x v="0"/>
  </r>
  <r>
    <s v="Jehu Rudeforth"/>
    <s v="Switzerland"/>
    <x v="1"/>
    <x v="715"/>
    <n v="1153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1B8045-F299-45D4-8C9D-E9E8345F4744}" name="PivotTable1" cacheId="5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3:A20" firstHeaderRow="1" firstDataRow="1" firstDataCol="1"/>
  <pivotFields count="9">
    <pivotField showAll="0"/>
    <pivotField showAll="0"/>
    <pivotField axis="axisRow" showAll="0">
      <items count="9">
        <item x="0"/>
        <item x="4"/>
        <item x="5"/>
        <item x="1"/>
        <item x="7"/>
        <item x="2"/>
        <item x="6"/>
        <item x="3"/>
        <item t="default"/>
      </items>
    </pivotField>
    <pivotField numFmtId="14" showAll="0">
      <items count="7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t="default"/>
      </items>
    </pivotField>
    <pivotField numFmtId="6" showAll="0"/>
    <pivotField axis="axisRow" showAll="0">
      <items count="2"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2">
    <field x="2"/>
    <field x="5"/>
  </rowFields>
  <rowItems count="17">
    <i>
      <x/>
    </i>
    <i r="1">
      <x/>
    </i>
    <i>
      <x v="1"/>
    </i>
    <i r="1">
      <x/>
    </i>
    <i>
      <x v="2"/>
    </i>
    <i r="1">
      <x/>
    </i>
    <i>
      <x v="3"/>
    </i>
    <i r="1">
      <x/>
    </i>
    <i>
      <x v="4"/>
    </i>
    <i r="1">
      <x/>
    </i>
    <i>
      <x v="5"/>
    </i>
    <i r="1">
      <x/>
    </i>
    <i>
      <x v="6"/>
    </i>
    <i r="1">
      <x/>
    </i>
    <i>
      <x v="7"/>
    </i>
    <i r="1">
      <x/>
    </i>
    <i t="grand">
      <x/>
    </i>
  </rowItems>
  <colItems count="1">
    <i/>
  </colItems>
  <pivotTableStyleInfo name="PivotStyleLight16" showRowHeaders="1" showColHeaders="1" showRowStripes="0" showColStripes="0" showLastColumn="1"/>
  <filters count="1">
    <filter fld="3" type="dateBetween" evalOrder="-1" id="38" name="Date">
      <autoFilter ref="A1">
        <filterColumn colId="0">
          <customFilters and="1">
            <customFilter operator="greaterThanOrEqual" val="44927"/>
            <customFilter operator="lessThanOrEqual" val="4529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A3B7BA-97A9-4EBF-B1EB-92AB8D5F5349}" name="Table1" displayName="Table1" ref="A1:F2739" totalsRowShown="0" headerRowDxfId="0" headerRowBorderDxfId="3">
  <autoFilter ref="A1:F2739" xr:uid="{45A3B7BA-97A9-4EBF-B1EB-92AB8D5F5349}"/>
  <tableColumns count="6">
    <tableColumn id="1" xr3:uid="{C646A393-6980-4149-9687-32CB58B8061E}" name="Sales Person"/>
    <tableColumn id="2" xr3:uid="{882EEC48-7AC1-4949-B62A-FC85AA0C4513}" name="Country"/>
    <tableColumn id="3" xr3:uid="{0D941C7B-6BB3-4CDC-862E-372F457A215A}" name="Product"/>
    <tableColumn id="4" xr3:uid="{72B8CDD2-23FB-4ABB-BE1F-F9E0C33A9526}" name="Date" dataDxfId="2"/>
    <tableColumn id="5" xr3:uid="{65E4584B-E0B2-44DF-B9A1-19C7D17CC387}" name="Amount" dataDxfId="1"/>
    <tableColumn id="6" xr3:uid="{465D2D02-EABA-4C48-BCC2-6FAB434B07AB}" name="Sales Growth 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B015BC68-BC7E-4587-8214-2287B7D94CC4}" sourceName="Date">
  <pivotTables>
    <pivotTable tabId="3" name="PivotTable1"/>
  </pivotTables>
  <state minimalRefreshVersion="6" lastRefreshVersion="6" pivotCacheId="118005085" filterType="dateBetween">
    <selection startDate="2023-01-01T00:00:00" endDate="2023-12-31T00:00:00"/>
    <bounds startDate="2023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3D1AD37-65CB-4558-B271-22B116AE098E}" cache="NativeTimeline_Date" caption="Date" level="0" selectionLevel="0" scrollPosition="2023-01-01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EB095-D110-42D4-AC17-29DEDDC5857E}">
  <dimension ref="A3:A20"/>
  <sheetViews>
    <sheetView tabSelected="1" workbookViewId="0">
      <selection activeCell="A5" sqref="A5"/>
    </sheetView>
  </sheetViews>
  <sheetFormatPr defaultRowHeight="14.4" x14ac:dyDescent="0.3"/>
  <cols>
    <col min="1" max="1" width="42.44140625" bestFit="1" customWidth="1"/>
    <col min="2" max="2" width="14.44140625" bestFit="1" customWidth="1"/>
  </cols>
  <sheetData>
    <row r="3" spans="1:1" x14ac:dyDescent="0.3">
      <c r="A3" s="8" t="s">
        <v>40</v>
      </c>
    </row>
    <row r="4" spans="1:1" x14ac:dyDescent="0.3">
      <c r="A4" s="9" t="s">
        <v>14</v>
      </c>
    </row>
    <row r="5" spans="1:1" x14ac:dyDescent="0.3">
      <c r="A5" s="10" t="s">
        <v>42</v>
      </c>
    </row>
    <row r="6" spans="1:1" x14ac:dyDescent="0.3">
      <c r="A6" s="9" t="s">
        <v>19</v>
      </c>
    </row>
    <row r="7" spans="1:1" x14ac:dyDescent="0.3">
      <c r="A7" s="10" t="s">
        <v>42</v>
      </c>
    </row>
    <row r="8" spans="1:1" x14ac:dyDescent="0.3">
      <c r="A8" s="9" t="s">
        <v>23</v>
      </c>
    </row>
    <row r="9" spans="1:1" x14ac:dyDescent="0.3">
      <c r="A9" s="10" t="s">
        <v>42</v>
      </c>
    </row>
    <row r="10" spans="1:1" x14ac:dyDescent="0.3">
      <c r="A10" s="9" t="s">
        <v>25</v>
      </c>
    </row>
    <row r="11" spans="1:1" x14ac:dyDescent="0.3">
      <c r="A11" s="10" t="s">
        <v>42</v>
      </c>
    </row>
    <row r="12" spans="1:1" x14ac:dyDescent="0.3">
      <c r="A12" s="9" t="s">
        <v>7</v>
      </c>
    </row>
    <row r="13" spans="1:1" x14ac:dyDescent="0.3">
      <c r="A13" s="10" t="s">
        <v>42</v>
      </c>
    </row>
    <row r="14" spans="1:1" x14ac:dyDescent="0.3">
      <c r="A14" s="9" t="s">
        <v>28</v>
      </c>
    </row>
    <row r="15" spans="1:1" x14ac:dyDescent="0.3">
      <c r="A15" s="10" t="s">
        <v>42</v>
      </c>
    </row>
    <row r="16" spans="1:1" x14ac:dyDescent="0.3">
      <c r="A16" s="9" t="s">
        <v>17</v>
      </c>
    </row>
    <row r="17" spans="1:1" x14ac:dyDescent="0.3">
      <c r="A17" s="10" t="s">
        <v>42</v>
      </c>
    </row>
    <row r="18" spans="1:1" x14ac:dyDescent="0.3">
      <c r="A18" s="9" t="s">
        <v>12</v>
      </c>
    </row>
    <row r="19" spans="1:1" x14ac:dyDescent="0.3">
      <c r="A19" s="10" t="s">
        <v>42</v>
      </c>
    </row>
    <row r="20" spans="1:1" x14ac:dyDescent="0.3">
      <c r="A20" s="9" t="s">
        <v>41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39"/>
  <sheetViews>
    <sheetView topLeftCell="A2" workbookViewId="0"/>
  </sheetViews>
  <sheetFormatPr defaultRowHeight="14.4" x14ac:dyDescent="0.3"/>
  <cols>
    <col min="1" max="1" width="15.44140625" bestFit="1" customWidth="1"/>
    <col min="2" max="2" width="10.33203125" bestFit="1" customWidth="1"/>
    <col min="3" max="3" width="38.88671875" bestFit="1" customWidth="1"/>
    <col min="4" max="4" width="10.5546875" bestFit="1" customWidth="1"/>
    <col min="5" max="5" width="9.77734375" customWidth="1"/>
    <col min="6" max="6" width="15.664062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 t="s">
        <v>34</v>
      </c>
    </row>
    <row r="2" spans="1:6" x14ac:dyDescent="0.3">
      <c r="A2" t="s">
        <v>24</v>
      </c>
      <c r="B2" t="s">
        <v>13</v>
      </c>
      <c r="C2" t="s">
        <v>14</v>
      </c>
      <c r="D2" s="3">
        <v>44927</v>
      </c>
      <c r="E2" s="2">
        <v>5216</v>
      </c>
      <c r="F2" s="4"/>
    </row>
    <row r="3" spans="1:6" x14ac:dyDescent="0.3">
      <c r="A3" t="s">
        <v>32</v>
      </c>
      <c r="B3" t="s">
        <v>6</v>
      </c>
      <c r="C3" t="s">
        <v>14</v>
      </c>
      <c r="D3" s="3">
        <v>44927</v>
      </c>
      <c r="E3" s="2">
        <v>7972</v>
      </c>
      <c r="F3" s="4"/>
    </row>
    <row r="4" spans="1:6" x14ac:dyDescent="0.3">
      <c r="A4" t="s">
        <v>24</v>
      </c>
      <c r="B4" t="s">
        <v>16</v>
      </c>
      <c r="C4" t="s">
        <v>25</v>
      </c>
      <c r="D4" s="3">
        <v>44927</v>
      </c>
      <c r="E4" s="2">
        <v>7297</v>
      </c>
      <c r="F4" s="4"/>
    </row>
    <row r="5" spans="1:6" x14ac:dyDescent="0.3">
      <c r="A5" t="s">
        <v>10</v>
      </c>
      <c r="B5" t="s">
        <v>9</v>
      </c>
      <c r="C5" t="s">
        <v>25</v>
      </c>
      <c r="D5" s="3">
        <v>44927</v>
      </c>
      <c r="E5" s="2">
        <v>13823</v>
      </c>
    </row>
    <row r="6" spans="1:6" x14ac:dyDescent="0.3">
      <c r="A6" t="s">
        <v>27</v>
      </c>
      <c r="B6" t="s">
        <v>16</v>
      </c>
      <c r="C6" t="s">
        <v>28</v>
      </c>
      <c r="D6" s="3">
        <v>44928</v>
      </c>
      <c r="E6" s="2">
        <v>12694</v>
      </c>
    </row>
    <row r="7" spans="1:6" x14ac:dyDescent="0.3">
      <c r="A7" t="s">
        <v>31</v>
      </c>
      <c r="B7" t="s">
        <v>9</v>
      </c>
      <c r="C7" t="s">
        <v>28</v>
      </c>
      <c r="D7" s="3">
        <v>44929</v>
      </c>
      <c r="E7" s="2">
        <v>6224</v>
      </c>
    </row>
    <row r="8" spans="1:6" x14ac:dyDescent="0.3">
      <c r="A8" t="s">
        <v>30</v>
      </c>
      <c r="B8" t="s">
        <v>11</v>
      </c>
      <c r="C8" t="s">
        <v>12</v>
      </c>
      <c r="D8" s="3">
        <v>44929</v>
      </c>
      <c r="E8" s="2">
        <v>2218</v>
      </c>
    </row>
    <row r="9" spans="1:6" x14ac:dyDescent="0.3">
      <c r="A9" t="s">
        <v>22</v>
      </c>
      <c r="B9" t="s">
        <v>6</v>
      </c>
      <c r="C9" t="s">
        <v>14</v>
      </c>
      <c r="D9" s="3">
        <v>44930</v>
      </c>
      <c r="E9" s="2">
        <v>6455</v>
      </c>
    </row>
    <row r="10" spans="1:6" x14ac:dyDescent="0.3">
      <c r="A10" t="s">
        <v>22</v>
      </c>
      <c r="B10" t="s">
        <v>11</v>
      </c>
      <c r="C10" t="s">
        <v>19</v>
      </c>
      <c r="D10" s="3">
        <v>44930</v>
      </c>
      <c r="E10" s="2">
        <v>12070</v>
      </c>
    </row>
    <row r="11" spans="1:6" x14ac:dyDescent="0.3">
      <c r="A11" t="s">
        <v>18</v>
      </c>
      <c r="B11" t="s">
        <v>16</v>
      </c>
      <c r="C11" t="s">
        <v>19</v>
      </c>
      <c r="D11" s="3">
        <v>44930</v>
      </c>
      <c r="E11" s="2">
        <v>5435</v>
      </c>
    </row>
    <row r="12" spans="1:6" x14ac:dyDescent="0.3">
      <c r="A12" t="s">
        <v>5</v>
      </c>
      <c r="B12" t="s">
        <v>9</v>
      </c>
      <c r="C12" t="s">
        <v>23</v>
      </c>
      <c r="D12" s="3">
        <v>44930</v>
      </c>
      <c r="E12" s="2">
        <v>4786</v>
      </c>
    </row>
    <row r="13" spans="1:6" x14ac:dyDescent="0.3">
      <c r="A13" t="s">
        <v>24</v>
      </c>
      <c r="B13" t="s">
        <v>13</v>
      </c>
      <c r="C13" t="s">
        <v>25</v>
      </c>
      <c r="D13" s="3">
        <v>44930</v>
      </c>
      <c r="E13" s="2">
        <v>7816</v>
      </c>
    </row>
    <row r="14" spans="1:6" x14ac:dyDescent="0.3">
      <c r="A14" t="s">
        <v>10</v>
      </c>
      <c r="B14" t="s">
        <v>6</v>
      </c>
      <c r="C14" t="s">
        <v>17</v>
      </c>
      <c r="D14" s="3">
        <v>44930</v>
      </c>
      <c r="E14" s="2">
        <v>1519</v>
      </c>
    </row>
    <row r="15" spans="1:6" x14ac:dyDescent="0.3">
      <c r="A15" t="s">
        <v>33</v>
      </c>
      <c r="B15" t="s">
        <v>9</v>
      </c>
      <c r="C15" t="s">
        <v>14</v>
      </c>
      <c r="D15" s="3">
        <v>44931</v>
      </c>
      <c r="E15" s="2">
        <v>10472</v>
      </c>
    </row>
    <row r="16" spans="1:6" x14ac:dyDescent="0.3">
      <c r="A16" t="s">
        <v>32</v>
      </c>
      <c r="B16" t="s">
        <v>16</v>
      </c>
      <c r="C16" t="s">
        <v>14</v>
      </c>
      <c r="D16" s="3">
        <v>44931</v>
      </c>
      <c r="E16" s="2">
        <v>9682</v>
      </c>
    </row>
    <row r="17" spans="1:5" x14ac:dyDescent="0.3">
      <c r="A17" t="s">
        <v>15</v>
      </c>
      <c r="B17" t="s">
        <v>6</v>
      </c>
      <c r="C17" t="s">
        <v>19</v>
      </c>
      <c r="D17" s="3">
        <v>44931</v>
      </c>
      <c r="E17" s="2">
        <v>12833</v>
      </c>
    </row>
    <row r="18" spans="1:5" x14ac:dyDescent="0.3">
      <c r="A18" t="s">
        <v>15</v>
      </c>
      <c r="B18" t="s">
        <v>6</v>
      </c>
      <c r="C18" t="s">
        <v>25</v>
      </c>
      <c r="D18" s="3">
        <v>44931</v>
      </c>
      <c r="E18" s="2">
        <v>5795</v>
      </c>
    </row>
    <row r="19" spans="1:5" x14ac:dyDescent="0.3">
      <c r="A19" t="s">
        <v>29</v>
      </c>
      <c r="B19" t="s">
        <v>11</v>
      </c>
      <c r="C19" t="s">
        <v>25</v>
      </c>
      <c r="D19" s="3">
        <v>44931</v>
      </c>
      <c r="E19" s="2">
        <v>2010</v>
      </c>
    </row>
    <row r="20" spans="1:5" x14ac:dyDescent="0.3">
      <c r="A20" t="s">
        <v>22</v>
      </c>
      <c r="B20" t="s">
        <v>21</v>
      </c>
      <c r="C20" t="s">
        <v>7</v>
      </c>
      <c r="D20" s="3">
        <v>44931</v>
      </c>
      <c r="E20" s="2">
        <v>2597</v>
      </c>
    </row>
    <row r="21" spans="1:5" x14ac:dyDescent="0.3">
      <c r="A21" t="s">
        <v>24</v>
      </c>
      <c r="B21" t="s">
        <v>16</v>
      </c>
      <c r="C21" t="s">
        <v>14</v>
      </c>
      <c r="D21" s="3">
        <v>44932</v>
      </c>
      <c r="E21" s="2">
        <v>2600</v>
      </c>
    </row>
    <row r="22" spans="1:5" x14ac:dyDescent="0.3">
      <c r="A22" t="s">
        <v>15</v>
      </c>
      <c r="B22" t="s">
        <v>6</v>
      </c>
      <c r="C22" t="s">
        <v>14</v>
      </c>
      <c r="D22" s="3">
        <v>44932</v>
      </c>
      <c r="E22" s="2">
        <v>11100</v>
      </c>
    </row>
    <row r="23" spans="1:5" x14ac:dyDescent="0.3">
      <c r="A23" t="s">
        <v>20</v>
      </c>
      <c r="B23" t="s">
        <v>21</v>
      </c>
      <c r="C23" t="s">
        <v>14</v>
      </c>
      <c r="D23" s="3">
        <v>44932</v>
      </c>
      <c r="E23" s="2">
        <v>6777</v>
      </c>
    </row>
    <row r="24" spans="1:5" x14ac:dyDescent="0.3">
      <c r="A24" t="s">
        <v>29</v>
      </c>
      <c r="B24" t="s">
        <v>13</v>
      </c>
      <c r="C24" t="s">
        <v>19</v>
      </c>
      <c r="D24" s="3">
        <v>44932</v>
      </c>
      <c r="E24" s="2">
        <v>4350</v>
      </c>
    </row>
    <row r="25" spans="1:5" x14ac:dyDescent="0.3">
      <c r="A25" t="s">
        <v>24</v>
      </c>
      <c r="B25" t="s">
        <v>11</v>
      </c>
      <c r="C25" t="s">
        <v>25</v>
      </c>
      <c r="D25" s="3">
        <v>44932</v>
      </c>
      <c r="E25" s="2">
        <v>2161</v>
      </c>
    </row>
    <row r="26" spans="1:5" x14ac:dyDescent="0.3">
      <c r="A26" t="s">
        <v>10</v>
      </c>
      <c r="B26" t="s">
        <v>11</v>
      </c>
      <c r="C26" t="s">
        <v>28</v>
      </c>
      <c r="D26" s="3">
        <v>44932</v>
      </c>
      <c r="E26" s="2">
        <v>11470</v>
      </c>
    </row>
    <row r="27" spans="1:5" x14ac:dyDescent="0.3">
      <c r="A27" t="s">
        <v>24</v>
      </c>
      <c r="B27" t="s">
        <v>6</v>
      </c>
      <c r="C27" t="s">
        <v>19</v>
      </c>
      <c r="D27" s="3">
        <v>44933</v>
      </c>
      <c r="E27" s="2">
        <v>7805</v>
      </c>
    </row>
    <row r="28" spans="1:5" x14ac:dyDescent="0.3">
      <c r="A28" t="s">
        <v>18</v>
      </c>
      <c r="B28" t="s">
        <v>9</v>
      </c>
      <c r="C28" t="s">
        <v>25</v>
      </c>
      <c r="D28" s="3">
        <v>44933</v>
      </c>
      <c r="E28" s="2">
        <v>7763</v>
      </c>
    </row>
    <row r="29" spans="1:5" x14ac:dyDescent="0.3">
      <c r="A29" t="s">
        <v>24</v>
      </c>
      <c r="B29" t="s">
        <v>6</v>
      </c>
      <c r="C29" t="s">
        <v>7</v>
      </c>
      <c r="D29" s="3">
        <v>44933</v>
      </c>
      <c r="E29" s="2">
        <v>11071</v>
      </c>
    </row>
    <row r="30" spans="1:5" x14ac:dyDescent="0.3">
      <c r="A30" t="s">
        <v>5</v>
      </c>
      <c r="B30" t="s">
        <v>9</v>
      </c>
      <c r="C30" t="s">
        <v>12</v>
      </c>
      <c r="D30" s="3">
        <v>44933</v>
      </c>
      <c r="E30" s="2">
        <v>11682</v>
      </c>
    </row>
    <row r="31" spans="1:5" x14ac:dyDescent="0.3">
      <c r="A31" t="s">
        <v>33</v>
      </c>
      <c r="B31" t="s">
        <v>16</v>
      </c>
      <c r="C31" t="s">
        <v>12</v>
      </c>
      <c r="D31" s="3">
        <v>44933</v>
      </c>
      <c r="E31" s="2">
        <v>4574</v>
      </c>
    </row>
    <row r="32" spans="1:5" x14ac:dyDescent="0.3">
      <c r="A32" t="s">
        <v>10</v>
      </c>
      <c r="B32" t="s">
        <v>21</v>
      </c>
      <c r="C32" t="s">
        <v>14</v>
      </c>
      <c r="D32" s="3">
        <v>44934</v>
      </c>
      <c r="E32" s="2">
        <v>13903</v>
      </c>
    </row>
    <row r="33" spans="1:5" x14ac:dyDescent="0.3">
      <c r="A33" t="s">
        <v>24</v>
      </c>
      <c r="B33" t="s">
        <v>21</v>
      </c>
      <c r="C33" t="s">
        <v>14</v>
      </c>
      <c r="D33" s="3">
        <v>44934</v>
      </c>
      <c r="E33" s="2">
        <v>12689</v>
      </c>
    </row>
    <row r="34" spans="1:5" x14ac:dyDescent="0.3">
      <c r="A34" t="s">
        <v>32</v>
      </c>
      <c r="B34" t="s">
        <v>21</v>
      </c>
      <c r="C34" t="s">
        <v>19</v>
      </c>
      <c r="D34" s="3">
        <v>44934</v>
      </c>
      <c r="E34" s="2">
        <v>12726</v>
      </c>
    </row>
    <row r="35" spans="1:5" x14ac:dyDescent="0.3">
      <c r="A35" t="s">
        <v>30</v>
      </c>
      <c r="B35" t="s">
        <v>11</v>
      </c>
      <c r="C35" t="s">
        <v>12</v>
      </c>
      <c r="D35" s="3">
        <v>44934</v>
      </c>
      <c r="E35" s="2">
        <v>10112</v>
      </c>
    </row>
    <row r="36" spans="1:5" x14ac:dyDescent="0.3">
      <c r="A36" t="s">
        <v>8</v>
      </c>
      <c r="B36" t="s">
        <v>11</v>
      </c>
      <c r="C36" t="s">
        <v>19</v>
      </c>
      <c r="D36" s="3">
        <v>44935</v>
      </c>
      <c r="E36" s="2">
        <v>6012</v>
      </c>
    </row>
    <row r="37" spans="1:5" x14ac:dyDescent="0.3">
      <c r="A37" t="s">
        <v>10</v>
      </c>
      <c r="B37" t="s">
        <v>13</v>
      </c>
      <c r="C37" t="s">
        <v>17</v>
      </c>
      <c r="D37" s="3">
        <v>44935</v>
      </c>
      <c r="E37" s="2">
        <v>5996</v>
      </c>
    </row>
    <row r="38" spans="1:5" x14ac:dyDescent="0.3">
      <c r="A38" t="s">
        <v>20</v>
      </c>
      <c r="B38" t="s">
        <v>13</v>
      </c>
      <c r="C38" t="s">
        <v>17</v>
      </c>
      <c r="D38" s="3">
        <v>44936</v>
      </c>
      <c r="E38" s="2">
        <v>13562</v>
      </c>
    </row>
    <row r="39" spans="1:5" x14ac:dyDescent="0.3">
      <c r="A39" t="s">
        <v>18</v>
      </c>
      <c r="B39" t="s">
        <v>13</v>
      </c>
      <c r="C39" t="s">
        <v>23</v>
      </c>
      <c r="D39" s="3">
        <v>44937</v>
      </c>
      <c r="E39" s="2">
        <v>10399</v>
      </c>
    </row>
    <row r="40" spans="1:5" x14ac:dyDescent="0.3">
      <c r="A40" t="s">
        <v>18</v>
      </c>
      <c r="B40" t="s">
        <v>21</v>
      </c>
      <c r="C40" t="s">
        <v>23</v>
      </c>
      <c r="D40" s="3">
        <v>44937</v>
      </c>
      <c r="E40" s="2">
        <v>10355</v>
      </c>
    </row>
    <row r="41" spans="1:5" x14ac:dyDescent="0.3">
      <c r="A41" t="s">
        <v>22</v>
      </c>
      <c r="B41" t="s">
        <v>11</v>
      </c>
      <c r="C41" t="s">
        <v>7</v>
      </c>
      <c r="D41" s="3">
        <v>44937</v>
      </c>
      <c r="E41" s="2">
        <v>3088</v>
      </c>
    </row>
    <row r="42" spans="1:5" x14ac:dyDescent="0.3">
      <c r="A42" t="s">
        <v>27</v>
      </c>
      <c r="B42" t="s">
        <v>11</v>
      </c>
      <c r="C42" t="s">
        <v>23</v>
      </c>
      <c r="D42" s="3">
        <v>44938</v>
      </c>
      <c r="E42" s="2">
        <v>8860</v>
      </c>
    </row>
    <row r="43" spans="1:5" x14ac:dyDescent="0.3">
      <c r="A43" t="s">
        <v>5</v>
      </c>
      <c r="B43" t="s">
        <v>11</v>
      </c>
      <c r="C43" t="s">
        <v>12</v>
      </c>
      <c r="D43" s="3">
        <v>44938</v>
      </c>
      <c r="E43" s="2">
        <v>10887</v>
      </c>
    </row>
    <row r="44" spans="1:5" x14ac:dyDescent="0.3">
      <c r="A44" t="s">
        <v>5</v>
      </c>
      <c r="B44" t="s">
        <v>21</v>
      </c>
      <c r="C44" t="s">
        <v>19</v>
      </c>
      <c r="D44" s="3">
        <v>44939</v>
      </c>
      <c r="E44" s="2">
        <v>3760</v>
      </c>
    </row>
    <row r="45" spans="1:5" x14ac:dyDescent="0.3">
      <c r="A45" t="s">
        <v>33</v>
      </c>
      <c r="B45" t="s">
        <v>21</v>
      </c>
      <c r="C45" t="s">
        <v>12</v>
      </c>
      <c r="D45" s="3">
        <v>44939</v>
      </c>
      <c r="E45" s="2">
        <v>12338</v>
      </c>
    </row>
    <row r="46" spans="1:5" x14ac:dyDescent="0.3">
      <c r="A46" t="s">
        <v>27</v>
      </c>
      <c r="B46" t="s">
        <v>6</v>
      </c>
      <c r="C46" t="s">
        <v>7</v>
      </c>
      <c r="D46" s="3">
        <v>44940</v>
      </c>
      <c r="E46" s="2">
        <v>6529</v>
      </c>
    </row>
    <row r="47" spans="1:5" x14ac:dyDescent="0.3">
      <c r="A47" t="s">
        <v>32</v>
      </c>
      <c r="B47" t="s">
        <v>9</v>
      </c>
      <c r="C47" t="s">
        <v>28</v>
      </c>
      <c r="D47" s="3">
        <v>44940</v>
      </c>
      <c r="E47" s="2">
        <v>8320</v>
      </c>
    </row>
    <row r="48" spans="1:5" x14ac:dyDescent="0.3">
      <c r="A48" t="s">
        <v>10</v>
      </c>
      <c r="B48" t="s">
        <v>6</v>
      </c>
      <c r="C48" t="s">
        <v>28</v>
      </c>
      <c r="D48" s="3">
        <v>44940</v>
      </c>
      <c r="E48" s="2">
        <v>7620</v>
      </c>
    </row>
    <row r="49" spans="1:5" x14ac:dyDescent="0.3">
      <c r="A49" t="s">
        <v>33</v>
      </c>
      <c r="B49" t="s">
        <v>21</v>
      </c>
      <c r="C49" t="s">
        <v>14</v>
      </c>
      <c r="D49" s="3">
        <v>44941</v>
      </c>
      <c r="E49" s="2">
        <v>1369</v>
      </c>
    </row>
    <row r="50" spans="1:5" x14ac:dyDescent="0.3">
      <c r="A50" t="s">
        <v>10</v>
      </c>
      <c r="B50" t="s">
        <v>21</v>
      </c>
      <c r="C50" t="s">
        <v>19</v>
      </c>
      <c r="D50" s="3">
        <v>44941</v>
      </c>
      <c r="E50" s="2">
        <v>2364</v>
      </c>
    </row>
    <row r="51" spans="1:5" x14ac:dyDescent="0.3">
      <c r="A51" t="s">
        <v>20</v>
      </c>
      <c r="B51" t="s">
        <v>11</v>
      </c>
      <c r="C51" t="s">
        <v>25</v>
      </c>
      <c r="D51" s="3">
        <v>44941</v>
      </c>
      <c r="E51" s="2">
        <v>1421</v>
      </c>
    </row>
    <row r="52" spans="1:5" x14ac:dyDescent="0.3">
      <c r="A52" t="s">
        <v>26</v>
      </c>
      <c r="B52" t="s">
        <v>6</v>
      </c>
      <c r="C52" t="s">
        <v>7</v>
      </c>
      <c r="D52" s="3">
        <v>44941</v>
      </c>
      <c r="E52" s="2">
        <v>1824</v>
      </c>
    </row>
    <row r="53" spans="1:5" x14ac:dyDescent="0.3">
      <c r="A53" t="s">
        <v>20</v>
      </c>
      <c r="B53" t="s">
        <v>6</v>
      </c>
      <c r="C53" t="s">
        <v>28</v>
      </c>
      <c r="D53" s="3">
        <v>44941</v>
      </c>
      <c r="E53" s="2">
        <v>10269</v>
      </c>
    </row>
    <row r="54" spans="1:5" x14ac:dyDescent="0.3">
      <c r="A54" t="s">
        <v>27</v>
      </c>
      <c r="B54" t="s">
        <v>11</v>
      </c>
      <c r="C54" t="s">
        <v>17</v>
      </c>
      <c r="D54" s="3">
        <v>44941</v>
      </c>
      <c r="E54" s="2">
        <v>7597</v>
      </c>
    </row>
    <row r="55" spans="1:5" x14ac:dyDescent="0.3">
      <c r="A55" t="s">
        <v>20</v>
      </c>
      <c r="B55" t="s">
        <v>6</v>
      </c>
      <c r="C55" t="s">
        <v>12</v>
      </c>
      <c r="D55" s="3">
        <v>44941</v>
      </c>
      <c r="E55" s="2">
        <v>2810</v>
      </c>
    </row>
    <row r="56" spans="1:5" x14ac:dyDescent="0.3">
      <c r="A56" t="s">
        <v>26</v>
      </c>
      <c r="B56" t="s">
        <v>11</v>
      </c>
      <c r="C56" t="s">
        <v>12</v>
      </c>
      <c r="D56" s="3">
        <v>44941</v>
      </c>
      <c r="E56" s="2">
        <v>7440</v>
      </c>
    </row>
    <row r="57" spans="1:5" x14ac:dyDescent="0.3">
      <c r="A57" t="s">
        <v>32</v>
      </c>
      <c r="B57" t="s">
        <v>13</v>
      </c>
      <c r="C57" t="s">
        <v>12</v>
      </c>
      <c r="D57" s="3">
        <v>44941</v>
      </c>
      <c r="E57" s="2">
        <v>7260</v>
      </c>
    </row>
    <row r="58" spans="1:5" x14ac:dyDescent="0.3">
      <c r="A58" t="s">
        <v>15</v>
      </c>
      <c r="B58" t="s">
        <v>6</v>
      </c>
      <c r="C58" t="s">
        <v>25</v>
      </c>
      <c r="D58" s="3">
        <v>44942</v>
      </c>
      <c r="E58" s="2">
        <v>8624</v>
      </c>
    </row>
    <row r="59" spans="1:5" x14ac:dyDescent="0.3">
      <c r="A59" t="s">
        <v>26</v>
      </c>
      <c r="B59" t="s">
        <v>16</v>
      </c>
      <c r="C59" t="s">
        <v>25</v>
      </c>
      <c r="D59" s="3">
        <v>44942</v>
      </c>
      <c r="E59" s="2">
        <v>5437</v>
      </c>
    </row>
    <row r="60" spans="1:5" x14ac:dyDescent="0.3">
      <c r="A60" t="s">
        <v>31</v>
      </c>
      <c r="B60" t="s">
        <v>21</v>
      </c>
      <c r="C60" t="s">
        <v>7</v>
      </c>
      <c r="D60" s="3">
        <v>44942</v>
      </c>
      <c r="E60" s="2">
        <v>4910</v>
      </c>
    </row>
    <row r="61" spans="1:5" x14ac:dyDescent="0.3">
      <c r="A61" t="s">
        <v>27</v>
      </c>
      <c r="B61" t="s">
        <v>6</v>
      </c>
      <c r="C61" t="s">
        <v>17</v>
      </c>
      <c r="D61" s="3">
        <v>44942</v>
      </c>
      <c r="E61" s="2">
        <v>4113</v>
      </c>
    </row>
    <row r="62" spans="1:5" x14ac:dyDescent="0.3">
      <c r="A62" t="s">
        <v>5</v>
      </c>
      <c r="B62" t="s">
        <v>21</v>
      </c>
      <c r="C62" t="s">
        <v>17</v>
      </c>
      <c r="D62" s="3">
        <v>44942</v>
      </c>
      <c r="E62" s="2">
        <v>13452</v>
      </c>
    </row>
    <row r="63" spans="1:5" x14ac:dyDescent="0.3">
      <c r="A63" t="s">
        <v>15</v>
      </c>
      <c r="B63" t="s">
        <v>21</v>
      </c>
      <c r="C63" t="s">
        <v>25</v>
      </c>
      <c r="D63" s="3">
        <v>44943</v>
      </c>
      <c r="E63" s="2">
        <v>13540</v>
      </c>
    </row>
    <row r="64" spans="1:5" x14ac:dyDescent="0.3">
      <c r="A64" t="s">
        <v>31</v>
      </c>
      <c r="B64" t="s">
        <v>16</v>
      </c>
      <c r="C64" t="s">
        <v>7</v>
      </c>
      <c r="D64" s="3">
        <v>44943</v>
      </c>
      <c r="E64" s="2">
        <v>9053</v>
      </c>
    </row>
    <row r="65" spans="1:5" x14ac:dyDescent="0.3">
      <c r="A65" t="s">
        <v>31</v>
      </c>
      <c r="B65" t="s">
        <v>6</v>
      </c>
      <c r="C65" t="s">
        <v>17</v>
      </c>
      <c r="D65" s="3">
        <v>44944</v>
      </c>
      <c r="E65" s="2">
        <v>9456</v>
      </c>
    </row>
    <row r="66" spans="1:5" x14ac:dyDescent="0.3">
      <c r="A66" t="s">
        <v>30</v>
      </c>
      <c r="B66" t="s">
        <v>16</v>
      </c>
      <c r="C66" t="s">
        <v>12</v>
      </c>
      <c r="D66" s="3">
        <v>44944</v>
      </c>
      <c r="E66" s="2">
        <v>9138</v>
      </c>
    </row>
    <row r="67" spans="1:5" x14ac:dyDescent="0.3">
      <c r="A67" t="s">
        <v>31</v>
      </c>
      <c r="B67" t="s">
        <v>9</v>
      </c>
      <c r="C67" t="s">
        <v>12</v>
      </c>
      <c r="D67" s="3">
        <v>44944</v>
      </c>
      <c r="E67" s="2">
        <v>6853</v>
      </c>
    </row>
    <row r="68" spans="1:5" x14ac:dyDescent="0.3">
      <c r="A68" t="s">
        <v>32</v>
      </c>
      <c r="B68" t="s">
        <v>13</v>
      </c>
      <c r="C68" t="s">
        <v>14</v>
      </c>
      <c r="D68" s="3">
        <v>44945</v>
      </c>
      <c r="E68" s="2">
        <v>2781</v>
      </c>
    </row>
    <row r="69" spans="1:5" x14ac:dyDescent="0.3">
      <c r="A69" t="s">
        <v>10</v>
      </c>
      <c r="B69" t="s">
        <v>9</v>
      </c>
      <c r="C69" t="s">
        <v>14</v>
      </c>
      <c r="D69" s="3">
        <v>44945</v>
      </c>
      <c r="E69" s="2">
        <v>9217</v>
      </c>
    </row>
    <row r="70" spans="1:5" x14ac:dyDescent="0.3">
      <c r="A70" t="s">
        <v>31</v>
      </c>
      <c r="B70" t="s">
        <v>11</v>
      </c>
      <c r="C70" t="s">
        <v>19</v>
      </c>
      <c r="D70" s="3">
        <v>44945</v>
      </c>
      <c r="E70" s="2">
        <v>6679</v>
      </c>
    </row>
    <row r="71" spans="1:5" x14ac:dyDescent="0.3">
      <c r="A71" t="s">
        <v>29</v>
      </c>
      <c r="B71" t="s">
        <v>11</v>
      </c>
      <c r="C71" t="s">
        <v>25</v>
      </c>
      <c r="D71" s="3">
        <v>44945</v>
      </c>
      <c r="E71" s="2">
        <v>10174</v>
      </c>
    </row>
    <row r="72" spans="1:5" x14ac:dyDescent="0.3">
      <c r="A72" t="s">
        <v>26</v>
      </c>
      <c r="B72" t="s">
        <v>21</v>
      </c>
      <c r="C72" t="s">
        <v>17</v>
      </c>
      <c r="D72" s="3">
        <v>44945</v>
      </c>
      <c r="E72" s="2">
        <v>11108</v>
      </c>
    </row>
    <row r="73" spans="1:5" x14ac:dyDescent="0.3">
      <c r="A73" t="s">
        <v>20</v>
      </c>
      <c r="B73" t="s">
        <v>11</v>
      </c>
      <c r="C73" t="s">
        <v>17</v>
      </c>
      <c r="D73" s="3">
        <v>44945</v>
      </c>
      <c r="E73" s="2">
        <v>4794</v>
      </c>
    </row>
    <row r="74" spans="1:5" x14ac:dyDescent="0.3">
      <c r="A74" t="s">
        <v>32</v>
      </c>
      <c r="B74" t="s">
        <v>21</v>
      </c>
      <c r="C74" t="s">
        <v>12</v>
      </c>
      <c r="D74" s="3">
        <v>44945</v>
      </c>
      <c r="E74" s="2">
        <v>3132</v>
      </c>
    </row>
    <row r="75" spans="1:5" x14ac:dyDescent="0.3">
      <c r="A75" t="s">
        <v>20</v>
      </c>
      <c r="B75" t="s">
        <v>6</v>
      </c>
      <c r="C75" t="s">
        <v>23</v>
      </c>
      <c r="D75" s="3">
        <v>44946</v>
      </c>
      <c r="E75" s="2">
        <v>11752</v>
      </c>
    </row>
    <row r="76" spans="1:5" x14ac:dyDescent="0.3">
      <c r="A76" t="s">
        <v>5</v>
      </c>
      <c r="B76" t="s">
        <v>9</v>
      </c>
      <c r="C76" t="s">
        <v>23</v>
      </c>
      <c r="D76" s="3">
        <v>44946</v>
      </c>
      <c r="E76" s="2">
        <v>6444</v>
      </c>
    </row>
    <row r="77" spans="1:5" x14ac:dyDescent="0.3">
      <c r="A77" t="s">
        <v>22</v>
      </c>
      <c r="B77" t="s">
        <v>13</v>
      </c>
      <c r="C77" t="s">
        <v>19</v>
      </c>
      <c r="D77" s="3">
        <v>44947</v>
      </c>
      <c r="E77" s="2">
        <v>6648</v>
      </c>
    </row>
    <row r="78" spans="1:5" x14ac:dyDescent="0.3">
      <c r="A78" t="s">
        <v>8</v>
      </c>
      <c r="B78" t="s">
        <v>9</v>
      </c>
      <c r="C78" t="s">
        <v>23</v>
      </c>
      <c r="D78" s="3">
        <v>44947</v>
      </c>
      <c r="E78" s="2">
        <v>13386</v>
      </c>
    </row>
    <row r="79" spans="1:5" x14ac:dyDescent="0.3">
      <c r="A79" t="s">
        <v>27</v>
      </c>
      <c r="B79" t="s">
        <v>11</v>
      </c>
      <c r="C79" t="s">
        <v>25</v>
      </c>
      <c r="D79" s="3">
        <v>44947</v>
      </c>
      <c r="E79" s="2">
        <v>9254</v>
      </c>
    </row>
    <row r="80" spans="1:5" x14ac:dyDescent="0.3">
      <c r="A80" t="s">
        <v>5</v>
      </c>
      <c r="B80" t="s">
        <v>9</v>
      </c>
      <c r="C80" t="s">
        <v>17</v>
      </c>
      <c r="D80" s="3">
        <v>44947</v>
      </c>
      <c r="E80" s="2">
        <v>13000</v>
      </c>
    </row>
    <row r="81" spans="1:5" x14ac:dyDescent="0.3">
      <c r="A81" t="s">
        <v>10</v>
      </c>
      <c r="B81" t="s">
        <v>21</v>
      </c>
      <c r="C81" t="s">
        <v>12</v>
      </c>
      <c r="D81" s="3">
        <v>44947</v>
      </c>
      <c r="E81" s="2">
        <v>8302</v>
      </c>
    </row>
    <row r="82" spans="1:5" x14ac:dyDescent="0.3">
      <c r="A82" t="s">
        <v>10</v>
      </c>
      <c r="B82" t="s">
        <v>11</v>
      </c>
      <c r="C82" t="s">
        <v>12</v>
      </c>
      <c r="D82" s="3">
        <v>44947</v>
      </c>
      <c r="E82" s="2">
        <v>12667</v>
      </c>
    </row>
    <row r="83" spans="1:5" x14ac:dyDescent="0.3">
      <c r="A83" t="s">
        <v>33</v>
      </c>
      <c r="B83" t="s">
        <v>11</v>
      </c>
      <c r="C83" t="s">
        <v>14</v>
      </c>
      <c r="D83" s="3">
        <v>44948</v>
      </c>
      <c r="E83" s="2">
        <v>8888</v>
      </c>
    </row>
    <row r="84" spans="1:5" x14ac:dyDescent="0.3">
      <c r="A84" t="s">
        <v>24</v>
      </c>
      <c r="B84" t="s">
        <v>21</v>
      </c>
      <c r="C84" t="s">
        <v>14</v>
      </c>
      <c r="D84" s="3">
        <v>44948</v>
      </c>
      <c r="E84" s="2">
        <v>2836</v>
      </c>
    </row>
    <row r="85" spans="1:5" x14ac:dyDescent="0.3">
      <c r="A85" t="s">
        <v>30</v>
      </c>
      <c r="B85" t="s">
        <v>6</v>
      </c>
      <c r="C85" t="s">
        <v>14</v>
      </c>
      <c r="D85" s="3">
        <v>44948</v>
      </c>
      <c r="E85" s="2">
        <v>2335</v>
      </c>
    </row>
    <row r="86" spans="1:5" x14ac:dyDescent="0.3">
      <c r="A86" t="s">
        <v>18</v>
      </c>
      <c r="B86" t="s">
        <v>13</v>
      </c>
      <c r="C86" t="s">
        <v>25</v>
      </c>
      <c r="D86" s="3">
        <v>44948</v>
      </c>
      <c r="E86" s="2">
        <v>10927</v>
      </c>
    </row>
    <row r="87" spans="1:5" x14ac:dyDescent="0.3">
      <c r="A87" t="s">
        <v>5</v>
      </c>
      <c r="B87" t="s">
        <v>6</v>
      </c>
      <c r="C87" t="s">
        <v>7</v>
      </c>
      <c r="D87" s="3">
        <v>44948</v>
      </c>
      <c r="E87" s="2">
        <v>13111</v>
      </c>
    </row>
    <row r="88" spans="1:5" x14ac:dyDescent="0.3">
      <c r="A88" t="s">
        <v>30</v>
      </c>
      <c r="B88" t="s">
        <v>11</v>
      </c>
      <c r="C88" t="s">
        <v>7</v>
      </c>
      <c r="D88" s="3">
        <v>44948</v>
      </c>
      <c r="E88" s="2">
        <v>13335</v>
      </c>
    </row>
    <row r="89" spans="1:5" x14ac:dyDescent="0.3">
      <c r="A89" t="s">
        <v>30</v>
      </c>
      <c r="B89" t="s">
        <v>9</v>
      </c>
      <c r="C89" t="s">
        <v>19</v>
      </c>
      <c r="D89" s="3">
        <v>44949</v>
      </c>
      <c r="E89" s="2">
        <v>1400</v>
      </c>
    </row>
    <row r="90" spans="1:5" x14ac:dyDescent="0.3">
      <c r="A90" t="s">
        <v>10</v>
      </c>
      <c r="B90" t="s">
        <v>13</v>
      </c>
      <c r="C90" t="s">
        <v>19</v>
      </c>
      <c r="D90" s="3">
        <v>44949</v>
      </c>
      <c r="E90" s="2">
        <v>8878</v>
      </c>
    </row>
    <row r="91" spans="1:5" x14ac:dyDescent="0.3">
      <c r="A91" t="s">
        <v>15</v>
      </c>
      <c r="B91" t="s">
        <v>21</v>
      </c>
      <c r="C91" t="s">
        <v>28</v>
      </c>
      <c r="D91" s="3">
        <v>44949</v>
      </c>
      <c r="E91" s="2">
        <v>3357</v>
      </c>
    </row>
    <row r="92" spans="1:5" x14ac:dyDescent="0.3">
      <c r="A92" t="s">
        <v>26</v>
      </c>
      <c r="B92" t="s">
        <v>11</v>
      </c>
      <c r="C92" t="s">
        <v>19</v>
      </c>
      <c r="D92" s="3">
        <v>44950</v>
      </c>
      <c r="E92" s="2">
        <v>9167</v>
      </c>
    </row>
    <row r="93" spans="1:5" x14ac:dyDescent="0.3">
      <c r="A93" t="s">
        <v>27</v>
      </c>
      <c r="B93" t="s">
        <v>9</v>
      </c>
      <c r="C93" t="s">
        <v>7</v>
      </c>
      <c r="D93" s="3">
        <v>44950</v>
      </c>
      <c r="E93" s="2">
        <v>11645</v>
      </c>
    </row>
    <row r="94" spans="1:5" x14ac:dyDescent="0.3">
      <c r="A94" t="s">
        <v>32</v>
      </c>
      <c r="B94" t="s">
        <v>11</v>
      </c>
      <c r="C94" t="s">
        <v>7</v>
      </c>
      <c r="D94" s="3">
        <v>44950</v>
      </c>
      <c r="E94" s="2">
        <v>8727</v>
      </c>
    </row>
    <row r="95" spans="1:5" x14ac:dyDescent="0.3">
      <c r="A95" t="s">
        <v>10</v>
      </c>
      <c r="B95" t="s">
        <v>6</v>
      </c>
      <c r="C95" t="s">
        <v>19</v>
      </c>
      <c r="D95" s="3">
        <v>44951</v>
      </c>
      <c r="E95" s="2">
        <v>12815</v>
      </c>
    </row>
    <row r="96" spans="1:5" x14ac:dyDescent="0.3">
      <c r="A96" t="s">
        <v>18</v>
      </c>
      <c r="B96" t="s">
        <v>9</v>
      </c>
      <c r="C96" t="s">
        <v>19</v>
      </c>
      <c r="D96" s="3">
        <v>44951</v>
      </c>
      <c r="E96" s="2">
        <v>8386</v>
      </c>
    </row>
    <row r="97" spans="1:5" x14ac:dyDescent="0.3">
      <c r="A97" t="s">
        <v>20</v>
      </c>
      <c r="B97" t="s">
        <v>9</v>
      </c>
      <c r="C97" t="s">
        <v>23</v>
      </c>
      <c r="D97" s="3">
        <v>44951</v>
      </c>
      <c r="E97" s="2">
        <v>2703</v>
      </c>
    </row>
    <row r="98" spans="1:5" x14ac:dyDescent="0.3">
      <c r="A98" t="s">
        <v>10</v>
      </c>
      <c r="B98" t="s">
        <v>21</v>
      </c>
      <c r="C98" t="s">
        <v>25</v>
      </c>
      <c r="D98" s="3">
        <v>44951</v>
      </c>
      <c r="E98" s="2">
        <v>1631</v>
      </c>
    </row>
    <row r="99" spans="1:5" x14ac:dyDescent="0.3">
      <c r="A99" t="s">
        <v>27</v>
      </c>
      <c r="B99" t="s">
        <v>13</v>
      </c>
      <c r="C99" t="s">
        <v>7</v>
      </c>
      <c r="D99" s="3">
        <v>44951</v>
      </c>
      <c r="E99" s="2">
        <v>13093</v>
      </c>
    </row>
    <row r="100" spans="1:5" x14ac:dyDescent="0.3">
      <c r="A100" t="s">
        <v>32</v>
      </c>
      <c r="B100" t="s">
        <v>16</v>
      </c>
      <c r="C100" t="s">
        <v>12</v>
      </c>
      <c r="D100" s="3">
        <v>44951</v>
      </c>
      <c r="E100" s="2">
        <v>2887</v>
      </c>
    </row>
    <row r="101" spans="1:5" x14ac:dyDescent="0.3">
      <c r="A101" t="s">
        <v>29</v>
      </c>
      <c r="B101" t="s">
        <v>9</v>
      </c>
      <c r="C101" t="s">
        <v>19</v>
      </c>
      <c r="D101" s="3">
        <v>44952</v>
      </c>
      <c r="E101" s="2">
        <v>2970</v>
      </c>
    </row>
    <row r="102" spans="1:5" x14ac:dyDescent="0.3">
      <c r="A102" t="s">
        <v>29</v>
      </c>
      <c r="B102" t="s">
        <v>6</v>
      </c>
      <c r="C102" t="s">
        <v>7</v>
      </c>
      <c r="D102" s="3">
        <v>44952</v>
      </c>
      <c r="E102" s="2">
        <v>3862</v>
      </c>
    </row>
    <row r="103" spans="1:5" x14ac:dyDescent="0.3">
      <c r="A103" t="s">
        <v>10</v>
      </c>
      <c r="B103" t="s">
        <v>21</v>
      </c>
      <c r="C103" t="s">
        <v>7</v>
      </c>
      <c r="D103" s="3">
        <v>44952</v>
      </c>
      <c r="E103" s="2">
        <v>9957</v>
      </c>
    </row>
    <row r="104" spans="1:5" x14ac:dyDescent="0.3">
      <c r="A104" t="s">
        <v>27</v>
      </c>
      <c r="B104" t="s">
        <v>16</v>
      </c>
      <c r="C104" t="s">
        <v>23</v>
      </c>
      <c r="D104" s="3">
        <v>44953</v>
      </c>
      <c r="E104" s="2">
        <v>3829</v>
      </c>
    </row>
    <row r="105" spans="1:5" x14ac:dyDescent="0.3">
      <c r="A105" t="s">
        <v>32</v>
      </c>
      <c r="B105" t="s">
        <v>11</v>
      </c>
      <c r="C105" t="s">
        <v>25</v>
      </c>
      <c r="D105" s="3">
        <v>44953</v>
      </c>
      <c r="E105" s="2">
        <v>7847</v>
      </c>
    </row>
    <row r="106" spans="1:5" x14ac:dyDescent="0.3">
      <c r="A106" t="s">
        <v>8</v>
      </c>
      <c r="B106" t="s">
        <v>16</v>
      </c>
      <c r="C106" t="s">
        <v>12</v>
      </c>
      <c r="D106" s="3">
        <v>44953</v>
      </c>
      <c r="E106" s="2">
        <v>12830</v>
      </c>
    </row>
    <row r="107" spans="1:5" x14ac:dyDescent="0.3">
      <c r="A107" t="s">
        <v>27</v>
      </c>
      <c r="B107" t="s">
        <v>21</v>
      </c>
      <c r="C107" t="s">
        <v>14</v>
      </c>
      <c r="D107" s="3">
        <v>44954</v>
      </c>
      <c r="E107" s="2">
        <v>7831</v>
      </c>
    </row>
    <row r="108" spans="1:5" x14ac:dyDescent="0.3">
      <c r="A108" t="s">
        <v>26</v>
      </c>
      <c r="B108" t="s">
        <v>16</v>
      </c>
      <c r="C108" t="s">
        <v>14</v>
      </c>
      <c r="D108" s="3">
        <v>44954</v>
      </c>
      <c r="E108" s="2">
        <v>4652</v>
      </c>
    </row>
    <row r="109" spans="1:5" x14ac:dyDescent="0.3">
      <c r="A109" t="s">
        <v>30</v>
      </c>
      <c r="B109" t="s">
        <v>6</v>
      </c>
      <c r="C109" t="s">
        <v>25</v>
      </c>
      <c r="D109" s="3">
        <v>44954</v>
      </c>
      <c r="E109" s="2">
        <v>7627</v>
      </c>
    </row>
    <row r="110" spans="1:5" x14ac:dyDescent="0.3">
      <c r="A110" t="s">
        <v>24</v>
      </c>
      <c r="B110" t="s">
        <v>9</v>
      </c>
      <c r="C110" t="s">
        <v>28</v>
      </c>
      <c r="D110" s="3">
        <v>44954</v>
      </c>
      <c r="E110" s="2">
        <v>3474</v>
      </c>
    </row>
    <row r="111" spans="1:5" x14ac:dyDescent="0.3">
      <c r="A111" t="s">
        <v>22</v>
      </c>
      <c r="B111" t="s">
        <v>11</v>
      </c>
      <c r="C111" t="s">
        <v>19</v>
      </c>
      <c r="D111" s="3">
        <v>44955</v>
      </c>
      <c r="E111" s="2">
        <v>8144</v>
      </c>
    </row>
    <row r="112" spans="1:5" x14ac:dyDescent="0.3">
      <c r="A112" t="s">
        <v>30</v>
      </c>
      <c r="B112" t="s">
        <v>16</v>
      </c>
      <c r="C112" t="s">
        <v>7</v>
      </c>
      <c r="D112" s="3">
        <v>44955</v>
      </c>
      <c r="E112" s="2">
        <v>8762</v>
      </c>
    </row>
    <row r="113" spans="1:5" x14ac:dyDescent="0.3">
      <c r="A113" t="s">
        <v>20</v>
      </c>
      <c r="B113" t="s">
        <v>21</v>
      </c>
      <c r="C113" t="s">
        <v>12</v>
      </c>
      <c r="D113" s="3">
        <v>44955</v>
      </c>
      <c r="E113" s="2">
        <v>1465</v>
      </c>
    </row>
    <row r="114" spans="1:5" x14ac:dyDescent="0.3">
      <c r="A114" t="s">
        <v>20</v>
      </c>
      <c r="B114" t="s">
        <v>6</v>
      </c>
      <c r="C114" t="s">
        <v>23</v>
      </c>
      <c r="D114" s="3">
        <v>44956</v>
      </c>
      <c r="E114" s="2">
        <v>6131</v>
      </c>
    </row>
    <row r="115" spans="1:5" x14ac:dyDescent="0.3">
      <c r="A115" t="s">
        <v>31</v>
      </c>
      <c r="B115" t="s">
        <v>16</v>
      </c>
      <c r="C115" t="s">
        <v>23</v>
      </c>
      <c r="D115" s="3">
        <v>44956</v>
      </c>
      <c r="E115" s="2">
        <v>9880</v>
      </c>
    </row>
    <row r="116" spans="1:5" x14ac:dyDescent="0.3">
      <c r="A116" t="s">
        <v>15</v>
      </c>
      <c r="B116" t="s">
        <v>16</v>
      </c>
      <c r="C116" t="s">
        <v>17</v>
      </c>
      <c r="D116" s="3">
        <v>44956</v>
      </c>
      <c r="E116" s="2">
        <v>9728</v>
      </c>
    </row>
    <row r="117" spans="1:5" x14ac:dyDescent="0.3">
      <c r="A117" t="s">
        <v>20</v>
      </c>
      <c r="B117" t="s">
        <v>11</v>
      </c>
      <c r="C117" t="s">
        <v>17</v>
      </c>
      <c r="D117" s="3">
        <v>44956</v>
      </c>
      <c r="E117" s="2">
        <v>4058</v>
      </c>
    </row>
    <row r="118" spans="1:5" x14ac:dyDescent="0.3">
      <c r="A118" t="s">
        <v>22</v>
      </c>
      <c r="B118" t="s">
        <v>9</v>
      </c>
      <c r="C118" t="s">
        <v>17</v>
      </c>
      <c r="D118" s="3">
        <v>44957</v>
      </c>
      <c r="E118" s="2">
        <v>10802</v>
      </c>
    </row>
    <row r="119" spans="1:5" x14ac:dyDescent="0.3">
      <c r="A119" t="s">
        <v>8</v>
      </c>
      <c r="B119" t="s">
        <v>11</v>
      </c>
      <c r="C119" t="s">
        <v>12</v>
      </c>
      <c r="D119" s="3">
        <v>44957</v>
      </c>
      <c r="E119" s="2">
        <v>2008</v>
      </c>
    </row>
    <row r="120" spans="1:5" x14ac:dyDescent="0.3">
      <c r="A120" t="s">
        <v>29</v>
      </c>
      <c r="B120" t="s">
        <v>21</v>
      </c>
      <c r="C120" t="s">
        <v>12</v>
      </c>
      <c r="D120" s="3">
        <v>44957</v>
      </c>
      <c r="E120" s="2">
        <v>10440</v>
      </c>
    </row>
    <row r="121" spans="1:5" x14ac:dyDescent="0.3">
      <c r="A121" t="s">
        <v>32</v>
      </c>
      <c r="B121" t="s">
        <v>11</v>
      </c>
      <c r="C121" t="s">
        <v>19</v>
      </c>
      <c r="D121" s="3">
        <v>44958</v>
      </c>
      <c r="E121" s="2">
        <v>8049</v>
      </c>
    </row>
    <row r="122" spans="1:5" x14ac:dyDescent="0.3">
      <c r="A122" t="s">
        <v>32</v>
      </c>
      <c r="B122" t="s">
        <v>6</v>
      </c>
      <c r="C122" t="s">
        <v>23</v>
      </c>
      <c r="D122" s="3">
        <v>44958</v>
      </c>
      <c r="E122" s="2">
        <v>5906</v>
      </c>
    </row>
    <row r="123" spans="1:5" x14ac:dyDescent="0.3">
      <c r="A123" t="s">
        <v>33</v>
      </c>
      <c r="B123" t="s">
        <v>11</v>
      </c>
      <c r="C123" t="s">
        <v>7</v>
      </c>
      <c r="D123" s="3">
        <v>44958</v>
      </c>
      <c r="E123" s="2">
        <v>10509</v>
      </c>
    </row>
    <row r="124" spans="1:5" x14ac:dyDescent="0.3">
      <c r="A124" t="s">
        <v>5</v>
      </c>
      <c r="B124" t="s">
        <v>9</v>
      </c>
      <c r="C124" t="s">
        <v>23</v>
      </c>
      <c r="D124" s="3">
        <v>44959</v>
      </c>
      <c r="E124" s="2">
        <v>10492</v>
      </c>
    </row>
    <row r="125" spans="1:5" x14ac:dyDescent="0.3">
      <c r="A125" t="s">
        <v>10</v>
      </c>
      <c r="B125" t="s">
        <v>16</v>
      </c>
      <c r="C125" t="s">
        <v>28</v>
      </c>
      <c r="D125" s="3">
        <v>44959</v>
      </c>
      <c r="E125" s="2">
        <v>11126</v>
      </c>
    </row>
    <row r="126" spans="1:5" x14ac:dyDescent="0.3">
      <c r="A126" t="s">
        <v>24</v>
      </c>
      <c r="B126" t="s">
        <v>6</v>
      </c>
      <c r="C126" t="s">
        <v>17</v>
      </c>
      <c r="D126" s="3">
        <v>44959</v>
      </c>
      <c r="E126" s="2">
        <v>13791</v>
      </c>
    </row>
    <row r="127" spans="1:5" x14ac:dyDescent="0.3">
      <c r="A127" t="s">
        <v>33</v>
      </c>
      <c r="B127" t="s">
        <v>6</v>
      </c>
      <c r="C127" t="s">
        <v>14</v>
      </c>
      <c r="D127" s="3">
        <v>44960</v>
      </c>
      <c r="E127" s="2">
        <v>2117</v>
      </c>
    </row>
    <row r="128" spans="1:5" x14ac:dyDescent="0.3">
      <c r="A128" t="s">
        <v>5</v>
      </c>
      <c r="B128" t="s">
        <v>21</v>
      </c>
      <c r="C128" t="s">
        <v>14</v>
      </c>
      <c r="D128" s="3">
        <v>44960</v>
      </c>
      <c r="E128" s="2">
        <v>8031</v>
      </c>
    </row>
    <row r="129" spans="1:5" x14ac:dyDescent="0.3">
      <c r="A129" t="s">
        <v>26</v>
      </c>
      <c r="B129" t="s">
        <v>16</v>
      </c>
      <c r="C129" t="s">
        <v>17</v>
      </c>
      <c r="D129" s="3">
        <v>44960</v>
      </c>
      <c r="E129" s="2">
        <v>13912</v>
      </c>
    </row>
    <row r="130" spans="1:5" x14ac:dyDescent="0.3">
      <c r="A130" t="s">
        <v>8</v>
      </c>
      <c r="B130" t="s">
        <v>11</v>
      </c>
      <c r="C130" t="s">
        <v>17</v>
      </c>
      <c r="D130" s="3">
        <v>44960</v>
      </c>
      <c r="E130" s="2">
        <v>12974</v>
      </c>
    </row>
    <row r="131" spans="1:5" x14ac:dyDescent="0.3">
      <c r="A131" t="s">
        <v>22</v>
      </c>
      <c r="B131" t="s">
        <v>21</v>
      </c>
      <c r="C131" t="s">
        <v>14</v>
      </c>
      <c r="D131" s="3">
        <v>44961</v>
      </c>
      <c r="E131" s="2">
        <v>13486</v>
      </c>
    </row>
    <row r="132" spans="1:5" x14ac:dyDescent="0.3">
      <c r="A132" t="s">
        <v>18</v>
      </c>
      <c r="B132" t="s">
        <v>16</v>
      </c>
      <c r="C132" t="s">
        <v>23</v>
      </c>
      <c r="D132" s="3">
        <v>44961</v>
      </c>
      <c r="E132" s="2">
        <v>12309</v>
      </c>
    </row>
    <row r="133" spans="1:5" x14ac:dyDescent="0.3">
      <c r="A133" t="s">
        <v>24</v>
      </c>
      <c r="B133" t="s">
        <v>9</v>
      </c>
      <c r="C133" t="s">
        <v>25</v>
      </c>
      <c r="D133" s="3">
        <v>44961</v>
      </c>
      <c r="E133" s="2">
        <v>10110</v>
      </c>
    </row>
    <row r="134" spans="1:5" x14ac:dyDescent="0.3">
      <c r="A134" t="s">
        <v>22</v>
      </c>
      <c r="B134" t="s">
        <v>16</v>
      </c>
      <c r="C134" t="s">
        <v>7</v>
      </c>
      <c r="D134" s="3">
        <v>44961</v>
      </c>
      <c r="E134" s="2">
        <v>9014</v>
      </c>
    </row>
    <row r="135" spans="1:5" x14ac:dyDescent="0.3">
      <c r="A135" t="s">
        <v>22</v>
      </c>
      <c r="B135" t="s">
        <v>6</v>
      </c>
      <c r="C135" t="s">
        <v>7</v>
      </c>
      <c r="D135" s="3">
        <v>44961</v>
      </c>
      <c r="E135" s="2">
        <v>11082</v>
      </c>
    </row>
    <row r="136" spans="1:5" x14ac:dyDescent="0.3">
      <c r="A136" t="s">
        <v>8</v>
      </c>
      <c r="B136" t="s">
        <v>9</v>
      </c>
      <c r="C136" t="s">
        <v>7</v>
      </c>
      <c r="D136" s="3">
        <v>44961</v>
      </c>
      <c r="E136" s="2">
        <v>6334</v>
      </c>
    </row>
    <row r="137" spans="1:5" x14ac:dyDescent="0.3">
      <c r="A137" t="s">
        <v>26</v>
      </c>
      <c r="B137" t="s">
        <v>21</v>
      </c>
      <c r="C137" t="s">
        <v>28</v>
      </c>
      <c r="D137" s="3">
        <v>44961</v>
      </c>
      <c r="E137" s="2">
        <v>13996</v>
      </c>
    </row>
    <row r="138" spans="1:5" x14ac:dyDescent="0.3">
      <c r="A138" t="s">
        <v>26</v>
      </c>
      <c r="B138" t="s">
        <v>16</v>
      </c>
      <c r="C138" t="s">
        <v>17</v>
      </c>
      <c r="D138" s="3">
        <v>44961</v>
      </c>
      <c r="E138" s="2">
        <v>4675</v>
      </c>
    </row>
    <row r="139" spans="1:5" x14ac:dyDescent="0.3">
      <c r="A139" t="s">
        <v>22</v>
      </c>
      <c r="B139" t="s">
        <v>11</v>
      </c>
      <c r="C139" t="s">
        <v>19</v>
      </c>
      <c r="D139" s="3">
        <v>44962</v>
      </c>
      <c r="E139" s="2">
        <v>13775</v>
      </c>
    </row>
    <row r="140" spans="1:5" x14ac:dyDescent="0.3">
      <c r="A140" t="s">
        <v>15</v>
      </c>
      <c r="B140" t="s">
        <v>21</v>
      </c>
      <c r="C140" t="s">
        <v>23</v>
      </c>
      <c r="D140" s="3">
        <v>44962</v>
      </c>
      <c r="E140" s="2">
        <v>5803</v>
      </c>
    </row>
    <row r="141" spans="1:5" x14ac:dyDescent="0.3">
      <c r="A141" t="s">
        <v>29</v>
      </c>
      <c r="B141" t="s">
        <v>13</v>
      </c>
      <c r="C141" t="s">
        <v>25</v>
      </c>
      <c r="D141" s="3">
        <v>44962</v>
      </c>
      <c r="E141" s="2">
        <v>1637</v>
      </c>
    </row>
    <row r="142" spans="1:5" x14ac:dyDescent="0.3">
      <c r="A142" t="s">
        <v>15</v>
      </c>
      <c r="B142" t="s">
        <v>16</v>
      </c>
      <c r="C142" t="s">
        <v>28</v>
      </c>
      <c r="D142" s="3">
        <v>44962</v>
      </c>
      <c r="E142" s="2">
        <v>1865</v>
      </c>
    </row>
    <row r="143" spans="1:5" x14ac:dyDescent="0.3">
      <c r="A143" t="s">
        <v>26</v>
      </c>
      <c r="B143" t="s">
        <v>9</v>
      </c>
      <c r="C143" t="s">
        <v>28</v>
      </c>
      <c r="D143" s="3">
        <v>44962</v>
      </c>
      <c r="E143" s="2">
        <v>3711</v>
      </c>
    </row>
    <row r="144" spans="1:5" x14ac:dyDescent="0.3">
      <c r="A144" t="s">
        <v>27</v>
      </c>
      <c r="B144" t="s">
        <v>21</v>
      </c>
      <c r="C144" t="s">
        <v>17</v>
      </c>
      <c r="D144" s="3">
        <v>44962</v>
      </c>
      <c r="E144" s="2">
        <v>13128</v>
      </c>
    </row>
    <row r="145" spans="1:5" x14ac:dyDescent="0.3">
      <c r="A145" t="s">
        <v>29</v>
      </c>
      <c r="B145" t="s">
        <v>16</v>
      </c>
      <c r="C145" t="s">
        <v>19</v>
      </c>
      <c r="D145" s="3">
        <v>44963</v>
      </c>
      <c r="E145" s="2">
        <v>1157</v>
      </c>
    </row>
    <row r="146" spans="1:5" x14ac:dyDescent="0.3">
      <c r="A146" t="s">
        <v>8</v>
      </c>
      <c r="B146" t="s">
        <v>13</v>
      </c>
      <c r="C146" t="s">
        <v>17</v>
      </c>
      <c r="D146" s="3">
        <v>44963</v>
      </c>
      <c r="E146" s="2">
        <v>12766</v>
      </c>
    </row>
    <row r="147" spans="1:5" x14ac:dyDescent="0.3">
      <c r="A147" t="s">
        <v>22</v>
      </c>
      <c r="B147" t="s">
        <v>9</v>
      </c>
      <c r="C147" t="s">
        <v>14</v>
      </c>
      <c r="D147" s="3">
        <v>44964</v>
      </c>
      <c r="E147" s="2">
        <v>4057</v>
      </c>
    </row>
    <row r="148" spans="1:5" x14ac:dyDescent="0.3">
      <c r="A148" t="s">
        <v>33</v>
      </c>
      <c r="B148" t="s">
        <v>16</v>
      </c>
      <c r="C148" t="s">
        <v>19</v>
      </c>
      <c r="D148" s="3">
        <v>44964</v>
      </c>
      <c r="E148" s="2">
        <v>7518</v>
      </c>
    </row>
    <row r="149" spans="1:5" x14ac:dyDescent="0.3">
      <c r="A149" t="s">
        <v>8</v>
      </c>
      <c r="B149" t="s">
        <v>16</v>
      </c>
      <c r="C149" t="s">
        <v>25</v>
      </c>
      <c r="D149" s="3">
        <v>44964</v>
      </c>
      <c r="E149" s="2">
        <v>1531</v>
      </c>
    </row>
    <row r="150" spans="1:5" x14ac:dyDescent="0.3">
      <c r="A150" t="s">
        <v>20</v>
      </c>
      <c r="B150" t="s">
        <v>16</v>
      </c>
      <c r="C150" t="s">
        <v>25</v>
      </c>
      <c r="D150" s="3">
        <v>44964</v>
      </c>
      <c r="E150" s="2">
        <v>7400</v>
      </c>
    </row>
    <row r="151" spans="1:5" x14ac:dyDescent="0.3">
      <c r="A151" t="s">
        <v>24</v>
      </c>
      <c r="B151" t="s">
        <v>6</v>
      </c>
      <c r="C151" t="s">
        <v>25</v>
      </c>
      <c r="D151" s="3">
        <v>44964</v>
      </c>
      <c r="E151" s="2">
        <v>1720</v>
      </c>
    </row>
    <row r="152" spans="1:5" x14ac:dyDescent="0.3">
      <c r="A152" t="s">
        <v>15</v>
      </c>
      <c r="B152" t="s">
        <v>21</v>
      </c>
      <c r="C152" t="s">
        <v>17</v>
      </c>
      <c r="D152" s="3">
        <v>44964</v>
      </c>
      <c r="E152" s="2">
        <v>13636</v>
      </c>
    </row>
    <row r="153" spans="1:5" x14ac:dyDescent="0.3">
      <c r="A153" t="s">
        <v>22</v>
      </c>
      <c r="B153" t="s">
        <v>9</v>
      </c>
      <c r="C153" t="s">
        <v>12</v>
      </c>
      <c r="D153" s="3">
        <v>44964</v>
      </c>
      <c r="E153" s="2">
        <v>4129</v>
      </c>
    </row>
    <row r="154" spans="1:5" x14ac:dyDescent="0.3">
      <c r="A154" t="s">
        <v>18</v>
      </c>
      <c r="B154" t="s">
        <v>21</v>
      </c>
      <c r="C154" t="s">
        <v>14</v>
      </c>
      <c r="D154" s="3">
        <v>44965</v>
      </c>
      <c r="E154" s="2">
        <v>11480</v>
      </c>
    </row>
    <row r="155" spans="1:5" x14ac:dyDescent="0.3">
      <c r="A155" t="s">
        <v>15</v>
      </c>
      <c r="B155" t="s">
        <v>21</v>
      </c>
      <c r="C155" t="s">
        <v>19</v>
      </c>
      <c r="D155" s="3">
        <v>44965</v>
      </c>
      <c r="E155" s="2">
        <v>12023</v>
      </c>
    </row>
    <row r="156" spans="1:5" x14ac:dyDescent="0.3">
      <c r="A156" t="s">
        <v>15</v>
      </c>
      <c r="B156" t="s">
        <v>11</v>
      </c>
      <c r="C156" t="s">
        <v>19</v>
      </c>
      <c r="D156" s="3">
        <v>44965</v>
      </c>
      <c r="E156" s="2">
        <v>10552</v>
      </c>
    </row>
    <row r="157" spans="1:5" x14ac:dyDescent="0.3">
      <c r="A157" t="s">
        <v>30</v>
      </c>
      <c r="B157" t="s">
        <v>9</v>
      </c>
      <c r="C157" t="s">
        <v>23</v>
      </c>
      <c r="D157" s="3">
        <v>44965</v>
      </c>
      <c r="E157" s="2">
        <v>10607</v>
      </c>
    </row>
    <row r="158" spans="1:5" x14ac:dyDescent="0.3">
      <c r="A158" t="s">
        <v>30</v>
      </c>
      <c r="B158" t="s">
        <v>9</v>
      </c>
      <c r="C158" t="s">
        <v>28</v>
      </c>
      <c r="D158" s="3">
        <v>44965</v>
      </c>
      <c r="E158" s="2">
        <v>9584</v>
      </c>
    </row>
    <row r="159" spans="1:5" x14ac:dyDescent="0.3">
      <c r="A159" t="s">
        <v>10</v>
      </c>
      <c r="B159" t="s">
        <v>21</v>
      </c>
      <c r="C159" t="s">
        <v>28</v>
      </c>
      <c r="D159" s="3">
        <v>44965</v>
      </c>
      <c r="E159" s="2">
        <v>9302</v>
      </c>
    </row>
    <row r="160" spans="1:5" x14ac:dyDescent="0.3">
      <c r="A160" t="s">
        <v>26</v>
      </c>
      <c r="B160" t="s">
        <v>16</v>
      </c>
      <c r="C160" t="s">
        <v>17</v>
      </c>
      <c r="D160" s="3">
        <v>44965</v>
      </c>
      <c r="E160" s="2">
        <v>5925</v>
      </c>
    </row>
    <row r="161" spans="1:5" x14ac:dyDescent="0.3">
      <c r="A161" t="s">
        <v>29</v>
      </c>
      <c r="B161" t="s">
        <v>9</v>
      </c>
      <c r="C161" t="s">
        <v>19</v>
      </c>
      <c r="D161" s="3">
        <v>44966</v>
      </c>
      <c r="E161" s="2">
        <v>1679</v>
      </c>
    </row>
    <row r="162" spans="1:5" x14ac:dyDescent="0.3">
      <c r="A162" t="s">
        <v>29</v>
      </c>
      <c r="B162" t="s">
        <v>21</v>
      </c>
      <c r="C162" t="s">
        <v>25</v>
      </c>
      <c r="D162" s="3">
        <v>44966</v>
      </c>
      <c r="E162" s="2">
        <v>1618</v>
      </c>
    </row>
    <row r="163" spans="1:5" x14ac:dyDescent="0.3">
      <c r="A163" t="s">
        <v>10</v>
      </c>
      <c r="B163" t="s">
        <v>11</v>
      </c>
      <c r="C163" t="s">
        <v>7</v>
      </c>
      <c r="D163" s="3">
        <v>44966</v>
      </c>
      <c r="E163" s="2">
        <v>8925</v>
      </c>
    </row>
    <row r="164" spans="1:5" x14ac:dyDescent="0.3">
      <c r="A164" t="s">
        <v>33</v>
      </c>
      <c r="B164" t="s">
        <v>21</v>
      </c>
      <c r="C164" t="s">
        <v>17</v>
      </c>
      <c r="D164" s="3">
        <v>44966</v>
      </c>
      <c r="E164" s="2">
        <v>5852</v>
      </c>
    </row>
    <row r="165" spans="1:5" x14ac:dyDescent="0.3">
      <c r="A165" t="s">
        <v>27</v>
      </c>
      <c r="B165" t="s">
        <v>6</v>
      </c>
      <c r="C165" t="s">
        <v>25</v>
      </c>
      <c r="D165" s="3">
        <v>44967</v>
      </c>
      <c r="E165" s="2">
        <v>13078</v>
      </c>
    </row>
    <row r="166" spans="1:5" x14ac:dyDescent="0.3">
      <c r="A166" t="s">
        <v>31</v>
      </c>
      <c r="B166" t="s">
        <v>13</v>
      </c>
      <c r="C166" t="s">
        <v>25</v>
      </c>
      <c r="D166" s="3">
        <v>44967</v>
      </c>
      <c r="E166" s="2">
        <v>4231</v>
      </c>
    </row>
    <row r="167" spans="1:5" x14ac:dyDescent="0.3">
      <c r="A167" t="s">
        <v>30</v>
      </c>
      <c r="B167" t="s">
        <v>6</v>
      </c>
      <c r="C167" t="s">
        <v>28</v>
      </c>
      <c r="D167" s="3">
        <v>44967</v>
      </c>
      <c r="E167" s="2">
        <v>4531</v>
      </c>
    </row>
    <row r="168" spans="1:5" x14ac:dyDescent="0.3">
      <c r="A168" t="s">
        <v>30</v>
      </c>
      <c r="B168" t="s">
        <v>21</v>
      </c>
      <c r="C168" t="s">
        <v>17</v>
      </c>
      <c r="D168" s="3">
        <v>44967</v>
      </c>
      <c r="E168" s="2">
        <v>2247</v>
      </c>
    </row>
    <row r="169" spans="1:5" x14ac:dyDescent="0.3">
      <c r="A169" t="s">
        <v>10</v>
      </c>
      <c r="B169" t="s">
        <v>6</v>
      </c>
      <c r="C169" t="s">
        <v>19</v>
      </c>
      <c r="D169" s="3">
        <v>44968</v>
      </c>
      <c r="E169" s="2">
        <v>4300</v>
      </c>
    </row>
    <row r="170" spans="1:5" x14ac:dyDescent="0.3">
      <c r="A170" t="s">
        <v>5</v>
      </c>
      <c r="B170" t="s">
        <v>13</v>
      </c>
      <c r="C170" t="s">
        <v>25</v>
      </c>
      <c r="D170" s="3">
        <v>44968</v>
      </c>
      <c r="E170" s="2">
        <v>11304</v>
      </c>
    </row>
    <row r="171" spans="1:5" x14ac:dyDescent="0.3">
      <c r="A171" t="s">
        <v>29</v>
      </c>
      <c r="B171" t="s">
        <v>11</v>
      </c>
      <c r="C171" t="s">
        <v>17</v>
      </c>
      <c r="D171" s="3">
        <v>44968</v>
      </c>
      <c r="E171" s="2">
        <v>11396</v>
      </c>
    </row>
    <row r="172" spans="1:5" x14ac:dyDescent="0.3">
      <c r="A172" t="s">
        <v>20</v>
      </c>
      <c r="B172" t="s">
        <v>9</v>
      </c>
      <c r="C172" t="s">
        <v>12</v>
      </c>
      <c r="D172" s="3">
        <v>44968</v>
      </c>
      <c r="E172" s="2">
        <v>9489</v>
      </c>
    </row>
    <row r="173" spans="1:5" x14ac:dyDescent="0.3">
      <c r="A173" t="s">
        <v>31</v>
      </c>
      <c r="B173" t="s">
        <v>16</v>
      </c>
      <c r="C173" t="s">
        <v>23</v>
      </c>
      <c r="D173" s="3">
        <v>44969</v>
      </c>
      <c r="E173" s="2">
        <v>2574</v>
      </c>
    </row>
    <row r="174" spans="1:5" x14ac:dyDescent="0.3">
      <c r="A174" t="s">
        <v>18</v>
      </c>
      <c r="B174" t="s">
        <v>11</v>
      </c>
      <c r="C174" t="s">
        <v>25</v>
      </c>
      <c r="D174" s="3">
        <v>44969</v>
      </c>
      <c r="E174" s="2">
        <v>10632</v>
      </c>
    </row>
    <row r="175" spans="1:5" x14ac:dyDescent="0.3">
      <c r="A175" t="s">
        <v>22</v>
      </c>
      <c r="B175" t="s">
        <v>9</v>
      </c>
      <c r="C175" t="s">
        <v>28</v>
      </c>
      <c r="D175" s="3">
        <v>44969</v>
      </c>
      <c r="E175" s="2">
        <v>9798</v>
      </c>
    </row>
    <row r="176" spans="1:5" x14ac:dyDescent="0.3">
      <c r="A176" t="s">
        <v>26</v>
      </c>
      <c r="B176" t="s">
        <v>6</v>
      </c>
      <c r="C176" t="s">
        <v>17</v>
      </c>
      <c r="D176" s="3">
        <v>44969</v>
      </c>
      <c r="E176" s="2">
        <v>10098</v>
      </c>
    </row>
    <row r="177" spans="1:5" x14ac:dyDescent="0.3">
      <c r="A177" t="s">
        <v>18</v>
      </c>
      <c r="B177" t="s">
        <v>9</v>
      </c>
      <c r="C177" t="s">
        <v>14</v>
      </c>
      <c r="D177" s="3">
        <v>44970</v>
      </c>
      <c r="E177" s="2">
        <v>4863</v>
      </c>
    </row>
    <row r="178" spans="1:5" x14ac:dyDescent="0.3">
      <c r="A178" t="s">
        <v>24</v>
      </c>
      <c r="B178" t="s">
        <v>21</v>
      </c>
      <c r="C178" t="s">
        <v>14</v>
      </c>
      <c r="D178" s="3">
        <v>44970</v>
      </c>
      <c r="E178" s="2">
        <v>3867</v>
      </c>
    </row>
    <row r="179" spans="1:5" x14ac:dyDescent="0.3">
      <c r="A179" t="s">
        <v>18</v>
      </c>
      <c r="B179" t="s">
        <v>21</v>
      </c>
      <c r="C179" t="s">
        <v>19</v>
      </c>
      <c r="D179" s="3">
        <v>44970</v>
      </c>
      <c r="E179" s="2">
        <v>9785</v>
      </c>
    </row>
    <row r="180" spans="1:5" x14ac:dyDescent="0.3">
      <c r="A180" t="s">
        <v>27</v>
      </c>
      <c r="B180" t="s">
        <v>16</v>
      </c>
      <c r="C180" t="s">
        <v>25</v>
      </c>
      <c r="D180" s="3">
        <v>44970</v>
      </c>
      <c r="E180" s="2">
        <v>4955</v>
      </c>
    </row>
    <row r="181" spans="1:5" x14ac:dyDescent="0.3">
      <c r="A181" t="s">
        <v>8</v>
      </c>
      <c r="B181" t="s">
        <v>13</v>
      </c>
      <c r="C181" t="s">
        <v>25</v>
      </c>
      <c r="D181" s="3">
        <v>44970</v>
      </c>
      <c r="E181" s="2">
        <v>11466</v>
      </c>
    </row>
    <row r="182" spans="1:5" x14ac:dyDescent="0.3">
      <c r="A182" t="s">
        <v>18</v>
      </c>
      <c r="B182" t="s">
        <v>11</v>
      </c>
      <c r="C182" t="s">
        <v>17</v>
      </c>
      <c r="D182" s="3">
        <v>44970</v>
      </c>
      <c r="E182" s="2">
        <v>1310</v>
      </c>
    </row>
    <row r="183" spans="1:5" x14ac:dyDescent="0.3">
      <c r="A183" t="s">
        <v>33</v>
      </c>
      <c r="B183" t="s">
        <v>9</v>
      </c>
      <c r="C183" t="s">
        <v>12</v>
      </c>
      <c r="D183" s="3">
        <v>44970</v>
      </c>
      <c r="E183" s="2">
        <v>8213</v>
      </c>
    </row>
    <row r="184" spans="1:5" x14ac:dyDescent="0.3">
      <c r="A184" t="s">
        <v>27</v>
      </c>
      <c r="B184" t="s">
        <v>16</v>
      </c>
      <c r="C184" t="s">
        <v>23</v>
      </c>
      <c r="D184" s="3">
        <v>44971</v>
      </c>
      <c r="E184" s="2">
        <v>8787</v>
      </c>
    </row>
    <row r="185" spans="1:5" x14ac:dyDescent="0.3">
      <c r="A185" t="s">
        <v>22</v>
      </c>
      <c r="B185" t="s">
        <v>16</v>
      </c>
      <c r="C185" t="s">
        <v>23</v>
      </c>
      <c r="D185" s="3">
        <v>44971</v>
      </c>
      <c r="E185" s="2">
        <v>2220</v>
      </c>
    </row>
    <row r="186" spans="1:5" x14ac:dyDescent="0.3">
      <c r="A186" t="s">
        <v>10</v>
      </c>
      <c r="B186" t="s">
        <v>9</v>
      </c>
      <c r="C186" t="s">
        <v>25</v>
      </c>
      <c r="D186" s="3">
        <v>44971</v>
      </c>
      <c r="E186" s="2">
        <v>9351</v>
      </c>
    </row>
    <row r="187" spans="1:5" x14ac:dyDescent="0.3">
      <c r="A187" t="s">
        <v>24</v>
      </c>
      <c r="B187" t="s">
        <v>16</v>
      </c>
      <c r="C187" t="s">
        <v>25</v>
      </c>
      <c r="D187" s="3">
        <v>44971</v>
      </c>
      <c r="E187" s="2">
        <v>3112</v>
      </c>
    </row>
    <row r="188" spans="1:5" x14ac:dyDescent="0.3">
      <c r="A188" t="s">
        <v>32</v>
      </c>
      <c r="B188" t="s">
        <v>11</v>
      </c>
      <c r="C188" t="s">
        <v>19</v>
      </c>
      <c r="D188" s="3">
        <v>44972</v>
      </c>
      <c r="E188" s="2">
        <v>6398</v>
      </c>
    </row>
    <row r="189" spans="1:5" x14ac:dyDescent="0.3">
      <c r="A189" t="s">
        <v>33</v>
      </c>
      <c r="B189" t="s">
        <v>21</v>
      </c>
      <c r="C189" t="s">
        <v>19</v>
      </c>
      <c r="D189" s="3">
        <v>44972</v>
      </c>
      <c r="E189" s="2">
        <v>4971</v>
      </c>
    </row>
    <row r="190" spans="1:5" x14ac:dyDescent="0.3">
      <c r="A190" t="s">
        <v>24</v>
      </c>
      <c r="B190" t="s">
        <v>13</v>
      </c>
      <c r="C190" t="s">
        <v>23</v>
      </c>
      <c r="D190" s="3">
        <v>44972</v>
      </c>
      <c r="E190" s="2">
        <v>9276</v>
      </c>
    </row>
    <row r="191" spans="1:5" x14ac:dyDescent="0.3">
      <c r="A191" t="s">
        <v>30</v>
      </c>
      <c r="B191" t="s">
        <v>13</v>
      </c>
      <c r="C191" t="s">
        <v>25</v>
      </c>
      <c r="D191" s="3">
        <v>44972</v>
      </c>
      <c r="E191" s="2">
        <v>4009</v>
      </c>
    </row>
    <row r="192" spans="1:5" x14ac:dyDescent="0.3">
      <c r="A192" t="s">
        <v>30</v>
      </c>
      <c r="B192" t="s">
        <v>9</v>
      </c>
      <c r="C192" t="s">
        <v>14</v>
      </c>
      <c r="D192" s="3">
        <v>44973</v>
      </c>
      <c r="E192" s="2">
        <v>4086</v>
      </c>
    </row>
    <row r="193" spans="1:5" x14ac:dyDescent="0.3">
      <c r="A193" t="s">
        <v>33</v>
      </c>
      <c r="B193" t="s">
        <v>13</v>
      </c>
      <c r="C193" t="s">
        <v>25</v>
      </c>
      <c r="D193" s="3">
        <v>44973</v>
      </c>
      <c r="E193" s="2">
        <v>6241</v>
      </c>
    </row>
    <row r="194" spans="1:5" x14ac:dyDescent="0.3">
      <c r="A194" t="s">
        <v>22</v>
      </c>
      <c r="B194" t="s">
        <v>16</v>
      </c>
      <c r="C194" t="s">
        <v>17</v>
      </c>
      <c r="D194" s="3">
        <v>44973</v>
      </c>
      <c r="E194" s="2">
        <v>8805</v>
      </c>
    </row>
    <row r="195" spans="1:5" x14ac:dyDescent="0.3">
      <c r="A195" t="s">
        <v>32</v>
      </c>
      <c r="B195" t="s">
        <v>9</v>
      </c>
      <c r="C195" t="s">
        <v>17</v>
      </c>
      <c r="D195" s="3">
        <v>44973</v>
      </c>
      <c r="E195" s="2">
        <v>9621</v>
      </c>
    </row>
    <row r="196" spans="1:5" x14ac:dyDescent="0.3">
      <c r="A196" t="s">
        <v>22</v>
      </c>
      <c r="B196" t="s">
        <v>13</v>
      </c>
      <c r="C196" t="s">
        <v>12</v>
      </c>
      <c r="D196" s="3">
        <v>44973</v>
      </c>
      <c r="E196" s="2">
        <v>8282</v>
      </c>
    </row>
    <row r="197" spans="1:5" x14ac:dyDescent="0.3">
      <c r="A197" t="s">
        <v>32</v>
      </c>
      <c r="B197" t="s">
        <v>11</v>
      </c>
      <c r="C197" t="s">
        <v>25</v>
      </c>
      <c r="D197" s="3">
        <v>44974</v>
      </c>
      <c r="E197" s="2">
        <v>1516</v>
      </c>
    </row>
    <row r="198" spans="1:5" x14ac:dyDescent="0.3">
      <c r="A198" t="s">
        <v>27</v>
      </c>
      <c r="B198" t="s">
        <v>11</v>
      </c>
      <c r="C198" t="s">
        <v>17</v>
      </c>
      <c r="D198" s="3">
        <v>44974</v>
      </c>
      <c r="E198" s="2">
        <v>12805</v>
      </c>
    </row>
    <row r="199" spans="1:5" x14ac:dyDescent="0.3">
      <c r="A199" t="s">
        <v>26</v>
      </c>
      <c r="B199" t="s">
        <v>21</v>
      </c>
      <c r="C199" t="s">
        <v>14</v>
      </c>
      <c r="D199" s="3">
        <v>44975</v>
      </c>
      <c r="E199" s="2">
        <v>8109</v>
      </c>
    </row>
    <row r="200" spans="1:5" x14ac:dyDescent="0.3">
      <c r="A200" t="s">
        <v>20</v>
      </c>
      <c r="B200" t="s">
        <v>9</v>
      </c>
      <c r="C200" t="s">
        <v>14</v>
      </c>
      <c r="D200" s="3">
        <v>44975</v>
      </c>
      <c r="E200" s="2">
        <v>2392</v>
      </c>
    </row>
    <row r="201" spans="1:5" x14ac:dyDescent="0.3">
      <c r="A201" t="s">
        <v>15</v>
      </c>
      <c r="B201" t="s">
        <v>16</v>
      </c>
      <c r="C201" t="s">
        <v>25</v>
      </c>
      <c r="D201" s="3">
        <v>44975</v>
      </c>
      <c r="E201" s="2">
        <v>4938</v>
      </c>
    </row>
    <row r="202" spans="1:5" x14ac:dyDescent="0.3">
      <c r="A202" t="s">
        <v>31</v>
      </c>
      <c r="B202" t="s">
        <v>13</v>
      </c>
      <c r="C202" t="s">
        <v>25</v>
      </c>
      <c r="D202" s="3">
        <v>44975</v>
      </c>
      <c r="E202" s="2">
        <v>3125</v>
      </c>
    </row>
    <row r="203" spans="1:5" x14ac:dyDescent="0.3">
      <c r="A203" t="s">
        <v>27</v>
      </c>
      <c r="B203" t="s">
        <v>11</v>
      </c>
      <c r="C203" t="s">
        <v>25</v>
      </c>
      <c r="D203" s="3">
        <v>44975</v>
      </c>
      <c r="E203" s="2">
        <v>7513</v>
      </c>
    </row>
    <row r="204" spans="1:5" x14ac:dyDescent="0.3">
      <c r="A204" t="s">
        <v>32</v>
      </c>
      <c r="B204" t="s">
        <v>13</v>
      </c>
      <c r="C204" t="s">
        <v>7</v>
      </c>
      <c r="D204" s="3">
        <v>44975</v>
      </c>
      <c r="E204" s="2">
        <v>9785</v>
      </c>
    </row>
    <row r="205" spans="1:5" x14ac:dyDescent="0.3">
      <c r="A205" t="s">
        <v>8</v>
      </c>
      <c r="B205" t="s">
        <v>13</v>
      </c>
      <c r="C205" t="s">
        <v>7</v>
      </c>
      <c r="D205" s="3">
        <v>44975</v>
      </c>
      <c r="E205" s="2">
        <v>10024</v>
      </c>
    </row>
    <row r="206" spans="1:5" x14ac:dyDescent="0.3">
      <c r="A206" t="s">
        <v>22</v>
      </c>
      <c r="B206" t="s">
        <v>13</v>
      </c>
      <c r="C206" t="s">
        <v>17</v>
      </c>
      <c r="D206" s="3">
        <v>44975</v>
      </c>
      <c r="E206" s="2">
        <v>1451</v>
      </c>
    </row>
    <row r="207" spans="1:5" x14ac:dyDescent="0.3">
      <c r="A207" t="s">
        <v>10</v>
      </c>
      <c r="B207" t="s">
        <v>16</v>
      </c>
      <c r="C207" t="s">
        <v>12</v>
      </c>
      <c r="D207" s="3">
        <v>44975</v>
      </c>
      <c r="E207" s="2">
        <v>1633</v>
      </c>
    </row>
    <row r="208" spans="1:5" x14ac:dyDescent="0.3">
      <c r="A208" t="s">
        <v>32</v>
      </c>
      <c r="B208" t="s">
        <v>16</v>
      </c>
      <c r="C208" t="s">
        <v>25</v>
      </c>
      <c r="D208" s="3">
        <v>44976</v>
      </c>
      <c r="E208" s="2">
        <v>8722</v>
      </c>
    </row>
    <row r="209" spans="1:5" x14ac:dyDescent="0.3">
      <c r="A209" t="s">
        <v>10</v>
      </c>
      <c r="B209" t="s">
        <v>13</v>
      </c>
      <c r="C209" t="s">
        <v>14</v>
      </c>
      <c r="D209" s="3">
        <v>44977</v>
      </c>
      <c r="E209" s="2">
        <v>13358</v>
      </c>
    </row>
    <row r="210" spans="1:5" x14ac:dyDescent="0.3">
      <c r="A210" t="s">
        <v>24</v>
      </c>
      <c r="B210" t="s">
        <v>6</v>
      </c>
      <c r="C210" t="s">
        <v>7</v>
      </c>
      <c r="D210" s="3">
        <v>44977</v>
      </c>
      <c r="E210" s="2">
        <v>1180</v>
      </c>
    </row>
    <row r="211" spans="1:5" x14ac:dyDescent="0.3">
      <c r="A211" t="s">
        <v>24</v>
      </c>
      <c r="B211" t="s">
        <v>21</v>
      </c>
      <c r="C211" t="s">
        <v>28</v>
      </c>
      <c r="D211" s="3">
        <v>44977</v>
      </c>
      <c r="E211" s="2">
        <v>3973</v>
      </c>
    </row>
    <row r="212" spans="1:5" x14ac:dyDescent="0.3">
      <c r="A212" t="s">
        <v>20</v>
      </c>
      <c r="B212" t="s">
        <v>11</v>
      </c>
      <c r="C212" t="s">
        <v>28</v>
      </c>
      <c r="D212" s="3">
        <v>44977</v>
      </c>
      <c r="E212" s="2">
        <v>10762</v>
      </c>
    </row>
    <row r="213" spans="1:5" x14ac:dyDescent="0.3">
      <c r="A213" t="s">
        <v>15</v>
      </c>
      <c r="B213" t="s">
        <v>13</v>
      </c>
      <c r="C213" t="s">
        <v>19</v>
      </c>
      <c r="D213" s="3">
        <v>44978</v>
      </c>
      <c r="E213" s="2">
        <v>2207</v>
      </c>
    </row>
    <row r="214" spans="1:5" x14ac:dyDescent="0.3">
      <c r="A214" t="s">
        <v>29</v>
      </c>
      <c r="B214" t="s">
        <v>6</v>
      </c>
      <c r="C214" t="s">
        <v>23</v>
      </c>
      <c r="D214" s="3">
        <v>44978</v>
      </c>
      <c r="E214" s="2">
        <v>6279</v>
      </c>
    </row>
    <row r="215" spans="1:5" x14ac:dyDescent="0.3">
      <c r="A215" t="s">
        <v>32</v>
      </c>
      <c r="B215" t="s">
        <v>16</v>
      </c>
      <c r="C215" t="s">
        <v>23</v>
      </c>
      <c r="D215" s="3">
        <v>44978</v>
      </c>
      <c r="E215" s="2">
        <v>10701</v>
      </c>
    </row>
    <row r="216" spans="1:5" x14ac:dyDescent="0.3">
      <c r="A216" t="s">
        <v>32</v>
      </c>
      <c r="B216" t="s">
        <v>11</v>
      </c>
      <c r="C216" t="s">
        <v>25</v>
      </c>
      <c r="D216" s="3">
        <v>44978</v>
      </c>
      <c r="E216" s="2">
        <v>2073</v>
      </c>
    </row>
    <row r="217" spans="1:5" x14ac:dyDescent="0.3">
      <c r="A217" t="s">
        <v>26</v>
      </c>
      <c r="B217" t="s">
        <v>16</v>
      </c>
      <c r="C217" t="s">
        <v>14</v>
      </c>
      <c r="D217" s="3">
        <v>44979</v>
      </c>
      <c r="E217" s="2">
        <v>8366</v>
      </c>
    </row>
    <row r="218" spans="1:5" x14ac:dyDescent="0.3">
      <c r="A218" t="s">
        <v>10</v>
      </c>
      <c r="B218" t="s">
        <v>6</v>
      </c>
      <c r="C218" t="s">
        <v>25</v>
      </c>
      <c r="D218" s="3">
        <v>44979</v>
      </c>
      <c r="E218" s="2">
        <v>10058</v>
      </c>
    </row>
    <row r="219" spans="1:5" x14ac:dyDescent="0.3">
      <c r="A219" t="s">
        <v>5</v>
      </c>
      <c r="B219" t="s">
        <v>6</v>
      </c>
      <c r="C219" t="s">
        <v>25</v>
      </c>
      <c r="D219" s="3">
        <v>44979</v>
      </c>
      <c r="E219" s="2">
        <v>7459</v>
      </c>
    </row>
    <row r="220" spans="1:5" x14ac:dyDescent="0.3">
      <c r="A220" t="s">
        <v>8</v>
      </c>
      <c r="B220" t="s">
        <v>6</v>
      </c>
      <c r="C220" t="s">
        <v>7</v>
      </c>
      <c r="D220" s="3">
        <v>44979</v>
      </c>
      <c r="E220" s="2">
        <v>12953</v>
      </c>
    </row>
    <row r="221" spans="1:5" x14ac:dyDescent="0.3">
      <c r="A221" t="s">
        <v>29</v>
      </c>
      <c r="B221" t="s">
        <v>9</v>
      </c>
      <c r="C221" t="s">
        <v>28</v>
      </c>
      <c r="D221" s="3">
        <v>44979</v>
      </c>
      <c r="E221" s="2">
        <v>1235</v>
      </c>
    </row>
    <row r="222" spans="1:5" x14ac:dyDescent="0.3">
      <c r="A222" t="s">
        <v>31</v>
      </c>
      <c r="B222" t="s">
        <v>9</v>
      </c>
      <c r="C222" t="s">
        <v>14</v>
      </c>
      <c r="D222" s="3">
        <v>44980</v>
      </c>
      <c r="E222" s="2">
        <v>1128</v>
      </c>
    </row>
    <row r="223" spans="1:5" x14ac:dyDescent="0.3">
      <c r="A223" t="s">
        <v>10</v>
      </c>
      <c r="B223" t="s">
        <v>11</v>
      </c>
      <c r="C223" t="s">
        <v>25</v>
      </c>
      <c r="D223" s="3">
        <v>44980</v>
      </c>
      <c r="E223" s="2">
        <v>3222</v>
      </c>
    </row>
    <row r="224" spans="1:5" x14ac:dyDescent="0.3">
      <c r="A224" t="s">
        <v>26</v>
      </c>
      <c r="B224" t="s">
        <v>11</v>
      </c>
      <c r="C224" t="s">
        <v>7</v>
      </c>
      <c r="D224" s="3">
        <v>44980</v>
      </c>
      <c r="E224" s="2">
        <v>9075</v>
      </c>
    </row>
    <row r="225" spans="1:5" x14ac:dyDescent="0.3">
      <c r="A225" t="s">
        <v>27</v>
      </c>
      <c r="B225" t="s">
        <v>13</v>
      </c>
      <c r="C225" t="s">
        <v>25</v>
      </c>
      <c r="D225" s="3">
        <v>44981</v>
      </c>
      <c r="E225" s="2">
        <v>3627</v>
      </c>
    </row>
    <row r="226" spans="1:5" x14ac:dyDescent="0.3">
      <c r="A226" t="s">
        <v>26</v>
      </c>
      <c r="B226" t="s">
        <v>13</v>
      </c>
      <c r="C226" t="s">
        <v>28</v>
      </c>
      <c r="D226" s="3">
        <v>44981</v>
      </c>
      <c r="E226" s="2">
        <v>6431</v>
      </c>
    </row>
    <row r="227" spans="1:5" x14ac:dyDescent="0.3">
      <c r="A227" t="s">
        <v>33</v>
      </c>
      <c r="B227" t="s">
        <v>16</v>
      </c>
      <c r="C227" t="s">
        <v>14</v>
      </c>
      <c r="D227" s="3">
        <v>44982</v>
      </c>
      <c r="E227" s="2">
        <v>5153</v>
      </c>
    </row>
    <row r="228" spans="1:5" x14ac:dyDescent="0.3">
      <c r="A228" t="s">
        <v>26</v>
      </c>
      <c r="B228" t="s">
        <v>13</v>
      </c>
      <c r="C228" t="s">
        <v>25</v>
      </c>
      <c r="D228" s="3">
        <v>44982</v>
      </c>
      <c r="E228" s="2">
        <v>3759</v>
      </c>
    </row>
    <row r="229" spans="1:5" x14ac:dyDescent="0.3">
      <c r="A229" t="s">
        <v>26</v>
      </c>
      <c r="B229" t="s">
        <v>16</v>
      </c>
      <c r="C229" t="s">
        <v>25</v>
      </c>
      <c r="D229" s="3">
        <v>44982</v>
      </c>
      <c r="E229" s="2">
        <v>10578</v>
      </c>
    </row>
    <row r="230" spans="1:5" x14ac:dyDescent="0.3">
      <c r="A230" t="s">
        <v>20</v>
      </c>
      <c r="B230" t="s">
        <v>6</v>
      </c>
      <c r="C230" t="s">
        <v>25</v>
      </c>
      <c r="D230" s="3">
        <v>44982</v>
      </c>
      <c r="E230" s="2">
        <v>12622</v>
      </c>
    </row>
    <row r="231" spans="1:5" x14ac:dyDescent="0.3">
      <c r="A231" t="s">
        <v>26</v>
      </c>
      <c r="B231" t="s">
        <v>21</v>
      </c>
      <c r="C231" t="s">
        <v>19</v>
      </c>
      <c r="D231" s="3">
        <v>44983</v>
      </c>
      <c r="E231" s="2">
        <v>10074</v>
      </c>
    </row>
    <row r="232" spans="1:5" x14ac:dyDescent="0.3">
      <c r="A232" t="s">
        <v>8</v>
      </c>
      <c r="B232" t="s">
        <v>16</v>
      </c>
      <c r="C232" t="s">
        <v>19</v>
      </c>
      <c r="D232" s="3">
        <v>44983</v>
      </c>
      <c r="E232" s="2">
        <v>3274</v>
      </c>
    </row>
    <row r="233" spans="1:5" x14ac:dyDescent="0.3">
      <c r="A233" t="s">
        <v>8</v>
      </c>
      <c r="B233" t="s">
        <v>21</v>
      </c>
      <c r="C233" t="s">
        <v>25</v>
      </c>
      <c r="D233" s="3">
        <v>44983</v>
      </c>
      <c r="E233" s="2">
        <v>13157</v>
      </c>
    </row>
    <row r="234" spans="1:5" x14ac:dyDescent="0.3">
      <c r="A234" t="s">
        <v>15</v>
      </c>
      <c r="B234" t="s">
        <v>21</v>
      </c>
      <c r="C234" t="s">
        <v>7</v>
      </c>
      <c r="D234" s="3">
        <v>44983</v>
      </c>
      <c r="E234" s="2">
        <v>10767</v>
      </c>
    </row>
    <row r="235" spans="1:5" x14ac:dyDescent="0.3">
      <c r="A235" t="s">
        <v>26</v>
      </c>
      <c r="B235" t="s">
        <v>11</v>
      </c>
      <c r="C235" t="s">
        <v>28</v>
      </c>
      <c r="D235" s="3">
        <v>44983</v>
      </c>
      <c r="E235" s="2">
        <v>6721</v>
      </c>
    </row>
    <row r="236" spans="1:5" x14ac:dyDescent="0.3">
      <c r="A236" t="s">
        <v>24</v>
      </c>
      <c r="B236" t="s">
        <v>11</v>
      </c>
      <c r="C236" t="s">
        <v>19</v>
      </c>
      <c r="D236" s="3">
        <v>44984</v>
      </c>
      <c r="E236" s="2">
        <v>6885</v>
      </c>
    </row>
    <row r="237" spans="1:5" x14ac:dyDescent="0.3">
      <c r="A237" t="s">
        <v>22</v>
      </c>
      <c r="B237" t="s">
        <v>16</v>
      </c>
      <c r="C237" t="s">
        <v>23</v>
      </c>
      <c r="D237" s="3">
        <v>44984</v>
      </c>
      <c r="E237" s="2">
        <v>8091</v>
      </c>
    </row>
    <row r="238" spans="1:5" x14ac:dyDescent="0.3">
      <c r="A238" t="s">
        <v>32</v>
      </c>
      <c r="B238" t="s">
        <v>6</v>
      </c>
      <c r="C238" t="s">
        <v>28</v>
      </c>
      <c r="D238" s="3">
        <v>44984</v>
      </c>
      <c r="E238" s="2">
        <v>6385</v>
      </c>
    </row>
    <row r="239" spans="1:5" x14ac:dyDescent="0.3">
      <c r="A239" t="s">
        <v>29</v>
      </c>
      <c r="B239" t="s">
        <v>9</v>
      </c>
      <c r="C239" t="s">
        <v>17</v>
      </c>
      <c r="D239" s="3">
        <v>44984</v>
      </c>
      <c r="E239" s="2">
        <v>6707</v>
      </c>
    </row>
    <row r="240" spans="1:5" x14ac:dyDescent="0.3">
      <c r="A240" t="s">
        <v>18</v>
      </c>
      <c r="B240" t="s">
        <v>9</v>
      </c>
      <c r="C240" t="s">
        <v>19</v>
      </c>
      <c r="D240" s="3">
        <v>44985</v>
      </c>
      <c r="E240" s="2">
        <v>2112</v>
      </c>
    </row>
    <row r="241" spans="1:5" x14ac:dyDescent="0.3">
      <c r="A241" t="s">
        <v>26</v>
      </c>
      <c r="B241" t="s">
        <v>6</v>
      </c>
      <c r="C241" t="s">
        <v>7</v>
      </c>
      <c r="D241" s="3">
        <v>44985</v>
      </c>
      <c r="E241" s="2">
        <v>1798</v>
      </c>
    </row>
    <row r="242" spans="1:5" x14ac:dyDescent="0.3">
      <c r="A242" t="s">
        <v>8</v>
      </c>
      <c r="B242" t="s">
        <v>6</v>
      </c>
      <c r="C242" t="s">
        <v>14</v>
      </c>
      <c r="D242" s="3">
        <v>44986</v>
      </c>
      <c r="E242" s="2">
        <v>3296</v>
      </c>
    </row>
    <row r="243" spans="1:5" x14ac:dyDescent="0.3">
      <c r="A243" t="s">
        <v>20</v>
      </c>
      <c r="B243" t="s">
        <v>13</v>
      </c>
      <c r="C243" t="s">
        <v>19</v>
      </c>
      <c r="D243" s="3">
        <v>44986</v>
      </c>
      <c r="E243" s="2">
        <v>2439</v>
      </c>
    </row>
    <row r="244" spans="1:5" x14ac:dyDescent="0.3">
      <c r="A244" t="s">
        <v>32</v>
      </c>
      <c r="B244" t="s">
        <v>11</v>
      </c>
      <c r="C244" t="s">
        <v>19</v>
      </c>
      <c r="D244" s="3">
        <v>44986</v>
      </c>
      <c r="E244" s="2">
        <v>6520</v>
      </c>
    </row>
    <row r="245" spans="1:5" x14ac:dyDescent="0.3">
      <c r="A245" t="s">
        <v>32</v>
      </c>
      <c r="B245" t="s">
        <v>13</v>
      </c>
      <c r="C245" t="s">
        <v>19</v>
      </c>
      <c r="D245" s="3">
        <v>44986</v>
      </c>
      <c r="E245" s="2">
        <v>10370</v>
      </c>
    </row>
    <row r="246" spans="1:5" x14ac:dyDescent="0.3">
      <c r="A246" t="s">
        <v>32</v>
      </c>
      <c r="B246" t="s">
        <v>21</v>
      </c>
      <c r="C246" t="s">
        <v>28</v>
      </c>
      <c r="D246" s="3">
        <v>44986</v>
      </c>
      <c r="E246" s="2">
        <v>7577</v>
      </c>
    </row>
    <row r="247" spans="1:5" x14ac:dyDescent="0.3">
      <c r="A247" t="s">
        <v>22</v>
      </c>
      <c r="B247" t="s">
        <v>21</v>
      </c>
      <c r="C247" t="s">
        <v>17</v>
      </c>
      <c r="D247" s="3">
        <v>44986</v>
      </c>
      <c r="E247" s="2">
        <v>2948</v>
      </c>
    </row>
    <row r="248" spans="1:5" x14ac:dyDescent="0.3">
      <c r="A248" t="s">
        <v>10</v>
      </c>
      <c r="B248" t="s">
        <v>16</v>
      </c>
      <c r="C248" t="s">
        <v>17</v>
      </c>
      <c r="D248" s="3">
        <v>44986</v>
      </c>
      <c r="E248" s="2">
        <v>8339</v>
      </c>
    </row>
    <row r="249" spans="1:5" x14ac:dyDescent="0.3">
      <c r="A249" t="s">
        <v>29</v>
      </c>
      <c r="B249" t="s">
        <v>9</v>
      </c>
      <c r="C249" t="s">
        <v>17</v>
      </c>
      <c r="D249" s="3">
        <v>44986</v>
      </c>
      <c r="E249" s="2">
        <v>12340</v>
      </c>
    </row>
    <row r="250" spans="1:5" x14ac:dyDescent="0.3">
      <c r="A250" t="s">
        <v>29</v>
      </c>
      <c r="B250" t="s">
        <v>16</v>
      </c>
      <c r="C250" t="s">
        <v>23</v>
      </c>
      <c r="D250" s="3">
        <v>44987</v>
      </c>
      <c r="E250" s="2">
        <v>8503</v>
      </c>
    </row>
    <row r="251" spans="1:5" x14ac:dyDescent="0.3">
      <c r="A251" t="s">
        <v>29</v>
      </c>
      <c r="B251" t="s">
        <v>16</v>
      </c>
      <c r="C251" t="s">
        <v>23</v>
      </c>
      <c r="D251" s="3">
        <v>44987</v>
      </c>
      <c r="E251" s="2">
        <v>9110</v>
      </c>
    </row>
    <row r="252" spans="1:5" x14ac:dyDescent="0.3">
      <c r="A252" t="s">
        <v>29</v>
      </c>
      <c r="B252" t="s">
        <v>13</v>
      </c>
      <c r="C252" t="s">
        <v>12</v>
      </c>
      <c r="D252" s="3">
        <v>44987</v>
      </c>
      <c r="E252" s="2">
        <v>8588</v>
      </c>
    </row>
    <row r="253" spans="1:5" x14ac:dyDescent="0.3">
      <c r="A253" t="s">
        <v>20</v>
      </c>
      <c r="B253" t="s">
        <v>6</v>
      </c>
      <c r="C253" t="s">
        <v>19</v>
      </c>
      <c r="D253" s="3">
        <v>44988</v>
      </c>
      <c r="E253" s="2">
        <v>2955</v>
      </c>
    </row>
    <row r="254" spans="1:5" x14ac:dyDescent="0.3">
      <c r="A254" t="s">
        <v>5</v>
      </c>
      <c r="B254" t="s">
        <v>13</v>
      </c>
      <c r="C254" t="s">
        <v>7</v>
      </c>
      <c r="D254" s="3">
        <v>44988</v>
      </c>
      <c r="E254" s="2">
        <v>6403</v>
      </c>
    </row>
    <row r="255" spans="1:5" x14ac:dyDescent="0.3">
      <c r="A255" t="s">
        <v>18</v>
      </c>
      <c r="B255" t="s">
        <v>16</v>
      </c>
      <c r="C255" t="s">
        <v>28</v>
      </c>
      <c r="D255" s="3">
        <v>44988</v>
      </c>
      <c r="E255" s="2">
        <v>5031</v>
      </c>
    </row>
    <row r="256" spans="1:5" x14ac:dyDescent="0.3">
      <c r="A256" t="s">
        <v>30</v>
      </c>
      <c r="B256" t="s">
        <v>11</v>
      </c>
      <c r="C256" t="s">
        <v>14</v>
      </c>
      <c r="D256" s="3">
        <v>44989</v>
      </c>
      <c r="E256" s="2">
        <v>1025</v>
      </c>
    </row>
    <row r="257" spans="1:5" x14ac:dyDescent="0.3">
      <c r="A257" t="s">
        <v>10</v>
      </c>
      <c r="B257" t="s">
        <v>6</v>
      </c>
      <c r="C257" t="s">
        <v>23</v>
      </c>
      <c r="D257" s="3">
        <v>44989</v>
      </c>
      <c r="E257" s="2">
        <v>3193</v>
      </c>
    </row>
    <row r="258" spans="1:5" x14ac:dyDescent="0.3">
      <c r="A258" t="s">
        <v>18</v>
      </c>
      <c r="B258" t="s">
        <v>13</v>
      </c>
      <c r="C258" t="s">
        <v>7</v>
      </c>
      <c r="D258" s="3">
        <v>44989</v>
      </c>
      <c r="E258" s="2">
        <v>11405</v>
      </c>
    </row>
    <row r="259" spans="1:5" x14ac:dyDescent="0.3">
      <c r="A259" t="s">
        <v>20</v>
      </c>
      <c r="B259" t="s">
        <v>13</v>
      </c>
      <c r="C259" t="s">
        <v>14</v>
      </c>
      <c r="D259" s="3">
        <v>44990</v>
      </c>
      <c r="E259" s="2">
        <v>9831</v>
      </c>
    </row>
    <row r="260" spans="1:5" x14ac:dyDescent="0.3">
      <c r="A260" t="s">
        <v>24</v>
      </c>
      <c r="B260" t="s">
        <v>6</v>
      </c>
      <c r="C260" t="s">
        <v>23</v>
      </c>
      <c r="D260" s="3">
        <v>44990</v>
      </c>
      <c r="E260" s="2">
        <v>11032</v>
      </c>
    </row>
    <row r="261" spans="1:5" x14ac:dyDescent="0.3">
      <c r="A261" t="s">
        <v>32</v>
      </c>
      <c r="B261" t="s">
        <v>16</v>
      </c>
      <c r="C261" t="s">
        <v>23</v>
      </c>
      <c r="D261" s="3">
        <v>44990</v>
      </c>
      <c r="E261" s="2">
        <v>4959</v>
      </c>
    </row>
    <row r="262" spans="1:5" x14ac:dyDescent="0.3">
      <c r="A262" t="s">
        <v>24</v>
      </c>
      <c r="B262" t="s">
        <v>6</v>
      </c>
      <c r="C262" t="s">
        <v>7</v>
      </c>
      <c r="D262" s="3">
        <v>44991</v>
      </c>
      <c r="E262" s="2">
        <v>3044</v>
      </c>
    </row>
    <row r="263" spans="1:5" x14ac:dyDescent="0.3">
      <c r="A263" t="s">
        <v>32</v>
      </c>
      <c r="B263" t="s">
        <v>21</v>
      </c>
      <c r="C263" t="s">
        <v>28</v>
      </c>
      <c r="D263" s="3">
        <v>44991</v>
      </c>
      <c r="E263" s="2">
        <v>4934</v>
      </c>
    </row>
    <row r="264" spans="1:5" x14ac:dyDescent="0.3">
      <c r="A264" t="s">
        <v>10</v>
      </c>
      <c r="B264" t="s">
        <v>6</v>
      </c>
      <c r="C264" t="s">
        <v>12</v>
      </c>
      <c r="D264" s="3">
        <v>44991</v>
      </c>
      <c r="E264" s="2">
        <v>1168</v>
      </c>
    </row>
    <row r="265" spans="1:5" x14ac:dyDescent="0.3">
      <c r="A265" t="s">
        <v>33</v>
      </c>
      <c r="B265" t="s">
        <v>6</v>
      </c>
      <c r="C265" t="s">
        <v>25</v>
      </c>
      <c r="D265" s="3">
        <v>44992</v>
      </c>
      <c r="E265" s="2">
        <v>11408</v>
      </c>
    </row>
    <row r="266" spans="1:5" x14ac:dyDescent="0.3">
      <c r="A266" t="s">
        <v>31</v>
      </c>
      <c r="B266" t="s">
        <v>13</v>
      </c>
      <c r="C266" t="s">
        <v>7</v>
      </c>
      <c r="D266" s="3">
        <v>44992</v>
      </c>
      <c r="E266" s="2">
        <v>3444</v>
      </c>
    </row>
    <row r="267" spans="1:5" x14ac:dyDescent="0.3">
      <c r="A267" t="s">
        <v>31</v>
      </c>
      <c r="B267" t="s">
        <v>6</v>
      </c>
      <c r="C267" t="s">
        <v>17</v>
      </c>
      <c r="D267" s="3">
        <v>44992</v>
      </c>
      <c r="E267" s="2">
        <v>9448</v>
      </c>
    </row>
    <row r="268" spans="1:5" x14ac:dyDescent="0.3">
      <c r="A268" t="s">
        <v>5</v>
      </c>
      <c r="B268" t="s">
        <v>6</v>
      </c>
      <c r="C268" t="s">
        <v>17</v>
      </c>
      <c r="D268" s="3">
        <v>44992</v>
      </c>
      <c r="E268" s="2">
        <v>4399</v>
      </c>
    </row>
    <row r="269" spans="1:5" x14ac:dyDescent="0.3">
      <c r="A269" t="s">
        <v>8</v>
      </c>
      <c r="B269" t="s">
        <v>6</v>
      </c>
      <c r="C269" t="s">
        <v>12</v>
      </c>
      <c r="D269" s="3">
        <v>44992</v>
      </c>
      <c r="E269" s="2">
        <v>1195</v>
      </c>
    </row>
    <row r="270" spans="1:5" x14ac:dyDescent="0.3">
      <c r="A270" t="s">
        <v>5</v>
      </c>
      <c r="B270" t="s">
        <v>9</v>
      </c>
      <c r="C270" t="s">
        <v>19</v>
      </c>
      <c r="D270" s="3">
        <v>44993</v>
      </c>
      <c r="E270" s="2">
        <v>8213</v>
      </c>
    </row>
    <row r="271" spans="1:5" x14ac:dyDescent="0.3">
      <c r="A271" t="s">
        <v>31</v>
      </c>
      <c r="B271" t="s">
        <v>9</v>
      </c>
      <c r="C271" t="s">
        <v>19</v>
      </c>
      <c r="D271" s="3">
        <v>44993</v>
      </c>
      <c r="E271" s="2">
        <v>11302</v>
      </c>
    </row>
    <row r="272" spans="1:5" x14ac:dyDescent="0.3">
      <c r="A272" t="s">
        <v>30</v>
      </c>
      <c r="B272" t="s">
        <v>21</v>
      </c>
      <c r="C272" t="s">
        <v>7</v>
      </c>
      <c r="D272" s="3">
        <v>44993</v>
      </c>
      <c r="E272" s="2">
        <v>2818</v>
      </c>
    </row>
    <row r="273" spans="1:5" x14ac:dyDescent="0.3">
      <c r="A273" t="s">
        <v>31</v>
      </c>
      <c r="B273" t="s">
        <v>13</v>
      </c>
      <c r="C273" t="s">
        <v>12</v>
      </c>
      <c r="D273" s="3">
        <v>44993</v>
      </c>
      <c r="E273" s="2">
        <v>6538</v>
      </c>
    </row>
    <row r="274" spans="1:5" x14ac:dyDescent="0.3">
      <c r="A274" t="s">
        <v>26</v>
      </c>
      <c r="B274" t="s">
        <v>6</v>
      </c>
      <c r="C274" t="s">
        <v>14</v>
      </c>
      <c r="D274" s="3">
        <v>44994</v>
      </c>
      <c r="E274" s="2">
        <v>3180</v>
      </c>
    </row>
    <row r="275" spans="1:5" x14ac:dyDescent="0.3">
      <c r="A275" t="s">
        <v>24</v>
      </c>
      <c r="B275" t="s">
        <v>6</v>
      </c>
      <c r="C275" t="s">
        <v>23</v>
      </c>
      <c r="D275" s="3">
        <v>44994</v>
      </c>
      <c r="E275" s="2">
        <v>8735</v>
      </c>
    </row>
    <row r="276" spans="1:5" x14ac:dyDescent="0.3">
      <c r="A276" t="s">
        <v>27</v>
      </c>
      <c r="B276" t="s">
        <v>9</v>
      </c>
      <c r="C276" t="s">
        <v>25</v>
      </c>
      <c r="D276" s="3">
        <v>44994</v>
      </c>
      <c r="E276" s="2">
        <v>6474</v>
      </c>
    </row>
    <row r="277" spans="1:5" x14ac:dyDescent="0.3">
      <c r="A277" t="s">
        <v>8</v>
      </c>
      <c r="B277" t="s">
        <v>13</v>
      </c>
      <c r="C277" t="s">
        <v>25</v>
      </c>
      <c r="D277" s="3">
        <v>44994</v>
      </c>
      <c r="E277" s="2">
        <v>7136</v>
      </c>
    </row>
    <row r="278" spans="1:5" x14ac:dyDescent="0.3">
      <c r="A278" t="s">
        <v>5</v>
      </c>
      <c r="B278" t="s">
        <v>11</v>
      </c>
      <c r="C278" t="s">
        <v>7</v>
      </c>
      <c r="D278" s="3">
        <v>44994</v>
      </c>
      <c r="E278" s="2">
        <v>13830</v>
      </c>
    </row>
    <row r="279" spans="1:5" x14ac:dyDescent="0.3">
      <c r="A279" t="s">
        <v>31</v>
      </c>
      <c r="B279" t="s">
        <v>11</v>
      </c>
      <c r="C279" t="s">
        <v>12</v>
      </c>
      <c r="D279" s="3">
        <v>44995</v>
      </c>
      <c r="E279" s="2">
        <v>5185</v>
      </c>
    </row>
    <row r="280" spans="1:5" x14ac:dyDescent="0.3">
      <c r="A280" t="s">
        <v>24</v>
      </c>
      <c r="B280" t="s">
        <v>13</v>
      </c>
      <c r="C280" t="s">
        <v>23</v>
      </c>
      <c r="D280" s="3">
        <v>44996</v>
      </c>
      <c r="E280" s="2">
        <v>6343</v>
      </c>
    </row>
    <row r="281" spans="1:5" x14ac:dyDescent="0.3">
      <c r="A281" t="s">
        <v>18</v>
      </c>
      <c r="B281" t="s">
        <v>16</v>
      </c>
      <c r="C281" t="s">
        <v>7</v>
      </c>
      <c r="D281" s="3">
        <v>44996</v>
      </c>
      <c r="E281" s="2">
        <v>5462</v>
      </c>
    </row>
    <row r="282" spans="1:5" x14ac:dyDescent="0.3">
      <c r="A282" t="s">
        <v>20</v>
      </c>
      <c r="B282" t="s">
        <v>9</v>
      </c>
      <c r="C282" t="s">
        <v>28</v>
      </c>
      <c r="D282" s="3">
        <v>44996</v>
      </c>
      <c r="E282" s="2">
        <v>10643</v>
      </c>
    </row>
    <row r="283" spans="1:5" x14ac:dyDescent="0.3">
      <c r="A283" t="s">
        <v>30</v>
      </c>
      <c r="B283" t="s">
        <v>11</v>
      </c>
      <c r="C283" t="s">
        <v>17</v>
      </c>
      <c r="D283" s="3">
        <v>44996</v>
      </c>
      <c r="E283" s="2">
        <v>8520</v>
      </c>
    </row>
    <row r="284" spans="1:5" x14ac:dyDescent="0.3">
      <c r="A284" t="s">
        <v>20</v>
      </c>
      <c r="B284" t="s">
        <v>13</v>
      </c>
      <c r="C284" t="s">
        <v>14</v>
      </c>
      <c r="D284" s="3">
        <v>44997</v>
      </c>
      <c r="E284" s="2">
        <v>10599</v>
      </c>
    </row>
    <row r="285" spans="1:5" x14ac:dyDescent="0.3">
      <c r="A285" t="s">
        <v>26</v>
      </c>
      <c r="B285" t="s">
        <v>16</v>
      </c>
      <c r="C285" t="s">
        <v>19</v>
      </c>
      <c r="D285" s="3">
        <v>44997</v>
      </c>
      <c r="E285" s="2">
        <v>5078</v>
      </c>
    </row>
    <row r="286" spans="1:5" x14ac:dyDescent="0.3">
      <c r="A286" t="s">
        <v>8</v>
      </c>
      <c r="B286" t="s">
        <v>6</v>
      </c>
      <c r="C286" t="s">
        <v>19</v>
      </c>
      <c r="D286" s="3">
        <v>44997</v>
      </c>
      <c r="E286" s="2">
        <v>10598</v>
      </c>
    </row>
    <row r="287" spans="1:5" x14ac:dyDescent="0.3">
      <c r="A287" t="s">
        <v>26</v>
      </c>
      <c r="B287" t="s">
        <v>21</v>
      </c>
      <c r="C287" t="s">
        <v>28</v>
      </c>
      <c r="D287" s="3">
        <v>44997</v>
      </c>
      <c r="E287" s="2">
        <v>1745</v>
      </c>
    </row>
    <row r="288" spans="1:5" x14ac:dyDescent="0.3">
      <c r="A288" t="s">
        <v>8</v>
      </c>
      <c r="B288" t="s">
        <v>13</v>
      </c>
      <c r="C288" t="s">
        <v>17</v>
      </c>
      <c r="D288" s="3">
        <v>44997</v>
      </c>
      <c r="E288" s="2">
        <v>13593</v>
      </c>
    </row>
    <row r="289" spans="1:5" x14ac:dyDescent="0.3">
      <c r="A289" t="s">
        <v>22</v>
      </c>
      <c r="B289" t="s">
        <v>13</v>
      </c>
      <c r="C289" t="s">
        <v>25</v>
      </c>
      <c r="D289" s="3">
        <v>44998</v>
      </c>
      <c r="E289" s="2">
        <v>2994</v>
      </c>
    </row>
    <row r="290" spans="1:5" x14ac:dyDescent="0.3">
      <c r="A290" t="s">
        <v>8</v>
      </c>
      <c r="B290" t="s">
        <v>16</v>
      </c>
      <c r="C290" t="s">
        <v>14</v>
      </c>
      <c r="D290" s="3">
        <v>44999</v>
      </c>
      <c r="E290" s="2">
        <v>4626</v>
      </c>
    </row>
    <row r="291" spans="1:5" x14ac:dyDescent="0.3">
      <c r="A291" t="s">
        <v>29</v>
      </c>
      <c r="B291" t="s">
        <v>21</v>
      </c>
      <c r="C291" t="s">
        <v>25</v>
      </c>
      <c r="D291" s="3">
        <v>44999</v>
      </c>
      <c r="E291" s="2">
        <v>12369</v>
      </c>
    </row>
    <row r="292" spans="1:5" x14ac:dyDescent="0.3">
      <c r="A292" t="s">
        <v>24</v>
      </c>
      <c r="B292" t="s">
        <v>11</v>
      </c>
      <c r="C292" t="s">
        <v>28</v>
      </c>
      <c r="D292" s="3">
        <v>44999</v>
      </c>
      <c r="E292" s="2">
        <v>7062</v>
      </c>
    </row>
    <row r="293" spans="1:5" x14ac:dyDescent="0.3">
      <c r="A293" t="s">
        <v>26</v>
      </c>
      <c r="B293" t="s">
        <v>9</v>
      </c>
      <c r="C293" t="s">
        <v>12</v>
      </c>
      <c r="D293" s="3">
        <v>44999</v>
      </c>
      <c r="E293" s="2">
        <v>2455</v>
      </c>
    </row>
    <row r="294" spans="1:5" x14ac:dyDescent="0.3">
      <c r="A294" t="s">
        <v>30</v>
      </c>
      <c r="B294" t="s">
        <v>9</v>
      </c>
      <c r="C294" t="s">
        <v>7</v>
      </c>
      <c r="D294" s="3">
        <v>45000</v>
      </c>
      <c r="E294" s="2">
        <v>13230</v>
      </c>
    </row>
    <row r="295" spans="1:5" x14ac:dyDescent="0.3">
      <c r="A295" t="s">
        <v>20</v>
      </c>
      <c r="B295" t="s">
        <v>16</v>
      </c>
      <c r="C295" t="s">
        <v>28</v>
      </c>
      <c r="D295" s="3">
        <v>45000</v>
      </c>
      <c r="E295" s="2">
        <v>9206</v>
      </c>
    </row>
    <row r="296" spans="1:5" x14ac:dyDescent="0.3">
      <c r="A296" t="s">
        <v>32</v>
      </c>
      <c r="B296" t="s">
        <v>16</v>
      </c>
      <c r="C296" t="s">
        <v>12</v>
      </c>
      <c r="D296" s="3">
        <v>45000</v>
      </c>
      <c r="E296" s="2">
        <v>13584</v>
      </c>
    </row>
    <row r="297" spans="1:5" x14ac:dyDescent="0.3">
      <c r="A297" t="s">
        <v>18</v>
      </c>
      <c r="B297" t="s">
        <v>13</v>
      </c>
      <c r="C297" t="s">
        <v>19</v>
      </c>
      <c r="D297" s="3">
        <v>45001</v>
      </c>
      <c r="E297" s="2">
        <v>4565</v>
      </c>
    </row>
    <row r="298" spans="1:5" x14ac:dyDescent="0.3">
      <c r="A298" t="s">
        <v>27</v>
      </c>
      <c r="B298" t="s">
        <v>9</v>
      </c>
      <c r="C298" t="s">
        <v>7</v>
      </c>
      <c r="D298" s="3">
        <v>45002</v>
      </c>
      <c r="E298" s="2">
        <v>4790</v>
      </c>
    </row>
    <row r="299" spans="1:5" x14ac:dyDescent="0.3">
      <c r="A299" t="s">
        <v>5</v>
      </c>
      <c r="B299" t="s">
        <v>9</v>
      </c>
      <c r="C299" t="s">
        <v>23</v>
      </c>
      <c r="D299" s="3">
        <v>45003</v>
      </c>
      <c r="E299" s="2">
        <v>11758</v>
      </c>
    </row>
    <row r="300" spans="1:5" x14ac:dyDescent="0.3">
      <c r="A300" t="s">
        <v>15</v>
      </c>
      <c r="B300" t="s">
        <v>9</v>
      </c>
      <c r="C300" t="s">
        <v>28</v>
      </c>
      <c r="D300" s="3">
        <v>45003</v>
      </c>
      <c r="E300" s="2">
        <v>2079</v>
      </c>
    </row>
    <row r="301" spans="1:5" x14ac:dyDescent="0.3">
      <c r="A301" t="s">
        <v>32</v>
      </c>
      <c r="B301" t="s">
        <v>13</v>
      </c>
      <c r="C301" t="s">
        <v>12</v>
      </c>
      <c r="D301" s="3">
        <v>45003</v>
      </c>
      <c r="E301" s="2">
        <v>10684</v>
      </c>
    </row>
    <row r="302" spans="1:5" x14ac:dyDescent="0.3">
      <c r="A302" t="s">
        <v>27</v>
      </c>
      <c r="B302" t="s">
        <v>11</v>
      </c>
      <c r="C302" t="s">
        <v>12</v>
      </c>
      <c r="D302" s="3">
        <v>45003</v>
      </c>
      <c r="E302" s="2">
        <v>10114</v>
      </c>
    </row>
    <row r="303" spans="1:5" x14ac:dyDescent="0.3">
      <c r="A303" t="s">
        <v>31</v>
      </c>
      <c r="B303" t="s">
        <v>9</v>
      </c>
      <c r="C303" t="s">
        <v>19</v>
      </c>
      <c r="D303" s="3">
        <v>45004</v>
      </c>
      <c r="E303" s="2">
        <v>4756</v>
      </c>
    </row>
    <row r="304" spans="1:5" x14ac:dyDescent="0.3">
      <c r="A304" t="s">
        <v>8</v>
      </c>
      <c r="B304" t="s">
        <v>13</v>
      </c>
      <c r="C304" t="s">
        <v>23</v>
      </c>
      <c r="D304" s="3">
        <v>45004</v>
      </c>
      <c r="E304" s="2">
        <v>12188</v>
      </c>
    </row>
    <row r="305" spans="1:5" x14ac:dyDescent="0.3">
      <c r="A305" t="s">
        <v>30</v>
      </c>
      <c r="B305" t="s">
        <v>16</v>
      </c>
      <c r="C305" t="s">
        <v>12</v>
      </c>
      <c r="D305" s="3">
        <v>45004</v>
      </c>
      <c r="E305" s="2">
        <v>2628</v>
      </c>
    </row>
    <row r="306" spans="1:5" x14ac:dyDescent="0.3">
      <c r="A306" t="s">
        <v>18</v>
      </c>
      <c r="B306" t="s">
        <v>13</v>
      </c>
      <c r="C306" t="s">
        <v>19</v>
      </c>
      <c r="D306" s="3">
        <v>45005</v>
      </c>
      <c r="E306" s="2">
        <v>2704</v>
      </c>
    </row>
    <row r="307" spans="1:5" x14ac:dyDescent="0.3">
      <c r="A307" t="s">
        <v>29</v>
      </c>
      <c r="B307" t="s">
        <v>6</v>
      </c>
      <c r="C307" t="s">
        <v>12</v>
      </c>
      <c r="D307" s="3">
        <v>45005</v>
      </c>
      <c r="E307" s="2">
        <v>3973</v>
      </c>
    </row>
    <row r="308" spans="1:5" x14ac:dyDescent="0.3">
      <c r="A308" t="s">
        <v>22</v>
      </c>
      <c r="B308" t="s">
        <v>21</v>
      </c>
      <c r="C308" t="s">
        <v>23</v>
      </c>
      <c r="D308" s="3">
        <v>45006</v>
      </c>
      <c r="E308" s="2">
        <v>6131</v>
      </c>
    </row>
    <row r="309" spans="1:5" x14ac:dyDescent="0.3">
      <c r="A309" t="s">
        <v>29</v>
      </c>
      <c r="B309" t="s">
        <v>13</v>
      </c>
      <c r="C309" t="s">
        <v>17</v>
      </c>
      <c r="D309" s="3">
        <v>45006</v>
      </c>
      <c r="E309" s="2">
        <v>4268</v>
      </c>
    </row>
    <row r="310" spans="1:5" x14ac:dyDescent="0.3">
      <c r="A310" t="s">
        <v>10</v>
      </c>
      <c r="B310" t="s">
        <v>9</v>
      </c>
      <c r="C310" t="s">
        <v>28</v>
      </c>
      <c r="D310" s="3">
        <v>45007</v>
      </c>
      <c r="E310" s="2">
        <v>8106</v>
      </c>
    </row>
    <row r="311" spans="1:5" x14ac:dyDescent="0.3">
      <c r="A311" t="s">
        <v>26</v>
      </c>
      <c r="B311" t="s">
        <v>13</v>
      </c>
      <c r="C311" t="s">
        <v>7</v>
      </c>
      <c r="D311" s="3">
        <v>45008</v>
      </c>
      <c r="E311" s="2">
        <v>10516</v>
      </c>
    </row>
    <row r="312" spans="1:5" x14ac:dyDescent="0.3">
      <c r="A312" t="s">
        <v>26</v>
      </c>
      <c r="B312" t="s">
        <v>16</v>
      </c>
      <c r="C312" t="s">
        <v>12</v>
      </c>
      <c r="D312" s="3">
        <v>45008</v>
      </c>
      <c r="E312" s="2">
        <v>6303</v>
      </c>
    </row>
    <row r="313" spans="1:5" x14ac:dyDescent="0.3">
      <c r="A313" t="s">
        <v>31</v>
      </c>
      <c r="B313" t="s">
        <v>21</v>
      </c>
      <c r="C313" t="s">
        <v>14</v>
      </c>
      <c r="D313" s="3">
        <v>45009</v>
      </c>
      <c r="E313" s="2">
        <v>8085</v>
      </c>
    </row>
    <row r="314" spans="1:5" x14ac:dyDescent="0.3">
      <c r="A314" t="s">
        <v>20</v>
      </c>
      <c r="B314" t="s">
        <v>9</v>
      </c>
      <c r="C314" t="s">
        <v>19</v>
      </c>
      <c r="D314" s="3">
        <v>45009</v>
      </c>
      <c r="E314" s="2">
        <v>2967</v>
      </c>
    </row>
    <row r="315" spans="1:5" x14ac:dyDescent="0.3">
      <c r="A315" t="s">
        <v>22</v>
      </c>
      <c r="B315" t="s">
        <v>16</v>
      </c>
      <c r="C315" t="s">
        <v>7</v>
      </c>
      <c r="D315" s="3">
        <v>45009</v>
      </c>
      <c r="E315" s="2">
        <v>8185</v>
      </c>
    </row>
    <row r="316" spans="1:5" x14ac:dyDescent="0.3">
      <c r="A316" t="s">
        <v>15</v>
      </c>
      <c r="B316" t="s">
        <v>21</v>
      </c>
      <c r="C316" t="s">
        <v>7</v>
      </c>
      <c r="D316" s="3">
        <v>45009</v>
      </c>
      <c r="E316" s="2">
        <v>5081</v>
      </c>
    </row>
    <row r="317" spans="1:5" x14ac:dyDescent="0.3">
      <c r="A317" t="s">
        <v>31</v>
      </c>
      <c r="B317" t="s">
        <v>11</v>
      </c>
      <c r="C317" t="s">
        <v>17</v>
      </c>
      <c r="D317" s="3">
        <v>45009</v>
      </c>
      <c r="E317" s="2">
        <v>4367</v>
      </c>
    </row>
    <row r="318" spans="1:5" x14ac:dyDescent="0.3">
      <c r="A318" t="s">
        <v>32</v>
      </c>
      <c r="B318" t="s">
        <v>13</v>
      </c>
      <c r="C318" t="s">
        <v>12</v>
      </c>
      <c r="D318" s="3">
        <v>45009</v>
      </c>
      <c r="E318" s="2">
        <v>10595</v>
      </c>
    </row>
    <row r="319" spans="1:5" x14ac:dyDescent="0.3">
      <c r="A319" t="s">
        <v>27</v>
      </c>
      <c r="B319" t="s">
        <v>6</v>
      </c>
      <c r="C319" t="s">
        <v>19</v>
      </c>
      <c r="D319" s="3">
        <v>45010</v>
      </c>
      <c r="E319" s="2">
        <v>1689</v>
      </c>
    </row>
    <row r="320" spans="1:5" x14ac:dyDescent="0.3">
      <c r="A320" t="s">
        <v>31</v>
      </c>
      <c r="B320" t="s">
        <v>9</v>
      </c>
      <c r="C320" t="s">
        <v>14</v>
      </c>
      <c r="D320" s="3">
        <v>45011</v>
      </c>
      <c r="E320" s="2">
        <v>6659</v>
      </c>
    </row>
    <row r="321" spans="1:5" x14ac:dyDescent="0.3">
      <c r="A321" t="s">
        <v>15</v>
      </c>
      <c r="B321" t="s">
        <v>6</v>
      </c>
      <c r="C321" t="s">
        <v>14</v>
      </c>
      <c r="D321" s="3">
        <v>45012</v>
      </c>
      <c r="E321" s="2">
        <v>4202</v>
      </c>
    </row>
    <row r="322" spans="1:5" x14ac:dyDescent="0.3">
      <c r="A322" t="s">
        <v>29</v>
      </c>
      <c r="B322" t="s">
        <v>6</v>
      </c>
      <c r="C322" t="s">
        <v>19</v>
      </c>
      <c r="D322" s="3">
        <v>45012</v>
      </c>
      <c r="E322" s="2">
        <v>12340</v>
      </c>
    </row>
    <row r="323" spans="1:5" x14ac:dyDescent="0.3">
      <c r="A323" t="s">
        <v>20</v>
      </c>
      <c r="B323" t="s">
        <v>11</v>
      </c>
      <c r="C323" t="s">
        <v>28</v>
      </c>
      <c r="D323" s="3">
        <v>45013</v>
      </c>
      <c r="E323" s="2">
        <v>1501</v>
      </c>
    </row>
    <row r="324" spans="1:5" x14ac:dyDescent="0.3">
      <c r="A324" t="s">
        <v>29</v>
      </c>
      <c r="B324" t="s">
        <v>11</v>
      </c>
      <c r="C324" t="s">
        <v>12</v>
      </c>
      <c r="D324" s="3">
        <v>45013</v>
      </c>
      <c r="E324" s="2">
        <v>4574</v>
      </c>
    </row>
    <row r="325" spans="1:5" x14ac:dyDescent="0.3">
      <c r="A325" t="s">
        <v>5</v>
      </c>
      <c r="B325" t="s">
        <v>21</v>
      </c>
      <c r="C325" t="s">
        <v>19</v>
      </c>
      <c r="D325" s="3">
        <v>45014</v>
      </c>
      <c r="E325" s="2">
        <v>2966</v>
      </c>
    </row>
    <row r="326" spans="1:5" x14ac:dyDescent="0.3">
      <c r="A326" t="s">
        <v>26</v>
      </c>
      <c r="B326" t="s">
        <v>13</v>
      </c>
      <c r="C326" t="s">
        <v>19</v>
      </c>
      <c r="D326" s="3">
        <v>45014</v>
      </c>
      <c r="E326" s="2">
        <v>5618</v>
      </c>
    </row>
    <row r="327" spans="1:5" x14ac:dyDescent="0.3">
      <c r="A327" t="s">
        <v>27</v>
      </c>
      <c r="B327" t="s">
        <v>6</v>
      </c>
      <c r="C327" t="s">
        <v>17</v>
      </c>
      <c r="D327" s="3">
        <v>45014</v>
      </c>
      <c r="E327" s="2">
        <v>2409</v>
      </c>
    </row>
    <row r="328" spans="1:5" x14ac:dyDescent="0.3">
      <c r="A328" t="s">
        <v>29</v>
      </c>
      <c r="B328" t="s">
        <v>13</v>
      </c>
      <c r="C328" t="s">
        <v>23</v>
      </c>
      <c r="D328" s="3">
        <v>45015</v>
      </c>
      <c r="E328" s="2">
        <v>10046</v>
      </c>
    </row>
    <row r="329" spans="1:5" x14ac:dyDescent="0.3">
      <c r="A329" t="s">
        <v>33</v>
      </c>
      <c r="B329" t="s">
        <v>13</v>
      </c>
      <c r="C329" t="s">
        <v>23</v>
      </c>
      <c r="D329" s="3">
        <v>45015</v>
      </c>
      <c r="E329" s="2">
        <v>2055</v>
      </c>
    </row>
    <row r="330" spans="1:5" x14ac:dyDescent="0.3">
      <c r="A330" t="s">
        <v>10</v>
      </c>
      <c r="B330" t="s">
        <v>13</v>
      </c>
      <c r="C330" t="s">
        <v>7</v>
      </c>
      <c r="D330" s="3">
        <v>45015</v>
      </c>
      <c r="E330" s="2">
        <v>10826</v>
      </c>
    </row>
    <row r="331" spans="1:5" x14ac:dyDescent="0.3">
      <c r="A331" t="s">
        <v>18</v>
      </c>
      <c r="B331" t="s">
        <v>11</v>
      </c>
      <c r="C331" t="s">
        <v>7</v>
      </c>
      <c r="D331" s="3">
        <v>45015</v>
      </c>
      <c r="E331" s="2">
        <v>10852</v>
      </c>
    </row>
    <row r="332" spans="1:5" x14ac:dyDescent="0.3">
      <c r="A332" t="s">
        <v>8</v>
      </c>
      <c r="B332" t="s">
        <v>6</v>
      </c>
      <c r="C332" t="s">
        <v>7</v>
      </c>
      <c r="D332" s="3">
        <v>45015</v>
      </c>
      <c r="E332" s="2">
        <v>1847</v>
      </c>
    </row>
    <row r="333" spans="1:5" x14ac:dyDescent="0.3">
      <c r="A333" t="s">
        <v>31</v>
      </c>
      <c r="B333" t="s">
        <v>21</v>
      </c>
      <c r="C333" t="s">
        <v>17</v>
      </c>
      <c r="D333" s="3">
        <v>45015</v>
      </c>
      <c r="E333" s="2">
        <v>9599</v>
      </c>
    </row>
    <row r="334" spans="1:5" x14ac:dyDescent="0.3">
      <c r="A334" t="s">
        <v>10</v>
      </c>
      <c r="B334" t="s">
        <v>6</v>
      </c>
      <c r="C334" t="s">
        <v>23</v>
      </c>
      <c r="D334" s="3">
        <v>45016</v>
      </c>
      <c r="E334" s="2">
        <v>4690</v>
      </c>
    </row>
    <row r="335" spans="1:5" x14ac:dyDescent="0.3">
      <c r="A335" t="s">
        <v>31</v>
      </c>
      <c r="B335" t="s">
        <v>11</v>
      </c>
      <c r="C335" t="s">
        <v>23</v>
      </c>
      <c r="D335" s="3">
        <v>45016</v>
      </c>
      <c r="E335" s="2">
        <v>7047</v>
      </c>
    </row>
    <row r="336" spans="1:5" x14ac:dyDescent="0.3">
      <c r="A336" t="s">
        <v>8</v>
      </c>
      <c r="B336" t="s">
        <v>11</v>
      </c>
      <c r="C336" t="s">
        <v>28</v>
      </c>
      <c r="D336" s="3">
        <v>45016</v>
      </c>
      <c r="E336" s="2">
        <v>9889</v>
      </c>
    </row>
    <row r="337" spans="1:5" x14ac:dyDescent="0.3">
      <c r="A337" t="s">
        <v>26</v>
      </c>
      <c r="B337" t="s">
        <v>21</v>
      </c>
      <c r="C337" t="s">
        <v>17</v>
      </c>
      <c r="D337" s="3">
        <v>45016</v>
      </c>
      <c r="E337" s="2">
        <v>4386</v>
      </c>
    </row>
    <row r="338" spans="1:5" x14ac:dyDescent="0.3">
      <c r="A338" t="s">
        <v>24</v>
      </c>
      <c r="B338" t="s">
        <v>6</v>
      </c>
      <c r="C338" t="s">
        <v>17</v>
      </c>
      <c r="D338" s="3">
        <v>45016</v>
      </c>
      <c r="E338" s="2">
        <v>10938</v>
      </c>
    </row>
    <row r="339" spans="1:5" x14ac:dyDescent="0.3">
      <c r="A339" t="s">
        <v>32</v>
      </c>
      <c r="B339" t="s">
        <v>16</v>
      </c>
      <c r="C339" t="s">
        <v>12</v>
      </c>
      <c r="D339" s="3">
        <v>45016</v>
      </c>
      <c r="E339" s="2">
        <v>10800</v>
      </c>
    </row>
    <row r="340" spans="1:5" x14ac:dyDescent="0.3">
      <c r="A340" t="s">
        <v>5</v>
      </c>
      <c r="B340" t="s">
        <v>6</v>
      </c>
      <c r="C340" t="s">
        <v>23</v>
      </c>
      <c r="D340" s="3">
        <v>45017</v>
      </c>
      <c r="E340" s="2">
        <v>10452</v>
      </c>
    </row>
    <row r="341" spans="1:5" x14ac:dyDescent="0.3">
      <c r="A341" t="s">
        <v>24</v>
      </c>
      <c r="B341" t="s">
        <v>16</v>
      </c>
      <c r="C341" t="s">
        <v>25</v>
      </c>
      <c r="D341" s="3">
        <v>45017</v>
      </c>
      <c r="E341" s="2">
        <v>3049</v>
      </c>
    </row>
    <row r="342" spans="1:5" x14ac:dyDescent="0.3">
      <c r="A342" t="s">
        <v>10</v>
      </c>
      <c r="B342" t="s">
        <v>16</v>
      </c>
      <c r="C342" t="s">
        <v>7</v>
      </c>
      <c r="D342" s="3">
        <v>45017</v>
      </c>
      <c r="E342" s="2">
        <v>13005</v>
      </c>
    </row>
    <row r="343" spans="1:5" x14ac:dyDescent="0.3">
      <c r="A343" t="s">
        <v>27</v>
      </c>
      <c r="B343" t="s">
        <v>11</v>
      </c>
      <c r="C343" t="s">
        <v>7</v>
      </c>
      <c r="D343" s="3">
        <v>45017</v>
      </c>
      <c r="E343" s="2">
        <v>11130</v>
      </c>
    </row>
    <row r="344" spans="1:5" x14ac:dyDescent="0.3">
      <c r="A344" t="s">
        <v>26</v>
      </c>
      <c r="B344" t="s">
        <v>16</v>
      </c>
      <c r="C344" t="s">
        <v>17</v>
      </c>
      <c r="D344" s="3">
        <v>45017</v>
      </c>
      <c r="E344" s="2">
        <v>1473</v>
      </c>
    </row>
    <row r="345" spans="1:5" x14ac:dyDescent="0.3">
      <c r="A345" t="s">
        <v>15</v>
      </c>
      <c r="B345" t="s">
        <v>6</v>
      </c>
      <c r="C345" t="s">
        <v>17</v>
      </c>
      <c r="D345" s="3">
        <v>45017</v>
      </c>
      <c r="E345" s="2">
        <v>6328</v>
      </c>
    </row>
    <row r="346" spans="1:5" x14ac:dyDescent="0.3">
      <c r="A346" t="s">
        <v>27</v>
      </c>
      <c r="B346" t="s">
        <v>9</v>
      </c>
      <c r="C346" t="s">
        <v>14</v>
      </c>
      <c r="D346" s="3">
        <v>45018</v>
      </c>
      <c r="E346" s="2">
        <v>7726</v>
      </c>
    </row>
    <row r="347" spans="1:5" x14ac:dyDescent="0.3">
      <c r="A347" t="s">
        <v>29</v>
      </c>
      <c r="B347" t="s">
        <v>6</v>
      </c>
      <c r="C347" t="s">
        <v>14</v>
      </c>
      <c r="D347" s="3">
        <v>45018</v>
      </c>
      <c r="E347" s="2">
        <v>7553</v>
      </c>
    </row>
    <row r="348" spans="1:5" x14ac:dyDescent="0.3">
      <c r="A348" t="s">
        <v>22</v>
      </c>
      <c r="B348" t="s">
        <v>21</v>
      </c>
      <c r="C348" t="s">
        <v>19</v>
      </c>
      <c r="D348" s="3">
        <v>45018</v>
      </c>
      <c r="E348" s="2">
        <v>3447</v>
      </c>
    </row>
    <row r="349" spans="1:5" x14ac:dyDescent="0.3">
      <c r="A349" t="s">
        <v>5</v>
      </c>
      <c r="B349" t="s">
        <v>13</v>
      </c>
      <c r="C349" t="s">
        <v>25</v>
      </c>
      <c r="D349" s="3">
        <v>45018</v>
      </c>
      <c r="E349" s="2">
        <v>10900</v>
      </c>
    </row>
    <row r="350" spans="1:5" x14ac:dyDescent="0.3">
      <c r="A350" t="s">
        <v>20</v>
      </c>
      <c r="B350" t="s">
        <v>13</v>
      </c>
      <c r="C350" t="s">
        <v>28</v>
      </c>
      <c r="D350" s="3">
        <v>45018</v>
      </c>
      <c r="E350" s="2">
        <v>3734</v>
      </c>
    </row>
    <row r="351" spans="1:5" x14ac:dyDescent="0.3">
      <c r="A351" t="s">
        <v>8</v>
      </c>
      <c r="B351" t="s">
        <v>21</v>
      </c>
      <c r="C351" t="s">
        <v>12</v>
      </c>
      <c r="D351" s="3">
        <v>45018</v>
      </c>
      <c r="E351" s="2">
        <v>2033</v>
      </c>
    </row>
    <row r="352" spans="1:5" x14ac:dyDescent="0.3">
      <c r="A352" t="s">
        <v>10</v>
      </c>
      <c r="B352" t="s">
        <v>21</v>
      </c>
      <c r="C352" t="s">
        <v>12</v>
      </c>
      <c r="D352" s="3">
        <v>45018</v>
      </c>
      <c r="E352" s="2">
        <v>5098</v>
      </c>
    </row>
    <row r="353" spans="1:5" x14ac:dyDescent="0.3">
      <c r="A353" t="s">
        <v>31</v>
      </c>
      <c r="B353" t="s">
        <v>13</v>
      </c>
      <c r="C353" t="s">
        <v>12</v>
      </c>
      <c r="D353" s="3">
        <v>45018</v>
      </c>
      <c r="E353" s="2">
        <v>1437</v>
      </c>
    </row>
    <row r="354" spans="1:5" x14ac:dyDescent="0.3">
      <c r="A354" t="s">
        <v>8</v>
      </c>
      <c r="B354" t="s">
        <v>11</v>
      </c>
      <c r="C354" t="s">
        <v>23</v>
      </c>
      <c r="D354" s="3">
        <v>45019</v>
      </c>
      <c r="E354" s="2">
        <v>11562</v>
      </c>
    </row>
    <row r="355" spans="1:5" x14ac:dyDescent="0.3">
      <c r="A355" t="s">
        <v>29</v>
      </c>
      <c r="B355" t="s">
        <v>21</v>
      </c>
      <c r="C355" t="s">
        <v>25</v>
      </c>
      <c r="D355" s="3">
        <v>45019</v>
      </c>
      <c r="E355" s="2">
        <v>10540</v>
      </c>
    </row>
    <row r="356" spans="1:5" x14ac:dyDescent="0.3">
      <c r="A356" t="s">
        <v>15</v>
      </c>
      <c r="B356" t="s">
        <v>6</v>
      </c>
      <c r="C356" t="s">
        <v>14</v>
      </c>
      <c r="D356" s="3">
        <v>45020</v>
      </c>
      <c r="E356" s="2">
        <v>6330</v>
      </c>
    </row>
    <row r="357" spans="1:5" x14ac:dyDescent="0.3">
      <c r="A357" t="s">
        <v>32</v>
      </c>
      <c r="B357" t="s">
        <v>11</v>
      </c>
      <c r="C357" t="s">
        <v>14</v>
      </c>
      <c r="D357" s="3">
        <v>45020</v>
      </c>
      <c r="E357" s="2">
        <v>6627</v>
      </c>
    </row>
    <row r="358" spans="1:5" x14ac:dyDescent="0.3">
      <c r="A358" t="s">
        <v>5</v>
      </c>
      <c r="B358" t="s">
        <v>16</v>
      </c>
      <c r="C358" t="s">
        <v>19</v>
      </c>
      <c r="D358" s="3">
        <v>45020</v>
      </c>
      <c r="E358" s="2">
        <v>4553</v>
      </c>
    </row>
    <row r="359" spans="1:5" x14ac:dyDescent="0.3">
      <c r="A359" t="s">
        <v>5</v>
      </c>
      <c r="B359" t="s">
        <v>16</v>
      </c>
      <c r="C359" t="s">
        <v>23</v>
      </c>
      <c r="D359" s="3">
        <v>45020</v>
      </c>
      <c r="E359" s="2">
        <v>5461</v>
      </c>
    </row>
    <row r="360" spans="1:5" x14ac:dyDescent="0.3">
      <c r="A360" t="s">
        <v>26</v>
      </c>
      <c r="B360" t="s">
        <v>16</v>
      </c>
      <c r="C360" t="s">
        <v>14</v>
      </c>
      <c r="D360" s="3">
        <v>45021</v>
      </c>
      <c r="E360" s="2">
        <v>1889</v>
      </c>
    </row>
    <row r="361" spans="1:5" x14ac:dyDescent="0.3">
      <c r="A361" t="s">
        <v>33</v>
      </c>
      <c r="B361" t="s">
        <v>21</v>
      </c>
      <c r="C361" t="s">
        <v>28</v>
      </c>
      <c r="D361" s="3">
        <v>45021</v>
      </c>
      <c r="E361" s="2">
        <v>12085</v>
      </c>
    </row>
    <row r="362" spans="1:5" x14ac:dyDescent="0.3">
      <c r="A362" t="s">
        <v>27</v>
      </c>
      <c r="B362" t="s">
        <v>16</v>
      </c>
      <c r="C362" t="s">
        <v>12</v>
      </c>
      <c r="D362" s="3">
        <v>45021</v>
      </c>
      <c r="E362" s="2">
        <v>6586</v>
      </c>
    </row>
    <row r="363" spans="1:5" x14ac:dyDescent="0.3">
      <c r="A363" t="s">
        <v>22</v>
      </c>
      <c r="B363" t="s">
        <v>6</v>
      </c>
      <c r="C363" t="s">
        <v>19</v>
      </c>
      <c r="D363" s="3">
        <v>45022</v>
      </c>
      <c r="E363" s="2">
        <v>2988</v>
      </c>
    </row>
    <row r="364" spans="1:5" x14ac:dyDescent="0.3">
      <c r="A364" t="s">
        <v>30</v>
      </c>
      <c r="B364" t="s">
        <v>16</v>
      </c>
      <c r="C364" t="s">
        <v>23</v>
      </c>
      <c r="D364" s="3">
        <v>45022</v>
      </c>
      <c r="E364" s="2">
        <v>5271</v>
      </c>
    </row>
    <row r="365" spans="1:5" x14ac:dyDescent="0.3">
      <c r="A365" t="s">
        <v>30</v>
      </c>
      <c r="B365" t="s">
        <v>13</v>
      </c>
      <c r="C365" t="s">
        <v>28</v>
      </c>
      <c r="D365" s="3">
        <v>45022</v>
      </c>
      <c r="E365" s="2">
        <v>9886</v>
      </c>
    </row>
    <row r="366" spans="1:5" x14ac:dyDescent="0.3">
      <c r="A366" t="s">
        <v>22</v>
      </c>
      <c r="B366" t="s">
        <v>16</v>
      </c>
      <c r="C366" t="s">
        <v>12</v>
      </c>
      <c r="D366" s="3">
        <v>45022</v>
      </c>
      <c r="E366" s="2">
        <v>2981</v>
      </c>
    </row>
    <row r="367" spans="1:5" x14ac:dyDescent="0.3">
      <c r="A367" t="s">
        <v>8</v>
      </c>
      <c r="B367" t="s">
        <v>21</v>
      </c>
      <c r="C367" t="s">
        <v>23</v>
      </c>
      <c r="D367" s="3">
        <v>45023</v>
      </c>
      <c r="E367" s="2">
        <v>8633</v>
      </c>
    </row>
    <row r="368" spans="1:5" x14ac:dyDescent="0.3">
      <c r="A368" t="s">
        <v>20</v>
      </c>
      <c r="B368" t="s">
        <v>16</v>
      </c>
      <c r="C368" t="s">
        <v>25</v>
      </c>
      <c r="D368" s="3">
        <v>45023</v>
      </c>
      <c r="E368" s="2">
        <v>11397</v>
      </c>
    </row>
    <row r="369" spans="1:5" x14ac:dyDescent="0.3">
      <c r="A369" t="s">
        <v>15</v>
      </c>
      <c r="B369" t="s">
        <v>13</v>
      </c>
      <c r="C369" t="s">
        <v>7</v>
      </c>
      <c r="D369" s="3">
        <v>45023</v>
      </c>
      <c r="E369" s="2">
        <v>1966</v>
      </c>
    </row>
    <row r="370" spans="1:5" x14ac:dyDescent="0.3">
      <c r="A370" t="s">
        <v>22</v>
      </c>
      <c r="B370" t="s">
        <v>11</v>
      </c>
      <c r="C370" t="s">
        <v>28</v>
      </c>
      <c r="D370" s="3">
        <v>45023</v>
      </c>
      <c r="E370" s="2">
        <v>6195</v>
      </c>
    </row>
    <row r="371" spans="1:5" x14ac:dyDescent="0.3">
      <c r="A371" t="s">
        <v>31</v>
      </c>
      <c r="B371" t="s">
        <v>21</v>
      </c>
      <c r="C371" t="s">
        <v>19</v>
      </c>
      <c r="D371" s="3">
        <v>45024</v>
      </c>
      <c r="E371" s="2">
        <v>3562</v>
      </c>
    </row>
    <row r="372" spans="1:5" x14ac:dyDescent="0.3">
      <c r="A372" t="s">
        <v>32</v>
      </c>
      <c r="B372" t="s">
        <v>9</v>
      </c>
      <c r="C372" t="s">
        <v>19</v>
      </c>
      <c r="D372" s="3">
        <v>45024</v>
      </c>
      <c r="E372" s="2">
        <v>13571</v>
      </c>
    </row>
    <row r="373" spans="1:5" x14ac:dyDescent="0.3">
      <c r="A373" t="s">
        <v>5</v>
      </c>
      <c r="B373" t="s">
        <v>11</v>
      </c>
      <c r="C373" t="s">
        <v>25</v>
      </c>
      <c r="D373" s="3">
        <v>45024</v>
      </c>
      <c r="E373" s="2">
        <v>9321</v>
      </c>
    </row>
    <row r="374" spans="1:5" x14ac:dyDescent="0.3">
      <c r="A374" t="s">
        <v>10</v>
      </c>
      <c r="B374" t="s">
        <v>9</v>
      </c>
      <c r="C374" t="s">
        <v>25</v>
      </c>
      <c r="D374" s="3">
        <v>45024</v>
      </c>
      <c r="E374" s="2">
        <v>3928</v>
      </c>
    </row>
    <row r="375" spans="1:5" x14ac:dyDescent="0.3">
      <c r="A375" t="s">
        <v>31</v>
      </c>
      <c r="B375" t="s">
        <v>13</v>
      </c>
      <c r="C375" t="s">
        <v>28</v>
      </c>
      <c r="D375" s="3">
        <v>45024</v>
      </c>
      <c r="E375" s="2">
        <v>13874</v>
      </c>
    </row>
    <row r="376" spans="1:5" x14ac:dyDescent="0.3">
      <c r="A376" t="s">
        <v>20</v>
      </c>
      <c r="B376" t="s">
        <v>13</v>
      </c>
      <c r="C376" t="s">
        <v>25</v>
      </c>
      <c r="D376" s="3">
        <v>45025</v>
      </c>
      <c r="E376" s="2">
        <v>10182</v>
      </c>
    </row>
    <row r="377" spans="1:5" x14ac:dyDescent="0.3">
      <c r="A377" t="s">
        <v>20</v>
      </c>
      <c r="B377" t="s">
        <v>11</v>
      </c>
      <c r="C377" t="s">
        <v>7</v>
      </c>
      <c r="D377" s="3">
        <v>45025</v>
      </c>
      <c r="E377" s="2">
        <v>7300</v>
      </c>
    </row>
    <row r="378" spans="1:5" x14ac:dyDescent="0.3">
      <c r="A378" t="s">
        <v>27</v>
      </c>
      <c r="B378" t="s">
        <v>9</v>
      </c>
      <c r="C378" t="s">
        <v>12</v>
      </c>
      <c r="D378" s="3">
        <v>45025</v>
      </c>
      <c r="E378" s="2">
        <v>13376</v>
      </c>
    </row>
    <row r="379" spans="1:5" x14ac:dyDescent="0.3">
      <c r="A379" t="s">
        <v>32</v>
      </c>
      <c r="B379" t="s">
        <v>21</v>
      </c>
      <c r="C379" t="s">
        <v>12</v>
      </c>
      <c r="D379" s="3">
        <v>45025</v>
      </c>
      <c r="E379" s="2">
        <v>2019</v>
      </c>
    </row>
    <row r="380" spans="1:5" x14ac:dyDescent="0.3">
      <c r="A380" t="s">
        <v>20</v>
      </c>
      <c r="B380" t="s">
        <v>6</v>
      </c>
      <c r="C380" t="s">
        <v>28</v>
      </c>
      <c r="D380" s="3">
        <v>45026</v>
      </c>
      <c r="E380" s="2">
        <v>2238</v>
      </c>
    </row>
    <row r="381" spans="1:5" x14ac:dyDescent="0.3">
      <c r="A381" t="s">
        <v>8</v>
      </c>
      <c r="B381" t="s">
        <v>11</v>
      </c>
      <c r="C381" t="s">
        <v>28</v>
      </c>
      <c r="D381" s="3">
        <v>45026</v>
      </c>
      <c r="E381" s="2">
        <v>6751</v>
      </c>
    </row>
    <row r="382" spans="1:5" x14ac:dyDescent="0.3">
      <c r="A382" t="s">
        <v>10</v>
      </c>
      <c r="B382" t="s">
        <v>6</v>
      </c>
      <c r="C382" t="s">
        <v>12</v>
      </c>
      <c r="D382" s="3">
        <v>45026</v>
      </c>
      <c r="E382" s="2">
        <v>4257</v>
      </c>
    </row>
    <row r="383" spans="1:5" x14ac:dyDescent="0.3">
      <c r="A383" t="s">
        <v>32</v>
      </c>
      <c r="B383" t="s">
        <v>11</v>
      </c>
      <c r="C383" t="s">
        <v>12</v>
      </c>
      <c r="D383" s="3">
        <v>45026</v>
      </c>
      <c r="E383" s="2">
        <v>8467</v>
      </c>
    </row>
    <row r="384" spans="1:5" x14ac:dyDescent="0.3">
      <c r="A384" t="s">
        <v>31</v>
      </c>
      <c r="B384" t="s">
        <v>21</v>
      </c>
      <c r="C384" t="s">
        <v>12</v>
      </c>
      <c r="D384" s="3">
        <v>45026</v>
      </c>
      <c r="E384" s="2">
        <v>11548</v>
      </c>
    </row>
    <row r="385" spans="1:5" x14ac:dyDescent="0.3">
      <c r="A385" t="s">
        <v>20</v>
      </c>
      <c r="B385" t="s">
        <v>16</v>
      </c>
      <c r="C385" t="s">
        <v>14</v>
      </c>
      <c r="D385" s="3">
        <v>45027</v>
      </c>
      <c r="E385" s="2">
        <v>2616</v>
      </c>
    </row>
    <row r="386" spans="1:5" x14ac:dyDescent="0.3">
      <c r="A386" t="s">
        <v>20</v>
      </c>
      <c r="B386" t="s">
        <v>16</v>
      </c>
      <c r="C386" t="s">
        <v>19</v>
      </c>
      <c r="D386" s="3">
        <v>45027</v>
      </c>
      <c r="E386" s="2">
        <v>13961</v>
      </c>
    </row>
    <row r="387" spans="1:5" x14ac:dyDescent="0.3">
      <c r="A387" t="s">
        <v>5</v>
      </c>
      <c r="B387" t="s">
        <v>6</v>
      </c>
      <c r="C387" t="s">
        <v>25</v>
      </c>
      <c r="D387" s="3">
        <v>45027</v>
      </c>
      <c r="E387" s="2">
        <v>10742</v>
      </c>
    </row>
    <row r="388" spans="1:5" x14ac:dyDescent="0.3">
      <c r="A388" t="s">
        <v>27</v>
      </c>
      <c r="B388" t="s">
        <v>21</v>
      </c>
      <c r="C388" t="s">
        <v>7</v>
      </c>
      <c r="D388" s="3">
        <v>45027</v>
      </c>
      <c r="E388" s="2">
        <v>1595</v>
      </c>
    </row>
    <row r="389" spans="1:5" x14ac:dyDescent="0.3">
      <c r="A389" t="s">
        <v>5</v>
      </c>
      <c r="B389" t="s">
        <v>16</v>
      </c>
      <c r="C389" t="s">
        <v>28</v>
      </c>
      <c r="D389" s="3">
        <v>45027</v>
      </c>
      <c r="E389" s="2">
        <v>9535</v>
      </c>
    </row>
    <row r="390" spans="1:5" x14ac:dyDescent="0.3">
      <c r="A390" t="s">
        <v>27</v>
      </c>
      <c r="B390" t="s">
        <v>21</v>
      </c>
      <c r="C390" t="s">
        <v>28</v>
      </c>
      <c r="D390" s="3">
        <v>45027</v>
      </c>
      <c r="E390" s="2">
        <v>5885</v>
      </c>
    </row>
    <row r="391" spans="1:5" x14ac:dyDescent="0.3">
      <c r="A391" t="s">
        <v>31</v>
      </c>
      <c r="B391" t="s">
        <v>11</v>
      </c>
      <c r="C391" t="s">
        <v>23</v>
      </c>
      <c r="D391" s="3">
        <v>45028</v>
      </c>
      <c r="E391" s="2">
        <v>4002</v>
      </c>
    </row>
    <row r="392" spans="1:5" x14ac:dyDescent="0.3">
      <c r="A392" t="s">
        <v>31</v>
      </c>
      <c r="B392" t="s">
        <v>13</v>
      </c>
      <c r="C392" t="s">
        <v>7</v>
      </c>
      <c r="D392" s="3">
        <v>45028</v>
      </c>
      <c r="E392" s="2">
        <v>11300</v>
      </c>
    </row>
    <row r="393" spans="1:5" x14ac:dyDescent="0.3">
      <c r="A393" t="s">
        <v>30</v>
      </c>
      <c r="B393" t="s">
        <v>6</v>
      </c>
      <c r="C393" t="s">
        <v>17</v>
      </c>
      <c r="D393" s="3">
        <v>45028</v>
      </c>
      <c r="E393" s="2">
        <v>11011</v>
      </c>
    </row>
    <row r="394" spans="1:5" x14ac:dyDescent="0.3">
      <c r="A394" t="s">
        <v>31</v>
      </c>
      <c r="B394" t="s">
        <v>9</v>
      </c>
      <c r="C394" t="s">
        <v>17</v>
      </c>
      <c r="D394" s="3">
        <v>45028</v>
      </c>
      <c r="E394" s="2">
        <v>7508</v>
      </c>
    </row>
    <row r="395" spans="1:5" x14ac:dyDescent="0.3">
      <c r="A395" t="s">
        <v>22</v>
      </c>
      <c r="B395" t="s">
        <v>16</v>
      </c>
      <c r="C395" t="s">
        <v>19</v>
      </c>
      <c r="D395" s="3">
        <v>45029</v>
      </c>
      <c r="E395" s="2">
        <v>5628</v>
      </c>
    </row>
    <row r="396" spans="1:5" x14ac:dyDescent="0.3">
      <c r="A396" t="s">
        <v>29</v>
      </c>
      <c r="B396" t="s">
        <v>9</v>
      </c>
      <c r="C396" t="s">
        <v>23</v>
      </c>
      <c r="D396" s="3">
        <v>45029</v>
      </c>
      <c r="E396" s="2">
        <v>4388</v>
      </c>
    </row>
    <row r="397" spans="1:5" x14ac:dyDescent="0.3">
      <c r="A397" t="s">
        <v>27</v>
      </c>
      <c r="B397" t="s">
        <v>9</v>
      </c>
      <c r="C397" t="s">
        <v>25</v>
      </c>
      <c r="D397" s="3">
        <v>45029</v>
      </c>
      <c r="E397" s="2">
        <v>6874</v>
      </c>
    </row>
    <row r="398" spans="1:5" x14ac:dyDescent="0.3">
      <c r="A398" t="s">
        <v>30</v>
      </c>
      <c r="B398" t="s">
        <v>13</v>
      </c>
      <c r="C398" t="s">
        <v>7</v>
      </c>
      <c r="D398" s="3">
        <v>45029</v>
      </c>
      <c r="E398" s="2">
        <v>7835</v>
      </c>
    </row>
    <row r="399" spans="1:5" x14ac:dyDescent="0.3">
      <c r="A399" t="s">
        <v>26</v>
      </c>
      <c r="B399" t="s">
        <v>9</v>
      </c>
      <c r="C399" t="s">
        <v>28</v>
      </c>
      <c r="D399" s="3">
        <v>45029</v>
      </c>
      <c r="E399" s="2">
        <v>12428</v>
      </c>
    </row>
    <row r="400" spans="1:5" x14ac:dyDescent="0.3">
      <c r="A400" t="s">
        <v>10</v>
      </c>
      <c r="B400" t="s">
        <v>16</v>
      </c>
      <c r="C400" t="s">
        <v>28</v>
      </c>
      <c r="D400" s="3">
        <v>45029</v>
      </c>
      <c r="E400" s="2">
        <v>9219</v>
      </c>
    </row>
    <row r="401" spans="1:5" x14ac:dyDescent="0.3">
      <c r="A401" t="s">
        <v>10</v>
      </c>
      <c r="B401" t="s">
        <v>11</v>
      </c>
      <c r="C401" t="s">
        <v>19</v>
      </c>
      <c r="D401" s="3">
        <v>45030</v>
      </c>
      <c r="E401" s="2">
        <v>7896</v>
      </c>
    </row>
    <row r="402" spans="1:5" x14ac:dyDescent="0.3">
      <c r="A402" t="s">
        <v>10</v>
      </c>
      <c r="B402" t="s">
        <v>11</v>
      </c>
      <c r="C402" t="s">
        <v>28</v>
      </c>
      <c r="D402" s="3">
        <v>45030</v>
      </c>
      <c r="E402" s="2">
        <v>8204</v>
      </c>
    </row>
    <row r="403" spans="1:5" x14ac:dyDescent="0.3">
      <c r="A403" t="s">
        <v>20</v>
      </c>
      <c r="B403" t="s">
        <v>6</v>
      </c>
      <c r="C403" t="s">
        <v>19</v>
      </c>
      <c r="D403" s="3">
        <v>45031</v>
      </c>
      <c r="E403" s="2">
        <v>6018</v>
      </c>
    </row>
    <row r="404" spans="1:5" x14ac:dyDescent="0.3">
      <c r="A404" t="s">
        <v>5</v>
      </c>
      <c r="B404" t="s">
        <v>13</v>
      </c>
      <c r="C404" t="s">
        <v>17</v>
      </c>
      <c r="D404" s="3">
        <v>45031</v>
      </c>
      <c r="E404" s="2">
        <v>13161</v>
      </c>
    </row>
    <row r="405" spans="1:5" x14ac:dyDescent="0.3">
      <c r="A405" t="s">
        <v>10</v>
      </c>
      <c r="B405" t="s">
        <v>9</v>
      </c>
      <c r="C405" t="s">
        <v>12</v>
      </c>
      <c r="D405" s="3">
        <v>45031</v>
      </c>
      <c r="E405" s="2">
        <v>1732</v>
      </c>
    </row>
    <row r="406" spans="1:5" x14ac:dyDescent="0.3">
      <c r="A406" t="s">
        <v>10</v>
      </c>
      <c r="B406" t="s">
        <v>6</v>
      </c>
      <c r="C406" t="s">
        <v>14</v>
      </c>
      <c r="D406" s="3">
        <v>45032</v>
      </c>
      <c r="E406" s="2">
        <v>3529</v>
      </c>
    </row>
    <row r="407" spans="1:5" x14ac:dyDescent="0.3">
      <c r="A407" t="s">
        <v>8</v>
      </c>
      <c r="B407" t="s">
        <v>11</v>
      </c>
      <c r="C407" t="s">
        <v>19</v>
      </c>
      <c r="D407" s="3">
        <v>45032</v>
      </c>
      <c r="E407" s="2">
        <v>4006</v>
      </c>
    </row>
    <row r="408" spans="1:5" x14ac:dyDescent="0.3">
      <c r="A408" t="s">
        <v>31</v>
      </c>
      <c r="B408" t="s">
        <v>16</v>
      </c>
      <c r="C408" t="s">
        <v>19</v>
      </c>
      <c r="D408" s="3">
        <v>45032</v>
      </c>
      <c r="E408" s="2">
        <v>10213</v>
      </c>
    </row>
    <row r="409" spans="1:5" x14ac:dyDescent="0.3">
      <c r="A409" t="s">
        <v>31</v>
      </c>
      <c r="B409" t="s">
        <v>11</v>
      </c>
      <c r="C409" t="s">
        <v>7</v>
      </c>
      <c r="D409" s="3">
        <v>45032</v>
      </c>
      <c r="E409" s="2">
        <v>2699</v>
      </c>
    </row>
    <row r="410" spans="1:5" x14ac:dyDescent="0.3">
      <c r="A410" t="s">
        <v>27</v>
      </c>
      <c r="B410" t="s">
        <v>9</v>
      </c>
      <c r="C410" t="s">
        <v>14</v>
      </c>
      <c r="D410" s="3">
        <v>45033</v>
      </c>
      <c r="E410" s="2">
        <v>9717</v>
      </c>
    </row>
    <row r="411" spans="1:5" x14ac:dyDescent="0.3">
      <c r="A411" t="s">
        <v>20</v>
      </c>
      <c r="B411" t="s">
        <v>13</v>
      </c>
      <c r="C411" t="s">
        <v>14</v>
      </c>
      <c r="D411" s="3">
        <v>45033</v>
      </c>
      <c r="E411" s="2">
        <v>7616</v>
      </c>
    </row>
    <row r="412" spans="1:5" x14ac:dyDescent="0.3">
      <c r="A412" t="s">
        <v>30</v>
      </c>
      <c r="B412" t="s">
        <v>11</v>
      </c>
      <c r="C412" t="s">
        <v>14</v>
      </c>
      <c r="D412" s="3">
        <v>45033</v>
      </c>
      <c r="E412" s="2">
        <v>13103</v>
      </c>
    </row>
    <row r="413" spans="1:5" x14ac:dyDescent="0.3">
      <c r="A413" t="s">
        <v>29</v>
      </c>
      <c r="B413" t="s">
        <v>16</v>
      </c>
      <c r="C413" t="s">
        <v>19</v>
      </c>
      <c r="D413" s="3">
        <v>45033</v>
      </c>
      <c r="E413" s="2">
        <v>8409</v>
      </c>
    </row>
    <row r="414" spans="1:5" x14ac:dyDescent="0.3">
      <c r="A414" t="s">
        <v>29</v>
      </c>
      <c r="B414" t="s">
        <v>21</v>
      </c>
      <c r="C414" t="s">
        <v>28</v>
      </c>
      <c r="D414" s="3">
        <v>45033</v>
      </c>
      <c r="E414" s="2">
        <v>7265</v>
      </c>
    </row>
    <row r="415" spans="1:5" x14ac:dyDescent="0.3">
      <c r="A415" t="s">
        <v>8</v>
      </c>
      <c r="B415" t="s">
        <v>6</v>
      </c>
      <c r="C415" t="s">
        <v>28</v>
      </c>
      <c r="D415" s="3">
        <v>45033</v>
      </c>
      <c r="E415" s="2">
        <v>11694</v>
      </c>
    </row>
    <row r="416" spans="1:5" x14ac:dyDescent="0.3">
      <c r="A416" t="s">
        <v>5</v>
      </c>
      <c r="B416" t="s">
        <v>16</v>
      </c>
      <c r="C416" t="s">
        <v>14</v>
      </c>
      <c r="D416" s="3">
        <v>45034</v>
      </c>
      <c r="E416" s="2">
        <v>3515</v>
      </c>
    </row>
    <row r="417" spans="1:5" x14ac:dyDescent="0.3">
      <c r="A417" t="s">
        <v>33</v>
      </c>
      <c r="B417" t="s">
        <v>16</v>
      </c>
      <c r="C417" t="s">
        <v>7</v>
      </c>
      <c r="D417" s="3">
        <v>45034</v>
      </c>
      <c r="E417" s="2">
        <v>4281</v>
      </c>
    </row>
    <row r="418" spans="1:5" x14ac:dyDescent="0.3">
      <c r="A418" t="s">
        <v>27</v>
      </c>
      <c r="B418" t="s">
        <v>21</v>
      </c>
      <c r="C418" t="s">
        <v>28</v>
      </c>
      <c r="D418" s="3">
        <v>45034</v>
      </c>
      <c r="E418" s="2">
        <v>3607</v>
      </c>
    </row>
    <row r="419" spans="1:5" x14ac:dyDescent="0.3">
      <c r="A419" t="s">
        <v>15</v>
      </c>
      <c r="B419" t="s">
        <v>21</v>
      </c>
      <c r="C419" t="s">
        <v>28</v>
      </c>
      <c r="D419" s="3">
        <v>45034</v>
      </c>
      <c r="E419" s="2">
        <v>5172</v>
      </c>
    </row>
    <row r="420" spans="1:5" x14ac:dyDescent="0.3">
      <c r="A420" t="s">
        <v>24</v>
      </c>
      <c r="B420" t="s">
        <v>16</v>
      </c>
      <c r="C420" t="s">
        <v>28</v>
      </c>
      <c r="D420" s="3">
        <v>45035</v>
      </c>
      <c r="E420" s="2">
        <v>9665</v>
      </c>
    </row>
    <row r="421" spans="1:5" x14ac:dyDescent="0.3">
      <c r="A421" t="s">
        <v>33</v>
      </c>
      <c r="B421" t="s">
        <v>21</v>
      </c>
      <c r="C421" t="s">
        <v>17</v>
      </c>
      <c r="D421" s="3">
        <v>45035</v>
      </c>
      <c r="E421" s="2">
        <v>5111</v>
      </c>
    </row>
    <row r="422" spans="1:5" x14ac:dyDescent="0.3">
      <c r="A422" t="s">
        <v>20</v>
      </c>
      <c r="B422" t="s">
        <v>11</v>
      </c>
      <c r="C422" t="s">
        <v>14</v>
      </c>
      <c r="D422" s="3">
        <v>45036</v>
      </c>
      <c r="E422" s="2">
        <v>6636</v>
      </c>
    </row>
    <row r="423" spans="1:5" x14ac:dyDescent="0.3">
      <c r="A423" t="s">
        <v>20</v>
      </c>
      <c r="B423" t="s">
        <v>9</v>
      </c>
      <c r="C423" t="s">
        <v>19</v>
      </c>
      <c r="D423" s="3">
        <v>45036</v>
      </c>
      <c r="E423" s="2">
        <v>3189</v>
      </c>
    </row>
    <row r="424" spans="1:5" x14ac:dyDescent="0.3">
      <c r="A424" t="s">
        <v>22</v>
      </c>
      <c r="B424" t="s">
        <v>21</v>
      </c>
      <c r="C424" t="s">
        <v>28</v>
      </c>
      <c r="D424" s="3">
        <v>45036</v>
      </c>
      <c r="E424" s="2">
        <v>13089</v>
      </c>
    </row>
    <row r="425" spans="1:5" x14ac:dyDescent="0.3">
      <c r="A425" t="s">
        <v>5</v>
      </c>
      <c r="B425" t="s">
        <v>11</v>
      </c>
      <c r="C425" t="s">
        <v>28</v>
      </c>
      <c r="D425" s="3">
        <v>45036</v>
      </c>
      <c r="E425" s="2">
        <v>1925</v>
      </c>
    </row>
    <row r="426" spans="1:5" x14ac:dyDescent="0.3">
      <c r="A426" t="s">
        <v>32</v>
      </c>
      <c r="B426" t="s">
        <v>16</v>
      </c>
      <c r="C426" t="s">
        <v>12</v>
      </c>
      <c r="D426" s="3">
        <v>45036</v>
      </c>
      <c r="E426" s="2">
        <v>8919</v>
      </c>
    </row>
    <row r="427" spans="1:5" x14ac:dyDescent="0.3">
      <c r="A427" t="s">
        <v>5</v>
      </c>
      <c r="B427" t="s">
        <v>13</v>
      </c>
      <c r="C427" t="s">
        <v>23</v>
      </c>
      <c r="D427" s="3">
        <v>45037</v>
      </c>
      <c r="E427" s="2">
        <v>10894</v>
      </c>
    </row>
    <row r="428" spans="1:5" x14ac:dyDescent="0.3">
      <c r="A428" t="s">
        <v>27</v>
      </c>
      <c r="B428" t="s">
        <v>9</v>
      </c>
      <c r="C428" t="s">
        <v>25</v>
      </c>
      <c r="D428" s="3">
        <v>45037</v>
      </c>
      <c r="E428" s="2">
        <v>8614</v>
      </c>
    </row>
    <row r="429" spans="1:5" x14ac:dyDescent="0.3">
      <c r="A429" t="s">
        <v>22</v>
      </c>
      <c r="B429" t="s">
        <v>6</v>
      </c>
      <c r="C429" t="s">
        <v>7</v>
      </c>
      <c r="D429" s="3">
        <v>45037</v>
      </c>
      <c r="E429" s="2">
        <v>6852</v>
      </c>
    </row>
    <row r="430" spans="1:5" x14ac:dyDescent="0.3">
      <c r="A430" t="s">
        <v>29</v>
      </c>
      <c r="B430" t="s">
        <v>11</v>
      </c>
      <c r="C430" t="s">
        <v>12</v>
      </c>
      <c r="D430" s="3">
        <v>45037</v>
      </c>
      <c r="E430" s="2">
        <v>6973</v>
      </c>
    </row>
    <row r="431" spans="1:5" x14ac:dyDescent="0.3">
      <c r="A431" t="s">
        <v>10</v>
      </c>
      <c r="B431" t="s">
        <v>21</v>
      </c>
      <c r="C431" t="s">
        <v>14</v>
      </c>
      <c r="D431" s="3">
        <v>45038</v>
      </c>
      <c r="E431" s="2">
        <v>3940</v>
      </c>
    </row>
    <row r="432" spans="1:5" x14ac:dyDescent="0.3">
      <c r="A432" t="s">
        <v>29</v>
      </c>
      <c r="B432" t="s">
        <v>11</v>
      </c>
      <c r="C432" t="s">
        <v>12</v>
      </c>
      <c r="D432" s="3">
        <v>45038</v>
      </c>
      <c r="E432" s="2">
        <v>3564</v>
      </c>
    </row>
    <row r="433" spans="1:5" x14ac:dyDescent="0.3">
      <c r="A433" t="s">
        <v>30</v>
      </c>
      <c r="B433" t="s">
        <v>21</v>
      </c>
      <c r="C433" t="s">
        <v>14</v>
      </c>
      <c r="D433" s="3">
        <v>45039</v>
      </c>
      <c r="E433" s="2">
        <v>13257</v>
      </c>
    </row>
    <row r="434" spans="1:5" x14ac:dyDescent="0.3">
      <c r="A434" t="s">
        <v>33</v>
      </c>
      <c r="B434" t="s">
        <v>21</v>
      </c>
      <c r="C434" t="s">
        <v>14</v>
      </c>
      <c r="D434" s="3">
        <v>45039</v>
      </c>
      <c r="E434" s="2">
        <v>5597</v>
      </c>
    </row>
    <row r="435" spans="1:5" x14ac:dyDescent="0.3">
      <c r="A435" t="s">
        <v>30</v>
      </c>
      <c r="B435" t="s">
        <v>9</v>
      </c>
      <c r="C435" t="s">
        <v>7</v>
      </c>
      <c r="D435" s="3">
        <v>45039</v>
      </c>
      <c r="E435" s="2">
        <v>7403</v>
      </c>
    </row>
    <row r="436" spans="1:5" x14ac:dyDescent="0.3">
      <c r="A436" t="s">
        <v>33</v>
      </c>
      <c r="B436" t="s">
        <v>9</v>
      </c>
      <c r="C436" t="s">
        <v>7</v>
      </c>
      <c r="D436" s="3">
        <v>45039</v>
      </c>
      <c r="E436" s="2">
        <v>4281</v>
      </c>
    </row>
    <row r="437" spans="1:5" x14ac:dyDescent="0.3">
      <c r="A437" t="s">
        <v>8</v>
      </c>
      <c r="B437" t="s">
        <v>16</v>
      </c>
      <c r="C437" t="s">
        <v>17</v>
      </c>
      <c r="D437" s="3">
        <v>45039</v>
      </c>
      <c r="E437" s="2">
        <v>4659</v>
      </c>
    </row>
    <row r="438" spans="1:5" x14ac:dyDescent="0.3">
      <c r="A438" t="s">
        <v>18</v>
      </c>
      <c r="B438" t="s">
        <v>21</v>
      </c>
      <c r="C438" t="s">
        <v>14</v>
      </c>
      <c r="D438" s="3">
        <v>45040</v>
      </c>
      <c r="E438" s="2">
        <v>6608</v>
      </c>
    </row>
    <row r="439" spans="1:5" x14ac:dyDescent="0.3">
      <c r="A439" t="s">
        <v>20</v>
      </c>
      <c r="B439" t="s">
        <v>21</v>
      </c>
      <c r="C439" t="s">
        <v>14</v>
      </c>
      <c r="D439" s="3">
        <v>45040</v>
      </c>
      <c r="E439" s="2">
        <v>4986</v>
      </c>
    </row>
    <row r="440" spans="1:5" x14ac:dyDescent="0.3">
      <c r="A440" t="s">
        <v>33</v>
      </c>
      <c r="B440" t="s">
        <v>21</v>
      </c>
      <c r="C440" t="s">
        <v>23</v>
      </c>
      <c r="D440" s="3">
        <v>45040</v>
      </c>
      <c r="E440" s="2">
        <v>12286</v>
      </c>
    </row>
    <row r="441" spans="1:5" x14ac:dyDescent="0.3">
      <c r="A441" t="s">
        <v>26</v>
      </c>
      <c r="B441" t="s">
        <v>11</v>
      </c>
      <c r="C441" t="s">
        <v>25</v>
      </c>
      <c r="D441" s="3">
        <v>45040</v>
      </c>
      <c r="E441" s="2">
        <v>7873</v>
      </c>
    </row>
    <row r="442" spans="1:5" x14ac:dyDescent="0.3">
      <c r="A442" t="s">
        <v>29</v>
      </c>
      <c r="B442" t="s">
        <v>13</v>
      </c>
      <c r="C442" t="s">
        <v>7</v>
      </c>
      <c r="D442" s="3">
        <v>45040</v>
      </c>
      <c r="E442" s="2">
        <v>13889</v>
      </c>
    </row>
    <row r="443" spans="1:5" x14ac:dyDescent="0.3">
      <c r="A443" t="s">
        <v>18</v>
      </c>
      <c r="B443" t="s">
        <v>11</v>
      </c>
      <c r="C443" t="s">
        <v>12</v>
      </c>
      <c r="D443" s="3">
        <v>45040</v>
      </c>
      <c r="E443" s="2">
        <v>8855</v>
      </c>
    </row>
    <row r="444" spans="1:5" x14ac:dyDescent="0.3">
      <c r="A444" t="s">
        <v>22</v>
      </c>
      <c r="B444" t="s">
        <v>11</v>
      </c>
      <c r="C444" t="s">
        <v>14</v>
      </c>
      <c r="D444" s="3">
        <v>45041</v>
      </c>
      <c r="E444" s="2">
        <v>3162</v>
      </c>
    </row>
    <row r="445" spans="1:5" x14ac:dyDescent="0.3">
      <c r="A445" t="s">
        <v>30</v>
      </c>
      <c r="B445" t="s">
        <v>13</v>
      </c>
      <c r="C445" t="s">
        <v>19</v>
      </c>
      <c r="D445" s="3">
        <v>45041</v>
      </c>
      <c r="E445" s="2">
        <v>5710</v>
      </c>
    </row>
    <row r="446" spans="1:5" x14ac:dyDescent="0.3">
      <c r="A446" t="s">
        <v>31</v>
      </c>
      <c r="B446" t="s">
        <v>11</v>
      </c>
      <c r="C446" t="s">
        <v>7</v>
      </c>
      <c r="D446" s="3">
        <v>45041</v>
      </c>
      <c r="E446" s="2">
        <v>2594</v>
      </c>
    </row>
    <row r="447" spans="1:5" x14ac:dyDescent="0.3">
      <c r="A447" t="s">
        <v>22</v>
      </c>
      <c r="B447" t="s">
        <v>21</v>
      </c>
      <c r="C447" t="s">
        <v>23</v>
      </c>
      <c r="D447" s="3">
        <v>45042</v>
      </c>
      <c r="E447" s="2">
        <v>9319</v>
      </c>
    </row>
    <row r="448" spans="1:5" x14ac:dyDescent="0.3">
      <c r="A448" t="s">
        <v>20</v>
      </c>
      <c r="B448" t="s">
        <v>13</v>
      </c>
      <c r="C448" t="s">
        <v>23</v>
      </c>
      <c r="D448" s="3">
        <v>45042</v>
      </c>
      <c r="E448" s="2">
        <v>10961</v>
      </c>
    </row>
    <row r="449" spans="1:5" x14ac:dyDescent="0.3">
      <c r="A449" t="s">
        <v>5</v>
      </c>
      <c r="B449" t="s">
        <v>21</v>
      </c>
      <c r="C449" t="s">
        <v>23</v>
      </c>
      <c r="D449" s="3">
        <v>45042</v>
      </c>
      <c r="E449" s="2">
        <v>1513</v>
      </c>
    </row>
    <row r="450" spans="1:5" x14ac:dyDescent="0.3">
      <c r="A450" t="s">
        <v>32</v>
      </c>
      <c r="B450" t="s">
        <v>16</v>
      </c>
      <c r="C450" t="s">
        <v>28</v>
      </c>
      <c r="D450" s="3">
        <v>45042</v>
      </c>
      <c r="E450" s="2">
        <v>12370</v>
      </c>
    </row>
    <row r="451" spans="1:5" x14ac:dyDescent="0.3">
      <c r="A451" t="s">
        <v>32</v>
      </c>
      <c r="B451" t="s">
        <v>6</v>
      </c>
      <c r="C451" t="s">
        <v>17</v>
      </c>
      <c r="D451" s="3">
        <v>45042</v>
      </c>
      <c r="E451" s="2">
        <v>13926</v>
      </c>
    </row>
    <row r="452" spans="1:5" x14ac:dyDescent="0.3">
      <c r="A452" t="s">
        <v>26</v>
      </c>
      <c r="B452" t="s">
        <v>21</v>
      </c>
      <c r="C452" t="s">
        <v>14</v>
      </c>
      <c r="D452" s="3">
        <v>45043</v>
      </c>
      <c r="E452" s="2">
        <v>1437</v>
      </c>
    </row>
    <row r="453" spans="1:5" x14ac:dyDescent="0.3">
      <c r="A453" t="s">
        <v>31</v>
      </c>
      <c r="B453" t="s">
        <v>16</v>
      </c>
      <c r="C453" t="s">
        <v>19</v>
      </c>
      <c r="D453" s="3">
        <v>45043</v>
      </c>
      <c r="E453" s="2">
        <v>6321</v>
      </c>
    </row>
    <row r="454" spans="1:5" x14ac:dyDescent="0.3">
      <c r="A454" t="s">
        <v>15</v>
      </c>
      <c r="B454" t="s">
        <v>13</v>
      </c>
      <c r="C454" t="s">
        <v>19</v>
      </c>
      <c r="D454" s="3">
        <v>45043</v>
      </c>
      <c r="E454" s="2">
        <v>13741</v>
      </c>
    </row>
    <row r="455" spans="1:5" x14ac:dyDescent="0.3">
      <c r="A455" t="s">
        <v>18</v>
      </c>
      <c r="B455" t="s">
        <v>9</v>
      </c>
      <c r="C455" t="s">
        <v>17</v>
      </c>
      <c r="D455" s="3">
        <v>45044</v>
      </c>
      <c r="E455" s="2">
        <v>11827</v>
      </c>
    </row>
    <row r="456" spans="1:5" x14ac:dyDescent="0.3">
      <c r="A456" t="s">
        <v>31</v>
      </c>
      <c r="B456" t="s">
        <v>6</v>
      </c>
      <c r="C456" t="s">
        <v>14</v>
      </c>
      <c r="D456" s="3">
        <v>45045</v>
      </c>
      <c r="E456" s="2">
        <v>5070</v>
      </c>
    </row>
    <row r="457" spans="1:5" x14ac:dyDescent="0.3">
      <c r="A457" t="s">
        <v>31</v>
      </c>
      <c r="B457" t="s">
        <v>6</v>
      </c>
      <c r="C457" t="s">
        <v>19</v>
      </c>
      <c r="D457" s="3">
        <v>45045</v>
      </c>
      <c r="E457" s="2">
        <v>12026</v>
      </c>
    </row>
    <row r="458" spans="1:5" x14ac:dyDescent="0.3">
      <c r="A458" t="s">
        <v>22</v>
      </c>
      <c r="B458" t="s">
        <v>16</v>
      </c>
      <c r="C458" t="s">
        <v>23</v>
      </c>
      <c r="D458" s="3">
        <v>45045</v>
      </c>
      <c r="E458" s="2">
        <v>12315</v>
      </c>
    </row>
    <row r="459" spans="1:5" x14ac:dyDescent="0.3">
      <c r="A459" t="s">
        <v>26</v>
      </c>
      <c r="B459" t="s">
        <v>6</v>
      </c>
      <c r="C459" t="s">
        <v>28</v>
      </c>
      <c r="D459" s="3">
        <v>45045</v>
      </c>
      <c r="E459" s="2">
        <v>11719</v>
      </c>
    </row>
    <row r="460" spans="1:5" x14ac:dyDescent="0.3">
      <c r="A460" t="s">
        <v>15</v>
      </c>
      <c r="B460" t="s">
        <v>16</v>
      </c>
      <c r="C460" t="s">
        <v>7</v>
      </c>
      <c r="D460" s="3">
        <v>45046</v>
      </c>
      <c r="E460" s="2">
        <v>1105</v>
      </c>
    </row>
    <row r="461" spans="1:5" x14ac:dyDescent="0.3">
      <c r="A461" t="s">
        <v>32</v>
      </c>
      <c r="B461" t="s">
        <v>6</v>
      </c>
      <c r="C461" t="s">
        <v>28</v>
      </c>
      <c r="D461" s="3">
        <v>45046</v>
      </c>
      <c r="E461" s="2">
        <v>4373</v>
      </c>
    </row>
    <row r="462" spans="1:5" x14ac:dyDescent="0.3">
      <c r="A462" t="s">
        <v>26</v>
      </c>
      <c r="B462" t="s">
        <v>11</v>
      </c>
      <c r="C462" t="s">
        <v>28</v>
      </c>
      <c r="D462" s="3">
        <v>45046</v>
      </c>
      <c r="E462" s="2">
        <v>5292</v>
      </c>
    </row>
    <row r="463" spans="1:5" x14ac:dyDescent="0.3">
      <c r="A463" t="s">
        <v>5</v>
      </c>
      <c r="B463" t="s">
        <v>13</v>
      </c>
      <c r="C463" t="s">
        <v>14</v>
      </c>
      <c r="D463" s="3">
        <v>45047</v>
      </c>
      <c r="E463" s="2">
        <v>2471</v>
      </c>
    </row>
    <row r="464" spans="1:5" x14ac:dyDescent="0.3">
      <c r="A464" t="s">
        <v>15</v>
      </c>
      <c r="B464" t="s">
        <v>9</v>
      </c>
      <c r="C464" t="s">
        <v>23</v>
      </c>
      <c r="D464" s="3">
        <v>45047</v>
      </c>
      <c r="E464" s="2">
        <v>8191</v>
      </c>
    </row>
    <row r="465" spans="1:5" x14ac:dyDescent="0.3">
      <c r="A465" t="s">
        <v>18</v>
      </c>
      <c r="B465" t="s">
        <v>16</v>
      </c>
      <c r="C465" t="s">
        <v>7</v>
      </c>
      <c r="D465" s="3">
        <v>45047</v>
      </c>
      <c r="E465" s="2">
        <v>3772</v>
      </c>
    </row>
    <row r="466" spans="1:5" x14ac:dyDescent="0.3">
      <c r="A466" t="s">
        <v>24</v>
      </c>
      <c r="B466" t="s">
        <v>16</v>
      </c>
      <c r="C466" t="s">
        <v>19</v>
      </c>
      <c r="D466" s="3">
        <v>45048</v>
      </c>
      <c r="E466" s="2">
        <v>13256</v>
      </c>
    </row>
    <row r="467" spans="1:5" x14ac:dyDescent="0.3">
      <c r="A467" t="s">
        <v>24</v>
      </c>
      <c r="B467" t="s">
        <v>6</v>
      </c>
      <c r="C467" t="s">
        <v>28</v>
      </c>
      <c r="D467" s="3">
        <v>45048</v>
      </c>
      <c r="E467" s="2">
        <v>6065</v>
      </c>
    </row>
    <row r="468" spans="1:5" x14ac:dyDescent="0.3">
      <c r="A468" t="s">
        <v>18</v>
      </c>
      <c r="B468" t="s">
        <v>6</v>
      </c>
      <c r="C468" t="s">
        <v>17</v>
      </c>
      <c r="D468" s="3">
        <v>45048</v>
      </c>
      <c r="E468" s="2">
        <v>7922</v>
      </c>
    </row>
    <row r="469" spans="1:5" x14ac:dyDescent="0.3">
      <c r="A469" t="s">
        <v>5</v>
      </c>
      <c r="B469" t="s">
        <v>13</v>
      </c>
      <c r="C469" t="s">
        <v>14</v>
      </c>
      <c r="D469" s="3">
        <v>45049</v>
      </c>
      <c r="E469" s="2">
        <v>12630</v>
      </c>
    </row>
    <row r="470" spans="1:5" x14ac:dyDescent="0.3">
      <c r="A470" t="s">
        <v>27</v>
      </c>
      <c r="B470" t="s">
        <v>16</v>
      </c>
      <c r="C470" t="s">
        <v>28</v>
      </c>
      <c r="D470" s="3">
        <v>45049</v>
      </c>
      <c r="E470" s="2">
        <v>11610</v>
      </c>
    </row>
    <row r="471" spans="1:5" x14ac:dyDescent="0.3">
      <c r="A471" t="s">
        <v>18</v>
      </c>
      <c r="B471" t="s">
        <v>21</v>
      </c>
      <c r="C471" t="s">
        <v>17</v>
      </c>
      <c r="D471" s="3">
        <v>45049</v>
      </c>
      <c r="E471" s="2">
        <v>6851</v>
      </c>
    </row>
    <row r="472" spans="1:5" x14ac:dyDescent="0.3">
      <c r="A472" t="s">
        <v>10</v>
      </c>
      <c r="B472" t="s">
        <v>6</v>
      </c>
      <c r="C472" t="s">
        <v>17</v>
      </c>
      <c r="D472" s="3">
        <v>45049</v>
      </c>
      <c r="E472" s="2">
        <v>6969</v>
      </c>
    </row>
    <row r="473" spans="1:5" x14ac:dyDescent="0.3">
      <c r="A473" t="s">
        <v>10</v>
      </c>
      <c r="B473" t="s">
        <v>9</v>
      </c>
      <c r="C473" t="s">
        <v>14</v>
      </c>
      <c r="D473" s="3">
        <v>45050</v>
      </c>
      <c r="E473" s="2">
        <v>5900</v>
      </c>
    </row>
    <row r="474" spans="1:5" x14ac:dyDescent="0.3">
      <c r="A474" t="s">
        <v>24</v>
      </c>
      <c r="B474" t="s">
        <v>13</v>
      </c>
      <c r="C474" t="s">
        <v>23</v>
      </c>
      <c r="D474" s="3">
        <v>45050</v>
      </c>
      <c r="E474" s="2">
        <v>8352</v>
      </c>
    </row>
    <row r="475" spans="1:5" x14ac:dyDescent="0.3">
      <c r="A475" t="s">
        <v>20</v>
      </c>
      <c r="B475" t="s">
        <v>13</v>
      </c>
      <c r="C475" t="s">
        <v>7</v>
      </c>
      <c r="D475" s="3">
        <v>45050</v>
      </c>
      <c r="E475" s="2">
        <v>7223</v>
      </c>
    </row>
    <row r="476" spans="1:5" x14ac:dyDescent="0.3">
      <c r="A476" t="s">
        <v>29</v>
      </c>
      <c r="B476" t="s">
        <v>6</v>
      </c>
      <c r="C476" t="s">
        <v>7</v>
      </c>
      <c r="D476" s="3">
        <v>45050</v>
      </c>
      <c r="E476" s="2">
        <v>11227</v>
      </c>
    </row>
    <row r="477" spans="1:5" x14ac:dyDescent="0.3">
      <c r="A477" t="s">
        <v>22</v>
      </c>
      <c r="B477" t="s">
        <v>21</v>
      </c>
      <c r="C477" t="s">
        <v>28</v>
      </c>
      <c r="D477" s="3">
        <v>45050</v>
      </c>
      <c r="E477" s="2">
        <v>13522</v>
      </c>
    </row>
    <row r="478" spans="1:5" x14ac:dyDescent="0.3">
      <c r="A478" t="s">
        <v>24</v>
      </c>
      <c r="B478" t="s">
        <v>11</v>
      </c>
      <c r="C478" t="s">
        <v>28</v>
      </c>
      <c r="D478" s="3">
        <v>45050</v>
      </c>
      <c r="E478" s="2">
        <v>8027</v>
      </c>
    </row>
    <row r="479" spans="1:5" x14ac:dyDescent="0.3">
      <c r="A479" t="s">
        <v>27</v>
      </c>
      <c r="B479" t="s">
        <v>13</v>
      </c>
      <c r="C479" t="s">
        <v>17</v>
      </c>
      <c r="D479" s="3">
        <v>45050</v>
      </c>
      <c r="E479" s="2">
        <v>6802</v>
      </c>
    </row>
    <row r="480" spans="1:5" x14ac:dyDescent="0.3">
      <c r="A480" t="s">
        <v>15</v>
      </c>
      <c r="B480" t="s">
        <v>11</v>
      </c>
      <c r="C480" t="s">
        <v>19</v>
      </c>
      <c r="D480" s="3">
        <v>45051</v>
      </c>
      <c r="E480" s="2">
        <v>5319</v>
      </c>
    </row>
    <row r="481" spans="1:5" x14ac:dyDescent="0.3">
      <c r="A481" t="s">
        <v>26</v>
      </c>
      <c r="B481" t="s">
        <v>9</v>
      </c>
      <c r="C481" t="s">
        <v>28</v>
      </c>
      <c r="D481" s="3">
        <v>45051</v>
      </c>
      <c r="E481" s="2">
        <v>2147</v>
      </c>
    </row>
    <row r="482" spans="1:5" x14ac:dyDescent="0.3">
      <c r="A482" t="s">
        <v>30</v>
      </c>
      <c r="B482" t="s">
        <v>6</v>
      </c>
      <c r="C482" t="s">
        <v>28</v>
      </c>
      <c r="D482" s="3">
        <v>45051</v>
      </c>
      <c r="E482" s="2">
        <v>7148</v>
      </c>
    </row>
    <row r="483" spans="1:5" x14ac:dyDescent="0.3">
      <c r="A483" t="s">
        <v>20</v>
      </c>
      <c r="B483" t="s">
        <v>11</v>
      </c>
      <c r="C483" t="s">
        <v>14</v>
      </c>
      <c r="D483" s="3">
        <v>45052</v>
      </c>
      <c r="E483" s="2">
        <v>8088</v>
      </c>
    </row>
    <row r="484" spans="1:5" x14ac:dyDescent="0.3">
      <c r="A484" t="s">
        <v>24</v>
      </c>
      <c r="B484" t="s">
        <v>11</v>
      </c>
      <c r="C484" t="s">
        <v>25</v>
      </c>
      <c r="D484" s="3">
        <v>45052</v>
      </c>
      <c r="E484" s="2">
        <v>5130</v>
      </c>
    </row>
    <row r="485" spans="1:5" x14ac:dyDescent="0.3">
      <c r="A485" t="s">
        <v>29</v>
      </c>
      <c r="B485" t="s">
        <v>13</v>
      </c>
      <c r="C485" t="s">
        <v>19</v>
      </c>
      <c r="D485" s="3">
        <v>45053</v>
      </c>
      <c r="E485" s="2">
        <v>1606</v>
      </c>
    </row>
    <row r="486" spans="1:5" x14ac:dyDescent="0.3">
      <c r="A486" t="s">
        <v>5</v>
      </c>
      <c r="B486" t="s">
        <v>21</v>
      </c>
      <c r="C486" t="s">
        <v>17</v>
      </c>
      <c r="D486" s="3">
        <v>45053</v>
      </c>
      <c r="E486" s="2">
        <v>2495</v>
      </c>
    </row>
    <row r="487" spans="1:5" x14ac:dyDescent="0.3">
      <c r="A487" t="s">
        <v>5</v>
      </c>
      <c r="B487" t="s">
        <v>11</v>
      </c>
      <c r="C487" t="s">
        <v>17</v>
      </c>
      <c r="D487" s="3">
        <v>45053</v>
      </c>
      <c r="E487" s="2">
        <v>9540</v>
      </c>
    </row>
    <row r="488" spans="1:5" x14ac:dyDescent="0.3">
      <c r="A488" t="s">
        <v>31</v>
      </c>
      <c r="B488" t="s">
        <v>16</v>
      </c>
      <c r="C488" t="s">
        <v>14</v>
      </c>
      <c r="D488" s="3">
        <v>45054</v>
      </c>
      <c r="E488" s="2">
        <v>7993</v>
      </c>
    </row>
    <row r="489" spans="1:5" x14ac:dyDescent="0.3">
      <c r="A489" t="s">
        <v>27</v>
      </c>
      <c r="B489" t="s">
        <v>6</v>
      </c>
      <c r="C489" t="s">
        <v>23</v>
      </c>
      <c r="D489" s="3">
        <v>45054</v>
      </c>
      <c r="E489" s="2">
        <v>1564</v>
      </c>
    </row>
    <row r="490" spans="1:5" x14ac:dyDescent="0.3">
      <c r="A490" t="s">
        <v>10</v>
      </c>
      <c r="B490" t="s">
        <v>9</v>
      </c>
      <c r="C490" t="s">
        <v>28</v>
      </c>
      <c r="D490" s="3">
        <v>45054</v>
      </c>
      <c r="E490" s="2">
        <v>11329</v>
      </c>
    </row>
    <row r="491" spans="1:5" x14ac:dyDescent="0.3">
      <c r="A491" t="s">
        <v>26</v>
      </c>
      <c r="B491" t="s">
        <v>6</v>
      </c>
      <c r="C491" t="s">
        <v>12</v>
      </c>
      <c r="D491" s="3">
        <v>45054</v>
      </c>
      <c r="E491" s="2">
        <v>12291</v>
      </c>
    </row>
    <row r="492" spans="1:5" x14ac:dyDescent="0.3">
      <c r="A492" t="s">
        <v>20</v>
      </c>
      <c r="B492" t="s">
        <v>6</v>
      </c>
      <c r="C492" t="s">
        <v>14</v>
      </c>
      <c r="D492" s="3">
        <v>45055</v>
      </c>
      <c r="E492" s="2">
        <v>8146</v>
      </c>
    </row>
    <row r="493" spans="1:5" x14ac:dyDescent="0.3">
      <c r="A493" t="s">
        <v>24</v>
      </c>
      <c r="B493" t="s">
        <v>13</v>
      </c>
      <c r="C493" t="s">
        <v>14</v>
      </c>
      <c r="D493" s="3">
        <v>45055</v>
      </c>
      <c r="E493" s="2">
        <v>6834</v>
      </c>
    </row>
    <row r="494" spans="1:5" x14ac:dyDescent="0.3">
      <c r="A494" t="s">
        <v>5</v>
      </c>
      <c r="B494" t="s">
        <v>6</v>
      </c>
      <c r="C494" t="s">
        <v>25</v>
      </c>
      <c r="D494" s="3">
        <v>45055</v>
      </c>
      <c r="E494" s="2">
        <v>8403</v>
      </c>
    </row>
    <row r="495" spans="1:5" x14ac:dyDescent="0.3">
      <c r="A495" t="s">
        <v>8</v>
      </c>
      <c r="B495" t="s">
        <v>9</v>
      </c>
      <c r="C495" t="s">
        <v>28</v>
      </c>
      <c r="D495" s="3">
        <v>45055</v>
      </c>
      <c r="E495" s="2">
        <v>1210</v>
      </c>
    </row>
    <row r="496" spans="1:5" x14ac:dyDescent="0.3">
      <c r="A496" t="s">
        <v>29</v>
      </c>
      <c r="B496" t="s">
        <v>13</v>
      </c>
      <c r="C496" t="s">
        <v>23</v>
      </c>
      <c r="D496" s="3">
        <v>45056</v>
      </c>
      <c r="E496" s="2">
        <v>4866</v>
      </c>
    </row>
    <row r="497" spans="1:5" x14ac:dyDescent="0.3">
      <c r="A497" t="s">
        <v>29</v>
      </c>
      <c r="B497" t="s">
        <v>9</v>
      </c>
      <c r="C497" t="s">
        <v>25</v>
      </c>
      <c r="D497" s="3">
        <v>45056</v>
      </c>
      <c r="E497" s="2">
        <v>10106</v>
      </c>
    </row>
    <row r="498" spans="1:5" x14ac:dyDescent="0.3">
      <c r="A498" t="s">
        <v>27</v>
      </c>
      <c r="B498" t="s">
        <v>9</v>
      </c>
      <c r="C498" t="s">
        <v>17</v>
      </c>
      <c r="D498" s="3">
        <v>45056</v>
      </c>
      <c r="E498" s="2">
        <v>1212</v>
      </c>
    </row>
    <row r="499" spans="1:5" x14ac:dyDescent="0.3">
      <c r="A499" t="s">
        <v>5</v>
      </c>
      <c r="B499" t="s">
        <v>21</v>
      </c>
      <c r="C499" t="s">
        <v>12</v>
      </c>
      <c r="D499" s="3">
        <v>45056</v>
      </c>
      <c r="E499" s="2">
        <v>4356</v>
      </c>
    </row>
    <row r="500" spans="1:5" x14ac:dyDescent="0.3">
      <c r="A500" t="s">
        <v>18</v>
      </c>
      <c r="B500" t="s">
        <v>16</v>
      </c>
      <c r="C500" t="s">
        <v>12</v>
      </c>
      <c r="D500" s="3">
        <v>45056</v>
      </c>
      <c r="E500" s="2">
        <v>10765</v>
      </c>
    </row>
    <row r="501" spans="1:5" x14ac:dyDescent="0.3">
      <c r="A501" t="s">
        <v>27</v>
      </c>
      <c r="B501" t="s">
        <v>9</v>
      </c>
      <c r="C501" t="s">
        <v>19</v>
      </c>
      <c r="D501" s="3">
        <v>45057</v>
      </c>
      <c r="E501" s="2">
        <v>13502</v>
      </c>
    </row>
    <row r="502" spans="1:5" x14ac:dyDescent="0.3">
      <c r="A502" t="s">
        <v>15</v>
      </c>
      <c r="B502" t="s">
        <v>9</v>
      </c>
      <c r="C502" t="s">
        <v>19</v>
      </c>
      <c r="D502" s="3">
        <v>45057</v>
      </c>
      <c r="E502" s="2">
        <v>3809</v>
      </c>
    </row>
    <row r="503" spans="1:5" x14ac:dyDescent="0.3">
      <c r="A503" t="s">
        <v>20</v>
      </c>
      <c r="B503" t="s">
        <v>16</v>
      </c>
      <c r="C503" t="s">
        <v>17</v>
      </c>
      <c r="D503" s="3">
        <v>45057</v>
      </c>
      <c r="E503" s="2">
        <v>1785</v>
      </c>
    </row>
    <row r="504" spans="1:5" x14ac:dyDescent="0.3">
      <c r="A504" t="s">
        <v>26</v>
      </c>
      <c r="B504" t="s">
        <v>16</v>
      </c>
      <c r="C504" t="s">
        <v>17</v>
      </c>
      <c r="D504" s="3">
        <v>45057</v>
      </c>
      <c r="E504" s="2">
        <v>13953</v>
      </c>
    </row>
    <row r="505" spans="1:5" x14ac:dyDescent="0.3">
      <c r="A505" t="s">
        <v>27</v>
      </c>
      <c r="B505" t="s">
        <v>21</v>
      </c>
      <c r="C505" t="s">
        <v>7</v>
      </c>
      <c r="D505" s="3">
        <v>45058</v>
      </c>
      <c r="E505" s="2">
        <v>1982</v>
      </c>
    </row>
    <row r="506" spans="1:5" x14ac:dyDescent="0.3">
      <c r="A506" t="s">
        <v>8</v>
      </c>
      <c r="B506" t="s">
        <v>9</v>
      </c>
      <c r="C506" t="s">
        <v>7</v>
      </c>
      <c r="D506" s="3">
        <v>45058</v>
      </c>
      <c r="E506" s="2">
        <v>3853</v>
      </c>
    </row>
    <row r="507" spans="1:5" x14ac:dyDescent="0.3">
      <c r="A507" t="s">
        <v>26</v>
      </c>
      <c r="B507" t="s">
        <v>16</v>
      </c>
      <c r="C507" t="s">
        <v>28</v>
      </c>
      <c r="D507" s="3">
        <v>45058</v>
      </c>
      <c r="E507" s="2">
        <v>12678</v>
      </c>
    </row>
    <row r="508" spans="1:5" x14ac:dyDescent="0.3">
      <c r="A508" t="s">
        <v>20</v>
      </c>
      <c r="B508" t="s">
        <v>16</v>
      </c>
      <c r="C508" t="s">
        <v>19</v>
      </c>
      <c r="D508" s="3">
        <v>45059</v>
      </c>
      <c r="E508" s="2">
        <v>8161</v>
      </c>
    </row>
    <row r="509" spans="1:5" x14ac:dyDescent="0.3">
      <c r="A509" t="s">
        <v>18</v>
      </c>
      <c r="B509" t="s">
        <v>11</v>
      </c>
      <c r="C509" t="s">
        <v>23</v>
      </c>
      <c r="D509" s="3">
        <v>45059</v>
      </c>
      <c r="E509" s="2">
        <v>2166</v>
      </c>
    </row>
    <row r="510" spans="1:5" x14ac:dyDescent="0.3">
      <c r="A510" t="s">
        <v>26</v>
      </c>
      <c r="B510" t="s">
        <v>6</v>
      </c>
      <c r="C510" t="s">
        <v>25</v>
      </c>
      <c r="D510" s="3">
        <v>45059</v>
      </c>
      <c r="E510" s="2">
        <v>10921</v>
      </c>
    </row>
    <row r="511" spans="1:5" x14ac:dyDescent="0.3">
      <c r="A511" t="s">
        <v>33</v>
      </c>
      <c r="B511" t="s">
        <v>6</v>
      </c>
      <c r="C511" t="s">
        <v>7</v>
      </c>
      <c r="D511" s="3">
        <v>45059</v>
      </c>
      <c r="E511" s="2">
        <v>6647</v>
      </c>
    </row>
    <row r="512" spans="1:5" x14ac:dyDescent="0.3">
      <c r="A512" t="s">
        <v>32</v>
      </c>
      <c r="B512" t="s">
        <v>9</v>
      </c>
      <c r="C512" t="s">
        <v>7</v>
      </c>
      <c r="D512" s="3">
        <v>45059</v>
      </c>
      <c r="E512" s="2">
        <v>3018</v>
      </c>
    </row>
    <row r="513" spans="1:5" x14ac:dyDescent="0.3">
      <c r="A513" t="s">
        <v>20</v>
      </c>
      <c r="B513" t="s">
        <v>9</v>
      </c>
      <c r="C513" t="s">
        <v>7</v>
      </c>
      <c r="D513" s="3">
        <v>45060</v>
      </c>
      <c r="E513" s="2">
        <v>2753</v>
      </c>
    </row>
    <row r="514" spans="1:5" x14ac:dyDescent="0.3">
      <c r="A514" t="s">
        <v>30</v>
      </c>
      <c r="B514" t="s">
        <v>21</v>
      </c>
      <c r="C514" t="s">
        <v>7</v>
      </c>
      <c r="D514" s="3">
        <v>45060</v>
      </c>
      <c r="E514" s="2">
        <v>11257</v>
      </c>
    </row>
    <row r="515" spans="1:5" x14ac:dyDescent="0.3">
      <c r="A515" t="s">
        <v>33</v>
      </c>
      <c r="B515" t="s">
        <v>6</v>
      </c>
      <c r="C515" t="s">
        <v>25</v>
      </c>
      <c r="D515" s="3">
        <v>45061</v>
      </c>
      <c r="E515" s="2">
        <v>4144</v>
      </c>
    </row>
    <row r="516" spans="1:5" x14ac:dyDescent="0.3">
      <c r="A516" t="s">
        <v>22</v>
      </c>
      <c r="B516" t="s">
        <v>13</v>
      </c>
      <c r="C516" t="s">
        <v>12</v>
      </c>
      <c r="D516" s="3">
        <v>45061</v>
      </c>
      <c r="E516" s="2">
        <v>7888</v>
      </c>
    </row>
    <row r="517" spans="1:5" x14ac:dyDescent="0.3">
      <c r="A517" t="s">
        <v>8</v>
      </c>
      <c r="B517" t="s">
        <v>11</v>
      </c>
      <c r="C517" t="s">
        <v>12</v>
      </c>
      <c r="D517" s="3">
        <v>45061</v>
      </c>
      <c r="E517" s="2">
        <v>6228</v>
      </c>
    </row>
    <row r="518" spans="1:5" x14ac:dyDescent="0.3">
      <c r="A518" t="s">
        <v>15</v>
      </c>
      <c r="B518" t="s">
        <v>11</v>
      </c>
      <c r="C518" t="s">
        <v>7</v>
      </c>
      <c r="D518" s="3">
        <v>45062</v>
      </c>
      <c r="E518" s="2">
        <v>3333</v>
      </c>
    </row>
    <row r="519" spans="1:5" x14ac:dyDescent="0.3">
      <c r="A519" t="s">
        <v>22</v>
      </c>
      <c r="B519" t="s">
        <v>21</v>
      </c>
      <c r="C519" t="s">
        <v>28</v>
      </c>
      <c r="D519" s="3">
        <v>45062</v>
      </c>
      <c r="E519" s="2">
        <v>1558</v>
      </c>
    </row>
    <row r="520" spans="1:5" x14ac:dyDescent="0.3">
      <c r="A520" t="s">
        <v>22</v>
      </c>
      <c r="B520" t="s">
        <v>21</v>
      </c>
      <c r="C520" t="s">
        <v>12</v>
      </c>
      <c r="D520" s="3">
        <v>45062</v>
      </c>
      <c r="E520" s="2">
        <v>12726</v>
      </c>
    </row>
    <row r="521" spans="1:5" x14ac:dyDescent="0.3">
      <c r="A521" t="s">
        <v>10</v>
      </c>
      <c r="B521" t="s">
        <v>21</v>
      </c>
      <c r="C521" t="s">
        <v>12</v>
      </c>
      <c r="D521" s="3">
        <v>45062</v>
      </c>
      <c r="E521" s="2">
        <v>9286</v>
      </c>
    </row>
    <row r="522" spans="1:5" x14ac:dyDescent="0.3">
      <c r="A522" t="s">
        <v>33</v>
      </c>
      <c r="B522" t="s">
        <v>21</v>
      </c>
      <c r="C522" t="s">
        <v>14</v>
      </c>
      <c r="D522" s="3">
        <v>45063</v>
      </c>
      <c r="E522" s="2">
        <v>4868</v>
      </c>
    </row>
    <row r="523" spans="1:5" x14ac:dyDescent="0.3">
      <c r="A523" t="s">
        <v>32</v>
      </c>
      <c r="B523" t="s">
        <v>9</v>
      </c>
      <c r="C523" t="s">
        <v>19</v>
      </c>
      <c r="D523" s="3">
        <v>45063</v>
      </c>
      <c r="E523" s="2">
        <v>10527</v>
      </c>
    </row>
    <row r="524" spans="1:5" x14ac:dyDescent="0.3">
      <c r="A524" t="s">
        <v>22</v>
      </c>
      <c r="B524" t="s">
        <v>11</v>
      </c>
      <c r="C524" t="s">
        <v>19</v>
      </c>
      <c r="D524" s="3">
        <v>45063</v>
      </c>
      <c r="E524" s="2">
        <v>10910</v>
      </c>
    </row>
    <row r="525" spans="1:5" x14ac:dyDescent="0.3">
      <c r="A525" t="s">
        <v>31</v>
      </c>
      <c r="B525" t="s">
        <v>21</v>
      </c>
      <c r="C525" t="s">
        <v>17</v>
      </c>
      <c r="D525" s="3">
        <v>45063</v>
      </c>
      <c r="E525" s="2">
        <v>10209</v>
      </c>
    </row>
    <row r="526" spans="1:5" x14ac:dyDescent="0.3">
      <c r="A526" t="s">
        <v>8</v>
      </c>
      <c r="B526" t="s">
        <v>13</v>
      </c>
      <c r="C526" t="s">
        <v>17</v>
      </c>
      <c r="D526" s="3">
        <v>45063</v>
      </c>
      <c r="E526" s="2">
        <v>13392</v>
      </c>
    </row>
    <row r="527" spans="1:5" x14ac:dyDescent="0.3">
      <c r="A527" t="s">
        <v>10</v>
      </c>
      <c r="B527" t="s">
        <v>21</v>
      </c>
      <c r="C527" t="s">
        <v>14</v>
      </c>
      <c r="D527" s="3">
        <v>45064</v>
      </c>
      <c r="E527" s="2">
        <v>4567</v>
      </c>
    </row>
    <row r="528" spans="1:5" x14ac:dyDescent="0.3">
      <c r="A528" t="s">
        <v>30</v>
      </c>
      <c r="B528" t="s">
        <v>9</v>
      </c>
      <c r="C528" t="s">
        <v>7</v>
      </c>
      <c r="D528" s="3">
        <v>45064</v>
      </c>
      <c r="E528" s="2">
        <v>11788</v>
      </c>
    </row>
    <row r="529" spans="1:5" x14ac:dyDescent="0.3">
      <c r="A529" t="s">
        <v>31</v>
      </c>
      <c r="B529" t="s">
        <v>9</v>
      </c>
      <c r="C529" t="s">
        <v>17</v>
      </c>
      <c r="D529" s="3">
        <v>45064</v>
      </c>
      <c r="E529" s="2">
        <v>8850</v>
      </c>
    </row>
    <row r="530" spans="1:5" x14ac:dyDescent="0.3">
      <c r="A530" t="s">
        <v>27</v>
      </c>
      <c r="B530" t="s">
        <v>13</v>
      </c>
      <c r="C530" t="s">
        <v>25</v>
      </c>
      <c r="D530" s="3">
        <v>45065</v>
      </c>
      <c r="E530" s="2">
        <v>2478</v>
      </c>
    </row>
    <row r="531" spans="1:5" x14ac:dyDescent="0.3">
      <c r="A531" t="s">
        <v>24</v>
      </c>
      <c r="B531" t="s">
        <v>9</v>
      </c>
      <c r="C531" t="s">
        <v>14</v>
      </c>
      <c r="D531" s="3">
        <v>45066</v>
      </c>
      <c r="E531" s="2">
        <v>11047</v>
      </c>
    </row>
    <row r="532" spans="1:5" x14ac:dyDescent="0.3">
      <c r="A532" t="s">
        <v>20</v>
      </c>
      <c r="B532" t="s">
        <v>9</v>
      </c>
      <c r="C532" t="s">
        <v>14</v>
      </c>
      <c r="D532" s="3">
        <v>45066</v>
      </c>
      <c r="E532" s="2">
        <v>7989</v>
      </c>
    </row>
    <row r="533" spans="1:5" x14ac:dyDescent="0.3">
      <c r="A533" t="s">
        <v>22</v>
      </c>
      <c r="B533" t="s">
        <v>21</v>
      </c>
      <c r="C533" t="s">
        <v>25</v>
      </c>
      <c r="D533" s="3">
        <v>45066</v>
      </c>
      <c r="E533" s="2">
        <v>10732</v>
      </c>
    </row>
    <row r="534" spans="1:5" x14ac:dyDescent="0.3">
      <c r="A534" t="s">
        <v>8</v>
      </c>
      <c r="B534" t="s">
        <v>21</v>
      </c>
      <c r="C534" t="s">
        <v>25</v>
      </c>
      <c r="D534" s="3">
        <v>45066</v>
      </c>
      <c r="E534" s="2">
        <v>2080</v>
      </c>
    </row>
    <row r="535" spans="1:5" x14ac:dyDescent="0.3">
      <c r="A535" t="s">
        <v>22</v>
      </c>
      <c r="B535" t="s">
        <v>21</v>
      </c>
      <c r="C535" t="s">
        <v>28</v>
      </c>
      <c r="D535" s="3">
        <v>45067</v>
      </c>
      <c r="E535" s="2">
        <v>3624</v>
      </c>
    </row>
    <row r="536" spans="1:5" x14ac:dyDescent="0.3">
      <c r="A536" t="s">
        <v>8</v>
      </c>
      <c r="B536" t="s">
        <v>11</v>
      </c>
      <c r="C536" t="s">
        <v>19</v>
      </c>
      <c r="D536" s="3">
        <v>45068</v>
      </c>
      <c r="E536" s="2">
        <v>2584</v>
      </c>
    </row>
    <row r="537" spans="1:5" x14ac:dyDescent="0.3">
      <c r="A537" t="s">
        <v>24</v>
      </c>
      <c r="B537" t="s">
        <v>11</v>
      </c>
      <c r="C537" t="s">
        <v>28</v>
      </c>
      <c r="D537" s="3">
        <v>45068</v>
      </c>
      <c r="E537" s="2">
        <v>4641</v>
      </c>
    </row>
    <row r="538" spans="1:5" x14ac:dyDescent="0.3">
      <c r="A538" t="s">
        <v>24</v>
      </c>
      <c r="B538" t="s">
        <v>9</v>
      </c>
      <c r="C538" t="s">
        <v>14</v>
      </c>
      <c r="D538" s="3">
        <v>45069</v>
      </c>
      <c r="E538" s="2">
        <v>9683</v>
      </c>
    </row>
    <row r="539" spans="1:5" x14ac:dyDescent="0.3">
      <c r="A539" t="s">
        <v>33</v>
      </c>
      <c r="B539" t="s">
        <v>13</v>
      </c>
      <c r="C539" t="s">
        <v>19</v>
      </c>
      <c r="D539" s="3">
        <v>45069</v>
      </c>
      <c r="E539" s="2">
        <v>9975</v>
      </c>
    </row>
    <row r="540" spans="1:5" x14ac:dyDescent="0.3">
      <c r="A540" t="s">
        <v>26</v>
      </c>
      <c r="B540" t="s">
        <v>16</v>
      </c>
      <c r="C540" t="s">
        <v>23</v>
      </c>
      <c r="D540" s="3">
        <v>45069</v>
      </c>
      <c r="E540" s="2">
        <v>4924</v>
      </c>
    </row>
    <row r="541" spans="1:5" x14ac:dyDescent="0.3">
      <c r="A541" t="s">
        <v>33</v>
      </c>
      <c r="B541" t="s">
        <v>11</v>
      </c>
      <c r="C541" t="s">
        <v>25</v>
      </c>
      <c r="D541" s="3">
        <v>45069</v>
      </c>
      <c r="E541" s="2">
        <v>3757</v>
      </c>
    </row>
    <row r="542" spans="1:5" x14ac:dyDescent="0.3">
      <c r="A542" t="s">
        <v>22</v>
      </c>
      <c r="B542" t="s">
        <v>11</v>
      </c>
      <c r="C542" t="s">
        <v>25</v>
      </c>
      <c r="D542" s="3">
        <v>45069</v>
      </c>
      <c r="E542" s="2">
        <v>7310</v>
      </c>
    </row>
    <row r="543" spans="1:5" x14ac:dyDescent="0.3">
      <c r="A543" t="s">
        <v>20</v>
      </c>
      <c r="B543" t="s">
        <v>21</v>
      </c>
      <c r="C543" t="s">
        <v>17</v>
      </c>
      <c r="D543" s="3">
        <v>45069</v>
      </c>
      <c r="E543" s="2">
        <v>11484</v>
      </c>
    </row>
    <row r="544" spans="1:5" x14ac:dyDescent="0.3">
      <c r="A544" t="s">
        <v>24</v>
      </c>
      <c r="B544" t="s">
        <v>9</v>
      </c>
      <c r="C544" t="s">
        <v>19</v>
      </c>
      <c r="D544" s="3">
        <v>45070</v>
      </c>
      <c r="E544" s="2">
        <v>2182</v>
      </c>
    </row>
    <row r="545" spans="1:5" x14ac:dyDescent="0.3">
      <c r="A545" t="s">
        <v>20</v>
      </c>
      <c r="B545" t="s">
        <v>9</v>
      </c>
      <c r="C545" t="s">
        <v>7</v>
      </c>
      <c r="D545" s="3">
        <v>45070</v>
      </c>
      <c r="E545" s="2">
        <v>2917</v>
      </c>
    </row>
    <row r="546" spans="1:5" x14ac:dyDescent="0.3">
      <c r="A546" t="s">
        <v>24</v>
      </c>
      <c r="B546" t="s">
        <v>21</v>
      </c>
      <c r="C546" t="s">
        <v>17</v>
      </c>
      <c r="D546" s="3">
        <v>45070</v>
      </c>
      <c r="E546" s="2">
        <v>9219</v>
      </c>
    </row>
    <row r="547" spans="1:5" x14ac:dyDescent="0.3">
      <c r="A547" t="s">
        <v>29</v>
      </c>
      <c r="B547" t="s">
        <v>13</v>
      </c>
      <c r="C547" t="s">
        <v>12</v>
      </c>
      <c r="D547" s="3">
        <v>45070</v>
      </c>
      <c r="E547" s="2">
        <v>10807</v>
      </c>
    </row>
    <row r="548" spans="1:5" x14ac:dyDescent="0.3">
      <c r="A548" t="s">
        <v>31</v>
      </c>
      <c r="B548" t="s">
        <v>21</v>
      </c>
      <c r="C548" t="s">
        <v>25</v>
      </c>
      <c r="D548" s="3">
        <v>45071</v>
      </c>
      <c r="E548" s="2">
        <v>1582</v>
      </c>
    </row>
    <row r="549" spans="1:5" x14ac:dyDescent="0.3">
      <c r="A549" t="s">
        <v>18</v>
      </c>
      <c r="B549" t="s">
        <v>16</v>
      </c>
      <c r="C549" t="s">
        <v>28</v>
      </c>
      <c r="D549" s="3">
        <v>45072</v>
      </c>
      <c r="E549" s="2">
        <v>5974</v>
      </c>
    </row>
    <row r="550" spans="1:5" x14ac:dyDescent="0.3">
      <c r="A550" t="s">
        <v>26</v>
      </c>
      <c r="B550" t="s">
        <v>9</v>
      </c>
      <c r="C550" t="s">
        <v>17</v>
      </c>
      <c r="D550" s="3">
        <v>45072</v>
      </c>
      <c r="E550" s="2">
        <v>4310</v>
      </c>
    </row>
    <row r="551" spans="1:5" x14ac:dyDescent="0.3">
      <c r="A551" t="s">
        <v>33</v>
      </c>
      <c r="B551" t="s">
        <v>21</v>
      </c>
      <c r="C551" t="s">
        <v>12</v>
      </c>
      <c r="D551" s="3">
        <v>45072</v>
      </c>
      <c r="E551" s="2">
        <v>11190</v>
      </c>
    </row>
    <row r="552" spans="1:5" x14ac:dyDescent="0.3">
      <c r="A552" t="s">
        <v>24</v>
      </c>
      <c r="B552" t="s">
        <v>13</v>
      </c>
      <c r="C552" t="s">
        <v>12</v>
      </c>
      <c r="D552" s="3">
        <v>45072</v>
      </c>
      <c r="E552" s="2">
        <v>6582</v>
      </c>
    </row>
    <row r="553" spans="1:5" x14ac:dyDescent="0.3">
      <c r="A553" t="s">
        <v>15</v>
      </c>
      <c r="B553" t="s">
        <v>11</v>
      </c>
      <c r="C553" t="s">
        <v>14</v>
      </c>
      <c r="D553" s="3">
        <v>45073</v>
      </c>
      <c r="E553" s="2">
        <v>4591</v>
      </c>
    </row>
    <row r="554" spans="1:5" x14ac:dyDescent="0.3">
      <c r="A554" t="s">
        <v>5</v>
      </c>
      <c r="B554" t="s">
        <v>13</v>
      </c>
      <c r="C554" t="s">
        <v>19</v>
      </c>
      <c r="D554" s="3">
        <v>45073</v>
      </c>
      <c r="E554" s="2">
        <v>4590</v>
      </c>
    </row>
    <row r="555" spans="1:5" x14ac:dyDescent="0.3">
      <c r="A555" t="s">
        <v>30</v>
      </c>
      <c r="B555" t="s">
        <v>11</v>
      </c>
      <c r="C555" t="s">
        <v>19</v>
      </c>
      <c r="D555" s="3">
        <v>45073</v>
      </c>
      <c r="E555" s="2">
        <v>13991</v>
      </c>
    </row>
    <row r="556" spans="1:5" x14ac:dyDescent="0.3">
      <c r="A556" t="s">
        <v>5</v>
      </c>
      <c r="B556" t="s">
        <v>21</v>
      </c>
      <c r="C556" t="s">
        <v>12</v>
      </c>
      <c r="D556" s="3">
        <v>45073</v>
      </c>
      <c r="E556" s="2">
        <v>3908</v>
      </c>
    </row>
    <row r="557" spans="1:5" x14ac:dyDescent="0.3">
      <c r="A557" t="s">
        <v>8</v>
      </c>
      <c r="B557" t="s">
        <v>21</v>
      </c>
      <c r="C557" t="s">
        <v>25</v>
      </c>
      <c r="D557" s="3">
        <v>45074</v>
      </c>
      <c r="E557" s="2">
        <v>6004</v>
      </c>
    </row>
    <row r="558" spans="1:5" x14ac:dyDescent="0.3">
      <c r="A558" t="s">
        <v>10</v>
      </c>
      <c r="B558" t="s">
        <v>9</v>
      </c>
      <c r="C558" t="s">
        <v>28</v>
      </c>
      <c r="D558" s="3">
        <v>45074</v>
      </c>
      <c r="E558" s="2">
        <v>13134</v>
      </c>
    </row>
    <row r="559" spans="1:5" x14ac:dyDescent="0.3">
      <c r="A559" t="s">
        <v>27</v>
      </c>
      <c r="B559" t="s">
        <v>11</v>
      </c>
      <c r="C559" t="s">
        <v>28</v>
      </c>
      <c r="D559" s="3">
        <v>45074</v>
      </c>
      <c r="E559" s="2">
        <v>13918</v>
      </c>
    </row>
    <row r="560" spans="1:5" x14ac:dyDescent="0.3">
      <c r="A560" t="s">
        <v>30</v>
      </c>
      <c r="B560" t="s">
        <v>11</v>
      </c>
      <c r="C560" t="s">
        <v>17</v>
      </c>
      <c r="D560" s="3">
        <v>45074</v>
      </c>
      <c r="E560" s="2">
        <v>10443</v>
      </c>
    </row>
    <row r="561" spans="1:5" x14ac:dyDescent="0.3">
      <c r="A561" t="s">
        <v>18</v>
      </c>
      <c r="B561" t="s">
        <v>9</v>
      </c>
      <c r="C561" t="s">
        <v>14</v>
      </c>
      <c r="D561" s="3">
        <v>45075</v>
      </c>
      <c r="E561" s="2">
        <v>13716</v>
      </c>
    </row>
    <row r="562" spans="1:5" x14ac:dyDescent="0.3">
      <c r="A562" t="s">
        <v>24</v>
      </c>
      <c r="B562" t="s">
        <v>11</v>
      </c>
      <c r="C562" t="s">
        <v>23</v>
      </c>
      <c r="D562" s="3">
        <v>45075</v>
      </c>
      <c r="E562" s="2">
        <v>3504</v>
      </c>
    </row>
    <row r="563" spans="1:5" x14ac:dyDescent="0.3">
      <c r="A563" t="s">
        <v>10</v>
      </c>
      <c r="B563" t="s">
        <v>9</v>
      </c>
      <c r="C563" t="s">
        <v>23</v>
      </c>
      <c r="D563" s="3">
        <v>45075</v>
      </c>
      <c r="E563" s="2">
        <v>1073</v>
      </c>
    </row>
    <row r="564" spans="1:5" x14ac:dyDescent="0.3">
      <c r="A564" t="s">
        <v>31</v>
      </c>
      <c r="B564" t="s">
        <v>9</v>
      </c>
      <c r="C564" t="s">
        <v>25</v>
      </c>
      <c r="D564" s="3">
        <v>45075</v>
      </c>
      <c r="E564" s="2">
        <v>2942</v>
      </c>
    </row>
    <row r="565" spans="1:5" x14ac:dyDescent="0.3">
      <c r="A565" t="s">
        <v>27</v>
      </c>
      <c r="B565" t="s">
        <v>9</v>
      </c>
      <c r="C565" t="s">
        <v>17</v>
      </c>
      <c r="D565" s="3">
        <v>45075</v>
      </c>
      <c r="E565" s="2">
        <v>5092</v>
      </c>
    </row>
    <row r="566" spans="1:5" x14ac:dyDescent="0.3">
      <c r="A566" t="s">
        <v>8</v>
      </c>
      <c r="B566" t="s">
        <v>13</v>
      </c>
      <c r="C566" t="s">
        <v>12</v>
      </c>
      <c r="D566" s="3">
        <v>45076</v>
      </c>
      <c r="E566" s="2">
        <v>12514</v>
      </c>
    </row>
    <row r="567" spans="1:5" x14ac:dyDescent="0.3">
      <c r="A567" t="s">
        <v>29</v>
      </c>
      <c r="B567" t="s">
        <v>6</v>
      </c>
      <c r="C567" t="s">
        <v>19</v>
      </c>
      <c r="D567" s="3">
        <v>45077</v>
      </c>
      <c r="E567" s="2">
        <v>11541</v>
      </c>
    </row>
    <row r="568" spans="1:5" x14ac:dyDescent="0.3">
      <c r="A568" t="s">
        <v>22</v>
      </c>
      <c r="B568" t="s">
        <v>13</v>
      </c>
      <c r="C568" t="s">
        <v>19</v>
      </c>
      <c r="D568" s="3">
        <v>45077</v>
      </c>
      <c r="E568" s="2">
        <v>13427</v>
      </c>
    </row>
    <row r="569" spans="1:5" x14ac:dyDescent="0.3">
      <c r="A569" t="s">
        <v>22</v>
      </c>
      <c r="B569" t="s">
        <v>21</v>
      </c>
      <c r="C569" t="s">
        <v>28</v>
      </c>
      <c r="D569" s="3">
        <v>45077</v>
      </c>
      <c r="E569" s="2">
        <v>6453</v>
      </c>
    </row>
    <row r="570" spans="1:5" x14ac:dyDescent="0.3">
      <c r="A570" t="s">
        <v>20</v>
      </c>
      <c r="B570" t="s">
        <v>13</v>
      </c>
      <c r="C570" t="s">
        <v>12</v>
      </c>
      <c r="D570" s="3">
        <v>45077</v>
      </c>
      <c r="E570" s="2">
        <v>3238</v>
      </c>
    </row>
    <row r="571" spans="1:5" x14ac:dyDescent="0.3">
      <c r="A571" t="s">
        <v>33</v>
      </c>
      <c r="B571" t="s">
        <v>13</v>
      </c>
      <c r="C571" t="s">
        <v>12</v>
      </c>
      <c r="D571" s="3">
        <v>45077</v>
      </c>
      <c r="E571" s="2">
        <v>13383</v>
      </c>
    </row>
    <row r="572" spans="1:5" x14ac:dyDescent="0.3">
      <c r="A572" t="s">
        <v>18</v>
      </c>
      <c r="B572" t="s">
        <v>11</v>
      </c>
      <c r="C572" t="s">
        <v>23</v>
      </c>
      <c r="D572" s="3">
        <v>45079</v>
      </c>
      <c r="E572" s="2">
        <v>2936</v>
      </c>
    </row>
    <row r="573" spans="1:5" x14ac:dyDescent="0.3">
      <c r="A573" t="s">
        <v>33</v>
      </c>
      <c r="B573" t="s">
        <v>6</v>
      </c>
      <c r="C573" t="s">
        <v>25</v>
      </c>
      <c r="D573" s="3">
        <v>45079</v>
      </c>
      <c r="E573" s="2">
        <v>1733</v>
      </c>
    </row>
    <row r="574" spans="1:5" x14ac:dyDescent="0.3">
      <c r="A574" t="s">
        <v>32</v>
      </c>
      <c r="B574" t="s">
        <v>16</v>
      </c>
      <c r="C574" t="s">
        <v>25</v>
      </c>
      <c r="D574" s="3">
        <v>45079</v>
      </c>
      <c r="E574" s="2">
        <v>6375</v>
      </c>
    </row>
    <row r="575" spans="1:5" x14ac:dyDescent="0.3">
      <c r="A575" t="s">
        <v>31</v>
      </c>
      <c r="B575" t="s">
        <v>11</v>
      </c>
      <c r="C575" t="s">
        <v>28</v>
      </c>
      <c r="D575" s="3">
        <v>45079</v>
      </c>
      <c r="E575" s="2">
        <v>5149</v>
      </c>
    </row>
    <row r="576" spans="1:5" x14ac:dyDescent="0.3">
      <c r="A576" t="s">
        <v>8</v>
      </c>
      <c r="B576" t="s">
        <v>9</v>
      </c>
      <c r="C576" t="s">
        <v>17</v>
      </c>
      <c r="D576" s="3">
        <v>45079</v>
      </c>
      <c r="E576" s="2">
        <v>6816</v>
      </c>
    </row>
    <row r="577" spans="1:5" x14ac:dyDescent="0.3">
      <c r="A577" t="s">
        <v>29</v>
      </c>
      <c r="B577" t="s">
        <v>16</v>
      </c>
      <c r="C577" t="s">
        <v>17</v>
      </c>
      <c r="D577" s="3">
        <v>45079</v>
      </c>
      <c r="E577" s="2">
        <v>2051</v>
      </c>
    </row>
    <row r="578" spans="1:5" x14ac:dyDescent="0.3">
      <c r="A578" t="s">
        <v>33</v>
      </c>
      <c r="B578" t="s">
        <v>11</v>
      </c>
      <c r="C578" t="s">
        <v>17</v>
      </c>
      <c r="D578" s="3">
        <v>45080</v>
      </c>
      <c r="E578" s="2">
        <v>7051</v>
      </c>
    </row>
    <row r="579" spans="1:5" x14ac:dyDescent="0.3">
      <c r="A579" t="s">
        <v>20</v>
      </c>
      <c r="B579" t="s">
        <v>13</v>
      </c>
      <c r="C579" t="s">
        <v>12</v>
      </c>
      <c r="D579" s="3">
        <v>45080</v>
      </c>
      <c r="E579" s="2">
        <v>7139</v>
      </c>
    </row>
    <row r="580" spans="1:5" x14ac:dyDescent="0.3">
      <c r="A580" t="s">
        <v>10</v>
      </c>
      <c r="B580" t="s">
        <v>11</v>
      </c>
      <c r="C580" t="s">
        <v>14</v>
      </c>
      <c r="D580" s="3">
        <v>45081</v>
      </c>
      <c r="E580" s="2">
        <v>12454</v>
      </c>
    </row>
    <row r="581" spans="1:5" x14ac:dyDescent="0.3">
      <c r="A581" t="s">
        <v>20</v>
      </c>
      <c r="B581" t="s">
        <v>16</v>
      </c>
      <c r="C581" t="s">
        <v>14</v>
      </c>
      <c r="D581" s="3">
        <v>45081</v>
      </c>
      <c r="E581" s="2">
        <v>13384</v>
      </c>
    </row>
    <row r="582" spans="1:5" x14ac:dyDescent="0.3">
      <c r="A582" t="s">
        <v>27</v>
      </c>
      <c r="B582" t="s">
        <v>6</v>
      </c>
      <c r="C582" t="s">
        <v>19</v>
      </c>
      <c r="D582" s="3">
        <v>45081</v>
      </c>
      <c r="E582" s="2">
        <v>7551</v>
      </c>
    </row>
    <row r="583" spans="1:5" x14ac:dyDescent="0.3">
      <c r="A583" t="s">
        <v>22</v>
      </c>
      <c r="B583" t="s">
        <v>16</v>
      </c>
      <c r="C583" t="s">
        <v>7</v>
      </c>
      <c r="D583" s="3">
        <v>45081</v>
      </c>
      <c r="E583" s="2">
        <v>9805</v>
      </c>
    </row>
    <row r="584" spans="1:5" x14ac:dyDescent="0.3">
      <c r="A584" t="s">
        <v>18</v>
      </c>
      <c r="B584" t="s">
        <v>9</v>
      </c>
      <c r="C584" t="s">
        <v>7</v>
      </c>
      <c r="D584" s="3">
        <v>45081</v>
      </c>
      <c r="E584" s="2">
        <v>7487</v>
      </c>
    </row>
    <row r="585" spans="1:5" x14ac:dyDescent="0.3">
      <c r="A585" t="s">
        <v>27</v>
      </c>
      <c r="B585" t="s">
        <v>13</v>
      </c>
      <c r="C585" t="s">
        <v>28</v>
      </c>
      <c r="D585" s="3">
        <v>45081</v>
      </c>
      <c r="E585" s="2">
        <v>8105</v>
      </c>
    </row>
    <row r="586" spans="1:5" x14ac:dyDescent="0.3">
      <c r="A586" t="s">
        <v>10</v>
      </c>
      <c r="B586" t="s">
        <v>9</v>
      </c>
      <c r="C586" t="s">
        <v>17</v>
      </c>
      <c r="D586" s="3">
        <v>45082</v>
      </c>
      <c r="E586" s="2">
        <v>7163</v>
      </c>
    </row>
    <row r="587" spans="1:5" x14ac:dyDescent="0.3">
      <c r="A587" t="s">
        <v>8</v>
      </c>
      <c r="B587" t="s">
        <v>6</v>
      </c>
      <c r="C587" t="s">
        <v>17</v>
      </c>
      <c r="D587" s="3">
        <v>45082</v>
      </c>
      <c r="E587" s="2">
        <v>8532</v>
      </c>
    </row>
    <row r="588" spans="1:5" x14ac:dyDescent="0.3">
      <c r="A588" t="s">
        <v>33</v>
      </c>
      <c r="B588" t="s">
        <v>13</v>
      </c>
      <c r="C588" t="s">
        <v>19</v>
      </c>
      <c r="D588" s="3">
        <v>45083</v>
      </c>
      <c r="E588" s="2">
        <v>2264</v>
      </c>
    </row>
    <row r="589" spans="1:5" x14ac:dyDescent="0.3">
      <c r="A589" t="s">
        <v>15</v>
      </c>
      <c r="B589" t="s">
        <v>6</v>
      </c>
      <c r="C589" t="s">
        <v>25</v>
      </c>
      <c r="D589" s="3">
        <v>45083</v>
      </c>
      <c r="E589" s="2">
        <v>9370</v>
      </c>
    </row>
    <row r="590" spans="1:5" x14ac:dyDescent="0.3">
      <c r="A590" t="s">
        <v>10</v>
      </c>
      <c r="B590" t="s">
        <v>9</v>
      </c>
      <c r="C590" t="s">
        <v>7</v>
      </c>
      <c r="D590" s="3">
        <v>45083</v>
      </c>
      <c r="E590" s="2">
        <v>6567</v>
      </c>
    </row>
    <row r="591" spans="1:5" x14ac:dyDescent="0.3">
      <c r="A591" t="s">
        <v>31</v>
      </c>
      <c r="B591" t="s">
        <v>16</v>
      </c>
      <c r="C591" t="s">
        <v>28</v>
      </c>
      <c r="D591" s="3">
        <v>45083</v>
      </c>
      <c r="E591" s="2">
        <v>6848</v>
      </c>
    </row>
    <row r="592" spans="1:5" x14ac:dyDescent="0.3">
      <c r="A592" t="s">
        <v>15</v>
      </c>
      <c r="B592" t="s">
        <v>9</v>
      </c>
      <c r="C592" t="s">
        <v>28</v>
      </c>
      <c r="D592" s="3">
        <v>45083</v>
      </c>
      <c r="E592" s="2">
        <v>13226</v>
      </c>
    </row>
    <row r="593" spans="1:5" x14ac:dyDescent="0.3">
      <c r="A593" t="s">
        <v>22</v>
      </c>
      <c r="B593" t="s">
        <v>11</v>
      </c>
      <c r="C593" t="s">
        <v>12</v>
      </c>
      <c r="D593" s="3">
        <v>45083</v>
      </c>
      <c r="E593" s="2">
        <v>9287</v>
      </c>
    </row>
    <row r="594" spans="1:5" x14ac:dyDescent="0.3">
      <c r="A594" t="s">
        <v>8</v>
      </c>
      <c r="B594" t="s">
        <v>6</v>
      </c>
      <c r="C594" t="s">
        <v>19</v>
      </c>
      <c r="D594" s="3">
        <v>45084</v>
      </c>
      <c r="E594" s="2">
        <v>2732</v>
      </c>
    </row>
    <row r="595" spans="1:5" x14ac:dyDescent="0.3">
      <c r="A595" t="s">
        <v>20</v>
      </c>
      <c r="B595" t="s">
        <v>11</v>
      </c>
      <c r="C595" t="s">
        <v>19</v>
      </c>
      <c r="D595" s="3">
        <v>45084</v>
      </c>
      <c r="E595" s="2">
        <v>9933</v>
      </c>
    </row>
    <row r="596" spans="1:5" x14ac:dyDescent="0.3">
      <c r="A596" t="s">
        <v>22</v>
      </c>
      <c r="B596" t="s">
        <v>13</v>
      </c>
      <c r="C596" t="s">
        <v>23</v>
      </c>
      <c r="D596" s="3">
        <v>45084</v>
      </c>
      <c r="E596" s="2">
        <v>1556</v>
      </c>
    </row>
    <row r="597" spans="1:5" x14ac:dyDescent="0.3">
      <c r="A597" t="s">
        <v>26</v>
      </c>
      <c r="B597" t="s">
        <v>11</v>
      </c>
      <c r="C597" t="s">
        <v>14</v>
      </c>
      <c r="D597" s="3">
        <v>45085</v>
      </c>
      <c r="E597" s="2">
        <v>7633</v>
      </c>
    </row>
    <row r="598" spans="1:5" x14ac:dyDescent="0.3">
      <c r="A598" t="s">
        <v>30</v>
      </c>
      <c r="B598" t="s">
        <v>6</v>
      </c>
      <c r="C598" t="s">
        <v>25</v>
      </c>
      <c r="D598" s="3">
        <v>45085</v>
      </c>
      <c r="E598" s="2">
        <v>13424</v>
      </c>
    </row>
    <row r="599" spans="1:5" x14ac:dyDescent="0.3">
      <c r="A599" t="s">
        <v>32</v>
      </c>
      <c r="B599" t="s">
        <v>21</v>
      </c>
      <c r="C599" t="s">
        <v>28</v>
      </c>
      <c r="D599" s="3">
        <v>45085</v>
      </c>
      <c r="E599" s="2">
        <v>6449</v>
      </c>
    </row>
    <row r="600" spans="1:5" x14ac:dyDescent="0.3">
      <c r="A600" t="s">
        <v>10</v>
      </c>
      <c r="B600" t="s">
        <v>11</v>
      </c>
      <c r="C600" t="s">
        <v>14</v>
      </c>
      <c r="D600" s="3">
        <v>45086</v>
      </c>
      <c r="E600" s="2">
        <v>5669</v>
      </c>
    </row>
    <row r="601" spans="1:5" x14ac:dyDescent="0.3">
      <c r="A601" t="s">
        <v>27</v>
      </c>
      <c r="B601" t="s">
        <v>11</v>
      </c>
      <c r="C601" t="s">
        <v>25</v>
      </c>
      <c r="D601" s="3">
        <v>45086</v>
      </c>
      <c r="E601" s="2">
        <v>2144</v>
      </c>
    </row>
    <row r="602" spans="1:5" x14ac:dyDescent="0.3">
      <c r="A602" t="s">
        <v>32</v>
      </c>
      <c r="B602" t="s">
        <v>11</v>
      </c>
      <c r="C602" t="s">
        <v>7</v>
      </c>
      <c r="D602" s="3">
        <v>45086</v>
      </c>
      <c r="E602" s="2">
        <v>10797</v>
      </c>
    </row>
    <row r="603" spans="1:5" x14ac:dyDescent="0.3">
      <c r="A603" t="s">
        <v>30</v>
      </c>
      <c r="B603" t="s">
        <v>21</v>
      </c>
      <c r="C603" t="s">
        <v>7</v>
      </c>
      <c r="D603" s="3">
        <v>45086</v>
      </c>
      <c r="E603" s="2">
        <v>1372</v>
      </c>
    </row>
    <row r="604" spans="1:5" x14ac:dyDescent="0.3">
      <c r="A604" t="s">
        <v>18</v>
      </c>
      <c r="B604" t="s">
        <v>11</v>
      </c>
      <c r="C604" t="s">
        <v>28</v>
      </c>
      <c r="D604" s="3">
        <v>45086</v>
      </c>
      <c r="E604" s="2">
        <v>7968</v>
      </c>
    </row>
    <row r="605" spans="1:5" x14ac:dyDescent="0.3">
      <c r="A605" t="s">
        <v>15</v>
      </c>
      <c r="B605" t="s">
        <v>6</v>
      </c>
      <c r="C605" t="s">
        <v>28</v>
      </c>
      <c r="D605" s="3">
        <v>45086</v>
      </c>
      <c r="E605" s="2">
        <v>10985</v>
      </c>
    </row>
    <row r="606" spans="1:5" x14ac:dyDescent="0.3">
      <c r="A606" t="s">
        <v>30</v>
      </c>
      <c r="B606" t="s">
        <v>21</v>
      </c>
      <c r="C606" t="s">
        <v>7</v>
      </c>
      <c r="D606" s="3">
        <v>45087</v>
      </c>
      <c r="E606" s="2">
        <v>9730</v>
      </c>
    </row>
    <row r="607" spans="1:5" x14ac:dyDescent="0.3">
      <c r="A607" t="s">
        <v>33</v>
      </c>
      <c r="B607" t="s">
        <v>9</v>
      </c>
      <c r="C607" t="s">
        <v>17</v>
      </c>
      <c r="D607" s="3">
        <v>45087</v>
      </c>
      <c r="E607" s="2">
        <v>12736</v>
      </c>
    </row>
    <row r="608" spans="1:5" x14ac:dyDescent="0.3">
      <c r="A608" t="s">
        <v>31</v>
      </c>
      <c r="B608" t="s">
        <v>21</v>
      </c>
      <c r="C608" t="s">
        <v>7</v>
      </c>
      <c r="D608" s="3">
        <v>45088</v>
      </c>
      <c r="E608" s="2">
        <v>5701</v>
      </c>
    </row>
    <row r="609" spans="1:5" x14ac:dyDescent="0.3">
      <c r="A609" t="s">
        <v>24</v>
      </c>
      <c r="B609" t="s">
        <v>9</v>
      </c>
      <c r="C609" t="s">
        <v>14</v>
      </c>
      <c r="D609" s="3">
        <v>45089</v>
      </c>
      <c r="E609" s="2">
        <v>8737</v>
      </c>
    </row>
    <row r="610" spans="1:5" x14ac:dyDescent="0.3">
      <c r="A610" t="s">
        <v>29</v>
      </c>
      <c r="B610" t="s">
        <v>16</v>
      </c>
      <c r="C610" t="s">
        <v>23</v>
      </c>
      <c r="D610" s="3">
        <v>45089</v>
      </c>
      <c r="E610" s="2">
        <v>12404</v>
      </c>
    </row>
    <row r="611" spans="1:5" x14ac:dyDescent="0.3">
      <c r="A611" t="s">
        <v>18</v>
      </c>
      <c r="B611" t="s">
        <v>11</v>
      </c>
      <c r="C611" t="s">
        <v>25</v>
      </c>
      <c r="D611" s="3">
        <v>45089</v>
      </c>
      <c r="E611" s="2">
        <v>2697</v>
      </c>
    </row>
    <row r="612" spans="1:5" x14ac:dyDescent="0.3">
      <c r="A612" t="s">
        <v>18</v>
      </c>
      <c r="B612" t="s">
        <v>11</v>
      </c>
      <c r="C612" t="s">
        <v>17</v>
      </c>
      <c r="D612" s="3">
        <v>45089</v>
      </c>
      <c r="E612" s="2">
        <v>4967</v>
      </c>
    </row>
    <row r="613" spans="1:5" x14ac:dyDescent="0.3">
      <c r="A613" t="s">
        <v>30</v>
      </c>
      <c r="B613" t="s">
        <v>9</v>
      </c>
      <c r="C613" t="s">
        <v>12</v>
      </c>
      <c r="D613" s="3">
        <v>45089</v>
      </c>
      <c r="E613" s="2">
        <v>2186</v>
      </c>
    </row>
    <row r="614" spans="1:5" x14ac:dyDescent="0.3">
      <c r="A614" t="s">
        <v>8</v>
      </c>
      <c r="B614" t="s">
        <v>13</v>
      </c>
      <c r="C614" t="s">
        <v>23</v>
      </c>
      <c r="D614" s="3">
        <v>45090</v>
      </c>
      <c r="E614" s="2">
        <v>3068</v>
      </c>
    </row>
    <row r="615" spans="1:5" x14ac:dyDescent="0.3">
      <c r="A615" t="s">
        <v>30</v>
      </c>
      <c r="B615" t="s">
        <v>13</v>
      </c>
      <c r="C615" t="s">
        <v>17</v>
      </c>
      <c r="D615" s="3">
        <v>45090</v>
      </c>
      <c r="E615" s="2">
        <v>7083</v>
      </c>
    </row>
    <row r="616" spans="1:5" x14ac:dyDescent="0.3">
      <c r="A616" t="s">
        <v>22</v>
      </c>
      <c r="B616" t="s">
        <v>11</v>
      </c>
      <c r="C616" t="s">
        <v>12</v>
      </c>
      <c r="D616" s="3">
        <v>45091</v>
      </c>
      <c r="E616" s="2">
        <v>5704</v>
      </c>
    </row>
    <row r="617" spans="1:5" x14ac:dyDescent="0.3">
      <c r="A617" t="s">
        <v>30</v>
      </c>
      <c r="B617" t="s">
        <v>6</v>
      </c>
      <c r="C617" t="s">
        <v>14</v>
      </c>
      <c r="D617" s="3">
        <v>45092</v>
      </c>
      <c r="E617" s="2">
        <v>10194</v>
      </c>
    </row>
    <row r="618" spans="1:5" x14ac:dyDescent="0.3">
      <c r="A618" t="s">
        <v>10</v>
      </c>
      <c r="B618" t="s">
        <v>6</v>
      </c>
      <c r="C618" t="s">
        <v>7</v>
      </c>
      <c r="D618" s="3">
        <v>45092</v>
      </c>
      <c r="E618" s="2">
        <v>4059</v>
      </c>
    </row>
    <row r="619" spans="1:5" x14ac:dyDescent="0.3">
      <c r="A619" t="s">
        <v>10</v>
      </c>
      <c r="B619" t="s">
        <v>16</v>
      </c>
      <c r="C619" t="s">
        <v>28</v>
      </c>
      <c r="D619" s="3">
        <v>45092</v>
      </c>
      <c r="E619" s="2">
        <v>7426</v>
      </c>
    </row>
    <row r="620" spans="1:5" x14ac:dyDescent="0.3">
      <c r="A620" t="s">
        <v>24</v>
      </c>
      <c r="B620" t="s">
        <v>16</v>
      </c>
      <c r="C620" t="s">
        <v>28</v>
      </c>
      <c r="D620" s="3">
        <v>45092</v>
      </c>
      <c r="E620" s="2">
        <v>4807</v>
      </c>
    </row>
    <row r="621" spans="1:5" x14ac:dyDescent="0.3">
      <c r="A621" t="s">
        <v>32</v>
      </c>
      <c r="B621" t="s">
        <v>6</v>
      </c>
      <c r="C621" t="s">
        <v>14</v>
      </c>
      <c r="D621" s="3">
        <v>45093</v>
      </c>
      <c r="E621" s="2">
        <v>1996</v>
      </c>
    </row>
    <row r="622" spans="1:5" x14ac:dyDescent="0.3">
      <c r="A622" t="s">
        <v>5</v>
      </c>
      <c r="B622" t="s">
        <v>16</v>
      </c>
      <c r="C622" t="s">
        <v>19</v>
      </c>
      <c r="D622" s="3">
        <v>45093</v>
      </c>
      <c r="E622" s="2">
        <v>5393</v>
      </c>
    </row>
    <row r="623" spans="1:5" x14ac:dyDescent="0.3">
      <c r="A623" t="s">
        <v>29</v>
      </c>
      <c r="B623" t="s">
        <v>6</v>
      </c>
      <c r="C623" t="s">
        <v>19</v>
      </c>
      <c r="D623" s="3">
        <v>45093</v>
      </c>
      <c r="E623" s="2">
        <v>3827</v>
      </c>
    </row>
    <row r="624" spans="1:5" x14ac:dyDescent="0.3">
      <c r="A624" t="s">
        <v>15</v>
      </c>
      <c r="B624" t="s">
        <v>21</v>
      </c>
      <c r="C624" t="s">
        <v>25</v>
      </c>
      <c r="D624" s="3">
        <v>45093</v>
      </c>
      <c r="E624" s="2">
        <v>8052</v>
      </c>
    </row>
    <row r="625" spans="1:5" x14ac:dyDescent="0.3">
      <c r="A625" t="s">
        <v>15</v>
      </c>
      <c r="B625" t="s">
        <v>9</v>
      </c>
      <c r="C625" t="s">
        <v>7</v>
      </c>
      <c r="D625" s="3">
        <v>45093</v>
      </c>
      <c r="E625" s="2">
        <v>11199</v>
      </c>
    </row>
    <row r="626" spans="1:5" x14ac:dyDescent="0.3">
      <c r="A626" t="s">
        <v>15</v>
      </c>
      <c r="B626" t="s">
        <v>6</v>
      </c>
      <c r="C626" t="s">
        <v>12</v>
      </c>
      <c r="D626" s="3">
        <v>45093</v>
      </c>
      <c r="E626" s="2">
        <v>5271</v>
      </c>
    </row>
    <row r="627" spans="1:5" x14ac:dyDescent="0.3">
      <c r="A627" t="s">
        <v>26</v>
      </c>
      <c r="B627" t="s">
        <v>16</v>
      </c>
      <c r="C627" t="s">
        <v>14</v>
      </c>
      <c r="D627" s="3">
        <v>45094</v>
      </c>
      <c r="E627" s="2">
        <v>2329</v>
      </c>
    </row>
    <row r="628" spans="1:5" x14ac:dyDescent="0.3">
      <c r="A628" t="s">
        <v>29</v>
      </c>
      <c r="B628" t="s">
        <v>6</v>
      </c>
      <c r="C628" t="s">
        <v>14</v>
      </c>
      <c r="D628" s="3">
        <v>45094</v>
      </c>
      <c r="E628" s="2">
        <v>11295</v>
      </c>
    </row>
    <row r="629" spans="1:5" x14ac:dyDescent="0.3">
      <c r="A629" t="s">
        <v>8</v>
      </c>
      <c r="B629" t="s">
        <v>13</v>
      </c>
      <c r="C629" t="s">
        <v>19</v>
      </c>
      <c r="D629" s="3">
        <v>45094</v>
      </c>
      <c r="E629" s="2">
        <v>10834</v>
      </c>
    </row>
    <row r="630" spans="1:5" x14ac:dyDescent="0.3">
      <c r="A630" t="s">
        <v>24</v>
      </c>
      <c r="B630" t="s">
        <v>9</v>
      </c>
      <c r="C630" t="s">
        <v>19</v>
      </c>
      <c r="D630" s="3">
        <v>45094</v>
      </c>
      <c r="E630" s="2">
        <v>10912</v>
      </c>
    </row>
    <row r="631" spans="1:5" x14ac:dyDescent="0.3">
      <c r="A631" t="s">
        <v>32</v>
      </c>
      <c r="B631" t="s">
        <v>21</v>
      </c>
      <c r="C631" t="s">
        <v>25</v>
      </c>
      <c r="D631" s="3">
        <v>45094</v>
      </c>
      <c r="E631" s="2">
        <v>8002</v>
      </c>
    </row>
    <row r="632" spans="1:5" x14ac:dyDescent="0.3">
      <c r="A632" t="s">
        <v>8</v>
      </c>
      <c r="B632" t="s">
        <v>6</v>
      </c>
      <c r="C632" t="s">
        <v>17</v>
      </c>
      <c r="D632" s="3">
        <v>45094</v>
      </c>
      <c r="E632" s="2">
        <v>3841</v>
      </c>
    </row>
    <row r="633" spans="1:5" x14ac:dyDescent="0.3">
      <c r="A633" t="s">
        <v>15</v>
      </c>
      <c r="B633" t="s">
        <v>16</v>
      </c>
      <c r="C633" t="s">
        <v>19</v>
      </c>
      <c r="D633" s="3">
        <v>45095</v>
      </c>
      <c r="E633" s="2">
        <v>6270</v>
      </c>
    </row>
    <row r="634" spans="1:5" x14ac:dyDescent="0.3">
      <c r="A634" t="s">
        <v>30</v>
      </c>
      <c r="B634" t="s">
        <v>21</v>
      </c>
      <c r="C634" t="s">
        <v>19</v>
      </c>
      <c r="D634" s="3">
        <v>45095</v>
      </c>
      <c r="E634" s="2">
        <v>6786</v>
      </c>
    </row>
    <row r="635" spans="1:5" x14ac:dyDescent="0.3">
      <c r="A635" t="s">
        <v>26</v>
      </c>
      <c r="B635" t="s">
        <v>11</v>
      </c>
      <c r="C635" t="s">
        <v>7</v>
      </c>
      <c r="D635" s="3">
        <v>45095</v>
      </c>
      <c r="E635" s="2">
        <v>7712</v>
      </c>
    </row>
    <row r="636" spans="1:5" x14ac:dyDescent="0.3">
      <c r="A636" t="s">
        <v>31</v>
      </c>
      <c r="B636" t="s">
        <v>21</v>
      </c>
      <c r="C636" t="s">
        <v>17</v>
      </c>
      <c r="D636" s="3">
        <v>45095</v>
      </c>
      <c r="E636" s="2">
        <v>5113</v>
      </c>
    </row>
    <row r="637" spans="1:5" x14ac:dyDescent="0.3">
      <c r="A637" t="s">
        <v>32</v>
      </c>
      <c r="B637" t="s">
        <v>6</v>
      </c>
      <c r="C637" t="s">
        <v>19</v>
      </c>
      <c r="D637" s="3">
        <v>45096</v>
      </c>
      <c r="E637" s="2">
        <v>11827</v>
      </c>
    </row>
    <row r="638" spans="1:5" x14ac:dyDescent="0.3">
      <c r="A638" t="s">
        <v>32</v>
      </c>
      <c r="B638" t="s">
        <v>13</v>
      </c>
      <c r="C638" t="s">
        <v>23</v>
      </c>
      <c r="D638" s="3">
        <v>45096</v>
      </c>
      <c r="E638" s="2">
        <v>11669</v>
      </c>
    </row>
    <row r="639" spans="1:5" x14ac:dyDescent="0.3">
      <c r="A639" t="s">
        <v>20</v>
      </c>
      <c r="B639" t="s">
        <v>13</v>
      </c>
      <c r="C639" t="s">
        <v>23</v>
      </c>
      <c r="D639" s="3">
        <v>45096</v>
      </c>
      <c r="E639" s="2">
        <v>8696</v>
      </c>
    </row>
    <row r="640" spans="1:5" x14ac:dyDescent="0.3">
      <c r="A640" t="s">
        <v>8</v>
      </c>
      <c r="B640" t="s">
        <v>16</v>
      </c>
      <c r="C640" t="s">
        <v>7</v>
      </c>
      <c r="D640" s="3">
        <v>45096</v>
      </c>
      <c r="E640" s="2">
        <v>6184</v>
      </c>
    </row>
    <row r="641" spans="1:5" x14ac:dyDescent="0.3">
      <c r="A641" t="s">
        <v>18</v>
      </c>
      <c r="B641" t="s">
        <v>6</v>
      </c>
      <c r="C641" t="s">
        <v>17</v>
      </c>
      <c r="D641" s="3">
        <v>45096</v>
      </c>
      <c r="E641" s="2">
        <v>7888</v>
      </c>
    </row>
    <row r="642" spans="1:5" x14ac:dyDescent="0.3">
      <c r="A642" t="s">
        <v>22</v>
      </c>
      <c r="B642" t="s">
        <v>16</v>
      </c>
      <c r="C642" t="s">
        <v>19</v>
      </c>
      <c r="D642" s="3">
        <v>45097</v>
      </c>
      <c r="E642" s="2">
        <v>2201</v>
      </c>
    </row>
    <row r="643" spans="1:5" x14ac:dyDescent="0.3">
      <c r="A643" t="s">
        <v>15</v>
      </c>
      <c r="B643" t="s">
        <v>9</v>
      </c>
      <c r="C643" t="s">
        <v>25</v>
      </c>
      <c r="D643" s="3">
        <v>45097</v>
      </c>
      <c r="E643" s="2">
        <v>9426</v>
      </c>
    </row>
    <row r="644" spans="1:5" x14ac:dyDescent="0.3">
      <c r="A644" t="s">
        <v>22</v>
      </c>
      <c r="B644" t="s">
        <v>21</v>
      </c>
      <c r="C644" t="s">
        <v>25</v>
      </c>
      <c r="D644" s="3">
        <v>45097</v>
      </c>
      <c r="E644" s="2">
        <v>1973</v>
      </c>
    </row>
    <row r="645" spans="1:5" x14ac:dyDescent="0.3">
      <c r="A645" t="s">
        <v>5</v>
      </c>
      <c r="B645" t="s">
        <v>16</v>
      </c>
      <c r="C645" t="s">
        <v>7</v>
      </c>
      <c r="D645" s="3">
        <v>45097</v>
      </c>
      <c r="E645" s="2">
        <v>2487</v>
      </c>
    </row>
    <row r="646" spans="1:5" x14ac:dyDescent="0.3">
      <c r="A646" t="s">
        <v>27</v>
      </c>
      <c r="B646" t="s">
        <v>16</v>
      </c>
      <c r="C646" t="s">
        <v>19</v>
      </c>
      <c r="D646" s="3">
        <v>45098</v>
      </c>
      <c r="E646" s="2">
        <v>5283</v>
      </c>
    </row>
    <row r="647" spans="1:5" x14ac:dyDescent="0.3">
      <c r="A647" t="s">
        <v>31</v>
      </c>
      <c r="B647" t="s">
        <v>11</v>
      </c>
      <c r="C647" t="s">
        <v>28</v>
      </c>
      <c r="D647" s="3">
        <v>45098</v>
      </c>
      <c r="E647" s="2">
        <v>8492</v>
      </c>
    </row>
    <row r="648" spans="1:5" x14ac:dyDescent="0.3">
      <c r="A648" t="s">
        <v>29</v>
      </c>
      <c r="B648" t="s">
        <v>6</v>
      </c>
      <c r="C648" t="s">
        <v>19</v>
      </c>
      <c r="D648" s="3">
        <v>45099</v>
      </c>
      <c r="E648" s="2">
        <v>8283</v>
      </c>
    </row>
    <row r="649" spans="1:5" x14ac:dyDescent="0.3">
      <c r="A649" t="s">
        <v>10</v>
      </c>
      <c r="B649" t="s">
        <v>13</v>
      </c>
      <c r="C649" t="s">
        <v>12</v>
      </c>
      <c r="D649" s="3">
        <v>45099</v>
      </c>
      <c r="E649" s="2">
        <v>3030</v>
      </c>
    </row>
    <row r="650" spans="1:5" x14ac:dyDescent="0.3">
      <c r="A650" t="s">
        <v>26</v>
      </c>
      <c r="B650" t="s">
        <v>9</v>
      </c>
      <c r="C650" t="s">
        <v>14</v>
      </c>
      <c r="D650" s="3">
        <v>45100</v>
      </c>
      <c r="E650" s="2">
        <v>11453</v>
      </c>
    </row>
    <row r="651" spans="1:5" x14ac:dyDescent="0.3">
      <c r="A651" t="s">
        <v>8</v>
      </c>
      <c r="B651" t="s">
        <v>11</v>
      </c>
      <c r="C651" t="s">
        <v>23</v>
      </c>
      <c r="D651" s="3">
        <v>45100</v>
      </c>
      <c r="E651" s="2">
        <v>4835</v>
      </c>
    </row>
    <row r="652" spans="1:5" x14ac:dyDescent="0.3">
      <c r="A652" t="s">
        <v>24</v>
      </c>
      <c r="B652" t="s">
        <v>9</v>
      </c>
      <c r="C652" t="s">
        <v>23</v>
      </c>
      <c r="D652" s="3">
        <v>45100</v>
      </c>
      <c r="E652" s="2">
        <v>10504</v>
      </c>
    </row>
    <row r="653" spans="1:5" x14ac:dyDescent="0.3">
      <c r="A653" t="s">
        <v>20</v>
      </c>
      <c r="B653" t="s">
        <v>6</v>
      </c>
      <c r="C653" t="s">
        <v>25</v>
      </c>
      <c r="D653" s="3">
        <v>45100</v>
      </c>
      <c r="E653" s="2">
        <v>3710</v>
      </c>
    </row>
    <row r="654" spans="1:5" x14ac:dyDescent="0.3">
      <c r="A654" t="s">
        <v>29</v>
      </c>
      <c r="B654" t="s">
        <v>9</v>
      </c>
      <c r="C654" t="s">
        <v>7</v>
      </c>
      <c r="D654" s="3">
        <v>45100</v>
      </c>
      <c r="E654" s="2">
        <v>7527</v>
      </c>
    </row>
    <row r="655" spans="1:5" x14ac:dyDescent="0.3">
      <c r="A655" t="s">
        <v>29</v>
      </c>
      <c r="B655" t="s">
        <v>16</v>
      </c>
      <c r="C655" t="s">
        <v>14</v>
      </c>
      <c r="D655" s="3">
        <v>45101</v>
      </c>
      <c r="E655" s="2">
        <v>10079</v>
      </c>
    </row>
    <row r="656" spans="1:5" x14ac:dyDescent="0.3">
      <c r="A656" t="s">
        <v>15</v>
      </c>
      <c r="B656" t="s">
        <v>9</v>
      </c>
      <c r="C656" t="s">
        <v>28</v>
      </c>
      <c r="D656" s="3">
        <v>45101</v>
      </c>
      <c r="E656" s="2">
        <v>2208</v>
      </c>
    </row>
    <row r="657" spans="1:5" x14ac:dyDescent="0.3">
      <c r="A657" t="s">
        <v>20</v>
      </c>
      <c r="B657" t="s">
        <v>11</v>
      </c>
      <c r="C657" t="s">
        <v>23</v>
      </c>
      <c r="D657" s="3">
        <v>45102</v>
      </c>
      <c r="E657" s="2">
        <v>5606</v>
      </c>
    </row>
    <row r="658" spans="1:5" x14ac:dyDescent="0.3">
      <c r="A658" t="s">
        <v>15</v>
      </c>
      <c r="B658" t="s">
        <v>13</v>
      </c>
      <c r="C658" t="s">
        <v>28</v>
      </c>
      <c r="D658" s="3">
        <v>45102</v>
      </c>
      <c r="E658" s="2">
        <v>7594</v>
      </c>
    </row>
    <row r="659" spans="1:5" x14ac:dyDescent="0.3">
      <c r="A659" t="s">
        <v>32</v>
      </c>
      <c r="B659" t="s">
        <v>16</v>
      </c>
      <c r="C659" t="s">
        <v>17</v>
      </c>
      <c r="D659" s="3">
        <v>45102</v>
      </c>
      <c r="E659" s="2">
        <v>6915</v>
      </c>
    </row>
    <row r="660" spans="1:5" x14ac:dyDescent="0.3">
      <c r="A660" t="s">
        <v>29</v>
      </c>
      <c r="B660" t="s">
        <v>6</v>
      </c>
      <c r="C660" t="s">
        <v>12</v>
      </c>
      <c r="D660" s="3">
        <v>45102</v>
      </c>
      <c r="E660" s="2">
        <v>13557</v>
      </c>
    </row>
    <row r="661" spans="1:5" x14ac:dyDescent="0.3">
      <c r="A661" t="s">
        <v>24</v>
      </c>
      <c r="B661" t="s">
        <v>11</v>
      </c>
      <c r="C661" t="s">
        <v>12</v>
      </c>
      <c r="D661" s="3">
        <v>45102</v>
      </c>
      <c r="E661" s="2">
        <v>1275</v>
      </c>
    </row>
    <row r="662" spans="1:5" x14ac:dyDescent="0.3">
      <c r="A662" t="s">
        <v>18</v>
      </c>
      <c r="B662" t="s">
        <v>6</v>
      </c>
      <c r="C662" t="s">
        <v>14</v>
      </c>
      <c r="D662" s="3">
        <v>45104</v>
      </c>
      <c r="E662" s="2">
        <v>9240</v>
      </c>
    </row>
    <row r="663" spans="1:5" x14ac:dyDescent="0.3">
      <c r="A663" t="s">
        <v>24</v>
      </c>
      <c r="B663" t="s">
        <v>6</v>
      </c>
      <c r="C663" t="s">
        <v>23</v>
      </c>
      <c r="D663" s="3">
        <v>45105</v>
      </c>
      <c r="E663" s="2">
        <v>11948</v>
      </c>
    </row>
    <row r="664" spans="1:5" x14ac:dyDescent="0.3">
      <c r="A664" t="s">
        <v>24</v>
      </c>
      <c r="B664" t="s">
        <v>21</v>
      </c>
      <c r="C664" t="s">
        <v>7</v>
      </c>
      <c r="D664" s="3">
        <v>45105</v>
      </c>
      <c r="E664" s="2">
        <v>10761</v>
      </c>
    </row>
    <row r="665" spans="1:5" x14ac:dyDescent="0.3">
      <c r="A665" t="s">
        <v>24</v>
      </c>
      <c r="B665" t="s">
        <v>9</v>
      </c>
      <c r="C665" t="s">
        <v>28</v>
      </c>
      <c r="D665" s="3">
        <v>45105</v>
      </c>
      <c r="E665" s="2">
        <v>2590</v>
      </c>
    </row>
    <row r="666" spans="1:5" x14ac:dyDescent="0.3">
      <c r="A666" t="s">
        <v>33</v>
      </c>
      <c r="B666" t="s">
        <v>6</v>
      </c>
      <c r="C666" t="s">
        <v>14</v>
      </c>
      <c r="D666" s="3">
        <v>45106</v>
      </c>
      <c r="E666" s="2">
        <v>13349</v>
      </c>
    </row>
    <row r="667" spans="1:5" x14ac:dyDescent="0.3">
      <c r="A667" t="s">
        <v>29</v>
      </c>
      <c r="B667" t="s">
        <v>13</v>
      </c>
      <c r="C667" t="s">
        <v>14</v>
      </c>
      <c r="D667" s="3">
        <v>45106</v>
      </c>
      <c r="E667" s="2">
        <v>6527</v>
      </c>
    </row>
    <row r="668" spans="1:5" x14ac:dyDescent="0.3">
      <c r="A668" t="s">
        <v>32</v>
      </c>
      <c r="B668" t="s">
        <v>13</v>
      </c>
      <c r="C668" t="s">
        <v>19</v>
      </c>
      <c r="D668" s="3">
        <v>45106</v>
      </c>
      <c r="E668" s="2">
        <v>13474</v>
      </c>
    </row>
    <row r="669" spans="1:5" x14ac:dyDescent="0.3">
      <c r="A669" t="s">
        <v>33</v>
      </c>
      <c r="B669" t="s">
        <v>21</v>
      </c>
      <c r="C669" t="s">
        <v>23</v>
      </c>
      <c r="D669" s="3">
        <v>45106</v>
      </c>
      <c r="E669" s="2">
        <v>11429</v>
      </c>
    </row>
    <row r="670" spans="1:5" x14ac:dyDescent="0.3">
      <c r="A670" t="s">
        <v>24</v>
      </c>
      <c r="B670" t="s">
        <v>9</v>
      </c>
      <c r="C670" t="s">
        <v>12</v>
      </c>
      <c r="D670" s="3">
        <v>45106</v>
      </c>
      <c r="E670" s="2">
        <v>6421</v>
      </c>
    </row>
    <row r="671" spans="1:5" x14ac:dyDescent="0.3">
      <c r="A671" t="s">
        <v>33</v>
      </c>
      <c r="B671" t="s">
        <v>6</v>
      </c>
      <c r="C671" t="s">
        <v>14</v>
      </c>
      <c r="D671" s="3">
        <v>45107</v>
      </c>
      <c r="E671" s="2">
        <v>1199</v>
      </c>
    </row>
    <row r="672" spans="1:5" x14ac:dyDescent="0.3">
      <c r="A672" t="s">
        <v>27</v>
      </c>
      <c r="B672" t="s">
        <v>21</v>
      </c>
      <c r="C672" t="s">
        <v>19</v>
      </c>
      <c r="D672" s="3">
        <v>45107</v>
      </c>
      <c r="E672" s="2">
        <v>1977</v>
      </c>
    </row>
    <row r="673" spans="1:5" x14ac:dyDescent="0.3">
      <c r="A673" t="s">
        <v>20</v>
      </c>
      <c r="B673" t="s">
        <v>6</v>
      </c>
      <c r="C673" t="s">
        <v>28</v>
      </c>
      <c r="D673" s="3">
        <v>45107</v>
      </c>
      <c r="E673" s="2">
        <v>6577</v>
      </c>
    </row>
    <row r="674" spans="1:5" x14ac:dyDescent="0.3">
      <c r="A674" t="s">
        <v>29</v>
      </c>
      <c r="B674" t="s">
        <v>11</v>
      </c>
      <c r="C674" t="s">
        <v>17</v>
      </c>
      <c r="D674" s="3">
        <v>45107</v>
      </c>
      <c r="E674" s="2">
        <v>3508</v>
      </c>
    </row>
    <row r="675" spans="1:5" x14ac:dyDescent="0.3">
      <c r="A675" t="s">
        <v>30</v>
      </c>
      <c r="B675" t="s">
        <v>6</v>
      </c>
      <c r="C675" t="s">
        <v>17</v>
      </c>
      <c r="D675" s="3">
        <v>45107</v>
      </c>
      <c r="E675" s="2">
        <v>13625</v>
      </c>
    </row>
    <row r="676" spans="1:5" x14ac:dyDescent="0.3">
      <c r="A676" t="s">
        <v>5</v>
      </c>
      <c r="B676" t="s">
        <v>11</v>
      </c>
      <c r="C676" t="s">
        <v>25</v>
      </c>
      <c r="D676" s="3">
        <v>45108</v>
      </c>
      <c r="E676" s="2">
        <v>11267</v>
      </c>
    </row>
    <row r="677" spans="1:5" x14ac:dyDescent="0.3">
      <c r="A677" t="s">
        <v>30</v>
      </c>
      <c r="B677" t="s">
        <v>16</v>
      </c>
      <c r="C677" t="s">
        <v>28</v>
      </c>
      <c r="D677" s="3">
        <v>45108</v>
      </c>
      <c r="E677" s="2">
        <v>10160</v>
      </c>
    </row>
    <row r="678" spans="1:5" x14ac:dyDescent="0.3">
      <c r="A678" t="s">
        <v>15</v>
      </c>
      <c r="B678" t="s">
        <v>6</v>
      </c>
      <c r="C678" t="s">
        <v>12</v>
      </c>
      <c r="D678" s="3">
        <v>45108</v>
      </c>
      <c r="E678" s="2">
        <v>6208</v>
      </c>
    </row>
    <row r="679" spans="1:5" x14ac:dyDescent="0.3">
      <c r="A679" t="s">
        <v>27</v>
      </c>
      <c r="B679" t="s">
        <v>6</v>
      </c>
      <c r="C679" t="s">
        <v>14</v>
      </c>
      <c r="D679" s="3">
        <v>45109</v>
      </c>
      <c r="E679" s="2">
        <v>6450</v>
      </c>
    </row>
    <row r="680" spans="1:5" x14ac:dyDescent="0.3">
      <c r="A680" t="s">
        <v>10</v>
      </c>
      <c r="B680" t="s">
        <v>6</v>
      </c>
      <c r="C680" t="s">
        <v>25</v>
      </c>
      <c r="D680" s="3">
        <v>45109</v>
      </c>
      <c r="E680" s="2">
        <v>12356</v>
      </c>
    </row>
    <row r="681" spans="1:5" x14ac:dyDescent="0.3">
      <c r="A681" t="s">
        <v>26</v>
      </c>
      <c r="B681" t="s">
        <v>9</v>
      </c>
      <c r="C681" t="s">
        <v>14</v>
      </c>
      <c r="D681" s="3">
        <v>45110</v>
      </c>
      <c r="E681" s="2">
        <v>7014</v>
      </c>
    </row>
    <row r="682" spans="1:5" x14ac:dyDescent="0.3">
      <c r="A682" t="s">
        <v>33</v>
      </c>
      <c r="B682" t="s">
        <v>11</v>
      </c>
      <c r="C682" t="s">
        <v>19</v>
      </c>
      <c r="D682" s="3">
        <v>45111</v>
      </c>
      <c r="E682" s="2">
        <v>13003</v>
      </c>
    </row>
    <row r="683" spans="1:5" x14ac:dyDescent="0.3">
      <c r="A683" t="s">
        <v>20</v>
      </c>
      <c r="B683" t="s">
        <v>6</v>
      </c>
      <c r="C683" t="s">
        <v>23</v>
      </c>
      <c r="D683" s="3">
        <v>45111</v>
      </c>
      <c r="E683" s="2">
        <v>7937</v>
      </c>
    </row>
    <row r="684" spans="1:5" x14ac:dyDescent="0.3">
      <c r="A684" t="s">
        <v>27</v>
      </c>
      <c r="B684" t="s">
        <v>11</v>
      </c>
      <c r="C684" t="s">
        <v>23</v>
      </c>
      <c r="D684" s="3">
        <v>45111</v>
      </c>
      <c r="E684" s="2">
        <v>8972</v>
      </c>
    </row>
    <row r="685" spans="1:5" x14ac:dyDescent="0.3">
      <c r="A685" t="s">
        <v>8</v>
      </c>
      <c r="B685" t="s">
        <v>21</v>
      </c>
      <c r="C685" t="s">
        <v>23</v>
      </c>
      <c r="D685" s="3">
        <v>45111</v>
      </c>
      <c r="E685" s="2">
        <v>7940</v>
      </c>
    </row>
    <row r="686" spans="1:5" x14ac:dyDescent="0.3">
      <c r="A686" t="s">
        <v>5</v>
      </c>
      <c r="B686" t="s">
        <v>16</v>
      </c>
      <c r="C686" t="s">
        <v>7</v>
      </c>
      <c r="D686" s="3">
        <v>45111</v>
      </c>
      <c r="E686" s="2">
        <v>12151</v>
      </c>
    </row>
    <row r="687" spans="1:5" x14ac:dyDescent="0.3">
      <c r="A687" t="s">
        <v>18</v>
      </c>
      <c r="B687" t="s">
        <v>16</v>
      </c>
      <c r="C687" t="s">
        <v>28</v>
      </c>
      <c r="D687" s="3">
        <v>45111</v>
      </c>
      <c r="E687" s="2">
        <v>7841</v>
      </c>
    </row>
    <row r="688" spans="1:5" x14ac:dyDescent="0.3">
      <c r="A688" t="s">
        <v>31</v>
      </c>
      <c r="B688" t="s">
        <v>16</v>
      </c>
      <c r="C688" t="s">
        <v>28</v>
      </c>
      <c r="D688" s="3">
        <v>45111</v>
      </c>
      <c r="E688" s="2">
        <v>10308</v>
      </c>
    </row>
    <row r="689" spans="1:5" x14ac:dyDescent="0.3">
      <c r="A689" t="s">
        <v>8</v>
      </c>
      <c r="B689" t="s">
        <v>6</v>
      </c>
      <c r="C689" t="s">
        <v>28</v>
      </c>
      <c r="D689" s="3">
        <v>45111</v>
      </c>
      <c r="E689" s="2">
        <v>3147</v>
      </c>
    </row>
    <row r="690" spans="1:5" x14ac:dyDescent="0.3">
      <c r="A690" t="s">
        <v>32</v>
      </c>
      <c r="B690" t="s">
        <v>9</v>
      </c>
      <c r="C690" t="s">
        <v>17</v>
      </c>
      <c r="D690" s="3">
        <v>45111</v>
      </c>
      <c r="E690" s="2">
        <v>11688</v>
      </c>
    </row>
    <row r="691" spans="1:5" x14ac:dyDescent="0.3">
      <c r="A691" t="s">
        <v>26</v>
      </c>
      <c r="B691" t="s">
        <v>9</v>
      </c>
      <c r="C691" t="s">
        <v>25</v>
      </c>
      <c r="D691" s="3">
        <v>45112</v>
      </c>
      <c r="E691" s="2">
        <v>12245</v>
      </c>
    </row>
    <row r="692" spans="1:5" x14ac:dyDescent="0.3">
      <c r="A692" t="s">
        <v>27</v>
      </c>
      <c r="B692" t="s">
        <v>6</v>
      </c>
      <c r="C692" t="s">
        <v>7</v>
      </c>
      <c r="D692" s="3">
        <v>45112</v>
      </c>
      <c r="E692" s="2">
        <v>13784</v>
      </c>
    </row>
    <row r="693" spans="1:5" x14ac:dyDescent="0.3">
      <c r="A693" t="s">
        <v>30</v>
      </c>
      <c r="B693" t="s">
        <v>13</v>
      </c>
      <c r="C693" t="s">
        <v>28</v>
      </c>
      <c r="D693" s="3">
        <v>45112</v>
      </c>
      <c r="E693" s="2">
        <v>7119</v>
      </c>
    </row>
    <row r="694" spans="1:5" x14ac:dyDescent="0.3">
      <c r="A694" t="s">
        <v>15</v>
      </c>
      <c r="B694" t="s">
        <v>13</v>
      </c>
      <c r="C694" t="s">
        <v>17</v>
      </c>
      <c r="D694" s="3">
        <v>45112</v>
      </c>
      <c r="E694" s="2">
        <v>1681</v>
      </c>
    </row>
    <row r="695" spans="1:5" x14ac:dyDescent="0.3">
      <c r="A695" t="s">
        <v>15</v>
      </c>
      <c r="B695" t="s">
        <v>13</v>
      </c>
      <c r="C695" t="s">
        <v>17</v>
      </c>
      <c r="D695" s="3">
        <v>45112</v>
      </c>
      <c r="E695" s="2">
        <v>10688</v>
      </c>
    </row>
    <row r="696" spans="1:5" x14ac:dyDescent="0.3">
      <c r="A696" t="s">
        <v>30</v>
      </c>
      <c r="B696" t="s">
        <v>21</v>
      </c>
      <c r="C696" t="s">
        <v>23</v>
      </c>
      <c r="D696" s="3">
        <v>45113</v>
      </c>
      <c r="E696" s="2">
        <v>10122</v>
      </c>
    </row>
    <row r="697" spans="1:5" x14ac:dyDescent="0.3">
      <c r="A697" t="s">
        <v>8</v>
      </c>
      <c r="B697" t="s">
        <v>9</v>
      </c>
      <c r="C697" t="s">
        <v>23</v>
      </c>
      <c r="D697" s="3">
        <v>45113</v>
      </c>
      <c r="E697" s="2">
        <v>2093</v>
      </c>
    </row>
    <row r="698" spans="1:5" x14ac:dyDescent="0.3">
      <c r="A698" t="s">
        <v>22</v>
      </c>
      <c r="B698" t="s">
        <v>21</v>
      </c>
      <c r="C698" t="s">
        <v>25</v>
      </c>
      <c r="D698" s="3">
        <v>45113</v>
      </c>
      <c r="E698" s="2">
        <v>3068</v>
      </c>
    </row>
    <row r="699" spans="1:5" x14ac:dyDescent="0.3">
      <c r="A699" t="s">
        <v>15</v>
      </c>
      <c r="B699" t="s">
        <v>11</v>
      </c>
      <c r="C699" t="s">
        <v>17</v>
      </c>
      <c r="D699" s="3">
        <v>45113</v>
      </c>
      <c r="E699" s="2">
        <v>8926</v>
      </c>
    </row>
    <row r="700" spans="1:5" x14ac:dyDescent="0.3">
      <c r="A700" t="s">
        <v>22</v>
      </c>
      <c r="B700" t="s">
        <v>9</v>
      </c>
      <c r="C700" t="s">
        <v>14</v>
      </c>
      <c r="D700" s="3">
        <v>45115</v>
      </c>
      <c r="E700" s="2">
        <v>8052</v>
      </c>
    </row>
    <row r="701" spans="1:5" x14ac:dyDescent="0.3">
      <c r="A701" t="s">
        <v>32</v>
      </c>
      <c r="B701" t="s">
        <v>13</v>
      </c>
      <c r="C701" t="s">
        <v>17</v>
      </c>
      <c r="D701" s="3">
        <v>45115</v>
      </c>
      <c r="E701" s="2">
        <v>3158</v>
      </c>
    </row>
    <row r="702" spans="1:5" x14ac:dyDescent="0.3">
      <c r="A702" t="s">
        <v>31</v>
      </c>
      <c r="B702" t="s">
        <v>11</v>
      </c>
      <c r="C702" t="s">
        <v>19</v>
      </c>
      <c r="D702" s="3">
        <v>45116</v>
      </c>
      <c r="E702" s="2">
        <v>8397</v>
      </c>
    </row>
    <row r="703" spans="1:5" x14ac:dyDescent="0.3">
      <c r="A703" t="s">
        <v>27</v>
      </c>
      <c r="B703" t="s">
        <v>9</v>
      </c>
      <c r="C703" t="s">
        <v>28</v>
      </c>
      <c r="D703" s="3">
        <v>45116</v>
      </c>
      <c r="E703" s="2">
        <v>3866</v>
      </c>
    </row>
    <row r="704" spans="1:5" x14ac:dyDescent="0.3">
      <c r="A704" t="s">
        <v>31</v>
      </c>
      <c r="B704" t="s">
        <v>16</v>
      </c>
      <c r="C704" t="s">
        <v>17</v>
      </c>
      <c r="D704" s="3">
        <v>45116</v>
      </c>
      <c r="E704" s="2">
        <v>2791</v>
      </c>
    </row>
    <row r="705" spans="1:5" x14ac:dyDescent="0.3">
      <c r="A705" t="s">
        <v>18</v>
      </c>
      <c r="B705" t="s">
        <v>21</v>
      </c>
      <c r="C705" t="s">
        <v>14</v>
      </c>
      <c r="D705" s="3">
        <v>45117</v>
      </c>
      <c r="E705" s="2">
        <v>3903</v>
      </c>
    </row>
    <row r="706" spans="1:5" x14ac:dyDescent="0.3">
      <c r="A706" t="s">
        <v>31</v>
      </c>
      <c r="B706" t="s">
        <v>6</v>
      </c>
      <c r="C706" t="s">
        <v>7</v>
      </c>
      <c r="D706" s="3">
        <v>45117</v>
      </c>
      <c r="E706" s="2">
        <v>10250</v>
      </c>
    </row>
    <row r="707" spans="1:5" x14ac:dyDescent="0.3">
      <c r="A707" t="s">
        <v>10</v>
      </c>
      <c r="B707" t="s">
        <v>21</v>
      </c>
      <c r="C707" t="s">
        <v>12</v>
      </c>
      <c r="D707" s="3">
        <v>45117</v>
      </c>
      <c r="E707" s="2">
        <v>4167</v>
      </c>
    </row>
    <row r="708" spans="1:5" x14ac:dyDescent="0.3">
      <c r="A708" t="s">
        <v>29</v>
      </c>
      <c r="B708" t="s">
        <v>16</v>
      </c>
      <c r="C708" t="s">
        <v>25</v>
      </c>
      <c r="D708" s="3">
        <v>45118</v>
      </c>
      <c r="E708" s="2">
        <v>9854</v>
      </c>
    </row>
    <row r="709" spans="1:5" x14ac:dyDescent="0.3">
      <c r="A709" t="s">
        <v>22</v>
      </c>
      <c r="B709" t="s">
        <v>13</v>
      </c>
      <c r="C709" t="s">
        <v>7</v>
      </c>
      <c r="D709" s="3">
        <v>45118</v>
      </c>
      <c r="E709" s="2">
        <v>4488</v>
      </c>
    </row>
    <row r="710" spans="1:5" x14ac:dyDescent="0.3">
      <c r="A710" t="s">
        <v>31</v>
      </c>
      <c r="B710" t="s">
        <v>9</v>
      </c>
      <c r="C710" t="s">
        <v>7</v>
      </c>
      <c r="D710" s="3">
        <v>45118</v>
      </c>
      <c r="E710" s="2">
        <v>3401</v>
      </c>
    </row>
    <row r="711" spans="1:5" x14ac:dyDescent="0.3">
      <c r="A711" t="s">
        <v>22</v>
      </c>
      <c r="B711" t="s">
        <v>11</v>
      </c>
      <c r="C711" t="s">
        <v>28</v>
      </c>
      <c r="D711" s="3">
        <v>45118</v>
      </c>
      <c r="E711" s="2">
        <v>11980</v>
      </c>
    </row>
    <row r="712" spans="1:5" x14ac:dyDescent="0.3">
      <c r="A712" t="s">
        <v>27</v>
      </c>
      <c r="B712" t="s">
        <v>11</v>
      </c>
      <c r="C712" t="s">
        <v>12</v>
      </c>
      <c r="D712" s="3">
        <v>45118</v>
      </c>
      <c r="E712" s="2">
        <v>13215</v>
      </c>
    </row>
    <row r="713" spans="1:5" x14ac:dyDescent="0.3">
      <c r="A713" t="s">
        <v>15</v>
      </c>
      <c r="B713" t="s">
        <v>13</v>
      </c>
      <c r="C713" t="s">
        <v>28</v>
      </c>
      <c r="D713" s="3">
        <v>45119</v>
      </c>
      <c r="E713" s="2">
        <v>13858</v>
      </c>
    </row>
    <row r="714" spans="1:5" x14ac:dyDescent="0.3">
      <c r="A714" t="s">
        <v>5</v>
      </c>
      <c r="B714" t="s">
        <v>11</v>
      </c>
      <c r="C714" t="s">
        <v>14</v>
      </c>
      <c r="D714" s="3">
        <v>45120</v>
      </c>
      <c r="E714" s="2">
        <v>5628</v>
      </c>
    </row>
    <row r="715" spans="1:5" x14ac:dyDescent="0.3">
      <c r="A715" t="s">
        <v>26</v>
      </c>
      <c r="B715" t="s">
        <v>9</v>
      </c>
      <c r="C715" t="s">
        <v>23</v>
      </c>
      <c r="D715" s="3">
        <v>45120</v>
      </c>
      <c r="E715" s="2">
        <v>8998</v>
      </c>
    </row>
    <row r="716" spans="1:5" x14ac:dyDescent="0.3">
      <c r="A716" t="s">
        <v>32</v>
      </c>
      <c r="B716" t="s">
        <v>11</v>
      </c>
      <c r="C716" t="s">
        <v>23</v>
      </c>
      <c r="D716" s="3">
        <v>45120</v>
      </c>
      <c r="E716" s="2">
        <v>10611</v>
      </c>
    </row>
    <row r="717" spans="1:5" x14ac:dyDescent="0.3">
      <c r="A717" t="s">
        <v>33</v>
      </c>
      <c r="B717" t="s">
        <v>6</v>
      </c>
      <c r="C717" t="s">
        <v>7</v>
      </c>
      <c r="D717" s="3">
        <v>45120</v>
      </c>
      <c r="E717" s="2">
        <v>1129</v>
      </c>
    </row>
    <row r="718" spans="1:5" x14ac:dyDescent="0.3">
      <c r="A718" t="s">
        <v>27</v>
      </c>
      <c r="B718" t="s">
        <v>21</v>
      </c>
      <c r="C718" t="s">
        <v>17</v>
      </c>
      <c r="D718" s="3">
        <v>45120</v>
      </c>
      <c r="E718" s="2">
        <v>1712</v>
      </c>
    </row>
    <row r="719" spans="1:5" x14ac:dyDescent="0.3">
      <c r="A719" t="s">
        <v>15</v>
      </c>
      <c r="B719" t="s">
        <v>21</v>
      </c>
      <c r="C719" t="s">
        <v>23</v>
      </c>
      <c r="D719" s="3">
        <v>45121</v>
      </c>
      <c r="E719" s="2">
        <v>2875</v>
      </c>
    </row>
    <row r="720" spans="1:5" x14ac:dyDescent="0.3">
      <c r="A720" t="s">
        <v>31</v>
      </c>
      <c r="B720" t="s">
        <v>21</v>
      </c>
      <c r="C720" t="s">
        <v>23</v>
      </c>
      <c r="D720" s="3">
        <v>45121</v>
      </c>
      <c r="E720" s="2">
        <v>12641</v>
      </c>
    </row>
    <row r="721" spans="1:5" x14ac:dyDescent="0.3">
      <c r="A721" t="s">
        <v>29</v>
      </c>
      <c r="B721" t="s">
        <v>13</v>
      </c>
      <c r="C721" t="s">
        <v>25</v>
      </c>
      <c r="D721" s="3">
        <v>45121</v>
      </c>
      <c r="E721" s="2">
        <v>13618</v>
      </c>
    </row>
    <row r="722" spans="1:5" x14ac:dyDescent="0.3">
      <c r="A722" t="s">
        <v>22</v>
      </c>
      <c r="B722" t="s">
        <v>21</v>
      </c>
      <c r="C722" t="s">
        <v>7</v>
      </c>
      <c r="D722" s="3">
        <v>45121</v>
      </c>
      <c r="E722" s="2">
        <v>9314</v>
      </c>
    </row>
    <row r="723" spans="1:5" x14ac:dyDescent="0.3">
      <c r="A723" t="s">
        <v>27</v>
      </c>
      <c r="B723" t="s">
        <v>16</v>
      </c>
      <c r="C723" t="s">
        <v>28</v>
      </c>
      <c r="D723" s="3">
        <v>45121</v>
      </c>
      <c r="E723" s="2">
        <v>1695</v>
      </c>
    </row>
    <row r="724" spans="1:5" x14ac:dyDescent="0.3">
      <c r="A724" t="s">
        <v>32</v>
      </c>
      <c r="B724" t="s">
        <v>6</v>
      </c>
      <c r="C724" t="s">
        <v>12</v>
      </c>
      <c r="D724" s="3">
        <v>45121</v>
      </c>
      <c r="E724" s="2">
        <v>13752</v>
      </c>
    </row>
    <row r="725" spans="1:5" x14ac:dyDescent="0.3">
      <c r="A725" t="s">
        <v>22</v>
      </c>
      <c r="B725" t="s">
        <v>9</v>
      </c>
      <c r="C725" t="s">
        <v>19</v>
      </c>
      <c r="D725" s="3">
        <v>45122</v>
      </c>
      <c r="E725" s="2">
        <v>4181</v>
      </c>
    </row>
    <row r="726" spans="1:5" x14ac:dyDescent="0.3">
      <c r="A726" t="s">
        <v>32</v>
      </c>
      <c r="B726" t="s">
        <v>21</v>
      </c>
      <c r="C726" t="s">
        <v>23</v>
      </c>
      <c r="D726" s="3">
        <v>45122</v>
      </c>
      <c r="E726" s="2">
        <v>10467</v>
      </c>
    </row>
    <row r="727" spans="1:5" x14ac:dyDescent="0.3">
      <c r="A727" t="s">
        <v>22</v>
      </c>
      <c r="B727" t="s">
        <v>21</v>
      </c>
      <c r="C727" t="s">
        <v>28</v>
      </c>
      <c r="D727" s="3">
        <v>45122</v>
      </c>
      <c r="E727" s="2">
        <v>7291</v>
      </c>
    </row>
    <row r="728" spans="1:5" x14ac:dyDescent="0.3">
      <c r="A728" t="s">
        <v>8</v>
      </c>
      <c r="B728" t="s">
        <v>9</v>
      </c>
      <c r="C728" t="s">
        <v>28</v>
      </c>
      <c r="D728" s="3">
        <v>45122</v>
      </c>
      <c r="E728" s="2">
        <v>1987</v>
      </c>
    </row>
    <row r="729" spans="1:5" x14ac:dyDescent="0.3">
      <c r="A729" t="s">
        <v>30</v>
      </c>
      <c r="B729" t="s">
        <v>13</v>
      </c>
      <c r="C729" t="s">
        <v>17</v>
      </c>
      <c r="D729" s="3">
        <v>45122</v>
      </c>
      <c r="E729" s="2">
        <v>9780</v>
      </c>
    </row>
    <row r="730" spans="1:5" x14ac:dyDescent="0.3">
      <c r="A730" t="s">
        <v>27</v>
      </c>
      <c r="B730" t="s">
        <v>9</v>
      </c>
      <c r="C730" t="s">
        <v>14</v>
      </c>
      <c r="D730" s="3">
        <v>45123</v>
      </c>
      <c r="E730" s="2">
        <v>2150</v>
      </c>
    </row>
    <row r="731" spans="1:5" x14ac:dyDescent="0.3">
      <c r="A731" t="s">
        <v>18</v>
      </c>
      <c r="B731" t="s">
        <v>13</v>
      </c>
      <c r="C731" t="s">
        <v>14</v>
      </c>
      <c r="D731" s="3">
        <v>45123</v>
      </c>
      <c r="E731" s="2">
        <v>11342</v>
      </c>
    </row>
    <row r="732" spans="1:5" x14ac:dyDescent="0.3">
      <c r="A732" t="s">
        <v>18</v>
      </c>
      <c r="B732" t="s">
        <v>9</v>
      </c>
      <c r="C732" t="s">
        <v>23</v>
      </c>
      <c r="D732" s="3">
        <v>45123</v>
      </c>
      <c r="E732" s="2">
        <v>3836</v>
      </c>
    </row>
    <row r="733" spans="1:5" x14ac:dyDescent="0.3">
      <c r="A733" t="s">
        <v>29</v>
      </c>
      <c r="B733" t="s">
        <v>9</v>
      </c>
      <c r="C733" t="s">
        <v>7</v>
      </c>
      <c r="D733" s="3">
        <v>45123</v>
      </c>
      <c r="E733" s="2">
        <v>10885</v>
      </c>
    </row>
    <row r="734" spans="1:5" x14ac:dyDescent="0.3">
      <c r="A734" t="s">
        <v>15</v>
      </c>
      <c r="B734" t="s">
        <v>13</v>
      </c>
      <c r="C734" t="s">
        <v>28</v>
      </c>
      <c r="D734" s="3">
        <v>45123</v>
      </c>
      <c r="E734" s="2">
        <v>4632</v>
      </c>
    </row>
    <row r="735" spans="1:5" x14ac:dyDescent="0.3">
      <c r="A735" t="s">
        <v>5</v>
      </c>
      <c r="B735" t="s">
        <v>13</v>
      </c>
      <c r="C735" t="s">
        <v>28</v>
      </c>
      <c r="D735" s="3">
        <v>45123</v>
      </c>
      <c r="E735" s="2">
        <v>2913</v>
      </c>
    </row>
    <row r="736" spans="1:5" x14ac:dyDescent="0.3">
      <c r="A736" t="s">
        <v>24</v>
      </c>
      <c r="B736" t="s">
        <v>13</v>
      </c>
      <c r="C736" t="s">
        <v>17</v>
      </c>
      <c r="D736" s="3">
        <v>45123</v>
      </c>
      <c r="E736" s="2">
        <v>7767</v>
      </c>
    </row>
    <row r="737" spans="1:5" x14ac:dyDescent="0.3">
      <c r="A737" t="s">
        <v>8</v>
      </c>
      <c r="B737" t="s">
        <v>16</v>
      </c>
      <c r="C737" t="s">
        <v>19</v>
      </c>
      <c r="D737" s="3">
        <v>45124</v>
      </c>
      <c r="E737" s="2">
        <v>2276</v>
      </c>
    </row>
    <row r="738" spans="1:5" x14ac:dyDescent="0.3">
      <c r="A738" t="s">
        <v>18</v>
      </c>
      <c r="B738" t="s">
        <v>16</v>
      </c>
      <c r="C738" t="s">
        <v>23</v>
      </c>
      <c r="D738" s="3">
        <v>45124</v>
      </c>
      <c r="E738" s="2">
        <v>13774</v>
      </c>
    </row>
    <row r="739" spans="1:5" x14ac:dyDescent="0.3">
      <c r="A739" t="s">
        <v>8</v>
      </c>
      <c r="B739" t="s">
        <v>11</v>
      </c>
      <c r="C739" t="s">
        <v>7</v>
      </c>
      <c r="D739" s="3">
        <v>45124</v>
      </c>
      <c r="E739" s="2">
        <v>2255</v>
      </c>
    </row>
    <row r="740" spans="1:5" x14ac:dyDescent="0.3">
      <c r="A740" t="s">
        <v>32</v>
      </c>
      <c r="B740" t="s">
        <v>13</v>
      </c>
      <c r="C740" t="s">
        <v>28</v>
      </c>
      <c r="D740" s="3">
        <v>45124</v>
      </c>
      <c r="E740" s="2">
        <v>12055</v>
      </c>
    </row>
    <row r="741" spans="1:5" x14ac:dyDescent="0.3">
      <c r="A741" t="s">
        <v>24</v>
      </c>
      <c r="B741" t="s">
        <v>13</v>
      </c>
      <c r="C741" t="s">
        <v>17</v>
      </c>
      <c r="D741" s="3">
        <v>45124</v>
      </c>
      <c r="E741" s="2">
        <v>4585</v>
      </c>
    </row>
    <row r="742" spans="1:5" x14ac:dyDescent="0.3">
      <c r="A742" t="s">
        <v>31</v>
      </c>
      <c r="B742" t="s">
        <v>13</v>
      </c>
      <c r="C742" t="s">
        <v>12</v>
      </c>
      <c r="D742" s="3">
        <v>45124</v>
      </c>
      <c r="E742" s="2">
        <v>3615</v>
      </c>
    </row>
    <row r="743" spans="1:5" x14ac:dyDescent="0.3">
      <c r="A743" t="s">
        <v>15</v>
      </c>
      <c r="B743" t="s">
        <v>6</v>
      </c>
      <c r="C743" t="s">
        <v>12</v>
      </c>
      <c r="D743" s="3">
        <v>45124</v>
      </c>
      <c r="E743" s="2">
        <v>8347</v>
      </c>
    </row>
    <row r="744" spans="1:5" x14ac:dyDescent="0.3">
      <c r="A744" t="s">
        <v>20</v>
      </c>
      <c r="B744" t="s">
        <v>9</v>
      </c>
      <c r="C744" t="s">
        <v>14</v>
      </c>
      <c r="D744" s="3">
        <v>45125</v>
      </c>
      <c r="E744" s="2">
        <v>9734</v>
      </c>
    </row>
    <row r="745" spans="1:5" x14ac:dyDescent="0.3">
      <c r="A745" t="s">
        <v>10</v>
      </c>
      <c r="B745" t="s">
        <v>9</v>
      </c>
      <c r="C745" t="s">
        <v>14</v>
      </c>
      <c r="D745" s="3">
        <v>45125</v>
      </c>
      <c r="E745" s="2">
        <v>3099</v>
      </c>
    </row>
    <row r="746" spans="1:5" x14ac:dyDescent="0.3">
      <c r="A746" t="s">
        <v>31</v>
      </c>
      <c r="B746" t="s">
        <v>16</v>
      </c>
      <c r="C746" t="s">
        <v>28</v>
      </c>
      <c r="D746" s="3">
        <v>45125</v>
      </c>
      <c r="E746" s="2">
        <v>10658</v>
      </c>
    </row>
    <row r="747" spans="1:5" x14ac:dyDescent="0.3">
      <c r="A747" t="s">
        <v>32</v>
      </c>
      <c r="B747" t="s">
        <v>6</v>
      </c>
      <c r="C747" t="s">
        <v>28</v>
      </c>
      <c r="D747" s="3">
        <v>45125</v>
      </c>
      <c r="E747" s="2">
        <v>13465</v>
      </c>
    </row>
    <row r="748" spans="1:5" x14ac:dyDescent="0.3">
      <c r="A748" t="s">
        <v>27</v>
      </c>
      <c r="B748" t="s">
        <v>16</v>
      </c>
      <c r="C748" t="s">
        <v>19</v>
      </c>
      <c r="D748" s="3">
        <v>45126</v>
      </c>
      <c r="E748" s="2">
        <v>7992</v>
      </c>
    </row>
    <row r="749" spans="1:5" x14ac:dyDescent="0.3">
      <c r="A749" t="s">
        <v>10</v>
      </c>
      <c r="B749" t="s">
        <v>6</v>
      </c>
      <c r="C749" t="s">
        <v>19</v>
      </c>
      <c r="D749" s="3">
        <v>45126</v>
      </c>
      <c r="E749" s="2">
        <v>4872</v>
      </c>
    </row>
    <row r="750" spans="1:5" x14ac:dyDescent="0.3">
      <c r="A750" t="s">
        <v>32</v>
      </c>
      <c r="B750" t="s">
        <v>16</v>
      </c>
      <c r="C750" t="s">
        <v>19</v>
      </c>
      <c r="D750" s="3">
        <v>45126</v>
      </c>
      <c r="E750" s="2">
        <v>6556</v>
      </c>
    </row>
    <row r="751" spans="1:5" x14ac:dyDescent="0.3">
      <c r="A751" t="s">
        <v>30</v>
      </c>
      <c r="B751" t="s">
        <v>11</v>
      </c>
      <c r="C751" t="s">
        <v>23</v>
      </c>
      <c r="D751" s="3">
        <v>45126</v>
      </c>
      <c r="E751" s="2">
        <v>10140</v>
      </c>
    </row>
    <row r="752" spans="1:5" x14ac:dyDescent="0.3">
      <c r="A752" t="s">
        <v>30</v>
      </c>
      <c r="B752" t="s">
        <v>11</v>
      </c>
      <c r="C752" t="s">
        <v>25</v>
      </c>
      <c r="D752" s="3">
        <v>45126</v>
      </c>
      <c r="E752" s="2">
        <v>4966</v>
      </c>
    </row>
    <row r="753" spans="1:5" x14ac:dyDescent="0.3">
      <c r="A753" t="s">
        <v>30</v>
      </c>
      <c r="B753" t="s">
        <v>11</v>
      </c>
      <c r="C753" t="s">
        <v>25</v>
      </c>
      <c r="D753" s="3">
        <v>45126</v>
      </c>
      <c r="E753" s="2">
        <v>1024</v>
      </c>
    </row>
    <row r="754" spans="1:5" x14ac:dyDescent="0.3">
      <c r="A754" t="s">
        <v>30</v>
      </c>
      <c r="B754" t="s">
        <v>16</v>
      </c>
      <c r="C754" t="s">
        <v>25</v>
      </c>
      <c r="D754" s="3">
        <v>45126</v>
      </c>
      <c r="E754" s="2">
        <v>12772</v>
      </c>
    </row>
    <row r="755" spans="1:5" x14ac:dyDescent="0.3">
      <c r="A755" t="s">
        <v>5</v>
      </c>
      <c r="B755" t="s">
        <v>13</v>
      </c>
      <c r="C755" t="s">
        <v>17</v>
      </c>
      <c r="D755" s="3">
        <v>45126</v>
      </c>
      <c r="E755" s="2">
        <v>1167</v>
      </c>
    </row>
    <row r="756" spans="1:5" x14ac:dyDescent="0.3">
      <c r="A756" t="s">
        <v>30</v>
      </c>
      <c r="B756" t="s">
        <v>16</v>
      </c>
      <c r="C756" t="s">
        <v>23</v>
      </c>
      <c r="D756" s="3">
        <v>45127</v>
      </c>
      <c r="E756" s="2">
        <v>3649</v>
      </c>
    </row>
    <row r="757" spans="1:5" x14ac:dyDescent="0.3">
      <c r="A757" t="s">
        <v>33</v>
      </c>
      <c r="B757" t="s">
        <v>9</v>
      </c>
      <c r="C757" t="s">
        <v>28</v>
      </c>
      <c r="D757" s="3">
        <v>45127</v>
      </c>
      <c r="E757" s="2">
        <v>3747</v>
      </c>
    </row>
    <row r="758" spans="1:5" x14ac:dyDescent="0.3">
      <c r="A758" t="s">
        <v>18</v>
      </c>
      <c r="B758" t="s">
        <v>11</v>
      </c>
      <c r="C758" t="s">
        <v>28</v>
      </c>
      <c r="D758" s="3">
        <v>45127</v>
      </c>
      <c r="E758" s="2">
        <v>9541</v>
      </c>
    </row>
    <row r="759" spans="1:5" x14ac:dyDescent="0.3">
      <c r="A759" t="s">
        <v>27</v>
      </c>
      <c r="B759" t="s">
        <v>11</v>
      </c>
      <c r="C759" t="s">
        <v>23</v>
      </c>
      <c r="D759" s="3">
        <v>45128</v>
      </c>
      <c r="E759" s="2">
        <v>10389</v>
      </c>
    </row>
    <row r="760" spans="1:5" x14ac:dyDescent="0.3">
      <c r="A760" t="s">
        <v>20</v>
      </c>
      <c r="B760" t="s">
        <v>13</v>
      </c>
      <c r="C760" t="s">
        <v>23</v>
      </c>
      <c r="D760" s="3">
        <v>45128</v>
      </c>
      <c r="E760" s="2">
        <v>11429</v>
      </c>
    </row>
    <row r="761" spans="1:5" x14ac:dyDescent="0.3">
      <c r="A761" t="s">
        <v>15</v>
      </c>
      <c r="B761" t="s">
        <v>11</v>
      </c>
      <c r="C761" t="s">
        <v>23</v>
      </c>
      <c r="D761" s="3">
        <v>45128</v>
      </c>
      <c r="E761" s="2">
        <v>13248</v>
      </c>
    </row>
    <row r="762" spans="1:5" x14ac:dyDescent="0.3">
      <c r="A762" t="s">
        <v>10</v>
      </c>
      <c r="B762" t="s">
        <v>11</v>
      </c>
      <c r="C762" t="s">
        <v>25</v>
      </c>
      <c r="D762" s="3">
        <v>45128</v>
      </c>
      <c r="E762" s="2">
        <v>13633</v>
      </c>
    </row>
    <row r="763" spans="1:5" x14ac:dyDescent="0.3">
      <c r="A763" t="s">
        <v>20</v>
      </c>
      <c r="B763" t="s">
        <v>13</v>
      </c>
      <c r="C763" t="s">
        <v>12</v>
      </c>
      <c r="D763" s="3">
        <v>45128</v>
      </c>
      <c r="E763" s="2">
        <v>4618</v>
      </c>
    </row>
    <row r="764" spans="1:5" x14ac:dyDescent="0.3">
      <c r="A764" t="s">
        <v>31</v>
      </c>
      <c r="B764" t="s">
        <v>13</v>
      </c>
      <c r="C764" t="s">
        <v>12</v>
      </c>
      <c r="D764" s="3">
        <v>45128</v>
      </c>
      <c r="E764" s="2">
        <v>13505</v>
      </c>
    </row>
    <row r="765" spans="1:5" x14ac:dyDescent="0.3">
      <c r="A765" t="s">
        <v>27</v>
      </c>
      <c r="B765" t="s">
        <v>6</v>
      </c>
      <c r="C765" t="s">
        <v>12</v>
      </c>
      <c r="D765" s="3">
        <v>45128</v>
      </c>
      <c r="E765" s="2">
        <v>5015</v>
      </c>
    </row>
    <row r="766" spans="1:5" x14ac:dyDescent="0.3">
      <c r="A766" t="s">
        <v>30</v>
      </c>
      <c r="B766" t="s">
        <v>16</v>
      </c>
      <c r="C766" t="s">
        <v>14</v>
      </c>
      <c r="D766" s="3">
        <v>45129</v>
      </c>
      <c r="E766" s="2">
        <v>5464</v>
      </c>
    </row>
    <row r="767" spans="1:5" x14ac:dyDescent="0.3">
      <c r="A767" t="s">
        <v>5</v>
      </c>
      <c r="B767" t="s">
        <v>13</v>
      </c>
      <c r="C767" t="s">
        <v>23</v>
      </c>
      <c r="D767" s="3">
        <v>45129</v>
      </c>
      <c r="E767" s="2">
        <v>7227</v>
      </c>
    </row>
    <row r="768" spans="1:5" x14ac:dyDescent="0.3">
      <c r="A768" t="s">
        <v>15</v>
      </c>
      <c r="B768" t="s">
        <v>16</v>
      </c>
      <c r="C768" t="s">
        <v>23</v>
      </c>
      <c r="D768" s="3">
        <v>45129</v>
      </c>
      <c r="E768" s="2">
        <v>4381</v>
      </c>
    </row>
    <row r="769" spans="1:5" x14ac:dyDescent="0.3">
      <c r="A769" t="s">
        <v>20</v>
      </c>
      <c r="B769" t="s">
        <v>6</v>
      </c>
      <c r="C769" t="s">
        <v>7</v>
      </c>
      <c r="D769" s="3">
        <v>45129</v>
      </c>
      <c r="E769" s="2">
        <v>11734</v>
      </c>
    </row>
    <row r="770" spans="1:5" x14ac:dyDescent="0.3">
      <c r="A770" t="s">
        <v>32</v>
      </c>
      <c r="B770" t="s">
        <v>9</v>
      </c>
      <c r="C770" t="s">
        <v>17</v>
      </c>
      <c r="D770" s="3">
        <v>45129</v>
      </c>
      <c r="E770" s="2">
        <v>5282</v>
      </c>
    </row>
    <row r="771" spans="1:5" x14ac:dyDescent="0.3">
      <c r="A771" t="s">
        <v>27</v>
      </c>
      <c r="B771" t="s">
        <v>9</v>
      </c>
      <c r="C771" t="s">
        <v>23</v>
      </c>
      <c r="D771" s="3">
        <v>45130</v>
      </c>
      <c r="E771" s="2">
        <v>8216</v>
      </c>
    </row>
    <row r="772" spans="1:5" x14ac:dyDescent="0.3">
      <c r="A772" t="s">
        <v>22</v>
      </c>
      <c r="B772" t="s">
        <v>13</v>
      </c>
      <c r="C772" t="s">
        <v>25</v>
      </c>
      <c r="D772" s="3">
        <v>45130</v>
      </c>
      <c r="E772" s="2">
        <v>3071</v>
      </c>
    </row>
    <row r="773" spans="1:5" x14ac:dyDescent="0.3">
      <c r="A773" t="s">
        <v>8</v>
      </c>
      <c r="B773" t="s">
        <v>11</v>
      </c>
      <c r="C773" t="s">
        <v>28</v>
      </c>
      <c r="D773" s="3">
        <v>45130</v>
      </c>
      <c r="E773" s="2">
        <v>7452</v>
      </c>
    </row>
    <row r="774" spans="1:5" x14ac:dyDescent="0.3">
      <c r="A774" t="s">
        <v>24</v>
      </c>
      <c r="B774" t="s">
        <v>21</v>
      </c>
      <c r="C774" t="s">
        <v>28</v>
      </c>
      <c r="D774" s="3">
        <v>45131</v>
      </c>
      <c r="E774" s="2">
        <v>11448</v>
      </c>
    </row>
    <row r="775" spans="1:5" x14ac:dyDescent="0.3">
      <c r="A775" t="s">
        <v>26</v>
      </c>
      <c r="B775" t="s">
        <v>11</v>
      </c>
      <c r="C775" t="s">
        <v>28</v>
      </c>
      <c r="D775" s="3">
        <v>45131</v>
      </c>
      <c r="E775" s="2">
        <v>4125</v>
      </c>
    </row>
    <row r="776" spans="1:5" x14ac:dyDescent="0.3">
      <c r="A776" t="s">
        <v>20</v>
      </c>
      <c r="B776" t="s">
        <v>6</v>
      </c>
      <c r="C776" t="s">
        <v>14</v>
      </c>
      <c r="D776" s="3">
        <v>45132</v>
      </c>
      <c r="E776" s="2">
        <v>3326</v>
      </c>
    </row>
    <row r="777" spans="1:5" x14ac:dyDescent="0.3">
      <c r="A777" t="s">
        <v>27</v>
      </c>
      <c r="B777" t="s">
        <v>21</v>
      </c>
      <c r="C777" t="s">
        <v>7</v>
      </c>
      <c r="D777" s="3">
        <v>45132</v>
      </c>
      <c r="E777" s="2">
        <v>6205</v>
      </c>
    </row>
    <row r="778" spans="1:5" x14ac:dyDescent="0.3">
      <c r="A778" t="s">
        <v>22</v>
      </c>
      <c r="B778" t="s">
        <v>11</v>
      </c>
      <c r="C778" t="s">
        <v>12</v>
      </c>
      <c r="D778" s="3">
        <v>45132</v>
      </c>
      <c r="E778" s="2">
        <v>5554</v>
      </c>
    </row>
    <row r="779" spans="1:5" x14ac:dyDescent="0.3">
      <c r="A779" t="s">
        <v>18</v>
      </c>
      <c r="B779" t="s">
        <v>13</v>
      </c>
      <c r="C779" t="s">
        <v>19</v>
      </c>
      <c r="D779" s="3">
        <v>45133</v>
      </c>
      <c r="E779" s="2">
        <v>13509</v>
      </c>
    </row>
    <row r="780" spans="1:5" x14ac:dyDescent="0.3">
      <c r="A780" t="s">
        <v>32</v>
      </c>
      <c r="B780" t="s">
        <v>6</v>
      </c>
      <c r="C780" t="s">
        <v>23</v>
      </c>
      <c r="D780" s="3">
        <v>45133</v>
      </c>
      <c r="E780" s="2">
        <v>11515</v>
      </c>
    </row>
    <row r="781" spans="1:5" x14ac:dyDescent="0.3">
      <c r="A781" t="s">
        <v>31</v>
      </c>
      <c r="B781" t="s">
        <v>21</v>
      </c>
      <c r="C781" t="s">
        <v>23</v>
      </c>
      <c r="D781" s="3">
        <v>45133</v>
      </c>
      <c r="E781" s="2">
        <v>12503</v>
      </c>
    </row>
    <row r="782" spans="1:5" x14ac:dyDescent="0.3">
      <c r="A782" t="s">
        <v>27</v>
      </c>
      <c r="B782" t="s">
        <v>11</v>
      </c>
      <c r="C782" t="s">
        <v>28</v>
      </c>
      <c r="D782" s="3">
        <v>45133</v>
      </c>
      <c r="E782" s="2">
        <v>8053</v>
      </c>
    </row>
    <row r="783" spans="1:5" x14ac:dyDescent="0.3">
      <c r="A783" t="s">
        <v>33</v>
      </c>
      <c r="B783" t="s">
        <v>9</v>
      </c>
      <c r="C783" t="s">
        <v>28</v>
      </c>
      <c r="D783" s="3">
        <v>45133</v>
      </c>
      <c r="E783" s="2">
        <v>2003</v>
      </c>
    </row>
    <row r="784" spans="1:5" x14ac:dyDescent="0.3">
      <c r="A784" t="s">
        <v>29</v>
      </c>
      <c r="B784" t="s">
        <v>13</v>
      </c>
      <c r="C784" t="s">
        <v>17</v>
      </c>
      <c r="D784" s="3">
        <v>45133</v>
      </c>
      <c r="E784" s="2">
        <v>3559</v>
      </c>
    </row>
    <row r="785" spans="1:5" x14ac:dyDescent="0.3">
      <c r="A785" t="s">
        <v>32</v>
      </c>
      <c r="B785" t="s">
        <v>13</v>
      </c>
      <c r="C785" t="s">
        <v>14</v>
      </c>
      <c r="D785" s="3">
        <v>45134</v>
      </c>
      <c r="E785" s="2">
        <v>12205</v>
      </c>
    </row>
    <row r="786" spans="1:5" x14ac:dyDescent="0.3">
      <c r="A786" t="s">
        <v>10</v>
      </c>
      <c r="B786" t="s">
        <v>11</v>
      </c>
      <c r="C786" t="s">
        <v>28</v>
      </c>
      <c r="D786" s="3">
        <v>45134</v>
      </c>
      <c r="E786" s="2">
        <v>13132</v>
      </c>
    </row>
    <row r="787" spans="1:5" x14ac:dyDescent="0.3">
      <c r="A787" t="s">
        <v>32</v>
      </c>
      <c r="B787" t="s">
        <v>6</v>
      </c>
      <c r="C787" t="s">
        <v>17</v>
      </c>
      <c r="D787" s="3">
        <v>45134</v>
      </c>
      <c r="E787" s="2">
        <v>1948</v>
      </c>
    </row>
    <row r="788" spans="1:5" x14ac:dyDescent="0.3">
      <c r="A788" t="s">
        <v>26</v>
      </c>
      <c r="B788" t="s">
        <v>6</v>
      </c>
      <c r="C788" t="s">
        <v>14</v>
      </c>
      <c r="D788" s="3">
        <v>45135</v>
      </c>
      <c r="E788" s="2">
        <v>5162</v>
      </c>
    </row>
    <row r="789" spans="1:5" x14ac:dyDescent="0.3">
      <c r="A789" t="s">
        <v>8</v>
      </c>
      <c r="B789" t="s">
        <v>13</v>
      </c>
      <c r="C789" t="s">
        <v>14</v>
      </c>
      <c r="D789" s="3">
        <v>45135</v>
      </c>
      <c r="E789" s="2">
        <v>5305</v>
      </c>
    </row>
    <row r="790" spans="1:5" x14ac:dyDescent="0.3">
      <c r="A790" t="s">
        <v>24</v>
      </c>
      <c r="B790" t="s">
        <v>13</v>
      </c>
      <c r="C790" t="s">
        <v>23</v>
      </c>
      <c r="D790" s="3">
        <v>45135</v>
      </c>
      <c r="E790" s="2">
        <v>7888</v>
      </c>
    </row>
    <row r="791" spans="1:5" x14ac:dyDescent="0.3">
      <c r="A791" t="s">
        <v>30</v>
      </c>
      <c r="B791" t="s">
        <v>6</v>
      </c>
      <c r="C791" t="s">
        <v>17</v>
      </c>
      <c r="D791" s="3">
        <v>45135</v>
      </c>
      <c r="E791" s="2">
        <v>11741</v>
      </c>
    </row>
    <row r="792" spans="1:5" x14ac:dyDescent="0.3">
      <c r="A792" t="s">
        <v>24</v>
      </c>
      <c r="B792" t="s">
        <v>21</v>
      </c>
      <c r="C792" t="s">
        <v>28</v>
      </c>
      <c r="D792" s="3">
        <v>45136</v>
      </c>
      <c r="E792" s="2">
        <v>2044</v>
      </c>
    </row>
    <row r="793" spans="1:5" x14ac:dyDescent="0.3">
      <c r="A793" t="s">
        <v>22</v>
      </c>
      <c r="B793" t="s">
        <v>13</v>
      </c>
      <c r="C793" t="s">
        <v>12</v>
      </c>
      <c r="D793" s="3">
        <v>45136</v>
      </c>
      <c r="E793" s="2">
        <v>2277</v>
      </c>
    </row>
    <row r="794" spans="1:5" x14ac:dyDescent="0.3">
      <c r="A794" t="s">
        <v>5</v>
      </c>
      <c r="B794" t="s">
        <v>9</v>
      </c>
      <c r="C794" t="s">
        <v>12</v>
      </c>
      <c r="D794" s="3">
        <v>45136</v>
      </c>
      <c r="E794" s="2">
        <v>11616</v>
      </c>
    </row>
    <row r="795" spans="1:5" x14ac:dyDescent="0.3">
      <c r="A795" t="s">
        <v>31</v>
      </c>
      <c r="B795" t="s">
        <v>6</v>
      </c>
      <c r="C795" t="s">
        <v>19</v>
      </c>
      <c r="D795" s="3">
        <v>45137</v>
      </c>
      <c r="E795" s="2">
        <v>13461</v>
      </c>
    </row>
    <row r="796" spans="1:5" x14ac:dyDescent="0.3">
      <c r="A796" t="s">
        <v>20</v>
      </c>
      <c r="B796" t="s">
        <v>6</v>
      </c>
      <c r="C796" t="s">
        <v>7</v>
      </c>
      <c r="D796" s="3">
        <v>45137</v>
      </c>
      <c r="E796" s="2">
        <v>11438</v>
      </c>
    </row>
    <row r="797" spans="1:5" x14ac:dyDescent="0.3">
      <c r="A797" t="s">
        <v>31</v>
      </c>
      <c r="B797" t="s">
        <v>6</v>
      </c>
      <c r="C797" t="s">
        <v>28</v>
      </c>
      <c r="D797" s="3">
        <v>45137</v>
      </c>
      <c r="E797" s="2">
        <v>7386</v>
      </c>
    </row>
    <row r="798" spans="1:5" x14ac:dyDescent="0.3">
      <c r="A798" t="s">
        <v>24</v>
      </c>
      <c r="B798" t="s">
        <v>6</v>
      </c>
      <c r="C798" t="s">
        <v>14</v>
      </c>
      <c r="D798" s="3">
        <v>45138</v>
      </c>
      <c r="E798" s="2">
        <v>3013</v>
      </c>
    </row>
    <row r="799" spans="1:5" x14ac:dyDescent="0.3">
      <c r="A799" t="s">
        <v>22</v>
      </c>
      <c r="B799" t="s">
        <v>21</v>
      </c>
      <c r="C799" t="s">
        <v>14</v>
      </c>
      <c r="D799" s="3">
        <v>45138</v>
      </c>
      <c r="E799" s="2">
        <v>1186</v>
      </c>
    </row>
    <row r="800" spans="1:5" x14ac:dyDescent="0.3">
      <c r="A800" t="s">
        <v>31</v>
      </c>
      <c r="B800" t="s">
        <v>9</v>
      </c>
      <c r="C800" t="s">
        <v>14</v>
      </c>
      <c r="D800" s="3">
        <v>45138</v>
      </c>
      <c r="E800" s="2">
        <v>4305</v>
      </c>
    </row>
    <row r="801" spans="1:5" x14ac:dyDescent="0.3">
      <c r="A801" t="s">
        <v>8</v>
      </c>
      <c r="B801" t="s">
        <v>9</v>
      </c>
      <c r="C801" t="s">
        <v>14</v>
      </c>
      <c r="D801" s="3">
        <v>45138</v>
      </c>
      <c r="E801" s="2">
        <v>9765</v>
      </c>
    </row>
    <row r="802" spans="1:5" x14ac:dyDescent="0.3">
      <c r="A802" t="s">
        <v>15</v>
      </c>
      <c r="B802" t="s">
        <v>13</v>
      </c>
      <c r="C802" t="s">
        <v>25</v>
      </c>
      <c r="D802" s="3">
        <v>45138</v>
      </c>
      <c r="E802" s="2">
        <v>6692</v>
      </c>
    </row>
    <row r="803" spans="1:5" x14ac:dyDescent="0.3">
      <c r="A803" t="s">
        <v>10</v>
      </c>
      <c r="B803" t="s">
        <v>11</v>
      </c>
      <c r="C803" t="s">
        <v>25</v>
      </c>
      <c r="D803" s="3">
        <v>45138</v>
      </c>
      <c r="E803" s="2">
        <v>7666</v>
      </c>
    </row>
    <row r="804" spans="1:5" x14ac:dyDescent="0.3">
      <c r="A804" t="s">
        <v>32</v>
      </c>
      <c r="B804" t="s">
        <v>13</v>
      </c>
      <c r="C804" t="s">
        <v>25</v>
      </c>
      <c r="D804" s="3">
        <v>45138</v>
      </c>
      <c r="E804" s="2">
        <v>11732</v>
      </c>
    </row>
    <row r="805" spans="1:5" x14ac:dyDescent="0.3">
      <c r="A805" t="s">
        <v>29</v>
      </c>
      <c r="B805" t="s">
        <v>13</v>
      </c>
      <c r="C805" t="s">
        <v>14</v>
      </c>
      <c r="D805" s="3">
        <v>45139</v>
      </c>
      <c r="E805" s="2">
        <v>3064</v>
      </c>
    </row>
    <row r="806" spans="1:5" x14ac:dyDescent="0.3">
      <c r="A806" t="s">
        <v>31</v>
      </c>
      <c r="B806" t="s">
        <v>11</v>
      </c>
      <c r="C806" t="s">
        <v>23</v>
      </c>
      <c r="D806" s="3">
        <v>45139</v>
      </c>
      <c r="E806" s="2">
        <v>5717</v>
      </c>
    </row>
    <row r="807" spans="1:5" x14ac:dyDescent="0.3">
      <c r="A807" t="s">
        <v>22</v>
      </c>
      <c r="B807" t="s">
        <v>11</v>
      </c>
      <c r="C807" t="s">
        <v>23</v>
      </c>
      <c r="D807" s="3">
        <v>45139</v>
      </c>
      <c r="E807" s="2">
        <v>4155</v>
      </c>
    </row>
    <row r="808" spans="1:5" x14ac:dyDescent="0.3">
      <c r="A808" t="s">
        <v>26</v>
      </c>
      <c r="B808" t="s">
        <v>16</v>
      </c>
      <c r="C808" t="s">
        <v>7</v>
      </c>
      <c r="D808" s="3">
        <v>45139</v>
      </c>
      <c r="E808" s="2">
        <v>5483</v>
      </c>
    </row>
    <row r="809" spans="1:5" x14ac:dyDescent="0.3">
      <c r="A809" t="s">
        <v>20</v>
      </c>
      <c r="B809" t="s">
        <v>13</v>
      </c>
      <c r="C809" t="s">
        <v>17</v>
      </c>
      <c r="D809" s="3">
        <v>45139</v>
      </c>
      <c r="E809" s="2">
        <v>2610</v>
      </c>
    </row>
    <row r="810" spans="1:5" x14ac:dyDescent="0.3">
      <c r="A810" t="s">
        <v>8</v>
      </c>
      <c r="B810" t="s">
        <v>11</v>
      </c>
      <c r="C810" t="s">
        <v>25</v>
      </c>
      <c r="D810" s="3">
        <v>45140</v>
      </c>
      <c r="E810" s="2">
        <v>10427</v>
      </c>
    </row>
    <row r="811" spans="1:5" x14ac:dyDescent="0.3">
      <c r="A811" t="s">
        <v>24</v>
      </c>
      <c r="B811" t="s">
        <v>9</v>
      </c>
      <c r="C811" t="s">
        <v>7</v>
      </c>
      <c r="D811" s="3">
        <v>45140</v>
      </c>
      <c r="E811" s="2">
        <v>10162</v>
      </c>
    </row>
    <row r="812" spans="1:5" x14ac:dyDescent="0.3">
      <c r="A812" t="s">
        <v>18</v>
      </c>
      <c r="B812" t="s">
        <v>9</v>
      </c>
      <c r="C812" t="s">
        <v>28</v>
      </c>
      <c r="D812" s="3">
        <v>45140</v>
      </c>
      <c r="E812" s="2">
        <v>3628</v>
      </c>
    </row>
    <row r="813" spans="1:5" x14ac:dyDescent="0.3">
      <c r="A813" t="s">
        <v>22</v>
      </c>
      <c r="B813" t="s">
        <v>16</v>
      </c>
      <c r="C813" t="s">
        <v>17</v>
      </c>
      <c r="D813" s="3">
        <v>45140</v>
      </c>
      <c r="E813" s="2">
        <v>6864</v>
      </c>
    </row>
    <row r="814" spans="1:5" x14ac:dyDescent="0.3">
      <c r="A814" t="s">
        <v>26</v>
      </c>
      <c r="B814" t="s">
        <v>21</v>
      </c>
      <c r="C814" t="s">
        <v>17</v>
      </c>
      <c r="D814" s="3">
        <v>45140</v>
      </c>
      <c r="E814" s="2">
        <v>1810</v>
      </c>
    </row>
    <row r="815" spans="1:5" x14ac:dyDescent="0.3">
      <c r="A815" t="s">
        <v>10</v>
      </c>
      <c r="B815" t="s">
        <v>6</v>
      </c>
      <c r="C815" t="s">
        <v>14</v>
      </c>
      <c r="D815" s="3">
        <v>45141</v>
      </c>
      <c r="E815" s="2">
        <v>6221</v>
      </c>
    </row>
    <row r="816" spans="1:5" x14ac:dyDescent="0.3">
      <c r="A816" t="s">
        <v>31</v>
      </c>
      <c r="B816" t="s">
        <v>9</v>
      </c>
      <c r="C816" t="s">
        <v>19</v>
      </c>
      <c r="D816" s="3">
        <v>45141</v>
      </c>
      <c r="E816" s="2">
        <v>1056</v>
      </c>
    </row>
    <row r="817" spans="1:5" x14ac:dyDescent="0.3">
      <c r="A817" t="s">
        <v>5</v>
      </c>
      <c r="B817" t="s">
        <v>13</v>
      </c>
      <c r="C817" t="s">
        <v>23</v>
      </c>
      <c r="D817" s="3">
        <v>45141</v>
      </c>
      <c r="E817" s="2">
        <v>2761</v>
      </c>
    </row>
    <row r="818" spans="1:5" x14ac:dyDescent="0.3">
      <c r="A818" t="s">
        <v>26</v>
      </c>
      <c r="B818" t="s">
        <v>11</v>
      </c>
      <c r="C818" t="s">
        <v>7</v>
      </c>
      <c r="D818" s="3">
        <v>45141</v>
      </c>
      <c r="E818" s="2">
        <v>2544</v>
      </c>
    </row>
    <row r="819" spans="1:5" x14ac:dyDescent="0.3">
      <c r="A819" t="s">
        <v>5</v>
      </c>
      <c r="B819" t="s">
        <v>6</v>
      </c>
      <c r="C819" t="s">
        <v>17</v>
      </c>
      <c r="D819" s="3">
        <v>45141</v>
      </c>
      <c r="E819" s="2">
        <v>10580</v>
      </c>
    </row>
    <row r="820" spans="1:5" x14ac:dyDescent="0.3">
      <c r="A820" t="s">
        <v>27</v>
      </c>
      <c r="B820" t="s">
        <v>21</v>
      </c>
      <c r="C820" t="s">
        <v>17</v>
      </c>
      <c r="D820" s="3">
        <v>45142</v>
      </c>
      <c r="E820" s="2">
        <v>2033</v>
      </c>
    </row>
    <row r="821" spans="1:5" x14ac:dyDescent="0.3">
      <c r="A821" t="s">
        <v>10</v>
      </c>
      <c r="B821" t="s">
        <v>13</v>
      </c>
      <c r="C821" t="s">
        <v>17</v>
      </c>
      <c r="D821" s="3">
        <v>45142</v>
      </c>
      <c r="E821" s="2">
        <v>7086</v>
      </c>
    </row>
    <row r="822" spans="1:5" x14ac:dyDescent="0.3">
      <c r="A822" t="s">
        <v>8</v>
      </c>
      <c r="B822" t="s">
        <v>11</v>
      </c>
      <c r="C822" t="s">
        <v>12</v>
      </c>
      <c r="D822" s="3">
        <v>45142</v>
      </c>
      <c r="E822" s="2">
        <v>8771</v>
      </c>
    </row>
    <row r="823" spans="1:5" x14ac:dyDescent="0.3">
      <c r="A823" t="s">
        <v>5</v>
      </c>
      <c r="B823" t="s">
        <v>21</v>
      </c>
      <c r="C823" t="s">
        <v>12</v>
      </c>
      <c r="D823" s="3">
        <v>45142</v>
      </c>
      <c r="E823" s="2">
        <v>12735</v>
      </c>
    </row>
    <row r="824" spans="1:5" x14ac:dyDescent="0.3">
      <c r="A824" t="s">
        <v>30</v>
      </c>
      <c r="B824" t="s">
        <v>16</v>
      </c>
      <c r="C824" t="s">
        <v>17</v>
      </c>
      <c r="D824" s="3">
        <v>45143</v>
      </c>
      <c r="E824" s="2">
        <v>10271</v>
      </c>
    </row>
    <row r="825" spans="1:5" x14ac:dyDescent="0.3">
      <c r="A825" t="s">
        <v>24</v>
      </c>
      <c r="B825" t="s">
        <v>11</v>
      </c>
      <c r="C825" t="s">
        <v>12</v>
      </c>
      <c r="D825" s="3">
        <v>45143</v>
      </c>
      <c r="E825" s="2">
        <v>1867</v>
      </c>
    </row>
    <row r="826" spans="1:5" x14ac:dyDescent="0.3">
      <c r="A826" t="s">
        <v>24</v>
      </c>
      <c r="B826" t="s">
        <v>16</v>
      </c>
      <c r="C826" t="s">
        <v>12</v>
      </c>
      <c r="D826" s="3">
        <v>45143</v>
      </c>
      <c r="E826" s="2">
        <v>10631</v>
      </c>
    </row>
    <row r="827" spans="1:5" x14ac:dyDescent="0.3">
      <c r="A827" t="s">
        <v>29</v>
      </c>
      <c r="B827" t="s">
        <v>21</v>
      </c>
      <c r="C827" t="s">
        <v>7</v>
      </c>
      <c r="D827" s="3">
        <v>45144</v>
      </c>
      <c r="E827" s="2">
        <v>3714</v>
      </c>
    </row>
    <row r="828" spans="1:5" x14ac:dyDescent="0.3">
      <c r="A828" t="s">
        <v>29</v>
      </c>
      <c r="B828" t="s">
        <v>21</v>
      </c>
      <c r="C828" t="s">
        <v>12</v>
      </c>
      <c r="D828" s="3">
        <v>45144</v>
      </c>
      <c r="E828" s="2">
        <v>8593</v>
      </c>
    </row>
    <row r="829" spans="1:5" x14ac:dyDescent="0.3">
      <c r="A829" t="s">
        <v>33</v>
      </c>
      <c r="B829" t="s">
        <v>16</v>
      </c>
      <c r="C829" t="s">
        <v>14</v>
      </c>
      <c r="D829" s="3">
        <v>45145</v>
      </c>
      <c r="E829" s="2">
        <v>9591</v>
      </c>
    </row>
    <row r="830" spans="1:5" x14ac:dyDescent="0.3">
      <c r="A830" t="s">
        <v>33</v>
      </c>
      <c r="B830" t="s">
        <v>6</v>
      </c>
      <c r="C830" t="s">
        <v>14</v>
      </c>
      <c r="D830" s="3">
        <v>45145</v>
      </c>
      <c r="E830" s="2">
        <v>10531</v>
      </c>
    </row>
    <row r="831" spans="1:5" x14ac:dyDescent="0.3">
      <c r="A831" t="s">
        <v>15</v>
      </c>
      <c r="B831" t="s">
        <v>13</v>
      </c>
      <c r="C831" t="s">
        <v>23</v>
      </c>
      <c r="D831" s="3">
        <v>45145</v>
      </c>
      <c r="E831" s="2">
        <v>8442</v>
      </c>
    </row>
    <row r="832" spans="1:5" x14ac:dyDescent="0.3">
      <c r="A832" t="s">
        <v>30</v>
      </c>
      <c r="B832" t="s">
        <v>16</v>
      </c>
      <c r="C832" t="s">
        <v>25</v>
      </c>
      <c r="D832" s="3">
        <v>45145</v>
      </c>
      <c r="E832" s="2">
        <v>3425</v>
      </c>
    </row>
    <row r="833" spans="1:5" x14ac:dyDescent="0.3">
      <c r="A833" t="s">
        <v>15</v>
      </c>
      <c r="B833" t="s">
        <v>16</v>
      </c>
      <c r="C833" t="s">
        <v>17</v>
      </c>
      <c r="D833" s="3">
        <v>45145</v>
      </c>
      <c r="E833" s="2">
        <v>3065</v>
      </c>
    </row>
    <row r="834" spans="1:5" x14ac:dyDescent="0.3">
      <c r="A834" t="s">
        <v>10</v>
      </c>
      <c r="B834" t="s">
        <v>16</v>
      </c>
      <c r="C834" t="s">
        <v>14</v>
      </c>
      <c r="D834" s="3">
        <v>45146</v>
      </c>
      <c r="E834" s="2">
        <v>12950</v>
      </c>
    </row>
    <row r="835" spans="1:5" x14ac:dyDescent="0.3">
      <c r="A835" t="s">
        <v>15</v>
      </c>
      <c r="B835" t="s">
        <v>21</v>
      </c>
      <c r="C835" t="s">
        <v>14</v>
      </c>
      <c r="D835" s="3">
        <v>45146</v>
      </c>
      <c r="E835" s="2">
        <v>9470</v>
      </c>
    </row>
    <row r="836" spans="1:5" x14ac:dyDescent="0.3">
      <c r="A836" t="s">
        <v>30</v>
      </c>
      <c r="B836" t="s">
        <v>6</v>
      </c>
      <c r="C836" t="s">
        <v>19</v>
      </c>
      <c r="D836" s="3">
        <v>45146</v>
      </c>
      <c r="E836" s="2">
        <v>7136</v>
      </c>
    </row>
    <row r="837" spans="1:5" x14ac:dyDescent="0.3">
      <c r="A837" t="s">
        <v>10</v>
      </c>
      <c r="B837" t="s">
        <v>6</v>
      </c>
      <c r="C837" t="s">
        <v>7</v>
      </c>
      <c r="D837" s="3">
        <v>45146</v>
      </c>
      <c r="E837" s="2">
        <v>5679</v>
      </c>
    </row>
    <row r="838" spans="1:5" x14ac:dyDescent="0.3">
      <c r="A838" t="s">
        <v>30</v>
      </c>
      <c r="B838" t="s">
        <v>21</v>
      </c>
      <c r="C838" t="s">
        <v>12</v>
      </c>
      <c r="D838" s="3">
        <v>45146</v>
      </c>
      <c r="E838" s="2">
        <v>11078</v>
      </c>
    </row>
    <row r="839" spans="1:5" x14ac:dyDescent="0.3">
      <c r="A839" t="s">
        <v>8</v>
      </c>
      <c r="B839" t="s">
        <v>9</v>
      </c>
      <c r="C839" t="s">
        <v>14</v>
      </c>
      <c r="D839" s="3">
        <v>45147</v>
      </c>
      <c r="E839" s="2">
        <v>1637</v>
      </c>
    </row>
    <row r="840" spans="1:5" x14ac:dyDescent="0.3">
      <c r="A840" t="s">
        <v>24</v>
      </c>
      <c r="B840" t="s">
        <v>11</v>
      </c>
      <c r="C840" t="s">
        <v>19</v>
      </c>
      <c r="D840" s="3">
        <v>45147</v>
      </c>
      <c r="E840" s="2">
        <v>6770</v>
      </c>
    </row>
    <row r="841" spans="1:5" x14ac:dyDescent="0.3">
      <c r="A841" t="s">
        <v>26</v>
      </c>
      <c r="B841" t="s">
        <v>16</v>
      </c>
      <c r="C841" t="s">
        <v>12</v>
      </c>
      <c r="D841" s="3">
        <v>45147</v>
      </c>
      <c r="E841" s="2">
        <v>9602</v>
      </c>
    </row>
    <row r="842" spans="1:5" x14ac:dyDescent="0.3">
      <c r="A842" t="s">
        <v>31</v>
      </c>
      <c r="B842" t="s">
        <v>11</v>
      </c>
      <c r="C842" t="s">
        <v>19</v>
      </c>
      <c r="D842" s="3">
        <v>45148</v>
      </c>
      <c r="E842" s="2">
        <v>1086</v>
      </c>
    </row>
    <row r="843" spans="1:5" x14ac:dyDescent="0.3">
      <c r="A843" t="s">
        <v>29</v>
      </c>
      <c r="B843" t="s">
        <v>11</v>
      </c>
      <c r="C843" t="s">
        <v>23</v>
      </c>
      <c r="D843" s="3">
        <v>45148</v>
      </c>
      <c r="E843" s="2">
        <v>2693</v>
      </c>
    </row>
    <row r="844" spans="1:5" x14ac:dyDescent="0.3">
      <c r="A844" t="s">
        <v>18</v>
      </c>
      <c r="B844" t="s">
        <v>16</v>
      </c>
      <c r="C844" t="s">
        <v>25</v>
      </c>
      <c r="D844" s="3">
        <v>45148</v>
      </c>
      <c r="E844" s="2">
        <v>10702</v>
      </c>
    </row>
    <row r="845" spans="1:5" x14ac:dyDescent="0.3">
      <c r="A845" t="s">
        <v>15</v>
      </c>
      <c r="B845" t="s">
        <v>11</v>
      </c>
      <c r="C845" t="s">
        <v>25</v>
      </c>
      <c r="D845" s="3">
        <v>45148</v>
      </c>
      <c r="E845" s="2">
        <v>7766</v>
      </c>
    </row>
    <row r="846" spans="1:5" x14ac:dyDescent="0.3">
      <c r="A846" t="s">
        <v>22</v>
      </c>
      <c r="B846" t="s">
        <v>21</v>
      </c>
      <c r="C846" t="s">
        <v>25</v>
      </c>
      <c r="D846" s="3">
        <v>45148</v>
      </c>
      <c r="E846" s="2">
        <v>2081</v>
      </c>
    </row>
    <row r="847" spans="1:5" x14ac:dyDescent="0.3">
      <c r="A847" t="s">
        <v>10</v>
      </c>
      <c r="B847" t="s">
        <v>9</v>
      </c>
      <c r="C847" t="s">
        <v>17</v>
      </c>
      <c r="D847" s="3">
        <v>45148</v>
      </c>
      <c r="E847" s="2">
        <v>5610</v>
      </c>
    </row>
    <row r="848" spans="1:5" x14ac:dyDescent="0.3">
      <c r="A848" t="s">
        <v>20</v>
      </c>
      <c r="B848" t="s">
        <v>13</v>
      </c>
      <c r="C848" t="s">
        <v>7</v>
      </c>
      <c r="D848" s="3">
        <v>45150</v>
      </c>
      <c r="E848" s="2">
        <v>6780</v>
      </c>
    </row>
    <row r="849" spans="1:5" x14ac:dyDescent="0.3">
      <c r="A849" t="s">
        <v>10</v>
      </c>
      <c r="B849" t="s">
        <v>9</v>
      </c>
      <c r="C849" t="s">
        <v>17</v>
      </c>
      <c r="D849" s="3">
        <v>45150</v>
      </c>
      <c r="E849" s="2">
        <v>3055</v>
      </c>
    </row>
    <row r="850" spans="1:5" x14ac:dyDescent="0.3">
      <c r="A850" t="s">
        <v>22</v>
      </c>
      <c r="B850" t="s">
        <v>13</v>
      </c>
      <c r="C850" t="s">
        <v>14</v>
      </c>
      <c r="D850" s="3">
        <v>45152</v>
      </c>
      <c r="E850" s="2">
        <v>3429</v>
      </c>
    </row>
    <row r="851" spans="1:5" x14ac:dyDescent="0.3">
      <c r="A851" t="s">
        <v>33</v>
      </c>
      <c r="B851" t="s">
        <v>6</v>
      </c>
      <c r="C851" t="s">
        <v>14</v>
      </c>
      <c r="D851" s="3">
        <v>45152</v>
      </c>
      <c r="E851" s="2">
        <v>10829</v>
      </c>
    </row>
    <row r="852" spans="1:5" x14ac:dyDescent="0.3">
      <c r="A852" t="s">
        <v>33</v>
      </c>
      <c r="B852" t="s">
        <v>21</v>
      </c>
      <c r="C852" t="s">
        <v>19</v>
      </c>
      <c r="D852" s="3">
        <v>45152</v>
      </c>
      <c r="E852" s="2">
        <v>6750</v>
      </c>
    </row>
    <row r="853" spans="1:5" x14ac:dyDescent="0.3">
      <c r="A853" t="s">
        <v>5</v>
      </c>
      <c r="B853" t="s">
        <v>9</v>
      </c>
      <c r="C853" t="s">
        <v>17</v>
      </c>
      <c r="D853" s="3">
        <v>45152</v>
      </c>
      <c r="E853" s="2">
        <v>10349</v>
      </c>
    </row>
    <row r="854" spans="1:5" x14ac:dyDescent="0.3">
      <c r="A854" t="s">
        <v>33</v>
      </c>
      <c r="B854" t="s">
        <v>9</v>
      </c>
      <c r="C854" t="s">
        <v>12</v>
      </c>
      <c r="D854" s="3">
        <v>45152</v>
      </c>
      <c r="E854" s="2">
        <v>6900</v>
      </c>
    </row>
    <row r="855" spans="1:5" x14ac:dyDescent="0.3">
      <c r="A855" t="s">
        <v>8</v>
      </c>
      <c r="B855" t="s">
        <v>9</v>
      </c>
      <c r="C855" t="s">
        <v>7</v>
      </c>
      <c r="D855" s="3">
        <v>45153</v>
      </c>
      <c r="E855" s="2">
        <v>10863</v>
      </c>
    </row>
    <row r="856" spans="1:5" x14ac:dyDescent="0.3">
      <c r="A856" t="s">
        <v>24</v>
      </c>
      <c r="B856" t="s">
        <v>9</v>
      </c>
      <c r="C856" t="s">
        <v>25</v>
      </c>
      <c r="D856" s="3">
        <v>45154</v>
      </c>
      <c r="E856" s="2">
        <v>12421</v>
      </c>
    </row>
    <row r="857" spans="1:5" x14ac:dyDescent="0.3">
      <c r="A857" t="s">
        <v>20</v>
      </c>
      <c r="B857" t="s">
        <v>11</v>
      </c>
      <c r="C857" t="s">
        <v>28</v>
      </c>
      <c r="D857" s="3">
        <v>45154</v>
      </c>
      <c r="E857" s="2">
        <v>6227</v>
      </c>
    </row>
    <row r="858" spans="1:5" x14ac:dyDescent="0.3">
      <c r="A858" t="s">
        <v>22</v>
      </c>
      <c r="B858" t="s">
        <v>21</v>
      </c>
      <c r="C858" t="s">
        <v>12</v>
      </c>
      <c r="D858" s="3">
        <v>45154</v>
      </c>
      <c r="E858" s="2">
        <v>10994</v>
      </c>
    </row>
    <row r="859" spans="1:5" x14ac:dyDescent="0.3">
      <c r="A859" t="s">
        <v>10</v>
      </c>
      <c r="B859" t="s">
        <v>13</v>
      </c>
      <c r="C859" t="s">
        <v>7</v>
      </c>
      <c r="D859" s="3">
        <v>45155</v>
      </c>
      <c r="E859" s="2">
        <v>8311</v>
      </c>
    </row>
    <row r="860" spans="1:5" x14ac:dyDescent="0.3">
      <c r="A860" t="s">
        <v>20</v>
      </c>
      <c r="B860" t="s">
        <v>13</v>
      </c>
      <c r="C860" t="s">
        <v>17</v>
      </c>
      <c r="D860" s="3">
        <v>45155</v>
      </c>
      <c r="E860" s="2">
        <v>3041</v>
      </c>
    </row>
    <row r="861" spans="1:5" x14ac:dyDescent="0.3">
      <c r="A861" t="s">
        <v>15</v>
      </c>
      <c r="B861" t="s">
        <v>9</v>
      </c>
      <c r="C861" t="s">
        <v>12</v>
      </c>
      <c r="D861" s="3">
        <v>45155</v>
      </c>
      <c r="E861" s="2">
        <v>3273</v>
      </c>
    </row>
    <row r="862" spans="1:5" x14ac:dyDescent="0.3">
      <c r="A862" t="s">
        <v>31</v>
      </c>
      <c r="B862" t="s">
        <v>21</v>
      </c>
      <c r="C862" t="s">
        <v>19</v>
      </c>
      <c r="D862" s="3">
        <v>45156</v>
      </c>
      <c r="E862" s="2">
        <v>7155</v>
      </c>
    </row>
    <row r="863" spans="1:5" x14ac:dyDescent="0.3">
      <c r="A863" t="s">
        <v>8</v>
      </c>
      <c r="B863" t="s">
        <v>16</v>
      </c>
      <c r="C863" t="s">
        <v>23</v>
      </c>
      <c r="D863" s="3">
        <v>45156</v>
      </c>
      <c r="E863" s="2">
        <v>7403</v>
      </c>
    </row>
    <row r="864" spans="1:5" x14ac:dyDescent="0.3">
      <c r="A864" t="s">
        <v>30</v>
      </c>
      <c r="B864" t="s">
        <v>11</v>
      </c>
      <c r="C864" t="s">
        <v>23</v>
      </c>
      <c r="D864" s="3">
        <v>45156</v>
      </c>
      <c r="E864" s="2">
        <v>2974</v>
      </c>
    </row>
    <row r="865" spans="1:5" x14ac:dyDescent="0.3">
      <c r="A865" t="s">
        <v>15</v>
      </c>
      <c r="B865" t="s">
        <v>6</v>
      </c>
      <c r="C865" t="s">
        <v>14</v>
      </c>
      <c r="D865" s="3">
        <v>45157</v>
      </c>
      <c r="E865" s="2">
        <v>9827</v>
      </c>
    </row>
    <row r="866" spans="1:5" x14ac:dyDescent="0.3">
      <c r="A866" t="s">
        <v>22</v>
      </c>
      <c r="B866" t="s">
        <v>16</v>
      </c>
      <c r="C866" t="s">
        <v>23</v>
      </c>
      <c r="D866" s="3">
        <v>45157</v>
      </c>
      <c r="E866" s="2">
        <v>13052</v>
      </c>
    </row>
    <row r="867" spans="1:5" x14ac:dyDescent="0.3">
      <c r="A867" t="s">
        <v>32</v>
      </c>
      <c r="B867" t="s">
        <v>13</v>
      </c>
      <c r="C867" t="s">
        <v>7</v>
      </c>
      <c r="D867" s="3">
        <v>45157</v>
      </c>
      <c r="E867" s="2">
        <v>3485</v>
      </c>
    </row>
    <row r="868" spans="1:5" x14ac:dyDescent="0.3">
      <c r="A868" t="s">
        <v>29</v>
      </c>
      <c r="B868" t="s">
        <v>9</v>
      </c>
      <c r="C868" t="s">
        <v>17</v>
      </c>
      <c r="D868" s="3">
        <v>45157</v>
      </c>
      <c r="E868" s="2">
        <v>11364</v>
      </c>
    </row>
    <row r="869" spans="1:5" x14ac:dyDescent="0.3">
      <c r="A869" t="s">
        <v>18</v>
      </c>
      <c r="B869" t="s">
        <v>16</v>
      </c>
      <c r="C869" t="s">
        <v>12</v>
      </c>
      <c r="D869" s="3">
        <v>45157</v>
      </c>
      <c r="E869" s="2">
        <v>1523</v>
      </c>
    </row>
    <row r="870" spans="1:5" x14ac:dyDescent="0.3">
      <c r="A870" t="s">
        <v>22</v>
      </c>
      <c r="B870" t="s">
        <v>9</v>
      </c>
      <c r="C870" t="s">
        <v>19</v>
      </c>
      <c r="D870" s="3">
        <v>45158</v>
      </c>
      <c r="E870" s="2">
        <v>11274</v>
      </c>
    </row>
    <row r="871" spans="1:5" x14ac:dyDescent="0.3">
      <c r="A871" t="s">
        <v>31</v>
      </c>
      <c r="B871" t="s">
        <v>13</v>
      </c>
      <c r="C871" t="s">
        <v>25</v>
      </c>
      <c r="D871" s="3">
        <v>45158</v>
      </c>
      <c r="E871" s="2">
        <v>6117</v>
      </c>
    </row>
    <row r="872" spans="1:5" x14ac:dyDescent="0.3">
      <c r="A872" t="s">
        <v>18</v>
      </c>
      <c r="B872" t="s">
        <v>11</v>
      </c>
      <c r="C872" t="s">
        <v>25</v>
      </c>
      <c r="D872" s="3">
        <v>45158</v>
      </c>
      <c r="E872" s="2">
        <v>2823</v>
      </c>
    </row>
    <row r="873" spans="1:5" x14ac:dyDescent="0.3">
      <c r="A873" t="s">
        <v>33</v>
      </c>
      <c r="B873" t="s">
        <v>13</v>
      </c>
      <c r="C873" t="s">
        <v>25</v>
      </c>
      <c r="D873" s="3">
        <v>45159</v>
      </c>
      <c r="E873" s="2">
        <v>9363</v>
      </c>
    </row>
    <row r="874" spans="1:5" x14ac:dyDescent="0.3">
      <c r="A874" t="s">
        <v>27</v>
      </c>
      <c r="B874" t="s">
        <v>6</v>
      </c>
      <c r="C874" t="s">
        <v>7</v>
      </c>
      <c r="D874" s="3">
        <v>45159</v>
      </c>
      <c r="E874" s="2">
        <v>6838</v>
      </c>
    </row>
    <row r="875" spans="1:5" x14ac:dyDescent="0.3">
      <c r="A875" t="s">
        <v>8</v>
      </c>
      <c r="B875" t="s">
        <v>13</v>
      </c>
      <c r="C875" t="s">
        <v>17</v>
      </c>
      <c r="D875" s="3">
        <v>45159</v>
      </c>
      <c r="E875" s="2">
        <v>11031</v>
      </c>
    </row>
    <row r="876" spans="1:5" x14ac:dyDescent="0.3">
      <c r="A876" t="s">
        <v>22</v>
      </c>
      <c r="B876" t="s">
        <v>16</v>
      </c>
      <c r="C876" t="s">
        <v>23</v>
      </c>
      <c r="D876" s="3">
        <v>45160</v>
      </c>
      <c r="E876" s="2">
        <v>12514</v>
      </c>
    </row>
    <row r="877" spans="1:5" x14ac:dyDescent="0.3">
      <c r="A877" t="s">
        <v>24</v>
      </c>
      <c r="B877" t="s">
        <v>6</v>
      </c>
      <c r="C877" t="s">
        <v>25</v>
      </c>
      <c r="D877" s="3">
        <v>45160</v>
      </c>
      <c r="E877" s="2">
        <v>7132</v>
      </c>
    </row>
    <row r="878" spans="1:5" x14ac:dyDescent="0.3">
      <c r="A878" t="s">
        <v>29</v>
      </c>
      <c r="B878" t="s">
        <v>11</v>
      </c>
      <c r="C878" t="s">
        <v>28</v>
      </c>
      <c r="D878" s="3">
        <v>45160</v>
      </c>
      <c r="E878" s="2">
        <v>4766</v>
      </c>
    </row>
    <row r="879" spans="1:5" x14ac:dyDescent="0.3">
      <c r="A879" t="s">
        <v>33</v>
      </c>
      <c r="B879" t="s">
        <v>6</v>
      </c>
      <c r="C879" t="s">
        <v>7</v>
      </c>
      <c r="D879" s="3">
        <v>45161</v>
      </c>
      <c r="E879" s="2">
        <v>11844</v>
      </c>
    </row>
    <row r="880" spans="1:5" x14ac:dyDescent="0.3">
      <c r="A880" t="s">
        <v>8</v>
      </c>
      <c r="B880" t="s">
        <v>6</v>
      </c>
      <c r="C880" t="s">
        <v>12</v>
      </c>
      <c r="D880" s="3">
        <v>45161</v>
      </c>
      <c r="E880" s="2">
        <v>9443</v>
      </c>
    </row>
    <row r="881" spans="1:5" x14ac:dyDescent="0.3">
      <c r="A881" t="s">
        <v>32</v>
      </c>
      <c r="B881" t="s">
        <v>9</v>
      </c>
      <c r="C881" t="s">
        <v>14</v>
      </c>
      <c r="D881" s="3">
        <v>45162</v>
      </c>
      <c r="E881" s="2">
        <v>12791</v>
      </c>
    </row>
    <row r="882" spans="1:5" x14ac:dyDescent="0.3">
      <c r="A882" t="s">
        <v>8</v>
      </c>
      <c r="B882" t="s">
        <v>9</v>
      </c>
      <c r="C882" t="s">
        <v>25</v>
      </c>
      <c r="D882" s="3">
        <v>45162</v>
      </c>
      <c r="E882" s="2">
        <v>13779</v>
      </c>
    </row>
    <row r="883" spans="1:5" x14ac:dyDescent="0.3">
      <c r="A883" t="s">
        <v>18</v>
      </c>
      <c r="B883" t="s">
        <v>16</v>
      </c>
      <c r="C883" t="s">
        <v>14</v>
      </c>
      <c r="D883" s="3">
        <v>45163</v>
      </c>
      <c r="E883" s="2">
        <v>9320</v>
      </c>
    </row>
    <row r="884" spans="1:5" x14ac:dyDescent="0.3">
      <c r="A884" t="s">
        <v>27</v>
      </c>
      <c r="B884" t="s">
        <v>16</v>
      </c>
      <c r="C884" t="s">
        <v>19</v>
      </c>
      <c r="D884" s="3">
        <v>45163</v>
      </c>
      <c r="E884" s="2">
        <v>8702</v>
      </c>
    </row>
    <row r="885" spans="1:5" x14ac:dyDescent="0.3">
      <c r="A885" t="s">
        <v>5</v>
      </c>
      <c r="B885" t="s">
        <v>11</v>
      </c>
      <c r="C885" t="s">
        <v>23</v>
      </c>
      <c r="D885" s="3">
        <v>45163</v>
      </c>
      <c r="E885" s="2">
        <v>13489</v>
      </c>
    </row>
    <row r="886" spans="1:5" x14ac:dyDescent="0.3">
      <c r="A886" t="s">
        <v>10</v>
      </c>
      <c r="B886" t="s">
        <v>6</v>
      </c>
      <c r="C886" t="s">
        <v>28</v>
      </c>
      <c r="D886" s="3">
        <v>45163</v>
      </c>
      <c r="E886" s="2">
        <v>1789</v>
      </c>
    </row>
    <row r="887" spans="1:5" x14ac:dyDescent="0.3">
      <c r="A887" t="s">
        <v>22</v>
      </c>
      <c r="B887" t="s">
        <v>6</v>
      </c>
      <c r="C887" t="s">
        <v>17</v>
      </c>
      <c r="D887" s="3">
        <v>45163</v>
      </c>
      <c r="E887" s="2">
        <v>2096</v>
      </c>
    </row>
    <row r="888" spans="1:5" x14ac:dyDescent="0.3">
      <c r="A888" t="s">
        <v>18</v>
      </c>
      <c r="B888" t="s">
        <v>13</v>
      </c>
      <c r="C888" t="s">
        <v>17</v>
      </c>
      <c r="D888" s="3">
        <v>45163</v>
      </c>
      <c r="E888" s="2">
        <v>2604</v>
      </c>
    </row>
    <row r="889" spans="1:5" x14ac:dyDescent="0.3">
      <c r="A889" t="s">
        <v>26</v>
      </c>
      <c r="B889" t="s">
        <v>21</v>
      </c>
      <c r="C889" t="s">
        <v>28</v>
      </c>
      <c r="D889" s="3">
        <v>45164</v>
      </c>
      <c r="E889" s="2">
        <v>10520</v>
      </c>
    </row>
    <row r="890" spans="1:5" x14ac:dyDescent="0.3">
      <c r="A890" t="s">
        <v>24</v>
      </c>
      <c r="B890" t="s">
        <v>16</v>
      </c>
      <c r="C890" t="s">
        <v>25</v>
      </c>
      <c r="D890" s="3">
        <v>45165</v>
      </c>
      <c r="E890" s="2">
        <v>4063</v>
      </c>
    </row>
    <row r="891" spans="1:5" x14ac:dyDescent="0.3">
      <c r="A891" t="s">
        <v>32</v>
      </c>
      <c r="B891" t="s">
        <v>11</v>
      </c>
      <c r="C891" t="s">
        <v>7</v>
      </c>
      <c r="D891" s="3">
        <v>45165</v>
      </c>
      <c r="E891" s="2">
        <v>6521</v>
      </c>
    </row>
    <row r="892" spans="1:5" x14ac:dyDescent="0.3">
      <c r="A892" t="s">
        <v>5</v>
      </c>
      <c r="B892" t="s">
        <v>11</v>
      </c>
      <c r="C892" t="s">
        <v>7</v>
      </c>
      <c r="D892" s="3">
        <v>45165</v>
      </c>
      <c r="E892" s="2">
        <v>3851</v>
      </c>
    </row>
    <row r="893" spans="1:5" x14ac:dyDescent="0.3">
      <c r="A893" t="s">
        <v>30</v>
      </c>
      <c r="B893" t="s">
        <v>6</v>
      </c>
      <c r="C893" t="s">
        <v>19</v>
      </c>
      <c r="D893" s="3">
        <v>45166</v>
      </c>
      <c r="E893" s="2">
        <v>6661</v>
      </c>
    </row>
    <row r="894" spans="1:5" x14ac:dyDescent="0.3">
      <c r="A894" t="s">
        <v>33</v>
      </c>
      <c r="B894" t="s">
        <v>9</v>
      </c>
      <c r="C894" t="s">
        <v>23</v>
      </c>
      <c r="D894" s="3">
        <v>45166</v>
      </c>
      <c r="E894" s="2">
        <v>10292</v>
      </c>
    </row>
    <row r="895" spans="1:5" x14ac:dyDescent="0.3">
      <c r="A895" t="s">
        <v>8</v>
      </c>
      <c r="B895" t="s">
        <v>16</v>
      </c>
      <c r="C895" t="s">
        <v>12</v>
      </c>
      <c r="D895" s="3">
        <v>45166</v>
      </c>
      <c r="E895" s="2">
        <v>13632</v>
      </c>
    </row>
    <row r="896" spans="1:5" x14ac:dyDescent="0.3">
      <c r="A896" t="s">
        <v>10</v>
      </c>
      <c r="B896" t="s">
        <v>11</v>
      </c>
      <c r="C896" t="s">
        <v>12</v>
      </c>
      <c r="D896" s="3">
        <v>45166</v>
      </c>
      <c r="E896" s="2">
        <v>12618</v>
      </c>
    </row>
    <row r="897" spans="1:5" x14ac:dyDescent="0.3">
      <c r="A897" t="s">
        <v>31</v>
      </c>
      <c r="B897" t="s">
        <v>21</v>
      </c>
      <c r="C897" t="s">
        <v>12</v>
      </c>
      <c r="D897" s="3">
        <v>45166</v>
      </c>
      <c r="E897" s="2">
        <v>8494</v>
      </c>
    </row>
    <row r="898" spans="1:5" x14ac:dyDescent="0.3">
      <c r="A898" t="s">
        <v>30</v>
      </c>
      <c r="B898" t="s">
        <v>21</v>
      </c>
      <c r="C898" t="s">
        <v>7</v>
      </c>
      <c r="D898" s="3">
        <v>45167</v>
      </c>
      <c r="E898" s="2">
        <v>11435</v>
      </c>
    </row>
    <row r="899" spans="1:5" x14ac:dyDescent="0.3">
      <c r="A899" t="s">
        <v>5</v>
      </c>
      <c r="B899" t="s">
        <v>21</v>
      </c>
      <c r="C899" t="s">
        <v>12</v>
      </c>
      <c r="D899" s="3">
        <v>45167</v>
      </c>
      <c r="E899" s="2">
        <v>7519</v>
      </c>
    </row>
    <row r="900" spans="1:5" x14ac:dyDescent="0.3">
      <c r="A900" t="s">
        <v>32</v>
      </c>
      <c r="B900" t="s">
        <v>11</v>
      </c>
      <c r="C900" t="s">
        <v>14</v>
      </c>
      <c r="D900" s="3">
        <v>45168</v>
      </c>
      <c r="E900" s="2">
        <v>8108</v>
      </c>
    </row>
    <row r="901" spans="1:5" x14ac:dyDescent="0.3">
      <c r="A901" t="s">
        <v>27</v>
      </c>
      <c r="B901" t="s">
        <v>21</v>
      </c>
      <c r="C901" t="s">
        <v>7</v>
      </c>
      <c r="D901" s="3">
        <v>45168</v>
      </c>
      <c r="E901" s="2">
        <v>10004</v>
      </c>
    </row>
    <row r="902" spans="1:5" x14ac:dyDescent="0.3">
      <c r="A902" t="s">
        <v>24</v>
      </c>
      <c r="B902" t="s">
        <v>11</v>
      </c>
      <c r="C902" t="s">
        <v>28</v>
      </c>
      <c r="D902" s="3">
        <v>45168</v>
      </c>
      <c r="E902" s="2">
        <v>9463</v>
      </c>
    </row>
    <row r="903" spans="1:5" x14ac:dyDescent="0.3">
      <c r="A903" t="s">
        <v>27</v>
      </c>
      <c r="B903" t="s">
        <v>6</v>
      </c>
      <c r="C903" t="s">
        <v>12</v>
      </c>
      <c r="D903" s="3">
        <v>45168</v>
      </c>
      <c r="E903" s="2">
        <v>10548</v>
      </c>
    </row>
    <row r="904" spans="1:5" x14ac:dyDescent="0.3">
      <c r="A904" t="s">
        <v>29</v>
      </c>
      <c r="B904" t="s">
        <v>21</v>
      </c>
      <c r="C904" t="s">
        <v>7</v>
      </c>
      <c r="D904" s="3">
        <v>45169</v>
      </c>
      <c r="E904" s="2">
        <v>8422</v>
      </c>
    </row>
    <row r="905" spans="1:5" x14ac:dyDescent="0.3">
      <c r="A905" t="s">
        <v>24</v>
      </c>
      <c r="B905" t="s">
        <v>16</v>
      </c>
      <c r="C905" t="s">
        <v>28</v>
      </c>
      <c r="D905" s="3">
        <v>45169</v>
      </c>
      <c r="E905" s="2">
        <v>6519</v>
      </c>
    </row>
    <row r="906" spans="1:5" x14ac:dyDescent="0.3">
      <c r="A906" t="s">
        <v>20</v>
      </c>
      <c r="B906" t="s">
        <v>16</v>
      </c>
      <c r="C906" t="s">
        <v>14</v>
      </c>
      <c r="D906" s="3">
        <v>45170</v>
      </c>
      <c r="E906" s="2">
        <v>7815</v>
      </c>
    </row>
    <row r="907" spans="1:5" x14ac:dyDescent="0.3">
      <c r="A907" t="s">
        <v>31</v>
      </c>
      <c r="B907" t="s">
        <v>13</v>
      </c>
      <c r="C907" t="s">
        <v>19</v>
      </c>
      <c r="D907" s="3">
        <v>45170</v>
      </c>
      <c r="E907" s="2">
        <v>8693</v>
      </c>
    </row>
    <row r="908" spans="1:5" x14ac:dyDescent="0.3">
      <c r="A908" t="s">
        <v>29</v>
      </c>
      <c r="B908" t="s">
        <v>9</v>
      </c>
      <c r="C908" t="s">
        <v>23</v>
      </c>
      <c r="D908" s="3">
        <v>45170</v>
      </c>
      <c r="E908" s="2">
        <v>13952</v>
      </c>
    </row>
    <row r="909" spans="1:5" x14ac:dyDescent="0.3">
      <c r="A909" t="s">
        <v>29</v>
      </c>
      <c r="B909" t="s">
        <v>11</v>
      </c>
      <c r="C909" t="s">
        <v>7</v>
      </c>
      <c r="D909" s="3">
        <v>45170</v>
      </c>
      <c r="E909" s="2">
        <v>8570</v>
      </c>
    </row>
    <row r="910" spans="1:5" x14ac:dyDescent="0.3">
      <c r="A910" t="s">
        <v>15</v>
      </c>
      <c r="B910" t="s">
        <v>11</v>
      </c>
      <c r="C910" t="s">
        <v>7</v>
      </c>
      <c r="D910" s="3">
        <v>45170</v>
      </c>
      <c r="E910" s="2">
        <v>1055</v>
      </c>
    </row>
    <row r="911" spans="1:5" x14ac:dyDescent="0.3">
      <c r="A911" t="s">
        <v>10</v>
      </c>
      <c r="B911" t="s">
        <v>6</v>
      </c>
      <c r="C911" t="s">
        <v>17</v>
      </c>
      <c r="D911" s="3">
        <v>45170</v>
      </c>
      <c r="E911" s="2">
        <v>7025</v>
      </c>
    </row>
    <row r="912" spans="1:5" x14ac:dyDescent="0.3">
      <c r="A912" t="s">
        <v>30</v>
      </c>
      <c r="B912" t="s">
        <v>13</v>
      </c>
      <c r="C912" t="s">
        <v>17</v>
      </c>
      <c r="D912" s="3">
        <v>45170</v>
      </c>
      <c r="E912" s="2">
        <v>5355</v>
      </c>
    </row>
    <row r="913" spans="1:5" x14ac:dyDescent="0.3">
      <c r="A913" t="s">
        <v>8</v>
      </c>
      <c r="B913" t="s">
        <v>21</v>
      </c>
      <c r="C913" t="s">
        <v>17</v>
      </c>
      <c r="D913" s="3">
        <v>45170</v>
      </c>
      <c r="E913" s="2">
        <v>1718</v>
      </c>
    </row>
    <row r="914" spans="1:5" x14ac:dyDescent="0.3">
      <c r="A914" t="s">
        <v>29</v>
      </c>
      <c r="B914" t="s">
        <v>9</v>
      </c>
      <c r="C914" t="s">
        <v>12</v>
      </c>
      <c r="D914" s="3">
        <v>45170</v>
      </c>
      <c r="E914" s="2">
        <v>6444</v>
      </c>
    </row>
    <row r="915" spans="1:5" x14ac:dyDescent="0.3">
      <c r="A915" t="s">
        <v>5</v>
      </c>
      <c r="B915" t="s">
        <v>9</v>
      </c>
      <c r="C915" t="s">
        <v>23</v>
      </c>
      <c r="D915" s="3">
        <v>45171</v>
      </c>
      <c r="E915" s="2">
        <v>7837</v>
      </c>
    </row>
    <row r="916" spans="1:5" x14ac:dyDescent="0.3">
      <c r="A916" t="s">
        <v>8</v>
      </c>
      <c r="B916" t="s">
        <v>21</v>
      </c>
      <c r="C916" t="s">
        <v>17</v>
      </c>
      <c r="D916" s="3">
        <v>45171</v>
      </c>
      <c r="E916" s="2">
        <v>13502</v>
      </c>
    </row>
    <row r="917" spans="1:5" x14ac:dyDescent="0.3">
      <c r="A917" t="s">
        <v>22</v>
      </c>
      <c r="B917" t="s">
        <v>21</v>
      </c>
      <c r="C917" t="s">
        <v>19</v>
      </c>
      <c r="D917" s="3">
        <v>45172</v>
      </c>
      <c r="E917" s="2">
        <v>13574</v>
      </c>
    </row>
    <row r="918" spans="1:5" x14ac:dyDescent="0.3">
      <c r="A918" t="s">
        <v>8</v>
      </c>
      <c r="B918" t="s">
        <v>9</v>
      </c>
      <c r="C918" t="s">
        <v>23</v>
      </c>
      <c r="D918" s="3">
        <v>45172</v>
      </c>
      <c r="E918" s="2">
        <v>7531</v>
      </c>
    </row>
    <row r="919" spans="1:5" x14ac:dyDescent="0.3">
      <c r="A919" t="s">
        <v>26</v>
      </c>
      <c r="B919" t="s">
        <v>13</v>
      </c>
      <c r="C919" t="s">
        <v>23</v>
      </c>
      <c r="D919" s="3">
        <v>45172</v>
      </c>
      <c r="E919" s="2">
        <v>10203</v>
      </c>
    </row>
    <row r="920" spans="1:5" x14ac:dyDescent="0.3">
      <c r="A920" t="s">
        <v>18</v>
      </c>
      <c r="B920" t="s">
        <v>21</v>
      </c>
      <c r="C920" t="s">
        <v>25</v>
      </c>
      <c r="D920" s="3">
        <v>45172</v>
      </c>
      <c r="E920" s="2">
        <v>8552</v>
      </c>
    </row>
    <row r="921" spans="1:5" x14ac:dyDescent="0.3">
      <c r="A921" t="s">
        <v>22</v>
      </c>
      <c r="B921" t="s">
        <v>21</v>
      </c>
      <c r="C921" t="s">
        <v>7</v>
      </c>
      <c r="D921" s="3">
        <v>45172</v>
      </c>
      <c r="E921" s="2">
        <v>3218</v>
      </c>
    </row>
    <row r="922" spans="1:5" x14ac:dyDescent="0.3">
      <c r="A922" t="s">
        <v>32</v>
      </c>
      <c r="B922" t="s">
        <v>13</v>
      </c>
      <c r="C922" t="s">
        <v>28</v>
      </c>
      <c r="D922" s="3">
        <v>45173</v>
      </c>
      <c r="E922" s="2">
        <v>1402</v>
      </c>
    </row>
    <row r="923" spans="1:5" x14ac:dyDescent="0.3">
      <c r="A923" t="s">
        <v>15</v>
      </c>
      <c r="B923" t="s">
        <v>13</v>
      </c>
      <c r="C923" t="s">
        <v>17</v>
      </c>
      <c r="D923" s="3">
        <v>45174</v>
      </c>
      <c r="E923" s="2">
        <v>11855</v>
      </c>
    </row>
    <row r="924" spans="1:5" x14ac:dyDescent="0.3">
      <c r="A924" t="s">
        <v>24</v>
      </c>
      <c r="B924" t="s">
        <v>6</v>
      </c>
      <c r="C924" t="s">
        <v>17</v>
      </c>
      <c r="D924" s="3">
        <v>45174</v>
      </c>
      <c r="E924" s="2">
        <v>9596</v>
      </c>
    </row>
    <row r="925" spans="1:5" x14ac:dyDescent="0.3">
      <c r="A925" t="s">
        <v>27</v>
      </c>
      <c r="B925" t="s">
        <v>6</v>
      </c>
      <c r="C925" t="s">
        <v>12</v>
      </c>
      <c r="D925" s="3">
        <v>45175</v>
      </c>
      <c r="E925" s="2">
        <v>3759</v>
      </c>
    </row>
    <row r="926" spans="1:5" x14ac:dyDescent="0.3">
      <c r="A926" t="s">
        <v>8</v>
      </c>
      <c r="B926" t="s">
        <v>11</v>
      </c>
      <c r="C926" t="s">
        <v>12</v>
      </c>
      <c r="D926" s="3">
        <v>45175</v>
      </c>
      <c r="E926" s="2">
        <v>3248</v>
      </c>
    </row>
    <row r="927" spans="1:5" x14ac:dyDescent="0.3">
      <c r="A927" t="s">
        <v>30</v>
      </c>
      <c r="B927" t="s">
        <v>9</v>
      </c>
      <c r="C927" t="s">
        <v>25</v>
      </c>
      <c r="D927" s="3">
        <v>45176</v>
      </c>
      <c r="E927" s="2">
        <v>12794</v>
      </c>
    </row>
    <row r="928" spans="1:5" x14ac:dyDescent="0.3">
      <c r="A928" t="s">
        <v>22</v>
      </c>
      <c r="B928" t="s">
        <v>9</v>
      </c>
      <c r="C928" t="s">
        <v>17</v>
      </c>
      <c r="D928" s="3">
        <v>45176</v>
      </c>
      <c r="E928" s="2">
        <v>4917</v>
      </c>
    </row>
    <row r="929" spans="1:5" x14ac:dyDescent="0.3">
      <c r="A929" t="s">
        <v>32</v>
      </c>
      <c r="B929" t="s">
        <v>9</v>
      </c>
      <c r="C929" t="s">
        <v>19</v>
      </c>
      <c r="D929" s="3">
        <v>45177</v>
      </c>
      <c r="E929" s="2">
        <v>2237</v>
      </c>
    </row>
    <row r="930" spans="1:5" x14ac:dyDescent="0.3">
      <c r="A930" t="s">
        <v>32</v>
      </c>
      <c r="B930" t="s">
        <v>16</v>
      </c>
      <c r="C930" t="s">
        <v>7</v>
      </c>
      <c r="D930" s="3">
        <v>45177</v>
      </c>
      <c r="E930" s="2">
        <v>7303</v>
      </c>
    </row>
    <row r="931" spans="1:5" x14ac:dyDescent="0.3">
      <c r="A931" t="s">
        <v>8</v>
      </c>
      <c r="B931" t="s">
        <v>21</v>
      </c>
      <c r="C931" t="s">
        <v>17</v>
      </c>
      <c r="D931" s="3">
        <v>45177</v>
      </c>
      <c r="E931" s="2">
        <v>3937</v>
      </c>
    </row>
    <row r="932" spans="1:5" x14ac:dyDescent="0.3">
      <c r="A932" t="s">
        <v>8</v>
      </c>
      <c r="B932" t="s">
        <v>21</v>
      </c>
      <c r="C932" t="s">
        <v>17</v>
      </c>
      <c r="D932" s="3">
        <v>45177</v>
      </c>
      <c r="E932" s="2">
        <v>13243</v>
      </c>
    </row>
    <row r="933" spans="1:5" x14ac:dyDescent="0.3">
      <c r="A933" t="s">
        <v>27</v>
      </c>
      <c r="B933" t="s">
        <v>11</v>
      </c>
      <c r="C933" t="s">
        <v>12</v>
      </c>
      <c r="D933" s="3">
        <v>45177</v>
      </c>
      <c r="E933" s="2">
        <v>5355</v>
      </c>
    </row>
    <row r="934" spans="1:5" x14ac:dyDescent="0.3">
      <c r="A934" t="s">
        <v>33</v>
      </c>
      <c r="B934" t="s">
        <v>13</v>
      </c>
      <c r="C934" t="s">
        <v>19</v>
      </c>
      <c r="D934" s="3">
        <v>45178</v>
      </c>
      <c r="E934" s="2">
        <v>2201</v>
      </c>
    </row>
    <row r="935" spans="1:5" x14ac:dyDescent="0.3">
      <c r="A935" t="s">
        <v>18</v>
      </c>
      <c r="B935" t="s">
        <v>11</v>
      </c>
      <c r="C935" t="s">
        <v>17</v>
      </c>
      <c r="D935" s="3">
        <v>45178</v>
      </c>
      <c r="E935" s="2">
        <v>5211</v>
      </c>
    </row>
    <row r="936" spans="1:5" x14ac:dyDescent="0.3">
      <c r="A936" t="s">
        <v>32</v>
      </c>
      <c r="B936" t="s">
        <v>9</v>
      </c>
      <c r="C936" t="s">
        <v>14</v>
      </c>
      <c r="D936" s="3">
        <v>45179</v>
      </c>
      <c r="E936" s="2">
        <v>13400</v>
      </c>
    </row>
    <row r="937" spans="1:5" x14ac:dyDescent="0.3">
      <c r="A937" t="s">
        <v>29</v>
      </c>
      <c r="B937" t="s">
        <v>21</v>
      </c>
      <c r="C937" t="s">
        <v>14</v>
      </c>
      <c r="D937" s="3">
        <v>45179</v>
      </c>
      <c r="E937" s="2">
        <v>10774</v>
      </c>
    </row>
    <row r="938" spans="1:5" x14ac:dyDescent="0.3">
      <c r="A938" t="s">
        <v>24</v>
      </c>
      <c r="B938" t="s">
        <v>6</v>
      </c>
      <c r="C938" t="s">
        <v>19</v>
      </c>
      <c r="D938" s="3">
        <v>45179</v>
      </c>
      <c r="E938" s="2">
        <v>6943</v>
      </c>
    </row>
    <row r="939" spans="1:5" x14ac:dyDescent="0.3">
      <c r="A939" t="s">
        <v>22</v>
      </c>
      <c r="B939" t="s">
        <v>11</v>
      </c>
      <c r="C939" t="s">
        <v>23</v>
      </c>
      <c r="D939" s="3">
        <v>45179</v>
      </c>
      <c r="E939" s="2">
        <v>2848</v>
      </c>
    </row>
    <row r="940" spans="1:5" x14ac:dyDescent="0.3">
      <c r="A940" t="s">
        <v>10</v>
      </c>
      <c r="B940" t="s">
        <v>21</v>
      </c>
      <c r="C940" t="s">
        <v>25</v>
      </c>
      <c r="D940" s="3">
        <v>45179</v>
      </c>
      <c r="E940" s="2">
        <v>10262</v>
      </c>
    </row>
    <row r="941" spans="1:5" x14ac:dyDescent="0.3">
      <c r="A941" t="s">
        <v>8</v>
      </c>
      <c r="B941" t="s">
        <v>6</v>
      </c>
      <c r="C941" t="s">
        <v>7</v>
      </c>
      <c r="D941" s="3">
        <v>45179</v>
      </c>
      <c r="E941" s="2">
        <v>1234</v>
      </c>
    </row>
    <row r="942" spans="1:5" x14ac:dyDescent="0.3">
      <c r="A942" t="s">
        <v>15</v>
      </c>
      <c r="B942" t="s">
        <v>16</v>
      </c>
      <c r="C942" t="s">
        <v>17</v>
      </c>
      <c r="D942" s="3">
        <v>45179</v>
      </c>
      <c r="E942" s="2">
        <v>3617</v>
      </c>
    </row>
    <row r="943" spans="1:5" x14ac:dyDescent="0.3">
      <c r="A943" t="s">
        <v>20</v>
      </c>
      <c r="B943" t="s">
        <v>6</v>
      </c>
      <c r="C943" t="s">
        <v>23</v>
      </c>
      <c r="D943" s="3">
        <v>45180</v>
      </c>
      <c r="E943" s="2">
        <v>6394</v>
      </c>
    </row>
    <row r="944" spans="1:5" x14ac:dyDescent="0.3">
      <c r="A944" t="s">
        <v>5</v>
      </c>
      <c r="B944" t="s">
        <v>9</v>
      </c>
      <c r="C944" t="s">
        <v>12</v>
      </c>
      <c r="D944" s="3">
        <v>45180</v>
      </c>
      <c r="E944" s="2">
        <v>2599</v>
      </c>
    </row>
    <row r="945" spans="1:5" x14ac:dyDescent="0.3">
      <c r="A945" t="s">
        <v>31</v>
      </c>
      <c r="B945" t="s">
        <v>16</v>
      </c>
      <c r="C945" t="s">
        <v>19</v>
      </c>
      <c r="D945" s="3">
        <v>45181</v>
      </c>
      <c r="E945" s="2">
        <v>12251</v>
      </c>
    </row>
    <row r="946" spans="1:5" x14ac:dyDescent="0.3">
      <c r="A946" t="s">
        <v>30</v>
      </c>
      <c r="B946" t="s">
        <v>6</v>
      </c>
      <c r="C946" t="s">
        <v>23</v>
      </c>
      <c r="D946" s="3">
        <v>45181</v>
      </c>
      <c r="E946" s="2">
        <v>1165</v>
      </c>
    </row>
    <row r="947" spans="1:5" x14ac:dyDescent="0.3">
      <c r="A947" t="s">
        <v>26</v>
      </c>
      <c r="B947" t="s">
        <v>13</v>
      </c>
      <c r="C947" t="s">
        <v>25</v>
      </c>
      <c r="D947" s="3">
        <v>45181</v>
      </c>
      <c r="E947" s="2">
        <v>1558</v>
      </c>
    </row>
    <row r="948" spans="1:5" x14ac:dyDescent="0.3">
      <c r="A948" t="s">
        <v>33</v>
      </c>
      <c r="B948" t="s">
        <v>11</v>
      </c>
      <c r="C948" t="s">
        <v>17</v>
      </c>
      <c r="D948" s="3">
        <v>45181</v>
      </c>
      <c r="E948" s="2">
        <v>2726</v>
      </c>
    </row>
    <row r="949" spans="1:5" x14ac:dyDescent="0.3">
      <c r="A949" t="s">
        <v>20</v>
      </c>
      <c r="B949" t="s">
        <v>6</v>
      </c>
      <c r="C949" t="s">
        <v>19</v>
      </c>
      <c r="D949" s="3">
        <v>45182</v>
      </c>
      <c r="E949" s="2">
        <v>13500</v>
      </c>
    </row>
    <row r="950" spans="1:5" x14ac:dyDescent="0.3">
      <c r="A950" t="s">
        <v>31</v>
      </c>
      <c r="B950" t="s">
        <v>6</v>
      </c>
      <c r="C950" t="s">
        <v>23</v>
      </c>
      <c r="D950" s="3">
        <v>45182</v>
      </c>
      <c r="E950" s="2">
        <v>6990</v>
      </c>
    </row>
    <row r="951" spans="1:5" x14ac:dyDescent="0.3">
      <c r="A951" t="s">
        <v>29</v>
      </c>
      <c r="B951" t="s">
        <v>11</v>
      </c>
      <c r="C951" t="s">
        <v>25</v>
      </c>
      <c r="D951" s="3">
        <v>45182</v>
      </c>
      <c r="E951" s="2">
        <v>3080</v>
      </c>
    </row>
    <row r="952" spans="1:5" x14ac:dyDescent="0.3">
      <c r="A952" t="s">
        <v>15</v>
      </c>
      <c r="B952" t="s">
        <v>13</v>
      </c>
      <c r="C952" t="s">
        <v>7</v>
      </c>
      <c r="D952" s="3">
        <v>45182</v>
      </c>
      <c r="E952" s="2">
        <v>6733</v>
      </c>
    </row>
    <row r="953" spans="1:5" x14ac:dyDescent="0.3">
      <c r="A953" t="s">
        <v>33</v>
      </c>
      <c r="B953" t="s">
        <v>6</v>
      </c>
      <c r="C953" t="s">
        <v>19</v>
      </c>
      <c r="D953" s="3">
        <v>45183</v>
      </c>
      <c r="E953" s="2">
        <v>8746</v>
      </c>
    </row>
    <row r="954" spans="1:5" x14ac:dyDescent="0.3">
      <c r="A954" t="s">
        <v>31</v>
      </c>
      <c r="B954" t="s">
        <v>16</v>
      </c>
      <c r="C954" t="s">
        <v>28</v>
      </c>
      <c r="D954" s="3">
        <v>45183</v>
      </c>
      <c r="E954" s="2">
        <v>6598</v>
      </c>
    </row>
    <row r="955" spans="1:5" x14ac:dyDescent="0.3">
      <c r="A955" t="s">
        <v>31</v>
      </c>
      <c r="B955" t="s">
        <v>6</v>
      </c>
      <c r="C955" t="s">
        <v>12</v>
      </c>
      <c r="D955" s="3">
        <v>45183</v>
      </c>
      <c r="E955" s="2">
        <v>7009</v>
      </c>
    </row>
    <row r="956" spans="1:5" x14ac:dyDescent="0.3">
      <c r="A956" t="s">
        <v>27</v>
      </c>
      <c r="B956" t="s">
        <v>16</v>
      </c>
      <c r="C956" t="s">
        <v>23</v>
      </c>
      <c r="D956" s="3">
        <v>45184</v>
      </c>
      <c r="E956" s="2">
        <v>12321</v>
      </c>
    </row>
    <row r="957" spans="1:5" x14ac:dyDescent="0.3">
      <c r="A957" t="s">
        <v>32</v>
      </c>
      <c r="B957" t="s">
        <v>13</v>
      </c>
      <c r="C957" t="s">
        <v>12</v>
      </c>
      <c r="D957" s="3">
        <v>45184</v>
      </c>
      <c r="E957" s="2">
        <v>1989</v>
      </c>
    </row>
    <row r="958" spans="1:5" x14ac:dyDescent="0.3">
      <c r="A958" t="s">
        <v>15</v>
      </c>
      <c r="B958" t="s">
        <v>21</v>
      </c>
      <c r="C958" t="s">
        <v>14</v>
      </c>
      <c r="D958" s="3">
        <v>45185</v>
      </c>
      <c r="E958" s="2">
        <v>8632</v>
      </c>
    </row>
    <row r="959" spans="1:5" x14ac:dyDescent="0.3">
      <c r="A959" t="s">
        <v>10</v>
      </c>
      <c r="B959" t="s">
        <v>13</v>
      </c>
      <c r="C959" t="s">
        <v>19</v>
      </c>
      <c r="D959" s="3">
        <v>45185</v>
      </c>
      <c r="E959" s="2">
        <v>10924</v>
      </c>
    </row>
    <row r="960" spans="1:5" x14ac:dyDescent="0.3">
      <c r="A960" t="s">
        <v>33</v>
      </c>
      <c r="B960" t="s">
        <v>13</v>
      </c>
      <c r="C960" t="s">
        <v>19</v>
      </c>
      <c r="D960" s="3">
        <v>45185</v>
      </c>
      <c r="E960" s="2">
        <v>4544</v>
      </c>
    </row>
    <row r="961" spans="1:5" x14ac:dyDescent="0.3">
      <c r="A961" t="s">
        <v>18</v>
      </c>
      <c r="B961" t="s">
        <v>16</v>
      </c>
      <c r="C961" t="s">
        <v>19</v>
      </c>
      <c r="D961" s="3">
        <v>45185</v>
      </c>
      <c r="E961" s="2">
        <v>4241</v>
      </c>
    </row>
    <row r="962" spans="1:5" x14ac:dyDescent="0.3">
      <c r="A962" t="s">
        <v>29</v>
      </c>
      <c r="B962" t="s">
        <v>16</v>
      </c>
      <c r="C962" t="s">
        <v>25</v>
      </c>
      <c r="D962" s="3">
        <v>45185</v>
      </c>
      <c r="E962" s="2">
        <v>7038</v>
      </c>
    </row>
    <row r="963" spans="1:5" x14ac:dyDescent="0.3">
      <c r="A963" t="s">
        <v>31</v>
      </c>
      <c r="B963" t="s">
        <v>21</v>
      </c>
      <c r="C963" t="s">
        <v>28</v>
      </c>
      <c r="D963" s="3">
        <v>45185</v>
      </c>
      <c r="E963" s="2">
        <v>8532</v>
      </c>
    </row>
    <row r="964" spans="1:5" x14ac:dyDescent="0.3">
      <c r="A964" t="s">
        <v>18</v>
      </c>
      <c r="B964" t="s">
        <v>21</v>
      </c>
      <c r="C964" t="s">
        <v>12</v>
      </c>
      <c r="D964" s="3">
        <v>45185</v>
      </c>
      <c r="E964" s="2">
        <v>6783</v>
      </c>
    </row>
    <row r="965" spans="1:5" x14ac:dyDescent="0.3">
      <c r="A965" t="s">
        <v>24</v>
      </c>
      <c r="B965" t="s">
        <v>21</v>
      </c>
      <c r="C965" t="s">
        <v>12</v>
      </c>
      <c r="D965" s="3">
        <v>45186</v>
      </c>
      <c r="E965" s="2">
        <v>11744</v>
      </c>
    </row>
    <row r="966" spans="1:5" x14ac:dyDescent="0.3">
      <c r="A966" t="s">
        <v>31</v>
      </c>
      <c r="B966" t="s">
        <v>6</v>
      </c>
      <c r="C966" t="s">
        <v>19</v>
      </c>
      <c r="D966" s="3">
        <v>45187</v>
      </c>
      <c r="E966" s="2">
        <v>9834</v>
      </c>
    </row>
    <row r="967" spans="1:5" x14ac:dyDescent="0.3">
      <c r="A967" t="s">
        <v>22</v>
      </c>
      <c r="B967" t="s">
        <v>11</v>
      </c>
      <c r="C967" t="s">
        <v>28</v>
      </c>
      <c r="D967" s="3">
        <v>45187</v>
      </c>
      <c r="E967" s="2">
        <v>2907</v>
      </c>
    </row>
    <row r="968" spans="1:5" x14ac:dyDescent="0.3">
      <c r="A968" t="s">
        <v>18</v>
      </c>
      <c r="B968" t="s">
        <v>6</v>
      </c>
      <c r="C968" t="s">
        <v>17</v>
      </c>
      <c r="D968" s="3">
        <v>45187</v>
      </c>
      <c r="E968" s="2">
        <v>8978</v>
      </c>
    </row>
    <row r="969" spans="1:5" x14ac:dyDescent="0.3">
      <c r="A969" t="s">
        <v>32</v>
      </c>
      <c r="B969" t="s">
        <v>16</v>
      </c>
      <c r="C969" t="s">
        <v>25</v>
      </c>
      <c r="D969" s="3">
        <v>45188</v>
      </c>
      <c r="E969" s="2">
        <v>4775</v>
      </c>
    </row>
    <row r="970" spans="1:5" x14ac:dyDescent="0.3">
      <c r="A970" t="s">
        <v>18</v>
      </c>
      <c r="B970" t="s">
        <v>6</v>
      </c>
      <c r="C970" t="s">
        <v>25</v>
      </c>
      <c r="D970" s="3">
        <v>45188</v>
      </c>
      <c r="E970" s="2">
        <v>1463</v>
      </c>
    </row>
    <row r="971" spans="1:5" x14ac:dyDescent="0.3">
      <c r="A971" t="s">
        <v>26</v>
      </c>
      <c r="B971" t="s">
        <v>13</v>
      </c>
      <c r="C971" t="s">
        <v>28</v>
      </c>
      <c r="D971" s="3">
        <v>45188</v>
      </c>
      <c r="E971" s="2">
        <v>12153</v>
      </c>
    </row>
    <row r="972" spans="1:5" x14ac:dyDescent="0.3">
      <c r="A972" t="s">
        <v>22</v>
      </c>
      <c r="B972" t="s">
        <v>9</v>
      </c>
      <c r="C972" t="s">
        <v>12</v>
      </c>
      <c r="D972" s="3">
        <v>45188</v>
      </c>
      <c r="E972" s="2">
        <v>5418</v>
      </c>
    </row>
    <row r="973" spans="1:5" x14ac:dyDescent="0.3">
      <c r="A973" t="s">
        <v>22</v>
      </c>
      <c r="B973" t="s">
        <v>16</v>
      </c>
      <c r="C973" t="s">
        <v>19</v>
      </c>
      <c r="D973" s="3">
        <v>45189</v>
      </c>
      <c r="E973" s="2">
        <v>11101</v>
      </c>
    </row>
    <row r="974" spans="1:5" x14ac:dyDescent="0.3">
      <c r="A974" t="s">
        <v>31</v>
      </c>
      <c r="B974" t="s">
        <v>6</v>
      </c>
      <c r="C974" t="s">
        <v>19</v>
      </c>
      <c r="D974" s="3">
        <v>45189</v>
      </c>
      <c r="E974" s="2">
        <v>8294</v>
      </c>
    </row>
    <row r="975" spans="1:5" x14ac:dyDescent="0.3">
      <c r="A975" t="s">
        <v>33</v>
      </c>
      <c r="B975" t="s">
        <v>13</v>
      </c>
      <c r="C975" t="s">
        <v>23</v>
      </c>
      <c r="D975" s="3">
        <v>45189</v>
      </c>
      <c r="E975" s="2">
        <v>10339</v>
      </c>
    </row>
    <row r="976" spans="1:5" x14ac:dyDescent="0.3">
      <c r="A976" t="s">
        <v>26</v>
      </c>
      <c r="B976" t="s">
        <v>11</v>
      </c>
      <c r="C976" t="s">
        <v>23</v>
      </c>
      <c r="D976" s="3">
        <v>45189</v>
      </c>
      <c r="E976" s="2">
        <v>12774</v>
      </c>
    </row>
    <row r="977" spans="1:5" x14ac:dyDescent="0.3">
      <c r="A977" t="s">
        <v>27</v>
      </c>
      <c r="B977" t="s">
        <v>13</v>
      </c>
      <c r="C977" t="s">
        <v>28</v>
      </c>
      <c r="D977" s="3">
        <v>45189</v>
      </c>
      <c r="E977" s="2">
        <v>5526</v>
      </c>
    </row>
    <row r="978" spans="1:5" x14ac:dyDescent="0.3">
      <c r="A978" t="s">
        <v>26</v>
      </c>
      <c r="B978" t="s">
        <v>13</v>
      </c>
      <c r="C978" t="s">
        <v>17</v>
      </c>
      <c r="D978" s="3">
        <v>45189</v>
      </c>
      <c r="E978" s="2">
        <v>11767</v>
      </c>
    </row>
    <row r="979" spans="1:5" x14ac:dyDescent="0.3">
      <c r="A979" t="s">
        <v>30</v>
      </c>
      <c r="B979" t="s">
        <v>6</v>
      </c>
      <c r="C979" t="s">
        <v>14</v>
      </c>
      <c r="D979" s="3">
        <v>45190</v>
      </c>
      <c r="E979" s="2">
        <v>5468</v>
      </c>
    </row>
    <row r="980" spans="1:5" x14ac:dyDescent="0.3">
      <c r="A980" t="s">
        <v>20</v>
      </c>
      <c r="B980" t="s">
        <v>13</v>
      </c>
      <c r="C980" t="s">
        <v>14</v>
      </c>
      <c r="D980" s="3">
        <v>45190</v>
      </c>
      <c r="E980" s="2">
        <v>2834</v>
      </c>
    </row>
    <row r="981" spans="1:5" x14ac:dyDescent="0.3">
      <c r="A981" t="s">
        <v>18</v>
      </c>
      <c r="B981" t="s">
        <v>16</v>
      </c>
      <c r="C981" t="s">
        <v>23</v>
      </c>
      <c r="D981" s="3">
        <v>45190</v>
      </c>
      <c r="E981" s="2">
        <v>7116</v>
      </c>
    </row>
    <row r="982" spans="1:5" x14ac:dyDescent="0.3">
      <c r="A982" t="s">
        <v>27</v>
      </c>
      <c r="B982" t="s">
        <v>13</v>
      </c>
      <c r="C982" t="s">
        <v>17</v>
      </c>
      <c r="D982" s="3">
        <v>45190</v>
      </c>
      <c r="E982" s="2">
        <v>11586</v>
      </c>
    </row>
    <row r="983" spans="1:5" x14ac:dyDescent="0.3">
      <c r="A983" t="s">
        <v>10</v>
      </c>
      <c r="B983" t="s">
        <v>16</v>
      </c>
      <c r="C983" t="s">
        <v>23</v>
      </c>
      <c r="D983" s="3">
        <v>45191</v>
      </c>
      <c r="E983" s="2">
        <v>13952</v>
      </c>
    </row>
    <row r="984" spans="1:5" x14ac:dyDescent="0.3">
      <c r="A984" t="s">
        <v>32</v>
      </c>
      <c r="B984" t="s">
        <v>16</v>
      </c>
      <c r="C984" t="s">
        <v>25</v>
      </c>
      <c r="D984" s="3">
        <v>45191</v>
      </c>
      <c r="E984" s="2">
        <v>4497</v>
      </c>
    </row>
    <row r="985" spans="1:5" x14ac:dyDescent="0.3">
      <c r="A985" t="s">
        <v>26</v>
      </c>
      <c r="B985" t="s">
        <v>21</v>
      </c>
      <c r="C985" t="s">
        <v>25</v>
      </c>
      <c r="D985" s="3">
        <v>45191</v>
      </c>
      <c r="E985" s="2">
        <v>8321</v>
      </c>
    </row>
    <row r="986" spans="1:5" x14ac:dyDescent="0.3">
      <c r="A986" t="s">
        <v>27</v>
      </c>
      <c r="B986" t="s">
        <v>11</v>
      </c>
      <c r="C986" t="s">
        <v>12</v>
      </c>
      <c r="D986" s="3">
        <v>45191</v>
      </c>
      <c r="E986" s="2">
        <v>4097</v>
      </c>
    </row>
    <row r="987" spans="1:5" x14ac:dyDescent="0.3">
      <c r="A987" t="s">
        <v>32</v>
      </c>
      <c r="B987" t="s">
        <v>16</v>
      </c>
      <c r="C987" t="s">
        <v>14</v>
      </c>
      <c r="D987" s="3">
        <v>45192</v>
      </c>
      <c r="E987" s="2">
        <v>10614</v>
      </c>
    </row>
    <row r="988" spans="1:5" x14ac:dyDescent="0.3">
      <c r="A988" t="s">
        <v>31</v>
      </c>
      <c r="B988" t="s">
        <v>11</v>
      </c>
      <c r="C988" t="s">
        <v>19</v>
      </c>
      <c r="D988" s="3">
        <v>45192</v>
      </c>
      <c r="E988" s="2">
        <v>9727</v>
      </c>
    </row>
    <row r="989" spans="1:5" x14ac:dyDescent="0.3">
      <c r="A989" t="s">
        <v>22</v>
      </c>
      <c r="B989" t="s">
        <v>13</v>
      </c>
      <c r="C989" t="s">
        <v>23</v>
      </c>
      <c r="D989" s="3">
        <v>45192</v>
      </c>
      <c r="E989" s="2">
        <v>4233</v>
      </c>
    </row>
    <row r="990" spans="1:5" x14ac:dyDescent="0.3">
      <c r="A990" t="s">
        <v>15</v>
      </c>
      <c r="B990" t="s">
        <v>16</v>
      </c>
      <c r="C990" t="s">
        <v>28</v>
      </c>
      <c r="D990" s="3">
        <v>45192</v>
      </c>
      <c r="E990" s="2">
        <v>2172</v>
      </c>
    </row>
    <row r="991" spans="1:5" x14ac:dyDescent="0.3">
      <c r="A991" t="s">
        <v>8</v>
      </c>
      <c r="B991" t="s">
        <v>11</v>
      </c>
      <c r="C991" t="s">
        <v>17</v>
      </c>
      <c r="D991" s="3">
        <v>45192</v>
      </c>
      <c r="E991" s="2">
        <v>13375</v>
      </c>
    </row>
    <row r="992" spans="1:5" x14ac:dyDescent="0.3">
      <c r="A992" t="s">
        <v>22</v>
      </c>
      <c r="B992" t="s">
        <v>11</v>
      </c>
      <c r="C992" t="s">
        <v>17</v>
      </c>
      <c r="D992" s="3">
        <v>45192</v>
      </c>
      <c r="E992" s="2">
        <v>10455</v>
      </c>
    </row>
    <row r="993" spans="1:5" x14ac:dyDescent="0.3">
      <c r="A993" t="s">
        <v>20</v>
      </c>
      <c r="B993" t="s">
        <v>11</v>
      </c>
      <c r="C993" t="s">
        <v>28</v>
      </c>
      <c r="D993" s="3">
        <v>45193</v>
      </c>
      <c r="E993" s="2">
        <v>10748</v>
      </c>
    </row>
    <row r="994" spans="1:5" x14ac:dyDescent="0.3">
      <c r="A994" t="s">
        <v>29</v>
      </c>
      <c r="B994" t="s">
        <v>13</v>
      </c>
      <c r="C994" t="s">
        <v>23</v>
      </c>
      <c r="D994" s="3">
        <v>45194</v>
      </c>
      <c r="E994" s="2">
        <v>1947</v>
      </c>
    </row>
    <row r="995" spans="1:5" x14ac:dyDescent="0.3">
      <c r="A995" t="s">
        <v>15</v>
      </c>
      <c r="B995" t="s">
        <v>11</v>
      </c>
      <c r="C995" t="s">
        <v>7</v>
      </c>
      <c r="D995" s="3">
        <v>45194</v>
      </c>
      <c r="E995" s="2">
        <v>1977</v>
      </c>
    </row>
    <row r="996" spans="1:5" x14ac:dyDescent="0.3">
      <c r="A996" t="s">
        <v>26</v>
      </c>
      <c r="B996" t="s">
        <v>21</v>
      </c>
      <c r="C996" t="s">
        <v>7</v>
      </c>
      <c r="D996" s="3">
        <v>45194</v>
      </c>
      <c r="E996" s="2">
        <v>4819</v>
      </c>
    </row>
    <row r="997" spans="1:5" x14ac:dyDescent="0.3">
      <c r="A997" t="s">
        <v>15</v>
      </c>
      <c r="B997" t="s">
        <v>21</v>
      </c>
      <c r="C997" t="s">
        <v>28</v>
      </c>
      <c r="D997" s="3">
        <v>45194</v>
      </c>
      <c r="E997" s="2">
        <v>12960</v>
      </c>
    </row>
    <row r="998" spans="1:5" x14ac:dyDescent="0.3">
      <c r="A998" t="s">
        <v>18</v>
      </c>
      <c r="B998" t="s">
        <v>6</v>
      </c>
      <c r="C998" t="s">
        <v>12</v>
      </c>
      <c r="D998" s="3">
        <v>45194</v>
      </c>
      <c r="E998" s="2">
        <v>1404</v>
      </c>
    </row>
    <row r="999" spans="1:5" x14ac:dyDescent="0.3">
      <c r="A999" t="s">
        <v>27</v>
      </c>
      <c r="B999" t="s">
        <v>21</v>
      </c>
      <c r="C999" t="s">
        <v>12</v>
      </c>
      <c r="D999" s="3">
        <v>45195</v>
      </c>
      <c r="E999" s="2">
        <v>10356</v>
      </c>
    </row>
    <row r="1000" spans="1:5" x14ac:dyDescent="0.3">
      <c r="A1000" t="s">
        <v>8</v>
      </c>
      <c r="B1000" t="s">
        <v>11</v>
      </c>
      <c r="C1000" t="s">
        <v>12</v>
      </c>
      <c r="D1000" s="3">
        <v>45195</v>
      </c>
      <c r="E1000" s="2">
        <v>12849</v>
      </c>
    </row>
    <row r="1001" spans="1:5" x14ac:dyDescent="0.3">
      <c r="A1001" t="s">
        <v>18</v>
      </c>
      <c r="B1001" t="s">
        <v>13</v>
      </c>
      <c r="C1001" t="s">
        <v>25</v>
      </c>
      <c r="D1001" s="3">
        <v>45196</v>
      </c>
      <c r="E1001" s="2">
        <v>1600</v>
      </c>
    </row>
    <row r="1002" spans="1:5" x14ac:dyDescent="0.3">
      <c r="A1002" t="s">
        <v>24</v>
      </c>
      <c r="B1002" t="s">
        <v>21</v>
      </c>
      <c r="C1002" t="s">
        <v>25</v>
      </c>
      <c r="D1002" s="3">
        <v>45196</v>
      </c>
      <c r="E1002" s="2">
        <v>4140</v>
      </c>
    </row>
    <row r="1003" spans="1:5" x14ac:dyDescent="0.3">
      <c r="A1003" t="s">
        <v>26</v>
      </c>
      <c r="B1003" t="s">
        <v>9</v>
      </c>
      <c r="C1003" t="s">
        <v>7</v>
      </c>
      <c r="D1003" s="3">
        <v>45196</v>
      </c>
      <c r="E1003" s="2">
        <v>2016</v>
      </c>
    </row>
    <row r="1004" spans="1:5" x14ac:dyDescent="0.3">
      <c r="A1004" t="s">
        <v>18</v>
      </c>
      <c r="B1004" t="s">
        <v>16</v>
      </c>
      <c r="C1004" t="s">
        <v>17</v>
      </c>
      <c r="D1004" s="3">
        <v>45196</v>
      </c>
      <c r="E1004" s="2">
        <v>3448</v>
      </c>
    </row>
    <row r="1005" spans="1:5" x14ac:dyDescent="0.3">
      <c r="A1005" t="s">
        <v>33</v>
      </c>
      <c r="B1005" t="s">
        <v>6</v>
      </c>
      <c r="C1005" t="s">
        <v>7</v>
      </c>
      <c r="D1005" s="3">
        <v>45197</v>
      </c>
      <c r="E1005" s="2">
        <v>1363</v>
      </c>
    </row>
    <row r="1006" spans="1:5" x14ac:dyDescent="0.3">
      <c r="A1006" t="s">
        <v>8</v>
      </c>
      <c r="B1006" t="s">
        <v>13</v>
      </c>
      <c r="C1006" t="s">
        <v>19</v>
      </c>
      <c r="D1006" s="3">
        <v>45198</v>
      </c>
      <c r="E1006" s="2">
        <v>4358</v>
      </c>
    </row>
    <row r="1007" spans="1:5" x14ac:dyDescent="0.3">
      <c r="A1007" t="s">
        <v>24</v>
      </c>
      <c r="B1007" t="s">
        <v>21</v>
      </c>
      <c r="C1007" t="s">
        <v>25</v>
      </c>
      <c r="D1007" s="3">
        <v>45198</v>
      </c>
      <c r="E1007" s="2">
        <v>3663</v>
      </c>
    </row>
    <row r="1008" spans="1:5" x14ac:dyDescent="0.3">
      <c r="A1008" t="s">
        <v>18</v>
      </c>
      <c r="B1008" t="s">
        <v>9</v>
      </c>
      <c r="C1008" t="s">
        <v>7</v>
      </c>
      <c r="D1008" s="3">
        <v>45198</v>
      </c>
      <c r="E1008" s="2">
        <v>1789</v>
      </c>
    </row>
    <row r="1009" spans="1:5" x14ac:dyDescent="0.3">
      <c r="A1009" t="s">
        <v>20</v>
      </c>
      <c r="B1009" t="s">
        <v>11</v>
      </c>
      <c r="C1009" t="s">
        <v>12</v>
      </c>
      <c r="D1009" s="3">
        <v>45198</v>
      </c>
      <c r="E1009" s="2">
        <v>13578</v>
      </c>
    </row>
    <row r="1010" spans="1:5" x14ac:dyDescent="0.3">
      <c r="A1010" t="s">
        <v>10</v>
      </c>
      <c r="B1010" t="s">
        <v>21</v>
      </c>
      <c r="C1010" t="s">
        <v>23</v>
      </c>
      <c r="D1010" s="3">
        <v>45199</v>
      </c>
      <c r="E1010" s="2">
        <v>10908</v>
      </c>
    </row>
    <row r="1011" spans="1:5" x14ac:dyDescent="0.3">
      <c r="A1011" t="s">
        <v>10</v>
      </c>
      <c r="B1011" t="s">
        <v>13</v>
      </c>
      <c r="C1011" t="s">
        <v>23</v>
      </c>
      <c r="D1011" s="3">
        <v>45199</v>
      </c>
      <c r="E1011" s="2">
        <v>7691</v>
      </c>
    </row>
    <row r="1012" spans="1:5" x14ac:dyDescent="0.3">
      <c r="A1012" t="s">
        <v>29</v>
      </c>
      <c r="B1012" t="s">
        <v>21</v>
      </c>
      <c r="C1012" t="s">
        <v>25</v>
      </c>
      <c r="D1012" s="3">
        <v>45199</v>
      </c>
      <c r="E1012" s="2">
        <v>11738</v>
      </c>
    </row>
    <row r="1013" spans="1:5" x14ac:dyDescent="0.3">
      <c r="A1013" t="s">
        <v>10</v>
      </c>
      <c r="B1013" t="s">
        <v>11</v>
      </c>
      <c r="C1013" t="s">
        <v>25</v>
      </c>
      <c r="D1013" s="3">
        <v>45199</v>
      </c>
      <c r="E1013" s="2">
        <v>11351</v>
      </c>
    </row>
    <row r="1014" spans="1:5" x14ac:dyDescent="0.3">
      <c r="A1014" t="s">
        <v>32</v>
      </c>
      <c r="B1014" t="s">
        <v>13</v>
      </c>
      <c r="C1014" t="s">
        <v>25</v>
      </c>
      <c r="D1014" s="3">
        <v>45199</v>
      </c>
      <c r="E1014" s="2">
        <v>7120</v>
      </c>
    </row>
    <row r="1015" spans="1:5" x14ac:dyDescent="0.3">
      <c r="A1015" t="s">
        <v>10</v>
      </c>
      <c r="B1015" t="s">
        <v>16</v>
      </c>
      <c r="C1015" t="s">
        <v>7</v>
      </c>
      <c r="D1015" s="3">
        <v>45199</v>
      </c>
      <c r="E1015" s="2">
        <v>5923</v>
      </c>
    </row>
    <row r="1016" spans="1:5" x14ac:dyDescent="0.3">
      <c r="A1016" t="s">
        <v>32</v>
      </c>
      <c r="B1016" t="s">
        <v>6</v>
      </c>
      <c r="C1016" t="s">
        <v>28</v>
      </c>
      <c r="D1016" s="3">
        <v>45199</v>
      </c>
      <c r="E1016" s="2">
        <v>12683</v>
      </c>
    </row>
    <row r="1017" spans="1:5" x14ac:dyDescent="0.3">
      <c r="A1017" t="s">
        <v>24</v>
      </c>
      <c r="B1017" t="s">
        <v>21</v>
      </c>
      <c r="C1017" t="s">
        <v>12</v>
      </c>
      <c r="D1017" s="3">
        <v>45199</v>
      </c>
      <c r="E1017" s="2">
        <v>11900</v>
      </c>
    </row>
    <row r="1018" spans="1:5" x14ac:dyDescent="0.3">
      <c r="A1018" t="s">
        <v>15</v>
      </c>
      <c r="B1018" t="s">
        <v>11</v>
      </c>
      <c r="C1018" t="s">
        <v>14</v>
      </c>
      <c r="D1018" s="3">
        <v>45200</v>
      </c>
      <c r="E1018" s="2">
        <v>5163</v>
      </c>
    </row>
    <row r="1019" spans="1:5" x14ac:dyDescent="0.3">
      <c r="A1019" t="s">
        <v>20</v>
      </c>
      <c r="B1019" t="s">
        <v>21</v>
      </c>
      <c r="C1019" t="s">
        <v>28</v>
      </c>
      <c r="D1019" s="3">
        <v>45202</v>
      </c>
      <c r="E1019" s="2">
        <v>9233</v>
      </c>
    </row>
    <row r="1020" spans="1:5" x14ac:dyDescent="0.3">
      <c r="A1020" t="s">
        <v>30</v>
      </c>
      <c r="B1020" t="s">
        <v>9</v>
      </c>
      <c r="C1020" t="s">
        <v>14</v>
      </c>
      <c r="D1020" s="3">
        <v>45203</v>
      </c>
      <c r="E1020" s="2">
        <v>8028</v>
      </c>
    </row>
    <row r="1021" spans="1:5" x14ac:dyDescent="0.3">
      <c r="A1021" t="s">
        <v>30</v>
      </c>
      <c r="B1021" t="s">
        <v>13</v>
      </c>
      <c r="C1021" t="s">
        <v>14</v>
      </c>
      <c r="D1021" s="3">
        <v>45203</v>
      </c>
      <c r="E1021" s="2">
        <v>12915</v>
      </c>
    </row>
    <row r="1022" spans="1:5" x14ac:dyDescent="0.3">
      <c r="A1022" t="s">
        <v>20</v>
      </c>
      <c r="B1022" t="s">
        <v>9</v>
      </c>
      <c r="C1022" t="s">
        <v>19</v>
      </c>
      <c r="D1022" s="3">
        <v>45203</v>
      </c>
      <c r="E1022" s="2">
        <v>12350</v>
      </c>
    </row>
    <row r="1023" spans="1:5" x14ac:dyDescent="0.3">
      <c r="A1023" t="s">
        <v>31</v>
      </c>
      <c r="B1023" t="s">
        <v>6</v>
      </c>
      <c r="C1023" t="s">
        <v>25</v>
      </c>
      <c r="D1023" s="3">
        <v>45203</v>
      </c>
      <c r="E1023" s="2">
        <v>12540</v>
      </c>
    </row>
    <row r="1024" spans="1:5" x14ac:dyDescent="0.3">
      <c r="A1024" t="s">
        <v>30</v>
      </c>
      <c r="B1024" t="s">
        <v>6</v>
      </c>
      <c r="C1024" t="s">
        <v>19</v>
      </c>
      <c r="D1024" s="3">
        <v>45204</v>
      </c>
      <c r="E1024" s="2">
        <v>4201</v>
      </c>
    </row>
    <row r="1025" spans="1:5" x14ac:dyDescent="0.3">
      <c r="A1025" t="s">
        <v>18</v>
      </c>
      <c r="B1025" t="s">
        <v>16</v>
      </c>
      <c r="C1025" t="s">
        <v>23</v>
      </c>
      <c r="D1025" s="3">
        <v>45205</v>
      </c>
      <c r="E1025" s="2">
        <v>12880</v>
      </c>
    </row>
    <row r="1026" spans="1:5" x14ac:dyDescent="0.3">
      <c r="A1026" t="s">
        <v>20</v>
      </c>
      <c r="B1026" t="s">
        <v>13</v>
      </c>
      <c r="C1026" t="s">
        <v>25</v>
      </c>
      <c r="D1026" s="3">
        <v>45205</v>
      </c>
      <c r="E1026" s="2">
        <v>8516</v>
      </c>
    </row>
    <row r="1027" spans="1:5" x14ac:dyDescent="0.3">
      <c r="A1027" t="s">
        <v>8</v>
      </c>
      <c r="B1027" t="s">
        <v>21</v>
      </c>
      <c r="C1027" t="s">
        <v>7</v>
      </c>
      <c r="D1027" s="3">
        <v>45205</v>
      </c>
      <c r="E1027" s="2">
        <v>2729</v>
      </c>
    </row>
    <row r="1028" spans="1:5" x14ac:dyDescent="0.3">
      <c r="A1028" t="s">
        <v>18</v>
      </c>
      <c r="B1028" t="s">
        <v>13</v>
      </c>
      <c r="C1028" t="s">
        <v>14</v>
      </c>
      <c r="D1028" s="3">
        <v>45206</v>
      </c>
      <c r="E1028" s="2">
        <v>13502</v>
      </c>
    </row>
    <row r="1029" spans="1:5" x14ac:dyDescent="0.3">
      <c r="A1029" t="s">
        <v>26</v>
      </c>
      <c r="B1029" t="s">
        <v>13</v>
      </c>
      <c r="C1029" t="s">
        <v>17</v>
      </c>
      <c r="D1029" s="3">
        <v>45206</v>
      </c>
      <c r="E1029" s="2">
        <v>3888</v>
      </c>
    </row>
    <row r="1030" spans="1:5" x14ac:dyDescent="0.3">
      <c r="A1030" t="s">
        <v>30</v>
      </c>
      <c r="B1030" t="s">
        <v>16</v>
      </c>
      <c r="C1030" t="s">
        <v>14</v>
      </c>
      <c r="D1030" s="3">
        <v>45207</v>
      </c>
      <c r="E1030" s="2">
        <v>6709</v>
      </c>
    </row>
    <row r="1031" spans="1:5" x14ac:dyDescent="0.3">
      <c r="A1031" t="s">
        <v>32</v>
      </c>
      <c r="B1031" t="s">
        <v>9</v>
      </c>
      <c r="C1031" t="s">
        <v>25</v>
      </c>
      <c r="D1031" s="3">
        <v>45207</v>
      </c>
      <c r="E1031" s="2">
        <v>8547</v>
      </c>
    </row>
    <row r="1032" spans="1:5" x14ac:dyDescent="0.3">
      <c r="A1032" t="s">
        <v>30</v>
      </c>
      <c r="B1032" t="s">
        <v>21</v>
      </c>
      <c r="C1032" t="s">
        <v>28</v>
      </c>
      <c r="D1032" s="3">
        <v>45207</v>
      </c>
      <c r="E1032" s="2">
        <v>4571</v>
      </c>
    </row>
    <row r="1033" spans="1:5" x14ac:dyDescent="0.3">
      <c r="A1033" t="s">
        <v>15</v>
      </c>
      <c r="B1033" t="s">
        <v>13</v>
      </c>
      <c r="C1033" t="s">
        <v>14</v>
      </c>
      <c r="D1033" s="3">
        <v>45208</v>
      </c>
      <c r="E1033" s="2">
        <v>11953</v>
      </c>
    </row>
    <row r="1034" spans="1:5" x14ac:dyDescent="0.3">
      <c r="A1034" t="s">
        <v>5</v>
      </c>
      <c r="B1034" t="s">
        <v>16</v>
      </c>
      <c r="C1034" t="s">
        <v>14</v>
      </c>
      <c r="D1034" s="3">
        <v>45208</v>
      </c>
      <c r="E1034" s="2">
        <v>11708</v>
      </c>
    </row>
    <row r="1035" spans="1:5" x14ac:dyDescent="0.3">
      <c r="A1035" t="s">
        <v>8</v>
      </c>
      <c r="B1035" t="s">
        <v>9</v>
      </c>
      <c r="C1035" t="s">
        <v>7</v>
      </c>
      <c r="D1035" s="3">
        <v>45208</v>
      </c>
      <c r="E1035" s="2">
        <v>6039</v>
      </c>
    </row>
    <row r="1036" spans="1:5" x14ac:dyDescent="0.3">
      <c r="A1036" t="s">
        <v>8</v>
      </c>
      <c r="B1036" t="s">
        <v>13</v>
      </c>
      <c r="C1036" t="s">
        <v>17</v>
      </c>
      <c r="D1036" s="3">
        <v>45208</v>
      </c>
      <c r="E1036" s="2">
        <v>6862</v>
      </c>
    </row>
    <row r="1037" spans="1:5" x14ac:dyDescent="0.3">
      <c r="A1037" t="s">
        <v>22</v>
      </c>
      <c r="B1037" t="s">
        <v>6</v>
      </c>
      <c r="C1037" t="s">
        <v>12</v>
      </c>
      <c r="D1037" s="3">
        <v>45208</v>
      </c>
      <c r="E1037" s="2">
        <v>8719</v>
      </c>
    </row>
    <row r="1038" spans="1:5" x14ac:dyDescent="0.3">
      <c r="A1038" t="s">
        <v>5</v>
      </c>
      <c r="B1038" t="s">
        <v>11</v>
      </c>
      <c r="C1038" t="s">
        <v>12</v>
      </c>
      <c r="D1038" s="3">
        <v>45208</v>
      </c>
      <c r="E1038" s="2">
        <v>11673</v>
      </c>
    </row>
    <row r="1039" spans="1:5" x14ac:dyDescent="0.3">
      <c r="A1039" t="s">
        <v>26</v>
      </c>
      <c r="B1039" t="s">
        <v>13</v>
      </c>
      <c r="C1039" t="s">
        <v>25</v>
      </c>
      <c r="D1039" s="3">
        <v>45209</v>
      </c>
      <c r="E1039" s="2">
        <v>11792</v>
      </c>
    </row>
    <row r="1040" spans="1:5" x14ac:dyDescent="0.3">
      <c r="A1040" t="s">
        <v>5</v>
      </c>
      <c r="B1040" t="s">
        <v>21</v>
      </c>
      <c r="C1040" t="s">
        <v>7</v>
      </c>
      <c r="D1040" s="3">
        <v>45209</v>
      </c>
      <c r="E1040" s="2">
        <v>7634</v>
      </c>
    </row>
    <row r="1041" spans="1:5" x14ac:dyDescent="0.3">
      <c r="A1041" t="s">
        <v>27</v>
      </c>
      <c r="B1041" t="s">
        <v>16</v>
      </c>
      <c r="C1041" t="s">
        <v>17</v>
      </c>
      <c r="D1041" s="3">
        <v>45209</v>
      </c>
      <c r="E1041" s="2">
        <v>10103</v>
      </c>
    </row>
    <row r="1042" spans="1:5" x14ac:dyDescent="0.3">
      <c r="A1042" t="s">
        <v>10</v>
      </c>
      <c r="B1042" t="s">
        <v>9</v>
      </c>
      <c r="C1042" t="s">
        <v>25</v>
      </c>
      <c r="D1042" s="3">
        <v>45210</v>
      </c>
      <c r="E1042" s="2">
        <v>6624</v>
      </c>
    </row>
    <row r="1043" spans="1:5" x14ac:dyDescent="0.3">
      <c r="A1043" t="s">
        <v>30</v>
      </c>
      <c r="B1043" t="s">
        <v>16</v>
      </c>
      <c r="C1043" t="s">
        <v>25</v>
      </c>
      <c r="D1043" s="3">
        <v>45210</v>
      </c>
      <c r="E1043" s="2">
        <v>11004</v>
      </c>
    </row>
    <row r="1044" spans="1:5" x14ac:dyDescent="0.3">
      <c r="A1044" t="s">
        <v>5</v>
      </c>
      <c r="B1044" t="s">
        <v>13</v>
      </c>
      <c r="C1044" t="s">
        <v>25</v>
      </c>
      <c r="D1044" s="3">
        <v>45210</v>
      </c>
      <c r="E1044" s="2">
        <v>7179</v>
      </c>
    </row>
    <row r="1045" spans="1:5" x14ac:dyDescent="0.3">
      <c r="A1045" t="s">
        <v>30</v>
      </c>
      <c r="B1045" t="s">
        <v>6</v>
      </c>
      <c r="C1045" t="s">
        <v>17</v>
      </c>
      <c r="D1045" s="3">
        <v>45210</v>
      </c>
      <c r="E1045" s="2">
        <v>11541</v>
      </c>
    </row>
    <row r="1046" spans="1:5" x14ac:dyDescent="0.3">
      <c r="A1046" t="s">
        <v>31</v>
      </c>
      <c r="B1046" t="s">
        <v>6</v>
      </c>
      <c r="C1046" t="s">
        <v>14</v>
      </c>
      <c r="D1046" s="3">
        <v>45211</v>
      </c>
      <c r="E1046" s="2">
        <v>8400</v>
      </c>
    </row>
    <row r="1047" spans="1:5" x14ac:dyDescent="0.3">
      <c r="A1047" t="s">
        <v>15</v>
      </c>
      <c r="B1047" t="s">
        <v>16</v>
      </c>
      <c r="C1047" t="s">
        <v>14</v>
      </c>
      <c r="D1047" s="3">
        <v>45211</v>
      </c>
      <c r="E1047" s="2">
        <v>1554</v>
      </c>
    </row>
    <row r="1048" spans="1:5" x14ac:dyDescent="0.3">
      <c r="A1048" t="s">
        <v>8</v>
      </c>
      <c r="B1048" t="s">
        <v>16</v>
      </c>
      <c r="C1048" t="s">
        <v>19</v>
      </c>
      <c r="D1048" s="3">
        <v>45211</v>
      </c>
      <c r="E1048" s="2">
        <v>10467</v>
      </c>
    </row>
    <row r="1049" spans="1:5" x14ac:dyDescent="0.3">
      <c r="A1049" t="s">
        <v>20</v>
      </c>
      <c r="B1049" t="s">
        <v>13</v>
      </c>
      <c r="C1049" t="s">
        <v>23</v>
      </c>
      <c r="D1049" s="3">
        <v>45211</v>
      </c>
      <c r="E1049" s="2">
        <v>1562</v>
      </c>
    </row>
    <row r="1050" spans="1:5" x14ac:dyDescent="0.3">
      <c r="A1050" t="s">
        <v>26</v>
      </c>
      <c r="B1050" t="s">
        <v>16</v>
      </c>
      <c r="C1050" t="s">
        <v>25</v>
      </c>
      <c r="D1050" s="3">
        <v>45211</v>
      </c>
      <c r="E1050" s="2">
        <v>11882</v>
      </c>
    </row>
    <row r="1051" spans="1:5" x14ac:dyDescent="0.3">
      <c r="A1051" t="s">
        <v>22</v>
      </c>
      <c r="B1051" t="s">
        <v>6</v>
      </c>
      <c r="C1051" t="s">
        <v>28</v>
      </c>
      <c r="D1051" s="3">
        <v>45211</v>
      </c>
      <c r="E1051" s="2">
        <v>2303</v>
      </c>
    </row>
    <row r="1052" spans="1:5" x14ac:dyDescent="0.3">
      <c r="A1052" t="s">
        <v>33</v>
      </c>
      <c r="B1052" t="s">
        <v>6</v>
      </c>
      <c r="C1052" t="s">
        <v>17</v>
      </c>
      <c r="D1052" s="3">
        <v>45211</v>
      </c>
      <c r="E1052" s="2">
        <v>8882</v>
      </c>
    </row>
    <row r="1053" spans="1:5" x14ac:dyDescent="0.3">
      <c r="A1053" t="s">
        <v>10</v>
      </c>
      <c r="B1053" t="s">
        <v>16</v>
      </c>
      <c r="C1053" t="s">
        <v>12</v>
      </c>
      <c r="D1053" s="3">
        <v>45211</v>
      </c>
      <c r="E1053" s="2">
        <v>6272</v>
      </c>
    </row>
    <row r="1054" spans="1:5" x14ac:dyDescent="0.3">
      <c r="A1054" t="s">
        <v>31</v>
      </c>
      <c r="B1054" t="s">
        <v>6</v>
      </c>
      <c r="C1054" t="s">
        <v>14</v>
      </c>
      <c r="D1054" s="3">
        <v>45212</v>
      </c>
      <c r="E1054" s="2">
        <v>11715</v>
      </c>
    </row>
    <row r="1055" spans="1:5" x14ac:dyDescent="0.3">
      <c r="A1055" t="s">
        <v>29</v>
      </c>
      <c r="B1055" t="s">
        <v>9</v>
      </c>
      <c r="C1055" t="s">
        <v>17</v>
      </c>
      <c r="D1055" s="3">
        <v>45212</v>
      </c>
      <c r="E1055" s="2">
        <v>8816</v>
      </c>
    </row>
    <row r="1056" spans="1:5" x14ac:dyDescent="0.3">
      <c r="A1056" t="s">
        <v>32</v>
      </c>
      <c r="B1056" t="s">
        <v>9</v>
      </c>
      <c r="C1056" t="s">
        <v>19</v>
      </c>
      <c r="D1056" s="3">
        <v>45213</v>
      </c>
      <c r="E1056" s="2">
        <v>5871</v>
      </c>
    </row>
    <row r="1057" spans="1:5" x14ac:dyDescent="0.3">
      <c r="A1057" t="s">
        <v>31</v>
      </c>
      <c r="B1057" t="s">
        <v>6</v>
      </c>
      <c r="C1057" t="s">
        <v>28</v>
      </c>
      <c r="D1057" s="3">
        <v>45213</v>
      </c>
      <c r="E1057" s="2">
        <v>4345</v>
      </c>
    </row>
    <row r="1058" spans="1:5" x14ac:dyDescent="0.3">
      <c r="A1058" t="s">
        <v>33</v>
      </c>
      <c r="B1058" t="s">
        <v>16</v>
      </c>
      <c r="C1058" t="s">
        <v>12</v>
      </c>
      <c r="D1058" s="3">
        <v>45213</v>
      </c>
      <c r="E1058" s="2">
        <v>3922</v>
      </c>
    </row>
    <row r="1059" spans="1:5" x14ac:dyDescent="0.3">
      <c r="A1059" t="s">
        <v>32</v>
      </c>
      <c r="B1059" t="s">
        <v>13</v>
      </c>
      <c r="C1059" t="s">
        <v>14</v>
      </c>
      <c r="D1059" s="3">
        <v>45214</v>
      </c>
      <c r="E1059" s="2">
        <v>5550</v>
      </c>
    </row>
    <row r="1060" spans="1:5" x14ac:dyDescent="0.3">
      <c r="A1060" t="s">
        <v>15</v>
      </c>
      <c r="B1060" t="s">
        <v>6</v>
      </c>
      <c r="C1060" t="s">
        <v>14</v>
      </c>
      <c r="D1060" s="3">
        <v>45214</v>
      </c>
      <c r="E1060" s="2">
        <v>9664</v>
      </c>
    </row>
    <row r="1061" spans="1:5" x14ac:dyDescent="0.3">
      <c r="A1061" t="s">
        <v>30</v>
      </c>
      <c r="B1061" t="s">
        <v>11</v>
      </c>
      <c r="C1061" t="s">
        <v>19</v>
      </c>
      <c r="D1061" s="3">
        <v>45214</v>
      </c>
      <c r="E1061" s="2">
        <v>1625</v>
      </c>
    </row>
    <row r="1062" spans="1:5" x14ac:dyDescent="0.3">
      <c r="A1062" t="s">
        <v>30</v>
      </c>
      <c r="B1062" t="s">
        <v>21</v>
      </c>
      <c r="C1062" t="s">
        <v>19</v>
      </c>
      <c r="D1062" s="3">
        <v>45214</v>
      </c>
      <c r="E1062" s="2">
        <v>3630</v>
      </c>
    </row>
    <row r="1063" spans="1:5" x14ac:dyDescent="0.3">
      <c r="A1063" t="s">
        <v>27</v>
      </c>
      <c r="B1063" t="s">
        <v>11</v>
      </c>
      <c r="C1063" t="s">
        <v>23</v>
      </c>
      <c r="D1063" s="3">
        <v>45214</v>
      </c>
      <c r="E1063" s="2">
        <v>9325</v>
      </c>
    </row>
    <row r="1064" spans="1:5" x14ac:dyDescent="0.3">
      <c r="A1064" t="s">
        <v>15</v>
      </c>
      <c r="B1064" t="s">
        <v>13</v>
      </c>
      <c r="C1064" t="s">
        <v>23</v>
      </c>
      <c r="D1064" s="3">
        <v>45214</v>
      </c>
      <c r="E1064" s="2">
        <v>2022</v>
      </c>
    </row>
    <row r="1065" spans="1:5" x14ac:dyDescent="0.3">
      <c r="A1065" t="s">
        <v>20</v>
      </c>
      <c r="B1065" t="s">
        <v>13</v>
      </c>
      <c r="C1065" t="s">
        <v>23</v>
      </c>
      <c r="D1065" s="3">
        <v>45214</v>
      </c>
      <c r="E1065" s="2">
        <v>13890</v>
      </c>
    </row>
    <row r="1066" spans="1:5" x14ac:dyDescent="0.3">
      <c r="A1066" t="s">
        <v>32</v>
      </c>
      <c r="B1066" t="s">
        <v>6</v>
      </c>
      <c r="C1066" t="s">
        <v>25</v>
      </c>
      <c r="D1066" s="3">
        <v>45214</v>
      </c>
      <c r="E1066" s="2">
        <v>13472</v>
      </c>
    </row>
    <row r="1067" spans="1:5" x14ac:dyDescent="0.3">
      <c r="A1067" t="s">
        <v>31</v>
      </c>
      <c r="B1067" t="s">
        <v>21</v>
      </c>
      <c r="C1067" t="s">
        <v>7</v>
      </c>
      <c r="D1067" s="3">
        <v>45214</v>
      </c>
      <c r="E1067" s="2">
        <v>11233</v>
      </c>
    </row>
    <row r="1068" spans="1:5" x14ac:dyDescent="0.3">
      <c r="A1068" t="s">
        <v>30</v>
      </c>
      <c r="B1068" t="s">
        <v>16</v>
      </c>
      <c r="C1068" t="s">
        <v>17</v>
      </c>
      <c r="D1068" s="3">
        <v>45214</v>
      </c>
      <c r="E1068" s="2">
        <v>7448</v>
      </c>
    </row>
    <row r="1069" spans="1:5" x14ac:dyDescent="0.3">
      <c r="A1069" t="s">
        <v>29</v>
      </c>
      <c r="B1069" t="s">
        <v>16</v>
      </c>
      <c r="C1069" t="s">
        <v>12</v>
      </c>
      <c r="D1069" s="3">
        <v>45214</v>
      </c>
      <c r="E1069" s="2">
        <v>1821</v>
      </c>
    </row>
    <row r="1070" spans="1:5" x14ac:dyDescent="0.3">
      <c r="A1070" t="s">
        <v>22</v>
      </c>
      <c r="B1070" t="s">
        <v>9</v>
      </c>
      <c r="C1070" t="s">
        <v>12</v>
      </c>
      <c r="D1070" s="3">
        <v>45214</v>
      </c>
      <c r="E1070" s="2">
        <v>12745</v>
      </c>
    </row>
    <row r="1071" spans="1:5" x14ac:dyDescent="0.3">
      <c r="A1071" t="s">
        <v>20</v>
      </c>
      <c r="B1071" t="s">
        <v>6</v>
      </c>
      <c r="C1071" t="s">
        <v>19</v>
      </c>
      <c r="D1071" s="3">
        <v>45215</v>
      </c>
      <c r="E1071" s="2">
        <v>2075</v>
      </c>
    </row>
    <row r="1072" spans="1:5" x14ac:dyDescent="0.3">
      <c r="A1072" t="s">
        <v>33</v>
      </c>
      <c r="B1072" t="s">
        <v>9</v>
      </c>
      <c r="C1072" t="s">
        <v>28</v>
      </c>
      <c r="D1072" s="3">
        <v>45215</v>
      </c>
      <c r="E1072" s="2">
        <v>11541</v>
      </c>
    </row>
    <row r="1073" spans="1:5" x14ac:dyDescent="0.3">
      <c r="A1073" t="s">
        <v>15</v>
      </c>
      <c r="B1073" t="s">
        <v>16</v>
      </c>
      <c r="C1073" t="s">
        <v>28</v>
      </c>
      <c r="D1073" s="3">
        <v>45215</v>
      </c>
      <c r="E1073" s="2">
        <v>3058</v>
      </c>
    </row>
    <row r="1074" spans="1:5" x14ac:dyDescent="0.3">
      <c r="A1074" t="s">
        <v>26</v>
      </c>
      <c r="B1074" t="s">
        <v>9</v>
      </c>
      <c r="C1074" t="s">
        <v>28</v>
      </c>
      <c r="D1074" s="3">
        <v>45215</v>
      </c>
      <c r="E1074" s="2">
        <v>2646</v>
      </c>
    </row>
    <row r="1075" spans="1:5" x14ac:dyDescent="0.3">
      <c r="A1075" t="s">
        <v>27</v>
      </c>
      <c r="B1075" t="s">
        <v>16</v>
      </c>
      <c r="C1075" t="s">
        <v>17</v>
      </c>
      <c r="D1075" s="3">
        <v>45215</v>
      </c>
      <c r="E1075" s="2">
        <v>1837</v>
      </c>
    </row>
    <row r="1076" spans="1:5" x14ac:dyDescent="0.3">
      <c r="A1076" t="s">
        <v>24</v>
      </c>
      <c r="B1076" t="s">
        <v>16</v>
      </c>
      <c r="C1076" t="s">
        <v>12</v>
      </c>
      <c r="D1076" s="3">
        <v>45215</v>
      </c>
      <c r="E1076" s="2">
        <v>7606</v>
      </c>
    </row>
    <row r="1077" spans="1:5" x14ac:dyDescent="0.3">
      <c r="A1077" t="s">
        <v>26</v>
      </c>
      <c r="B1077" t="s">
        <v>21</v>
      </c>
      <c r="C1077" t="s">
        <v>12</v>
      </c>
      <c r="D1077" s="3">
        <v>45215</v>
      </c>
      <c r="E1077" s="2">
        <v>13921</v>
      </c>
    </row>
    <row r="1078" spans="1:5" x14ac:dyDescent="0.3">
      <c r="A1078" t="s">
        <v>5</v>
      </c>
      <c r="B1078" t="s">
        <v>9</v>
      </c>
      <c r="C1078" t="s">
        <v>14</v>
      </c>
      <c r="D1078" s="3">
        <v>45216</v>
      </c>
      <c r="E1078" s="2">
        <v>2627</v>
      </c>
    </row>
    <row r="1079" spans="1:5" x14ac:dyDescent="0.3">
      <c r="A1079" t="s">
        <v>22</v>
      </c>
      <c r="B1079" t="s">
        <v>6</v>
      </c>
      <c r="C1079" t="s">
        <v>25</v>
      </c>
      <c r="D1079" s="3">
        <v>45216</v>
      </c>
      <c r="E1079" s="2">
        <v>4497</v>
      </c>
    </row>
    <row r="1080" spans="1:5" x14ac:dyDescent="0.3">
      <c r="A1080" t="s">
        <v>30</v>
      </c>
      <c r="B1080" t="s">
        <v>6</v>
      </c>
      <c r="C1080" t="s">
        <v>23</v>
      </c>
      <c r="D1080" s="3">
        <v>45217</v>
      </c>
      <c r="E1080" s="2">
        <v>8592</v>
      </c>
    </row>
    <row r="1081" spans="1:5" x14ac:dyDescent="0.3">
      <c r="A1081" t="s">
        <v>32</v>
      </c>
      <c r="B1081" t="s">
        <v>16</v>
      </c>
      <c r="C1081" t="s">
        <v>25</v>
      </c>
      <c r="D1081" s="3">
        <v>45217</v>
      </c>
      <c r="E1081" s="2">
        <v>5519</v>
      </c>
    </row>
    <row r="1082" spans="1:5" x14ac:dyDescent="0.3">
      <c r="A1082" t="s">
        <v>29</v>
      </c>
      <c r="B1082" t="s">
        <v>21</v>
      </c>
      <c r="C1082" t="s">
        <v>25</v>
      </c>
      <c r="D1082" s="3">
        <v>45217</v>
      </c>
      <c r="E1082" s="2">
        <v>5400</v>
      </c>
    </row>
    <row r="1083" spans="1:5" x14ac:dyDescent="0.3">
      <c r="A1083" t="s">
        <v>32</v>
      </c>
      <c r="B1083" t="s">
        <v>11</v>
      </c>
      <c r="C1083" t="s">
        <v>7</v>
      </c>
      <c r="D1083" s="3">
        <v>45217</v>
      </c>
      <c r="E1083" s="2">
        <v>13817</v>
      </c>
    </row>
    <row r="1084" spans="1:5" x14ac:dyDescent="0.3">
      <c r="A1084" t="s">
        <v>33</v>
      </c>
      <c r="B1084" t="s">
        <v>13</v>
      </c>
      <c r="C1084" t="s">
        <v>12</v>
      </c>
      <c r="D1084" s="3">
        <v>45217</v>
      </c>
      <c r="E1084" s="2">
        <v>13993</v>
      </c>
    </row>
    <row r="1085" spans="1:5" x14ac:dyDescent="0.3">
      <c r="A1085" t="s">
        <v>20</v>
      </c>
      <c r="B1085" t="s">
        <v>13</v>
      </c>
      <c r="C1085" t="s">
        <v>25</v>
      </c>
      <c r="D1085" s="3">
        <v>45218</v>
      </c>
      <c r="E1085" s="2">
        <v>4190</v>
      </c>
    </row>
    <row r="1086" spans="1:5" x14ac:dyDescent="0.3">
      <c r="A1086" t="s">
        <v>8</v>
      </c>
      <c r="B1086" t="s">
        <v>16</v>
      </c>
      <c r="C1086" t="s">
        <v>25</v>
      </c>
      <c r="D1086" s="3">
        <v>45218</v>
      </c>
      <c r="E1086" s="2">
        <v>6673</v>
      </c>
    </row>
    <row r="1087" spans="1:5" x14ac:dyDescent="0.3">
      <c r="A1087" t="s">
        <v>33</v>
      </c>
      <c r="B1087" t="s">
        <v>21</v>
      </c>
      <c r="C1087" t="s">
        <v>23</v>
      </c>
      <c r="D1087" s="3">
        <v>45219</v>
      </c>
      <c r="E1087" s="2">
        <v>13435</v>
      </c>
    </row>
    <row r="1088" spans="1:5" x14ac:dyDescent="0.3">
      <c r="A1088" t="s">
        <v>30</v>
      </c>
      <c r="B1088" t="s">
        <v>9</v>
      </c>
      <c r="C1088" t="s">
        <v>7</v>
      </c>
      <c r="D1088" s="3">
        <v>45219</v>
      </c>
      <c r="E1088" s="2">
        <v>6310</v>
      </c>
    </row>
    <row r="1089" spans="1:5" x14ac:dyDescent="0.3">
      <c r="A1089" t="s">
        <v>30</v>
      </c>
      <c r="B1089" t="s">
        <v>9</v>
      </c>
      <c r="C1089" t="s">
        <v>28</v>
      </c>
      <c r="D1089" s="3">
        <v>45219</v>
      </c>
      <c r="E1089" s="2">
        <v>2353</v>
      </c>
    </row>
    <row r="1090" spans="1:5" x14ac:dyDescent="0.3">
      <c r="A1090" t="s">
        <v>31</v>
      </c>
      <c r="B1090" t="s">
        <v>11</v>
      </c>
      <c r="C1090" t="s">
        <v>28</v>
      </c>
      <c r="D1090" s="3">
        <v>45219</v>
      </c>
      <c r="E1090" s="2">
        <v>11851</v>
      </c>
    </row>
    <row r="1091" spans="1:5" x14ac:dyDescent="0.3">
      <c r="A1091" t="s">
        <v>24</v>
      </c>
      <c r="B1091" t="s">
        <v>13</v>
      </c>
      <c r="C1091" t="s">
        <v>12</v>
      </c>
      <c r="D1091" s="3">
        <v>45219</v>
      </c>
      <c r="E1091" s="2">
        <v>5789</v>
      </c>
    </row>
    <row r="1092" spans="1:5" x14ac:dyDescent="0.3">
      <c r="A1092" t="s">
        <v>30</v>
      </c>
      <c r="B1092" t="s">
        <v>6</v>
      </c>
      <c r="C1092" t="s">
        <v>14</v>
      </c>
      <c r="D1092" s="3">
        <v>45220</v>
      </c>
      <c r="E1092" s="2">
        <v>13165</v>
      </c>
    </row>
    <row r="1093" spans="1:5" x14ac:dyDescent="0.3">
      <c r="A1093" t="s">
        <v>8</v>
      </c>
      <c r="B1093" t="s">
        <v>9</v>
      </c>
      <c r="C1093" t="s">
        <v>7</v>
      </c>
      <c r="D1093" s="3">
        <v>45220</v>
      </c>
      <c r="E1093" s="2">
        <v>11602</v>
      </c>
    </row>
    <row r="1094" spans="1:5" x14ac:dyDescent="0.3">
      <c r="A1094" t="s">
        <v>5</v>
      </c>
      <c r="B1094" t="s">
        <v>11</v>
      </c>
      <c r="C1094" t="s">
        <v>7</v>
      </c>
      <c r="D1094" s="3">
        <v>45220</v>
      </c>
      <c r="E1094" s="2">
        <v>4836</v>
      </c>
    </row>
    <row r="1095" spans="1:5" x14ac:dyDescent="0.3">
      <c r="A1095" t="s">
        <v>10</v>
      </c>
      <c r="B1095" t="s">
        <v>11</v>
      </c>
      <c r="C1095" t="s">
        <v>28</v>
      </c>
      <c r="D1095" s="3">
        <v>45220</v>
      </c>
      <c r="E1095" s="2">
        <v>2475</v>
      </c>
    </row>
    <row r="1096" spans="1:5" x14ac:dyDescent="0.3">
      <c r="A1096" t="s">
        <v>27</v>
      </c>
      <c r="B1096" t="s">
        <v>6</v>
      </c>
      <c r="C1096" t="s">
        <v>17</v>
      </c>
      <c r="D1096" s="3">
        <v>45221</v>
      </c>
      <c r="E1096" s="2">
        <v>7063</v>
      </c>
    </row>
    <row r="1097" spans="1:5" x14ac:dyDescent="0.3">
      <c r="A1097" t="s">
        <v>31</v>
      </c>
      <c r="B1097" t="s">
        <v>11</v>
      </c>
      <c r="C1097" t="s">
        <v>14</v>
      </c>
      <c r="D1097" s="3">
        <v>45222</v>
      </c>
      <c r="E1097" s="2">
        <v>13705</v>
      </c>
    </row>
    <row r="1098" spans="1:5" x14ac:dyDescent="0.3">
      <c r="A1098" t="s">
        <v>5</v>
      </c>
      <c r="B1098" t="s">
        <v>21</v>
      </c>
      <c r="C1098" t="s">
        <v>7</v>
      </c>
      <c r="D1098" s="3">
        <v>45222</v>
      </c>
      <c r="E1098" s="2">
        <v>1236</v>
      </c>
    </row>
    <row r="1099" spans="1:5" x14ac:dyDescent="0.3">
      <c r="A1099" t="s">
        <v>31</v>
      </c>
      <c r="B1099" t="s">
        <v>6</v>
      </c>
      <c r="C1099" t="s">
        <v>28</v>
      </c>
      <c r="D1099" s="3">
        <v>45222</v>
      </c>
      <c r="E1099" s="2">
        <v>2550</v>
      </c>
    </row>
    <row r="1100" spans="1:5" x14ac:dyDescent="0.3">
      <c r="A1100" t="s">
        <v>15</v>
      </c>
      <c r="B1100" t="s">
        <v>9</v>
      </c>
      <c r="C1100" t="s">
        <v>12</v>
      </c>
      <c r="D1100" s="3">
        <v>45222</v>
      </c>
      <c r="E1100" s="2">
        <v>10973</v>
      </c>
    </row>
    <row r="1101" spans="1:5" x14ac:dyDescent="0.3">
      <c r="A1101" t="s">
        <v>8</v>
      </c>
      <c r="B1101" t="s">
        <v>16</v>
      </c>
      <c r="C1101" t="s">
        <v>12</v>
      </c>
      <c r="D1101" s="3">
        <v>45223</v>
      </c>
      <c r="E1101" s="2">
        <v>4450</v>
      </c>
    </row>
    <row r="1102" spans="1:5" x14ac:dyDescent="0.3">
      <c r="A1102" t="s">
        <v>32</v>
      </c>
      <c r="B1102" t="s">
        <v>21</v>
      </c>
      <c r="C1102" t="s">
        <v>19</v>
      </c>
      <c r="D1102" s="3">
        <v>45224</v>
      </c>
      <c r="E1102" s="2">
        <v>3421</v>
      </c>
    </row>
    <row r="1103" spans="1:5" x14ac:dyDescent="0.3">
      <c r="A1103" t="s">
        <v>27</v>
      </c>
      <c r="B1103" t="s">
        <v>9</v>
      </c>
      <c r="C1103" t="s">
        <v>14</v>
      </c>
      <c r="D1103" s="3">
        <v>45225</v>
      </c>
      <c r="E1103" s="2">
        <v>6311</v>
      </c>
    </row>
    <row r="1104" spans="1:5" x14ac:dyDescent="0.3">
      <c r="A1104" t="s">
        <v>31</v>
      </c>
      <c r="B1104" t="s">
        <v>21</v>
      </c>
      <c r="C1104" t="s">
        <v>23</v>
      </c>
      <c r="D1104" s="3">
        <v>45225</v>
      </c>
      <c r="E1104" s="2">
        <v>3342</v>
      </c>
    </row>
    <row r="1105" spans="1:5" x14ac:dyDescent="0.3">
      <c r="A1105" t="s">
        <v>31</v>
      </c>
      <c r="B1105" t="s">
        <v>6</v>
      </c>
      <c r="C1105" t="s">
        <v>7</v>
      </c>
      <c r="D1105" s="3">
        <v>45225</v>
      </c>
      <c r="E1105" s="2">
        <v>9611</v>
      </c>
    </row>
    <row r="1106" spans="1:5" x14ac:dyDescent="0.3">
      <c r="A1106" t="s">
        <v>22</v>
      </c>
      <c r="B1106" t="s">
        <v>11</v>
      </c>
      <c r="C1106" t="s">
        <v>28</v>
      </c>
      <c r="D1106" s="3">
        <v>45225</v>
      </c>
      <c r="E1106" s="2">
        <v>6775</v>
      </c>
    </row>
    <row r="1107" spans="1:5" x14ac:dyDescent="0.3">
      <c r="A1107" t="s">
        <v>15</v>
      </c>
      <c r="B1107" t="s">
        <v>6</v>
      </c>
      <c r="C1107" t="s">
        <v>17</v>
      </c>
      <c r="D1107" s="3">
        <v>45225</v>
      </c>
      <c r="E1107" s="2">
        <v>2432</v>
      </c>
    </row>
    <row r="1108" spans="1:5" x14ac:dyDescent="0.3">
      <c r="A1108" t="s">
        <v>26</v>
      </c>
      <c r="B1108" t="s">
        <v>11</v>
      </c>
      <c r="C1108" t="s">
        <v>17</v>
      </c>
      <c r="D1108" s="3">
        <v>45225</v>
      </c>
      <c r="E1108" s="2">
        <v>4149</v>
      </c>
    </row>
    <row r="1109" spans="1:5" x14ac:dyDescent="0.3">
      <c r="A1109" t="s">
        <v>31</v>
      </c>
      <c r="B1109" t="s">
        <v>21</v>
      </c>
      <c r="C1109" t="s">
        <v>17</v>
      </c>
      <c r="D1109" s="3">
        <v>45225</v>
      </c>
      <c r="E1109" s="2">
        <v>9661</v>
      </c>
    </row>
    <row r="1110" spans="1:5" x14ac:dyDescent="0.3">
      <c r="A1110" t="s">
        <v>31</v>
      </c>
      <c r="B1110" t="s">
        <v>11</v>
      </c>
      <c r="C1110" t="s">
        <v>17</v>
      </c>
      <c r="D1110" s="3">
        <v>45225</v>
      </c>
      <c r="E1110" s="2">
        <v>3381</v>
      </c>
    </row>
    <row r="1111" spans="1:5" x14ac:dyDescent="0.3">
      <c r="A1111" t="s">
        <v>8</v>
      </c>
      <c r="B1111" t="s">
        <v>9</v>
      </c>
      <c r="C1111" t="s">
        <v>14</v>
      </c>
      <c r="D1111" s="3">
        <v>45226</v>
      </c>
      <c r="E1111" s="2">
        <v>2479</v>
      </c>
    </row>
    <row r="1112" spans="1:5" x14ac:dyDescent="0.3">
      <c r="A1112" t="s">
        <v>32</v>
      </c>
      <c r="B1112" t="s">
        <v>16</v>
      </c>
      <c r="C1112" t="s">
        <v>19</v>
      </c>
      <c r="D1112" s="3">
        <v>45227</v>
      </c>
      <c r="E1112" s="2">
        <v>13494</v>
      </c>
    </row>
    <row r="1113" spans="1:5" x14ac:dyDescent="0.3">
      <c r="A1113" t="s">
        <v>18</v>
      </c>
      <c r="B1113" t="s">
        <v>21</v>
      </c>
      <c r="C1113" t="s">
        <v>28</v>
      </c>
      <c r="D1113" s="3">
        <v>45227</v>
      </c>
      <c r="E1113" s="2">
        <v>13834</v>
      </c>
    </row>
    <row r="1114" spans="1:5" x14ac:dyDescent="0.3">
      <c r="A1114" t="s">
        <v>20</v>
      </c>
      <c r="B1114" t="s">
        <v>21</v>
      </c>
      <c r="C1114" t="s">
        <v>14</v>
      </c>
      <c r="D1114" s="3">
        <v>45228</v>
      </c>
      <c r="E1114" s="2">
        <v>2174</v>
      </c>
    </row>
    <row r="1115" spans="1:5" x14ac:dyDescent="0.3">
      <c r="A1115" t="s">
        <v>22</v>
      </c>
      <c r="B1115" t="s">
        <v>13</v>
      </c>
      <c r="C1115" t="s">
        <v>19</v>
      </c>
      <c r="D1115" s="3">
        <v>45228</v>
      </c>
      <c r="E1115" s="2">
        <v>2204</v>
      </c>
    </row>
    <row r="1116" spans="1:5" x14ac:dyDescent="0.3">
      <c r="A1116" t="s">
        <v>8</v>
      </c>
      <c r="B1116" t="s">
        <v>6</v>
      </c>
      <c r="C1116" t="s">
        <v>23</v>
      </c>
      <c r="D1116" s="3">
        <v>45228</v>
      </c>
      <c r="E1116" s="2">
        <v>12065</v>
      </c>
    </row>
    <row r="1117" spans="1:5" x14ac:dyDescent="0.3">
      <c r="A1117" t="s">
        <v>15</v>
      </c>
      <c r="B1117" t="s">
        <v>16</v>
      </c>
      <c r="C1117" t="s">
        <v>23</v>
      </c>
      <c r="D1117" s="3">
        <v>45228</v>
      </c>
      <c r="E1117" s="2">
        <v>6056</v>
      </c>
    </row>
    <row r="1118" spans="1:5" x14ac:dyDescent="0.3">
      <c r="A1118" t="s">
        <v>20</v>
      </c>
      <c r="B1118" t="s">
        <v>21</v>
      </c>
      <c r="C1118" t="s">
        <v>25</v>
      </c>
      <c r="D1118" s="3">
        <v>45228</v>
      </c>
      <c r="E1118" s="2">
        <v>13815</v>
      </c>
    </row>
    <row r="1119" spans="1:5" x14ac:dyDescent="0.3">
      <c r="A1119" t="s">
        <v>29</v>
      </c>
      <c r="B1119" t="s">
        <v>21</v>
      </c>
      <c r="C1119" t="s">
        <v>17</v>
      </c>
      <c r="D1119" s="3">
        <v>45228</v>
      </c>
      <c r="E1119" s="2">
        <v>8436</v>
      </c>
    </row>
    <row r="1120" spans="1:5" x14ac:dyDescent="0.3">
      <c r="A1120" t="s">
        <v>29</v>
      </c>
      <c r="B1120" t="s">
        <v>21</v>
      </c>
      <c r="C1120" t="s">
        <v>14</v>
      </c>
      <c r="D1120" s="3">
        <v>45229</v>
      </c>
      <c r="E1120" s="2">
        <v>10251</v>
      </c>
    </row>
    <row r="1121" spans="1:5" x14ac:dyDescent="0.3">
      <c r="A1121" t="s">
        <v>5</v>
      </c>
      <c r="B1121" t="s">
        <v>11</v>
      </c>
      <c r="C1121" t="s">
        <v>25</v>
      </c>
      <c r="D1121" s="3">
        <v>45229</v>
      </c>
      <c r="E1121" s="2">
        <v>4657</v>
      </c>
    </row>
    <row r="1122" spans="1:5" x14ac:dyDescent="0.3">
      <c r="A1122" t="s">
        <v>31</v>
      </c>
      <c r="B1122" t="s">
        <v>6</v>
      </c>
      <c r="C1122" t="s">
        <v>25</v>
      </c>
      <c r="D1122" s="3">
        <v>45229</v>
      </c>
      <c r="E1122" s="2">
        <v>2864</v>
      </c>
    </row>
    <row r="1123" spans="1:5" x14ac:dyDescent="0.3">
      <c r="A1123" t="s">
        <v>30</v>
      </c>
      <c r="B1123" t="s">
        <v>11</v>
      </c>
      <c r="C1123" t="s">
        <v>7</v>
      </c>
      <c r="D1123" s="3">
        <v>45229</v>
      </c>
      <c r="E1123" s="2">
        <v>10766</v>
      </c>
    </row>
    <row r="1124" spans="1:5" x14ac:dyDescent="0.3">
      <c r="A1124" t="s">
        <v>15</v>
      </c>
      <c r="B1124" t="s">
        <v>13</v>
      </c>
      <c r="C1124" t="s">
        <v>17</v>
      </c>
      <c r="D1124" s="3">
        <v>45229</v>
      </c>
      <c r="E1124" s="2">
        <v>9069</v>
      </c>
    </row>
    <row r="1125" spans="1:5" x14ac:dyDescent="0.3">
      <c r="A1125" t="s">
        <v>26</v>
      </c>
      <c r="B1125" t="s">
        <v>6</v>
      </c>
      <c r="C1125" t="s">
        <v>23</v>
      </c>
      <c r="D1125" s="3">
        <v>45230</v>
      </c>
      <c r="E1125" s="2">
        <v>13248</v>
      </c>
    </row>
    <row r="1126" spans="1:5" x14ac:dyDescent="0.3">
      <c r="A1126" t="s">
        <v>24</v>
      </c>
      <c r="B1126" t="s">
        <v>11</v>
      </c>
      <c r="C1126" t="s">
        <v>7</v>
      </c>
      <c r="D1126" s="3">
        <v>45230</v>
      </c>
      <c r="E1126" s="2">
        <v>6644</v>
      </c>
    </row>
    <row r="1127" spans="1:5" x14ac:dyDescent="0.3">
      <c r="A1127" t="s">
        <v>8</v>
      </c>
      <c r="B1127" t="s">
        <v>16</v>
      </c>
      <c r="C1127" t="s">
        <v>7</v>
      </c>
      <c r="D1127" s="3">
        <v>45230</v>
      </c>
      <c r="E1127" s="2">
        <v>9467</v>
      </c>
    </row>
    <row r="1128" spans="1:5" x14ac:dyDescent="0.3">
      <c r="A1128" t="s">
        <v>24</v>
      </c>
      <c r="B1128" t="s">
        <v>9</v>
      </c>
      <c r="C1128" t="s">
        <v>12</v>
      </c>
      <c r="D1128" s="3">
        <v>45230</v>
      </c>
      <c r="E1128" s="2">
        <v>9707</v>
      </c>
    </row>
    <row r="1129" spans="1:5" x14ac:dyDescent="0.3">
      <c r="A1129" t="s">
        <v>5</v>
      </c>
      <c r="B1129" t="s">
        <v>6</v>
      </c>
      <c r="C1129" t="s">
        <v>23</v>
      </c>
      <c r="D1129" s="3">
        <v>45232</v>
      </c>
      <c r="E1129" s="2">
        <v>11797</v>
      </c>
    </row>
    <row r="1130" spans="1:5" x14ac:dyDescent="0.3">
      <c r="A1130" t="s">
        <v>32</v>
      </c>
      <c r="B1130" t="s">
        <v>9</v>
      </c>
      <c r="C1130" t="s">
        <v>23</v>
      </c>
      <c r="D1130" s="3">
        <v>45232</v>
      </c>
      <c r="E1130" s="2">
        <v>10783</v>
      </c>
    </row>
    <row r="1131" spans="1:5" x14ac:dyDescent="0.3">
      <c r="A1131" t="s">
        <v>27</v>
      </c>
      <c r="B1131" t="s">
        <v>13</v>
      </c>
      <c r="C1131" t="s">
        <v>17</v>
      </c>
      <c r="D1131" s="3">
        <v>45232</v>
      </c>
      <c r="E1131" s="2">
        <v>9898</v>
      </c>
    </row>
    <row r="1132" spans="1:5" x14ac:dyDescent="0.3">
      <c r="A1132" t="s">
        <v>26</v>
      </c>
      <c r="B1132" t="s">
        <v>6</v>
      </c>
      <c r="C1132" t="s">
        <v>17</v>
      </c>
      <c r="D1132" s="3">
        <v>45232</v>
      </c>
      <c r="E1132" s="2">
        <v>11924</v>
      </c>
    </row>
    <row r="1133" spans="1:5" x14ac:dyDescent="0.3">
      <c r="A1133" t="s">
        <v>32</v>
      </c>
      <c r="B1133" t="s">
        <v>16</v>
      </c>
      <c r="C1133" t="s">
        <v>19</v>
      </c>
      <c r="D1133" s="3">
        <v>45233</v>
      </c>
      <c r="E1133" s="2">
        <v>4910</v>
      </c>
    </row>
    <row r="1134" spans="1:5" x14ac:dyDescent="0.3">
      <c r="A1134" t="s">
        <v>26</v>
      </c>
      <c r="B1134" t="s">
        <v>9</v>
      </c>
      <c r="C1134" t="s">
        <v>25</v>
      </c>
      <c r="D1134" s="3">
        <v>45233</v>
      </c>
      <c r="E1134" s="2">
        <v>3021</v>
      </c>
    </row>
    <row r="1135" spans="1:5" x14ac:dyDescent="0.3">
      <c r="A1135" t="s">
        <v>8</v>
      </c>
      <c r="B1135" t="s">
        <v>9</v>
      </c>
      <c r="C1135" t="s">
        <v>7</v>
      </c>
      <c r="D1135" s="3">
        <v>45233</v>
      </c>
      <c r="E1135" s="2">
        <v>11741</v>
      </c>
    </row>
    <row r="1136" spans="1:5" x14ac:dyDescent="0.3">
      <c r="A1136" t="s">
        <v>20</v>
      </c>
      <c r="B1136" t="s">
        <v>16</v>
      </c>
      <c r="C1136" t="s">
        <v>19</v>
      </c>
      <c r="D1136" s="3">
        <v>45234</v>
      </c>
      <c r="E1136" s="2">
        <v>11678</v>
      </c>
    </row>
    <row r="1137" spans="1:5" x14ac:dyDescent="0.3">
      <c r="A1137" t="s">
        <v>24</v>
      </c>
      <c r="B1137" t="s">
        <v>21</v>
      </c>
      <c r="C1137" t="s">
        <v>23</v>
      </c>
      <c r="D1137" s="3">
        <v>45234</v>
      </c>
      <c r="E1137" s="2">
        <v>5258</v>
      </c>
    </row>
    <row r="1138" spans="1:5" x14ac:dyDescent="0.3">
      <c r="A1138" t="s">
        <v>10</v>
      </c>
      <c r="B1138" t="s">
        <v>9</v>
      </c>
      <c r="C1138" t="s">
        <v>23</v>
      </c>
      <c r="D1138" s="3">
        <v>45234</v>
      </c>
      <c r="E1138" s="2">
        <v>11227</v>
      </c>
    </row>
    <row r="1139" spans="1:5" x14ac:dyDescent="0.3">
      <c r="A1139" t="s">
        <v>10</v>
      </c>
      <c r="B1139" t="s">
        <v>16</v>
      </c>
      <c r="C1139" t="s">
        <v>7</v>
      </c>
      <c r="D1139" s="3">
        <v>45234</v>
      </c>
      <c r="E1139" s="2">
        <v>10938</v>
      </c>
    </row>
    <row r="1140" spans="1:5" x14ac:dyDescent="0.3">
      <c r="A1140" t="s">
        <v>5</v>
      </c>
      <c r="B1140" t="s">
        <v>13</v>
      </c>
      <c r="C1140" t="s">
        <v>7</v>
      </c>
      <c r="D1140" s="3">
        <v>45234</v>
      </c>
      <c r="E1140" s="2">
        <v>4247</v>
      </c>
    </row>
    <row r="1141" spans="1:5" x14ac:dyDescent="0.3">
      <c r="A1141" t="s">
        <v>5</v>
      </c>
      <c r="B1141" t="s">
        <v>9</v>
      </c>
      <c r="C1141" t="s">
        <v>17</v>
      </c>
      <c r="D1141" s="3">
        <v>45234</v>
      </c>
      <c r="E1141" s="2">
        <v>7205</v>
      </c>
    </row>
    <row r="1142" spans="1:5" x14ac:dyDescent="0.3">
      <c r="A1142" t="s">
        <v>27</v>
      </c>
      <c r="B1142" t="s">
        <v>9</v>
      </c>
      <c r="C1142" t="s">
        <v>17</v>
      </c>
      <c r="D1142" s="3">
        <v>45235</v>
      </c>
      <c r="E1142" s="2">
        <v>8001</v>
      </c>
    </row>
    <row r="1143" spans="1:5" x14ac:dyDescent="0.3">
      <c r="A1143" t="s">
        <v>15</v>
      </c>
      <c r="B1143" t="s">
        <v>6</v>
      </c>
      <c r="C1143" t="s">
        <v>14</v>
      </c>
      <c r="D1143" s="3">
        <v>45236</v>
      </c>
      <c r="E1143" s="2">
        <v>6801</v>
      </c>
    </row>
    <row r="1144" spans="1:5" x14ac:dyDescent="0.3">
      <c r="A1144" t="s">
        <v>33</v>
      </c>
      <c r="B1144" t="s">
        <v>6</v>
      </c>
      <c r="C1144" t="s">
        <v>14</v>
      </c>
      <c r="D1144" s="3">
        <v>45236</v>
      </c>
      <c r="E1144" s="2">
        <v>9219</v>
      </c>
    </row>
    <row r="1145" spans="1:5" x14ac:dyDescent="0.3">
      <c r="A1145" t="s">
        <v>32</v>
      </c>
      <c r="B1145" t="s">
        <v>13</v>
      </c>
      <c r="C1145" t="s">
        <v>19</v>
      </c>
      <c r="D1145" s="3">
        <v>45236</v>
      </c>
      <c r="E1145" s="2">
        <v>5045</v>
      </c>
    </row>
    <row r="1146" spans="1:5" x14ac:dyDescent="0.3">
      <c r="A1146" t="s">
        <v>22</v>
      </c>
      <c r="B1146" t="s">
        <v>9</v>
      </c>
      <c r="C1146" t="s">
        <v>23</v>
      </c>
      <c r="D1146" s="3">
        <v>45236</v>
      </c>
      <c r="E1146" s="2">
        <v>3531</v>
      </c>
    </row>
    <row r="1147" spans="1:5" x14ac:dyDescent="0.3">
      <c r="A1147" t="s">
        <v>32</v>
      </c>
      <c r="B1147" t="s">
        <v>11</v>
      </c>
      <c r="C1147" t="s">
        <v>25</v>
      </c>
      <c r="D1147" s="3">
        <v>45236</v>
      </c>
      <c r="E1147" s="2">
        <v>8712</v>
      </c>
    </row>
    <row r="1148" spans="1:5" x14ac:dyDescent="0.3">
      <c r="A1148" t="s">
        <v>20</v>
      </c>
      <c r="B1148" t="s">
        <v>9</v>
      </c>
      <c r="C1148" t="s">
        <v>7</v>
      </c>
      <c r="D1148" s="3">
        <v>45236</v>
      </c>
      <c r="E1148" s="2">
        <v>2196</v>
      </c>
    </row>
    <row r="1149" spans="1:5" x14ac:dyDescent="0.3">
      <c r="A1149" t="s">
        <v>26</v>
      </c>
      <c r="B1149" t="s">
        <v>16</v>
      </c>
      <c r="C1149" t="s">
        <v>17</v>
      </c>
      <c r="D1149" s="3">
        <v>45236</v>
      </c>
      <c r="E1149" s="2">
        <v>7860</v>
      </c>
    </row>
    <row r="1150" spans="1:5" x14ac:dyDescent="0.3">
      <c r="A1150" t="s">
        <v>24</v>
      </c>
      <c r="B1150" t="s">
        <v>9</v>
      </c>
      <c r="C1150" t="s">
        <v>17</v>
      </c>
      <c r="D1150" s="3">
        <v>45236</v>
      </c>
      <c r="E1150" s="2">
        <v>8774</v>
      </c>
    </row>
    <row r="1151" spans="1:5" x14ac:dyDescent="0.3">
      <c r="A1151" t="s">
        <v>5</v>
      </c>
      <c r="B1151" t="s">
        <v>11</v>
      </c>
      <c r="C1151" t="s">
        <v>12</v>
      </c>
      <c r="D1151" s="3">
        <v>45236</v>
      </c>
      <c r="E1151" s="2">
        <v>7154</v>
      </c>
    </row>
    <row r="1152" spans="1:5" x14ac:dyDescent="0.3">
      <c r="A1152" t="s">
        <v>5</v>
      </c>
      <c r="B1152" t="s">
        <v>11</v>
      </c>
      <c r="C1152" t="s">
        <v>14</v>
      </c>
      <c r="D1152" s="3">
        <v>45237</v>
      </c>
      <c r="E1152" s="2">
        <v>11906</v>
      </c>
    </row>
    <row r="1153" spans="1:5" x14ac:dyDescent="0.3">
      <c r="A1153" t="s">
        <v>27</v>
      </c>
      <c r="B1153" t="s">
        <v>11</v>
      </c>
      <c r="C1153" t="s">
        <v>17</v>
      </c>
      <c r="D1153" s="3">
        <v>45237</v>
      </c>
      <c r="E1153" s="2">
        <v>8688</v>
      </c>
    </row>
    <row r="1154" spans="1:5" x14ac:dyDescent="0.3">
      <c r="A1154" t="s">
        <v>15</v>
      </c>
      <c r="B1154" t="s">
        <v>16</v>
      </c>
      <c r="C1154" t="s">
        <v>19</v>
      </c>
      <c r="D1154" s="3">
        <v>45238</v>
      </c>
      <c r="E1154" s="2">
        <v>11990</v>
      </c>
    </row>
    <row r="1155" spans="1:5" x14ac:dyDescent="0.3">
      <c r="A1155" t="s">
        <v>8</v>
      </c>
      <c r="B1155" t="s">
        <v>21</v>
      </c>
      <c r="C1155" t="s">
        <v>19</v>
      </c>
      <c r="D1155" s="3">
        <v>45238</v>
      </c>
      <c r="E1155" s="2">
        <v>12074</v>
      </c>
    </row>
    <row r="1156" spans="1:5" x14ac:dyDescent="0.3">
      <c r="A1156" t="s">
        <v>32</v>
      </c>
      <c r="B1156" t="s">
        <v>11</v>
      </c>
      <c r="C1156" t="s">
        <v>17</v>
      </c>
      <c r="D1156" s="3">
        <v>45238</v>
      </c>
      <c r="E1156" s="2">
        <v>8749</v>
      </c>
    </row>
    <row r="1157" spans="1:5" x14ac:dyDescent="0.3">
      <c r="A1157" t="s">
        <v>30</v>
      </c>
      <c r="B1157" t="s">
        <v>11</v>
      </c>
      <c r="C1157" t="s">
        <v>19</v>
      </c>
      <c r="D1157" s="3">
        <v>45239</v>
      </c>
      <c r="E1157" s="2">
        <v>3296</v>
      </c>
    </row>
    <row r="1158" spans="1:5" x14ac:dyDescent="0.3">
      <c r="A1158" t="s">
        <v>22</v>
      </c>
      <c r="B1158" t="s">
        <v>9</v>
      </c>
      <c r="C1158" t="s">
        <v>23</v>
      </c>
      <c r="D1158" s="3">
        <v>45239</v>
      </c>
      <c r="E1158" s="2">
        <v>12664</v>
      </c>
    </row>
    <row r="1159" spans="1:5" x14ac:dyDescent="0.3">
      <c r="A1159" t="s">
        <v>20</v>
      </c>
      <c r="B1159" t="s">
        <v>6</v>
      </c>
      <c r="C1159" t="s">
        <v>7</v>
      </c>
      <c r="D1159" s="3">
        <v>45239</v>
      </c>
      <c r="E1159" s="2">
        <v>2948</v>
      </c>
    </row>
    <row r="1160" spans="1:5" x14ac:dyDescent="0.3">
      <c r="A1160" t="s">
        <v>15</v>
      </c>
      <c r="B1160" t="s">
        <v>6</v>
      </c>
      <c r="C1160" t="s">
        <v>7</v>
      </c>
      <c r="D1160" s="3">
        <v>45239</v>
      </c>
      <c r="E1160" s="2">
        <v>7360</v>
      </c>
    </row>
    <row r="1161" spans="1:5" x14ac:dyDescent="0.3">
      <c r="A1161" t="s">
        <v>20</v>
      </c>
      <c r="B1161" t="s">
        <v>21</v>
      </c>
      <c r="C1161" t="s">
        <v>17</v>
      </c>
      <c r="D1161" s="3">
        <v>45239</v>
      </c>
      <c r="E1161" s="2">
        <v>12019</v>
      </c>
    </row>
    <row r="1162" spans="1:5" x14ac:dyDescent="0.3">
      <c r="A1162" t="s">
        <v>5</v>
      </c>
      <c r="B1162" t="s">
        <v>9</v>
      </c>
      <c r="C1162" t="s">
        <v>19</v>
      </c>
      <c r="D1162" s="3">
        <v>45240</v>
      </c>
      <c r="E1162" s="2">
        <v>12938</v>
      </c>
    </row>
    <row r="1163" spans="1:5" x14ac:dyDescent="0.3">
      <c r="A1163" t="s">
        <v>20</v>
      </c>
      <c r="B1163" t="s">
        <v>11</v>
      </c>
      <c r="C1163" t="s">
        <v>19</v>
      </c>
      <c r="D1163" s="3">
        <v>45241</v>
      </c>
      <c r="E1163" s="2">
        <v>2536</v>
      </c>
    </row>
    <row r="1164" spans="1:5" x14ac:dyDescent="0.3">
      <c r="A1164" t="s">
        <v>15</v>
      </c>
      <c r="B1164" t="s">
        <v>16</v>
      </c>
      <c r="C1164" t="s">
        <v>25</v>
      </c>
      <c r="D1164" s="3">
        <v>45241</v>
      </c>
      <c r="E1164" s="2">
        <v>12016</v>
      </c>
    </row>
    <row r="1165" spans="1:5" x14ac:dyDescent="0.3">
      <c r="A1165" t="s">
        <v>10</v>
      </c>
      <c r="B1165" t="s">
        <v>11</v>
      </c>
      <c r="C1165" t="s">
        <v>28</v>
      </c>
      <c r="D1165" s="3">
        <v>45241</v>
      </c>
      <c r="E1165" s="2">
        <v>13407</v>
      </c>
    </row>
    <row r="1166" spans="1:5" x14ac:dyDescent="0.3">
      <c r="A1166" t="s">
        <v>22</v>
      </c>
      <c r="B1166" t="s">
        <v>11</v>
      </c>
      <c r="C1166" t="s">
        <v>17</v>
      </c>
      <c r="D1166" s="3">
        <v>45241</v>
      </c>
      <c r="E1166" s="2">
        <v>6840</v>
      </c>
    </row>
    <row r="1167" spans="1:5" x14ac:dyDescent="0.3">
      <c r="A1167" t="s">
        <v>31</v>
      </c>
      <c r="B1167" t="s">
        <v>6</v>
      </c>
      <c r="C1167" t="s">
        <v>17</v>
      </c>
      <c r="D1167" s="3">
        <v>45241</v>
      </c>
      <c r="E1167" s="2">
        <v>7080</v>
      </c>
    </row>
    <row r="1168" spans="1:5" x14ac:dyDescent="0.3">
      <c r="A1168" t="s">
        <v>15</v>
      </c>
      <c r="B1168" t="s">
        <v>9</v>
      </c>
      <c r="C1168" t="s">
        <v>17</v>
      </c>
      <c r="D1168" s="3">
        <v>45241</v>
      </c>
      <c r="E1168" s="2">
        <v>1986</v>
      </c>
    </row>
    <row r="1169" spans="1:5" x14ac:dyDescent="0.3">
      <c r="A1169" t="s">
        <v>5</v>
      </c>
      <c r="B1169" t="s">
        <v>16</v>
      </c>
      <c r="C1169" t="s">
        <v>12</v>
      </c>
      <c r="D1169" s="3">
        <v>45241</v>
      </c>
      <c r="E1169" s="2">
        <v>10115</v>
      </c>
    </row>
    <row r="1170" spans="1:5" x14ac:dyDescent="0.3">
      <c r="A1170" t="s">
        <v>26</v>
      </c>
      <c r="B1170" t="s">
        <v>6</v>
      </c>
      <c r="C1170" t="s">
        <v>12</v>
      </c>
      <c r="D1170" s="3">
        <v>45241</v>
      </c>
      <c r="E1170" s="2">
        <v>1115</v>
      </c>
    </row>
    <row r="1171" spans="1:5" x14ac:dyDescent="0.3">
      <c r="A1171" t="s">
        <v>24</v>
      </c>
      <c r="B1171" t="s">
        <v>9</v>
      </c>
      <c r="C1171" t="s">
        <v>25</v>
      </c>
      <c r="D1171" s="3">
        <v>45242</v>
      </c>
      <c r="E1171" s="2">
        <v>13076</v>
      </c>
    </row>
    <row r="1172" spans="1:5" x14ac:dyDescent="0.3">
      <c r="A1172" t="s">
        <v>5</v>
      </c>
      <c r="B1172" t="s">
        <v>6</v>
      </c>
      <c r="C1172" t="s">
        <v>28</v>
      </c>
      <c r="D1172" s="3">
        <v>45242</v>
      </c>
      <c r="E1172" s="2">
        <v>11444</v>
      </c>
    </row>
    <row r="1173" spans="1:5" x14ac:dyDescent="0.3">
      <c r="A1173" t="s">
        <v>27</v>
      </c>
      <c r="B1173" t="s">
        <v>13</v>
      </c>
      <c r="C1173" t="s">
        <v>28</v>
      </c>
      <c r="D1173" s="3">
        <v>45242</v>
      </c>
      <c r="E1173" s="2">
        <v>13625</v>
      </c>
    </row>
    <row r="1174" spans="1:5" x14ac:dyDescent="0.3">
      <c r="A1174" t="s">
        <v>26</v>
      </c>
      <c r="B1174" t="s">
        <v>16</v>
      </c>
      <c r="C1174" t="s">
        <v>28</v>
      </c>
      <c r="D1174" s="3">
        <v>45242</v>
      </c>
      <c r="E1174" s="2">
        <v>5838</v>
      </c>
    </row>
    <row r="1175" spans="1:5" x14ac:dyDescent="0.3">
      <c r="A1175" t="s">
        <v>32</v>
      </c>
      <c r="B1175" t="s">
        <v>16</v>
      </c>
      <c r="C1175" t="s">
        <v>17</v>
      </c>
      <c r="D1175" s="3">
        <v>45242</v>
      </c>
      <c r="E1175" s="2">
        <v>3861</v>
      </c>
    </row>
    <row r="1176" spans="1:5" x14ac:dyDescent="0.3">
      <c r="A1176" t="s">
        <v>18</v>
      </c>
      <c r="B1176" t="s">
        <v>16</v>
      </c>
      <c r="C1176" t="s">
        <v>14</v>
      </c>
      <c r="D1176" s="3">
        <v>45243</v>
      </c>
      <c r="E1176" s="2">
        <v>9374</v>
      </c>
    </row>
    <row r="1177" spans="1:5" x14ac:dyDescent="0.3">
      <c r="A1177" t="s">
        <v>31</v>
      </c>
      <c r="B1177" t="s">
        <v>13</v>
      </c>
      <c r="C1177" t="s">
        <v>19</v>
      </c>
      <c r="D1177" s="3">
        <v>45243</v>
      </c>
      <c r="E1177" s="2">
        <v>1939</v>
      </c>
    </row>
    <row r="1178" spans="1:5" x14ac:dyDescent="0.3">
      <c r="A1178" t="s">
        <v>18</v>
      </c>
      <c r="B1178" t="s">
        <v>11</v>
      </c>
      <c r="C1178" t="s">
        <v>23</v>
      </c>
      <c r="D1178" s="3">
        <v>45243</v>
      </c>
      <c r="E1178" s="2">
        <v>11489</v>
      </c>
    </row>
    <row r="1179" spans="1:5" x14ac:dyDescent="0.3">
      <c r="A1179" t="s">
        <v>31</v>
      </c>
      <c r="B1179" t="s">
        <v>16</v>
      </c>
      <c r="C1179" t="s">
        <v>28</v>
      </c>
      <c r="D1179" s="3">
        <v>45243</v>
      </c>
      <c r="E1179" s="2">
        <v>9254</v>
      </c>
    </row>
    <row r="1180" spans="1:5" x14ac:dyDescent="0.3">
      <c r="A1180" t="s">
        <v>8</v>
      </c>
      <c r="B1180" t="s">
        <v>16</v>
      </c>
      <c r="C1180" t="s">
        <v>14</v>
      </c>
      <c r="D1180" s="3">
        <v>45244</v>
      </c>
      <c r="E1180" s="2">
        <v>5895</v>
      </c>
    </row>
    <row r="1181" spans="1:5" x14ac:dyDescent="0.3">
      <c r="A1181" t="s">
        <v>5</v>
      </c>
      <c r="B1181" t="s">
        <v>13</v>
      </c>
      <c r="C1181" t="s">
        <v>14</v>
      </c>
      <c r="D1181" s="3">
        <v>45244</v>
      </c>
      <c r="E1181" s="2">
        <v>12491</v>
      </c>
    </row>
    <row r="1182" spans="1:5" x14ac:dyDescent="0.3">
      <c r="A1182" t="s">
        <v>24</v>
      </c>
      <c r="B1182" t="s">
        <v>11</v>
      </c>
      <c r="C1182" t="s">
        <v>19</v>
      </c>
      <c r="D1182" s="3">
        <v>45244</v>
      </c>
      <c r="E1182" s="2">
        <v>1297</v>
      </c>
    </row>
    <row r="1183" spans="1:5" x14ac:dyDescent="0.3">
      <c r="A1183" t="s">
        <v>31</v>
      </c>
      <c r="B1183" t="s">
        <v>9</v>
      </c>
      <c r="C1183" t="s">
        <v>23</v>
      </c>
      <c r="D1183" s="3">
        <v>45244</v>
      </c>
      <c r="E1183" s="2">
        <v>3864</v>
      </c>
    </row>
    <row r="1184" spans="1:5" x14ac:dyDescent="0.3">
      <c r="A1184" t="s">
        <v>26</v>
      </c>
      <c r="B1184" t="s">
        <v>11</v>
      </c>
      <c r="C1184" t="s">
        <v>25</v>
      </c>
      <c r="D1184" s="3">
        <v>45244</v>
      </c>
      <c r="E1184" s="2">
        <v>10956</v>
      </c>
    </row>
    <row r="1185" spans="1:5" x14ac:dyDescent="0.3">
      <c r="A1185" t="s">
        <v>20</v>
      </c>
      <c r="B1185" t="s">
        <v>21</v>
      </c>
      <c r="C1185" t="s">
        <v>14</v>
      </c>
      <c r="D1185" s="3">
        <v>45245</v>
      </c>
      <c r="E1185" s="2">
        <v>5104</v>
      </c>
    </row>
    <row r="1186" spans="1:5" x14ac:dyDescent="0.3">
      <c r="A1186" t="s">
        <v>27</v>
      </c>
      <c r="B1186" t="s">
        <v>6</v>
      </c>
      <c r="C1186" t="s">
        <v>7</v>
      </c>
      <c r="D1186" s="3">
        <v>45245</v>
      </c>
      <c r="E1186" s="2">
        <v>10253</v>
      </c>
    </row>
    <row r="1187" spans="1:5" x14ac:dyDescent="0.3">
      <c r="A1187" t="s">
        <v>20</v>
      </c>
      <c r="B1187" t="s">
        <v>21</v>
      </c>
      <c r="C1187" t="s">
        <v>12</v>
      </c>
      <c r="D1187" s="3">
        <v>45245</v>
      </c>
      <c r="E1187" s="2">
        <v>9375</v>
      </c>
    </row>
    <row r="1188" spans="1:5" x14ac:dyDescent="0.3">
      <c r="A1188" t="s">
        <v>22</v>
      </c>
      <c r="B1188" t="s">
        <v>11</v>
      </c>
      <c r="C1188" t="s">
        <v>23</v>
      </c>
      <c r="D1188" s="3">
        <v>45246</v>
      </c>
      <c r="E1188" s="2">
        <v>9237</v>
      </c>
    </row>
    <row r="1189" spans="1:5" x14ac:dyDescent="0.3">
      <c r="A1189" t="s">
        <v>27</v>
      </c>
      <c r="B1189" t="s">
        <v>6</v>
      </c>
      <c r="C1189" t="s">
        <v>28</v>
      </c>
      <c r="D1189" s="3">
        <v>45246</v>
      </c>
      <c r="E1189" s="2">
        <v>4781</v>
      </c>
    </row>
    <row r="1190" spans="1:5" x14ac:dyDescent="0.3">
      <c r="A1190" t="s">
        <v>30</v>
      </c>
      <c r="B1190" t="s">
        <v>16</v>
      </c>
      <c r="C1190" t="s">
        <v>12</v>
      </c>
      <c r="D1190" s="3">
        <v>45246</v>
      </c>
      <c r="E1190" s="2">
        <v>13052</v>
      </c>
    </row>
    <row r="1191" spans="1:5" x14ac:dyDescent="0.3">
      <c r="A1191" t="s">
        <v>22</v>
      </c>
      <c r="B1191" t="s">
        <v>21</v>
      </c>
      <c r="C1191" t="s">
        <v>19</v>
      </c>
      <c r="D1191" s="3">
        <v>45248</v>
      </c>
      <c r="E1191" s="2">
        <v>11333</v>
      </c>
    </row>
    <row r="1192" spans="1:5" x14ac:dyDescent="0.3">
      <c r="A1192" t="s">
        <v>5</v>
      </c>
      <c r="B1192" t="s">
        <v>11</v>
      </c>
      <c r="C1192" t="s">
        <v>23</v>
      </c>
      <c r="D1192" s="3">
        <v>45248</v>
      </c>
      <c r="E1192" s="2">
        <v>7523</v>
      </c>
    </row>
    <row r="1193" spans="1:5" x14ac:dyDescent="0.3">
      <c r="A1193" t="s">
        <v>20</v>
      </c>
      <c r="B1193" t="s">
        <v>16</v>
      </c>
      <c r="C1193" t="s">
        <v>28</v>
      </c>
      <c r="D1193" s="3">
        <v>45248</v>
      </c>
      <c r="E1193" s="2">
        <v>9160</v>
      </c>
    </row>
    <row r="1194" spans="1:5" x14ac:dyDescent="0.3">
      <c r="A1194" t="s">
        <v>24</v>
      </c>
      <c r="B1194" t="s">
        <v>6</v>
      </c>
      <c r="C1194" t="s">
        <v>12</v>
      </c>
      <c r="D1194" s="3">
        <v>45248</v>
      </c>
      <c r="E1194" s="2">
        <v>7994</v>
      </c>
    </row>
    <row r="1195" spans="1:5" x14ac:dyDescent="0.3">
      <c r="A1195" t="s">
        <v>32</v>
      </c>
      <c r="B1195" t="s">
        <v>13</v>
      </c>
      <c r="C1195" t="s">
        <v>12</v>
      </c>
      <c r="D1195" s="3">
        <v>45248</v>
      </c>
      <c r="E1195" s="2">
        <v>5824</v>
      </c>
    </row>
    <row r="1196" spans="1:5" x14ac:dyDescent="0.3">
      <c r="A1196" t="s">
        <v>30</v>
      </c>
      <c r="B1196" t="s">
        <v>21</v>
      </c>
      <c r="C1196" t="s">
        <v>19</v>
      </c>
      <c r="D1196" s="3">
        <v>45249</v>
      </c>
      <c r="E1196" s="2">
        <v>12677</v>
      </c>
    </row>
    <row r="1197" spans="1:5" x14ac:dyDescent="0.3">
      <c r="A1197" t="s">
        <v>10</v>
      </c>
      <c r="B1197" t="s">
        <v>11</v>
      </c>
      <c r="C1197" t="s">
        <v>17</v>
      </c>
      <c r="D1197" s="3">
        <v>45249</v>
      </c>
      <c r="E1197" s="2">
        <v>8193</v>
      </c>
    </row>
    <row r="1198" spans="1:5" x14ac:dyDescent="0.3">
      <c r="A1198" t="s">
        <v>22</v>
      </c>
      <c r="B1198" t="s">
        <v>13</v>
      </c>
      <c r="C1198" t="s">
        <v>17</v>
      </c>
      <c r="D1198" s="3">
        <v>45249</v>
      </c>
      <c r="E1198" s="2">
        <v>2780</v>
      </c>
    </row>
    <row r="1199" spans="1:5" x14ac:dyDescent="0.3">
      <c r="A1199" t="s">
        <v>22</v>
      </c>
      <c r="B1199" t="s">
        <v>11</v>
      </c>
      <c r="C1199" t="s">
        <v>19</v>
      </c>
      <c r="D1199" s="3">
        <v>45250</v>
      </c>
      <c r="E1199" s="2">
        <v>2557</v>
      </c>
    </row>
    <row r="1200" spans="1:5" x14ac:dyDescent="0.3">
      <c r="A1200" t="s">
        <v>30</v>
      </c>
      <c r="B1200" t="s">
        <v>6</v>
      </c>
      <c r="C1200" t="s">
        <v>7</v>
      </c>
      <c r="D1200" s="3">
        <v>45250</v>
      </c>
      <c r="E1200" s="2">
        <v>1121</v>
      </c>
    </row>
    <row r="1201" spans="1:5" x14ac:dyDescent="0.3">
      <c r="A1201" t="s">
        <v>8</v>
      </c>
      <c r="B1201" t="s">
        <v>11</v>
      </c>
      <c r="C1201" t="s">
        <v>28</v>
      </c>
      <c r="D1201" s="3">
        <v>45250</v>
      </c>
      <c r="E1201" s="2">
        <v>4043</v>
      </c>
    </row>
    <row r="1202" spans="1:5" x14ac:dyDescent="0.3">
      <c r="A1202" t="s">
        <v>27</v>
      </c>
      <c r="B1202" t="s">
        <v>16</v>
      </c>
      <c r="C1202" t="s">
        <v>19</v>
      </c>
      <c r="D1202" s="3">
        <v>45251</v>
      </c>
      <c r="E1202" s="2">
        <v>9254</v>
      </c>
    </row>
    <row r="1203" spans="1:5" x14ac:dyDescent="0.3">
      <c r="A1203" t="s">
        <v>30</v>
      </c>
      <c r="B1203" t="s">
        <v>13</v>
      </c>
      <c r="C1203" t="s">
        <v>12</v>
      </c>
      <c r="D1203" s="3">
        <v>45251</v>
      </c>
      <c r="E1203" s="2">
        <v>4687</v>
      </c>
    </row>
    <row r="1204" spans="1:5" x14ac:dyDescent="0.3">
      <c r="A1204" t="s">
        <v>27</v>
      </c>
      <c r="B1204" t="s">
        <v>9</v>
      </c>
      <c r="C1204" t="s">
        <v>14</v>
      </c>
      <c r="D1204" s="3">
        <v>45252</v>
      </c>
      <c r="E1204" s="2">
        <v>13654</v>
      </c>
    </row>
    <row r="1205" spans="1:5" x14ac:dyDescent="0.3">
      <c r="A1205" t="s">
        <v>10</v>
      </c>
      <c r="B1205" t="s">
        <v>11</v>
      </c>
      <c r="C1205" t="s">
        <v>23</v>
      </c>
      <c r="D1205" s="3">
        <v>45252</v>
      </c>
      <c r="E1205" s="2">
        <v>9733</v>
      </c>
    </row>
    <row r="1206" spans="1:5" x14ac:dyDescent="0.3">
      <c r="A1206" t="s">
        <v>27</v>
      </c>
      <c r="B1206" t="s">
        <v>13</v>
      </c>
      <c r="C1206" t="s">
        <v>12</v>
      </c>
      <c r="D1206" s="3">
        <v>45252</v>
      </c>
      <c r="E1206" s="2">
        <v>1280</v>
      </c>
    </row>
    <row r="1207" spans="1:5" x14ac:dyDescent="0.3">
      <c r="A1207" t="s">
        <v>27</v>
      </c>
      <c r="B1207" t="s">
        <v>16</v>
      </c>
      <c r="C1207" t="s">
        <v>14</v>
      </c>
      <c r="D1207" s="3">
        <v>45253</v>
      </c>
      <c r="E1207" s="2">
        <v>8242</v>
      </c>
    </row>
    <row r="1208" spans="1:5" x14ac:dyDescent="0.3">
      <c r="A1208" t="s">
        <v>27</v>
      </c>
      <c r="B1208" t="s">
        <v>6</v>
      </c>
      <c r="C1208" t="s">
        <v>19</v>
      </c>
      <c r="D1208" s="3">
        <v>45253</v>
      </c>
      <c r="E1208" s="2">
        <v>12693</v>
      </c>
    </row>
    <row r="1209" spans="1:5" x14ac:dyDescent="0.3">
      <c r="A1209" t="s">
        <v>29</v>
      </c>
      <c r="B1209" t="s">
        <v>9</v>
      </c>
      <c r="C1209" t="s">
        <v>28</v>
      </c>
      <c r="D1209" s="3">
        <v>45253</v>
      </c>
      <c r="E1209" s="2">
        <v>8537</v>
      </c>
    </row>
    <row r="1210" spans="1:5" x14ac:dyDescent="0.3">
      <c r="A1210" t="s">
        <v>29</v>
      </c>
      <c r="B1210" t="s">
        <v>16</v>
      </c>
      <c r="C1210" t="s">
        <v>17</v>
      </c>
      <c r="D1210" s="3">
        <v>45253</v>
      </c>
      <c r="E1210" s="2">
        <v>10516</v>
      </c>
    </row>
    <row r="1211" spans="1:5" x14ac:dyDescent="0.3">
      <c r="A1211" t="s">
        <v>15</v>
      </c>
      <c r="B1211" t="s">
        <v>6</v>
      </c>
      <c r="C1211" t="s">
        <v>12</v>
      </c>
      <c r="D1211" s="3">
        <v>45253</v>
      </c>
      <c r="E1211" s="2">
        <v>9232</v>
      </c>
    </row>
    <row r="1212" spans="1:5" x14ac:dyDescent="0.3">
      <c r="A1212" t="s">
        <v>30</v>
      </c>
      <c r="B1212" t="s">
        <v>6</v>
      </c>
      <c r="C1212" t="s">
        <v>12</v>
      </c>
      <c r="D1212" s="3">
        <v>45253</v>
      </c>
      <c r="E1212" s="2">
        <v>10390</v>
      </c>
    </row>
    <row r="1213" spans="1:5" x14ac:dyDescent="0.3">
      <c r="A1213" t="s">
        <v>24</v>
      </c>
      <c r="B1213" t="s">
        <v>13</v>
      </c>
      <c r="C1213" t="s">
        <v>23</v>
      </c>
      <c r="D1213" s="3">
        <v>45254</v>
      </c>
      <c r="E1213" s="2">
        <v>11210</v>
      </c>
    </row>
    <row r="1214" spans="1:5" x14ac:dyDescent="0.3">
      <c r="A1214" t="s">
        <v>24</v>
      </c>
      <c r="B1214" t="s">
        <v>13</v>
      </c>
      <c r="C1214" t="s">
        <v>17</v>
      </c>
      <c r="D1214" s="3">
        <v>45254</v>
      </c>
      <c r="E1214" s="2">
        <v>3197</v>
      </c>
    </row>
    <row r="1215" spans="1:5" x14ac:dyDescent="0.3">
      <c r="A1215" t="s">
        <v>27</v>
      </c>
      <c r="B1215" t="s">
        <v>13</v>
      </c>
      <c r="C1215" t="s">
        <v>12</v>
      </c>
      <c r="D1215" s="3">
        <v>45254</v>
      </c>
      <c r="E1215" s="2">
        <v>8893</v>
      </c>
    </row>
    <row r="1216" spans="1:5" x14ac:dyDescent="0.3">
      <c r="A1216" t="s">
        <v>5</v>
      </c>
      <c r="B1216" t="s">
        <v>16</v>
      </c>
      <c r="C1216" t="s">
        <v>12</v>
      </c>
      <c r="D1216" s="3">
        <v>45254</v>
      </c>
      <c r="E1216" s="2">
        <v>10909</v>
      </c>
    </row>
    <row r="1217" spans="1:5" x14ac:dyDescent="0.3">
      <c r="A1217" t="s">
        <v>5</v>
      </c>
      <c r="B1217" t="s">
        <v>21</v>
      </c>
      <c r="C1217" t="s">
        <v>14</v>
      </c>
      <c r="D1217" s="3">
        <v>45255</v>
      </c>
      <c r="E1217" s="2">
        <v>6656</v>
      </c>
    </row>
    <row r="1218" spans="1:5" x14ac:dyDescent="0.3">
      <c r="A1218" t="s">
        <v>20</v>
      </c>
      <c r="B1218" t="s">
        <v>6</v>
      </c>
      <c r="C1218" t="s">
        <v>23</v>
      </c>
      <c r="D1218" s="3">
        <v>45255</v>
      </c>
      <c r="E1218" s="2">
        <v>11098</v>
      </c>
    </row>
    <row r="1219" spans="1:5" x14ac:dyDescent="0.3">
      <c r="A1219" t="s">
        <v>15</v>
      </c>
      <c r="B1219" t="s">
        <v>6</v>
      </c>
      <c r="C1219" t="s">
        <v>23</v>
      </c>
      <c r="D1219" s="3">
        <v>45255</v>
      </c>
      <c r="E1219" s="2">
        <v>13078</v>
      </c>
    </row>
    <row r="1220" spans="1:5" x14ac:dyDescent="0.3">
      <c r="A1220" t="s">
        <v>24</v>
      </c>
      <c r="B1220" t="s">
        <v>11</v>
      </c>
      <c r="C1220" t="s">
        <v>28</v>
      </c>
      <c r="D1220" s="3">
        <v>45255</v>
      </c>
      <c r="E1220" s="2">
        <v>13259</v>
      </c>
    </row>
    <row r="1221" spans="1:5" x14ac:dyDescent="0.3">
      <c r="A1221" t="s">
        <v>26</v>
      </c>
      <c r="B1221" t="s">
        <v>9</v>
      </c>
      <c r="C1221" t="s">
        <v>17</v>
      </c>
      <c r="D1221" s="3">
        <v>45255</v>
      </c>
      <c r="E1221" s="2">
        <v>9952</v>
      </c>
    </row>
    <row r="1222" spans="1:5" x14ac:dyDescent="0.3">
      <c r="A1222" t="s">
        <v>10</v>
      </c>
      <c r="B1222" t="s">
        <v>9</v>
      </c>
      <c r="C1222" t="s">
        <v>23</v>
      </c>
      <c r="D1222" s="3">
        <v>45256</v>
      </c>
      <c r="E1222" s="2">
        <v>5445</v>
      </c>
    </row>
    <row r="1223" spans="1:5" x14ac:dyDescent="0.3">
      <c r="A1223" t="s">
        <v>20</v>
      </c>
      <c r="B1223" t="s">
        <v>6</v>
      </c>
      <c r="C1223" t="s">
        <v>23</v>
      </c>
      <c r="D1223" s="3">
        <v>45256</v>
      </c>
      <c r="E1223" s="2">
        <v>5321</v>
      </c>
    </row>
    <row r="1224" spans="1:5" x14ac:dyDescent="0.3">
      <c r="A1224" t="s">
        <v>31</v>
      </c>
      <c r="B1224" t="s">
        <v>9</v>
      </c>
      <c r="C1224" t="s">
        <v>28</v>
      </c>
      <c r="D1224" s="3">
        <v>45256</v>
      </c>
      <c r="E1224" s="2">
        <v>13630</v>
      </c>
    </row>
    <row r="1225" spans="1:5" x14ac:dyDescent="0.3">
      <c r="A1225" t="s">
        <v>8</v>
      </c>
      <c r="B1225" t="s">
        <v>21</v>
      </c>
      <c r="C1225" t="s">
        <v>14</v>
      </c>
      <c r="D1225" s="3">
        <v>45257</v>
      </c>
      <c r="E1225" s="2">
        <v>5265</v>
      </c>
    </row>
    <row r="1226" spans="1:5" x14ac:dyDescent="0.3">
      <c r="A1226" t="s">
        <v>26</v>
      </c>
      <c r="B1226" t="s">
        <v>11</v>
      </c>
      <c r="C1226" t="s">
        <v>23</v>
      </c>
      <c r="D1226" s="3">
        <v>45257</v>
      </c>
      <c r="E1226" s="2">
        <v>8773</v>
      </c>
    </row>
    <row r="1227" spans="1:5" x14ac:dyDescent="0.3">
      <c r="A1227" t="s">
        <v>10</v>
      </c>
      <c r="B1227" t="s">
        <v>16</v>
      </c>
      <c r="C1227" t="s">
        <v>23</v>
      </c>
      <c r="D1227" s="3">
        <v>45257</v>
      </c>
      <c r="E1227" s="2">
        <v>9724</v>
      </c>
    </row>
    <row r="1228" spans="1:5" x14ac:dyDescent="0.3">
      <c r="A1228" t="s">
        <v>20</v>
      </c>
      <c r="B1228" t="s">
        <v>6</v>
      </c>
      <c r="C1228" t="s">
        <v>17</v>
      </c>
      <c r="D1228" s="3">
        <v>45257</v>
      </c>
      <c r="E1228" s="2">
        <v>12587</v>
      </c>
    </row>
    <row r="1229" spans="1:5" x14ac:dyDescent="0.3">
      <c r="A1229" t="s">
        <v>8</v>
      </c>
      <c r="B1229" t="s">
        <v>6</v>
      </c>
      <c r="C1229" t="s">
        <v>17</v>
      </c>
      <c r="D1229" s="3">
        <v>45257</v>
      </c>
      <c r="E1229" s="2">
        <v>9023</v>
      </c>
    </row>
    <row r="1230" spans="1:5" x14ac:dyDescent="0.3">
      <c r="A1230" t="s">
        <v>32</v>
      </c>
      <c r="B1230" t="s">
        <v>21</v>
      </c>
      <c r="C1230" t="s">
        <v>17</v>
      </c>
      <c r="D1230" s="3">
        <v>45257</v>
      </c>
      <c r="E1230" s="2">
        <v>8453</v>
      </c>
    </row>
    <row r="1231" spans="1:5" x14ac:dyDescent="0.3">
      <c r="A1231" t="s">
        <v>31</v>
      </c>
      <c r="B1231" t="s">
        <v>13</v>
      </c>
      <c r="C1231" t="s">
        <v>12</v>
      </c>
      <c r="D1231" s="3">
        <v>45257</v>
      </c>
      <c r="E1231" s="2">
        <v>4813</v>
      </c>
    </row>
    <row r="1232" spans="1:5" x14ac:dyDescent="0.3">
      <c r="A1232" t="s">
        <v>10</v>
      </c>
      <c r="B1232" t="s">
        <v>6</v>
      </c>
      <c r="C1232" t="s">
        <v>19</v>
      </c>
      <c r="D1232" s="3">
        <v>45258</v>
      </c>
      <c r="E1232" s="2">
        <v>13958</v>
      </c>
    </row>
    <row r="1233" spans="1:5" x14ac:dyDescent="0.3">
      <c r="A1233" t="s">
        <v>33</v>
      </c>
      <c r="B1233" t="s">
        <v>21</v>
      </c>
      <c r="C1233" t="s">
        <v>23</v>
      </c>
      <c r="D1233" s="3">
        <v>45258</v>
      </c>
      <c r="E1233" s="2">
        <v>12277</v>
      </c>
    </row>
    <row r="1234" spans="1:5" x14ac:dyDescent="0.3">
      <c r="A1234" t="s">
        <v>10</v>
      </c>
      <c r="B1234" t="s">
        <v>16</v>
      </c>
      <c r="C1234" t="s">
        <v>19</v>
      </c>
      <c r="D1234" s="3">
        <v>45259</v>
      </c>
      <c r="E1234" s="2">
        <v>6101</v>
      </c>
    </row>
    <row r="1235" spans="1:5" x14ac:dyDescent="0.3">
      <c r="A1235" t="s">
        <v>31</v>
      </c>
      <c r="B1235" t="s">
        <v>11</v>
      </c>
      <c r="C1235" t="s">
        <v>12</v>
      </c>
      <c r="D1235" s="3">
        <v>45259</v>
      </c>
      <c r="E1235" s="2">
        <v>1111</v>
      </c>
    </row>
    <row r="1236" spans="1:5" x14ac:dyDescent="0.3">
      <c r="A1236" t="s">
        <v>5</v>
      </c>
      <c r="B1236" t="s">
        <v>21</v>
      </c>
      <c r="C1236" t="s">
        <v>14</v>
      </c>
      <c r="D1236" s="3">
        <v>45260</v>
      </c>
      <c r="E1236" s="2">
        <v>13451</v>
      </c>
    </row>
    <row r="1237" spans="1:5" x14ac:dyDescent="0.3">
      <c r="A1237" t="s">
        <v>30</v>
      </c>
      <c r="B1237" t="s">
        <v>13</v>
      </c>
      <c r="C1237" t="s">
        <v>14</v>
      </c>
      <c r="D1237" s="3">
        <v>45260</v>
      </c>
      <c r="E1237" s="2">
        <v>8480</v>
      </c>
    </row>
    <row r="1238" spans="1:5" x14ac:dyDescent="0.3">
      <c r="A1238" t="s">
        <v>15</v>
      </c>
      <c r="B1238" t="s">
        <v>9</v>
      </c>
      <c r="C1238" t="s">
        <v>28</v>
      </c>
      <c r="D1238" s="3">
        <v>45260</v>
      </c>
      <c r="E1238" s="2">
        <v>10057</v>
      </c>
    </row>
    <row r="1239" spans="1:5" x14ac:dyDescent="0.3">
      <c r="A1239" t="s">
        <v>29</v>
      </c>
      <c r="B1239" t="s">
        <v>11</v>
      </c>
      <c r="C1239" t="s">
        <v>28</v>
      </c>
      <c r="D1239" s="3">
        <v>45260</v>
      </c>
      <c r="E1239" s="2">
        <v>9605</v>
      </c>
    </row>
    <row r="1240" spans="1:5" x14ac:dyDescent="0.3">
      <c r="A1240" t="s">
        <v>26</v>
      </c>
      <c r="B1240" t="s">
        <v>21</v>
      </c>
      <c r="C1240" t="s">
        <v>17</v>
      </c>
      <c r="D1240" s="3">
        <v>45260</v>
      </c>
      <c r="E1240" s="2">
        <v>3012</v>
      </c>
    </row>
    <row r="1241" spans="1:5" x14ac:dyDescent="0.3">
      <c r="A1241" t="s">
        <v>33</v>
      </c>
      <c r="B1241" t="s">
        <v>13</v>
      </c>
      <c r="C1241" t="s">
        <v>7</v>
      </c>
      <c r="D1241" s="3">
        <v>45261</v>
      </c>
      <c r="E1241" s="2">
        <v>4491</v>
      </c>
    </row>
    <row r="1242" spans="1:5" x14ac:dyDescent="0.3">
      <c r="A1242" t="s">
        <v>5</v>
      </c>
      <c r="B1242" t="s">
        <v>13</v>
      </c>
      <c r="C1242" t="s">
        <v>17</v>
      </c>
      <c r="D1242" s="3">
        <v>45261</v>
      </c>
      <c r="E1242" s="2">
        <v>13852</v>
      </c>
    </row>
    <row r="1243" spans="1:5" x14ac:dyDescent="0.3">
      <c r="A1243" t="s">
        <v>27</v>
      </c>
      <c r="B1243" t="s">
        <v>6</v>
      </c>
      <c r="C1243" t="s">
        <v>14</v>
      </c>
      <c r="D1243" s="3">
        <v>45262</v>
      </c>
      <c r="E1243" s="2">
        <v>13421</v>
      </c>
    </row>
    <row r="1244" spans="1:5" x14ac:dyDescent="0.3">
      <c r="A1244" t="s">
        <v>8</v>
      </c>
      <c r="B1244" t="s">
        <v>21</v>
      </c>
      <c r="C1244" t="s">
        <v>19</v>
      </c>
      <c r="D1244" s="3">
        <v>45262</v>
      </c>
      <c r="E1244" s="2">
        <v>8912</v>
      </c>
    </row>
    <row r="1245" spans="1:5" x14ac:dyDescent="0.3">
      <c r="A1245" t="s">
        <v>20</v>
      </c>
      <c r="B1245" t="s">
        <v>21</v>
      </c>
      <c r="C1245" t="s">
        <v>23</v>
      </c>
      <c r="D1245" s="3">
        <v>45262</v>
      </c>
      <c r="E1245" s="2">
        <v>5599</v>
      </c>
    </row>
    <row r="1246" spans="1:5" x14ac:dyDescent="0.3">
      <c r="A1246" t="s">
        <v>15</v>
      </c>
      <c r="B1246" t="s">
        <v>16</v>
      </c>
      <c r="C1246" t="s">
        <v>23</v>
      </c>
      <c r="D1246" s="3">
        <v>45262</v>
      </c>
      <c r="E1246" s="2">
        <v>11089</v>
      </c>
    </row>
    <row r="1247" spans="1:5" x14ac:dyDescent="0.3">
      <c r="A1247" t="s">
        <v>29</v>
      </c>
      <c r="B1247" t="s">
        <v>21</v>
      </c>
      <c r="C1247" t="s">
        <v>23</v>
      </c>
      <c r="D1247" s="3">
        <v>45262</v>
      </c>
      <c r="E1247" s="2">
        <v>7132</v>
      </c>
    </row>
    <row r="1248" spans="1:5" x14ac:dyDescent="0.3">
      <c r="A1248" t="s">
        <v>18</v>
      </c>
      <c r="B1248" t="s">
        <v>6</v>
      </c>
      <c r="C1248" t="s">
        <v>17</v>
      </c>
      <c r="D1248" s="3">
        <v>45262</v>
      </c>
      <c r="E1248" s="2">
        <v>2270</v>
      </c>
    </row>
    <row r="1249" spans="1:5" x14ac:dyDescent="0.3">
      <c r="A1249" t="s">
        <v>15</v>
      </c>
      <c r="B1249" t="s">
        <v>11</v>
      </c>
      <c r="C1249" t="s">
        <v>12</v>
      </c>
      <c r="D1249" s="3">
        <v>45262</v>
      </c>
      <c r="E1249" s="2">
        <v>11096</v>
      </c>
    </row>
    <row r="1250" spans="1:5" x14ac:dyDescent="0.3">
      <c r="A1250" t="s">
        <v>26</v>
      </c>
      <c r="B1250" t="s">
        <v>21</v>
      </c>
      <c r="C1250" t="s">
        <v>19</v>
      </c>
      <c r="D1250" s="3">
        <v>45263</v>
      </c>
      <c r="E1250" s="2">
        <v>2340</v>
      </c>
    </row>
    <row r="1251" spans="1:5" x14ac:dyDescent="0.3">
      <c r="A1251" t="s">
        <v>8</v>
      </c>
      <c r="B1251" t="s">
        <v>11</v>
      </c>
      <c r="C1251" t="s">
        <v>19</v>
      </c>
      <c r="D1251" s="3">
        <v>45263</v>
      </c>
      <c r="E1251" s="2">
        <v>7115</v>
      </c>
    </row>
    <row r="1252" spans="1:5" x14ac:dyDescent="0.3">
      <c r="A1252" t="s">
        <v>29</v>
      </c>
      <c r="B1252" t="s">
        <v>6</v>
      </c>
      <c r="C1252" t="s">
        <v>19</v>
      </c>
      <c r="D1252" s="3">
        <v>45263</v>
      </c>
      <c r="E1252" s="2">
        <v>11623</v>
      </c>
    </row>
    <row r="1253" spans="1:5" x14ac:dyDescent="0.3">
      <c r="A1253" t="s">
        <v>33</v>
      </c>
      <c r="B1253" t="s">
        <v>13</v>
      </c>
      <c r="C1253" t="s">
        <v>7</v>
      </c>
      <c r="D1253" s="3">
        <v>45263</v>
      </c>
      <c r="E1253" s="2">
        <v>1728</v>
      </c>
    </row>
    <row r="1254" spans="1:5" x14ac:dyDescent="0.3">
      <c r="A1254" t="s">
        <v>15</v>
      </c>
      <c r="B1254" t="s">
        <v>9</v>
      </c>
      <c r="C1254" t="s">
        <v>28</v>
      </c>
      <c r="D1254" s="3">
        <v>45263</v>
      </c>
      <c r="E1254" s="2">
        <v>4568</v>
      </c>
    </row>
    <row r="1255" spans="1:5" x14ac:dyDescent="0.3">
      <c r="A1255" t="s">
        <v>32</v>
      </c>
      <c r="B1255" t="s">
        <v>13</v>
      </c>
      <c r="C1255" t="s">
        <v>23</v>
      </c>
      <c r="D1255" s="3">
        <v>45264</v>
      </c>
      <c r="E1255" s="2">
        <v>6483</v>
      </c>
    </row>
    <row r="1256" spans="1:5" x14ac:dyDescent="0.3">
      <c r="A1256" t="s">
        <v>22</v>
      </c>
      <c r="B1256" t="s">
        <v>13</v>
      </c>
      <c r="C1256" t="s">
        <v>23</v>
      </c>
      <c r="D1256" s="3">
        <v>45264</v>
      </c>
      <c r="E1256" s="2">
        <v>9293</v>
      </c>
    </row>
    <row r="1257" spans="1:5" x14ac:dyDescent="0.3">
      <c r="A1257" t="s">
        <v>32</v>
      </c>
      <c r="B1257" t="s">
        <v>11</v>
      </c>
      <c r="C1257" t="s">
        <v>7</v>
      </c>
      <c r="D1257" s="3">
        <v>45264</v>
      </c>
      <c r="E1257" s="2">
        <v>10430</v>
      </c>
    </row>
    <row r="1258" spans="1:5" x14ac:dyDescent="0.3">
      <c r="A1258" t="s">
        <v>31</v>
      </c>
      <c r="B1258" t="s">
        <v>16</v>
      </c>
      <c r="C1258" t="s">
        <v>28</v>
      </c>
      <c r="D1258" s="3">
        <v>45264</v>
      </c>
      <c r="E1258" s="2">
        <v>1775</v>
      </c>
    </row>
    <row r="1259" spans="1:5" x14ac:dyDescent="0.3">
      <c r="A1259" t="s">
        <v>15</v>
      </c>
      <c r="B1259" t="s">
        <v>6</v>
      </c>
      <c r="C1259" t="s">
        <v>28</v>
      </c>
      <c r="D1259" s="3">
        <v>45264</v>
      </c>
      <c r="E1259" s="2">
        <v>10830</v>
      </c>
    </row>
    <row r="1260" spans="1:5" x14ac:dyDescent="0.3">
      <c r="A1260" t="s">
        <v>31</v>
      </c>
      <c r="B1260" t="s">
        <v>21</v>
      </c>
      <c r="C1260" t="s">
        <v>17</v>
      </c>
      <c r="D1260" s="3">
        <v>45264</v>
      </c>
      <c r="E1260" s="2">
        <v>6906</v>
      </c>
    </row>
    <row r="1261" spans="1:5" x14ac:dyDescent="0.3">
      <c r="A1261" t="s">
        <v>10</v>
      </c>
      <c r="B1261" t="s">
        <v>9</v>
      </c>
      <c r="C1261" t="s">
        <v>14</v>
      </c>
      <c r="D1261" s="3">
        <v>45265</v>
      </c>
      <c r="E1261" s="2">
        <v>11743</v>
      </c>
    </row>
    <row r="1262" spans="1:5" x14ac:dyDescent="0.3">
      <c r="A1262" t="s">
        <v>20</v>
      </c>
      <c r="B1262" t="s">
        <v>13</v>
      </c>
      <c r="C1262" t="s">
        <v>7</v>
      </c>
      <c r="D1262" s="3">
        <v>45265</v>
      </c>
      <c r="E1262" s="2">
        <v>2241</v>
      </c>
    </row>
    <row r="1263" spans="1:5" x14ac:dyDescent="0.3">
      <c r="A1263" t="s">
        <v>29</v>
      </c>
      <c r="B1263" t="s">
        <v>21</v>
      </c>
      <c r="C1263" t="s">
        <v>28</v>
      </c>
      <c r="D1263" s="3">
        <v>45265</v>
      </c>
      <c r="E1263" s="2">
        <v>4921</v>
      </c>
    </row>
    <row r="1264" spans="1:5" x14ac:dyDescent="0.3">
      <c r="A1264" t="s">
        <v>31</v>
      </c>
      <c r="B1264" t="s">
        <v>11</v>
      </c>
      <c r="C1264" t="s">
        <v>23</v>
      </c>
      <c r="D1264" s="3">
        <v>45266</v>
      </c>
      <c r="E1264" s="2">
        <v>10396</v>
      </c>
    </row>
    <row r="1265" spans="1:5" x14ac:dyDescent="0.3">
      <c r="A1265" t="s">
        <v>8</v>
      </c>
      <c r="B1265" t="s">
        <v>21</v>
      </c>
      <c r="C1265" t="s">
        <v>25</v>
      </c>
      <c r="D1265" s="3">
        <v>45266</v>
      </c>
      <c r="E1265" s="2">
        <v>12276</v>
      </c>
    </row>
    <row r="1266" spans="1:5" x14ac:dyDescent="0.3">
      <c r="A1266" t="s">
        <v>26</v>
      </c>
      <c r="B1266" t="s">
        <v>9</v>
      </c>
      <c r="C1266" t="s">
        <v>7</v>
      </c>
      <c r="D1266" s="3">
        <v>45266</v>
      </c>
      <c r="E1266" s="2">
        <v>1826</v>
      </c>
    </row>
    <row r="1267" spans="1:5" x14ac:dyDescent="0.3">
      <c r="A1267" t="s">
        <v>15</v>
      </c>
      <c r="B1267" t="s">
        <v>6</v>
      </c>
      <c r="C1267" t="s">
        <v>28</v>
      </c>
      <c r="D1267" s="3">
        <v>45266</v>
      </c>
      <c r="E1267" s="2">
        <v>4350</v>
      </c>
    </row>
    <row r="1268" spans="1:5" x14ac:dyDescent="0.3">
      <c r="A1268" t="s">
        <v>27</v>
      </c>
      <c r="B1268" t="s">
        <v>11</v>
      </c>
      <c r="C1268" t="s">
        <v>17</v>
      </c>
      <c r="D1268" s="3">
        <v>45266</v>
      </c>
      <c r="E1268" s="2">
        <v>12639</v>
      </c>
    </row>
    <row r="1269" spans="1:5" x14ac:dyDescent="0.3">
      <c r="A1269" t="s">
        <v>27</v>
      </c>
      <c r="B1269" t="s">
        <v>6</v>
      </c>
      <c r="C1269" t="s">
        <v>19</v>
      </c>
      <c r="D1269" s="3">
        <v>45267</v>
      </c>
      <c r="E1269" s="2">
        <v>11131</v>
      </c>
    </row>
    <row r="1270" spans="1:5" x14ac:dyDescent="0.3">
      <c r="A1270" t="s">
        <v>33</v>
      </c>
      <c r="B1270" t="s">
        <v>21</v>
      </c>
      <c r="C1270" t="s">
        <v>23</v>
      </c>
      <c r="D1270" s="3">
        <v>45267</v>
      </c>
      <c r="E1270" s="2">
        <v>11008</v>
      </c>
    </row>
    <row r="1271" spans="1:5" x14ac:dyDescent="0.3">
      <c r="A1271" t="s">
        <v>24</v>
      </c>
      <c r="B1271" t="s">
        <v>21</v>
      </c>
      <c r="C1271" t="s">
        <v>23</v>
      </c>
      <c r="D1271" s="3">
        <v>45267</v>
      </c>
      <c r="E1271" s="2">
        <v>6089</v>
      </c>
    </row>
    <row r="1272" spans="1:5" x14ac:dyDescent="0.3">
      <c r="A1272" t="s">
        <v>26</v>
      </c>
      <c r="B1272" t="s">
        <v>11</v>
      </c>
      <c r="C1272" t="s">
        <v>12</v>
      </c>
      <c r="D1272" s="3">
        <v>45267</v>
      </c>
      <c r="E1272" s="2">
        <v>2743</v>
      </c>
    </row>
    <row r="1273" spans="1:5" x14ac:dyDescent="0.3">
      <c r="A1273" t="s">
        <v>30</v>
      </c>
      <c r="B1273" t="s">
        <v>16</v>
      </c>
      <c r="C1273" t="s">
        <v>12</v>
      </c>
      <c r="D1273" s="3">
        <v>45267</v>
      </c>
      <c r="E1273" s="2">
        <v>2370</v>
      </c>
    </row>
    <row r="1274" spans="1:5" x14ac:dyDescent="0.3">
      <c r="A1274" t="s">
        <v>30</v>
      </c>
      <c r="B1274" t="s">
        <v>13</v>
      </c>
      <c r="C1274" t="s">
        <v>19</v>
      </c>
      <c r="D1274" s="3">
        <v>45268</v>
      </c>
      <c r="E1274" s="2">
        <v>2601</v>
      </c>
    </row>
    <row r="1275" spans="1:5" x14ac:dyDescent="0.3">
      <c r="A1275" t="s">
        <v>33</v>
      </c>
      <c r="B1275" t="s">
        <v>21</v>
      </c>
      <c r="C1275" t="s">
        <v>12</v>
      </c>
      <c r="D1275" s="3">
        <v>45268</v>
      </c>
      <c r="E1275" s="2">
        <v>11804</v>
      </c>
    </row>
    <row r="1276" spans="1:5" x14ac:dyDescent="0.3">
      <c r="A1276" t="s">
        <v>15</v>
      </c>
      <c r="B1276" t="s">
        <v>13</v>
      </c>
      <c r="C1276" t="s">
        <v>19</v>
      </c>
      <c r="D1276" s="3">
        <v>45269</v>
      </c>
      <c r="E1276" s="2">
        <v>1216</v>
      </c>
    </row>
    <row r="1277" spans="1:5" x14ac:dyDescent="0.3">
      <c r="A1277" t="s">
        <v>20</v>
      </c>
      <c r="B1277" t="s">
        <v>13</v>
      </c>
      <c r="C1277" t="s">
        <v>17</v>
      </c>
      <c r="D1277" s="3">
        <v>45269</v>
      </c>
      <c r="E1277" s="2">
        <v>5608</v>
      </c>
    </row>
    <row r="1278" spans="1:5" x14ac:dyDescent="0.3">
      <c r="A1278" t="s">
        <v>20</v>
      </c>
      <c r="B1278" t="s">
        <v>21</v>
      </c>
      <c r="C1278" t="s">
        <v>12</v>
      </c>
      <c r="D1278" s="3">
        <v>45269</v>
      </c>
      <c r="E1278" s="2">
        <v>6588</v>
      </c>
    </row>
    <row r="1279" spans="1:5" x14ac:dyDescent="0.3">
      <c r="A1279" t="s">
        <v>15</v>
      </c>
      <c r="B1279" t="s">
        <v>21</v>
      </c>
      <c r="C1279" t="s">
        <v>12</v>
      </c>
      <c r="D1279" s="3">
        <v>45269</v>
      </c>
      <c r="E1279" s="2">
        <v>8302</v>
      </c>
    </row>
    <row r="1280" spans="1:5" x14ac:dyDescent="0.3">
      <c r="A1280" t="s">
        <v>31</v>
      </c>
      <c r="B1280" t="s">
        <v>11</v>
      </c>
      <c r="C1280" t="s">
        <v>23</v>
      </c>
      <c r="D1280" s="3">
        <v>45270</v>
      </c>
      <c r="E1280" s="2">
        <v>6370</v>
      </c>
    </row>
    <row r="1281" spans="1:5" x14ac:dyDescent="0.3">
      <c r="A1281" t="s">
        <v>18</v>
      </c>
      <c r="B1281" t="s">
        <v>11</v>
      </c>
      <c r="C1281" t="s">
        <v>23</v>
      </c>
      <c r="D1281" s="3">
        <v>45270</v>
      </c>
      <c r="E1281" s="2">
        <v>6782</v>
      </c>
    </row>
    <row r="1282" spans="1:5" x14ac:dyDescent="0.3">
      <c r="A1282" t="s">
        <v>27</v>
      </c>
      <c r="B1282" t="s">
        <v>9</v>
      </c>
      <c r="C1282" t="s">
        <v>25</v>
      </c>
      <c r="D1282" s="3">
        <v>45270</v>
      </c>
      <c r="E1282" s="2">
        <v>8663</v>
      </c>
    </row>
    <row r="1283" spans="1:5" x14ac:dyDescent="0.3">
      <c r="A1283" t="s">
        <v>24</v>
      </c>
      <c r="B1283" t="s">
        <v>16</v>
      </c>
      <c r="C1283" t="s">
        <v>7</v>
      </c>
      <c r="D1283" s="3">
        <v>45270</v>
      </c>
      <c r="E1283" s="2">
        <v>1220</v>
      </c>
    </row>
    <row r="1284" spans="1:5" x14ac:dyDescent="0.3">
      <c r="A1284" t="s">
        <v>27</v>
      </c>
      <c r="B1284" t="s">
        <v>9</v>
      </c>
      <c r="C1284" t="s">
        <v>28</v>
      </c>
      <c r="D1284" s="3">
        <v>45270</v>
      </c>
      <c r="E1284" s="2">
        <v>2941</v>
      </c>
    </row>
    <row r="1285" spans="1:5" x14ac:dyDescent="0.3">
      <c r="A1285" t="s">
        <v>5</v>
      </c>
      <c r="B1285" t="s">
        <v>9</v>
      </c>
      <c r="C1285" t="s">
        <v>17</v>
      </c>
      <c r="D1285" s="3">
        <v>45270</v>
      </c>
      <c r="E1285" s="2">
        <v>3917</v>
      </c>
    </row>
    <row r="1286" spans="1:5" x14ac:dyDescent="0.3">
      <c r="A1286" t="s">
        <v>18</v>
      </c>
      <c r="B1286" t="s">
        <v>9</v>
      </c>
      <c r="C1286" t="s">
        <v>17</v>
      </c>
      <c r="D1286" s="3">
        <v>45270</v>
      </c>
      <c r="E1286" s="2">
        <v>11292</v>
      </c>
    </row>
    <row r="1287" spans="1:5" x14ac:dyDescent="0.3">
      <c r="A1287" t="s">
        <v>27</v>
      </c>
      <c r="B1287" t="s">
        <v>11</v>
      </c>
      <c r="C1287" t="s">
        <v>14</v>
      </c>
      <c r="D1287" s="3">
        <v>45271</v>
      </c>
      <c r="E1287" s="2">
        <v>5197</v>
      </c>
    </row>
    <row r="1288" spans="1:5" x14ac:dyDescent="0.3">
      <c r="A1288" t="s">
        <v>26</v>
      </c>
      <c r="B1288" t="s">
        <v>11</v>
      </c>
      <c r="C1288" t="s">
        <v>25</v>
      </c>
      <c r="D1288" s="3">
        <v>45271</v>
      </c>
      <c r="E1288" s="2">
        <v>10407</v>
      </c>
    </row>
    <row r="1289" spans="1:5" x14ac:dyDescent="0.3">
      <c r="A1289" t="s">
        <v>5</v>
      </c>
      <c r="B1289" t="s">
        <v>21</v>
      </c>
      <c r="C1289" t="s">
        <v>28</v>
      </c>
      <c r="D1289" s="3">
        <v>45271</v>
      </c>
      <c r="E1289" s="2">
        <v>11179</v>
      </c>
    </row>
    <row r="1290" spans="1:5" x14ac:dyDescent="0.3">
      <c r="A1290" t="s">
        <v>18</v>
      </c>
      <c r="B1290" t="s">
        <v>9</v>
      </c>
      <c r="C1290" t="s">
        <v>19</v>
      </c>
      <c r="D1290" s="3">
        <v>45272</v>
      </c>
      <c r="E1290" s="2">
        <v>9285</v>
      </c>
    </row>
    <row r="1291" spans="1:5" x14ac:dyDescent="0.3">
      <c r="A1291" t="s">
        <v>20</v>
      </c>
      <c r="B1291" t="s">
        <v>9</v>
      </c>
      <c r="C1291" t="s">
        <v>28</v>
      </c>
      <c r="D1291" s="3">
        <v>45272</v>
      </c>
      <c r="E1291" s="2">
        <v>3713</v>
      </c>
    </row>
    <row r="1292" spans="1:5" x14ac:dyDescent="0.3">
      <c r="A1292" t="s">
        <v>26</v>
      </c>
      <c r="B1292" t="s">
        <v>6</v>
      </c>
      <c r="C1292" t="s">
        <v>17</v>
      </c>
      <c r="D1292" s="3">
        <v>45272</v>
      </c>
      <c r="E1292" s="2">
        <v>6697</v>
      </c>
    </row>
    <row r="1293" spans="1:5" x14ac:dyDescent="0.3">
      <c r="A1293" t="s">
        <v>31</v>
      </c>
      <c r="B1293" t="s">
        <v>6</v>
      </c>
      <c r="C1293" t="s">
        <v>17</v>
      </c>
      <c r="D1293" s="3">
        <v>45272</v>
      </c>
      <c r="E1293" s="2">
        <v>8886</v>
      </c>
    </row>
    <row r="1294" spans="1:5" x14ac:dyDescent="0.3">
      <c r="A1294" t="s">
        <v>30</v>
      </c>
      <c r="B1294" t="s">
        <v>6</v>
      </c>
      <c r="C1294" t="s">
        <v>12</v>
      </c>
      <c r="D1294" s="3">
        <v>45273</v>
      </c>
      <c r="E1294" s="2">
        <v>5607</v>
      </c>
    </row>
    <row r="1295" spans="1:5" x14ac:dyDescent="0.3">
      <c r="A1295" t="s">
        <v>24</v>
      </c>
      <c r="B1295" t="s">
        <v>6</v>
      </c>
      <c r="C1295" t="s">
        <v>23</v>
      </c>
      <c r="D1295" s="3">
        <v>45274</v>
      </c>
      <c r="E1295" s="2">
        <v>5632</v>
      </c>
    </row>
    <row r="1296" spans="1:5" x14ac:dyDescent="0.3">
      <c r="A1296" t="s">
        <v>29</v>
      </c>
      <c r="B1296" t="s">
        <v>16</v>
      </c>
      <c r="C1296" t="s">
        <v>17</v>
      </c>
      <c r="D1296" s="3">
        <v>45274</v>
      </c>
      <c r="E1296" s="2">
        <v>7358</v>
      </c>
    </row>
    <row r="1297" spans="1:5" x14ac:dyDescent="0.3">
      <c r="A1297" t="s">
        <v>26</v>
      </c>
      <c r="B1297" t="s">
        <v>6</v>
      </c>
      <c r="C1297" t="s">
        <v>12</v>
      </c>
      <c r="D1297" s="3">
        <v>45274</v>
      </c>
      <c r="E1297" s="2">
        <v>8686</v>
      </c>
    </row>
    <row r="1298" spans="1:5" x14ac:dyDescent="0.3">
      <c r="A1298" t="s">
        <v>10</v>
      </c>
      <c r="B1298" t="s">
        <v>6</v>
      </c>
      <c r="C1298" t="s">
        <v>7</v>
      </c>
      <c r="D1298" s="3">
        <v>45275</v>
      </c>
      <c r="E1298" s="2">
        <v>10898</v>
      </c>
    </row>
    <row r="1299" spans="1:5" x14ac:dyDescent="0.3">
      <c r="A1299" t="s">
        <v>27</v>
      </c>
      <c r="B1299" t="s">
        <v>21</v>
      </c>
      <c r="C1299" t="s">
        <v>25</v>
      </c>
      <c r="D1299" s="3">
        <v>45276</v>
      </c>
      <c r="E1299" s="2">
        <v>3717</v>
      </c>
    </row>
    <row r="1300" spans="1:5" x14ac:dyDescent="0.3">
      <c r="A1300" t="s">
        <v>30</v>
      </c>
      <c r="B1300" t="s">
        <v>9</v>
      </c>
      <c r="C1300" t="s">
        <v>23</v>
      </c>
      <c r="D1300" s="3">
        <v>45277</v>
      </c>
      <c r="E1300" s="2">
        <v>5736</v>
      </c>
    </row>
    <row r="1301" spans="1:5" x14ac:dyDescent="0.3">
      <c r="A1301" t="s">
        <v>5</v>
      </c>
      <c r="B1301" t="s">
        <v>11</v>
      </c>
      <c r="C1301" t="s">
        <v>14</v>
      </c>
      <c r="D1301" s="3">
        <v>45278</v>
      </c>
      <c r="E1301" s="2">
        <v>8833</v>
      </c>
    </row>
    <row r="1302" spans="1:5" x14ac:dyDescent="0.3">
      <c r="A1302" t="s">
        <v>26</v>
      </c>
      <c r="B1302" t="s">
        <v>9</v>
      </c>
      <c r="C1302" t="s">
        <v>19</v>
      </c>
      <c r="D1302" s="3">
        <v>45278</v>
      </c>
      <c r="E1302" s="2">
        <v>4877</v>
      </c>
    </row>
    <row r="1303" spans="1:5" x14ac:dyDescent="0.3">
      <c r="A1303" t="s">
        <v>29</v>
      </c>
      <c r="B1303" t="s">
        <v>9</v>
      </c>
      <c r="C1303" t="s">
        <v>19</v>
      </c>
      <c r="D1303" s="3">
        <v>45278</v>
      </c>
      <c r="E1303" s="2">
        <v>11435</v>
      </c>
    </row>
    <row r="1304" spans="1:5" x14ac:dyDescent="0.3">
      <c r="A1304" t="s">
        <v>29</v>
      </c>
      <c r="B1304" t="s">
        <v>13</v>
      </c>
      <c r="C1304" t="s">
        <v>23</v>
      </c>
      <c r="D1304" s="3">
        <v>45278</v>
      </c>
      <c r="E1304" s="2">
        <v>1921</v>
      </c>
    </row>
    <row r="1305" spans="1:5" x14ac:dyDescent="0.3">
      <c r="A1305" t="s">
        <v>22</v>
      </c>
      <c r="B1305" t="s">
        <v>9</v>
      </c>
      <c r="C1305" t="s">
        <v>25</v>
      </c>
      <c r="D1305" s="3">
        <v>45278</v>
      </c>
      <c r="E1305" s="2">
        <v>2583</v>
      </c>
    </row>
    <row r="1306" spans="1:5" x14ac:dyDescent="0.3">
      <c r="A1306" t="s">
        <v>30</v>
      </c>
      <c r="B1306" t="s">
        <v>16</v>
      </c>
      <c r="C1306" t="s">
        <v>28</v>
      </c>
      <c r="D1306" s="3">
        <v>45278</v>
      </c>
      <c r="E1306" s="2">
        <v>8007</v>
      </c>
    </row>
    <row r="1307" spans="1:5" x14ac:dyDescent="0.3">
      <c r="A1307" t="s">
        <v>15</v>
      </c>
      <c r="B1307" t="s">
        <v>9</v>
      </c>
      <c r="C1307" t="s">
        <v>12</v>
      </c>
      <c r="D1307" s="3">
        <v>45278</v>
      </c>
      <c r="E1307" s="2">
        <v>10668</v>
      </c>
    </row>
    <row r="1308" spans="1:5" x14ac:dyDescent="0.3">
      <c r="A1308" t="s">
        <v>24</v>
      </c>
      <c r="B1308" t="s">
        <v>9</v>
      </c>
      <c r="C1308" t="s">
        <v>19</v>
      </c>
      <c r="D1308" s="3">
        <v>45279</v>
      </c>
      <c r="E1308" s="2">
        <v>6287</v>
      </c>
    </row>
    <row r="1309" spans="1:5" x14ac:dyDescent="0.3">
      <c r="A1309" t="s">
        <v>32</v>
      </c>
      <c r="B1309" t="s">
        <v>13</v>
      </c>
      <c r="C1309" t="s">
        <v>23</v>
      </c>
      <c r="D1309" s="3">
        <v>45279</v>
      </c>
      <c r="E1309" s="2">
        <v>2494</v>
      </c>
    </row>
    <row r="1310" spans="1:5" x14ac:dyDescent="0.3">
      <c r="A1310" t="s">
        <v>22</v>
      </c>
      <c r="B1310" t="s">
        <v>9</v>
      </c>
      <c r="C1310" t="s">
        <v>23</v>
      </c>
      <c r="D1310" s="3">
        <v>45279</v>
      </c>
      <c r="E1310" s="2">
        <v>11568</v>
      </c>
    </row>
    <row r="1311" spans="1:5" x14ac:dyDescent="0.3">
      <c r="A1311" t="s">
        <v>15</v>
      </c>
      <c r="B1311" t="s">
        <v>9</v>
      </c>
      <c r="C1311" t="s">
        <v>25</v>
      </c>
      <c r="D1311" s="3">
        <v>45279</v>
      </c>
      <c r="E1311" s="2">
        <v>3952</v>
      </c>
    </row>
    <row r="1312" spans="1:5" x14ac:dyDescent="0.3">
      <c r="A1312" t="s">
        <v>26</v>
      </c>
      <c r="B1312" t="s">
        <v>21</v>
      </c>
      <c r="C1312" t="s">
        <v>28</v>
      </c>
      <c r="D1312" s="3">
        <v>45279</v>
      </c>
      <c r="E1312" s="2">
        <v>9315</v>
      </c>
    </row>
    <row r="1313" spans="1:5" x14ac:dyDescent="0.3">
      <c r="A1313" t="s">
        <v>30</v>
      </c>
      <c r="B1313" t="s">
        <v>6</v>
      </c>
      <c r="C1313" t="s">
        <v>25</v>
      </c>
      <c r="D1313" s="3">
        <v>45280</v>
      </c>
      <c r="E1313" s="2">
        <v>4404</v>
      </c>
    </row>
    <row r="1314" spans="1:5" x14ac:dyDescent="0.3">
      <c r="A1314" t="s">
        <v>26</v>
      </c>
      <c r="B1314" t="s">
        <v>16</v>
      </c>
      <c r="C1314" t="s">
        <v>17</v>
      </c>
      <c r="D1314" s="3">
        <v>45280</v>
      </c>
      <c r="E1314" s="2">
        <v>8299</v>
      </c>
    </row>
    <row r="1315" spans="1:5" x14ac:dyDescent="0.3">
      <c r="A1315" t="s">
        <v>33</v>
      </c>
      <c r="B1315" t="s">
        <v>9</v>
      </c>
      <c r="C1315" t="s">
        <v>14</v>
      </c>
      <c r="D1315" s="3">
        <v>45281</v>
      </c>
      <c r="E1315" s="2">
        <v>9428</v>
      </c>
    </row>
    <row r="1316" spans="1:5" x14ac:dyDescent="0.3">
      <c r="A1316" t="s">
        <v>27</v>
      </c>
      <c r="B1316" t="s">
        <v>16</v>
      </c>
      <c r="C1316" t="s">
        <v>23</v>
      </c>
      <c r="D1316" s="3">
        <v>45281</v>
      </c>
      <c r="E1316" s="2">
        <v>8307</v>
      </c>
    </row>
    <row r="1317" spans="1:5" x14ac:dyDescent="0.3">
      <c r="A1317" t="s">
        <v>22</v>
      </c>
      <c r="B1317" t="s">
        <v>16</v>
      </c>
      <c r="C1317" t="s">
        <v>25</v>
      </c>
      <c r="D1317" s="3">
        <v>45281</v>
      </c>
      <c r="E1317" s="2">
        <v>3600</v>
      </c>
    </row>
    <row r="1318" spans="1:5" x14ac:dyDescent="0.3">
      <c r="A1318" t="s">
        <v>32</v>
      </c>
      <c r="B1318" t="s">
        <v>9</v>
      </c>
      <c r="C1318" t="s">
        <v>25</v>
      </c>
      <c r="D1318" s="3">
        <v>45281</v>
      </c>
      <c r="E1318" s="2">
        <v>4920</v>
      </c>
    </row>
    <row r="1319" spans="1:5" x14ac:dyDescent="0.3">
      <c r="A1319" t="s">
        <v>10</v>
      </c>
      <c r="B1319" t="s">
        <v>21</v>
      </c>
      <c r="C1319" t="s">
        <v>12</v>
      </c>
      <c r="D1319" s="3">
        <v>45281</v>
      </c>
      <c r="E1319" s="2">
        <v>2307</v>
      </c>
    </row>
    <row r="1320" spans="1:5" x14ac:dyDescent="0.3">
      <c r="A1320" t="s">
        <v>30</v>
      </c>
      <c r="B1320" t="s">
        <v>6</v>
      </c>
      <c r="C1320" t="s">
        <v>14</v>
      </c>
      <c r="D1320" s="3">
        <v>45282</v>
      </c>
      <c r="E1320" s="2">
        <v>3872</v>
      </c>
    </row>
    <row r="1321" spans="1:5" x14ac:dyDescent="0.3">
      <c r="A1321" t="s">
        <v>31</v>
      </c>
      <c r="B1321" t="s">
        <v>11</v>
      </c>
      <c r="C1321" t="s">
        <v>25</v>
      </c>
      <c r="D1321" s="3">
        <v>45282</v>
      </c>
      <c r="E1321" s="2">
        <v>3517</v>
      </c>
    </row>
    <row r="1322" spans="1:5" x14ac:dyDescent="0.3">
      <c r="A1322" t="s">
        <v>30</v>
      </c>
      <c r="B1322" t="s">
        <v>13</v>
      </c>
      <c r="C1322" t="s">
        <v>17</v>
      </c>
      <c r="D1322" s="3">
        <v>45282</v>
      </c>
      <c r="E1322" s="2">
        <v>8822</v>
      </c>
    </row>
    <row r="1323" spans="1:5" x14ac:dyDescent="0.3">
      <c r="A1323" t="s">
        <v>18</v>
      </c>
      <c r="B1323" t="s">
        <v>9</v>
      </c>
      <c r="C1323" t="s">
        <v>17</v>
      </c>
      <c r="D1323" s="3">
        <v>45282</v>
      </c>
      <c r="E1323" s="2">
        <v>8590</v>
      </c>
    </row>
    <row r="1324" spans="1:5" x14ac:dyDescent="0.3">
      <c r="A1324" t="s">
        <v>30</v>
      </c>
      <c r="B1324" t="s">
        <v>6</v>
      </c>
      <c r="C1324" t="s">
        <v>23</v>
      </c>
      <c r="D1324" s="3">
        <v>45283</v>
      </c>
      <c r="E1324" s="2">
        <v>7721</v>
      </c>
    </row>
    <row r="1325" spans="1:5" x14ac:dyDescent="0.3">
      <c r="A1325" t="s">
        <v>18</v>
      </c>
      <c r="B1325" t="s">
        <v>21</v>
      </c>
      <c r="C1325" t="s">
        <v>17</v>
      </c>
      <c r="D1325" s="3">
        <v>45283</v>
      </c>
      <c r="E1325" s="2">
        <v>1942</v>
      </c>
    </row>
    <row r="1326" spans="1:5" x14ac:dyDescent="0.3">
      <c r="A1326" t="s">
        <v>31</v>
      </c>
      <c r="B1326" t="s">
        <v>11</v>
      </c>
      <c r="C1326" t="s">
        <v>19</v>
      </c>
      <c r="D1326" s="3">
        <v>45284</v>
      </c>
      <c r="E1326" s="2">
        <v>13008</v>
      </c>
    </row>
    <row r="1327" spans="1:5" x14ac:dyDescent="0.3">
      <c r="A1327" t="s">
        <v>27</v>
      </c>
      <c r="B1327" t="s">
        <v>9</v>
      </c>
      <c r="C1327" t="s">
        <v>23</v>
      </c>
      <c r="D1327" s="3">
        <v>45284</v>
      </c>
      <c r="E1327" s="2">
        <v>2907</v>
      </c>
    </row>
    <row r="1328" spans="1:5" x14ac:dyDescent="0.3">
      <c r="A1328" t="s">
        <v>29</v>
      </c>
      <c r="B1328" t="s">
        <v>9</v>
      </c>
      <c r="C1328" t="s">
        <v>28</v>
      </c>
      <c r="D1328" s="3">
        <v>45284</v>
      </c>
      <c r="E1328" s="2">
        <v>11725</v>
      </c>
    </row>
    <row r="1329" spans="1:5" x14ac:dyDescent="0.3">
      <c r="A1329" t="s">
        <v>24</v>
      </c>
      <c r="B1329" t="s">
        <v>9</v>
      </c>
      <c r="C1329" t="s">
        <v>17</v>
      </c>
      <c r="D1329" s="3">
        <v>45284</v>
      </c>
      <c r="E1329" s="2">
        <v>6801</v>
      </c>
    </row>
    <row r="1330" spans="1:5" x14ac:dyDescent="0.3">
      <c r="A1330" t="s">
        <v>33</v>
      </c>
      <c r="B1330" t="s">
        <v>11</v>
      </c>
      <c r="C1330" t="s">
        <v>17</v>
      </c>
      <c r="D1330" s="3">
        <v>45284</v>
      </c>
      <c r="E1330" s="2">
        <v>10213</v>
      </c>
    </row>
    <row r="1331" spans="1:5" x14ac:dyDescent="0.3">
      <c r="A1331" t="s">
        <v>27</v>
      </c>
      <c r="B1331" t="s">
        <v>11</v>
      </c>
      <c r="C1331" t="s">
        <v>12</v>
      </c>
      <c r="D1331" s="3">
        <v>45284</v>
      </c>
      <c r="E1331" s="2">
        <v>7611</v>
      </c>
    </row>
    <row r="1332" spans="1:5" x14ac:dyDescent="0.3">
      <c r="A1332" t="s">
        <v>5</v>
      </c>
      <c r="B1332" t="s">
        <v>6</v>
      </c>
      <c r="C1332" t="s">
        <v>12</v>
      </c>
      <c r="D1332" s="3">
        <v>45284</v>
      </c>
      <c r="E1332" s="2">
        <v>12255</v>
      </c>
    </row>
    <row r="1333" spans="1:5" x14ac:dyDescent="0.3">
      <c r="A1333" t="s">
        <v>24</v>
      </c>
      <c r="B1333" t="s">
        <v>21</v>
      </c>
      <c r="C1333" t="s">
        <v>14</v>
      </c>
      <c r="D1333" s="3">
        <v>45285</v>
      </c>
      <c r="E1333" s="2">
        <v>8152</v>
      </c>
    </row>
    <row r="1334" spans="1:5" x14ac:dyDescent="0.3">
      <c r="A1334" t="s">
        <v>26</v>
      </c>
      <c r="B1334" t="s">
        <v>6</v>
      </c>
      <c r="C1334" t="s">
        <v>7</v>
      </c>
      <c r="D1334" s="3">
        <v>45285</v>
      </c>
      <c r="E1334" s="2">
        <v>13433</v>
      </c>
    </row>
    <row r="1335" spans="1:5" x14ac:dyDescent="0.3">
      <c r="A1335" t="s">
        <v>30</v>
      </c>
      <c r="B1335" t="s">
        <v>11</v>
      </c>
      <c r="C1335" t="s">
        <v>7</v>
      </c>
      <c r="D1335" s="3">
        <v>45285</v>
      </c>
      <c r="E1335" s="2">
        <v>12288</v>
      </c>
    </row>
    <row r="1336" spans="1:5" x14ac:dyDescent="0.3">
      <c r="A1336" t="s">
        <v>31</v>
      </c>
      <c r="B1336" t="s">
        <v>16</v>
      </c>
      <c r="C1336" t="s">
        <v>28</v>
      </c>
      <c r="D1336" s="3">
        <v>45285</v>
      </c>
      <c r="E1336" s="2">
        <v>5772</v>
      </c>
    </row>
    <row r="1337" spans="1:5" x14ac:dyDescent="0.3">
      <c r="A1337" t="s">
        <v>32</v>
      </c>
      <c r="B1337" t="s">
        <v>9</v>
      </c>
      <c r="C1337" t="s">
        <v>23</v>
      </c>
      <c r="D1337" s="3">
        <v>45286</v>
      </c>
      <c r="E1337" s="2">
        <v>8609</v>
      </c>
    </row>
    <row r="1338" spans="1:5" x14ac:dyDescent="0.3">
      <c r="A1338" t="s">
        <v>18</v>
      </c>
      <c r="B1338" t="s">
        <v>9</v>
      </c>
      <c r="C1338" t="s">
        <v>23</v>
      </c>
      <c r="D1338" s="3">
        <v>45286</v>
      </c>
      <c r="E1338" s="2">
        <v>4952</v>
      </c>
    </row>
    <row r="1339" spans="1:5" x14ac:dyDescent="0.3">
      <c r="A1339" t="s">
        <v>10</v>
      </c>
      <c r="B1339" t="s">
        <v>11</v>
      </c>
      <c r="C1339" t="s">
        <v>25</v>
      </c>
      <c r="D1339" s="3">
        <v>45286</v>
      </c>
      <c r="E1339" s="2">
        <v>9195</v>
      </c>
    </row>
    <row r="1340" spans="1:5" x14ac:dyDescent="0.3">
      <c r="A1340" t="s">
        <v>29</v>
      </c>
      <c r="B1340" t="s">
        <v>6</v>
      </c>
      <c r="C1340" t="s">
        <v>23</v>
      </c>
      <c r="D1340" s="3">
        <v>45287</v>
      </c>
      <c r="E1340" s="2">
        <v>1585</v>
      </c>
    </row>
    <row r="1341" spans="1:5" x14ac:dyDescent="0.3">
      <c r="A1341" t="s">
        <v>18</v>
      </c>
      <c r="B1341" t="s">
        <v>16</v>
      </c>
      <c r="C1341" t="s">
        <v>25</v>
      </c>
      <c r="D1341" s="3">
        <v>45287</v>
      </c>
      <c r="E1341" s="2">
        <v>8863</v>
      </c>
    </row>
    <row r="1342" spans="1:5" x14ac:dyDescent="0.3">
      <c r="A1342" t="s">
        <v>18</v>
      </c>
      <c r="B1342" t="s">
        <v>6</v>
      </c>
      <c r="C1342" t="s">
        <v>25</v>
      </c>
      <c r="D1342" s="3">
        <v>45287</v>
      </c>
      <c r="E1342" s="2">
        <v>4370</v>
      </c>
    </row>
    <row r="1343" spans="1:5" x14ac:dyDescent="0.3">
      <c r="A1343" t="s">
        <v>31</v>
      </c>
      <c r="B1343" t="s">
        <v>11</v>
      </c>
      <c r="C1343" t="s">
        <v>28</v>
      </c>
      <c r="D1343" s="3">
        <v>45287</v>
      </c>
      <c r="E1343" s="2">
        <v>7954</v>
      </c>
    </row>
    <row r="1344" spans="1:5" x14ac:dyDescent="0.3">
      <c r="A1344" t="s">
        <v>29</v>
      </c>
      <c r="B1344" t="s">
        <v>13</v>
      </c>
      <c r="C1344" t="s">
        <v>14</v>
      </c>
      <c r="D1344" s="3">
        <v>45288</v>
      </c>
      <c r="E1344" s="2">
        <v>12974</v>
      </c>
    </row>
    <row r="1345" spans="1:5" x14ac:dyDescent="0.3">
      <c r="A1345" t="s">
        <v>18</v>
      </c>
      <c r="B1345" t="s">
        <v>13</v>
      </c>
      <c r="C1345" t="s">
        <v>19</v>
      </c>
      <c r="D1345" s="3">
        <v>45288</v>
      </c>
      <c r="E1345" s="2">
        <v>5452</v>
      </c>
    </row>
    <row r="1346" spans="1:5" x14ac:dyDescent="0.3">
      <c r="A1346" t="s">
        <v>26</v>
      </c>
      <c r="B1346" t="s">
        <v>21</v>
      </c>
      <c r="C1346" t="s">
        <v>25</v>
      </c>
      <c r="D1346" s="3">
        <v>45288</v>
      </c>
      <c r="E1346" s="2">
        <v>1554</v>
      </c>
    </row>
    <row r="1347" spans="1:5" x14ac:dyDescent="0.3">
      <c r="A1347" t="s">
        <v>18</v>
      </c>
      <c r="B1347" t="s">
        <v>11</v>
      </c>
      <c r="C1347" t="s">
        <v>7</v>
      </c>
      <c r="D1347" s="3">
        <v>45288</v>
      </c>
      <c r="E1347" s="2">
        <v>13613</v>
      </c>
    </row>
    <row r="1348" spans="1:5" x14ac:dyDescent="0.3">
      <c r="A1348" t="s">
        <v>8</v>
      </c>
      <c r="B1348" t="s">
        <v>21</v>
      </c>
      <c r="C1348" t="s">
        <v>14</v>
      </c>
      <c r="D1348" s="3">
        <v>45289</v>
      </c>
      <c r="E1348" s="2">
        <v>10387</v>
      </c>
    </row>
    <row r="1349" spans="1:5" x14ac:dyDescent="0.3">
      <c r="A1349" t="s">
        <v>15</v>
      </c>
      <c r="B1349" t="s">
        <v>13</v>
      </c>
      <c r="C1349" t="s">
        <v>23</v>
      </c>
      <c r="D1349" s="3">
        <v>45289</v>
      </c>
      <c r="E1349" s="2">
        <v>1828</v>
      </c>
    </row>
    <row r="1350" spans="1:5" x14ac:dyDescent="0.3">
      <c r="A1350" t="s">
        <v>27</v>
      </c>
      <c r="B1350" t="s">
        <v>16</v>
      </c>
      <c r="C1350" t="s">
        <v>19</v>
      </c>
      <c r="D1350" s="3">
        <v>45290</v>
      </c>
      <c r="E1350" s="2">
        <v>5544</v>
      </c>
    </row>
    <row r="1351" spans="1:5" x14ac:dyDescent="0.3">
      <c r="A1351" t="s">
        <v>8</v>
      </c>
      <c r="B1351" t="s">
        <v>9</v>
      </c>
      <c r="C1351" t="s">
        <v>19</v>
      </c>
      <c r="D1351" s="3">
        <v>45290</v>
      </c>
      <c r="E1351" s="2">
        <v>9027</v>
      </c>
    </row>
    <row r="1352" spans="1:5" x14ac:dyDescent="0.3">
      <c r="A1352" t="s">
        <v>8</v>
      </c>
      <c r="B1352" t="s">
        <v>6</v>
      </c>
      <c r="C1352" t="s">
        <v>28</v>
      </c>
      <c r="D1352" s="3">
        <v>45290</v>
      </c>
      <c r="E1352" s="2">
        <v>1322</v>
      </c>
    </row>
    <row r="1353" spans="1:5" x14ac:dyDescent="0.3">
      <c r="A1353" t="s">
        <v>24</v>
      </c>
      <c r="B1353" t="s">
        <v>6</v>
      </c>
      <c r="C1353" t="s">
        <v>17</v>
      </c>
      <c r="D1353" s="3">
        <v>45290</v>
      </c>
      <c r="E1353" s="2">
        <v>10220</v>
      </c>
    </row>
    <row r="1354" spans="1:5" x14ac:dyDescent="0.3">
      <c r="A1354" t="s">
        <v>22</v>
      </c>
      <c r="B1354" t="s">
        <v>13</v>
      </c>
      <c r="C1354" t="s">
        <v>14</v>
      </c>
      <c r="D1354" s="3">
        <v>45291</v>
      </c>
      <c r="E1354" s="2">
        <v>1731</v>
      </c>
    </row>
    <row r="1355" spans="1:5" x14ac:dyDescent="0.3">
      <c r="A1355" t="s">
        <v>26</v>
      </c>
      <c r="B1355" t="s">
        <v>13</v>
      </c>
      <c r="C1355" t="s">
        <v>19</v>
      </c>
      <c r="D1355" s="3">
        <v>45291</v>
      </c>
      <c r="E1355" s="2">
        <v>12292</v>
      </c>
    </row>
    <row r="1356" spans="1:5" x14ac:dyDescent="0.3">
      <c r="A1356" t="s">
        <v>30</v>
      </c>
      <c r="B1356" t="s">
        <v>9</v>
      </c>
      <c r="C1356" t="s">
        <v>28</v>
      </c>
      <c r="D1356" s="3">
        <v>45291</v>
      </c>
      <c r="E1356" s="2">
        <v>3571</v>
      </c>
    </row>
    <row r="1357" spans="1:5" x14ac:dyDescent="0.3">
      <c r="A1357" t="s">
        <v>32</v>
      </c>
      <c r="B1357" t="s">
        <v>21</v>
      </c>
      <c r="C1357" t="s">
        <v>25</v>
      </c>
      <c r="D1357" s="3">
        <v>45292</v>
      </c>
      <c r="E1357" s="2">
        <v>2579</v>
      </c>
    </row>
    <row r="1358" spans="1:5" x14ac:dyDescent="0.3">
      <c r="A1358" t="s">
        <v>29</v>
      </c>
      <c r="B1358" t="s">
        <v>6</v>
      </c>
      <c r="C1358" t="s">
        <v>7</v>
      </c>
      <c r="D1358" s="3">
        <v>45292</v>
      </c>
      <c r="E1358" s="2">
        <v>5835</v>
      </c>
    </row>
    <row r="1359" spans="1:5" x14ac:dyDescent="0.3">
      <c r="A1359" t="s">
        <v>33</v>
      </c>
      <c r="B1359" t="s">
        <v>21</v>
      </c>
      <c r="C1359" t="s">
        <v>7</v>
      </c>
      <c r="D1359" s="3">
        <v>45292</v>
      </c>
      <c r="E1359" s="2">
        <v>13704</v>
      </c>
    </row>
    <row r="1360" spans="1:5" x14ac:dyDescent="0.3">
      <c r="A1360" t="s">
        <v>10</v>
      </c>
      <c r="B1360" t="s">
        <v>11</v>
      </c>
      <c r="C1360" t="s">
        <v>19</v>
      </c>
      <c r="D1360" s="3">
        <v>45293</v>
      </c>
      <c r="E1360" s="2">
        <v>1551</v>
      </c>
    </row>
    <row r="1361" spans="1:5" x14ac:dyDescent="0.3">
      <c r="A1361" t="s">
        <v>32</v>
      </c>
      <c r="B1361" t="s">
        <v>16</v>
      </c>
      <c r="C1361" t="s">
        <v>19</v>
      </c>
      <c r="D1361" s="3">
        <v>45293</v>
      </c>
      <c r="E1361" s="2">
        <v>7917</v>
      </c>
    </row>
    <row r="1362" spans="1:5" x14ac:dyDescent="0.3">
      <c r="A1362" t="s">
        <v>20</v>
      </c>
      <c r="B1362" t="s">
        <v>11</v>
      </c>
      <c r="C1362" t="s">
        <v>7</v>
      </c>
      <c r="D1362" s="3">
        <v>45293</v>
      </c>
      <c r="E1362" s="2">
        <v>6777</v>
      </c>
    </row>
    <row r="1363" spans="1:5" x14ac:dyDescent="0.3">
      <c r="A1363" t="s">
        <v>20</v>
      </c>
      <c r="B1363" t="s">
        <v>13</v>
      </c>
      <c r="C1363" t="s">
        <v>7</v>
      </c>
      <c r="D1363" s="3">
        <v>45293</v>
      </c>
      <c r="E1363" s="2">
        <v>4268</v>
      </c>
    </row>
    <row r="1364" spans="1:5" x14ac:dyDescent="0.3">
      <c r="A1364" t="s">
        <v>31</v>
      </c>
      <c r="B1364" t="s">
        <v>16</v>
      </c>
      <c r="C1364" t="s">
        <v>28</v>
      </c>
      <c r="D1364" s="3">
        <v>45293</v>
      </c>
      <c r="E1364" s="2">
        <v>9621</v>
      </c>
    </row>
    <row r="1365" spans="1:5" x14ac:dyDescent="0.3">
      <c r="A1365" t="s">
        <v>5</v>
      </c>
      <c r="B1365" t="s">
        <v>21</v>
      </c>
      <c r="C1365" t="s">
        <v>17</v>
      </c>
      <c r="D1365" s="3">
        <v>45293</v>
      </c>
      <c r="E1365" s="2">
        <v>6022</v>
      </c>
    </row>
    <row r="1366" spans="1:5" x14ac:dyDescent="0.3">
      <c r="A1366" t="s">
        <v>30</v>
      </c>
      <c r="B1366" t="s">
        <v>11</v>
      </c>
      <c r="C1366" t="s">
        <v>17</v>
      </c>
      <c r="D1366" s="3">
        <v>45293</v>
      </c>
      <c r="E1366" s="2">
        <v>3007</v>
      </c>
    </row>
    <row r="1367" spans="1:5" x14ac:dyDescent="0.3">
      <c r="A1367" t="s">
        <v>24</v>
      </c>
      <c r="B1367" t="s">
        <v>11</v>
      </c>
      <c r="C1367" t="s">
        <v>25</v>
      </c>
      <c r="D1367" s="3">
        <v>45294</v>
      </c>
      <c r="E1367" s="2">
        <v>7839</v>
      </c>
    </row>
    <row r="1368" spans="1:5" x14ac:dyDescent="0.3">
      <c r="A1368" t="s">
        <v>26</v>
      </c>
      <c r="B1368" t="s">
        <v>16</v>
      </c>
      <c r="C1368" t="s">
        <v>25</v>
      </c>
      <c r="D1368" s="3">
        <v>45294</v>
      </c>
      <c r="E1368" s="2">
        <v>10560</v>
      </c>
    </row>
    <row r="1369" spans="1:5" x14ac:dyDescent="0.3">
      <c r="A1369" t="s">
        <v>18</v>
      </c>
      <c r="B1369" t="s">
        <v>16</v>
      </c>
      <c r="C1369" t="s">
        <v>12</v>
      </c>
      <c r="D1369" s="3">
        <v>45294</v>
      </c>
      <c r="E1369" s="2">
        <v>13045</v>
      </c>
    </row>
    <row r="1370" spans="1:5" x14ac:dyDescent="0.3">
      <c r="A1370" t="s">
        <v>5</v>
      </c>
      <c r="B1370" t="s">
        <v>13</v>
      </c>
      <c r="C1370" t="s">
        <v>12</v>
      </c>
      <c r="D1370" s="3">
        <v>45294</v>
      </c>
      <c r="E1370" s="2">
        <v>12825</v>
      </c>
    </row>
    <row r="1371" spans="1:5" x14ac:dyDescent="0.3">
      <c r="A1371" t="s">
        <v>27</v>
      </c>
      <c r="B1371" t="s">
        <v>11</v>
      </c>
      <c r="C1371" t="s">
        <v>19</v>
      </c>
      <c r="D1371" s="3">
        <v>45295</v>
      </c>
      <c r="E1371" s="2">
        <v>3890</v>
      </c>
    </row>
    <row r="1372" spans="1:5" x14ac:dyDescent="0.3">
      <c r="A1372" t="s">
        <v>24</v>
      </c>
      <c r="B1372" t="s">
        <v>9</v>
      </c>
      <c r="C1372" t="s">
        <v>25</v>
      </c>
      <c r="D1372" s="3">
        <v>45295</v>
      </c>
      <c r="E1372" s="2">
        <v>7733</v>
      </c>
    </row>
    <row r="1373" spans="1:5" x14ac:dyDescent="0.3">
      <c r="A1373" t="s">
        <v>22</v>
      </c>
      <c r="B1373" t="s">
        <v>9</v>
      </c>
      <c r="C1373" t="s">
        <v>17</v>
      </c>
      <c r="D1373" s="3">
        <v>45295</v>
      </c>
      <c r="E1373" s="2">
        <v>11656</v>
      </c>
    </row>
    <row r="1374" spans="1:5" x14ac:dyDescent="0.3">
      <c r="A1374" t="s">
        <v>27</v>
      </c>
      <c r="B1374" t="s">
        <v>6</v>
      </c>
      <c r="C1374" t="s">
        <v>12</v>
      </c>
      <c r="D1374" s="3">
        <v>45295</v>
      </c>
      <c r="E1374" s="2">
        <v>10029</v>
      </c>
    </row>
    <row r="1375" spans="1:5" x14ac:dyDescent="0.3">
      <c r="A1375" t="s">
        <v>30</v>
      </c>
      <c r="B1375" t="s">
        <v>21</v>
      </c>
      <c r="C1375" t="s">
        <v>12</v>
      </c>
      <c r="D1375" s="3">
        <v>45295</v>
      </c>
      <c r="E1375" s="2">
        <v>9119</v>
      </c>
    </row>
    <row r="1376" spans="1:5" x14ac:dyDescent="0.3">
      <c r="A1376" t="s">
        <v>22</v>
      </c>
      <c r="B1376" t="s">
        <v>6</v>
      </c>
      <c r="C1376" t="s">
        <v>14</v>
      </c>
      <c r="D1376" s="3">
        <v>45296</v>
      </c>
      <c r="E1376" s="2">
        <v>7088</v>
      </c>
    </row>
    <row r="1377" spans="1:5" x14ac:dyDescent="0.3">
      <c r="A1377" t="s">
        <v>30</v>
      </c>
      <c r="B1377" t="s">
        <v>13</v>
      </c>
      <c r="C1377" t="s">
        <v>19</v>
      </c>
      <c r="D1377" s="3">
        <v>45296</v>
      </c>
      <c r="E1377" s="2">
        <v>8370</v>
      </c>
    </row>
    <row r="1378" spans="1:5" x14ac:dyDescent="0.3">
      <c r="A1378" t="s">
        <v>31</v>
      </c>
      <c r="B1378" t="s">
        <v>6</v>
      </c>
      <c r="C1378" t="s">
        <v>19</v>
      </c>
      <c r="D1378" s="3">
        <v>45296</v>
      </c>
      <c r="E1378" s="2">
        <v>3864</v>
      </c>
    </row>
    <row r="1379" spans="1:5" x14ac:dyDescent="0.3">
      <c r="A1379" t="s">
        <v>31</v>
      </c>
      <c r="B1379" t="s">
        <v>11</v>
      </c>
      <c r="C1379" t="s">
        <v>23</v>
      </c>
      <c r="D1379" s="3">
        <v>45296</v>
      </c>
      <c r="E1379" s="2">
        <v>9639</v>
      </c>
    </row>
    <row r="1380" spans="1:5" x14ac:dyDescent="0.3">
      <c r="A1380" t="s">
        <v>5</v>
      </c>
      <c r="B1380" t="s">
        <v>21</v>
      </c>
      <c r="C1380" t="s">
        <v>23</v>
      </c>
      <c r="D1380" s="3">
        <v>45296</v>
      </c>
      <c r="E1380" s="2">
        <v>6490</v>
      </c>
    </row>
    <row r="1381" spans="1:5" x14ac:dyDescent="0.3">
      <c r="A1381" t="s">
        <v>27</v>
      </c>
      <c r="B1381" t="s">
        <v>13</v>
      </c>
      <c r="C1381" t="s">
        <v>7</v>
      </c>
      <c r="D1381" s="3">
        <v>45296</v>
      </c>
      <c r="E1381" s="2">
        <v>7358</v>
      </c>
    </row>
    <row r="1382" spans="1:5" x14ac:dyDescent="0.3">
      <c r="A1382" t="s">
        <v>27</v>
      </c>
      <c r="B1382" t="s">
        <v>6</v>
      </c>
      <c r="C1382" t="s">
        <v>7</v>
      </c>
      <c r="D1382" s="3">
        <v>45296</v>
      </c>
      <c r="E1382" s="2">
        <v>10934</v>
      </c>
    </row>
    <row r="1383" spans="1:5" x14ac:dyDescent="0.3">
      <c r="A1383" t="s">
        <v>31</v>
      </c>
      <c r="B1383" t="s">
        <v>11</v>
      </c>
      <c r="C1383" t="s">
        <v>28</v>
      </c>
      <c r="D1383" s="3">
        <v>45296</v>
      </c>
      <c r="E1383" s="2">
        <v>12356</v>
      </c>
    </row>
    <row r="1384" spans="1:5" x14ac:dyDescent="0.3">
      <c r="A1384" t="s">
        <v>18</v>
      </c>
      <c r="B1384" t="s">
        <v>13</v>
      </c>
      <c r="C1384" t="s">
        <v>25</v>
      </c>
      <c r="D1384" s="3">
        <v>45297</v>
      </c>
      <c r="E1384" s="2">
        <v>4751</v>
      </c>
    </row>
    <row r="1385" spans="1:5" x14ac:dyDescent="0.3">
      <c r="A1385" t="s">
        <v>29</v>
      </c>
      <c r="B1385" t="s">
        <v>16</v>
      </c>
      <c r="C1385" t="s">
        <v>25</v>
      </c>
      <c r="D1385" s="3">
        <v>45297</v>
      </c>
      <c r="E1385" s="2">
        <v>4511</v>
      </c>
    </row>
    <row r="1386" spans="1:5" x14ac:dyDescent="0.3">
      <c r="A1386" t="s">
        <v>20</v>
      </c>
      <c r="B1386" t="s">
        <v>6</v>
      </c>
      <c r="C1386" t="s">
        <v>7</v>
      </c>
      <c r="D1386" s="3">
        <v>45297</v>
      </c>
      <c r="E1386" s="2">
        <v>13876</v>
      </c>
    </row>
    <row r="1387" spans="1:5" x14ac:dyDescent="0.3">
      <c r="A1387" t="s">
        <v>5</v>
      </c>
      <c r="B1387" t="s">
        <v>16</v>
      </c>
      <c r="C1387" t="s">
        <v>28</v>
      </c>
      <c r="D1387" s="3">
        <v>45297</v>
      </c>
      <c r="E1387" s="2">
        <v>6115</v>
      </c>
    </row>
    <row r="1388" spans="1:5" x14ac:dyDescent="0.3">
      <c r="A1388" t="s">
        <v>29</v>
      </c>
      <c r="B1388" t="s">
        <v>16</v>
      </c>
      <c r="C1388" t="s">
        <v>12</v>
      </c>
      <c r="D1388" s="3">
        <v>45297</v>
      </c>
      <c r="E1388" s="2">
        <v>5090</v>
      </c>
    </row>
    <row r="1389" spans="1:5" x14ac:dyDescent="0.3">
      <c r="A1389" t="s">
        <v>8</v>
      </c>
      <c r="B1389" t="s">
        <v>21</v>
      </c>
      <c r="C1389" t="s">
        <v>25</v>
      </c>
      <c r="D1389" s="3">
        <v>45298</v>
      </c>
      <c r="E1389" s="2">
        <v>11007</v>
      </c>
    </row>
    <row r="1390" spans="1:5" x14ac:dyDescent="0.3">
      <c r="A1390" t="s">
        <v>26</v>
      </c>
      <c r="B1390" t="s">
        <v>11</v>
      </c>
      <c r="C1390" t="s">
        <v>7</v>
      </c>
      <c r="D1390" s="3">
        <v>45298</v>
      </c>
      <c r="E1390" s="2">
        <v>7699</v>
      </c>
    </row>
    <row r="1391" spans="1:5" x14ac:dyDescent="0.3">
      <c r="A1391" t="s">
        <v>20</v>
      </c>
      <c r="B1391" t="s">
        <v>13</v>
      </c>
      <c r="C1391" t="s">
        <v>14</v>
      </c>
      <c r="D1391" s="3">
        <v>45299</v>
      </c>
      <c r="E1391" s="2">
        <v>3267</v>
      </c>
    </row>
    <row r="1392" spans="1:5" x14ac:dyDescent="0.3">
      <c r="A1392" t="s">
        <v>10</v>
      </c>
      <c r="B1392" t="s">
        <v>21</v>
      </c>
      <c r="C1392" t="s">
        <v>19</v>
      </c>
      <c r="D1392" s="3">
        <v>45299</v>
      </c>
      <c r="E1392" s="2">
        <v>7424</v>
      </c>
    </row>
    <row r="1393" spans="1:5" x14ac:dyDescent="0.3">
      <c r="A1393" t="s">
        <v>31</v>
      </c>
      <c r="B1393" t="s">
        <v>13</v>
      </c>
      <c r="C1393" t="s">
        <v>23</v>
      </c>
      <c r="D1393" s="3">
        <v>45299</v>
      </c>
      <c r="E1393" s="2">
        <v>2981</v>
      </c>
    </row>
    <row r="1394" spans="1:5" x14ac:dyDescent="0.3">
      <c r="A1394" t="s">
        <v>29</v>
      </c>
      <c r="B1394" t="s">
        <v>11</v>
      </c>
      <c r="C1394" t="s">
        <v>23</v>
      </c>
      <c r="D1394" s="3">
        <v>45299</v>
      </c>
      <c r="E1394" s="2">
        <v>1680</v>
      </c>
    </row>
    <row r="1395" spans="1:5" x14ac:dyDescent="0.3">
      <c r="A1395" t="s">
        <v>5</v>
      </c>
      <c r="B1395" t="s">
        <v>13</v>
      </c>
      <c r="C1395" t="s">
        <v>23</v>
      </c>
      <c r="D1395" s="3">
        <v>45299</v>
      </c>
      <c r="E1395" s="2">
        <v>8234</v>
      </c>
    </row>
    <row r="1396" spans="1:5" x14ac:dyDescent="0.3">
      <c r="A1396" t="s">
        <v>27</v>
      </c>
      <c r="B1396" t="s">
        <v>13</v>
      </c>
      <c r="C1396" t="s">
        <v>25</v>
      </c>
      <c r="D1396" s="3">
        <v>45299</v>
      </c>
      <c r="E1396" s="2">
        <v>10024</v>
      </c>
    </row>
    <row r="1397" spans="1:5" x14ac:dyDescent="0.3">
      <c r="A1397" t="s">
        <v>24</v>
      </c>
      <c r="B1397" t="s">
        <v>21</v>
      </c>
      <c r="C1397" t="s">
        <v>28</v>
      </c>
      <c r="D1397" s="3">
        <v>45299</v>
      </c>
      <c r="E1397" s="2">
        <v>5670</v>
      </c>
    </row>
    <row r="1398" spans="1:5" x14ac:dyDescent="0.3">
      <c r="A1398" t="s">
        <v>26</v>
      </c>
      <c r="B1398" t="s">
        <v>13</v>
      </c>
      <c r="C1398" t="s">
        <v>17</v>
      </c>
      <c r="D1398" s="3">
        <v>45299</v>
      </c>
      <c r="E1398" s="2">
        <v>8151</v>
      </c>
    </row>
    <row r="1399" spans="1:5" x14ac:dyDescent="0.3">
      <c r="A1399" t="s">
        <v>18</v>
      </c>
      <c r="B1399" t="s">
        <v>21</v>
      </c>
      <c r="C1399" t="s">
        <v>14</v>
      </c>
      <c r="D1399" s="3">
        <v>45300</v>
      </c>
      <c r="E1399" s="2">
        <v>9608</v>
      </c>
    </row>
    <row r="1400" spans="1:5" x14ac:dyDescent="0.3">
      <c r="A1400" t="s">
        <v>33</v>
      </c>
      <c r="B1400" t="s">
        <v>11</v>
      </c>
      <c r="C1400" t="s">
        <v>19</v>
      </c>
      <c r="D1400" s="3">
        <v>45300</v>
      </c>
      <c r="E1400" s="2">
        <v>1398</v>
      </c>
    </row>
    <row r="1401" spans="1:5" x14ac:dyDescent="0.3">
      <c r="A1401" t="s">
        <v>15</v>
      </c>
      <c r="B1401" t="s">
        <v>6</v>
      </c>
      <c r="C1401" t="s">
        <v>25</v>
      </c>
      <c r="D1401" s="3">
        <v>45300</v>
      </c>
      <c r="E1401" s="2">
        <v>1975</v>
      </c>
    </row>
    <row r="1402" spans="1:5" x14ac:dyDescent="0.3">
      <c r="A1402" t="s">
        <v>29</v>
      </c>
      <c r="B1402" t="s">
        <v>13</v>
      </c>
      <c r="C1402" t="s">
        <v>25</v>
      </c>
      <c r="D1402" s="3">
        <v>45300</v>
      </c>
      <c r="E1402" s="2">
        <v>9132</v>
      </c>
    </row>
    <row r="1403" spans="1:5" x14ac:dyDescent="0.3">
      <c r="A1403" t="s">
        <v>18</v>
      </c>
      <c r="B1403" t="s">
        <v>13</v>
      </c>
      <c r="C1403" t="s">
        <v>7</v>
      </c>
      <c r="D1403" s="3">
        <v>45300</v>
      </c>
      <c r="E1403" s="2">
        <v>3723</v>
      </c>
    </row>
    <row r="1404" spans="1:5" x14ac:dyDescent="0.3">
      <c r="A1404" t="s">
        <v>5</v>
      </c>
      <c r="B1404" t="s">
        <v>6</v>
      </c>
      <c r="C1404" t="s">
        <v>28</v>
      </c>
      <c r="D1404" s="3">
        <v>45300</v>
      </c>
      <c r="E1404" s="2">
        <v>1243</v>
      </c>
    </row>
    <row r="1405" spans="1:5" x14ac:dyDescent="0.3">
      <c r="A1405" t="s">
        <v>20</v>
      </c>
      <c r="B1405" t="s">
        <v>21</v>
      </c>
      <c r="C1405" t="s">
        <v>25</v>
      </c>
      <c r="D1405" s="3">
        <v>45301</v>
      </c>
      <c r="E1405" s="2">
        <v>11464</v>
      </c>
    </row>
    <row r="1406" spans="1:5" x14ac:dyDescent="0.3">
      <c r="A1406" t="s">
        <v>15</v>
      </c>
      <c r="B1406" t="s">
        <v>6</v>
      </c>
      <c r="C1406" t="s">
        <v>28</v>
      </c>
      <c r="D1406" s="3">
        <v>45301</v>
      </c>
      <c r="E1406" s="2">
        <v>3469</v>
      </c>
    </row>
    <row r="1407" spans="1:5" x14ac:dyDescent="0.3">
      <c r="A1407" t="s">
        <v>29</v>
      </c>
      <c r="B1407" t="s">
        <v>6</v>
      </c>
      <c r="C1407" t="s">
        <v>28</v>
      </c>
      <c r="D1407" s="3">
        <v>45301</v>
      </c>
      <c r="E1407" s="2">
        <v>9136</v>
      </c>
    </row>
    <row r="1408" spans="1:5" x14ac:dyDescent="0.3">
      <c r="A1408" t="s">
        <v>33</v>
      </c>
      <c r="B1408" t="s">
        <v>11</v>
      </c>
      <c r="C1408" t="s">
        <v>14</v>
      </c>
      <c r="D1408" s="3">
        <v>45302</v>
      </c>
      <c r="E1408" s="2">
        <v>11549</v>
      </c>
    </row>
    <row r="1409" spans="1:5" x14ac:dyDescent="0.3">
      <c r="A1409" t="s">
        <v>26</v>
      </c>
      <c r="B1409" t="s">
        <v>16</v>
      </c>
      <c r="C1409" t="s">
        <v>25</v>
      </c>
      <c r="D1409" s="3">
        <v>45302</v>
      </c>
      <c r="E1409" s="2">
        <v>11348</v>
      </c>
    </row>
    <row r="1410" spans="1:5" x14ac:dyDescent="0.3">
      <c r="A1410" t="s">
        <v>27</v>
      </c>
      <c r="B1410" t="s">
        <v>6</v>
      </c>
      <c r="C1410" t="s">
        <v>25</v>
      </c>
      <c r="D1410" s="3">
        <v>45302</v>
      </c>
      <c r="E1410" s="2">
        <v>8021</v>
      </c>
    </row>
    <row r="1411" spans="1:5" x14ac:dyDescent="0.3">
      <c r="A1411" t="s">
        <v>30</v>
      </c>
      <c r="B1411" t="s">
        <v>16</v>
      </c>
      <c r="C1411" t="s">
        <v>7</v>
      </c>
      <c r="D1411" s="3">
        <v>45302</v>
      </c>
      <c r="E1411" s="2">
        <v>9330</v>
      </c>
    </row>
    <row r="1412" spans="1:5" x14ac:dyDescent="0.3">
      <c r="A1412" t="s">
        <v>29</v>
      </c>
      <c r="B1412" t="s">
        <v>6</v>
      </c>
      <c r="C1412" t="s">
        <v>12</v>
      </c>
      <c r="D1412" s="3">
        <v>45302</v>
      </c>
      <c r="E1412" s="2">
        <v>7024</v>
      </c>
    </row>
    <row r="1413" spans="1:5" x14ac:dyDescent="0.3">
      <c r="A1413" t="s">
        <v>5</v>
      </c>
      <c r="B1413" t="s">
        <v>13</v>
      </c>
      <c r="C1413" t="s">
        <v>14</v>
      </c>
      <c r="D1413" s="3">
        <v>45303</v>
      </c>
      <c r="E1413" s="2">
        <v>3790</v>
      </c>
    </row>
    <row r="1414" spans="1:5" x14ac:dyDescent="0.3">
      <c r="A1414" t="s">
        <v>5</v>
      </c>
      <c r="B1414" t="s">
        <v>13</v>
      </c>
      <c r="C1414" t="s">
        <v>14</v>
      </c>
      <c r="D1414" s="3">
        <v>45303</v>
      </c>
      <c r="E1414" s="2">
        <v>12482</v>
      </c>
    </row>
    <row r="1415" spans="1:5" x14ac:dyDescent="0.3">
      <c r="A1415" t="s">
        <v>8</v>
      </c>
      <c r="B1415" t="s">
        <v>13</v>
      </c>
      <c r="C1415" t="s">
        <v>28</v>
      </c>
      <c r="D1415" s="3">
        <v>45303</v>
      </c>
      <c r="E1415" s="2">
        <v>3147</v>
      </c>
    </row>
    <row r="1416" spans="1:5" x14ac:dyDescent="0.3">
      <c r="A1416" t="s">
        <v>10</v>
      </c>
      <c r="B1416" t="s">
        <v>11</v>
      </c>
      <c r="C1416" t="s">
        <v>12</v>
      </c>
      <c r="D1416" s="3">
        <v>45303</v>
      </c>
      <c r="E1416" s="2">
        <v>1280</v>
      </c>
    </row>
    <row r="1417" spans="1:5" x14ac:dyDescent="0.3">
      <c r="A1417" t="s">
        <v>20</v>
      </c>
      <c r="B1417" t="s">
        <v>11</v>
      </c>
      <c r="C1417" t="s">
        <v>12</v>
      </c>
      <c r="D1417" s="3">
        <v>45303</v>
      </c>
      <c r="E1417" s="2">
        <v>2160</v>
      </c>
    </row>
    <row r="1418" spans="1:5" x14ac:dyDescent="0.3">
      <c r="A1418" t="s">
        <v>18</v>
      </c>
      <c r="B1418" t="s">
        <v>9</v>
      </c>
      <c r="C1418" t="s">
        <v>14</v>
      </c>
      <c r="D1418" s="3">
        <v>45304</v>
      </c>
      <c r="E1418" s="2">
        <v>8538</v>
      </c>
    </row>
    <row r="1419" spans="1:5" x14ac:dyDescent="0.3">
      <c r="A1419" t="s">
        <v>29</v>
      </c>
      <c r="B1419" t="s">
        <v>21</v>
      </c>
      <c r="C1419" t="s">
        <v>14</v>
      </c>
      <c r="D1419" s="3">
        <v>45304</v>
      </c>
      <c r="E1419" s="2">
        <v>7712</v>
      </c>
    </row>
    <row r="1420" spans="1:5" x14ac:dyDescent="0.3">
      <c r="A1420" t="s">
        <v>30</v>
      </c>
      <c r="B1420" t="s">
        <v>11</v>
      </c>
      <c r="C1420" t="s">
        <v>17</v>
      </c>
      <c r="D1420" s="3">
        <v>45304</v>
      </c>
      <c r="E1420" s="2">
        <v>2882</v>
      </c>
    </row>
    <row r="1421" spans="1:5" x14ac:dyDescent="0.3">
      <c r="A1421" t="s">
        <v>29</v>
      </c>
      <c r="B1421" t="s">
        <v>6</v>
      </c>
      <c r="C1421" t="s">
        <v>12</v>
      </c>
      <c r="D1421" s="3">
        <v>45304</v>
      </c>
      <c r="E1421" s="2">
        <v>8920</v>
      </c>
    </row>
    <row r="1422" spans="1:5" x14ac:dyDescent="0.3">
      <c r="A1422" t="s">
        <v>22</v>
      </c>
      <c r="B1422" t="s">
        <v>6</v>
      </c>
      <c r="C1422" t="s">
        <v>19</v>
      </c>
      <c r="D1422" s="3">
        <v>45305</v>
      </c>
      <c r="E1422" s="2">
        <v>3757</v>
      </c>
    </row>
    <row r="1423" spans="1:5" x14ac:dyDescent="0.3">
      <c r="A1423" t="s">
        <v>8</v>
      </c>
      <c r="B1423" t="s">
        <v>21</v>
      </c>
      <c r="C1423" t="s">
        <v>23</v>
      </c>
      <c r="D1423" s="3">
        <v>45305</v>
      </c>
      <c r="E1423" s="2">
        <v>13946</v>
      </c>
    </row>
    <row r="1424" spans="1:5" x14ac:dyDescent="0.3">
      <c r="A1424" t="s">
        <v>15</v>
      </c>
      <c r="B1424" t="s">
        <v>21</v>
      </c>
      <c r="C1424" t="s">
        <v>25</v>
      </c>
      <c r="D1424" s="3">
        <v>45305</v>
      </c>
      <c r="E1424" s="2">
        <v>3206</v>
      </c>
    </row>
    <row r="1425" spans="1:5" x14ac:dyDescent="0.3">
      <c r="A1425" t="s">
        <v>24</v>
      </c>
      <c r="B1425" t="s">
        <v>9</v>
      </c>
      <c r="C1425" t="s">
        <v>28</v>
      </c>
      <c r="D1425" s="3">
        <v>45305</v>
      </c>
      <c r="E1425" s="2">
        <v>10245</v>
      </c>
    </row>
    <row r="1426" spans="1:5" x14ac:dyDescent="0.3">
      <c r="A1426" t="s">
        <v>10</v>
      </c>
      <c r="B1426" t="s">
        <v>9</v>
      </c>
      <c r="C1426" t="s">
        <v>17</v>
      </c>
      <c r="D1426" s="3">
        <v>45305</v>
      </c>
      <c r="E1426" s="2">
        <v>8862</v>
      </c>
    </row>
    <row r="1427" spans="1:5" x14ac:dyDescent="0.3">
      <c r="A1427" t="s">
        <v>32</v>
      </c>
      <c r="B1427" t="s">
        <v>13</v>
      </c>
      <c r="C1427" t="s">
        <v>17</v>
      </c>
      <c r="D1427" s="3">
        <v>45305</v>
      </c>
      <c r="E1427" s="2">
        <v>5034</v>
      </c>
    </row>
    <row r="1428" spans="1:5" x14ac:dyDescent="0.3">
      <c r="A1428" t="s">
        <v>8</v>
      </c>
      <c r="B1428" t="s">
        <v>9</v>
      </c>
      <c r="C1428" t="s">
        <v>17</v>
      </c>
      <c r="D1428" s="3">
        <v>45305</v>
      </c>
      <c r="E1428" s="2">
        <v>13921</v>
      </c>
    </row>
    <row r="1429" spans="1:5" x14ac:dyDescent="0.3">
      <c r="A1429" t="s">
        <v>20</v>
      </c>
      <c r="B1429" t="s">
        <v>16</v>
      </c>
      <c r="C1429" t="s">
        <v>14</v>
      </c>
      <c r="D1429" s="3">
        <v>45306</v>
      </c>
      <c r="E1429" s="2">
        <v>11961</v>
      </c>
    </row>
    <row r="1430" spans="1:5" x14ac:dyDescent="0.3">
      <c r="A1430" t="s">
        <v>8</v>
      </c>
      <c r="B1430" t="s">
        <v>11</v>
      </c>
      <c r="C1430" t="s">
        <v>14</v>
      </c>
      <c r="D1430" s="3">
        <v>45306</v>
      </c>
      <c r="E1430" s="2">
        <v>3255</v>
      </c>
    </row>
    <row r="1431" spans="1:5" x14ac:dyDescent="0.3">
      <c r="A1431" t="s">
        <v>22</v>
      </c>
      <c r="B1431" t="s">
        <v>9</v>
      </c>
      <c r="C1431" t="s">
        <v>25</v>
      </c>
      <c r="D1431" s="3">
        <v>45306</v>
      </c>
      <c r="E1431" s="2">
        <v>13991</v>
      </c>
    </row>
    <row r="1432" spans="1:5" x14ac:dyDescent="0.3">
      <c r="A1432" t="s">
        <v>22</v>
      </c>
      <c r="B1432" t="s">
        <v>11</v>
      </c>
      <c r="C1432" t="s">
        <v>17</v>
      </c>
      <c r="D1432" s="3">
        <v>45306</v>
      </c>
      <c r="E1432" s="2">
        <v>12954</v>
      </c>
    </row>
    <row r="1433" spans="1:5" x14ac:dyDescent="0.3">
      <c r="A1433" t="s">
        <v>20</v>
      </c>
      <c r="B1433" t="s">
        <v>21</v>
      </c>
      <c r="C1433" t="s">
        <v>12</v>
      </c>
      <c r="D1433" s="3">
        <v>45306</v>
      </c>
      <c r="E1433" s="2">
        <v>5548</v>
      </c>
    </row>
    <row r="1434" spans="1:5" x14ac:dyDescent="0.3">
      <c r="A1434" t="s">
        <v>27</v>
      </c>
      <c r="B1434" t="s">
        <v>9</v>
      </c>
      <c r="C1434" t="s">
        <v>19</v>
      </c>
      <c r="D1434" s="3">
        <v>45307</v>
      </c>
      <c r="E1434" s="2">
        <v>3338</v>
      </c>
    </row>
    <row r="1435" spans="1:5" x14ac:dyDescent="0.3">
      <c r="A1435" t="s">
        <v>20</v>
      </c>
      <c r="B1435" t="s">
        <v>9</v>
      </c>
      <c r="C1435" t="s">
        <v>23</v>
      </c>
      <c r="D1435" s="3">
        <v>45307</v>
      </c>
      <c r="E1435" s="2">
        <v>8111</v>
      </c>
    </row>
    <row r="1436" spans="1:5" x14ac:dyDescent="0.3">
      <c r="A1436" t="s">
        <v>31</v>
      </c>
      <c r="B1436" t="s">
        <v>21</v>
      </c>
      <c r="C1436" t="s">
        <v>25</v>
      </c>
      <c r="D1436" s="3">
        <v>45307</v>
      </c>
      <c r="E1436" s="2">
        <v>3388</v>
      </c>
    </row>
    <row r="1437" spans="1:5" x14ac:dyDescent="0.3">
      <c r="A1437" t="s">
        <v>22</v>
      </c>
      <c r="B1437" t="s">
        <v>11</v>
      </c>
      <c r="C1437" t="s">
        <v>17</v>
      </c>
      <c r="D1437" s="3">
        <v>45307</v>
      </c>
      <c r="E1437" s="2">
        <v>6031</v>
      </c>
    </row>
    <row r="1438" spans="1:5" x14ac:dyDescent="0.3">
      <c r="A1438" t="s">
        <v>5</v>
      </c>
      <c r="B1438" t="s">
        <v>6</v>
      </c>
      <c r="C1438" t="s">
        <v>17</v>
      </c>
      <c r="D1438" s="3">
        <v>45307</v>
      </c>
      <c r="E1438" s="2">
        <v>7427</v>
      </c>
    </row>
    <row r="1439" spans="1:5" x14ac:dyDescent="0.3">
      <c r="A1439" t="s">
        <v>15</v>
      </c>
      <c r="B1439" t="s">
        <v>6</v>
      </c>
      <c r="C1439" t="s">
        <v>28</v>
      </c>
      <c r="D1439" s="3">
        <v>45308</v>
      </c>
      <c r="E1439" s="2">
        <v>2277</v>
      </c>
    </row>
    <row r="1440" spans="1:5" x14ac:dyDescent="0.3">
      <c r="A1440" t="s">
        <v>5</v>
      </c>
      <c r="B1440" t="s">
        <v>13</v>
      </c>
      <c r="C1440" t="s">
        <v>23</v>
      </c>
      <c r="D1440" s="3">
        <v>45309</v>
      </c>
      <c r="E1440" s="2">
        <v>2711</v>
      </c>
    </row>
    <row r="1441" spans="1:5" x14ac:dyDescent="0.3">
      <c r="A1441" t="s">
        <v>15</v>
      </c>
      <c r="B1441" t="s">
        <v>6</v>
      </c>
      <c r="C1441" t="s">
        <v>25</v>
      </c>
      <c r="D1441" s="3">
        <v>45309</v>
      </c>
      <c r="E1441" s="2">
        <v>7226</v>
      </c>
    </row>
    <row r="1442" spans="1:5" x14ac:dyDescent="0.3">
      <c r="A1442" t="s">
        <v>10</v>
      </c>
      <c r="B1442" t="s">
        <v>16</v>
      </c>
      <c r="C1442" t="s">
        <v>12</v>
      </c>
      <c r="D1442" s="3">
        <v>45309</v>
      </c>
      <c r="E1442" s="2">
        <v>2255</v>
      </c>
    </row>
    <row r="1443" spans="1:5" x14ac:dyDescent="0.3">
      <c r="A1443" t="s">
        <v>8</v>
      </c>
      <c r="B1443" t="s">
        <v>9</v>
      </c>
      <c r="C1443" t="s">
        <v>12</v>
      </c>
      <c r="D1443" s="3">
        <v>45309</v>
      </c>
      <c r="E1443" s="2">
        <v>4056</v>
      </c>
    </row>
    <row r="1444" spans="1:5" x14ac:dyDescent="0.3">
      <c r="A1444" t="s">
        <v>24</v>
      </c>
      <c r="B1444" t="s">
        <v>16</v>
      </c>
      <c r="C1444" t="s">
        <v>12</v>
      </c>
      <c r="D1444" s="3">
        <v>45309</v>
      </c>
      <c r="E1444" s="2">
        <v>7099</v>
      </c>
    </row>
    <row r="1445" spans="1:5" x14ac:dyDescent="0.3">
      <c r="A1445" t="s">
        <v>20</v>
      </c>
      <c r="B1445" t="s">
        <v>21</v>
      </c>
      <c r="C1445" t="s">
        <v>23</v>
      </c>
      <c r="D1445" s="3">
        <v>45310</v>
      </c>
      <c r="E1445" s="2">
        <v>12145</v>
      </c>
    </row>
    <row r="1446" spans="1:5" x14ac:dyDescent="0.3">
      <c r="A1446" t="s">
        <v>26</v>
      </c>
      <c r="B1446" t="s">
        <v>11</v>
      </c>
      <c r="C1446" t="s">
        <v>23</v>
      </c>
      <c r="D1446" s="3">
        <v>45310</v>
      </c>
      <c r="E1446" s="2">
        <v>6408</v>
      </c>
    </row>
    <row r="1447" spans="1:5" x14ac:dyDescent="0.3">
      <c r="A1447" t="s">
        <v>8</v>
      </c>
      <c r="B1447" t="s">
        <v>9</v>
      </c>
      <c r="C1447" t="s">
        <v>25</v>
      </c>
      <c r="D1447" s="3">
        <v>45310</v>
      </c>
      <c r="E1447" s="2">
        <v>11167</v>
      </c>
    </row>
    <row r="1448" spans="1:5" x14ac:dyDescent="0.3">
      <c r="A1448" t="s">
        <v>24</v>
      </c>
      <c r="B1448" t="s">
        <v>11</v>
      </c>
      <c r="C1448" t="s">
        <v>25</v>
      </c>
      <c r="D1448" s="3">
        <v>45311</v>
      </c>
      <c r="E1448" s="2">
        <v>2777</v>
      </c>
    </row>
    <row r="1449" spans="1:5" x14ac:dyDescent="0.3">
      <c r="A1449" t="s">
        <v>33</v>
      </c>
      <c r="B1449" t="s">
        <v>9</v>
      </c>
      <c r="C1449" t="s">
        <v>28</v>
      </c>
      <c r="D1449" s="3">
        <v>45311</v>
      </c>
      <c r="E1449" s="2">
        <v>1195</v>
      </c>
    </row>
    <row r="1450" spans="1:5" x14ac:dyDescent="0.3">
      <c r="A1450" t="s">
        <v>32</v>
      </c>
      <c r="B1450" t="s">
        <v>11</v>
      </c>
      <c r="C1450" t="s">
        <v>12</v>
      </c>
      <c r="D1450" s="3">
        <v>45311</v>
      </c>
      <c r="E1450" s="2">
        <v>10757</v>
      </c>
    </row>
    <row r="1451" spans="1:5" x14ac:dyDescent="0.3">
      <c r="A1451" t="s">
        <v>8</v>
      </c>
      <c r="B1451" t="s">
        <v>6</v>
      </c>
      <c r="C1451" t="s">
        <v>25</v>
      </c>
      <c r="D1451" s="3">
        <v>45312</v>
      </c>
      <c r="E1451" s="2">
        <v>10355</v>
      </c>
    </row>
    <row r="1452" spans="1:5" x14ac:dyDescent="0.3">
      <c r="A1452" t="s">
        <v>32</v>
      </c>
      <c r="B1452" t="s">
        <v>21</v>
      </c>
      <c r="C1452" t="s">
        <v>23</v>
      </c>
      <c r="D1452" s="3">
        <v>45313</v>
      </c>
      <c r="E1452" s="2">
        <v>4063</v>
      </c>
    </row>
    <row r="1453" spans="1:5" x14ac:dyDescent="0.3">
      <c r="A1453" t="s">
        <v>30</v>
      </c>
      <c r="B1453" t="s">
        <v>11</v>
      </c>
      <c r="C1453" t="s">
        <v>23</v>
      </c>
      <c r="D1453" s="3">
        <v>45313</v>
      </c>
      <c r="E1453" s="2">
        <v>6940</v>
      </c>
    </row>
    <row r="1454" spans="1:5" x14ac:dyDescent="0.3">
      <c r="A1454" t="s">
        <v>29</v>
      </c>
      <c r="B1454" t="s">
        <v>9</v>
      </c>
      <c r="C1454" t="s">
        <v>28</v>
      </c>
      <c r="D1454" s="3">
        <v>45313</v>
      </c>
      <c r="E1454" s="2">
        <v>11454</v>
      </c>
    </row>
    <row r="1455" spans="1:5" x14ac:dyDescent="0.3">
      <c r="A1455" t="s">
        <v>8</v>
      </c>
      <c r="B1455" t="s">
        <v>16</v>
      </c>
      <c r="C1455" t="s">
        <v>28</v>
      </c>
      <c r="D1455" s="3">
        <v>45313</v>
      </c>
      <c r="E1455" s="2">
        <v>7770</v>
      </c>
    </row>
    <row r="1456" spans="1:5" x14ac:dyDescent="0.3">
      <c r="A1456" t="s">
        <v>20</v>
      </c>
      <c r="B1456" t="s">
        <v>6</v>
      </c>
      <c r="C1456" t="s">
        <v>12</v>
      </c>
      <c r="D1456" s="3">
        <v>45313</v>
      </c>
      <c r="E1456" s="2">
        <v>12408</v>
      </c>
    </row>
    <row r="1457" spans="1:5" x14ac:dyDescent="0.3">
      <c r="A1457" t="s">
        <v>27</v>
      </c>
      <c r="B1457" t="s">
        <v>9</v>
      </c>
      <c r="C1457" t="s">
        <v>14</v>
      </c>
      <c r="D1457" s="3">
        <v>45314</v>
      </c>
      <c r="E1457" s="2">
        <v>2625</v>
      </c>
    </row>
    <row r="1458" spans="1:5" x14ac:dyDescent="0.3">
      <c r="A1458" t="s">
        <v>32</v>
      </c>
      <c r="B1458" t="s">
        <v>13</v>
      </c>
      <c r="C1458" t="s">
        <v>23</v>
      </c>
      <c r="D1458" s="3">
        <v>45314</v>
      </c>
      <c r="E1458" s="2">
        <v>12674</v>
      </c>
    </row>
    <row r="1459" spans="1:5" x14ac:dyDescent="0.3">
      <c r="A1459" t="s">
        <v>30</v>
      </c>
      <c r="B1459" t="s">
        <v>6</v>
      </c>
      <c r="C1459" t="s">
        <v>23</v>
      </c>
      <c r="D1459" s="3">
        <v>45314</v>
      </c>
      <c r="E1459" s="2">
        <v>11831</v>
      </c>
    </row>
    <row r="1460" spans="1:5" x14ac:dyDescent="0.3">
      <c r="A1460" t="s">
        <v>8</v>
      </c>
      <c r="B1460" t="s">
        <v>6</v>
      </c>
      <c r="C1460" t="s">
        <v>7</v>
      </c>
      <c r="D1460" s="3">
        <v>45314</v>
      </c>
      <c r="E1460" s="2">
        <v>13222</v>
      </c>
    </row>
    <row r="1461" spans="1:5" x14ac:dyDescent="0.3">
      <c r="A1461" t="s">
        <v>15</v>
      </c>
      <c r="B1461" t="s">
        <v>13</v>
      </c>
      <c r="C1461" t="s">
        <v>12</v>
      </c>
      <c r="D1461" s="3">
        <v>45314</v>
      </c>
      <c r="E1461" s="2">
        <v>11437</v>
      </c>
    </row>
    <row r="1462" spans="1:5" x14ac:dyDescent="0.3">
      <c r="A1462" t="s">
        <v>33</v>
      </c>
      <c r="B1462" t="s">
        <v>9</v>
      </c>
      <c r="C1462" t="s">
        <v>14</v>
      </c>
      <c r="D1462" s="3">
        <v>45315</v>
      </c>
      <c r="E1462" s="2">
        <v>11245</v>
      </c>
    </row>
    <row r="1463" spans="1:5" x14ac:dyDescent="0.3">
      <c r="A1463" t="s">
        <v>22</v>
      </c>
      <c r="B1463" t="s">
        <v>21</v>
      </c>
      <c r="C1463" t="s">
        <v>19</v>
      </c>
      <c r="D1463" s="3">
        <v>45315</v>
      </c>
      <c r="E1463" s="2">
        <v>12076</v>
      </c>
    </row>
    <row r="1464" spans="1:5" x14ac:dyDescent="0.3">
      <c r="A1464" t="s">
        <v>10</v>
      </c>
      <c r="B1464" t="s">
        <v>6</v>
      </c>
      <c r="C1464" t="s">
        <v>23</v>
      </c>
      <c r="D1464" s="3">
        <v>45316</v>
      </c>
      <c r="E1464" s="2">
        <v>4966</v>
      </c>
    </row>
    <row r="1465" spans="1:5" x14ac:dyDescent="0.3">
      <c r="A1465" t="s">
        <v>32</v>
      </c>
      <c r="B1465" t="s">
        <v>9</v>
      </c>
      <c r="C1465" t="s">
        <v>25</v>
      </c>
      <c r="D1465" s="3">
        <v>45316</v>
      </c>
      <c r="E1465" s="2">
        <v>9309</v>
      </c>
    </row>
    <row r="1466" spans="1:5" x14ac:dyDescent="0.3">
      <c r="A1466" t="s">
        <v>10</v>
      </c>
      <c r="B1466" t="s">
        <v>6</v>
      </c>
      <c r="C1466" t="s">
        <v>7</v>
      </c>
      <c r="D1466" s="3">
        <v>45316</v>
      </c>
      <c r="E1466" s="2">
        <v>3365</v>
      </c>
    </row>
    <row r="1467" spans="1:5" x14ac:dyDescent="0.3">
      <c r="A1467" t="s">
        <v>22</v>
      </c>
      <c r="B1467" t="s">
        <v>11</v>
      </c>
      <c r="C1467" t="s">
        <v>7</v>
      </c>
      <c r="D1467" s="3">
        <v>45316</v>
      </c>
      <c r="E1467" s="2">
        <v>2847</v>
      </c>
    </row>
    <row r="1468" spans="1:5" x14ac:dyDescent="0.3">
      <c r="A1468" t="s">
        <v>18</v>
      </c>
      <c r="B1468" t="s">
        <v>11</v>
      </c>
      <c r="C1468" t="s">
        <v>17</v>
      </c>
      <c r="D1468" s="3">
        <v>45316</v>
      </c>
      <c r="E1468" s="2">
        <v>10714</v>
      </c>
    </row>
    <row r="1469" spans="1:5" x14ac:dyDescent="0.3">
      <c r="A1469" t="s">
        <v>10</v>
      </c>
      <c r="B1469" t="s">
        <v>16</v>
      </c>
      <c r="C1469" t="s">
        <v>12</v>
      </c>
      <c r="D1469" s="3">
        <v>45316</v>
      </c>
      <c r="E1469" s="2">
        <v>13965</v>
      </c>
    </row>
    <row r="1470" spans="1:5" x14ac:dyDescent="0.3">
      <c r="A1470" t="s">
        <v>33</v>
      </c>
      <c r="B1470" t="s">
        <v>6</v>
      </c>
      <c r="C1470" t="s">
        <v>12</v>
      </c>
      <c r="D1470" s="3">
        <v>45316</v>
      </c>
      <c r="E1470" s="2">
        <v>2841</v>
      </c>
    </row>
    <row r="1471" spans="1:5" x14ac:dyDescent="0.3">
      <c r="A1471" t="s">
        <v>18</v>
      </c>
      <c r="B1471" t="s">
        <v>9</v>
      </c>
      <c r="C1471" t="s">
        <v>14</v>
      </c>
      <c r="D1471" s="3">
        <v>45317</v>
      </c>
      <c r="E1471" s="2">
        <v>9998</v>
      </c>
    </row>
    <row r="1472" spans="1:5" x14ac:dyDescent="0.3">
      <c r="A1472" t="s">
        <v>29</v>
      </c>
      <c r="B1472" t="s">
        <v>13</v>
      </c>
      <c r="C1472" t="s">
        <v>23</v>
      </c>
      <c r="D1472" s="3">
        <v>45317</v>
      </c>
      <c r="E1472" s="2">
        <v>10019</v>
      </c>
    </row>
    <row r="1473" spans="1:5" x14ac:dyDescent="0.3">
      <c r="A1473" t="s">
        <v>8</v>
      </c>
      <c r="B1473" t="s">
        <v>16</v>
      </c>
      <c r="C1473" t="s">
        <v>28</v>
      </c>
      <c r="D1473" s="3">
        <v>45317</v>
      </c>
      <c r="E1473" s="2">
        <v>12072</v>
      </c>
    </row>
    <row r="1474" spans="1:5" x14ac:dyDescent="0.3">
      <c r="A1474" t="s">
        <v>5</v>
      </c>
      <c r="B1474" t="s">
        <v>11</v>
      </c>
      <c r="C1474" t="s">
        <v>17</v>
      </c>
      <c r="D1474" s="3">
        <v>45317</v>
      </c>
      <c r="E1474" s="2">
        <v>6881</v>
      </c>
    </row>
    <row r="1475" spans="1:5" x14ac:dyDescent="0.3">
      <c r="A1475" t="s">
        <v>5</v>
      </c>
      <c r="B1475" t="s">
        <v>21</v>
      </c>
      <c r="C1475" t="s">
        <v>12</v>
      </c>
      <c r="D1475" s="3">
        <v>45317</v>
      </c>
      <c r="E1475" s="2">
        <v>4414</v>
      </c>
    </row>
    <row r="1476" spans="1:5" x14ac:dyDescent="0.3">
      <c r="A1476" t="s">
        <v>8</v>
      </c>
      <c r="B1476" t="s">
        <v>11</v>
      </c>
      <c r="C1476" t="s">
        <v>12</v>
      </c>
      <c r="D1476" s="3">
        <v>45317</v>
      </c>
      <c r="E1476" s="2">
        <v>6083</v>
      </c>
    </row>
    <row r="1477" spans="1:5" x14ac:dyDescent="0.3">
      <c r="A1477" t="s">
        <v>8</v>
      </c>
      <c r="B1477" t="s">
        <v>9</v>
      </c>
      <c r="C1477" t="s">
        <v>23</v>
      </c>
      <c r="D1477" s="3">
        <v>45318</v>
      </c>
      <c r="E1477" s="2">
        <v>5648</v>
      </c>
    </row>
    <row r="1478" spans="1:5" x14ac:dyDescent="0.3">
      <c r="A1478" t="s">
        <v>26</v>
      </c>
      <c r="B1478" t="s">
        <v>6</v>
      </c>
      <c r="C1478" t="s">
        <v>28</v>
      </c>
      <c r="D1478" s="3">
        <v>45318</v>
      </c>
      <c r="E1478" s="2">
        <v>1932</v>
      </c>
    </row>
    <row r="1479" spans="1:5" x14ac:dyDescent="0.3">
      <c r="A1479" t="s">
        <v>29</v>
      </c>
      <c r="B1479" t="s">
        <v>6</v>
      </c>
      <c r="C1479" t="s">
        <v>17</v>
      </c>
      <c r="D1479" s="3">
        <v>45318</v>
      </c>
      <c r="E1479" s="2">
        <v>4466</v>
      </c>
    </row>
    <row r="1480" spans="1:5" x14ac:dyDescent="0.3">
      <c r="A1480" t="s">
        <v>20</v>
      </c>
      <c r="B1480" t="s">
        <v>9</v>
      </c>
      <c r="C1480" t="s">
        <v>19</v>
      </c>
      <c r="D1480" s="3">
        <v>45319</v>
      </c>
      <c r="E1480" s="2">
        <v>8317</v>
      </c>
    </row>
    <row r="1481" spans="1:5" x14ac:dyDescent="0.3">
      <c r="A1481" t="s">
        <v>29</v>
      </c>
      <c r="B1481" t="s">
        <v>13</v>
      </c>
      <c r="C1481" t="s">
        <v>7</v>
      </c>
      <c r="D1481" s="3">
        <v>45319</v>
      </c>
      <c r="E1481" s="2">
        <v>3212</v>
      </c>
    </row>
    <row r="1482" spans="1:5" x14ac:dyDescent="0.3">
      <c r="A1482" t="s">
        <v>15</v>
      </c>
      <c r="B1482" t="s">
        <v>21</v>
      </c>
      <c r="C1482" t="s">
        <v>14</v>
      </c>
      <c r="D1482" s="3">
        <v>45320</v>
      </c>
      <c r="E1482" s="2">
        <v>10664</v>
      </c>
    </row>
    <row r="1483" spans="1:5" x14ac:dyDescent="0.3">
      <c r="A1483" t="s">
        <v>22</v>
      </c>
      <c r="B1483" t="s">
        <v>6</v>
      </c>
      <c r="C1483" t="s">
        <v>23</v>
      </c>
      <c r="D1483" s="3">
        <v>45320</v>
      </c>
      <c r="E1483" s="2">
        <v>12783</v>
      </c>
    </row>
    <row r="1484" spans="1:5" x14ac:dyDescent="0.3">
      <c r="A1484" t="s">
        <v>29</v>
      </c>
      <c r="B1484" t="s">
        <v>13</v>
      </c>
      <c r="C1484" t="s">
        <v>25</v>
      </c>
      <c r="D1484" s="3">
        <v>45320</v>
      </c>
      <c r="E1484" s="2">
        <v>6558</v>
      </c>
    </row>
    <row r="1485" spans="1:5" x14ac:dyDescent="0.3">
      <c r="A1485" t="s">
        <v>5</v>
      </c>
      <c r="B1485" t="s">
        <v>21</v>
      </c>
      <c r="C1485" t="s">
        <v>7</v>
      </c>
      <c r="D1485" s="3">
        <v>45320</v>
      </c>
      <c r="E1485" s="2">
        <v>7410</v>
      </c>
    </row>
    <row r="1486" spans="1:5" x14ac:dyDescent="0.3">
      <c r="A1486" t="s">
        <v>27</v>
      </c>
      <c r="B1486" t="s">
        <v>6</v>
      </c>
      <c r="C1486" t="s">
        <v>12</v>
      </c>
      <c r="D1486" s="3">
        <v>45320</v>
      </c>
      <c r="E1486" s="2">
        <v>13831</v>
      </c>
    </row>
    <row r="1487" spans="1:5" x14ac:dyDescent="0.3">
      <c r="A1487" t="s">
        <v>24</v>
      </c>
      <c r="B1487" t="s">
        <v>13</v>
      </c>
      <c r="C1487" t="s">
        <v>25</v>
      </c>
      <c r="D1487" s="3">
        <v>45321</v>
      </c>
      <c r="E1487" s="2">
        <v>11971</v>
      </c>
    </row>
    <row r="1488" spans="1:5" x14ac:dyDescent="0.3">
      <c r="A1488" t="s">
        <v>24</v>
      </c>
      <c r="B1488" t="s">
        <v>6</v>
      </c>
      <c r="C1488" t="s">
        <v>14</v>
      </c>
      <c r="D1488" s="3">
        <v>45322</v>
      </c>
      <c r="E1488" s="2">
        <v>9373</v>
      </c>
    </row>
    <row r="1489" spans="1:5" x14ac:dyDescent="0.3">
      <c r="A1489" t="s">
        <v>20</v>
      </c>
      <c r="B1489" t="s">
        <v>16</v>
      </c>
      <c r="C1489" t="s">
        <v>14</v>
      </c>
      <c r="D1489" s="3">
        <v>45322</v>
      </c>
      <c r="E1489" s="2">
        <v>13782</v>
      </c>
    </row>
    <row r="1490" spans="1:5" x14ac:dyDescent="0.3">
      <c r="A1490" t="s">
        <v>31</v>
      </c>
      <c r="B1490" t="s">
        <v>21</v>
      </c>
      <c r="C1490" t="s">
        <v>25</v>
      </c>
      <c r="D1490" s="3">
        <v>45322</v>
      </c>
      <c r="E1490" s="2">
        <v>3294</v>
      </c>
    </row>
    <row r="1491" spans="1:5" x14ac:dyDescent="0.3">
      <c r="A1491" t="s">
        <v>18</v>
      </c>
      <c r="B1491" t="s">
        <v>21</v>
      </c>
      <c r="C1491" t="s">
        <v>19</v>
      </c>
      <c r="D1491" s="3">
        <v>45323</v>
      </c>
      <c r="E1491" s="2">
        <v>5975</v>
      </c>
    </row>
    <row r="1492" spans="1:5" x14ac:dyDescent="0.3">
      <c r="A1492" t="s">
        <v>24</v>
      </c>
      <c r="B1492" t="s">
        <v>6</v>
      </c>
      <c r="C1492" t="s">
        <v>19</v>
      </c>
      <c r="D1492" s="3">
        <v>45323</v>
      </c>
      <c r="E1492" s="2">
        <v>9986</v>
      </c>
    </row>
    <row r="1493" spans="1:5" x14ac:dyDescent="0.3">
      <c r="A1493" t="s">
        <v>8</v>
      </c>
      <c r="B1493" t="s">
        <v>21</v>
      </c>
      <c r="C1493" t="s">
        <v>25</v>
      </c>
      <c r="D1493" s="3">
        <v>45323</v>
      </c>
      <c r="E1493" s="2">
        <v>10455</v>
      </c>
    </row>
    <row r="1494" spans="1:5" x14ac:dyDescent="0.3">
      <c r="A1494" t="s">
        <v>24</v>
      </c>
      <c r="B1494" t="s">
        <v>9</v>
      </c>
      <c r="C1494" t="s">
        <v>28</v>
      </c>
      <c r="D1494" s="3">
        <v>45323</v>
      </c>
      <c r="E1494" s="2">
        <v>6110</v>
      </c>
    </row>
    <row r="1495" spans="1:5" x14ac:dyDescent="0.3">
      <c r="A1495" t="s">
        <v>27</v>
      </c>
      <c r="B1495" t="s">
        <v>16</v>
      </c>
      <c r="C1495" t="s">
        <v>12</v>
      </c>
      <c r="D1495" s="3">
        <v>45323</v>
      </c>
      <c r="E1495" s="2">
        <v>12934</v>
      </c>
    </row>
    <row r="1496" spans="1:5" x14ac:dyDescent="0.3">
      <c r="A1496" t="s">
        <v>24</v>
      </c>
      <c r="B1496" t="s">
        <v>21</v>
      </c>
      <c r="C1496" t="s">
        <v>19</v>
      </c>
      <c r="D1496" s="3">
        <v>45324</v>
      </c>
      <c r="E1496" s="2">
        <v>2728</v>
      </c>
    </row>
    <row r="1497" spans="1:5" x14ac:dyDescent="0.3">
      <c r="A1497" t="s">
        <v>32</v>
      </c>
      <c r="B1497" t="s">
        <v>21</v>
      </c>
      <c r="C1497" t="s">
        <v>25</v>
      </c>
      <c r="D1497" s="3">
        <v>45325</v>
      </c>
      <c r="E1497" s="2">
        <v>9183</v>
      </c>
    </row>
    <row r="1498" spans="1:5" x14ac:dyDescent="0.3">
      <c r="A1498" t="s">
        <v>27</v>
      </c>
      <c r="B1498" t="s">
        <v>6</v>
      </c>
      <c r="C1498" t="s">
        <v>28</v>
      </c>
      <c r="D1498" s="3">
        <v>45325</v>
      </c>
      <c r="E1498" s="2">
        <v>3327</v>
      </c>
    </row>
    <row r="1499" spans="1:5" x14ac:dyDescent="0.3">
      <c r="A1499" t="s">
        <v>26</v>
      </c>
      <c r="B1499" t="s">
        <v>11</v>
      </c>
      <c r="C1499" t="s">
        <v>28</v>
      </c>
      <c r="D1499" s="3">
        <v>45325</v>
      </c>
      <c r="E1499" s="2">
        <v>12096</v>
      </c>
    </row>
    <row r="1500" spans="1:5" x14ac:dyDescent="0.3">
      <c r="A1500" t="s">
        <v>30</v>
      </c>
      <c r="B1500" t="s">
        <v>13</v>
      </c>
      <c r="C1500" t="s">
        <v>14</v>
      </c>
      <c r="D1500" s="3">
        <v>45326</v>
      </c>
      <c r="E1500" s="2">
        <v>8289</v>
      </c>
    </row>
    <row r="1501" spans="1:5" x14ac:dyDescent="0.3">
      <c r="A1501" t="s">
        <v>24</v>
      </c>
      <c r="B1501" t="s">
        <v>11</v>
      </c>
      <c r="C1501" t="s">
        <v>23</v>
      </c>
      <c r="D1501" s="3">
        <v>45326</v>
      </c>
      <c r="E1501" s="2">
        <v>12579</v>
      </c>
    </row>
    <row r="1502" spans="1:5" x14ac:dyDescent="0.3">
      <c r="A1502" t="s">
        <v>32</v>
      </c>
      <c r="B1502" t="s">
        <v>6</v>
      </c>
      <c r="C1502" t="s">
        <v>25</v>
      </c>
      <c r="D1502" s="3">
        <v>45326</v>
      </c>
      <c r="E1502" s="2">
        <v>3926</v>
      </c>
    </row>
    <row r="1503" spans="1:5" x14ac:dyDescent="0.3">
      <c r="A1503" t="s">
        <v>10</v>
      </c>
      <c r="B1503" t="s">
        <v>16</v>
      </c>
      <c r="C1503" t="s">
        <v>7</v>
      </c>
      <c r="D1503" s="3">
        <v>45326</v>
      </c>
      <c r="E1503" s="2">
        <v>5313</v>
      </c>
    </row>
    <row r="1504" spans="1:5" x14ac:dyDescent="0.3">
      <c r="A1504" t="s">
        <v>10</v>
      </c>
      <c r="B1504" t="s">
        <v>11</v>
      </c>
      <c r="C1504" t="s">
        <v>28</v>
      </c>
      <c r="D1504" s="3">
        <v>45327</v>
      </c>
      <c r="E1504" s="2">
        <v>1587</v>
      </c>
    </row>
    <row r="1505" spans="1:5" x14ac:dyDescent="0.3">
      <c r="A1505" t="s">
        <v>22</v>
      </c>
      <c r="B1505" t="s">
        <v>6</v>
      </c>
      <c r="C1505" t="s">
        <v>28</v>
      </c>
      <c r="D1505" s="3">
        <v>45327</v>
      </c>
      <c r="E1505" s="2">
        <v>12056</v>
      </c>
    </row>
    <row r="1506" spans="1:5" x14ac:dyDescent="0.3">
      <c r="A1506" t="s">
        <v>5</v>
      </c>
      <c r="B1506" t="s">
        <v>13</v>
      </c>
      <c r="C1506" t="s">
        <v>28</v>
      </c>
      <c r="D1506" s="3">
        <v>45327</v>
      </c>
      <c r="E1506" s="2">
        <v>11892</v>
      </c>
    </row>
    <row r="1507" spans="1:5" x14ac:dyDescent="0.3">
      <c r="A1507" t="s">
        <v>27</v>
      </c>
      <c r="B1507" t="s">
        <v>11</v>
      </c>
      <c r="C1507" t="s">
        <v>17</v>
      </c>
      <c r="D1507" s="3">
        <v>45327</v>
      </c>
      <c r="E1507" s="2">
        <v>10203</v>
      </c>
    </row>
    <row r="1508" spans="1:5" x14ac:dyDescent="0.3">
      <c r="A1508" t="s">
        <v>24</v>
      </c>
      <c r="B1508" t="s">
        <v>13</v>
      </c>
      <c r="C1508" t="s">
        <v>25</v>
      </c>
      <c r="D1508" s="3">
        <v>45328</v>
      </c>
      <c r="E1508" s="2">
        <v>2147</v>
      </c>
    </row>
    <row r="1509" spans="1:5" x14ac:dyDescent="0.3">
      <c r="A1509" t="s">
        <v>27</v>
      </c>
      <c r="B1509" t="s">
        <v>6</v>
      </c>
      <c r="C1509" t="s">
        <v>25</v>
      </c>
      <c r="D1509" s="3">
        <v>45328</v>
      </c>
      <c r="E1509" s="2">
        <v>6607</v>
      </c>
    </row>
    <row r="1510" spans="1:5" x14ac:dyDescent="0.3">
      <c r="A1510" t="s">
        <v>5</v>
      </c>
      <c r="B1510" t="s">
        <v>16</v>
      </c>
      <c r="C1510" t="s">
        <v>7</v>
      </c>
      <c r="D1510" s="3">
        <v>45328</v>
      </c>
      <c r="E1510" s="2">
        <v>7221</v>
      </c>
    </row>
    <row r="1511" spans="1:5" x14ac:dyDescent="0.3">
      <c r="A1511" t="s">
        <v>24</v>
      </c>
      <c r="B1511" t="s">
        <v>6</v>
      </c>
      <c r="C1511" t="s">
        <v>7</v>
      </c>
      <c r="D1511" s="3">
        <v>45328</v>
      </c>
      <c r="E1511" s="2">
        <v>11411</v>
      </c>
    </row>
    <row r="1512" spans="1:5" x14ac:dyDescent="0.3">
      <c r="A1512" t="s">
        <v>20</v>
      </c>
      <c r="B1512" t="s">
        <v>21</v>
      </c>
      <c r="C1512" t="s">
        <v>28</v>
      </c>
      <c r="D1512" s="3">
        <v>45328</v>
      </c>
      <c r="E1512" s="2">
        <v>3169</v>
      </c>
    </row>
    <row r="1513" spans="1:5" x14ac:dyDescent="0.3">
      <c r="A1513" t="s">
        <v>10</v>
      </c>
      <c r="B1513" t="s">
        <v>6</v>
      </c>
      <c r="C1513" t="s">
        <v>17</v>
      </c>
      <c r="D1513" s="3">
        <v>45328</v>
      </c>
      <c r="E1513" s="2">
        <v>2877</v>
      </c>
    </row>
    <row r="1514" spans="1:5" x14ac:dyDescent="0.3">
      <c r="A1514" t="s">
        <v>15</v>
      </c>
      <c r="B1514" t="s">
        <v>13</v>
      </c>
      <c r="C1514" t="s">
        <v>14</v>
      </c>
      <c r="D1514" s="3">
        <v>45329</v>
      </c>
      <c r="E1514" s="2">
        <v>7885</v>
      </c>
    </row>
    <row r="1515" spans="1:5" x14ac:dyDescent="0.3">
      <c r="A1515" t="s">
        <v>10</v>
      </c>
      <c r="B1515" t="s">
        <v>13</v>
      </c>
      <c r="C1515" t="s">
        <v>7</v>
      </c>
      <c r="D1515" s="3">
        <v>45329</v>
      </c>
      <c r="E1515" s="2">
        <v>5604</v>
      </c>
    </row>
    <row r="1516" spans="1:5" x14ac:dyDescent="0.3">
      <c r="A1516" t="s">
        <v>29</v>
      </c>
      <c r="B1516" t="s">
        <v>21</v>
      </c>
      <c r="C1516" t="s">
        <v>28</v>
      </c>
      <c r="D1516" s="3">
        <v>45329</v>
      </c>
      <c r="E1516" s="2">
        <v>2682</v>
      </c>
    </row>
    <row r="1517" spans="1:5" x14ac:dyDescent="0.3">
      <c r="A1517" t="s">
        <v>29</v>
      </c>
      <c r="B1517" t="s">
        <v>6</v>
      </c>
      <c r="C1517" t="s">
        <v>19</v>
      </c>
      <c r="D1517" s="3">
        <v>45330</v>
      </c>
      <c r="E1517" s="2">
        <v>7658</v>
      </c>
    </row>
    <row r="1518" spans="1:5" x14ac:dyDescent="0.3">
      <c r="A1518" t="s">
        <v>31</v>
      </c>
      <c r="B1518" t="s">
        <v>21</v>
      </c>
      <c r="C1518" t="s">
        <v>19</v>
      </c>
      <c r="D1518" s="3">
        <v>45330</v>
      </c>
      <c r="E1518" s="2">
        <v>4406</v>
      </c>
    </row>
    <row r="1519" spans="1:5" x14ac:dyDescent="0.3">
      <c r="A1519" t="s">
        <v>8</v>
      </c>
      <c r="B1519" t="s">
        <v>16</v>
      </c>
      <c r="C1519" t="s">
        <v>7</v>
      </c>
      <c r="D1519" s="3">
        <v>45330</v>
      </c>
      <c r="E1519" s="2">
        <v>2876</v>
      </c>
    </row>
    <row r="1520" spans="1:5" x14ac:dyDescent="0.3">
      <c r="A1520" t="s">
        <v>5</v>
      </c>
      <c r="B1520" t="s">
        <v>6</v>
      </c>
      <c r="C1520" t="s">
        <v>17</v>
      </c>
      <c r="D1520" s="3">
        <v>45330</v>
      </c>
      <c r="E1520" s="2">
        <v>13595</v>
      </c>
    </row>
    <row r="1521" spans="1:5" x14ac:dyDescent="0.3">
      <c r="A1521" t="s">
        <v>33</v>
      </c>
      <c r="B1521" t="s">
        <v>6</v>
      </c>
      <c r="C1521" t="s">
        <v>12</v>
      </c>
      <c r="D1521" s="3">
        <v>45330</v>
      </c>
      <c r="E1521" s="2">
        <v>9175</v>
      </c>
    </row>
    <row r="1522" spans="1:5" x14ac:dyDescent="0.3">
      <c r="A1522" t="s">
        <v>20</v>
      </c>
      <c r="B1522" t="s">
        <v>11</v>
      </c>
      <c r="C1522" t="s">
        <v>14</v>
      </c>
      <c r="D1522" s="3">
        <v>45331</v>
      </c>
      <c r="E1522" s="2">
        <v>1949</v>
      </c>
    </row>
    <row r="1523" spans="1:5" x14ac:dyDescent="0.3">
      <c r="A1523" t="s">
        <v>32</v>
      </c>
      <c r="B1523" t="s">
        <v>6</v>
      </c>
      <c r="C1523" t="s">
        <v>23</v>
      </c>
      <c r="D1523" s="3">
        <v>45331</v>
      </c>
      <c r="E1523" s="2">
        <v>5749</v>
      </c>
    </row>
    <row r="1524" spans="1:5" x14ac:dyDescent="0.3">
      <c r="A1524" t="s">
        <v>20</v>
      </c>
      <c r="B1524" t="s">
        <v>9</v>
      </c>
      <c r="C1524" t="s">
        <v>19</v>
      </c>
      <c r="D1524" s="3">
        <v>45332</v>
      </c>
      <c r="E1524" s="2">
        <v>4813</v>
      </c>
    </row>
    <row r="1525" spans="1:5" x14ac:dyDescent="0.3">
      <c r="A1525" t="s">
        <v>18</v>
      </c>
      <c r="B1525" t="s">
        <v>11</v>
      </c>
      <c r="C1525" t="s">
        <v>23</v>
      </c>
      <c r="D1525" s="3">
        <v>45332</v>
      </c>
      <c r="E1525" s="2">
        <v>7002</v>
      </c>
    </row>
    <row r="1526" spans="1:5" x14ac:dyDescent="0.3">
      <c r="A1526" t="s">
        <v>27</v>
      </c>
      <c r="B1526" t="s">
        <v>16</v>
      </c>
      <c r="C1526" t="s">
        <v>12</v>
      </c>
      <c r="D1526" s="3">
        <v>45332</v>
      </c>
      <c r="E1526" s="2">
        <v>9369</v>
      </c>
    </row>
    <row r="1527" spans="1:5" x14ac:dyDescent="0.3">
      <c r="A1527" t="s">
        <v>30</v>
      </c>
      <c r="B1527" t="s">
        <v>11</v>
      </c>
      <c r="C1527" t="s">
        <v>12</v>
      </c>
      <c r="D1527" s="3">
        <v>45333</v>
      </c>
      <c r="E1527" s="2">
        <v>12616</v>
      </c>
    </row>
    <row r="1528" spans="1:5" x14ac:dyDescent="0.3">
      <c r="A1528" t="s">
        <v>15</v>
      </c>
      <c r="B1528" t="s">
        <v>6</v>
      </c>
      <c r="C1528" t="s">
        <v>19</v>
      </c>
      <c r="D1528" s="3">
        <v>45334</v>
      </c>
      <c r="E1528" s="2">
        <v>6131</v>
      </c>
    </row>
    <row r="1529" spans="1:5" x14ac:dyDescent="0.3">
      <c r="A1529" t="s">
        <v>32</v>
      </c>
      <c r="B1529" t="s">
        <v>16</v>
      </c>
      <c r="C1529" t="s">
        <v>7</v>
      </c>
      <c r="D1529" s="3">
        <v>45334</v>
      </c>
      <c r="E1529" s="2">
        <v>10099</v>
      </c>
    </row>
    <row r="1530" spans="1:5" x14ac:dyDescent="0.3">
      <c r="A1530" t="s">
        <v>5</v>
      </c>
      <c r="B1530" t="s">
        <v>9</v>
      </c>
      <c r="C1530" t="s">
        <v>7</v>
      </c>
      <c r="D1530" s="3">
        <v>45334</v>
      </c>
      <c r="E1530" s="2">
        <v>13731</v>
      </c>
    </row>
    <row r="1531" spans="1:5" x14ac:dyDescent="0.3">
      <c r="A1531" t="s">
        <v>20</v>
      </c>
      <c r="B1531" t="s">
        <v>13</v>
      </c>
      <c r="C1531" t="s">
        <v>14</v>
      </c>
      <c r="D1531" s="3">
        <v>45335</v>
      </c>
      <c r="E1531" s="2">
        <v>9193</v>
      </c>
    </row>
    <row r="1532" spans="1:5" x14ac:dyDescent="0.3">
      <c r="A1532" t="s">
        <v>26</v>
      </c>
      <c r="B1532" t="s">
        <v>13</v>
      </c>
      <c r="C1532" t="s">
        <v>7</v>
      </c>
      <c r="D1532" s="3">
        <v>45335</v>
      </c>
      <c r="E1532" s="2">
        <v>12749</v>
      </c>
    </row>
    <row r="1533" spans="1:5" x14ac:dyDescent="0.3">
      <c r="A1533" t="s">
        <v>26</v>
      </c>
      <c r="B1533" t="s">
        <v>13</v>
      </c>
      <c r="C1533" t="s">
        <v>7</v>
      </c>
      <c r="D1533" s="3">
        <v>45335</v>
      </c>
      <c r="E1533" s="2">
        <v>10153</v>
      </c>
    </row>
    <row r="1534" spans="1:5" x14ac:dyDescent="0.3">
      <c r="A1534" t="s">
        <v>10</v>
      </c>
      <c r="B1534" t="s">
        <v>9</v>
      </c>
      <c r="C1534" t="s">
        <v>17</v>
      </c>
      <c r="D1534" s="3">
        <v>45335</v>
      </c>
      <c r="E1534" s="2">
        <v>8102</v>
      </c>
    </row>
    <row r="1535" spans="1:5" x14ac:dyDescent="0.3">
      <c r="A1535" t="s">
        <v>29</v>
      </c>
      <c r="B1535" t="s">
        <v>13</v>
      </c>
      <c r="C1535" t="s">
        <v>23</v>
      </c>
      <c r="D1535" s="3">
        <v>45336</v>
      </c>
      <c r="E1535" s="2">
        <v>6637</v>
      </c>
    </row>
    <row r="1536" spans="1:5" x14ac:dyDescent="0.3">
      <c r="A1536" t="s">
        <v>20</v>
      </c>
      <c r="B1536" t="s">
        <v>13</v>
      </c>
      <c r="C1536" t="s">
        <v>7</v>
      </c>
      <c r="D1536" s="3">
        <v>45336</v>
      </c>
      <c r="E1536" s="2">
        <v>10681</v>
      </c>
    </row>
    <row r="1537" spans="1:5" x14ac:dyDescent="0.3">
      <c r="A1537" t="s">
        <v>30</v>
      </c>
      <c r="B1537" t="s">
        <v>13</v>
      </c>
      <c r="C1537" t="s">
        <v>28</v>
      </c>
      <c r="D1537" s="3">
        <v>45336</v>
      </c>
      <c r="E1537" s="2">
        <v>3395</v>
      </c>
    </row>
    <row r="1538" spans="1:5" x14ac:dyDescent="0.3">
      <c r="A1538" t="s">
        <v>30</v>
      </c>
      <c r="B1538" t="s">
        <v>21</v>
      </c>
      <c r="C1538" t="s">
        <v>23</v>
      </c>
      <c r="D1538" s="3">
        <v>45337</v>
      </c>
      <c r="E1538" s="2">
        <v>8479</v>
      </c>
    </row>
    <row r="1539" spans="1:5" x14ac:dyDescent="0.3">
      <c r="A1539" t="s">
        <v>10</v>
      </c>
      <c r="B1539" t="s">
        <v>16</v>
      </c>
      <c r="C1539" t="s">
        <v>23</v>
      </c>
      <c r="D1539" s="3">
        <v>45337</v>
      </c>
      <c r="E1539" s="2">
        <v>2616</v>
      </c>
    </row>
    <row r="1540" spans="1:5" x14ac:dyDescent="0.3">
      <c r="A1540" t="s">
        <v>26</v>
      </c>
      <c r="B1540" t="s">
        <v>13</v>
      </c>
      <c r="C1540" t="s">
        <v>7</v>
      </c>
      <c r="D1540" s="3">
        <v>45337</v>
      </c>
      <c r="E1540" s="2">
        <v>4764</v>
      </c>
    </row>
    <row r="1541" spans="1:5" x14ac:dyDescent="0.3">
      <c r="A1541" t="s">
        <v>30</v>
      </c>
      <c r="B1541" t="s">
        <v>6</v>
      </c>
      <c r="C1541" t="s">
        <v>17</v>
      </c>
      <c r="D1541" s="3">
        <v>45337</v>
      </c>
      <c r="E1541" s="2">
        <v>1971</v>
      </c>
    </row>
    <row r="1542" spans="1:5" x14ac:dyDescent="0.3">
      <c r="A1542" t="s">
        <v>29</v>
      </c>
      <c r="B1542" t="s">
        <v>16</v>
      </c>
      <c r="C1542" t="s">
        <v>12</v>
      </c>
      <c r="D1542" s="3">
        <v>45337</v>
      </c>
      <c r="E1542" s="2">
        <v>4954</v>
      </c>
    </row>
    <row r="1543" spans="1:5" x14ac:dyDescent="0.3">
      <c r="A1543" t="s">
        <v>31</v>
      </c>
      <c r="B1543" t="s">
        <v>9</v>
      </c>
      <c r="C1543" t="s">
        <v>23</v>
      </c>
      <c r="D1543" s="3">
        <v>45338</v>
      </c>
      <c r="E1543" s="2">
        <v>10537</v>
      </c>
    </row>
    <row r="1544" spans="1:5" x14ac:dyDescent="0.3">
      <c r="A1544" t="s">
        <v>22</v>
      </c>
      <c r="B1544" t="s">
        <v>11</v>
      </c>
      <c r="C1544" t="s">
        <v>25</v>
      </c>
      <c r="D1544" s="3">
        <v>45338</v>
      </c>
      <c r="E1544" s="2">
        <v>2529</v>
      </c>
    </row>
    <row r="1545" spans="1:5" x14ac:dyDescent="0.3">
      <c r="A1545" t="s">
        <v>15</v>
      </c>
      <c r="B1545" t="s">
        <v>13</v>
      </c>
      <c r="C1545" t="s">
        <v>12</v>
      </c>
      <c r="D1545" s="3">
        <v>45338</v>
      </c>
      <c r="E1545" s="2">
        <v>6971</v>
      </c>
    </row>
    <row r="1546" spans="1:5" x14ac:dyDescent="0.3">
      <c r="A1546" t="s">
        <v>32</v>
      </c>
      <c r="B1546" t="s">
        <v>11</v>
      </c>
      <c r="C1546" t="s">
        <v>19</v>
      </c>
      <c r="D1546" s="3">
        <v>45339</v>
      </c>
      <c r="E1546" s="2">
        <v>10576</v>
      </c>
    </row>
    <row r="1547" spans="1:5" x14ac:dyDescent="0.3">
      <c r="A1547" t="s">
        <v>8</v>
      </c>
      <c r="B1547" t="s">
        <v>21</v>
      </c>
      <c r="C1547" t="s">
        <v>25</v>
      </c>
      <c r="D1547" s="3">
        <v>45339</v>
      </c>
      <c r="E1547" s="2">
        <v>7025</v>
      </c>
    </row>
    <row r="1548" spans="1:5" x14ac:dyDescent="0.3">
      <c r="A1548" t="s">
        <v>31</v>
      </c>
      <c r="B1548" t="s">
        <v>11</v>
      </c>
      <c r="C1548" t="s">
        <v>7</v>
      </c>
      <c r="D1548" s="3">
        <v>45339</v>
      </c>
      <c r="E1548" s="2">
        <v>4890</v>
      </c>
    </row>
    <row r="1549" spans="1:5" x14ac:dyDescent="0.3">
      <c r="A1549" t="s">
        <v>8</v>
      </c>
      <c r="B1549" t="s">
        <v>21</v>
      </c>
      <c r="C1549" t="s">
        <v>7</v>
      </c>
      <c r="D1549" s="3">
        <v>45339</v>
      </c>
      <c r="E1549" s="2">
        <v>2723</v>
      </c>
    </row>
    <row r="1550" spans="1:5" x14ac:dyDescent="0.3">
      <c r="A1550" t="s">
        <v>32</v>
      </c>
      <c r="B1550" t="s">
        <v>11</v>
      </c>
      <c r="C1550" t="s">
        <v>7</v>
      </c>
      <c r="D1550" s="3">
        <v>45340</v>
      </c>
      <c r="E1550" s="2">
        <v>2657</v>
      </c>
    </row>
    <row r="1551" spans="1:5" x14ac:dyDescent="0.3">
      <c r="A1551" t="s">
        <v>33</v>
      </c>
      <c r="B1551" t="s">
        <v>6</v>
      </c>
      <c r="C1551" t="s">
        <v>17</v>
      </c>
      <c r="D1551" s="3">
        <v>45340</v>
      </c>
      <c r="E1551" s="2">
        <v>4189</v>
      </c>
    </row>
    <row r="1552" spans="1:5" x14ac:dyDescent="0.3">
      <c r="A1552" t="s">
        <v>22</v>
      </c>
      <c r="B1552" t="s">
        <v>11</v>
      </c>
      <c r="C1552" t="s">
        <v>12</v>
      </c>
      <c r="D1552" s="3">
        <v>45340</v>
      </c>
      <c r="E1552" s="2">
        <v>9572</v>
      </c>
    </row>
    <row r="1553" spans="1:5" x14ac:dyDescent="0.3">
      <c r="A1553" t="s">
        <v>15</v>
      </c>
      <c r="B1553" t="s">
        <v>21</v>
      </c>
      <c r="C1553" t="s">
        <v>14</v>
      </c>
      <c r="D1553" s="3">
        <v>45341</v>
      </c>
      <c r="E1553" s="2">
        <v>1983</v>
      </c>
    </row>
    <row r="1554" spans="1:5" x14ac:dyDescent="0.3">
      <c r="A1554" t="s">
        <v>10</v>
      </c>
      <c r="B1554" t="s">
        <v>6</v>
      </c>
      <c r="C1554" t="s">
        <v>14</v>
      </c>
      <c r="D1554" s="3">
        <v>45342</v>
      </c>
      <c r="E1554" s="2">
        <v>9789</v>
      </c>
    </row>
    <row r="1555" spans="1:5" x14ac:dyDescent="0.3">
      <c r="A1555" t="s">
        <v>18</v>
      </c>
      <c r="B1555" t="s">
        <v>16</v>
      </c>
      <c r="C1555" t="s">
        <v>25</v>
      </c>
      <c r="D1555" s="3">
        <v>45342</v>
      </c>
      <c r="E1555" s="2">
        <v>3402</v>
      </c>
    </row>
    <row r="1556" spans="1:5" x14ac:dyDescent="0.3">
      <c r="A1556" t="s">
        <v>24</v>
      </c>
      <c r="B1556" t="s">
        <v>16</v>
      </c>
      <c r="C1556" t="s">
        <v>25</v>
      </c>
      <c r="D1556" s="3">
        <v>45342</v>
      </c>
      <c r="E1556" s="2">
        <v>13949</v>
      </c>
    </row>
    <row r="1557" spans="1:5" x14ac:dyDescent="0.3">
      <c r="A1557" t="s">
        <v>32</v>
      </c>
      <c r="B1557" t="s">
        <v>16</v>
      </c>
      <c r="C1557" t="s">
        <v>28</v>
      </c>
      <c r="D1557" s="3">
        <v>45342</v>
      </c>
      <c r="E1557" s="2">
        <v>7850</v>
      </c>
    </row>
    <row r="1558" spans="1:5" x14ac:dyDescent="0.3">
      <c r="A1558" t="s">
        <v>33</v>
      </c>
      <c r="B1558" t="s">
        <v>9</v>
      </c>
      <c r="C1558" t="s">
        <v>14</v>
      </c>
      <c r="D1558" s="3">
        <v>45343</v>
      </c>
      <c r="E1558" s="2">
        <v>11944</v>
      </c>
    </row>
    <row r="1559" spans="1:5" x14ac:dyDescent="0.3">
      <c r="A1559" t="s">
        <v>15</v>
      </c>
      <c r="B1559" t="s">
        <v>9</v>
      </c>
      <c r="C1559" t="s">
        <v>23</v>
      </c>
      <c r="D1559" s="3">
        <v>45343</v>
      </c>
      <c r="E1559" s="2">
        <v>13684</v>
      </c>
    </row>
    <row r="1560" spans="1:5" x14ac:dyDescent="0.3">
      <c r="A1560" t="s">
        <v>5</v>
      </c>
      <c r="B1560" t="s">
        <v>6</v>
      </c>
      <c r="C1560" t="s">
        <v>25</v>
      </c>
      <c r="D1560" s="3">
        <v>45343</v>
      </c>
      <c r="E1560" s="2">
        <v>8437</v>
      </c>
    </row>
    <row r="1561" spans="1:5" x14ac:dyDescent="0.3">
      <c r="A1561" t="s">
        <v>18</v>
      </c>
      <c r="B1561" t="s">
        <v>11</v>
      </c>
      <c r="C1561" t="s">
        <v>25</v>
      </c>
      <c r="D1561" s="3">
        <v>45343</v>
      </c>
      <c r="E1561" s="2">
        <v>6097</v>
      </c>
    </row>
    <row r="1562" spans="1:5" x14ac:dyDescent="0.3">
      <c r="A1562" t="s">
        <v>8</v>
      </c>
      <c r="B1562" t="s">
        <v>16</v>
      </c>
      <c r="C1562" t="s">
        <v>19</v>
      </c>
      <c r="D1562" s="3">
        <v>45344</v>
      </c>
      <c r="E1562" s="2">
        <v>13795</v>
      </c>
    </row>
    <row r="1563" spans="1:5" x14ac:dyDescent="0.3">
      <c r="A1563" t="s">
        <v>30</v>
      </c>
      <c r="B1563" t="s">
        <v>21</v>
      </c>
      <c r="C1563" t="s">
        <v>12</v>
      </c>
      <c r="D1563" s="3">
        <v>45344</v>
      </c>
      <c r="E1563" s="2">
        <v>13388</v>
      </c>
    </row>
    <row r="1564" spans="1:5" x14ac:dyDescent="0.3">
      <c r="A1564" t="s">
        <v>26</v>
      </c>
      <c r="B1564" t="s">
        <v>21</v>
      </c>
      <c r="C1564" t="s">
        <v>23</v>
      </c>
      <c r="D1564" s="3">
        <v>45345</v>
      </c>
      <c r="E1564" s="2">
        <v>12713</v>
      </c>
    </row>
    <row r="1565" spans="1:5" x14ac:dyDescent="0.3">
      <c r="A1565" t="s">
        <v>30</v>
      </c>
      <c r="B1565" t="s">
        <v>21</v>
      </c>
      <c r="C1565" t="s">
        <v>7</v>
      </c>
      <c r="D1565" s="3">
        <v>45345</v>
      </c>
      <c r="E1565" s="2">
        <v>4494</v>
      </c>
    </row>
    <row r="1566" spans="1:5" x14ac:dyDescent="0.3">
      <c r="A1566" t="s">
        <v>15</v>
      </c>
      <c r="B1566" t="s">
        <v>11</v>
      </c>
      <c r="C1566" t="s">
        <v>28</v>
      </c>
      <c r="D1566" s="3">
        <v>45345</v>
      </c>
      <c r="E1566" s="2">
        <v>5359</v>
      </c>
    </row>
    <row r="1567" spans="1:5" x14ac:dyDescent="0.3">
      <c r="A1567" t="s">
        <v>20</v>
      </c>
      <c r="B1567" t="s">
        <v>11</v>
      </c>
      <c r="C1567" t="s">
        <v>23</v>
      </c>
      <c r="D1567" s="3">
        <v>45346</v>
      </c>
      <c r="E1567" s="2">
        <v>7093</v>
      </c>
    </row>
    <row r="1568" spans="1:5" x14ac:dyDescent="0.3">
      <c r="A1568" t="s">
        <v>10</v>
      </c>
      <c r="B1568" t="s">
        <v>16</v>
      </c>
      <c r="C1568" t="s">
        <v>17</v>
      </c>
      <c r="D1568" s="3">
        <v>45346</v>
      </c>
      <c r="E1568" s="2">
        <v>10320</v>
      </c>
    </row>
    <row r="1569" spans="1:5" x14ac:dyDescent="0.3">
      <c r="A1569" t="s">
        <v>15</v>
      </c>
      <c r="B1569" t="s">
        <v>6</v>
      </c>
      <c r="C1569" t="s">
        <v>12</v>
      </c>
      <c r="D1569" s="3">
        <v>45346</v>
      </c>
      <c r="E1569" s="2">
        <v>3379</v>
      </c>
    </row>
    <row r="1570" spans="1:5" x14ac:dyDescent="0.3">
      <c r="A1570" t="s">
        <v>15</v>
      </c>
      <c r="B1570" t="s">
        <v>16</v>
      </c>
      <c r="C1570" t="s">
        <v>14</v>
      </c>
      <c r="D1570" s="3">
        <v>45347</v>
      </c>
      <c r="E1570" s="2">
        <v>6160</v>
      </c>
    </row>
    <row r="1571" spans="1:5" x14ac:dyDescent="0.3">
      <c r="A1571" t="s">
        <v>5</v>
      </c>
      <c r="B1571" t="s">
        <v>6</v>
      </c>
      <c r="C1571" t="s">
        <v>14</v>
      </c>
      <c r="D1571" s="3">
        <v>45347</v>
      </c>
      <c r="E1571" s="2">
        <v>6113</v>
      </c>
    </row>
    <row r="1572" spans="1:5" x14ac:dyDescent="0.3">
      <c r="A1572" t="s">
        <v>10</v>
      </c>
      <c r="B1572" t="s">
        <v>13</v>
      </c>
      <c r="C1572" t="s">
        <v>19</v>
      </c>
      <c r="D1572" s="3">
        <v>45347</v>
      </c>
      <c r="E1572" s="2">
        <v>8374</v>
      </c>
    </row>
    <row r="1573" spans="1:5" x14ac:dyDescent="0.3">
      <c r="A1573" t="s">
        <v>24</v>
      </c>
      <c r="B1573" t="s">
        <v>11</v>
      </c>
      <c r="C1573" t="s">
        <v>19</v>
      </c>
      <c r="D1573" s="3">
        <v>45347</v>
      </c>
      <c r="E1573" s="2">
        <v>8698</v>
      </c>
    </row>
    <row r="1574" spans="1:5" x14ac:dyDescent="0.3">
      <c r="A1574" t="s">
        <v>10</v>
      </c>
      <c r="B1574" t="s">
        <v>13</v>
      </c>
      <c r="C1574" t="s">
        <v>7</v>
      </c>
      <c r="D1574" s="3">
        <v>45347</v>
      </c>
      <c r="E1574" s="2">
        <v>8621</v>
      </c>
    </row>
    <row r="1575" spans="1:5" x14ac:dyDescent="0.3">
      <c r="A1575" t="s">
        <v>5</v>
      </c>
      <c r="B1575" t="s">
        <v>6</v>
      </c>
      <c r="C1575" t="s">
        <v>28</v>
      </c>
      <c r="D1575" s="3">
        <v>45347</v>
      </c>
      <c r="E1575" s="2">
        <v>3829</v>
      </c>
    </row>
    <row r="1576" spans="1:5" x14ac:dyDescent="0.3">
      <c r="A1576" t="s">
        <v>18</v>
      </c>
      <c r="B1576" t="s">
        <v>21</v>
      </c>
      <c r="C1576" t="s">
        <v>7</v>
      </c>
      <c r="D1576" s="3">
        <v>45348</v>
      </c>
      <c r="E1576" s="2">
        <v>9213</v>
      </c>
    </row>
    <row r="1577" spans="1:5" x14ac:dyDescent="0.3">
      <c r="A1577" t="s">
        <v>22</v>
      </c>
      <c r="B1577" t="s">
        <v>21</v>
      </c>
      <c r="C1577" t="s">
        <v>28</v>
      </c>
      <c r="D1577" s="3">
        <v>45348</v>
      </c>
      <c r="E1577" s="2">
        <v>13087</v>
      </c>
    </row>
    <row r="1578" spans="1:5" x14ac:dyDescent="0.3">
      <c r="A1578" t="s">
        <v>30</v>
      </c>
      <c r="B1578" t="s">
        <v>11</v>
      </c>
      <c r="C1578" t="s">
        <v>7</v>
      </c>
      <c r="D1578" s="3">
        <v>45349</v>
      </c>
      <c r="E1578" s="2">
        <v>13373</v>
      </c>
    </row>
    <row r="1579" spans="1:5" x14ac:dyDescent="0.3">
      <c r="A1579" t="s">
        <v>18</v>
      </c>
      <c r="B1579" t="s">
        <v>9</v>
      </c>
      <c r="C1579" t="s">
        <v>17</v>
      </c>
      <c r="D1579" s="3">
        <v>45349</v>
      </c>
      <c r="E1579" s="2">
        <v>11478</v>
      </c>
    </row>
    <row r="1580" spans="1:5" x14ac:dyDescent="0.3">
      <c r="A1580" t="s">
        <v>24</v>
      </c>
      <c r="B1580" t="s">
        <v>11</v>
      </c>
      <c r="C1580" t="s">
        <v>17</v>
      </c>
      <c r="D1580" s="3">
        <v>45350</v>
      </c>
      <c r="E1580" s="2">
        <v>2342</v>
      </c>
    </row>
    <row r="1581" spans="1:5" x14ac:dyDescent="0.3">
      <c r="A1581" t="s">
        <v>15</v>
      </c>
      <c r="B1581" t="s">
        <v>9</v>
      </c>
      <c r="C1581" t="s">
        <v>17</v>
      </c>
      <c r="D1581" s="3">
        <v>45350</v>
      </c>
      <c r="E1581" s="2">
        <v>13705</v>
      </c>
    </row>
    <row r="1582" spans="1:5" x14ac:dyDescent="0.3">
      <c r="A1582" t="s">
        <v>29</v>
      </c>
      <c r="B1582" t="s">
        <v>6</v>
      </c>
      <c r="C1582" t="s">
        <v>23</v>
      </c>
      <c r="D1582" s="3">
        <v>45351</v>
      </c>
      <c r="E1582" s="2">
        <v>3193</v>
      </c>
    </row>
    <row r="1583" spans="1:5" x14ac:dyDescent="0.3">
      <c r="A1583" t="s">
        <v>18</v>
      </c>
      <c r="B1583" t="s">
        <v>11</v>
      </c>
      <c r="C1583" t="s">
        <v>17</v>
      </c>
      <c r="D1583" s="3">
        <v>45351</v>
      </c>
      <c r="E1583" s="2">
        <v>11231</v>
      </c>
    </row>
    <row r="1584" spans="1:5" x14ac:dyDescent="0.3">
      <c r="A1584" t="s">
        <v>15</v>
      </c>
      <c r="B1584" t="s">
        <v>21</v>
      </c>
      <c r="C1584" t="s">
        <v>12</v>
      </c>
      <c r="D1584" s="3">
        <v>45351</v>
      </c>
      <c r="E1584" s="2">
        <v>4742</v>
      </c>
    </row>
    <row r="1585" spans="1:5" x14ac:dyDescent="0.3">
      <c r="A1585" t="s">
        <v>15</v>
      </c>
      <c r="B1585" t="s">
        <v>6</v>
      </c>
      <c r="C1585" t="s">
        <v>19</v>
      </c>
      <c r="D1585" s="3">
        <v>45352</v>
      </c>
      <c r="E1585" s="2">
        <v>11899</v>
      </c>
    </row>
    <row r="1586" spans="1:5" x14ac:dyDescent="0.3">
      <c r="A1586" t="s">
        <v>32</v>
      </c>
      <c r="B1586" t="s">
        <v>13</v>
      </c>
      <c r="C1586" t="s">
        <v>19</v>
      </c>
      <c r="D1586" s="3">
        <v>45352</v>
      </c>
      <c r="E1586" s="2">
        <v>6816</v>
      </c>
    </row>
    <row r="1587" spans="1:5" x14ac:dyDescent="0.3">
      <c r="A1587" t="s">
        <v>20</v>
      </c>
      <c r="B1587" t="s">
        <v>11</v>
      </c>
      <c r="C1587" t="s">
        <v>7</v>
      </c>
      <c r="D1587" s="3">
        <v>45352</v>
      </c>
      <c r="E1587" s="2">
        <v>5292</v>
      </c>
    </row>
    <row r="1588" spans="1:5" x14ac:dyDescent="0.3">
      <c r="A1588" t="s">
        <v>33</v>
      </c>
      <c r="B1588" t="s">
        <v>13</v>
      </c>
      <c r="C1588" t="s">
        <v>7</v>
      </c>
      <c r="D1588" s="3">
        <v>45352</v>
      </c>
      <c r="E1588" s="2">
        <v>7588</v>
      </c>
    </row>
    <row r="1589" spans="1:5" x14ac:dyDescent="0.3">
      <c r="A1589" t="s">
        <v>10</v>
      </c>
      <c r="B1589" t="s">
        <v>21</v>
      </c>
      <c r="C1589" t="s">
        <v>19</v>
      </c>
      <c r="D1589" s="3">
        <v>45353</v>
      </c>
      <c r="E1589" s="2">
        <v>12980</v>
      </c>
    </row>
    <row r="1590" spans="1:5" x14ac:dyDescent="0.3">
      <c r="A1590" t="s">
        <v>20</v>
      </c>
      <c r="B1590" t="s">
        <v>16</v>
      </c>
      <c r="C1590" t="s">
        <v>23</v>
      </c>
      <c r="D1590" s="3">
        <v>45353</v>
      </c>
      <c r="E1590" s="2">
        <v>10521</v>
      </c>
    </row>
    <row r="1591" spans="1:5" x14ac:dyDescent="0.3">
      <c r="A1591" t="s">
        <v>10</v>
      </c>
      <c r="B1591" t="s">
        <v>13</v>
      </c>
      <c r="C1591" t="s">
        <v>23</v>
      </c>
      <c r="D1591" s="3">
        <v>45353</v>
      </c>
      <c r="E1591" s="2">
        <v>12276</v>
      </c>
    </row>
    <row r="1592" spans="1:5" x14ac:dyDescent="0.3">
      <c r="A1592" t="s">
        <v>33</v>
      </c>
      <c r="B1592" t="s">
        <v>13</v>
      </c>
      <c r="C1592" t="s">
        <v>28</v>
      </c>
      <c r="D1592" s="3">
        <v>45353</v>
      </c>
      <c r="E1592" s="2">
        <v>6571</v>
      </c>
    </row>
    <row r="1593" spans="1:5" x14ac:dyDescent="0.3">
      <c r="A1593" t="s">
        <v>31</v>
      </c>
      <c r="B1593" t="s">
        <v>13</v>
      </c>
      <c r="C1593" t="s">
        <v>28</v>
      </c>
      <c r="D1593" s="3">
        <v>45353</v>
      </c>
      <c r="E1593" s="2">
        <v>8818</v>
      </c>
    </row>
    <row r="1594" spans="1:5" x14ac:dyDescent="0.3">
      <c r="A1594" t="s">
        <v>33</v>
      </c>
      <c r="B1594" t="s">
        <v>21</v>
      </c>
      <c r="C1594" t="s">
        <v>23</v>
      </c>
      <c r="D1594" s="3">
        <v>45354</v>
      </c>
      <c r="E1594" s="2">
        <v>4415</v>
      </c>
    </row>
    <row r="1595" spans="1:5" x14ac:dyDescent="0.3">
      <c r="A1595" t="s">
        <v>22</v>
      </c>
      <c r="B1595" t="s">
        <v>6</v>
      </c>
      <c r="C1595" t="s">
        <v>7</v>
      </c>
      <c r="D1595" s="3">
        <v>45354</v>
      </c>
      <c r="E1595" s="2">
        <v>4597</v>
      </c>
    </row>
    <row r="1596" spans="1:5" x14ac:dyDescent="0.3">
      <c r="A1596" t="s">
        <v>33</v>
      </c>
      <c r="B1596" t="s">
        <v>9</v>
      </c>
      <c r="C1596" t="s">
        <v>7</v>
      </c>
      <c r="D1596" s="3">
        <v>45355</v>
      </c>
      <c r="E1596" s="2">
        <v>1475</v>
      </c>
    </row>
    <row r="1597" spans="1:5" x14ac:dyDescent="0.3">
      <c r="A1597" t="s">
        <v>27</v>
      </c>
      <c r="B1597" t="s">
        <v>13</v>
      </c>
      <c r="C1597" t="s">
        <v>28</v>
      </c>
      <c r="D1597" s="3">
        <v>45355</v>
      </c>
      <c r="E1597" s="2">
        <v>13015</v>
      </c>
    </row>
    <row r="1598" spans="1:5" x14ac:dyDescent="0.3">
      <c r="A1598" t="s">
        <v>24</v>
      </c>
      <c r="B1598" t="s">
        <v>21</v>
      </c>
      <c r="C1598" t="s">
        <v>14</v>
      </c>
      <c r="D1598" s="3">
        <v>45356</v>
      </c>
      <c r="E1598" s="2">
        <v>10479</v>
      </c>
    </row>
    <row r="1599" spans="1:5" x14ac:dyDescent="0.3">
      <c r="A1599" t="s">
        <v>30</v>
      </c>
      <c r="B1599" t="s">
        <v>9</v>
      </c>
      <c r="C1599" t="s">
        <v>19</v>
      </c>
      <c r="D1599" s="3">
        <v>45356</v>
      </c>
      <c r="E1599" s="2">
        <v>1918</v>
      </c>
    </row>
    <row r="1600" spans="1:5" x14ac:dyDescent="0.3">
      <c r="A1600" t="s">
        <v>20</v>
      </c>
      <c r="B1600" t="s">
        <v>11</v>
      </c>
      <c r="C1600" t="s">
        <v>23</v>
      </c>
      <c r="D1600" s="3">
        <v>45356</v>
      </c>
      <c r="E1600" s="2">
        <v>8038</v>
      </c>
    </row>
    <row r="1601" spans="1:5" x14ac:dyDescent="0.3">
      <c r="A1601" t="s">
        <v>27</v>
      </c>
      <c r="B1601" t="s">
        <v>13</v>
      </c>
      <c r="C1601" t="s">
        <v>7</v>
      </c>
      <c r="D1601" s="3">
        <v>45356</v>
      </c>
      <c r="E1601" s="2">
        <v>3138</v>
      </c>
    </row>
    <row r="1602" spans="1:5" x14ac:dyDescent="0.3">
      <c r="A1602" t="s">
        <v>27</v>
      </c>
      <c r="B1602" t="s">
        <v>21</v>
      </c>
      <c r="C1602" t="s">
        <v>17</v>
      </c>
      <c r="D1602" s="3">
        <v>45356</v>
      </c>
      <c r="E1602" s="2">
        <v>11824</v>
      </c>
    </row>
    <row r="1603" spans="1:5" x14ac:dyDescent="0.3">
      <c r="A1603" t="s">
        <v>26</v>
      </c>
      <c r="B1603" t="s">
        <v>9</v>
      </c>
      <c r="C1603" t="s">
        <v>12</v>
      </c>
      <c r="D1603" s="3">
        <v>45356</v>
      </c>
      <c r="E1603" s="2">
        <v>10419</v>
      </c>
    </row>
    <row r="1604" spans="1:5" x14ac:dyDescent="0.3">
      <c r="A1604" t="s">
        <v>30</v>
      </c>
      <c r="B1604" t="s">
        <v>11</v>
      </c>
      <c r="C1604" t="s">
        <v>12</v>
      </c>
      <c r="D1604" s="3">
        <v>45356</v>
      </c>
      <c r="E1604" s="2">
        <v>12928</v>
      </c>
    </row>
    <row r="1605" spans="1:5" x14ac:dyDescent="0.3">
      <c r="A1605" t="s">
        <v>10</v>
      </c>
      <c r="B1605" t="s">
        <v>16</v>
      </c>
      <c r="C1605" t="s">
        <v>12</v>
      </c>
      <c r="D1605" s="3">
        <v>45356</v>
      </c>
      <c r="E1605" s="2">
        <v>2649</v>
      </c>
    </row>
    <row r="1606" spans="1:5" x14ac:dyDescent="0.3">
      <c r="A1606" t="s">
        <v>18</v>
      </c>
      <c r="B1606" t="s">
        <v>13</v>
      </c>
      <c r="C1606" t="s">
        <v>25</v>
      </c>
      <c r="D1606" s="3">
        <v>45357</v>
      </c>
      <c r="E1606" s="2">
        <v>9582</v>
      </c>
    </row>
    <row r="1607" spans="1:5" x14ac:dyDescent="0.3">
      <c r="A1607" t="s">
        <v>27</v>
      </c>
      <c r="B1607" t="s">
        <v>13</v>
      </c>
      <c r="C1607" t="s">
        <v>12</v>
      </c>
      <c r="D1607" s="3">
        <v>45357</v>
      </c>
      <c r="E1607" s="2">
        <v>3822</v>
      </c>
    </row>
    <row r="1608" spans="1:5" x14ac:dyDescent="0.3">
      <c r="A1608" t="s">
        <v>30</v>
      </c>
      <c r="B1608" t="s">
        <v>13</v>
      </c>
      <c r="C1608" t="s">
        <v>12</v>
      </c>
      <c r="D1608" s="3">
        <v>45357</v>
      </c>
      <c r="E1608" s="2">
        <v>8646</v>
      </c>
    </row>
    <row r="1609" spans="1:5" x14ac:dyDescent="0.3">
      <c r="A1609" t="s">
        <v>5</v>
      </c>
      <c r="B1609" t="s">
        <v>13</v>
      </c>
      <c r="C1609" t="s">
        <v>23</v>
      </c>
      <c r="D1609" s="3">
        <v>45358</v>
      </c>
      <c r="E1609" s="2">
        <v>11017</v>
      </c>
    </row>
    <row r="1610" spans="1:5" x14ac:dyDescent="0.3">
      <c r="A1610" t="s">
        <v>5</v>
      </c>
      <c r="B1610" t="s">
        <v>11</v>
      </c>
      <c r="C1610" t="s">
        <v>17</v>
      </c>
      <c r="D1610" s="3">
        <v>45358</v>
      </c>
      <c r="E1610" s="2">
        <v>13544</v>
      </c>
    </row>
    <row r="1611" spans="1:5" x14ac:dyDescent="0.3">
      <c r="A1611" t="s">
        <v>26</v>
      </c>
      <c r="B1611" t="s">
        <v>13</v>
      </c>
      <c r="C1611" t="s">
        <v>12</v>
      </c>
      <c r="D1611" s="3">
        <v>45358</v>
      </c>
      <c r="E1611" s="2">
        <v>2985</v>
      </c>
    </row>
    <row r="1612" spans="1:5" x14ac:dyDescent="0.3">
      <c r="A1612" t="s">
        <v>32</v>
      </c>
      <c r="B1612" t="s">
        <v>21</v>
      </c>
      <c r="C1612" t="s">
        <v>14</v>
      </c>
      <c r="D1612" s="3">
        <v>45359</v>
      </c>
      <c r="E1612" s="2">
        <v>3643</v>
      </c>
    </row>
    <row r="1613" spans="1:5" x14ac:dyDescent="0.3">
      <c r="A1613" t="s">
        <v>15</v>
      </c>
      <c r="B1613" t="s">
        <v>13</v>
      </c>
      <c r="C1613" t="s">
        <v>19</v>
      </c>
      <c r="D1613" s="3">
        <v>45359</v>
      </c>
      <c r="E1613" s="2">
        <v>8300</v>
      </c>
    </row>
    <row r="1614" spans="1:5" x14ac:dyDescent="0.3">
      <c r="A1614" t="s">
        <v>5</v>
      </c>
      <c r="B1614" t="s">
        <v>13</v>
      </c>
      <c r="C1614" t="s">
        <v>28</v>
      </c>
      <c r="D1614" s="3">
        <v>45359</v>
      </c>
      <c r="E1614" s="2">
        <v>3330</v>
      </c>
    </row>
    <row r="1615" spans="1:5" x14ac:dyDescent="0.3">
      <c r="A1615" t="s">
        <v>8</v>
      </c>
      <c r="B1615" t="s">
        <v>9</v>
      </c>
      <c r="C1615" t="s">
        <v>17</v>
      </c>
      <c r="D1615" s="3">
        <v>45359</v>
      </c>
      <c r="E1615" s="2">
        <v>8795</v>
      </c>
    </row>
    <row r="1616" spans="1:5" x14ac:dyDescent="0.3">
      <c r="A1616" t="s">
        <v>8</v>
      </c>
      <c r="B1616" t="s">
        <v>9</v>
      </c>
      <c r="C1616" t="s">
        <v>23</v>
      </c>
      <c r="D1616" s="3">
        <v>45360</v>
      </c>
      <c r="E1616" s="2">
        <v>6291</v>
      </c>
    </row>
    <row r="1617" spans="1:5" x14ac:dyDescent="0.3">
      <c r="A1617" t="s">
        <v>33</v>
      </c>
      <c r="B1617" t="s">
        <v>11</v>
      </c>
      <c r="C1617" t="s">
        <v>7</v>
      </c>
      <c r="D1617" s="3">
        <v>45360</v>
      </c>
      <c r="E1617" s="2">
        <v>7613</v>
      </c>
    </row>
    <row r="1618" spans="1:5" x14ac:dyDescent="0.3">
      <c r="A1618" t="s">
        <v>26</v>
      </c>
      <c r="B1618" t="s">
        <v>9</v>
      </c>
      <c r="C1618" t="s">
        <v>17</v>
      </c>
      <c r="D1618" s="3">
        <v>45360</v>
      </c>
      <c r="E1618" s="2">
        <v>4095</v>
      </c>
    </row>
    <row r="1619" spans="1:5" x14ac:dyDescent="0.3">
      <c r="A1619" t="s">
        <v>31</v>
      </c>
      <c r="B1619" t="s">
        <v>11</v>
      </c>
      <c r="C1619" t="s">
        <v>14</v>
      </c>
      <c r="D1619" s="3">
        <v>45361</v>
      </c>
      <c r="E1619" s="2">
        <v>4879</v>
      </c>
    </row>
    <row r="1620" spans="1:5" x14ac:dyDescent="0.3">
      <c r="A1620" t="s">
        <v>29</v>
      </c>
      <c r="B1620" t="s">
        <v>13</v>
      </c>
      <c r="C1620" t="s">
        <v>19</v>
      </c>
      <c r="D1620" s="3">
        <v>45361</v>
      </c>
      <c r="E1620" s="2">
        <v>3238</v>
      </c>
    </row>
    <row r="1621" spans="1:5" x14ac:dyDescent="0.3">
      <c r="A1621" t="s">
        <v>8</v>
      </c>
      <c r="B1621" t="s">
        <v>16</v>
      </c>
      <c r="C1621" t="s">
        <v>17</v>
      </c>
      <c r="D1621" s="3">
        <v>45361</v>
      </c>
      <c r="E1621" s="2">
        <v>8622</v>
      </c>
    </row>
    <row r="1622" spans="1:5" x14ac:dyDescent="0.3">
      <c r="A1622" t="s">
        <v>27</v>
      </c>
      <c r="B1622" t="s">
        <v>9</v>
      </c>
      <c r="C1622" t="s">
        <v>12</v>
      </c>
      <c r="D1622" s="3">
        <v>45361</v>
      </c>
      <c r="E1622" s="2">
        <v>6002</v>
      </c>
    </row>
    <row r="1623" spans="1:5" x14ac:dyDescent="0.3">
      <c r="A1623" t="s">
        <v>8</v>
      </c>
      <c r="B1623" t="s">
        <v>11</v>
      </c>
      <c r="C1623" t="s">
        <v>14</v>
      </c>
      <c r="D1623" s="3">
        <v>45362</v>
      </c>
      <c r="E1623" s="2">
        <v>9347</v>
      </c>
    </row>
    <row r="1624" spans="1:5" x14ac:dyDescent="0.3">
      <c r="A1624" t="s">
        <v>30</v>
      </c>
      <c r="B1624" t="s">
        <v>21</v>
      </c>
      <c r="C1624" t="s">
        <v>25</v>
      </c>
      <c r="D1624" s="3">
        <v>45362</v>
      </c>
      <c r="E1624" s="2">
        <v>7702</v>
      </c>
    </row>
    <row r="1625" spans="1:5" x14ac:dyDescent="0.3">
      <c r="A1625" t="s">
        <v>20</v>
      </c>
      <c r="B1625" t="s">
        <v>16</v>
      </c>
      <c r="C1625" t="s">
        <v>7</v>
      </c>
      <c r="D1625" s="3">
        <v>45362</v>
      </c>
      <c r="E1625" s="2">
        <v>10122</v>
      </c>
    </row>
    <row r="1626" spans="1:5" x14ac:dyDescent="0.3">
      <c r="A1626" t="s">
        <v>31</v>
      </c>
      <c r="B1626" t="s">
        <v>9</v>
      </c>
      <c r="C1626" t="s">
        <v>28</v>
      </c>
      <c r="D1626" s="3">
        <v>45362</v>
      </c>
      <c r="E1626" s="2">
        <v>12077</v>
      </c>
    </row>
    <row r="1627" spans="1:5" x14ac:dyDescent="0.3">
      <c r="A1627" t="s">
        <v>10</v>
      </c>
      <c r="B1627" t="s">
        <v>21</v>
      </c>
      <c r="C1627" t="s">
        <v>17</v>
      </c>
      <c r="D1627" s="3">
        <v>45362</v>
      </c>
      <c r="E1627" s="2">
        <v>5069</v>
      </c>
    </row>
    <row r="1628" spans="1:5" x14ac:dyDescent="0.3">
      <c r="A1628" t="s">
        <v>31</v>
      </c>
      <c r="B1628" t="s">
        <v>16</v>
      </c>
      <c r="C1628" t="s">
        <v>17</v>
      </c>
      <c r="D1628" s="3">
        <v>45362</v>
      </c>
      <c r="E1628" s="2">
        <v>1806</v>
      </c>
    </row>
    <row r="1629" spans="1:5" x14ac:dyDescent="0.3">
      <c r="A1629" t="s">
        <v>33</v>
      </c>
      <c r="B1629" t="s">
        <v>21</v>
      </c>
      <c r="C1629" t="s">
        <v>12</v>
      </c>
      <c r="D1629" s="3">
        <v>45362</v>
      </c>
      <c r="E1629" s="2">
        <v>4467</v>
      </c>
    </row>
    <row r="1630" spans="1:5" x14ac:dyDescent="0.3">
      <c r="A1630" t="s">
        <v>32</v>
      </c>
      <c r="B1630" t="s">
        <v>13</v>
      </c>
      <c r="C1630" t="s">
        <v>12</v>
      </c>
      <c r="D1630" s="3">
        <v>45363</v>
      </c>
      <c r="E1630" s="2">
        <v>4745</v>
      </c>
    </row>
    <row r="1631" spans="1:5" x14ac:dyDescent="0.3">
      <c r="A1631" t="s">
        <v>22</v>
      </c>
      <c r="B1631" t="s">
        <v>13</v>
      </c>
      <c r="C1631" t="s">
        <v>19</v>
      </c>
      <c r="D1631" s="3">
        <v>45364</v>
      </c>
      <c r="E1631" s="2">
        <v>5963</v>
      </c>
    </row>
    <row r="1632" spans="1:5" x14ac:dyDescent="0.3">
      <c r="A1632" t="s">
        <v>31</v>
      </c>
      <c r="B1632" t="s">
        <v>9</v>
      </c>
      <c r="C1632" t="s">
        <v>7</v>
      </c>
      <c r="D1632" s="3">
        <v>45364</v>
      </c>
      <c r="E1632" s="2">
        <v>13272</v>
      </c>
    </row>
    <row r="1633" spans="1:5" x14ac:dyDescent="0.3">
      <c r="A1633" t="s">
        <v>8</v>
      </c>
      <c r="B1633" t="s">
        <v>13</v>
      </c>
      <c r="C1633" t="s">
        <v>14</v>
      </c>
      <c r="D1633" s="3">
        <v>45365</v>
      </c>
      <c r="E1633" s="2">
        <v>10126</v>
      </c>
    </row>
    <row r="1634" spans="1:5" x14ac:dyDescent="0.3">
      <c r="A1634" t="s">
        <v>15</v>
      </c>
      <c r="B1634" t="s">
        <v>6</v>
      </c>
      <c r="C1634" t="s">
        <v>19</v>
      </c>
      <c r="D1634" s="3">
        <v>45365</v>
      </c>
      <c r="E1634" s="2">
        <v>12756</v>
      </c>
    </row>
    <row r="1635" spans="1:5" x14ac:dyDescent="0.3">
      <c r="A1635" t="s">
        <v>29</v>
      </c>
      <c r="B1635" t="s">
        <v>13</v>
      </c>
      <c r="C1635" t="s">
        <v>25</v>
      </c>
      <c r="D1635" s="3">
        <v>45365</v>
      </c>
      <c r="E1635" s="2">
        <v>2512</v>
      </c>
    </row>
    <row r="1636" spans="1:5" x14ac:dyDescent="0.3">
      <c r="A1636" t="s">
        <v>22</v>
      </c>
      <c r="B1636" t="s">
        <v>21</v>
      </c>
      <c r="C1636" t="s">
        <v>7</v>
      </c>
      <c r="D1636" s="3">
        <v>45365</v>
      </c>
      <c r="E1636" s="2">
        <v>2166</v>
      </c>
    </row>
    <row r="1637" spans="1:5" x14ac:dyDescent="0.3">
      <c r="A1637" t="s">
        <v>5</v>
      </c>
      <c r="B1637" t="s">
        <v>21</v>
      </c>
      <c r="C1637" t="s">
        <v>28</v>
      </c>
      <c r="D1637" s="3">
        <v>45365</v>
      </c>
      <c r="E1637" s="2">
        <v>7410</v>
      </c>
    </row>
    <row r="1638" spans="1:5" x14ac:dyDescent="0.3">
      <c r="A1638" t="s">
        <v>22</v>
      </c>
      <c r="B1638" t="s">
        <v>13</v>
      </c>
      <c r="C1638" t="s">
        <v>25</v>
      </c>
      <c r="D1638" s="3">
        <v>45366</v>
      </c>
      <c r="E1638" s="2">
        <v>10341</v>
      </c>
    </row>
    <row r="1639" spans="1:5" x14ac:dyDescent="0.3">
      <c r="A1639" t="s">
        <v>31</v>
      </c>
      <c r="B1639" t="s">
        <v>6</v>
      </c>
      <c r="C1639" t="s">
        <v>28</v>
      </c>
      <c r="D1639" s="3">
        <v>45366</v>
      </c>
      <c r="E1639" s="2">
        <v>13586</v>
      </c>
    </row>
    <row r="1640" spans="1:5" x14ac:dyDescent="0.3">
      <c r="A1640" t="s">
        <v>15</v>
      </c>
      <c r="B1640" t="s">
        <v>13</v>
      </c>
      <c r="C1640" t="s">
        <v>14</v>
      </c>
      <c r="D1640" s="3">
        <v>45367</v>
      </c>
      <c r="E1640" s="2">
        <v>6850</v>
      </c>
    </row>
    <row r="1641" spans="1:5" x14ac:dyDescent="0.3">
      <c r="A1641" t="s">
        <v>10</v>
      </c>
      <c r="B1641" t="s">
        <v>21</v>
      </c>
      <c r="C1641" t="s">
        <v>23</v>
      </c>
      <c r="D1641" s="3">
        <v>45367</v>
      </c>
      <c r="E1641" s="2">
        <v>7381</v>
      </c>
    </row>
    <row r="1642" spans="1:5" x14ac:dyDescent="0.3">
      <c r="A1642" t="s">
        <v>33</v>
      </c>
      <c r="B1642" t="s">
        <v>13</v>
      </c>
      <c r="C1642" t="s">
        <v>23</v>
      </c>
      <c r="D1642" s="3">
        <v>45367</v>
      </c>
      <c r="E1642" s="2">
        <v>7297</v>
      </c>
    </row>
    <row r="1643" spans="1:5" x14ac:dyDescent="0.3">
      <c r="A1643" t="s">
        <v>18</v>
      </c>
      <c r="B1643" t="s">
        <v>13</v>
      </c>
      <c r="C1643" t="s">
        <v>7</v>
      </c>
      <c r="D1643" s="3">
        <v>45367</v>
      </c>
      <c r="E1643" s="2">
        <v>3982</v>
      </c>
    </row>
    <row r="1644" spans="1:5" x14ac:dyDescent="0.3">
      <c r="A1644" t="s">
        <v>10</v>
      </c>
      <c r="B1644" t="s">
        <v>11</v>
      </c>
      <c r="C1644" t="s">
        <v>7</v>
      </c>
      <c r="D1644" s="3">
        <v>45368</v>
      </c>
      <c r="E1644" s="2">
        <v>6880</v>
      </c>
    </row>
    <row r="1645" spans="1:5" x14ac:dyDescent="0.3">
      <c r="A1645" t="s">
        <v>30</v>
      </c>
      <c r="B1645" t="s">
        <v>13</v>
      </c>
      <c r="C1645" t="s">
        <v>17</v>
      </c>
      <c r="D1645" s="3">
        <v>45368</v>
      </c>
      <c r="E1645" s="2">
        <v>9638</v>
      </c>
    </row>
    <row r="1646" spans="1:5" x14ac:dyDescent="0.3">
      <c r="A1646" t="s">
        <v>31</v>
      </c>
      <c r="B1646" t="s">
        <v>6</v>
      </c>
      <c r="C1646" t="s">
        <v>12</v>
      </c>
      <c r="D1646" s="3">
        <v>45368</v>
      </c>
      <c r="E1646" s="2">
        <v>10974</v>
      </c>
    </row>
    <row r="1647" spans="1:5" x14ac:dyDescent="0.3">
      <c r="A1647" t="s">
        <v>30</v>
      </c>
      <c r="B1647" t="s">
        <v>13</v>
      </c>
      <c r="C1647" t="s">
        <v>12</v>
      </c>
      <c r="D1647" s="3">
        <v>45368</v>
      </c>
      <c r="E1647" s="2">
        <v>4186</v>
      </c>
    </row>
    <row r="1648" spans="1:5" x14ac:dyDescent="0.3">
      <c r="A1648" t="s">
        <v>18</v>
      </c>
      <c r="B1648" t="s">
        <v>11</v>
      </c>
      <c r="C1648" t="s">
        <v>25</v>
      </c>
      <c r="D1648" s="3">
        <v>45369</v>
      </c>
      <c r="E1648" s="2">
        <v>12257</v>
      </c>
    </row>
    <row r="1649" spans="1:5" x14ac:dyDescent="0.3">
      <c r="A1649" t="s">
        <v>33</v>
      </c>
      <c r="B1649" t="s">
        <v>6</v>
      </c>
      <c r="C1649" t="s">
        <v>28</v>
      </c>
      <c r="D1649" s="3">
        <v>45369</v>
      </c>
      <c r="E1649" s="2">
        <v>13789</v>
      </c>
    </row>
    <row r="1650" spans="1:5" x14ac:dyDescent="0.3">
      <c r="A1650" t="s">
        <v>20</v>
      </c>
      <c r="B1650" t="s">
        <v>9</v>
      </c>
      <c r="C1650" t="s">
        <v>19</v>
      </c>
      <c r="D1650" s="3">
        <v>45370</v>
      </c>
      <c r="E1650" s="2">
        <v>1525</v>
      </c>
    </row>
    <row r="1651" spans="1:5" x14ac:dyDescent="0.3">
      <c r="A1651" t="s">
        <v>10</v>
      </c>
      <c r="B1651" t="s">
        <v>21</v>
      </c>
      <c r="C1651" t="s">
        <v>23</v>
      </c>
      <c r="D1651" s="3">
        <v>45370</v>
      </c>
      <c r="E1651" s="2">
        <v>9081</v>
      </c>
    </row>
    <row r="1652" spans="1:5" x14ac:dyDescent="0.3">
      <c r="A1652" t="s">
        <v>32</v>
      </c>
      <c r="B1652" t="s">
        <v>21</v>
      </c>
      <c r="C1652" t="s">
        <v>7</v>
      </c>
      <c r="D1652" s="3">
        <v>45370</v>
      </c>
      <c r="E1652" s="2">
        <v>9720</v>
      </c>
    </row>
    <row r="1653" spans="1:5" x14ac:dyDescent="0.3">
      <c r="A1653" t="s">
        <v>24</v>
      </c>
      <c r="B1653" t="s">
        <v>21</v>
      </c>
      <c r="C1653" t="s">
        <v>25</v>
      </c>
      <c r="D1653" s="3">
        <v>45371</v>
      </c>
      <c r="E1653" s="2">
        <v>11179</v>
      </c>
    </row>
    <row r="1654" spans="1:5" x14ac:dyDescent="0.3">
      <c r="A1654" t="s">
        <v>22</v>
      </c>
      <c r="B1654" t="s">
        <v>21</v>
      </c>
      <c r="C1654" t="s">
        <v>7</v>
      </c>
      <c r="D1654" s="3">
        <v>45371</v>
      </c>
      <c r="E1654" s="2">
        <v>10177</v>
      </c>
    </row>
    <row r="1655" spans="1:5" x14ac:dyDescent="0.3">
      <c r="A1655" t="s">
        <v>26</v>
      </c>
      <c r="B1655" t="s">
        <v>16</v>
      </c>
      <c r="C1655" t="s">
        <v>7</v>
      </c>
      <c r="D1655" s="3">
        <v>45372</v>
      </c>
      <c r="E1655" s="2">
        <v>5668</v>
      </c>
    </row>
    <row r="1656" spans="1:5" x14ac:dyDescent="0.3">
      <c r="A1656" t="s">
        <v>33</v>
      </c>
      <c r="B1656" t="s">
        <v>16</v>
      </c>
      <c r="C1656" t="s">
        <v>7</v>
      </c>
      <c r="D1656" s="3">
        <v>45372</v>
      </c>
      <c r="E1656" s="2">
        <v>1083</v>
      </c>
    </row>
    <row r="1657" spans="1:5" x14ac:dyDescent="0.3">
      <c r="A1657" t="s">
        <v>31</v>
      </c>
      <c r="B1657" t="s">
        <v>11</v>
      </c>
      <c r="C1657" t="s">
        <v>28</v>
      </c>
      <c r="D1657" s="3">
        <v>45372</v>
      </c>
      <c r="E1657" s="2">
        <v>2768</v>
      </c>
    </row>
    <row r="1658" spans="1:5" x14ac:dyDescent="0.3">
      <c r="A1658" t="s">
        <v>30</v>
      </c>
      <c r="B1658" t="s">
        <v>6</v>
      </c>
      <c r="C1658" t="s">
        <v>14</v>
      </c>
      <c r="D1658" s="3">
        <v>45373</v>
      </c>
      <c r="E1658" s="2">
        <v>8295</v>
      </c>
    </row>
    <row r="1659" spans="1:5" x14ac:dyDescent="0.3">
      <c r="A1659" t="s">
        <v>31</v>
      </c>
      <c r="B1659" t="s">
        <v>6</v>
      </c>
      <c r="C1659" t="s">
        <v>25</v>
      </c>
      <c r="D1659" s="3">
        <v>45373</v>
      </c>
      <c r="E1659" s="2">
        <v>5403</v>
      </c>
    </row>
    <row r="1660" spans="1:5" x14ac:dyDescent="0.3">
      <c r="A1660" t="s">
        <v>10</v>
      </c>
      <c r="B1660" t="s">
        <v>16</v>
      </c>
      <c r="C1660" t="s">
        <v>7</v>
      </c>
      <c r="D1660" s="3">
        <v>45373</v>
      </c>
      <c r="E1660" s="2">
        <v>13584</v>
      </c>
    </row>
    <row r="1661" spans="1:5" x14ac:dyDescent="0.3">
      <c r="A1661" t="s">
        <v>22</v>
      </c>
      <c r="B1661" t="s">
        <v>13</v>
      </c>
      <c r="C1661" t="s">
        <v>7</v>
      </c>
      <c r="D1661" s="3">
        <v>45373</v>
      </c>
      <c r="E1661" s="2">
        <v>2364</v>
      </c>
    </row>
    <row r="1662" spans="1:5" x14ac:dyDescent="0.3">
      <c r="A1662" t="s">
        <v>32</v>
      </c>
      <c r="B1662" t="s">
        <v>16</v>
      </c>
      <c r="C1662" t="s">
        <v>7</v>
      </c>
      <c r="D1662" s="3">
        <v>45373</v>
      </c>
      <c r="E1662" s="2">
        <v>13504</v>
      </c>
    </row>
    <row r="1663" spans="1:5" x14ac:dyDescent="0.3">
      <c r="A1663" t="s">
        <v>22</v>
      </c>
      <c r="B1663" t="s">
        <v>16</v>
      </c>
      <c r="C1663" t="s">
        <v>12</v>
      </c>
      <c r="D1663" s="3">
        <v>45373</v>
      </c>
      <c r="E1663" s="2">
        <v>6393</v>
      </c>
    </row>
    <row r="1664" spans="1:5" x14ac:dyDescent="0.3">
      <c r="A1664" t="s">
        <v>27</v>
      </c>
      <c r="B1664" t="s">
        <v>16</v>
      </c>
      <c r="C1664" t="s">
        <v>14</v>
      </c>
      <c r="D1664" s="3">
        <v>45374</v>
      </c>
      <c r="E1664" s="2">
        <v>13988</v>
      </c>
    </row>
    <row r="1665" spans="1:5" x14ac:dyDescent="0.3">
      <c r="A1665" t="s">
        <v>8</v>
      </c>
      <c r="B1665" t="s">
        <v>11</v>
      </c>
      <c r="C1665" t="s">
        <v>19</v>
      </c>
      <c r="D1665" s="3">
        <v>45374</v>
      </c>
      <c r="E1665" s="2">
        <v>10653</v>
      </c>
    </row>
    <row r="1666" spans="1:5" x14ac:dyDescent="0.3">
      <c r="A1666" t="s">
        <v>20</v>
      </c>
      <c r="B1666" t="s">
        <v>16</v>
      </c>
      <c r="C1666" t="s">
        <v>28</v>
      </c>
      <c r="D1666" s="3">
        <v>45374</v>
      </c>
      <c r="E1666" s="2">
        <v>6491</v>
      </c>
    </row>
    <row r="1667" spans="1:5" x14ac:dyDescent="0.3">
      <c r="A1667" t="s">
        <v>8</v>
      </c>
      <c r="B1667" t="s">
        <v>11</v>
      </c>
      <c r="C1667" t="s">
        <v>12</v>
      </c>
      <c r="D1667" s="3">
        <v>45374</v>
      </c>
      <c r="E1667" s="2">
        <v>10818</v>
      </c>
    </row>
    <row r="1668" spans="1:5" x14ac:dyDescent="0.3">
      <c r="A1668" t="s">
        <v>5</v>
      </c>
      <c r="B1668" t="s">
        <v>6</v>
      </c>
      <c r="C1668" t="s">
        <v>7</v>
      </c>
      <c r="D1668" s="3">
        <v>45375</v>
      </c>
      <c r="E1668" s="2">
        <v>2822</v>
      </c>
    </row>
    <row r="1669" spans="1:5" x14ac:dyDescent="0.3">
      <c r="A1669" t="s">
        <v>24</v>
      </c>
      <c r="B1669" t="s">
        <v>9</v>
      </c>
      <c r="C1669" t="s">
        <v>12</v>
      </c>
      <c r="D1669" s="3">
        <v>45375</v>
      </c>
      <c r="E1669" s="2">
        <v>11452</v>
      </c>
    </row>
    <row r="1670" spans="1:5" x14ac:dyDescent="0.3">
      <c r="A1670" t="s">
        <v>10</v>
      </c>
      <c r="B1670" t="s">
        <v>9</v>
      </c>
      <c r="C1670" t="s">
        <v>19</v>
      </c>
      <c r="D1670" s="3">
        <v>45376</v>
      </c>
      <c r="E1670" s="2">
        <v>9241</v>
      </c>
    </row>
    <row r="1671" spans="1:5" x14ac:dyDescent="0.3">
      <c r="A1671" t="s">
        <v>32</v>
      </c>
      <c r="B1671" t="s">
        <v>16</v>
      </c>
      <c r="C1671" t="s">
        <v>7</v>
      </c>
      <c r="D1671" s="3">
        <v>45376</v>
      </c>
      <c r="E1671" s="2">
        <v>4233</v>
      </c>
    </row>
    <row r="1672" spans="1:5" x14ac:dyDescent="0.3">
      <c r="A1672" t="s">
        <v>26</v>
      </c>
      <c r="B1672" t="s">
        <v>16</v>
      </c>
      <c r="C1672" t="s">
        <v>7</v>
      </c>
      <c r="D1672" s="3">
        <v>45376</v>
      </c>
      <c r="E1672" s="2">
        <v>10310</v>
      </c>
    </row>
    <row r="1673" spans="1:5" x14ac:dyDescent="0.3">
      <c r="A1673" t="s">
        <v>20</v>
      </c>
      <c r="B1673" t="s">
        <v>21</v>
      </c>
      <c r="C1673" t="s">
        <v>28</v>
      </c>
      <c r="D1673" s="3">
        <v>45376</v>
      </c>
      <c r="E1673" s="2">
        <v>10665</v>
      </c>
    </row>
    <row r="1674" spans="1:5" x14ac:dyDescent="0.3">
      <c r="A1674" t="s">
        <v>30</v>
      </c>
      <c r="B1674" t="s">
        <v>11</v>
      </c>
      <c r="C1674" t="s">
        <v>17</v>
      </c>
      <c r="D1674" s="3">
        <v>45376</v>
      </c>
      <c r="E1674" s="2">
        <v>12833</v>
      </c>
    </row>
    <row r="1675" spans="1:5" x14ac:dyDescent="0.3">
      <c r="A1675" t="s">
        <v>26</v>
      </c>
      <c r="B1675" t="s">
        <v>11</v>
      </c>
      <c r="C1675" t="s">
        <v>19</v>
      </c>
      <c r="D1675" s="3">
        <v>45377</v>
      </c>
      <c r="E1675" s="2">
        <v>5597</v>
      </c>
    </row>
    <row r="1676" spans="1:5" x14ac:dyDescent="0.3">
      <c r="A1676" t="s">
        <v>29</v>
      </c>
      <c r="B1676" t="s">
        <v>9</v>
      </c>
      <c r="C1676" t="s">
        <v>25</v>
      </c>
      <c r="D1676" s="3">
        <v>45377</v>
      </c>
      <c r="E1676" s="2">
        <v>11365</v>
      </c>
    </row>
    <row r="1677" spans="1:5" x14ac:dyDescent="0.3">
      <c r="A1677" t="s">
        <v>26</v>
      </c>
      <c r="B1677" t="s">
        <v>21</v>
      </c>
      <c r="C1677" t="s">
        <v>25</v>
      </c>
      <c r="D1677" s="3">
        <v>45377</v>
      </c>
      <c r="E1677" s="2">
        <v>2968</v>
      </c>
    </row>
    <row r="1678" spans="1:5" x14ac:dyDescent="0.3">
      <c r="A1678" t="s">
        <v>29</v>
      </c>
      <c r="B1678" t="s">
        <v>21</v>
      </c>
      <c r="C1678" t="s">
        <v>7</v>
      </c>
      <c r="D1678" s="3">
        <v>45377</v>
      </c>
      <c r="E1678" s="2">
        <v>9936</v>
      </c>
    </row>
    <row r="1679" spans="1:5" x14ac:dyDescent="0.3">
      <c r="A1679" t="s">
        <v>26</v>
      </c>
      <c r="B1679" t="s">
        <v>16</v>
      </c>
      <c r="C1679" t="s">
        <v>28</v>
      </c>
      <c r="D1679" s="3">
        <v>45377</v>
      </c>
      <c r="E1679" s="2">
        <v>1563</v>
      </c>
    </row>
    <row r="1680" spans="1:5" x14ac:dyDescent="0.3">
      <c r="A1680" t="s">
        <v>5</v>
      </c>
      <c r="B1680" t="s">
        <v>13</v>
      </c>
      <c r="C1680" t="s">
        <v>17</v>
      </c>
      <c r="D1680" s="3">
        <v>45377</v>
      </c>
      <c r="E1680" s="2">
        <v>9105</v>
      </c>
    </row>
    <row r="1681" spans="1:5" x14ac:dyDescent="0.3">
      <c r="A1681" t="s">
        <v>10</v>
      </c>
      <c r="B1681" t="s">
        <v>13</v>
      </c>
      <c r="C1681" t="s">
        <v>14</v>
      </c>
      <c r="D1681" s="3">
        <v>45378</v>
      </c>
      <c r="E1681" s="2">
        <v>3551</v>
      </c>
    </row>
    <row r="1682" spans="1:5" x14ac:dyDescent="0.3">
      <c r="A1682" t="s">
        <v>8</v>
      </c>
      <c r="B1682" t="s">
        <v>6</v>
      </c>
      <c r="C1682" t="s">
        <v>23</v>
      </c>
      <c r="D1682" s="3">
        <v>45378</v>
      </c>
      <c r="E1682" s="2">
        <v>12153</v>
      </c>
    </row>
    <row r="1683" spans="1:5" x14ac:dyDescent="0.3">
      <c r="A1683" t="s">
        <v>31</v>
      </c>
      <c r="B1683" t="s">
        <v>16</v>
      </c>
      <c r="C1683" t="s">
        <v>25</v>
      </c>
      <c r="D1683" s="3">
        <v>45378</v>
      </c>
      <c r="E1683" s="2">
        <v>6099</v>
      </c>
    </row>
    <row r="1684" spans="1:5" x14ac:dyDescent="0.3">
      <c r="A1684" t="s">
        <v>27</v>
      </c>
      <c r="B1684" t="s">
        <v>16</v>
      </c>
      <c r="C1684" t="s">
        <v>7</v>
      </c>
      <c r="D1684" s="3">
        <v>45378</v>
      </c>
      <c r="E1684" s="2">
        <v>10961</v>
      </c>
    </row>
    <row r="1685" spans="1:5" x14ac:dyDescent="0.3">
      <c r="A1685" t="s">
        <v>31</v>
      </c>
      <c r="B1685" t="s">
        <v>6</v>
      </c>
      <c r="C1685" t="s">
        <v>7</v>
      </c>
      <c r="D1685" s="3">
        <v>45378</v>
      </c>
      <c r="E1685" s="2">
        <v>4103</v>
      </c>
    </row>
    <row r="1686" spans="1:5" x14ac:dyDescent="0.3">
      <c r="A1686" t="s">
        <v>32</v>
      </c>
      <c r="B1686" t="s">
        <v>16</v>
      </c>
      <c r="C1686" t="s">
        <v>28</v>
      </c>
      <c r="D1686" s="3">
        <v>45378</v>
      </c>
      <c r="E1686" s="2">
        <v>13519</v>
      </c>
    </row>
    <row r="1687" spans="1:5" x14ac:dyDescent="0.3">
      <c r="A1687" t="s">
        <v>30</v>
      </c>
      <c r="B1687" t="s">
        <v>9</v>
      </c>
      <c r="C1687" t="s">
        <v>17</v>
      </c>
      <c r="D1687" s="3">
        <v>45378</v>
      </c>
      <c r="E1687" s="2">
        <v>6413</v>
      </c>
    </row>
    <row r="1688" spans="1:5" x14ac:dyDescent="0.3">
      <c r="A1688" t="s">
        <v>31</v>
      </c>
      <c r="B1688" t="s">
        <v>6</v>
      </c>
      <c r="C1688" t="s">
        <v>12</v>
      </c>
      <c r="D1688" s="3">
        <v>45378</v>
      </c>
      <c r="E1688" s="2">
        <v>12709</v>
      </c>
    </row>
    <row r="1689" spans="1:5" x14ac:dyDescent="0.3">
      <c r="A1689" t="s">
        <v>15</v>
      </c>
      <c r="B1689" t="s">
        <v>11</v>
      </c>
      <c r="C1689" t="s">
        <v>12</v>
      </c>
      <c r="D1689" s="3">
        <v>45378</v>
      </c>
      <c r="E1689" s="2">
        <v>1608</v>
      </c>
    </row>
    <row r="1690" spans="1:5" x14ac:dyDescent="0.3">
      <c r="A1690" t="s">
        <v>29</v>
      </c>
      <c r="B1690" t="s">
        <v>13</v>
      </c>
      <c r="C1690" t="s">
        <v>25</v>
      </c>
      <c r="D1690" s="3">
        <v>45379</v>
      </c>
      <c r="E1690" s="2">
        <v>3017</v>
      </c>
    </row>
    <row r="1691" spans="1:5" x14ac:dyDescent="0.3">
      <c r="A1691" t="s">
        <v>18</v>
      </c>
      <c r="B1691" t="s">
        <v>21</v>
      </c>
      <c r="C1691" t="s">
        <v>14</v>
      </c>
      <c r="D1691" s="3">
        <v>45380</v>
      </c>
      <c r="E1691" s="2">
        <v>13211</v>
      </c>
    </row>
    <row r="1692" spans="1:5" x14ac:dyDescent="0.3">
      <c r="A1692" t="s">
        <v>20</v>
      </c>
      <c r="B1692" t="s">
        <v>21</v>
      </c>
      <c r="C1692" t="s">
        <v>14</v>
      </c>
      <c r="D1692" s="3">
        <v>45380</v>
      </c>
      <c r="E1692" s="2">
        <v>13571</v>
      </c>
    </row>
    <row r="1693" spans="1:5" x14ac:dyDescent="0.3">
      <c r="A1693" t="s">
        <v>32</v>
      </c>
      <c r="B1693" t="s">
        <v>6</v>
      </c>
      <c r="C1693" t="s">
        <v>23</v>
      </c>
      <c r="D1693" s="3">
        <v>45380</v>
      </c>
      <c r="E1693" s="2">
        <v>10206</v>
      </c>
    </row>
    <row r="1694" spans="1:5" x14ac:dyDescent="0.3">
      <c r="A1694" t="s">
        <v>10</v>
      </c>
      <c r="B1694" t="s">
        <v>6</v>
      </c>
      <c r="C1694" t="s">
        <v>14</v>
      </c>
      <c r="D1694" s="3">
        <v>45381</v>
      </c>
      <c r="E1694" s="2">
        <v>9518</v>
      </c>
    </row>
    <row r="1695" spans="1:5" x14ac:dyDescent="0.3">
      <c r="A1695" t="s">
        <v>26</v>
      </c>
      <c r="B1695" t="s">
        <v>9</v>
      </c>
      <c r="C1695" t="s">
        <v>14</v>
      </c>
      <c r="D1695" s="3">
        <v>45381</v>
      </c>
      <c r="E1695" s="2">
        <v>1719</v>
      </c>
    </row>
    <row r="1696" spans="1:5" x14ac:dyDescent="0.3">
      <c r="A1696" t="s">
        <v>29</v>
      </c>
      <c r="B1696" t="s">
        <v>11</v>
      </c>
      <c r="C1696" t="s">
        <v>19</v>
      </c>
      <c r="D1696" s="3">
        <v>45381</v>
      </c>
      <c r="E1696" s="2">
        <v>4546</v>
      </c>
    </row>
    <row r="1697" spans="1:5" x14ac:dyDescent="0.3">
      <c r="A1697" t="s">
        <v>18</v>
      </c>
      <c r="B1697" t="s">
        <v>6</v>
      </c>
      <c r="C1697" t="s">
        <v>23</v>
      </c>
      <c r="D1697" s="3">
        <v>45381</v>
      </c>
      <c r="E1697" s="2">
        <v>6701</v>
      </c>
    </row>
    <row r="1698" spans="1:5" x14ac:dyDescent="0.3">
      <c r="A1698" t="s">
        <v>29</v>
      </c>
      <c r="B1698" t="s">
        <v>13</v>
      </c>
      <c r="C1698" t="s">
        <v>25</v>
      </c>
      <c r="D1698" s="3">
        <v>45381</v>
      </c>
      <c r="E1698" s="2">
        <v>3554</v>
      </c>
    </row>
    <row r="1699" spans="1:5" x14ac:dyDescent="0.3">
      <c r="A1699" t="s">
        <v>24</v>
      </c>
      <c r="B1699" t="s">
        <v>11</v>
      </c>
      <c r="C1699" t="s">
        <v>28</v>
      </c>
      <c r="D1699" s="3">
        <v>45381</v>
      </c>
      <c r="E1699" s="2">
        <v>2608</v>
      </c>
    </row>
    <row r="1700" spans="1:5" x14ac:dyDescent="0.3">
      <c r="A1700" t="s">
        <v>5</v>
      </c>
      <c r="B1700" t="s">
        <v>6</v>
      </c>
      <c r="C1700" t="s">
        <v>17</v>
      </c>
      <c r="D1700" s="3">
        <v>45381</v>
      </c>
      <c r="E1700" s="2">
        <v>6458</v>
      </c>
    </row>
    <row r="1701" spans="1:5" x14ac:dyDescent="0.3">
      <c r="A1701" t="s">
        <v>20</v>
      </c>
      <c r="B1701" t="s">
        <v>9</v>
      </c>
      <c r="C1701" t="s">
        <v>17</v>
      </c>
      <c r="D1701" s="3">
        <v>45381</v>
      </c>
      <c r="E1701" s="2">
        <v>6346</v>
      </c>
    </row>
    <row r="1702" spans="1:5" x14ac:dyDescent="0.3">
      <c r="A1702" t="s">
        <v>15</v>
      </c>
      <c r="B1702" t="s">
        <v>13</v>
      </c>
      <c r="C1702" t="s">
        <v>19</v>
      </c>
      <c r="D1702" s="3">
        <v>45382</v>
      </c>
      <c r="E1702" s="2">
        <v>5830</v>
      </c>
    </row>
    <row r="1703" spans="1:5" x14ac:dyDescent="0.3">
      <c r="A1703" t="s">
        <v>30</v>
      </c>
      <c r="B1703" t="s">
        <v>13</v>
      </c>
      <c r="C1703" t="s">
        <v>19</v>
      </c>
      <c r="D1703" s="3">
        <v>45382</v>
      </c>
      <c r="E1703" s="2">
        <v>3564</v>
      </c>
    </row>
    <row r="1704" spans="1:5" x14ac:dyDescent="0.3">
      <c r="A1704" t="s">
        <v>5</v>
      </c>
      <c r="B1704" t="s">
        <v>9</v>
      </c>
      <c r="C1704" t="s">
        <v>25</v>
      </c>
      <c r="D1704" s="3">
        <v>45382</v>
      </c>
      <c r="E1704" s="2">
        <v>12829</v>
      </c>
    </row>
    <row r="1705" spans="1:5" x14ac:dyDescent="0.3">
      <c r="A1705" t="s">
        <v>27</v>
      </c>
      <c r="B1705" t="s">
        <v>16</v>
      </c>
      <c r="C1705" t="s">
        <v>12</v>
      </c>
      <c r="D1705" s="3">
        <v>45382</v>
      </c>
      <c r="E1705" s="2">
        <v>7486</v>
      </c>
    </row>
    <row r="1706" spans="1:5" x14ac:dyDescent="0.3">
      <c r="A1706" t="s">
        <v>24</v>
      </c>
      <c r="B1706" t="s">
        <v>13</v>
      </c>
      <c r="C1706" t="s">
        <v>14</v>
      </c>
      <c r="D1706" s="3">
        <v>45383</v>
      </c>
      <c r="E1706" s="2">
        <v>10353</v>
      </c>
    </row>
    <row r="1707" spans="1:5" x14ac:dyDescent="0.3">
      <c r="A1707" t="s">
        <v>33</v>
      </c>
      <c r="B1707" t="s">
        <v>9</v>
      </c>
      <c r="C1707" t="s">
        <v>23</v>
      </c>
      <c r="D1707" s="3">
        <v>45383</v>
      </c>
      <c r="E1707" s="2">
        <v>9490</v>
      </c>
    </row>
    <row r="1708" spans="1:5" x14ac:dyDescent="0.3">
      <c r="A1708" t="s">
        <v>27</v>
      </c>
      <c r="B1708" t="s">
        <v>6</v>
      </c>
      <c r="C1708" t="s">
        <v>7</v>
      </c>
      <c r="D1708" s="3">
        <v>45383</v>
      </c>
      <c r="E1708" s="2">
        <v>13280</v>
      </c>
    </row>
    <row r="1709" spans="1:5" x14ac:dyDescent="0.3">
      <c r="A1709" t="s">
        <v>32</v>
      </c>
      <c r="B1709" t="s">
        <v>11</v>
      </c>
      <c r="C1709" t="s">
        <v>12</v>
      </c>
      <c r="D1709" s="3">
        <v>45383</v>
      </c>
      <c r="E1709" s="2">
        <v>6086</v>
      </c>
    </row>
    <row r="1710" spans="1:5" x14ac:dyDescent="0.3">
      <c r="A1710" t="s">
        <v>29</v>
      </c>
      <c r="B1710" t="s">
        <v>9</v>
      </c>
      <c r="C1710" t="s">
        <v>14</v>
      </c>
      <c r="D1710" s="3">
        <v>45384</v>
      </c>
      <c r="E1710" s="2">
        <v>3725</v>
      </c>
    </row>
    <row r="1711" spans="1:5" x14ac:dyDescent="0.3">
      <c r="A1711" t="s">
        <v>10</v>
      </c>
      <c r="B1711" t="s">
        <v>13</v>
      </c>
      <c r="C1711" t="s">
        <v>19</v>
      </c>
      <c r="D1711" s="3">
        <v>45384</v>
      </c>
      <c r="E1711" s="2">
        <v>13831</v>
      </c>
    </row>
    <row r="1712" spans="1:5" x14ac:dyDescent="0.3">
      <c r="A1712" t="s">
        <v>27</v>
      </c>
      <c r="B1712" t="s">
        <v>9</v>
      </c>
      <c r="C1712" t="s">
        <v>23</v>
      </c>
      <c r="D1712" s="3">
        <v>45384</v>
      </c>
      <c r="E1712" s="2">
        <v>1818</v>
      </c>
    </row>
    <row r="1713" spans="1:5" x14ac:dyDescent="0.3">
      <c r="A1713" t="s">
        <v>27</v>
      </c>
      <c r="B1713" t="s">
        <v>11</v>
      </c>
      <c r="C1713" t="s">
        <v>23</v>
      </c>
      <c r="D1713" s="3">
        <v>45384</v>
      </c>
      <c r="E1713" s="2">
        <v>12810</v>
      </c>
    </row>
    <row r="1714" spans="1:5" x14ac:dyDescent="0.3">
      <c r="A1714" t="s">
        <v>18</v>
      </c>
      <c r="B1714" t="s">
        <v>16</v>
      </c>
      <c r="C1714" t="s">
        <v>12</v>
      </c>
      <c r="D1714" s="3">
        <v>45384</v>
      </c>
      <c r="E1714" s="2">
        <v>6448</v>
      </c>
    </row>
    <row r="1715" spans="1:5" x14ac:dyDescent="0.3">
      <c r="A1715" t="s">
        <v>22</v>
      </c>
      <c r="B1715" t="s">
        <v>11</v>
      </c>
      <c r="C1715" t="s">
        <v>28</v>
      </c>
      <c r="D1715" s="3">
        <v>45385</v>
      </c>
      <c r="E1715" s="2">
        <v>4095</v>
      </c>
    </row>
    <row r="1716" spans="1:5" x14ac:dyDescent="0.3">
      <c r="A1716" t="s">
        <v>20</v>
      </c>
      <c r="B1716" t="s">
        <v>13</v>
      </c>
      <c r="C1716" t="s">
        <v>17</v>
      </c>
      <c r="D1716" s="3">
        <v>45385</v>
      </c>
      <c r="E1716" s="2">
        <v>10192</v>
      </c>
    </row>
    <row r="1717" spans="1:5" x14ac:dyDescent="0.3">
      <c r="A1717" t="s">
        <v>22</v>
      </c>
      <c r="B1717" t="s">
        <v>11</v>
      </c>
      <c r="C1717" t="s">
        <v>14</v>
      </c>
      <c r="D1717" s="3">
        <v>45386</v>
      </c>
      <c r="E1717" s="2">
        <v>13770</v>
      </c>
    </row>
    <row r="1718" spans="1:5" x14ac:dyDescent="0.3">
      <c r="A1718" t="s">
        <v>20</v>
      </c>
      <c r="B1718" t="s">
        <v>6</v>
      </c>
      <c r="C1718" t="s">
        <v>14</v>
      </c>
      <c r="D1718" s="3">
        <v>45386</v>
      </c>
      <c r="E1718" s="2">
        <v>1227</v>
      </c>
    </row>
    <row r="1719" spans="1:5" x14ac:dyDescent="0.3">
      <c r="A1719" t="s">
        <v>15</v>
      </c>
      <c r="B1719" t="s">
        <v>6</v>
      </c>
      <c r="C1719" t="s">
        <v>23</v>
      </c>
      <c r="D1719" s="3">
        <v>45386</v>
      </c>
      <c r="E1719" s="2">
        <v>11510</v>
      </c>
    </row>
    <row r="1720" spans="1:5" x14ac:dyDescent="0.3">
      <c r="A1720" t="s">
        <v>10</v>
      </c>
      <c r="B1720" t="s">
        <v>11</v>
      </c>
      <c r="C1720" t="s">
        <v>28</v>
      </c>
      <c r="D1720" s="3">
        <v>45387</v>
      </c>
      <c r="E1720" s="2">
        <v>4597</v>
      </c>
    </row>
    <row r="1721" spans="1:5" x14ac:dyDescent="0.3">
      <c r="A1721" t="s">
        <v>20</v>
      </c>
      <c r="B1721" t="s">
        <v>11</v>
      </c>
      <c r="C1721" t="s">
        <v>17</v>
      </c>
      <c r="D1721" s="3">
        <v>45387</v>
      </c>
      <c r="E1721" s="2">
        <v>12135</v>
      </c>
    </row>
    <row r="1722" spans="1:5" x14ac:dyDescent="0.3">
      <c r="A1722" t="s">
        <v>33</v>
      </c>
      <c r="B1722" t="s">
        <v>6</v>
      </c>
      <c r="C1722" t="s">
        <v>14</v>
      </c>
      <c r="D1722" s="3">
        <v>45388</v>
      </c>
      <c r="E1722" s="2">
        <v>12206</v>
      </c>
    </row>
    <row r="1723" spans="1:5" x14ac:dyDescent="0.3">
      <c r="A1723" t="s">
        <v>30</v>
      </c>
      <c r="B1723" t="s">
        <v>9</v>
      </c>
      <c r="C1723" t="s">
        <v>17</v>
      </c>
      <c r="D1723" s="3">
        <v>45388</v>
      </c>
      <c r="E1723" s="2">
        <v>8026</v>
      </c>
    </row>
    <row r="1724" spans="1:5" x14ac:dyDescent="0.3">
      <c r="A1724" t="s">
        <v>32</v>
      </c>
      <c r="B1724" t="s">
        <v>16</v>
      </c>
      <c r="C1724" t="s">
        <v>14</v>
      </c>
      <c r="D1724" s="3">
        <v>45389</v>
      </c>
      <c r="E1724" s="2">
        <v>12117</v>
      </c>
    </row>
    <row r="1725" spans="1:5" x14ac:dyDescent="0.3">
      <c r="A1725" t="s">
        <v>15</v>
      </c>
      <c r="B1725" t="s">
        <v>11</v>
      </c>
      <c r="C1725" t="s">
        <v>19</v>
      </c>
      <c r="D1725" s="3">
        <v>45389</v>
      </c>
      <c r="E1725" s="2">
        <v>5887</v>
      </c>
    </row>
    <row r="1726" spans="1:5" x14ac:dyDescent="0.3">
      <c r="A1726" t="s">
        <v>20</v>
      </c>
      <c r="B1726" t="s">
        <v>16</v>
      </c>
      <c r="C1726" t="s">
        <v>23</v>
      </c>
      <c r="D1726" s="3">
        <v>45389</v>
      </c>
      <c r="E1726" s="2">
        <v>6771</v>
      </c>
    </row>
    <row r="1727" spans="1:5" x14ac:dyDescent="0.3">
      <c r="A1727" t="s">
        <v>18</v>
      </c>
      <c r="B1727" t="s">
        <v>13</v>
      </c>
      <c r="C1727" t="s">
        <v>23</v>
      </c>
      <c r="D1727" s="3">
        <v>45390</v>
      </c>
      <c r="E1727" s="2">
        <v>8631</v>
      </c>
    </row>
    <row r="1728" spans="1:5" x14ac:dyDescent="0.3">
      <c r="A1728" t="s">
        <v>29</v>
      </c>
      <c r="B1728" t="s">
        <v>21</v>
      </c>
      <c r="C1728" t="s">
        <v>23</v>
      </c>
      <c r="D1728" s="3">
        <v>45391</v>
      </c>
      <c r="E1728" s="2">
        <v>1243</v>
      </c>
    </row>
    <row r="1729" spans="1:5" x14ac:dyDescent="0.3">
      <c r="A1729" t="s">
        <v>31</v>
      </c>
      <c r="B1729" t="s">
        <v>11</v>
      </c>
      <c r="C1729" t="s">
        <v>7</v>
      </c>
      <c r="D1729" s="3">
        <v>45391</v>
      </c>
      <c r="E1729" s="2">
        <v>2024</v>
      </c>
    </row>
    <row r="1730" spans="1:5" x14ac:dyDescent="0.3">
      <c r="A1730" t="s">
        <v>33</v>
      </c>
      <c r="B1730" t="s">
        <v>13</v>
      </c>
      <c r="C1730" t="s">
        <v>17</v>
      </c>
      <c r="D1730" s="3">
        <v>45391</v>
      </c>
      <c r="E1730" s="2">
        <v>6171</v>
      </c>
    </row>
    <row r="1731" spans="1:5" x14ac:dyDescent="0.3">
      <c r="A1731" t="s">
        <v>32</v>
      </c>
      <c r="B1731" t="s">
        <v>9</v>
      </c>
      <c r="C1731" t="s">
        <v>17</v>
      </c>
      <c r="D1731" s="3">
        <v>45391</v>
      </c>
      <c r="E1731" s="2">
        <v>13726</v>
      </c>
    </row>
    <row r="1732" spans="1:5" x14ac:dyDescent="0.3">
      <c r="A1732" t="s">
        <v>5</v>
      </c>
      <c r="B1732" t="s">
        <v>13</v>
      </c>
      <c r="C1732" t="s">
        <v>12</v>
      </c>
      <c r="D1732" s="3">
        <v>45391</v>
      </c>
      <c r="E1732" s="2">
        <v>11483</v>
      </c>
    </row>
    <row r="1733" spans="1:5" x14ac:dyDescent="0.3">
      <c r="A1733" t="s">
        <v>15</v>
      </c>
      <c r="B1733" t="s">
        <v>9</v>
      </c>
      <c r="C1733" t="s">
        <v>14</v>
      </c>
      <c r="D1733" s="3">
        <v>45392</v>
      </c>
      <c r="E1733" s="2">
        <v>4957</v>
      </c>
    </row>
    <row r="1734" spans="1:5" x14ac:dyDescent="0.3">
      <c r="A1734" t="s">
        <v>32</v>
      </c>
      <c r="B1734" t="s">
        <v>13</v>
      </c>
      <c r="C1734" t="s">
        <v>14</v>
      </c>
      <c r="D1734" s="3">
        <v>45392</v>
      </c>
      <c r="E1734" s="2">
        <v>4848</v>
      </c>
    </row>
    <row r="1735" spans="1:5" x14ac:dyDescent="0.3">
      <c r="A1735" t="s">
        <v>8</v>
      </c>
      <c r="B1735" t="s">
        <v>16</v>
      </c>
      <c r="C1735" t="s">
        <v>25</v>
      </c>
      <c r="D1735" s="3">
        <v>45392</v>
      </c>
      <c r="E1735" s="2">
        <v>2558</v>
      </c>
    </row>
    <row r="1736" spans="1:5" x14ac:dyDescent="0.3">
      <c r="A1736" t="s">
        <v>32</v>
      </c>
      <c r="B1736" t="s">
        <v>16</v>
      </c>
      <c r="C1736" t="s">
        <v>7</v>
      </c>
      <c r="D1736" s="3">
        <v>45392</v>
      </c>
      <c r="E1736" s="2">
        <v>1997</v>
      </c>
    </row>
    <row r="1737" spans="1:5" x14ac:dyDescent="0.3">
      <c r="A1737" t="s">
        <v>29</v>
      </c>
      <c r="B1737" t="s">
        <v>9</v>
      </c>
      <c r="C1737" t="s">
        <v>7</v>
      </c>
      <c r="D1737" s="3">
        <v>45392</v>
      </c>
      <c r="E1737" s="2">
        <v>5202</v>
      </c>
    </row>
    <row r="1738" spans="1:5" x14ac:dyDescent="0.3">
      <c r="A1738" t="s">
        <v>22</v>
      </c>
      <c r="B1738" t="s">
        <v>6</v>
      </c>
      <c r="C1738" t="s">
        <v>7</v>
      </c>
      <c r="D1738" s="3">
        <v>45394</v>
      </c>
      <c r="E1738" s="2">
        <v>13569</v>
      </c>
    </row>
    <row r="1739" spans="1:5" x14ac:dyDescent="0.3">
      <c r="A1739" t="s">
        <v>32</v>
      </c>
      <c r="B1739" t="s">
        <v>13</v>
      </c>
      <c r="C1739" t="s">
        <v>14</v>
      </c>
      <c r="D1739" s="3">
        <v>45395</v>
      </c>
      <c r="E1739" s="2">
        <v>6724</v>
      </c>
    </row>
    <row r="1740" spans="1:5" x14ac:dyDescent="0.3">
      <c r="A1740" t="s">
        <v>30</v>
      </c>
      <c r="B1740" t="s">
        <v>21</v>
      </c>
      <c r="C1740" t="s">
        <v>14</v>
      </c>
      <c r="D1740" s="3">
        <v>45395</v>
      </c>
      <c r="E1740" s="2">
        <v>5776</v>
      </c>
    </row>
    <row r="1741" spans="1:5" x14ac:dyDescent="0.3">
      <c r="A1741" t="s">
        <v>15</v>
      </c>
      <c r="B1741" t="s">
        <v>9</v>
      </c>
      <c r="C1741" t="s">
        <v>17</v>
      </c>
      <c r="D1741" s="3">
        <v>45395</v>
      </c>
      <c r="E1741" s="2">
        <v>7603</v>
      </c>
    </row>
    <row r="1742" spans="1:5" x14ac:dyDescent="0.3">
      <c r="A1742" t="s">
        <v>5</v>
      </c>
      <c r="B1742" t="s">
        <v>21</v>
      </c>
      <c r="C1742" t="s">
        <v>17</v>
      </c>
      <c r="D1742" s="3">
        <v>45395</v>
      </c>
      <c r="E1742" s="2">
        <v>10090</v>
      </c>
    </row>
    <row r="1743" spans="1:5" x14ac:dyDescent="0.3">
      <c r="A1743" t="s">
        <v>26</v>
      </c>
      <c r="B1743" t="s">
        <v>11</v>
      </c>
      <c r="C1743" t="s">
        <v>12</v>
      </c>
      <c r="D1743" s="3">
        <v>45395</v>
      </c>
      <c r="E1743" s="2">
        <v>10331</v>
      </c>
    </row>
    <row r="1744" spans="1:5" x14ac:dyDescent="0.3">
      <c r="A1744" t="s">
        <v>15</v>
      </c>
      <c r="B1744" t="s">
        <v>6</v>
      </c>
      <c r="C1744" t="s">
        <v>12</v>
      </c>
      <c r="D1744" s="3">
        <v>45395</v>
      </c>
      <c r="E1744" s="2">
        <v>4162</v>
      </c>
    </row>
    <row r="1745" spans="1:5" x14ac:dyDescent="0.3">
      <c r="A1745" t="s">
        <v>10</v>
      </c>
      <c r="B1745" t="s">
        <v>9</v>
      </c>
      <c r="C1745" t="s">
        <v>12</v>
      </c>
      <c r="D1745" s="3">
        <v>45395</v>
      </c>
      <c r="E1745" s="2">
        <v>9291</v>
      </c>
    </row>
    <row r="1746" spans="1:5" x14ac:dyDescent="0.3">
      <c r="A1746" t="s">
        <v>30</v>
      </c>
      <c r="B1746" t="s">
        <v>11</v>
      </c>
      <c r="C1746" t="s">
        <v>7</v>
      </c>
      <c r="D1746" s="3">
        <v>45396</v>
      </c>
      <c r="E1746" s="2">
        <v>3854</v>
      </c>
    </row>
    <row r="1747" spans="1:5" x14ac:dyDescent="0.3">
      <c r="A1747" t="s">
        <v>30</v>
      </c>
      <c r="B1747" t="s">
        <v>21</v>
      </c>
      <c r="C1747" t="s">
        <v>14</v>
      </c>
      <c r="D1747" s="3">
        <v>45397</v>
      </c>
      <c r="E1747" s="2">
        <v>13015</v>
      </c>
    </row>
    <row r="1748" spans="1:5" x14ac:dyDescent="0.3">
      <c r="A1748" t="s">
        <v>8</v>
      </c>
      <c r="B1748" t="s">
        <v>16</v>
      </c>
      <c r="C1748" t="s">
        <v>23</v>
      </c>
      <c r="D1748" s="3">
        <v>45397</v>
      </c>
      <c r="E1748" s="2">
        <v>9488</v>
      </c>
    </row>
    <row r="1749" spans="1:5" x14ac:dyDescent="0.3">
      <c r="A1749" t="s">
        <v>15</v>
      </c>
      <c r="B1749" t="s">
        <v>21</v>
      </c>
      <c r="C1749" t="s">
        <v>25</v>
      </c>
      <c r="D1749" s="3">
        <v>45397</v>
      </c>
      <c r="E1749" s="2">
        <v>11106</v>
      </c>
    </row>
    <row r="1750" spans="1:5" x14ac:dyDescent="0.3">
      <c r="A1750" t="s">
        <v>15</v>
      </c>
      <c r="B1750" t="s">
        <v>6</v>
      </c>
      <c r="C1750" t="s">
        <v>25</v>
      </c>
      <c r="D1750" s="3">
        <v>45397</v>
      </c>
      <c r="E1750" s="2">
        <v>8399</v>
      </c>
    </row>
    <row r="1751" spans="1:5" x14ac:dyDescent="0.3">
      <c r="A1751" t="s">
        <v>29</v>
      </c>
      <c r="B1751" t="s">
        <v>11</v>
      </c>
      <c r="C1751" t="s">
        <v>7</v>
      </c>
      <c r="D1751" s="3">
        <v>45397</v>
      </c>
      <c r="E1751" s="2">
        <v>13679</v>
      </c>
    </row>
    <row r="1752" spans="1:5" x14ac:dyDescent="0.3">
      <c r="A1752" t="s">
        <v>32</v>
      </c>
      <c r="B1752" t="s">
        <v>13</v>
      </c>
      <c r="C1752" t="s">
        <v>17</v>
      </c>
      <c r="D1752" s="3">
        <v>45397</v>
      </c>
      <c r="E1752" s="2">
        <v>8287</v>
      </c>
    </row>
    <row r="1753" spans="1:5" x14ac:dyDescent="0.3">
      <c r="A1753" t="s">
        <v>20</v>
      </c>
      <c r="B1753" t="s">
        <v>13</v>
      </c>
      <c r="C1753" t="s">
        <v>14</v>
      </c>
      <c r="D1753" s="3">
        <v>45398</v>
      </c>
      <c r="E1753" s="2">
        <v>13288</v>
      </c>
    </row>
    <row r="1754" spans="1:5" x14ac:dyDescent="0.3">
      <c r="A1754" t="s">
        <v>20</v>
      </c>
      <c r="B1754" t="s">
        <v>6</v>
      </c>
      <c r="C1754" t="s">
        <v>14</v>
      </c>
      <c r="D1754" s="3">
        <v>45398</v>
      </c>
      <c r="E1754" s="2">
        <v>4748</v>
      </c>
    </row>
    <row r="1755" spans="1:5" x14ac:dyDescent="0.3">
      <c r="A1755" t="s">
        <v>24</v>
      </c>
      <c r="B1755" t="s">
        <v>13</v>
      </c>
      <c r="C1755" t="s">
        <v>19</v>
      </c>
      <c r="D1755" s="3">
        <v>45398</v>
      </c>
      <c r="E1755" s="2">
        <v>10676</v>
      </c>
    </row>
    <row r="1756" spans="1:5" x14ac:dyDescent="0.3">
      <c r="A1756" t="s">
        <v>5</v>
      </c>
      <c r="B1756" t="s">
        <v>16</v>
      </c>
      <c r="C1756" t="s">
        <v>19</v>
      </c>
      <c r="D1756" s="3">
        <v>45398</v>
      </c>
      <c r="E1756" s="2">
        <v>3704</v>
      </c>
    </row>
    <row r="1757" spans="1:5" x14ac:dyDescent="0.3">
      <c r="A1757" t="s">
        <v>20</v>
      </c>
      <c r="B1757" t="s">
        <v>21</v>
      </c>
      <c r="C1757" t="s">
        <v>7</v>
      </c>
      <c r="D1757" s="3">
        <v>45398</v>
      </c>
      <c r="E1757" s="2">
        <v>12071</v>
      </c>
    </row>
    <row r="1758" spans="1:5" x14ac:dyDescent="0.3">
      <c r="A1758" t="s">
        <v>10</v>
      </c>
      <c r="B1758" t="s">
        <v>9</v>
      </c>
      <c r="C1758" t="s">
        <v>7</v>
      </c>
      <c r="D1758" s="3">
        <v>45398</v>
      </c>
      <c r="E1758" s="2">
        <v>1559</v>
      </c>
    </row>
    <row r="1759" spans="1:5" x14ac:dyDescent="0.3">
      <c r="A1759" t="s">
        <v>32</v>
      </c>
      <c r="B1759" t="s">
        <v>9</v>
      </c>
      <c r="C1759" t="s">
        <v>28</v>
      </c>
      <c r="D1759" s="3">
        <v>45398</v>
      </c>
      <c r="E1759" s="2">
        <v>10990</v>
      </c>
    </row>
    <row r="1760" spans="1:5" x14ac:dyDescent="0.3">
      <c r="A1760" t="s">
        <v>30</v>
      </c>
      <c r="B1760" t="s">
        <v>6</v>
      </c>
      <c r="C1760" t="s">
        <v>12</v>
      </c>
      <c r="D1760" s="3">
        <v>45398</v>
      </c>
      <c r="E1760" s="2">
        <v>6473</v>
      </c>
    </row>
    <row r="1761" spans="1:5" x14ac:dyDescent="0.3">
      <c r="A1761" t="s">
        <v>22</v>
      </c>
      <c r="B1761" t="s">
        <v>9</v>
      </c>
      <c r="C1761" t="s">
        <v>19</v>
      </c>
      <c r="D1761" s="3">
        <v>45399</v>
      </c>
      <c r="E1761" s="2">
        <v>12268</v>
      </c>
    </row>
    <row r="1762" spans="1:5" x14ac:dyDescent="0.3">
      <c r="A1762" t="s">
        <v>24</v>
      </c>
      <c r="B1762" t="s">
        <v>16</v>
      </c>
      <c r="C1762" t="s">
        <v>25</v>
      </c>
      <c r="D1762" s="3">
        <v>45399</v>
      </c>
      <c r="E1762" s="2">
        <v>5476</v>
      </c>
    </row>
    <row r="1763" spans="1:5" x14ac:dyDescent="0.3">
      <c r="A1763" t="s">
        <v>15</v>
      </c>
      <c r="B1763" t="s">
        <v>13</v>
      </c>
      <c r="C1763" t="s">
        <v>25</v>
      </c>
      <c r="D1763" s="3">
        <v>45399</v>
      </c>
      <c r="E1763" s="2">
        <v>12298</v>
      </c>
    </row>
    <row r="1764" spans="1:5" x14ac:dyDescent="0.3">
      <c r="A1764" t="s">
        <v>32</v>
      </c>
      <c r="B1764" t="s">
        <v>13</v>
      </c>
      <c r="C1764" t="s">
        <v>17</v>
      </c>
      <c r="D1764" s="3">
        <v>45399</v>
      </c>
      <c r="E1764" s="2">
        <v>11155</v>
      </c>
    </row>
    <row r="1765" spans="1:5" x14ac:dyDescent="0.3">
      <c r="A1765" t="s">
        <v>30</v>
      </c>
      <c r="B1765" t="s">
        <v>9</v>
      </c>
      <c r="C1765" t="s">
        <v>14</v>
      </c>
      <c r="D1765" s="3">
        <v>45400</v>
      </c>
      <c r="E1765" s="2">
        <v>8112</v>
      </c>
    </row>
    <row r="1766" spans="1:5" x14ac:dyDescent="0.3">
      <c r="A1766" t="s">
        <v>24</v>
      </c>
      <c r="B1766" t="s">
        <v>21</v>
      </c>
      <c r="C1766" t="s">
        <v>19</v>
      </c>
      <c r="D1766" s="3">
        <v>45400</v>
      </c>
      <c r="E1766" s="2">
        <v>5521</v>
      </c>
    </row>
    <row r="1767" spans="1:5" x14ac:dyDescent="0.3">
      <c r="A1767" t="s">
        <v>22</v>
      </c>
      <c r="B1767" t="s">
        <v>6</v>
      </c>
      <c r="C1767" t="s">
        <v>23</v>
      </c>
      <c r="D1767" s="3">
        <v>45400</v>
      </c>
      <c r="E1767" s="2">
        <v>6329</v>
      </c>
    </row>
    <row r="1768" spans="1:5" x14ac:dyDescent="0.3">
      <c r="A1768" t="s">
        <v>8</v>
      </c>
      <c r="B1768" t="s">
        <v>21</v>
      </c>
      <c r="C1768" t="s">
        <v>14</v>
      </c>
      <c r="D1768" s="3">
        <v>45401</v>
      </c>
      <c r="E1768" s="2">
        <v>8099</v>
      </c>
    </row>
    <row r="1769" spans="1:5" x14ac:dyDescent="0.3">
      <c r="A1769" t="s">
        <v>29</v>
      </c>
      <c r="B1769" t="s">
        <v>6</v>
      </c>
      <c r="C1769" t="s">
        <v>23</v>
      </c>
      <c r="D1769" s="3">
        <v>45401</v>
      </c>
      <c r="E1769" s="2">
        <v>9458</v>
      </c>
    </row>
    <row r="1770" spans="1:5" x14ac:dyDescent="0.3">
      <c r="A1770" t="s">
        <v>29</v>
      </c>
      <c r="B1770" t="s">
        <v>13</v>
      </c>
      <c r="C1770" t="s">
        <v>7</v>
      </c>
      <c r="D1770" s="3">
        <v>45401</v>
      </c>
      <c r="E1770" s="2">
        <v>3218</v>
      </c>
    </row>
    <row r="1771" spans="1:5" x14ac:dyDescent="0.3">
      <c r="A1771" t="s">
        <v>10</v>
      </c>
      <c r="B1771" t="s">
        <v>21</v>
      </c>
      <c r="C1771" t="s">
        <v>14</v>
      </c>
      <c r="D1771" s="3">
        <v>45402</v>
      </c>
      <c r="E1771" s="2">
        <v>10590</v>
      </c>
    </row>
    <row r="1772" spans="1:5" x14ac:dyDescent="0.3">
      <c r="A1772" t="s">
        <v>18</v>
      </c>
      <c r="B1772" t="s">
        <v>11</v>
      </c>
      <c r="C1772" t="s">
        <v>7</v>
      </c>
      <c r="D1772" s="3">
        <v>45402</v>
      </c>
      <c r="E1772" s="2">
        <v>7078</v>
      </c>
    </row>
    <row r="1773" spans="1:5" x14ac:dyDescent="0.3">
      <c r="A1773" t="s">
        <v>10</v>
      </c>
      <c r="B1773" t="s">
        <v>13</v>
      </c>
      <c r="C1773" t="s">
        <v>17</v>
      </c>
      <c r="D1773" s="3">
        <v>45402</v>
      </c>
      <c r="E1773" s="2">
        <v>2316</v>
      </c>
    </row>
    <row r="1774" spans="1:5" x14ac:dyDescent="0.3">
      <c r="A1774" t="s">
        <v>5</v>
      </c>
      <c r="B1774" t="s">
        <v>6</v>
      </c>
      <c r="C1774" t="s">
        <v>7</v>
      </c>
      <c r="D1774" s="3">
        <v>45403</v>
      </c>
      <c r="E1774" s="2">
        <v>2576</v>
      </c>
    </row>
    <row r="1775" spans="1:5" x14ac:dyDescent="0.3">
      <c r="A1775" t="s">
        <v>15</v>
      </c>
      <c r="B1775" t="s">
        <v>6</v>
      </c>
      <c r="C1775" t="s">
        <v>7</v>
      </c>
      <c r="D1775" s="3">
        <v>45403</v>
      </c>
      <c r="E1775" s="2">
        <v>4290</v>
      </c>
    </row>
    <row r="1776" spans="1:5" x14ac:dyDescent="0.3">
      <c r="A1776" t="s">
        <v>5</v>
      </c>
      <c r="B1776" t="s">
        <v>13</v>
      </c>
      <c r="C1776" t="s">
        <v>12</v>
      </c>
      <c r="D1776" s="3">
        <v>45403</v>
      </c>
      <c r="E1776" s="2">
        <v>1840</v>
      </c>
    </row>
    <row r="1777" spans="1:5" x14ac:dyDescent="0.3">
      <c r="A1777" t="s">
        <v>26</v>
      </c>
      <c r="B1777" t="s">
        <v>6</v>
      </c>
      <c r="C1777" t="s">
        <v>12</v>
      </c>
      <c r="D1777" s="3">
        <v>45403</v>
      </c>
      <c r="E1777" s="2">
        <v>2680</v>
      </c>
    </row>
    <row r="1778" spans="1:5" x14ac:dyDescent="0.3">
      <c r="A1778" t="s">
        <v>8</v>
      </c>
      <c r="B1778" t="s">
        <v>21</v>
      </c>
      <c r="C1778" t="s">
        <v>19</v>
      </c>
      <c r="D1778" s="3">
        <v>45404</v>
      </c>
      <c r="E1778" s="2">
        <v>1304</v>
      </c>
    </row>
    <row r="1779" spans="1:5" x14ac:dyDescent="0.3">
      <c r="A1779" t="s">
        <v>18</v>
      </c>
      <c r="B1779" t="s">
        <v>13</v>
      </c>
      <c r="C1779" t="s">
        <v>23</v>
      </c>
      <c r="D1779" s="3">
        <v>45404</v>
      </c>
      <c r="E1779" s="2">
        <v>7290</v>
      </c>
    </row>
    <row r="1780" spans="1:5" x14ac:dyDescent="0.3">
      <c r="A1780" t="s">
        <v>8</v>
      </c>
      <c r="B1780" t="s">
        <v>11</v>
      </c>
      <c r="C1780" t="s">
        <v>23</v>
      </c>
      <c r="D1780" s="3">
        <v>45404</v>
      </c>
      <c r="E1780" s="2">
        <v>11987</v>
      </c>
    </row>
    <row r="1781" spans="1:5" x14ac:dyDescent="0.3">
      <c r="A1781" t="s">
        <v>30</v>
      </c>
      <c r="B1781" t="s">
        <v>9</v>
      </c>
      <c r="C1781" t="s">
        <v>17</v>
      </c>
      <c r="D1781" s="3">
        <v>45404</v>
      </c>
      <c r="E1781" s="2">
        <v>5423</v>
      </c>
    </row>
    <row r="1782" spans="1:5" x14ac:dyDescent="0.3">
      <c r="A1782" t="s">
        <v>24</v>
      </c>
      <c r="B1782" t="s">
        <v>16</v>
      </c>
      <c r="C1782" t="s">
        <v>25</v>
      </c>
      <c r="D1782" s="3">
        <v>45405</v>
      </c>
      <c r="E1782" s="2">
        <v>11458</v>
      </c>
    </row>
    <row r="1783" spans="1:5" x14ac:dyDescent="0.3">
      <c r="A1783" t="s">
        <v>18</v>
      </c>
      <c r="B1783" t="s">
        <v>21</v>
      </c>
      <c r="C1783" t="s">
        <v>17</v>
      </c>
      <c r="D1783" s="3">
        <v>45405</v>
      </c>
      <c r="E1783" s="2">
        <v>5783</v>
      </c>
    </row>
    <row r="1784" spans="1:5" x14ac:dyDescent="0.3">
      <c r="A1784" t="s">
        <v>24</v>
      </c>
      <c r="B1784" t="s">
        <v>13</v>
      </c>
      <c r="C1784" t="s">
        <v>12</v>
      </c>
      <c r="D1784" s="3">
        <v>45405</v>
      </c>
      <c r="E1784" s="2">
        <v>10242</v>
      </c>
    </row>
    <row r="1785" spans="1:5" x14ac:dyDescent="0.3">
      <c r="A1785" t="s">
        <v>31</v>
      </c>
      <c r="B1785" t="s">
        <v>21</v>
      </c>
      <c r="C1785" t="s">
        <v>23</v>
      </c>
      <c r="D1785" s="3">
        <v>45406</v>
      </c>
      <c r="E1785" s="2">
        <v>9822</v>
      </c>
    </row>
    <row r="1786" spans="1:5" x14ac:dyDescent="0.3">
      <c r="A1786" t="s">
        <v>24</v>
      </c>
      <c r="B1786" t="s">
        <v>16</v>
      </c>
      <c r="C1786" t="s">
        <v>25</v>
      </c>
      <c r="D1786" s="3">
        <v>45406</v>
      </c>
      <c r="E1786" s="2">
        <v>4757</v>
      </c>
    </row>
    <row r="1787" spans="1:5" x14ac:dyDescent="0.3">
      <c r="A1787" t="s">
        <v>5</v>
      </c>
      <c r="B1787" t="s">
        <v>16</v>
      </c>
      <c r="C1787" t="s">
        <v>28</v>
      </c>
      <c r="D1787" s="3">
        <v>45406</v>
      </c>
      <c r="E1787" s="2">
        <v>9593</v>
      </c>
    </row>
    <row r="1788" spans="1:5" x14ac:dyDescent="0.3">
      <c r="A1788" t="s">
        <v>15</v>
      </c>
      <c r="B1788" t="s">
        <v>21</v>
      </c>
      <c r="C1788" t="s">
        <v>28</v>
      </c>
      <c r="D1788" s="3">
        <v>45406</v>
      </c>
      <c r="E1788" s="2">
        <v>9551</v>
      </c>
    </row>
    <row r="1789" spans="1:5" x14ac:dyDescent="0.3">
      <c r="A1789" t="s">
        <v>20</v>
      </c>
      <c r="B1789" t="s">
        <v>9</v>
      </c>
      <c r="C1789" t="s">
        <v>17</v>
      </c>
      <c r="D1789" s="3">
        <v>45406</v>
      </c>
      <c r="E1789" s="2">
        <v>12529</v>
      </c>
    </row>
    <row r="1790" spans="1:5" x14ac:dyDescent="0.3">
      <c r="A1790" t="s">
        <v>5</v>
      </c>
      <c r="B1790" t="s">
        <v>9</v>
      </c>
      <c r="C1790" t="s">
        <v>12</v>
      </c>
      <c r="D1790" s="3">
        <v>45406</v>
      </c>
      <c r="E1790" s="2">
        <v>4815</v>
      </c>
    </row>
    <row r="1791" spans="1:5" x14ac:dyDescent="0.3">
      <c r="A1791" t="s">
        <v>20</v>
      </c>
      <c r="B1791" t="s">
        <v>9</v>
      </c>
      <c r="C1791" t="s">
        <v>19</v>
      </c>
      <c r="D1791" s="3">
        <v>45407</v>
      </c>
      <c r="E1791" s="2">
        <v>12990</v>
      </c>
    </row>
    <row r="1792" spans="1:5" x14ac:dyDescent="0.3">
      <c r="A1792" t="s">
        <v>27</v>
      </c>
      <c r="B1792" t="s">
        <v>11</v>
      </c>
      <c r="C1792" t="s">
        <v>19</v>
      </c>
      <c r="D1792" s="3">
        <v>45407</v>
      </c>
      <c r="E1792" s="2">
        <v>1599</v>
      </c>
    </row>
    <row r="1793" spans="1:5" x14ac:dyDescent="0.3">
      <c r="A1793" t="s">
        <v>33</v>
      </c>
      <c r="B1793" t="s">
        <v>11</v>
      </c>
      <c r="C1793" t="s">
        <v>7</v>
      </c>
      <c r="D1793" s="3">
        <v>45407</v>
      </c>
      <c r="E1793" s="2">
        <v>5330</v>
      </c>
    </row>
    <row r="1794" spans="1:5" x14ac:dyDescent="0.3">
      <c r="A1794" t="s">
        <v>22</v>
      </c>
      <c r="B1794" t="s">
        <v>13</v>
      </c>
      <c r="C1794" t="s">
        <v>19</v>
      </c>
      <c r="D1794" s="3">
        <v>45408</v>
      </c>
      <c r="E1794" s="2">
        <v>1019</v>
      </c>
    </row>
    <row r="1795" spans="1:5" x14ac:dyDescent="0.3">
      <c r="A1795" t="s">
        <v>29</v>
      </c>
      <c r="B1795" t="s">
        <v>21</v>
      </c>
      <c r="C1795" t="s">
        <v>25</v>
      </c>
      <c r="D1795" s="3">
        <v>45408</v>
      </c>
      <c r="E1795" s="2">
        <v>1544</v>
      </c>
    </row>
    <row r="1796" spans="1:5" x14ac:dyDescent="0.3">
      <c r="A1796" t="s">
        <v>32</v>
      </c>
      <c r="B1796" t="s">
        <v>9</v>
      </c>
      <c r="C1796" t="s">
        <v>25</v>
      </c>
      <c r="D1796" s="3">
        <v>45408</v>
      </c>
      <c r="E1796" s="2">
        <v>4039</v>
      </c>
    </row>
    <row r="1797" spans="1:5" x14ac:dyDescent="0.3">
      <c r="A1797" t="s">
        <v>32</v>
      </c>
      <c r="B1797" t="s">
        <v>9</v>
      </c>
      <c r="C1797" t="s">
        <v>7</v>
      </c>
      <c r="D1797" s="3">
        <v>45408</v>
      </c>
      <c r="E1797" s="2">
        <v>3262</v>
      </c>
    </row>
    <row r="1798" spans="1:5" x14ac:dyDescent="0.3">
      <c r="A1798" t="s">
        <v>5</v>
      </c>
      <c r="B1798" t="s">
        <v>9</v>
      </c>
      <c r="C1798" t="s">
        <v>28</v>
      </c>
      <c r="D1798" s="3">
        <v>45408</v>
      </c>
      <c r="E1798" s="2">
        <v>12910</v>
      </c>
    </row>
    <row r="1799" spans="1:5" x14ac:dyDescent="0.3">
      <c r="A1799" t="s">
        <v>26</v>
      </c>
      <c r="B1799" t="s">
        <v>11</v>
      </c>
      <c r="C1799" t="s">
        <v>7</v>
      </c>
      <c r="D1799" s="3">
        <v>45409</v>
      </c>
      <c r="E1799" s="2">
        <v>9117</v>
      </c>
    </row>
    <row r="1800" spans="1:5" x14ac:dyDescent="0.3">
      <c r="A1800" t="s">
        <v>32</v>
      </c>
      <c r="B1800" t="s">
        <v>16</v>
      </c>
      <c r="C1800" t="s">
        <v>14</v>
      </c>
      <c r="D1800" s="3">
        <v>45410</v>
      </c>
      <c r="E1800" s="2">
        <v>1071</v>
      </c>
    </row>
    <row r="1801" spans="1:5" x14ac:dyDescent="0.3">
      <c r="A1801" t="s">
        <v>33</v>
      </c>
      <c r="B1801" t="s">
        <v>16</v>
      </c>
      <c r="C1801" t="s">
        <v>7</v>
      </c>
      <c r="D1801" s="3">
        <v>45410</v>
      </c>
      <c r="E1801" s="2">
        <v>6934</v>
      </c>
    </row>
    <row r="1802" spans="1:5" x14ac:dyDescent="0.3">
      <c r="A1802" t="s">
        <v>5</v>
      </c>
      <c r="B1802" t="s">
        <v>11</v>
      </c>
      <c r="C1802" t="s">
        <v>28</v>
      </c>
      <c r="D1802" s="3">
        <v>45410</v>
      </c>
      <c r="E1802" s="2">
        <v>8492</v>
      </c>
    </row>
    <row r="1803" spans="1:5" x14ac:dyDescent="0.3">
      <c r="A1803" t="s">
        <v>26</v>
      </c>
      <c r="B1803" t="s">
        <v>6</v>
      </c>
      <c r="C1803" t="s">
        <v>28</v>
      </c>
      <c r="D1803" s="3">
        <v>45410</v>
      </c>
      <c r="E1803" s="2">
        <v>11304</v>
      </c>
    </row>
    <row r="1804" spans="1:5" x14ac:dyDescent="0.3">
      <c r="A1804" t="s">
        <v>10</v>
      </c>
      <c r="B1804" t="s">
        <v>6</v>
      </c>
      <c r="C1804" t="s">
        <v>12</v>
      </c>
      <c r="D1804" s="3">
        <v>45410</v>
      </c>
      <c r="E1804" s="2">
        <v>8322</v>
      </c>
    </row>
    <row r="1805" spans="1:5" x14ac:dyDescent="0.3">
      <c r="A1805" t="s">
        <v>29</v>
      </c>
      <c r="B1805" t="s">
        <v>9</v>
      </c>
      <c r="C1805" t="s">
        <v>7</v>
      </c>
      <c r="D1805" s="3">
        <v>45411</v>
      </c>
      <c r="E1805" s="2">
        <v>6048</v>
      </c>
    </row>
    <row r="1806" spans="1:5" x14ac:dyDescent="0.3">
      <c r="A1806" t="s">
        <v>27</v>
      </c>
      <c r="B1806" t="s">
        <v>21</v>
      </c>
      <c r="C1806" t="s">
        <v>7</v>
      </c>
      <c r="D1806" s="3">
        <v>45411</v>
      </c>
      <c r="E1806" s="2">
        <v>1447</v>
      </c>
    </row>
    <row r="1807" spans="1:5" x14ac:dyDescent="0.3">
      <c r="A1807" t="s">
        <v>8</v>
      </c>
      <c r="B1807" t="s">
        <v>16</v>
      </c>
      <c r="C1807" t="s">
        <v>17</v>
      </c>
      <c r="D1807" s="3">
        <v>45411</v>
      </c>
      <c r="E1807" s="2">
        <v>3429</v>
      </c>
    </row>
    <row r="1808" spans="1:5" x14ac:dyDescent="0.3">
      <c r="A1808" t="s">
        <v>26</v>
      </c>
      <c r="B1808" t="s">
        <v>13</v>
      </c>
      <c r="C1808" t="s">
        <v>12</v>
      </c>
      <c r="D1808" s="3">
        <v>45411</v>
      </c>
      <c r="E1808" s="2">
        <v>4019</v>
      </c>
    </row>
    <row r="1809" spans="1:5" x14ac:dyDescent="0.3">
      <c r="A1809" t="s">
        <v>30</v>
      </c>
      <c r="B1809" t="s">
        <v>6</v>
      </c>
      <c r="C1809" t="s">
        <v>14</v>
      </c>
      <c r="D1809" s="3">
        <v>45412</v>
      </c>
      <c r="E1809" s="2">
        <v>12077</v>
      </c>
    </row>
    <row r="1810" spans="1:5" x14ac:dyDescent="0.3">
      <c r="A1810" t="s">
        <v>20</v>
      </c>
      <c r="B1810" t="s">
        <v>13</v>
      </c>
      <c r="C1810" t="s">
        <v>19</v>
      </c>
      <c r="D1810" s="3">
        <v>45412</v>
      </c>
      <c r="E1810" s="2">
        <v>1910</v>
      </c>
    </row>
    <row r="1811" spans="1:5" x14ac:dyDescent="0.3">
      <c r="A1811" t="s">
        <v>5</v>
      </c>
      <c r="B1811" t="s">
        <v>9</v>
      </c>
      <c r="C1811" t="s">
        <v>19</v>
      </c>
      <c r="D1811" s="3">
        <v>45412</v>
      </c>
      <c r="E1811" s="2">
        <v>10483</v>
      </c>
    </row>
    <row r="1812" spans="1:5" x14ac:dyDescent="0.3">
      <c r="A1812" t="s">
        <v>29</v>
      </c>
      <c r="B1812" t="s">
        <v>9</v>
      </c>
      <c r="C1812" t="s">
        <v>23</v>
      </c>
      <c r="D1812" s="3">
        <v>45412</v>
      </c>
      <c r="E1812" s="2">
        <v>8421</v>
      </c>
    </row>
    <row r="1813" spans="1:5" x14ac:dyDescent="0.3">
      <c r="A1813" t="s">
        <v>22</v>
      </c>
      <c r="B1813" t="s">
        <v>6</v>
      </c>
      <c r="C1813" t="s">
        <v>25</v>
      </c>
      <c r="D1813" s="3">
        <v>45412</v>
      </c>
      <c r="E1813" s="2">
        <v>12688</v>
      </c>
    </row>
    <row r="1814" spans="1:5" x14ac:dyDescent="0.3">
      <c r="A1814" t="s">
        <v>32</v>
      </c>
      <c r="B1814" t="s">
        <v>13</v>
      </c>
      <c r="C1814" t="s">
        <v>7</v>
      </c>
      <c r="D1814" s="3">
        <v>45412</v>
      </c>
      <c r="E1814" s="2">
        <v>9994</v>
      </c>
    </row>
    <row r="1815" spans="1:5" x14ac:dyDescent="0.3">
      <c r="A1815" t="s">
        <v>26</v>
      </c>
      <c r="B1815" t="s">
        <v>11</v>
      </c>
      <c r="C1815" t="s">
        <v>17</v>
      </c>
      <c r="D1815" s="3">
        <v>45412</v>
      </c>
      <c r="E1815" s="2">
        <v>4251</v>
      </c>
    </row>
    <row r="1816" spans="1:5" x14ac:dyDescent="0.3">
      <c r="A1816" t="s">
        <v>5</v>
      </c>
      <c r="B1816" t="s">
        <v>11</v>
      </c>
      <c r="C1816" t="s">
        <v>17</v>
      </c>
      <c r="D1816" s="3">
        <v>45412</v>
      </c>
      <c r="E1816" s="2">
        <v>1915</v>
      </c>
    </row>
    <row r="1817" spans="1:5" x14ac:dyDescent="0.3">
      <c r="A1817" t="s">
        <v>32</v>
      </c>
      <c r="B1817" t="s">
        <v>11</v>
      </c>
      <c r="C1817" t="s">
        <v>12</v>
      </c>
      <c r="D1817" s="3">
        <v>45412</v>
      </c>
      <c r="E1817" s="2">
        <v>8668</v>
      </c>
    </row>
    <row r="1818" spans="1:5" x14ac:dyDescent="0.3">
      <c r="A1818" t="s">
        <v>5</v>
      </c>
      <c r="B1818" t="s">
        <v>16</v>
      </c>
      <c r="C1818" t="s">
        <v>25</v>
      </c>
      <c r="D1818" s="3">
        <v>45413</v>
      </c>
      <c r="E1818" s="2">
        <v>9581</v>
      </c>
    </row>
    <row r="1819" spans="1:5" x14ac:dyDescent="0.3">
      <c r="A1819" t="s">
        <v>27</v>
      </c>
      <c r="B1819" t="s">
        <v>13</v>
      </c>
      <c r="C1819" t="s">
        <v>28</v>
      </c>
      <c r="D1819" s="3">
        <v>45413</v>
      </c>
      <c r="E1819" s="2">
        <v>5461</v>
      </c>
    </row>
    <row r="1820" spans="1:5" x14ac:dyDescent="0.3">
      <c r="A1820" t="s">
        <v>27</v>
      </c>
      <c r="B1820" t="s">
        <v>11</v>
      </c>
      <c r="C1820" t="s">
        <v>12</v>
      </c>
      <c r="D1820" s="3">
        <v>45413</v>
      </c>
      <c r="E1820" s="2">
        <v>11387</v>
      </c>
    </row>
    <row r="1821" spans="1:5" x14ac:dyDescent="0.3">
      <c r="A1821" t="s">
        <v>5</v>
      </c>
      <c r="B1821" t="s">
        <v>21</v>
      </c>
      <c r="C1821" t="s">
        <v>19</v>
      </c>
      <c r="D1821" s="3">
        <v>45414</v>
      </c>
      <c r="E1821" s="2">
        <v>7146</v>
      </c>
    </row>
    <row r="1822" spans="1:5" x14ac:dyDescent="0.3">
      <c r="A1822" t="s">
        <v>27</v>
      </c>
      <c r="B1822" t="s">
        <v>6</v>
      </c>
      <c r="C1822" t="s">
        <v>28</v>
      </c>
      <c r="D1822" s="3">
        <v>45414</v>
      </c>
      <c r="E1822" s="2">
        <v>5450</v>
      </c>
    </row>
    <row r="1823" spans="1:5" x14ac:dyDescent="0.3">
      <c r="A1823" t="s">
        <v>22</v>
      </c>
      <c r="B1823" t="s">
        <v>21</v>
      </c>
      <c r="C1823" t="s">
        <v>17</v>
      </c>
      <c r="D1823" s="3">
        <v>45414</v>
      </c>
      <c r="E1823" s="2">
        <v>3883</v>
      </c>
    </row>
    <row r="1824" spans="1:5" x14ac:dyDescent="0.3">
      <c r="A1824" t="s">
        <v>31</v>
      </c>
      <c r="B1824" t="s">
        <v>21</v>
      </c>
      <c r="C1824" t="s">
        <v>17</v>
      </c>
      <c r="D1824" s="3">
        <v>45414</v>
      </c>
      <c r="E1824" s="2">
        <v>10514</v>
      </c>
    </row>
    <row r="1825" spans="1:5" x14ac:dyDescent="0.3">
      <c r="A1825" t="s">
        <v>20</v>
      </c>
      <c r="B1825" t="s">
        <v>13</v>
      </c>
      <c r="C1825" t="s">
        <v>19</v>
      </c>
      <c r="D1825" s="3">
        <v>45415</v>
      </c>
      <c r="E1825" s="2">
        <v>13622</v>
      </c>
    </row>
    <row r="1826" spans="1:5" x14ac:dyDescent="0.3">
      <c r="A1826" t="s">
        <v>29</v>
      </c>
      <c r="B1826" t="s">
        <v>16</v>
      </c>
      <c r="C1826" t="s">
        <v>19</v>
      </c>
      <c r="D1826" s="3">
        <v>45415</v>
      </c>
      <c r="E1826" s="2">
        <v>10661</v>
      </c>
    </row>
    <row r="1827" spans="1:5" x14ac:dyDescent="0.3">
      <c r="A1827" t="s">
        <v>31</v>
      </c>
      <c r="B1827" t="s">
        <v>9</v>
      </c>
      <c r="C1827" t="s">
        <v>19</v>
      </c>
      <c r="D1827" s="3">
        <v>45415</v>
      </c>
      <c r="E1827" s="2">
        <v>10651</v>
      </c>
    </row>
    <row r="1828" spans="1:5" x14ac:dyDescent="0.3">
      <c r="A1828" t="s">
        <v>8</v>
      </c>
      <c r="B1828" t="s">
        <v>13</v>
      </c>
      <c r="C1828" t="s">
        <v>19</v>
      </c>
      <c r="D1828" s="3">
        <v>45415</v>
      </c>
      <c r="E1828" s="2">
        <v>7292</v>
      </c>
    </row>
    <row r="1829" spans="1:5" x14ac:dyDescent="0.3">
      <c r="A1829" t="s">
        <v>26</v>
      </c>
      <c r="B1829" t="s">
        <v>9</v>
      </c>
      <c r="C1829" t="s">
        <v>23</v>
      </c>
      <c r="D1829" s="3">
        <v>45415</v>
      </c>
      <c r="E1829" s="2">
        <v>9777</v>
      </c>
    </row>
    <row r="1830" spans="1:5" x14ac:dyDescent="0.3">
      <c r="A1830" t="s">
        <v>29</v>
      </c>
      <c r="B1830" t="s">
        <v>21</v>
      </c>
      <c r="C1830" t="s">
        <v>23</v>
      </c>
      <c r="D1830" s="3">
        <v>45415</v>
      </c>
      <c r="E1830" s="2">
        <v>11297</v>
      </c>
    </row>
    <row r="1831" spans="1:5" x14ac:dyDescent="0.3">
      <c r="A1831" t="s">
        <v>10</v>
      </c>
      <c r="B1831" t="s">
        <v>16</v>
      </c>
      <c r="C1831" t="s">
        <v>25</v>
      </c>
      <c r="D1831" s="3">
        <v>45415</v>
      </c>
      <c r="E1831" s="2">
        <v>5184</v>
      </c>
    </row>
    <row r="1832" spans="1:5" x14ac:dyDescent="0.3">
      <c r="A1832" t="s">
        <v>30</v>
      </c>
      <c r="B1832" t="s">
        <v>21</v>
      </c>
      <c r="C1832" t="s">
        <v>7</v>
      </c>
      <c r="D1832" s="3">
        <v>45415</v>
      </c>
      <c r="E1832" s="2">
        <v>10156</v>
      </c>
    </row>
    <row r="1833" spans="1:5" x14ac:dyDescent="0.3">
      <c r="A1833" t="s">
        <v>22</v>
      </c>
      <c r="B1833" t="s">
        <v>11</v>
      </c>
      <c r="C1833" t="s">
        <v>7</v>
      </c>
      <c r="D1833" s="3">
        <v>45415</v>
      </c>
      <c r="E1833" s="2">
        <v>4194</v>
      </c>
    </row>
    <row r="1834" spans="1:5" x14ac:dyDescent="0.3">
      <c r="A1834" t="s">
        <v>32</v>
      </c>
      <c r="B1834" t="s">
        <v>11</v>
      </c>
      <c r="C1834" t="s">
        <v>17</v>
      </c>
      <c r="D1834" s="3">
        <v>45415</v>
      </c>
      <c r="E1834" s="2">
        <v>3717</v>
      </c>
    </row>
    <row r="1835" spans="1:5" x14ac:dyDescent="0.3">
      <c r="A1835" t="s">
        <v>22</v>
      </c>
      <c r="B1835" t="s">
        <v>11</v>
      </c>
      <c r="C1835" t="s">
        <v>12</v>
      </c>
      <c r="D1835" s="3">
        <v>45415</v>
      </c>
      <c r="E1835" s="2">
        <v>4446</v>
      </c>
    </row>
    <row r="1836" spans="1:5" x14ac:dyDescent="0.3">
      <c r="A1836" t="s">
        <v>8</v>
      </c>
      <c r="B1836" t="s">
        <v>6</v>
      </c>
      <c r="C1836" t="s">
        <v>19</v>
      </c>
      <c r="D1836" s="3">
        <v>45416</v>
      </c>
      <c r="E1836" s="2">
        <v>11986</v>
      </c>
    </row>
    <row r="1837" spans="1:5" x14ac:dyDescent="0.3">
      <c r="A1837" t="s">
        <v>26</v>
      </c>
      <c r="B1837" t="s">
        <v>6</v>
      </c>
      <c r="C1837" t="s">
        <v>23</v>
      </c>
      <c r="D1837" s="3">
        <v>45416</v>
      </c>
      <c r="E1837" s="2">
        <v>5315</v>
      </c>
    </row>
    <row r="1838" spans="1:5" x14ac:dyDescent="0.3">
      <c r="A1838" t="s">
        <v>22</v>
      </c>
      <c r="B1838" t="s">
        <v>16</v>
      </c>
      <c r="C1838" t="s">
        <v>23</v>
      </c>
      <c r="D1838" s="3">
        <v>45416</v>
      </c>
      <c r="E1838" s="2">
        <v>6167</v>
      </c>
    </row>
    <row r="1839" spans="1:5" x14ac:dyDescent="0.3">
      <c r="A1839" t="s">
        <v>22</v>
      </c>
      <c r="B1839" t="s">
        <v>13</v>
      </c>
      <c r="C1839" t="s">
        <v>7</v>
      </c>
      <c r="D1839" s="3">
        <v>45416</v>
      </c>
      <c r="E1839" s="2">
        <v>2946</v>
      </c>
    </row>
    <row r="1840" spans="1:5" x14ac:dyDescent="0.3">
      <c r="A1840" t="s">
        <v>5</v>
      </c>
      <c r="B1840" t="s">
        <v>13</v>
      </c>
      <c r="C1840" t="s">
        <v>28</v>
      </c>
      <c r="D1840" s="3">
        <v>45416</v>
      </c>
      <c r="E1840" s="2">
        <v>9363</v>
      </c>
    </row>
    <row r="1841" spans="1:5" x14ac:dyDescent="0.3">
      <c r="A1841" t="s">
        <v>20</v>
      </c>
      <c r="B1841" t="s">
        <v>16</v>
      </c>
      <c r="C1841" t="s">
        <v>19</v>
      </c>
      <c r="D1841" s="3">
        <v>45417</v>
      </c>
      <c r="E1841" s="2">
        <v>10562</v>
      </c>
    </row>
    <row r="1842" spans="1:5" x14ac:dyDescent="0.3">
      <c r="A1842" t="s">
        <v>33</v>
      </c>
      <c r="B1842" t="s">
        <v>16</v>
      </c>
      <c r="C1842" t="s">
        <v>19</v>
      </c>
      <c r="D1842" s="3">
        <v>45417</v>
      </c>
      <c r="E1842" s="2">
        <v>8078</v>
      </c>
    </row>
    <row r="1843" spans="1:5" x14ac:dyDescent="0.3">
      <c r="A1843" t="s">
        <v>22</v>
      </c>
      <c r="B1843" t="s">
        <v>21</v>
      </c>
      <c r="C1843" t="s">
        <v>17</v>
      </c>
      <c r="D1843" s="3">
        <v>45417</v>
      </c>
      <c r="E1843" s="2">
        <v>9795</v>
      </c>
    </row>
    <row r="1844" spans="1:5" x14ac:dyDescent="0.3">
      <c r="A1844" t="s">
        <v>27</v>
      </c>
      <c r="B1844" t="s">
        <v>6</v>
      </c>
      <c r="C1844" t="s">
        <v>12</v>
      </c>
      <c r="D1844" s="3">
        <v>45417</v>
      </c>
      <c r="E1844" s="2">
        <v>10317</v>
      </c>
    </row>
    <row r="1845" spans="1:5" x14ac:dyDescent="0.3">
      <c r="A1845" t="s">
        <v>15</v>
      </c>
      <c r="B1845" t="s">
        <v>6</v>
      </c>
      <c r="C1845" t="s">
        <v>19</v>
      </c>
      <c r="D1845" s="3">
        <v>45418</v>
      </c>
      <c r="E1845" s="2">
        <v>4645</v>
      </c>
    </row>
    <row r="1846" spans="1:5" x14ac:dyDescent="0.3">
      <c r="A1846" t="s">
        <v>29</v>
      </c>
      <c r="B1846" t="s">
        <v>6</v>
      </c>
      <c r="C1846" t="s">
        <v>25</v>
      </c>
      <c r="D1846" s="3">
        <v>45418</v>
      </c>
      <c r="E1846" s="2">
        <v>6029</v>
      </c>
    </row>
    <row r="1847" spans="1:5" x14ac:dyDescent="0.3">
      <c r="A1847" t="s">
        <v>18</v>
      </c>
      <c r="B1847" t="s">
        <v>11</v>
      </c>
      <c r="C1847" t="s">
        <v>28</v>
      </c>
      <c r="D1847" s="3">
        <v>45418</v>
      </c>
      <c r="E1847" s="2">
        <v>3987</v>
      </c>
    </row>
    <row r="1848" spans="1:5" x14ac:dyDescent="0.3">
      <c r="A1848" t="s">
        <v>29</v>
      </c>
      <c r="B1848" t="s">
        <v>9</v>
      </c>
      <c r="C1848" t="s">
        <v>14</v>
      </c>
      <c r="D1848" s="3">
        <v>45419</v>
      </c>
      <c r="E1848" s="2">
        <v>2820</v>
      </c>
    </row>
    <row r="1849" spans="1:5" x14ac:dyDescent="0.3">
      <c r="A1849" t="s">
        <v>32</v>
      </c>
      <c r="B1849" t="s">
        <v>16</v>
      </c>
      <c r="C1849" t="s">
        <v>14</v>
      </c>
      <c r="D1849" s="3">
        <v>45419</v>
      </c>
      <c r="E1849" s="2">
        <v>4278</v>
      </c>
    </row>
    <row r="1850" spans="1:5" x14ac:dyDescent="0.3">
      <c r="A1850" t="s">
        <v>27</v>
      </c>
      <c r="B1850" t="s">
        <v>11</v>
      </c>
      <c r="C1850" t="s">
        <v>25</v>
      </c>
      <c r="D1850" s="3">
        <v>45419</v>
      </c>
      <c r="E1850" s="2">
        <v>6954</v>
      </c>
    </row>
    <row r="1851" spans="1:5" x14ac:dyDescent="0.3">
      <c r="A1851" t="s">
        <v>27</v>
      </c>
      <c r="B1851" t="s">
        <v>21</v>
      </c>
      <c r="C1851" t="s">
        <v>17</v>
      </c>
      <c r="D1851" s="3">
        <v>45419</v>
      </c>
      <c r="E1851" s="2">
        <v>10298</v>
      </c>
    </row>
    <row r="1852" spans="1:5" x14ac:dyDescent="0.3">
      <c r="A1852" t="s">
        <v>26</v>
      </c>
      <c r="B1852" t="s">
        <v>9</v>
      </c>
      <c r="C1852" t="s">
        <v>12</v>
      </c>
      <c r="D1852" s="3">
        <v>45419</v>
      </c>
      <c r="E1852" s="2">
        <v>12929</v>
      </c>
    </row>
    <row r="1853" spans="1:5" x14ac:dyDescent="0.3">
      <c r="A1853" t="s">
        <v>31</v>
      </c>
      <c r="B1853" t="s">
        <v>9</v>
      </c>
      <c r="C1853" t="s">
        <v>12</v>
      </c>
      <c r="D1853" s="3">
        <v>45419</v>
      </c>
      <c r="E1853" s="2">
        <v>11037</v>
      </c>
    </row>
    <row r="1854" spans="1:5" x14ac:dyDescent="0.3">
      <c r="A1854" t="s">
        <v>33</v>
      </c>
      <c r="B1854" t="s">
        <v>13</v>
      </c>
      <c r="C1854" t="s">
        <v>28</v>
      </c>
      <c r="D1854" s="3">
        <v>45420</v>
      </c>
      <c r="E1854" s="2">
        <v>1326</v>
      </c>
    </row>
    <row r="1855" spans="1:5" x14ac:dyDescent="0.3">
      <c r="A1855" t="s">
        <v>8</v>
      </c>
      <c r="B1855" t="s">
        <v>11</v>
      </c>
      <c r="C1855" t="s">
        <v>17</v>
      </c>
      <c r="D1855" s="3">
        <v>45421</v>
      </c>
      <c r="E1855" s="2">
        <v>8105</v>
      </c>
    </row>
    <row r="1856" spans="1:5" x14ac:dyDescent="0.3">
      <c r="A1856" t="s">
        <v>10</v>
      </c>
      <c r="B1856" t="s">
        <v>9</v>
      </c>
      <c r="C1856" t="s">
        <v>12</v>
      </c>
      <c r="D1856" s="3">
        <v>45421</v>
      </c>
      <c r="E1856" s="2">
        <v>9548</v>
      </c>
    </row>
    <row r="1857" spans="1:5" x14ac:dyDescent="0.3">
      <c r="A1857" t="s">
        <v>18</v>
      </c>
      <c r="B1857" t="s">
        <v>11</v>
      </c>
      <c r="C1857" t="s">
        <v>19</v>
      </c>
      <c r="D1857" s="3">
        <v>45422</v>
      </c>
      <c r="E1857" s="2">
        <v>5586</v>
      </c>
    </row>
    <row r="1858" spans="1:5" x14ac:dyDescent="0.3">
      <c r="A1858" t="s">
        <v>24</v>
      </c>
      <c r="B1858" t="s">
        <v>6</v>
      </c>
      <c r="C1858" t="s">
        <v>25</v>
      </c>
      <c r="D1858" s="3">
        <v>45422</v>
      </c>
      <c r="E1858" s="2">
        <v>3614</v>
      </c>
    </row>
    <row r="1859" spans="1:5" x14ac:dyDescent="0.3">
      <c r="A1859" t="s">
        <v>29</v>
      </c>
      <c r="B1859" t="s">
        <v>9</v>
      </c>
      <c r="C1859" t="s">
        <v>25</v>
      </c>
      <c r="D1859" s="3">
        <v>45422</v>
      </c>
      <c r="E1859" s="2">
        <v>6041</v>
      </c>
    </row>
    <row r="1860" spans="1:5" x14ac:dyDescent="0.3">
      <c r="A1860" t="s">
        <v>31</v>
      </c>
      <c r="B1860" t="s">
        <v>9</v>
      </c>
      <c r="C1860" t="s">
        <v>7</v>
      </c>
      <c r="D1860" s="3">
        <v>45422</v>
      </c>
      <c r="E1860" s="2">
        <v>2222</v>
      </c>
    </row>
    <row r="1861" spans="1:5" x14ac:dyDescent="0.3">
      <c r="A1861" t="s">
        <v>30</v>
      </c>
      <c r="B1861" t="s">
        <v>13</v>
      </c>
      <c r="C1861" t="s">
        <v>7</v>
      </c>
      <c r="D1861" s="3">
        <v>45422</v>
      </c>
      <c r="E1861" s="2">
        <v>4528</v>
      </c>
    </row>
    <row r="1862" spans="1:5" x14ac:dyDescent="0.3">
      <c r="A1862" t="s">
        <v>27</v>
      </c>
      <c r="B1862" t="s">
        <v>21</v>
      </c>
      <c r="C1862" t="s">
        <v>12</v>
      </c>
      <c r="D1862" s="3">
        <v>45422</v>
      </c>
      <c r="E1862" s="2">
        <v>6935</v>
      </c>
    </row>
    <row r="1863" spans="1:5" x14ac:dyDescent="0.3">
      <c r="A1863" t="s">
        <v>24</v>
      </c>
      <c r="B1863" t="s">
        <v>21</v>
      </c>
      <c r="C1863" t="s">
        <v>23</v>
      </c>
      <c r="D1863" s="3">
        <v>45423</v>
      </c>
      <c r="E1863" s="2">
        <v>6559</v>
      </c>
    </row>
    <row r="1864" spans="1:5" x14ac:dyDescent="0.3">
      <c r="A1864" t="s">
        <v>15</v>
      </c>
      <c r="B1864" t="s">
        <v>21</v>
      </c>
      <c r="C1864" t="s">
        <v>25</v>
      </c>
      <c r="D1864" s="3">
        <v>45423</v>
      </c>
      <c r="E1864" s="2">
        <v>13463</v>
      </c>
    </row>
    <row r="1865" spans="1:5" x14ac:dyDescent="0.3">
      <c r="A1865" t="s">
        <v>24</v>
      </c>
      <c r="B1865" t="s">
        <v>6</v>
      </c>
      <c r="C1865" t="s">
        <v>7</v>
      </c>
      <c r="D1865" s="3">
        <v>45423</v>
      </c>
      <c r="E1865" s="2">
        <v>9935</v>
      </c>
    </row>
    <row r="1866" spans="1:5" x14ac:dyDescent="0.3">
      <c r="A1866" t="s">
        <v>30</v>
      </c>
      <c r="B1866" t="s">
        <v>16</v>
      </c>
      <c r="C1866" t="s">
        <v>28</v>
      </c>
      <c r="D1866" s="3">
        <v>45423</v>
      </c>
      <c r="E1866" s="2">
        <v>2419</v>
      </c>
    </row>
    <row r="1867" spans="1:5" x14ac:dyDescent="0.3">
      <c r="A1867" t="s">
        <v>33</v>
      </c>
      <c r="B1867" t="s">
        <v>6</v>
      </c>
      <c r="C1867" t="s">
        <v>14</v>
      </c>
      <c r="D1867" s="3">
        <v>45424</v>
      </c>
      <c r="E1867" s="2">
        <v>9391</v>
      </c>
    </row>
    <row r="1868" spans="1:5" x14ac:dyDescent="0.3">
      <c r="A1868" t="s">
        <v>30</v>
      </c>
      <c r="B1868" t="s">
        <v>6</v>
      </c>
      <c r="C1868" t="s">
        <v>25</v>
      </c>
      <c r="D1868" s="3">
        <v>45424</v>
      </c>
      <c r="E1868" s="2">
        <v>11271</v>
      </c>
    </row>
    <row r="1869" spans="1:5" x14ac:dyDescent="0.3">
      <c r="A1869" t="s">
        <v>10</v>
      </c>
      <c r="B1869" t="s">
        <v>11</v>
      </c>
      <c r="C1869" t="s">
        <v>25</v>
      </c>
      <c r="D1869" s="3">
        <v>45424</v>
      </c>
      <c r="E1869" s="2">
        <v>10228</v>
      </c>
    </row>
    <row r="1870" spans="1:5" x14ac:dyDescent="0.3">
      <c r="A1870" t="s">
        <v>5</v>
      </c>
      <c r="B1870" t="s">
        <v>11</v>
      </c>
      <c r="C1870" t="s">
        <v>14</v>
      </c>
      <c r="D1870" s="3">
        <v>45425</v>
      </c>
      <c r="E1870" s="2">
        <v>6429</v>
      </c>
    </row>
    <row r="1871" spans="1:5" x14ac:dyDescent="0.3">
      <c r="A1871" t="s">
        <v>26</v>
      </c>
      <c r="B1871" t="s">
        <v>13</v>
      </c>
      <c r="C1871" t="s">
        <v>14</v>
      </c>
      <c r="D1871" s="3">
        <v>45425</v>
      </c>
      <c r="E1871" s="2">
        <v>2937</v>
      </c>
    </row>
    <row r="1872" spans="1:5" x14ac:dyDescent="0.3">
      <c r="A1872" t="s">
        <v>15</v>
      </c>
      <c r="B1872" t="s">
        <v>11</v>
      </c>
      <c r="C1872" t="s">
        <v>17</v>
      </c>
      <c r="D1872" s="3">
        <v>45425</v>
      </c>
      <c r="E1872" s="2">
        <v>10337</v>
      </c>
    </row>
    <row r="1873" spans="1:5" x14ac:dyDescent="0.3">
      <c r="A1873" t="s">
        <v>32</v>
      </c>
      <c r="B1873" t="s">
        <v>9</v>
      </c>
      <c r="C1873" t="s">
        <v>12</v>
      </c>
      <c r="D1873" s="3">
        <v>45425</v>
      </c>
      <c r="E1873" s="2">
        <v>9711</v>
      </c>
    </row>
    <row r="1874" spans="1:5" x14ac:dyDescent="0.3">
      <c r="A1874" t="s">
        <v>32</v>
      </c>
      <c r="B1874" t="s">
        <v>16</v>
      </c>
      <c r="C1874" t="s">
        <v>14</v>
      </c>
      <c r="D1874" s="3">
        <v>45426</v>
      </c>
      <c r="E1874" s="2">
        <v>12492</v>
      </c>
    </row>
    <row r="1875" spans="1:5" x14ac:dyDescent="0.3">
      <c r="A1875" t="s">
        <v>31</v>
      </c>
      <c r="B1875" t="s">
        <v>16</v>
      </c>
      <c r="C1875" t="s">
        <v>17</v>
      </c>
      <c r="D1875" s="3">
        <v>45426</v>
      </c>
      <c r="E1875" s="2">
        <v>2073</v>
      </c>
    </row>
    <row r="1876" spans="1:5" x14ac:dyDescent="0.3">
      <c r="A1876" t="s">
        <v>26</v>
      </c>
      <c r="B1876" t="s">
        <v>21</v>
      </c>
      <c r="C1876" t="s">
        <v>17</v>
      </c>
      <c r="D1876" s="3">
        <v>45426</v>
      </c>
      <c r="E1876" s="2">
        <v>6292</v>
      </c>
    </row>
    <row r="1877" spans="1:5" x14ac:dyDescent="0.3">
      <c r="A1877" t="s">
        <v>8</v>
      </c>
      <c r="B1877" t="s">
        <v>13</v>
      </c>
      <c r="C1877" t="s">
        <v>14</v>
      </c>
      <c r="D1877" s="3">
        <v>45427</v>
      </c>
      <c r="E1877" s="2">
        <v>10120</v>
      </c>
    </row>
    <row r="1878" spans="1:5" x14ac:dyDescent="0.3">
      <c r="A1878" t="s">
        <v>26</v>
      </c>
      <c r="B1878" t="s">
        <v>21</v>
      </c>
      <c r="C1878" t="s">
        <v>25</v>
      </c>
      <c r="D1878" s="3">
        <v>45427</v>
      </c>
      <c r="E1878" s="2">
        <v>3432</v>
      </c>
    </row>
    <row r="1879" spans="1:5" x14ac:dyDescent="0.3">
      <c r="A1879" t="s">
        <v>24</v>
      </c>
      <c r="B1879" t="s">
        <v>6</v>
      </c>
      <c r="C1879" t="s">
        <v>28</v>
      </c>
      <c r="D1879" s="3">
        <v>45427</v>
      </c>
      <c r="E1879" s="2">
        <v>8263</v>
      </c>
    </row>
    <row r="1880" spans="1:5" x14ac:dyDescent="0.3">
      <c r="A1880" t="s">
        <v>29</v>
      </c>
      <c r="B1880" t="s">
        <v>13</v>
      </c>
      <c r="C1880" t="s">
        <v>17</v>
      </c>
      <c r="D1880" s="3">
        <v>45427</v>
      </c>
      <c r="E1880" s="2">
        <v>6957</v>
      </c>
    </row>
    <row r="1881" spans="1:5" x14ac:dyDescent="0.3">
      <c r="A1881" t="s">
        <v>27</v>
      </c>
      <c r="B1881" t="s">
        <v>13</v>
      </c>
      <c r="C1881" t="s">
        <v>12</v>
      </c>
      <c r="D1881" s="3">
        <v>45427</v>
      </c>
      <c r="E1881" s="2">
        <v>4633</v>
      </c>
    </row>
    <row r="1882" spans="1:5" x14ac:dyDescent="0.3">
      <c r="A1882" t="s">
        <v>18</v>
      </c>
      <c r="B1882" t="s">
        <v>21</v>
      </c>
      <c r="C1882" t="s">
        <v>12</v>
      </c>
      <c r="D1882" s="3">
        <v>45427</v>
      </c>
      <c r="E1882" s="2">
        <v>1416</v>
      </c>
    </row>
    <row r="1883" spans="1:5" x14ac:dyDescent="0.3">
      <c r="A1883" t="s">
        <v>8</v>
      </c>
      <c r="B1883" t="s">
        <v>11</v>
      </c>
      <c r="C1883" t="s">
        <v>14</v>
      </c>
      <c r="D1883" s="3">
        <v>45428</v>
      </c>
      <c r="E1883" s="2">
        <v>7643</v>
      </c>
    </row>
    <row r="1884" spans="1:5" x14ac:dyDescent="0.3">
      <c r="A1884" t="s">
        <v>24</v>
      </c>
      <c r="B1884" t="s">
        <v>11</v>
      </c>
      <c r="C1884" t="s">
        <v>25</v>
      </c>
      <c r="D1884" s="3">
        <v>45428</v>
      </c>
      <c r="E1884" s="2">
        <v>3124</v>
      </c>
    </row>
    <row r="1885" spans="1:5" x14ac:dyDescent="0.3">
      <c r="A1885" t="s">
        <v>20</v>
      </c>
      <c r="B1885" t="s">
        <v>9</v>
      </c>
      <c r="C1885" t="s">
        <v>25</v>
      </c>
      <c r="D1885" s="3">
        <v>45428</v>
      </c>
      <c r="E1885" s="2">
        <v>13589</v>
      </c>
    </row>
    <row r="1886" spans="1:5" x14ac:dyDescent="0.3">
      <c r="A1886" t="s">
        <v>30</v>
      </c>
      <c r="B1886" t="s">
        <v>13</v>
      </c>
      <c r="C1886" t="s">
        <v>7</v>
      </c>
      <c r="D1886" s="3">
        <v>45428</v>
      </c>
      <c r="E1886" s="2">
        <v>1906</v>
      </c>
    </row>
    <row r="1887" spans="1:5" x14ac:dyDescent="0.3">
      <c r="A1887" t="s">
        <v>27</v>
      </c>
      <c r="B1887" t="s">
        <v>16</v>
      </c>
      <c r="C1887" t="s">
        <v>28</v>
      </c>
      <c r="D1887" s="3">
        <v>45428</v>
      </c>
      <c r="E1887" s="2">
        <v>11539</v>
      </c>
    </row>
    <row r="1888" spans="1:5" x14ac:dyDescent="0.3">
      <c r="A1888" t="s">
        <v>29</v>
      </c>
      <c r="B1888" t="s">
        <v>11</v>
      </c>
      <c r="C1888" t="s">
        <v>19</v>
      </c>
      <c r="D1888" s="3">
        <v>45429</v>
      </c>
      <c r="E1888" s="2">
        <v>3899</v>
      </c>
    </row>
    <row r="1889" spans="1:5" x14ac:dyDescent="0.3">
      <c r="A1889" t="s">
        <v>18</v>
      </c>
      <c r="B1889" t="s">
        <v>13</v>
      </c>
      <c r="C1889" t="s">
        <v>25</v>
      </c>
      <c r="D1889" s="3">
        <v>45429</v>
      </c>
      <c r="E1889" s="2">
        <v>11868</v>
      </c>
    </row>
    <row r="1890" spans="1:5" x14ac:dyDescent="0.3">
      <c r="A1890" t="s">
        <v>5</v>
      </c>
      <c r="B1890" t="s">
        <v>11</v>
      </c>
      <c r="C1890" t="s">
        <v>25</v>
      </c>
      <c r="D1890" s="3">
        <v>45429</v>
      </c>
      <c r="E1890" s="2">
        <v>11275</v>
      </c>
    </row>
    <row r="1891" spans="1:5" x14ac:dyDescent="0.3">
      <c r="A1891" t="s">
        <v>31</v>
      </c>
      <c r="B1891" t="s">
        <v>11</v>
      </c>
      <c r="C1891" t="s">
        <v>7</v>
      </c>
      <c r="D1891" s="3">
        <v>45429</v>
      </c>
      <c r="E1891" s="2">
        <v>6432</v>
      </c>
    </row>
    <row r="1892" spans="1:5" x14ac:dyDescent="0.3">
      <c r="A1892" t="s">
        <v>27</v>
      </c>
      <c r="B1892" t="s">
        <v>9</v>
      </c>
      <c r="C1892" t="s">
        <v>12</v>
      </c>
      <c r="D1892" s="3">
        <v>45429</v>
      </c>
      <c r="E1892" s="2">
        <v>12096</v>
      </c>
    </row>
    <row r="1893" spans="1:5" x14ac:dyDescent="0.3">
      <c r="A1893" t="s">
        <v>31</v>
      </c>
      <c r="B1893" t="s">
        <v>9</v>
      </c>
      <c r="C1893" t="s">
        <v>12</v>
      </c>
      <c r="D1893" s="3">
        <v>45429</v>
      </c>
      <c r="E1893" s="2">
        <v>11158</v>
      </c>
    </row>
    <row r="1894" spans="1:5" x14ac:dyDescent="0.3">
      <c r="A1894" t="s">
        <v>26</v>
      </c>
      <c r="B1894" t="s">
        <v>6</v>
      </c>
      <c r="C1894" t="s">
        <v>14</v>
      </c>
      <c r="D1894" s="3">
        <v>45430</v>
      </c>
      <c r="E1894" s="2">
        <v>13347</v>
      </c>
    </row>
    <row r="1895" spans="1:5" x14ac:dyDescent="0.3">
      <c r="A1895" t="s">
        <v>31</v>
      </c>
      <c r="B1895" t="s">
        <v>13</v>
      </c>
      <c r="C1895" t="s">
        <v>14</v>
      </c>
      <c r="D1895" s="3">
        <v>45430</v>
      </c>
      <c r="E1895" s="2">
        <v>13620</v>
      </c>
    </row>
    <row r="1896" spans="1:5" x14ac:dyDescent="0.3">
      <c r="A1896" t="s">
        <v>20</v>
      </c>
      <c r="B1896" t="s">
        <v>9</v>
      </c>
      <c r="C1896" t="s">
        <v>7</v>
      </c>
      <c r="D1896" s="3">
        <v>45430</v>
      </c>
      <c r="E1896" s="2">
        <v>1336</v>
      </c>
    </row>
    <row r="1897" spans="1:5" x14ac:dyDescent="0.3">
      <c r="A1897" t="s">
        <v>24</v>
      </c>
      <c r="B1897" t="s">
        <v>21</v>
      </c>
      <c r="C1897" t="s">
        <v>28</v>
      </c>
      <c r="D1897" s="3">
        <v>45430</v>
      </c>
      <c r="E1897" s="2">
        <v>8714</v>
      </c>
    </row>
    <row r="1898" spans="1:5" x14ac:dyDescent="0.3">
      <c r="A1898" t="s">
        <v>10</v>
      </c>
      <c r="B1898" t="s">
        <v>6</v>
      </c>
      <c r="C1898" t="s">
        <v>12</v>
      </c>
      <c r="D1898" s="3">
        <v>45430</v>
      </c>
      <c r="E1898" s="2">
        <v>11644</v>
      </c>
    </row>
    <row r="1899" spans="1:5" x14ac:dyDescent="0.3">
      <c r="A1899" t="s">
        <v>33</v>
      </c>
      <c r="B1899" t="s">
        <v>6</v>
      </c>
      <c r="C1899" t="s">
        <v>25</v>
      </c>
      <c r="D1899" s="3">
        <v>45431</v>
      </c>
      <c r="E1899" s="2">
        <v>1945</v>
      </c>
    </row>
    <row r="1900" spans="1:5" x14ac:dyDescent="0.3">
      <c r="A1900" t="s">
        <v>5</v>
      </c>
      <c r="B1900" t="s">
        <v>16</v>
      </c>
      <c r="C1900" t="s">
        <v>25</v>
      </c>
      <c r="D1900" s="3">
        <v>45431</v>
      </c>
      <c r="E1900" s="2">
        <v>10083</v>
      </c>
    </row>
    <row r="1901" spans="1:5" x14ac:dyDescent="0.3">
      <c r="A1901" t="s">
        <v>8</v>
      </c>
      <c r="B1901" t="s">
        <v>6</v>
      </c>
      <c r="C1901" t="s">
        <v>25</v>
      </c>
      <c r="D1901" s="3">
        <v>45431</v>
      </c>
      <c r="E1901" s="2">
        <v>6253</v>
      </c>
    </row>
    <row r="1902" spans="1:5" x14ac:dyDescent="0.3">
      <c r="A1902" t="s">
        <v>10</v>
      </c>
      <c r="B1902" t="s">
        <v>11</v>
      </c>
      <c r="C1902" t="s">
        <v>28</v>
      </c>
      <c r="D1902" s="3">
        <v>45431</v>
      </c>
      <c r="E1902" s="2">
        <v>9203</v>
      </c>
    </row>
    <row r="1903" spans="1:5" x14ac:dyDescent="0.3">
      <c r="A1903" t="s">
        <v>18</v>
      </c>
      <c r="B1903" t="s">
        <v>21</v>
      </c>
      <c r="C1903" t="s">
        <v>23</v>
      </c>
      <c r="D1903" s="3">
        <v>45432</v>
      </c>
      <c r="E1903" s="2">
        <v>9374</v>
      </c>
    </row>
    <row r="1904" spans="1:5" x14ac:dyDescent="0.3">
      <c r="A1904" t="s">
        <v>15</v>
      </c>
      <c r="B1904" t="s">
        <v>13</v>
      </c>
      <c r="C1904" t="s">
        <v>7</v>
      </c>
      <c r="D1904" s="3">
        <v>45432</v>
      </c>
      <c r="E1904" s="2">
        <v>12512</v>
      </c>
    </row>
    <row r="1905" spans="1:5" x14ac:dyDescent="0.3">
      <c r="A1905" t="s">
        <v>20</v>
      </c>
      <c r="B1905" t="s">
        <v>9</v>
      </c>
      <c r="C1905" t="s">
        <v>28</v>
      </c>
      <c r="D1905" s="3">
        <v>45432</v>
      </c>
      <c r="E1905" s="2">
        <v>7171</v>
      </c>
    </row>
    <row r="1906" spans="1:5" x14ac:dyDescent="0.3">
      <c r="A1906" t="s">
        <v>32</v>
      </c>
      <c r="B1906" t="s">
        <v>13</v>
      </c>
      <c r="C1906" t="s">
        <v>14</v>
      </c>
      <c r="D1906" s="3">
        <v>45433</v>
      </c>
      <c r="E1906" s="2">
        <v>5912</v>
      </c>
    </row>
    <row r="1907" spans="1:5" x14ac:dyDescent="0.3">
      <c r="A1907" t="s">
        <v>31</v>
      </c>
      <c r="B1907" t="s">
        <v>21</v>
      </c>
      <c r="C1907" t="s">
        <v>25</v>
      </c>
      <c r="D1907" s="3">
        <v>45433</v>
      </c>
      <c r="E1907" s="2">
        <v>12196</v>
      </c>
    </row>
    <row r="1908" spans="1:5" x14ac:dyDescent="0.3">
      <c r="A1908" t="s">
        <v>22</v>
      </c>
      <c r="B1908" t="s">
        <v>13</v>
      </c>
      <c r="C1908" t="s">
        <v>25</v>
      </c>
      <c r="D1908" s="3">
        <v>45433</v>
      </c>
      <c r="E1908" s="2">
        <v>9687</v>
      </c>
    </row>
    <row r="1909" spans="1:5" x14ac:dyDescent="0.3">
      <c r="A1909" t="s">
        <v>30</v>
      </c>
      <c r="B1909" t="s">
        <v>21</v>
      </c>
      <c r="C1909" t="s">
        <v>17</v>
      </c>
      <c r="D1909" s="3">
        <v>45433</v>
      </c>
      <c r="E1909" s="2">
        <v>5132</v>
      </c>
    </row>
    <row r="1910" spans="1:5" x14ac:dyDescent="0.3">
      <c r="A1910" t="s">
        <v>30</v>
      </c>
      <c r="B1910" t="s">
        <v>13</v>
      </c>
      <c r="C1910" t="s">
        <v>12</v>
      </c>
      <c r="D1910" s="3">
        <v>45433</v>
      </c>
      <c r="E1910" s="2">
        <v>6822</v>
      </c>
    </row>
    <row r="1911" spans="1:5" x14ac:dyDescent="0.3">
      <c r="A1911" t="s">
        <v>22</v>
      </c>
      <c r="B1911" t="s">
        <v>16</v>
      </c>
      <c r="C1911" t="s">
        <v>14</v>
      </c>
      <c r="D1911" s="3">
        <v>45434</v>
      </c>
      <c r="E1911" s="2">
        <v>10299</v>
      </c>
    </row>
    <row r="1912" spans="1:5" x14ac:dyDescent="0.3">
      <c r="A1912" t="s">
        <v>24</v>
      </c>
      <c r="B1912" t="s">
        <v>11</v>
      </c>
      <c r="C1912" t="s">
        <v>19</v>
      </c>
      <c r="D1912" s="3">
        <v>45434</v>
      </c>
      <c r="E1912" s="2">
        <v>3005</v>
      </c>
    </row>
    <row r="1913" spans="1:5" x14ac:dyDescent="0.3">
      <c r="A1913" t="s">
        <v>15</v>
      </c>
      <c r="B1913" t="s">
        <v>21</v>
      </c>
      <c r="C1913" t="s">
        <v>25</v>
      </c>
      <c r="D1913" s="3">
        <v>45434</v>
      </c>
      <c r="E1913" s="2">
        <v>9243</v>
      </c>
    </row>
    <row r="1914" spans="1:5" x14ac:dyDescent="0.3">
      <c r="A1914" t="s">
        <v>10</v>
      </c>
      <c r="B1914" t="s">
        <v>21</v>
      </c>
      <c r="C1914" t="s">
        <v>23</v>
      </c>
      <c r="D1914" s="3">
        <v>45435</v>
      </c>
      <c r="E1914" s="2">
        <v>7939</v>
      </c>
    </row>
    <row r="1915" spans="1:5" x14ac:dyDescent="0.3">
      <c r="A1915" t="s">
        <v>8</v>
      </c>
      <c r="B1915" t="s">
        <v>11</v>
      </c>
      <c r="C1915" t="s">
        <v>25</v>
      </c>
      <c r="D1915" s="3">
        <v>45435</v>
      </c>
      <c r="E1915" s="2">
        <v>7368</v>
      </c>
    </row>
    <row r="1916" spans="1:5" x14ac:dyDescent="0.3">
      <c r="A1916" t="s">
        <v>27</v>
      </c>
      <c r="B1916" t="s">
        <v>21</v>
      </c>
      <c r="C1916" t="s">
        <v>17</v>
      </c>
      <c r="D1916" s="3">
        <v>45435</v>
      </c>
      <c r="E1916" s="2">
        <v>4717</v>
      </c>
    </row>
    <row r="1917" spans="1:5" x14ac:dyDescent="0.3">
      <c r="A1917" t="s">
        <v>29</v>
      </c>
      <c r="B1917" t="s">
        <v>6</v>
      </c>
      <c r="C1917" t="s">
        <v>12</v>
      </c>
      <c r="D1917" s="3">
        <v>45435</v>
      </c>
      <c r="E1917" s="2">
        <v>3754</v>
      </c>
    </row>
    <row r="1918" spans="1:5" x14ac:dyDescent="0.3">
      <c r="A1918" t="s">
        <v>10</v>
      </c>
      <c r="B1918" t="s">
        <v>9</v>
      </c>
      <c r="C1918" t="s">
        <v>25</v>
      </c>
      <c r="D1918" s="3">
        <v>45436</v>
      </c>
      <c r="E1918" s="2">
        <v>1982</v>
      </c>
    </row>
    <row r="1919" spans="1:5" x14ac:dyDescent="0.3">
      <c r="A1919" t="s">
        <v>24</v>
      </c>
      <c r="B1919" t="s">
        <v>13</v>
      </c>
      <c r="C1919" t="s">
        <v>28</v>
      </c>
      <c r="D1919" s="3">
        <v>45436</v>
      </c>
      <c r="E1919" s="2">
        <v>4099</v>
      </c>
    </row>
    <row r="1920" spans="1:5" x14ac:dyDescent="0.3">
      <c r="A1920" t="s">
        <v>18</v>
      </c>
      <c r="B1920" t="s">
        <v>6</v>
      </c>
      <c r="C1920" t="s">
        <v>12</v>
      </c>
      <c r="D1920" s="3">
        <v>45436</v>
      </c>
      <c r="E1920" s="2">
        <v>11744</v>
      </c>
    </row>
    <row r="1921" spans="1:5" x14ac:dyDescent="0.3">
      <c r="A1921" t="s">
        <v>32</v>
      </c>
      <c r="B1921" t="s">
        <v>11</v>
      </c>
      <c r="C1921" t="s">
        <v>23</v>
      </c>
      <c r="D1921" s="3">
        <v>45438</v>
      </c>
      <c r="E1921" s="2">
        <v>5880</v>
      </c>
    </row>
    <row r="1922" spans="1:5" x14ac:dyDescent="0.3">
      <c r="A1922" t="s">
        <v>15</v>
      </c>
      <c r="B1922" t="s">
        <v>11</v>
      </c>
      <c r="C1922" t="s">
        <v>25</v>
      </c>
      <c r="D1922" s="3">
        <v>45438</v>
      </c>
      <c r="E1922" s="2">
        <v>2611</v>
      </c>
    </row>
    <row r="1923" spans="1:5" x14ac:dyDescent="0.3">
      <c r="A1923" t="s">
        <v>32</v>
      </c>
      <c r="B1923" t="s">
        <v>6</v>
      </c>
      <c r="C1923" t="s">
        <v>7</v>
      </c>
      <c r="D1923" s="3">
        <v>45438</v>
      </c>
      <c r="E1923" s="2">
        <v>8001</v>
      </c>
    </row>
    <row r="1924" spans="1:5" x14ac:dyDescent="0.3">
      <c r="A1924" t="s">
        <v>18</v>
      </c>
      <c r="B1924" t="s">
        <v>6</v>
      </c>
      <c r="C1924" t="s">
        <v>7</v>
      </c>
      <c r="D1924" s="3">
        <v>45438</v>
      </c>
      <c r="E1924" s="2">
        <v>12886</v>
      </c>
    </row>
    <row r="1925" spans="1:5" x14ac:dyDescent="0.3">
      <c r="A1925" t="s">
        <v>29</v>
      </c>
      <c r="B1925" t="s">
        <v>9</v>
      </c>
      <c r="C1925" t="s">
        <v>28</v>
      </c>
      <c r="D1925" s="3">
        <v>45438</v>
      </c>
      <c r="E1925" s="2">
        <v>11979</v>
      </c>
    </row>
    <row r="1926" spans="1:5" x14ac:dyDescent="0.3">
      <c r="A1926" t="s">
        <v>24</v>
      </c>
      <c r="B1926" t="s">
        <v>11</v>
      </c>
      <c r="C1926" t="s">
        <v>17</v>
      </c>
      <c r="D1926" s="3">
        <v>45438</v>
      </c>
      <c r="E1926" s="2">
        <v>7820</v>
      </c>
    </row>
    <row r="1927" spans="1:5" x14ac:dyDescent="0.3">
      <c r="A1927" t="s">
        <v>18</v>
      </c>
      <c r="B1927" t="s">
        <v>21</v>
      </c>
      <c r="C1927" t="s">
        <v>7</v>
      </c>
      <c r="D1927" s="3">
        <v>45439</v>
      </c>
      <c r="E1927" s="2">
        <v>11843</v>
      </c>
    </row>
    <row r="1928" spans="1:5" x14ac:dyDescent="0.3">
      <c r="A1928" t="s">
        <v>27</v>
      </c>
      <c r="B1928" t="s">
        <v>16</v>
      </c>
      <c r="C1928" t="s">
        <v>12</v>
      </c>
      <c r="D1928" s="3">
        <v>45439</v>
      </c>
      <c r="E1928" s="2">
        <v>1314</v>
      </c>
    </row>
    <row r="1929" spans="1:5" x14ac:dyDescent="0.3">
      <c r="A1929" t="s">
        <v>22</v>
      </c>
      <c r="B1929" t="s">
        <v>11</v>
      </c>
      <c r="C1929" t="s">
        <v>12</v>
      </c>
      <c r="D1929" s="3">
        <v>45439</v>
      </c>
      <c r="E1929" s="2">
        <v>5215</v>
      </c>
    </row>
    <row r="1930" spans="1:5" x14ac:dyDescent="0.3">
      <c r="A1930" t="s">
        <v>20</v>
      </c>
      <c r="B1930" t="s">
        <v>16</v>
      </c>
      <c r="C1930" t="s">
        <v>12</v>
      </c>
      <c r="D1930" s="3">
        <v>45439</v>
      </c>
      <c r="E1930" s="2">
        <v>10546</v>
      </c>
    </row>
    <row r="1931" spans="1:5" x14ac:dyDescent="0.3">
      <c r="A1931" t="s">
        <v>10</v>
      </c>
      <c r="B1931" t="s">
        <v>9</v>
      </c>
      <c r="C1931" t="s">
        <v>14</v>
      </c>
      <c r="D1931" s="3">
        <v>45440</v>
      </c>
      <c r="E1931" s="2">
        <v>5396</v>
      </c>
    </row>
    <row r="1932" spans="1:5" x14ac:dyDescent="0.3">
      <c r="A1932" t="s">
        <v>10</v>
      </c>
      <c r="B1932" t="s">
        <v>13</v>
      </c>
      <c r="C1932" t="s">
        <v>14</v>
      </c>
      <c r="D1932" s="3">
        <v>45440</v>
      </c>
      <c r="E1932" s="2">
        <v>2644</v>
      </c>
    </row>
    <row r="1933" spans="1:5" x14ac:dyDescent="0.3">
      <c r="A1933" t="s">
        <v>15</v>
      </c>
      <c r="B1933" t="s">
        <v>21</v>
      </c>
      <c r="C1933" t="s">
        <v>23</v>
      </c>
      <c r="D1933" s="3">
        <v>45440</v>
      </c>
      <c r="E1933" s="2">
        <v>6753</v>
      </c>
    </row>
    <row r="1934" spans="1:5" x14ac:dyDescent="0.3">
      <c r="A1934" t="s">
        <v>15</v>
      </c>
      <c r="B1934" t="s">
        <v>21</v>
      </c>
      <c r="C1934" t="s">
        <v>25</v>
      </c>
      <c r="D1934" s="3">
        <v>45440</v>
      </c>
      <c r="E1934" s="2">
        <v>7715</v>
      </c>
    </row>
    <row r="1935" spans="1:5" x14ac:dyDescent="0.3">
      <c r="A1935" t="s">
        <v>8</v>
      </c>
      <c r="B1935" t="s">
        <v>13</v>
      </c>
      <c r="C1935" t="s">
        <v>17</v>
      </c>
      <c r="D1935" s="3">
        <v>45440</v>
      </c>
      <c r="E1935" s="2">
        <v>4215</v>
      </c>
    </row>
    <row r="1936" spans="1:5" x14ac:dyDescent="0.3">
      <c r="A1936" t="s">
        <v>31</v>
      </c>
      <c r="B1936" t="s">
        <v>21</v>
      </c>
      <c r="C1936" t="s">
        <v>17</v>
      </c>
      <c r="D1936" s="3">
        <v>45441</v>
      </c>
      <c r="E1936" s="2">
        <v>3917</v>
      </c>
    </row>
    <row r="1937" spans="1:5" x14ac:dyDescent="0.3">
      <c r="A1937" t="s">
        <v>27</v>
      </c>
      <c r="B1937" t="s">
        <v>21</v>
      </c>
      <c r="C1937" t="s">
        <v>17</v>
      </c>
      <c r="D1937" s="3">
        <v>45441</v>
      </c>
      <c r="E1937" s="2">
        <v>7210</v>
      </c>
    </row>
    <row r="1938" spans="1:5" x14ac:dyDescent="0.3">
      <c r="A1938" t="s">
        <v>26</v>
      </c>
      <c r="B1938" t="s">
        <v>11</v>
      </c>
      <c r="C1938" t="s">
        <v>14</v>
      </c>
      <c r="D1938" s="3">
        <v>45442</v>
      </c>
      <c r="E1938" s="2">
        <v>7627</v>
      </c>
    </row>
    <row r="1939" spans="1:5" x14ac:dyDescent="0.3">
      <c r="A1939" t="s">
        <v>30</v>
      </c>
      <c r="B1939" t="s">
        <v>16</v>
      </c>
      <c r="C1939" t="s">
        <v>25</v>
      </c>
      <c r="D1939" s="3">
        <v>45442</v>
      </c>
      <c r="E1939" s="2">
        <v>3026</v>
      </c>
    </row>
    <row r="1940" spans="1:5" x14ac:dyDescent="0.3">
      <c r="A1940" t="s">
        <v>31</v>
      </c>
      <c r="B1940" t="s">
        <v>21</v>
      </c>
      <c r="C1940" t="s">
        <v>7</v>
      </c>
      <c r="D1940" s="3">
        <v>45442</v>
      </c>
      <c r="E1940" s="2">
        <v>8365</v>
      </c>
    </row>
    <row r="1941" spans="1:5" x14ac:dyDescent="0.3">
      <c r="A1941" t="s">
        <v>10</v>
      </c>
      <c r="B1941" t="s">
        <v>6</v>
      </c>
      <c r="C1941" t="s">
        <v>12</v>
      </c>
      <c r="D1941" s="3">
        <v>45442</v>
      </c>
      <c r="E1941" s="2">
        <v>4665</v>
      </c>
    </row>
    <row r="1942" spans="1:5" x14ac:dyDescent="0.3">
      <c r="A1942" t="s">
        <v>22</v>
      </c>
      <c r="B1942" t="s">
        <v>6</v>
      </c>
      <c r="C1942" t="s">
        <v>12</v>
      </c>
      <c r="D1942" s="3">
        <v>45442</v>
      </c>
      <c r="E1942" s="2">
        <v>13527</v>
      </c>
    </row>
    <row r="1943" spans="1:5" x14ac:dyDescent="0.3">
      <c r="A1943" t="s">
        <v>24</v>
      </c>
      <c r="B1943" t="s">
        <v>21</v>
      </c>
      <c r="C1943" t="s">
        <v>28</v>
      </c>
      <c r="D1943" s="3">
        <v>45443</v>
      </c>
      <c r="E1943" s="2">
        <v>10778</v>
      </c>
    </row>
    <row r="1944" spans="1:5" x14ac:dyDescent="0.3">
      <c r="A1944" t="s">
        <v>29</v>
      </c>
      <c r="B1944" t="s">
        <v>16</v>
      </c>
      <c r="C1944" t="s">
        <v>28</v>
      </c>
      <c r="D1944" s="3">
        <v>45443</v>
      </c>
      <c r="E1944" s="2">
        <v>10527</v>
      </c>
    </row>
    <row r="1945" spans="1:5" x14ac:dyDescent="0.3">
      <c r="A1945" t="s">
        <v>30</v>
      </c>
      <c r="B1945" t="s">
        <v>9</v>
      </c>
      <c r="C1945" t="s">
        <v>12</v>
      </c>
      <c r="D1945" s="3">
        <v>45443</v>
      </c>
      <c r="E1945" s="2">
        <v>8126</v>
      </c>
    </row>
    <row r="1946" spans="1:5" x14ac:dyDescent="0.3">
      <c r="A1946" t="s">
        <v>31</v>
      </c>
      <c r="B1946" t="s">
        <v>9</v>
      </c>
      <c r="C1946" t="s">
        <v>19</v>
      </c>
      <c r="D1946" s="3">
        <v>45444</v>
      </c>
      <c r="E1946" s="2">
        <v>2214</v>
      </c>
    </row>
    <row r="1947" spans="1:5" x14ac:dyDescent="0.3">
      <c r="A1947" t="s">
        <v>10</v>
      </c>
      <c r="B1947" t="s">
        <v>11</v>
      </c>
      <c r="C1947" t="s">
        <v>25</v>
      </c>
      <c r="D1947" s="3">
        <v>45444</v>
      </c>
      <c r="E1947" s="2">
        <v>9570</v>
      </c>
    </row>
    <row r="1948" spans="1:5" x14ac:dyDescent="0.3">
      <c r="A1948" t="s">
        <v>10</v>
      </c>
      <c r="B1948" t="s">
        <v>16</v>
      </c>
      <c r="C1948" t="s">
        <v>7</v>
      </c>
      <c r="D1948" s="3">
        <v>45444</v>
      </c>
      <c r="E1948" s="2">
        <v>1249</v>
      </c>
    </row>
    <row r="1949" spans="1:5" x14ac:dyDescent="0.3">
      <c r="A1949" t="s">
        <v>15</v>
      </c>
      <c r="B1949" t="s">
        <v>13</v>
      </c>
      <c r="C1949" t="s">
        <v>12</v>
      </c>
      <c r="D1949" s="3">
        <v>45444</v>
      </c>
      <c r="E1949" s="2">
        <v>13609</v>
      </c>
    </row>
    <row r="1950" spans="1:5" x14ac:dyDescent="0.3">
      <c r="A1950" t="s">
        <v>26</v>
      </c>
      <c r="B1950" t="s">
        <v>6</v>
      </c>
      <c r="C1950" t="s">
        <v>14</v>
      </c>
      <c r="D1950" s="3">
        <v>45445</v>
      </c>
      <c r="E1950" s="2">
        <v>10218</v>
      </c>
    </row>
    <row r="1951" spans="1:5" x14ac:dyDescent="0.3">
      <c r="A1951" t="s">
        <v>18</v>
      </c>
      <c r="B1951" t="s">
        <v>6</v>
      </c>
      <c r="C1951" t="s">
        <v>14</v>
      </c>
      <c r="D1951" s="3">
        <v>45445</v>
      </c>
      <c r="E1951" s="2">
        <v>12725</v>
      </c>
    </row>
    <row r="1952" spans="1:5" x14ac:dyDescent="0.3">
      <c r="A1952" t="s">
        <v>18</v>
      </c>
      <c r="B1952" t="s">
        <v>21</v>
      </c>
      <c r="C1952" t="s">
        <v>23</v>
      </c>
      <c r="D1952" s="3">
        <v>45445</v>
      </c>
      <c r="E1952" s="2">
        <v>10473</v>
      </c>
    </row>
    <row r="1953" spans="1:5" x14ac:dyDescent="0.3">
      <c r="A1953" t="s">
        <v>24</v>
      </c>
      <c r="B1953" t="s">
        <v>21</v>
      </c>
      <c r="C1953" t="s">
        <v>25</v>
      </c>
      <c r="D1953" s="3">
        <v>45445</v>
      </c>
      <c r="E1953" s="2">
        <v>7508</v>
      </c>
    </row>
    <row r="1954" spans="1:5" x14ac:dyDescent="0.3">
      <c r="A1954" t="s">
        <v>30</v>
      </c>
      <c r="B1954" t="s">
        <v>16</v>
      </c>
      <c r="C1954" t="s">
        <v>17</v>
      </c>
      <c r="D1954" s="3">
        <v>45445</v>
      </c>
      <c r="E1954" s="2">
        <v>10216</v>
      </c>
    </row>
    <row r="1955" spans="1:5" x14ac:dyDescent="0.3">
      <c r="A1955" t="s">
        <v>30</v>
      </c>
      <c r="B1955" t="s">
        <v>9</v>
      </c>
      <c r="C1955" t="s">
        <v>12</v>
      </c>
      <c r="D1955" s="3">
        <v>45445</v>
      </c>
      <c r="E1955" s="2">
        <v>4837</v>
      </c>
    </row>
    <row r="1956" spans="1:5" x14ac:dyDescent="0.3">
      <c r="A1956" t="s">
        <v>18</v>
      </c>
      <c r="B1956" t="s">
        <v>6</v>
      </c>
      <c r="C1956" t="s">
        <v>25</v>
      </c>
      <c r="D1956" s="3">
        <v>45446</v>
      </c>
      <c r="E1956" s="2">
        <v>1575</v>
      </c>
    </row>
    <row r="1957" spans="1:5" x14ac:dyDescent="0.3">
      <c r="A1957" t="s">
        <v>10</v>
      </c>
      <c r="B1957" t="s">
        <v>21</v>
      </c>
      <c r="C1957" t="s">
        <v>7</v>
      </c>
      <c r="D1957" s="3">
        <v>45446</v>
      </c>
      <c r="E1957" s="2">
        <v>10483</v>
      </c>
    </row>
    <row r="1958" spans="1:5" x14ac:dyDescent="0.3">
      <c r="A1958" t="s">
        <v>5</v>
      </c>
      <c r="B1958" t="s">
        <v>11</v>
      </c>
      <c r="C1958" t="s">
        <v>7</v>
      </c>
      <c r="D1958" s="3">
        <v>45446</v>
      </c>
      <c r="E1958" s="2">
        <v>6632</v>
      </c>
    </row>
    <row r="1959" spans="1:5" x14ac:dyDescent="0.3">
      <c r="A1959" t="s">
        <v>29</v>
      </c>
      <c r="B1959" t="s">
        <v>11</v>
      </c>
      <c r="C1959" t="s">
        <v>17</v>
      </c>
      <c r="D1959" s="3">
        <v>45446</v>
      </c>
      <c r="E1959" s="2">
        <v>9091</v>
      </c>
    </row>
    <row r="1960" spans="1:5" x14ac:dyDescent="0.3">
      <c r="A1960" t="s">
        <v>27</v>
      </c>
      <c r="B1960" t="s">
        <v>21</v>
      </c>
      <c r="C1960" t="s">
        <v>17</v>
      </c>
      <c r="D1960" s="3">
        <v>45446</v>
      </c>
      <c r="E1960" s="2">
        <v>9798</v>
      </c>
    </row>
    <row r="1961" spans="1:5" x14ac:dyDescent="0.3">
      <c r="A1961" t="s">
        <v>8</v>
      </c>
      <c r="B1961" t="s">
        <v>11</v>
      </c>
      <c r="C1961" t="s">
        <v>17</v>
      </c>
      <c r="D1961" s="3">
        <v>45446</v>
      </c>
      <c r="E1961" s="2">
        <v>10776</v>
      </c>
    </row>
    <row r="1962" spans="1:5" x14ac:dyDescent="0.3">
      <c r="A1962" t="s">
        <v>8</v>
      </c>
      <c r="B1962" t="s">
        <v>13</v>
      </c>
      <c r="C1962" t="s">
        <v>17</v>
      </c>
      <c r="D1962" s="3">
        <v>45446</v>
      </c>
      <c r="E1962" s="2">
        <v>1835</v>
      </c>
    </row>
    <row r="1963" spans="1:5" x14ac:dyDescent="0.3">
      <c r="A1963" t="s">
        <v>30</v>
      </c>
      <c r="B1963" t="s">
        <v>13</v>
      </c>
      <c r="C1963" t="s">
        <v>14</v>
      </c>
      <c r="D1963" s="3">
        <v>45447</v>
      </c>
      <c r="E1963" s="2">
        <v>10299</v>
      </c>
    </row>
    <row r="1964" spans="1:5" x14ac:dyDescent="0.3">
      <c r="A1964" t="s">
        <v>30</v>
      </c>
      <c r="B1964" t="s">
        <v>16</v>
      </c>
      <c r="C1964" t="s">
        <v>14</v>
      </c>
      <c r="D1964" s="3">
        <v>45447</v>
      </c>
      <c r="E1964" s="2">
        <v>9339</v>
      </c>
    </row>
    <row r="1965" spans="1:5" x14ac:dyDescent="0.3">
      <c r="A1965" t="s">
        <v>30</v>
      </c>
      <c r="B1965" t="s">
        <v>21</v>
      </c>
      <c r="C1965" t="s">
        <v>7</v>
      </c>
      <c r="D1965" s="3">
        <v>45447</v>
      </c>
      <c r="E1965" s="2">
        <v>4032</v>
      </c>
    </row>
    <row r="1966" spans="1:5" x14ac:dyDescent="0.3">
      <c r="A1966" t="s">
        <v>24</v>
      </c>
      <c r="B1966" t="s">
        <v>21</v>
      </c>
      <c r="C1966" t="s">
        <v>19</v>
      </c>
      <c r="D1966" s="3">
        <v>45448</v>
      </c>
      <c r="E1966" s="2">
        <v>2585</v>
      </c>
    </row>
    <row r="1967" spans="1:5" x14ac:dyDescent="0.3">
      <c r="A1967" t="s">
        <v>15</v>
      </c>
      <c r="B1967" t="s">
        <v>13</v>
      </c>
      <c r="C1967" t="s">
        <v>19</v>
      </c>
      <c r="D1967" s="3">
        <v>45448</v>
      </c>
      <c r="E1967" s="2">
        <v>10462</v>
      </c>
    </row>
    <row r="1968" spans="1:5" x14ac:dyDescent="0.3">
      <c r="A1968" t="s">
        <v>5</v>
      </c>
      <c r="B1968" t="s">
        <v>9</v>
      </c>
      <c r="C1968" t="s">
        <v>23</v>
      </c>
      <c r="D1968" s="3">
        <v>45449</v>
      </c>
      <c r="E1968" s="2">
        <v>7964</v>
      </c>
    </row>
    <row r="1969" spans="1:5" x14ac:dyDescent="0.3">
      <c r="A1969" t="s">
        <v>33</v>
      </c>
      <c r="B1969" t="s">
        <v>13</v>
      </c>
      <c r="C1969" t="s">
        <v>23</v>
      </c>
      <c r="D1969" s="3">
        <v>45449</v>
      </c>
      <c r="E1969" s="2">
        <v>2530</v>
      </c>
    </row>
    <row r="1970" spans="1:5" x14ac:dyDescent="0.3">
      <c r="A1970" t="s">
        <v>15</v>
      </c>
      <c r="B1970" t="s">
        <v>9</v>
      </c>
      <c r="C1970" t="s">
        <v>25</v>
      </c>
      <c r="D1970" s="3">
        <v>45449</v>
      </c>
      <c r="E1970" s="2">
        <v>4703</v>
      </c>
    </row>
    <row r="1971" spans="1:5" x14ac:dyDescent="0.3">
      <c r="A1971" t="s">
        <v>32</v>
      </c>
      <c r="B1971" t="s">
        <v>16</v>
      </c>
      <c r="C1971" t="s">
        <v>28</v>
      </c>
      <c r="D1971" s="3">
        <v>45449</v>
      </c>
      <c r="E1971" s="2">
        <v>1009</v>
      </c>
    </row>
    <row r="1972" spans="1:5" x14ac:dyDescent="0.3">
      <c r="A1972" t="s">
        <v>8</v>
      </c>
      <c r="B1972" t="s">
        <v>21</v>
      </c>
      <c r="C1972" t="s">
        <v>28</v>
      </c>
      <c r="D1972" s="3">
        <v>45449</v>
      </c>
      <c r="E1972" s="2">
        <v>10466</v>
      </c>
    </row>
    <row r="1973" spans="1:5" x14ac:dyDescent="0.3">
      <c r="A1973" t="s">
        <v>29</v>
      </c>
      <c r="B1973" t="s">
        <v>13</v>
      </c>
      <c r="C1973" t="s">
        <v>12</v>
      </c>
      <c r="D1973" s="3">
        <v>45449</v>
      </c>
      <c r="E1973" s="2">
        <v>9934</v>
      </c>
    </row>
    <row r="1974" spans="1:5" x14ac:dyDescent="0.3">
      <c r="A1974" t="s">
        <v>10</v>
      </c>
      <c r="B1974" t="s">
        <v>21</v>
      </c>
      <c r="C1974" t="s">
        <v>23</v>
      </c>
      <c r="D1974" s="3">
        <v>45450</v>
      </c>
      <c r="E1974" s="2">
        <v>10647</v>
      </c>
    </row>
    <row r="1975" spans="1:5" x14ac:dyDescent="0.3">
      <c r="A1975" t="s">
        <v>18</v>
      </c>
      <c r="B1975" t="s">
        <v>11</v>
      </c>
      <c r="C1975" t="s">
        <v>12</v>
      </c>
      <c r="D1975" s="3">
        <v>45450</v>
      </c>
      <c r="E1975" s="2">
        <v>11109</v>
      </c>
    </row>
    <row r="1976" spans="1:5" x14ac:dyDescent="0.3">
      <c r="A1976" t="s">
        <v>26</v>
      </c>
      <c r="B1976" t="s">
        <v>16</v>
      </c>
      <c r="C1976" t="s">
        <v>14</v>
      </c>
      <c r="D1976" s="3">
        <v>45451</v>
      </c>
      <c r="E1976" s="2">
        <v>6757</v>
      </c>
    </row>
    <row r="1977" spans="1:5" x14ac:dyDescent="0.3">
      <c r="A1977" t="s">
        <v>18</v>
      </c>
      <c r="B1977" t="s">
        <v>6</v>
      </c>
      <c r="C1977" t="s">
        <v>14</v>
      </c>
      <c r="D1977" s="3">
        <v>45451</v>
      </c>
      <c r="E1977" s="2">
        <v>6708</v>
      </c>
    </row>
    <row r="1978" spans="1:5" x14ac:dyDescent="0.3">
      <c r="A1978" t="s">
        <v>22</v>
      </c>
      <c r="B1978" t="s">
        <v>13</v>
      </c>
      <c r="C1978" t="s">
        <v>28</v>
      </c>
      <c r="D1978" s="3">
        <v>45451</v>
      </c>
      <c r="E1978" s="2">
        <v>8064</v>
      </c>
    </row>
    <row r="1979" spans="1:5" x14ac:dyDescent="0.3">
      <c r="A1979" t="s">
        <v>15</v>
      </c>
      <c r="B1979" t="s">
        <v>9</v>
      </c>
      <c r="C1979" t="s">
        <v>28</v>
      </c>
      <c r="D1979" s="3">
        <v>45451</v>
      </c>
      <c r="E1979" s="2">
        <v>7134</v>
      </c>
    </row>
    <row r="1980" spans="1:5" x14ac:dyDescent="0.3">
      <c r="A1980" t="s">
        <v>20</v>
      </c>
      <c r="B1980" t="s">
        <v>21</v>
      </c>
      <c r="C1980" t="s">
        <v>17</v>
      </c>
      <c r="D1980" s="3">
        <v>45451</v>
      </c>
      <c r="E1980" s="2">
        <v>13135</v>
      </c>
    </row>
    <row r="1981" spans="1:5" x14ac:dyDescent="0.3">
      <c r="A1981" t="s">
        <v>5</v>
      </c>
      <c r="B1981" t="s">
        <v>21</v>
      </c>
      <c r="C1981" t="s">
        <v>14</v>
      </c>
      <c r="D1981" s="3">
        <v>45452</v>
      </c>
      <c r="E1981" s="2">
        <v>3454</v>
      </c>
    </row>
    <row r="1982" spans="1:5" x14ac:dyDescent="0.3">
      <c r="A1982" t="s">
        <v>33</v>
      </c>
      <c r="B1982" t="s">
        <v>16</v>
      </c>
      <c r="C1982" t="s">
        <v>19</v>
      </c>
      <c r="D1982" s="3">
        <v>45452</v>
      </c>
      <c r="E1982" s="2">
        <v>9356</v>
      </c>
    </row>
    <row r="1983" spans="1:5" x14ac:dyDescent="0.3">
      <c r="A1983" t="s">
        <v>26</v>
      </c>
      <c r="B1983" t="s">
        <v>11</v>
      </c>
      <c r="C1983" t="s">
        <v>23</v>
      </c>
      <c r="D1983" s="3">
        <v>45452</v>
      </c>
      <c r="E1983" s="2">
        <v>13000</v>
      </c>
    </row>
    <row r="1984" spans="1:5" x14ac:dyDescent="0.3">
      <c r="A1984" t="s">
        <v>15</v>
      </c>
      <c r="B1984" t="s">
        <v>11</v>
      </c>
      <c r="C1984" t="s">
        <v>25</v>
      </c>
      <c r="D1984" s="3">
        <v>45452</v>
      </c>
      <c r="E1984" s="2">
        <v>11890</v>
      </c>
    </row>
    <row r="1985" spans="1:5" x14ac:dyDescent="0.3">
      <c r="A1985" t="s">
        <v>10</v>
      </c>
      <c r="B1985" t="s">
        <v>6</v>
      </c>
      <c r="C1985" t="s">
        <v>25</v>
      </c>
      <c r="D1985" s="3">
        <v>45452</v>
      </c>
      <c r="E1985" s="2">
        <v>11845</v>
      </c>
    </row>
    <row r="1986" spans="1:5" x14ac:dyDescent="0.3">
      <c r="A1986" t="s">
        <v>31</v>
      </c>
      <c r="B1986" t="s">
        <v>11</v>
      </c>
      <c r="C1986" t="s">
        <v>7</v>
      </c>
      <c r="D1986" s="3">
        <v>45452</v>
      </c>
      <c r="E1986" s="2">
        <v>4437</v>
      </c>
    </row>
    <row r="1987" spans="1:5" x14ac:dyDescent="0.3">
      <c r="A1987" t="s">
        <v>29</v>
      </c>
      <c r="B1987" t="s">
        <v>9</v>
      </c>
      <c r="C1987" t="s">
        <v>17</v>
      </c>
      <c r="D1987" s="3">
        <v>45452</v>
      </c>
      <c r="E1987" s="2">
        <v>2584</v>
      </c>
    </row>
    <row r="1988" spans="1:5" x14ac:dyDescent="0.3">
      <c r="A1988" t="s">
        <v>27</v>
      </c>
      <c r="B1988" t="s">
        <v>16</v>
      </c>
      <c r="C1988" t="s">
        <v>12</v>
      </c>
      <c r="D1988" s="3">
        <v>45452</v>
      </c>
      <c r="E1988" s="2">
        <v>8220</v>
      </c>
    </row>
    <row r="1989" spans="1:5" x14ac:dyDescent="0.3">
      <c r="A1989" t="s">
        <v>31</v>
      </c>
      <c r="B1989" t="s">
        <v>11</v>
      </c>
      <c r="C1989" t="s">
        <v>14</v>
      </c>
      <c r="D1989" s="3">
        <v>45453</v>
      </c>
      <c r="E1989" s="2">
        <v>5737</v>
      </c>
    </row>
    <row r="1990" spans="1:5" x14ac:dyDescent="0.3">
      <c r="A1990" t="s">
        <v>8</v>
      </c>
      <c r="B1990" t="s">
        <v>13</v>
      </c>
      <c r="C1990" t="s">
        <v>25</v>
      </c>
      <c r="D1990" s="3">
        <v>45453</v>
      </c>
      <c r="E1990" s="2">
        <v>4059</v>
      </c>
    </row>
    <row r="1991" spans="1:5" x14ac:dyDescent="0.3">
      <c r="A1991" t="s">
        <v>22</v>
      </c>
      <c r="B1991" t="s">
        <v>6</v>
      </c>
      <c r="C1991" t="s">
        <v>7</v>
      </c>
      <c r="D1991" s="3">
        <v>45453</v>
      </c>
      <c r="E1991" s="2">
        <v>10423</v>
      </c>
    </row>
    <row r="1992" spans="1:5" x14ac:dyDescent="0.3">
      <c r="A1992" t="s">
        <v>15</v>
      </c>
      <c r="B1992" t="s">
        <v>21</v>
      </c>
      <c r="C1992" t="s">
        <v>28</v>
      </c>
      <c r="D1992" s="3">
        <v>45453</v>
      </c>
      <c r="E1992" s="2">
        <v>13938</v>
      </c>
    </row>
    <row r="1993" spans="1:5" x14ac:dyDescent="0.3">
      <c r="A1993" t="s">
        <v>32</v>
      </c>
      <c r="B1993" t="s">
        <v>16</v>
      </c>
      <c r="C1993" t="s">
        <v>28</v>
      </c>
      <c r="D1993" s="3">
        <v>45453</v>
      </c>
      <c r="E1993" s="2">
        <v>13013</v>
      </c>
    </row>
    <row r="1994" spans="1:5" x14ac:dyDescent="0.3">
      <c r="A1994" t="s">
        <v>20</v>
      </c>
      <c r="B1994" t="s">
        <v>13</v>
      </c>
      <c r="C1994" t="s">
        <v>17</v>
      </c>
      <c r="D1994" s="3">
        <v>45453</v>
      </c>
      <c r="E1994" s="2">
        <v>11520</v>
      </c>
    </row>
    <row r="1995" spans="1:5" x14ac:dyDescent="0.3">
      <c r="A1995" t="s">
        <v>20</v>
      </c>
      <c r="B1995" t="s">
        <v>11</v>
      </c>
      <c r="C1995" t="s">
        <v>14</v>
      </c>
      <c r="D1995" s="3">
        <v>45454</v>
      </c>
      <c r="E1995" s="2">
        <v>2647</v>
      </c>
    </row>
    <row r="1996" spans="1:5" x14ac:dyDescent="0.3">
      <c r="A1996" t="s">
        <v>18</v>
      </c>
      <c r="B1996" t="s">
        <v>6</v>
      </c>
      <c r="C1996" t="s">
        <v>14</v>
      </c>
      <c r="D1996" s="3">
        <v>45454</v>
      </c>
      <c r="E1996" s="2">
        <v>5134</v>
      </c>
    </row>
    <row r="1997" spans="1:5" x14ac:dyDescent="0.3">
      <c r="A1997" t="s">
        <v>10</v>
      </c>
      <c r="B1997" t="s">
        <v>11</v>
      </c>
      <c r="C1997" t="s">
        <v>19</v>
      </c>
      <c r="D1997" s="3">
        <v>45454</v>
      </c>
      <c r="E1997" s="2">
        <v>8794</v>
      </c>
    </row>
    <row r="1998" spans="1:5" x14ac:dyDescent="0.3">
      <c r="A1998" t="s">
        <v>18</v>
      </c>
      <c r="B1998" t="s">
        <v>9</v>
      </c>
      <c r="C1998" t="s">
        <v>19</v>
      </c>
      <c r="D1998" s="3">
        <v>45454</v>
      </c>
      <c r="E1998" s="2">
        <v>9390</v>
      </c>
    </row>
    <row r="1999" spans="1:5" x14ac:dyDescent="0.3">
      <c r="A1999" t="s">
        <v>22</v>
      </c>
      <c r="B1999" t="s">
        <v>11</v>
      </c>
      <c r="C1999" t="s">
        <v>23</v>
      </c>
      <c r="D1999" s="3">
        <v>45454</v>
      </c>
      <c r="E1999" s="2">
        <v>12487</v>
      </c>
    </row>
    <row r="2000" spans="1:5" x14ac:dyDescent="0.3">
      <c r="A2000" t="s">
        <v>20</v>
      </c>
      <c r="B2000" t="s">
        <v>13</v>
      </c>
      <c r="C2000" t="s">
        <v>25</v>
      </c>
      <c r="D2000" s="3">
        <v>45454</v>
      </c>
      <c r="E2000" s="2">
        <v>5607</v>
      </c>
    </row>
    <row r="2001" spans="1:5" x14ac:dyDescent="0.3">
      <c r="A2001" t="s">
        <v>33</v>
      </c>
      <c r="B2001" t="s">
        <v>13</v>
      </c>
      <c r="C2001" t="s">
        <v>28</v>
      </c>
      <c r="D2001" s="3">
        <v>45454</v>
      </c>
      <c r="E2001" s="2">
        <v>10819</v>
      </c>
    </row>
    <row r="2002" spans="1:5" x14ac:dyDescent="0.3">
      <c r="A2002" t="s">
        <v>32</v>
      </c>
      <c r="B2002" t="s">
        <v>6</v>
      </c>
      <c r="C2002" t="s">
        <v>17</v>
      </c>
      <c r="D2002" s="3">
        <v>45454</v>
      </c>
      <c r="E2002" s="2">
        <v>4966</v>
      </c>
    </row>
    <row r="2003" spans="1:5" x14ac:dyDescent="0.3">
      <c r="A2003" t="s">
        <v>18</v>
      </c>
      <c r="B2003" t="s">
        <v>16</v>
      </c>
      <c r="C2003" t="s">
        <v>7</v>
      </c>
      <c r="D2003" s="3">
        <v>45456</v>
      </c>
      <c r="E2003" s="2">
        <v>9420</v>
      </c>
    </row>
    <row r="2004" spans="1:5" x14ac:dyDescent="0.3">
      <c r="A2004" t="s">
        <v>8</v>
      </c>
      <c r="B2004" t="s">
        <v>9</v>
      </c>
      <c r="C2004" t="s">
        <v>14</v>
      </c>
      <c r="D2004" s="3">
        <v>45457</v>
      </c>
      <c r="E2004" s="2">
        <v>2790</v>
      </c>
    </row>
    <row r="2005" spans="1:5" x14ac:dyDescent="0.3">
      <c r="A2005" t="s">
        <v>15</v>
      </c>
      <c r="B2005" t="s">
        <v>9</v>
      </c>
      <c r="C2005" t="s">
        <v>25</v>
      </c>
      <c r="D2005" s="3">
        <v>45457</v>
      </c>
      <c r="E2005" s="2">
        <v>2707</v>
      </c>
    </row>
    <row r="2006" spans="1:5" x14ac:dyDescent="0.3">
      <c r="A2006" t="s">
        <v>20</v>
      </c>
      <c r="B2006" t="s">
        <v>13</v>
      </c>
      <c r="C2006" t="s">
        <v>17</v>
      </c>
      <c r="D2006" s="3">
        <v>45457</v>
      </c>
      <c r="E2006" s="2">
        <v>13085</v>
      </c>
    </row>
    <row r="2007" spans="1:5" x14ac:dyDescent="0.3">
      <c r="A2007" t="s">
        <v>22</v>
      </c>
      <c r="B2007" t="s">
        <v>16</v>
      </c>
      <c r="C2007" t="s">
        <v>14</v>
      </c>
      <c r="D2007" s="3">
        <v>45458</v>
      </c>
      <c r="E2007" s="2">
        <v>2350</v>
      </c>
    </row>
    <row r="2008" spans="1:5" x14ac:dyDescent="0.3">
      <c r="A2008" t="s">
        <v>15</v>
      </c>
      <c r="B2008" t="s">
        <v>6</v>
      </c>
      <c r="C2008" t="s">
        <v>19</v>
      </c>
      <c r="D2008" s="3">
        <v>45458</v>
      </c>
      <c r="E2008" s="2">
        <v>7518</v>
      </c>
    </row>
    <row r="2009" spans="1:5" x14ac:dyDescent="0.3">
      <c r="A2009" t="s">
        <v>33</v>
      </c>
      <c r="B2009" t="s">
        <v>6</v>
      </c>
      <c r="C2009" t="s">
        <v>28</v>
      </c>
      <c r="D2009" s="3">
        <v>45458</v>
      </c>
      <c r="E2009" s="2">
        <v>11240</v>
      </c>
    </row>
    <row r="2010" spans="1:5" x14ac:dyDescent="0.3">
      <c r="A2010" t="s">
        <v>27</v>
      </c>
      <c r="B2010" t="s">
        <v>13</v>
      </c>
      <c r="C2010" t="s">
        <v>17</v>
      </c>
      <c r="D2010" s="3">
        <v>45458</v>
      </c>
      <c r="E2010" s="2">
        <v>3435</v>
      </c>
    </row>
    <row r="2011" spans="1:5" x14ac:dyDescent="0.3">
      <c r="A2011" t="s">
        <v>15</v>
      </c>
      <c r="B2011" t="s">
        <v>6</v>
      </c>
      <c r="C2011" t="s">
        <v>17</v>
      </c>
      <c r="D2011" s="3">
        <v>45458</v>
      </c>
      <c r="E2011" s="2">
        <v>8903</v>
      </c>
    </row>
    <row r="2012" spans="1:5" x14ac:dyDescent="0.3">
      <c r="A2012" t="s">
        <v>33</v>
      </c>
      <c r="B2012" t="s">
        <v>16</v>
      </c>
      <c r="C2012" t="s">
        <v>14</v>
      </c>
      <c r="D2012" s="3">
        <v>45459</v>
      </c>
      <c r="E2012" s="2">
        <v>3052</v>
      </c>
    </row>
    <row r="2013" spans="1:5" x14ac:dyDescent="0.3">
      <c r="A2013" t="s">
        <v>31</v>
      </c>
      <c r="B2013" t="s">
        <v>6</v>
      </c>
      <c r="C2013" t="s">
        <v>23</v>
      </c>
      <c r="D2013" s="3">
        <v>45459</v>
      </c>
      <c r="E2013" s="2">
        <v>9751</v>
      </c>
    </row>
    <row r="2014" spans="1:5" x14ac:dyDescent="0.3">
      <c r="A2014" t="s">
        <v>8</v>
      </c>
      <c r="B2014" t="s">
        <v>9</v>
      </c>
      <c r="C2014" t="s">
        <v>25</v>
      </c>
      <c r="D2014" s="3">
        <v>45459</v>
      </c>
      <c r="E2014" s="2">
        <v>12210</v>
      </c>
    </row>
    <row r="2015" spans="1:5" x14ac:dyDescent="0.3">
      <c r="A2015" t="s">
        <v>26</v>
      </c>
      <c r="B2015" t="s">
        <v>11</v>
      </c>
      <c r="C2015" t="s">
        <v>7</v>
      </c>
      <c r="D2015" s="3">
        <v>45459</v>
      </c>
      <c r="E2015" s="2">
        <v>1248</v>
      </c>
    </row>
    <row r="2016" spans="1:5" x14ac:dyDescent="0.3">
      <c r="A2016" t="s">
        <v>29</v>
      </c>
      <c r="B2016" t="s">
        <v>9</v>
      </c>
      <c r="C2016" t="s">
        <v>17</v>
      </c>
      <c r="D2016" s="3">
        <v>45459</v>
      </c>
      <c r="E2016" s="2">
        <v>9746</v>
      </c>
    </row>
    <row r="2017" spans="1:5" x14ac:dyDescent="0.3">
      <c r="A2017" t="s">
        <v>30</v>
      </c>
      <c r="B2017" t="s">
        <v>9</v>
      </c>
      <c r="C2017" t="s">
        <v>17</v>
      </c>
      <c r="D2017" s="3">
        <v>45459</v>
      </c>
      <c r="E2017" s="2">
        <v>13192</v>
      </c>
    </row>
    <row r="2018" spans="1:5" x14ac:dyDescent="0.3">
      <c r="A2018" t="s">
        <v>32</v>
      </c>
      <c r="B2018" t="s">
        <v>16</v>
      </c>
      <c r="C2018" t="s">
        <v>17</v>
      </c>
      <c r="D2018" s="3">
        <v>45459</v>
      </c>
      <c r="E2018" s="2">
        <v>7220</v>
      </c>
    </row>
    <row r="2019" spans="1:5" x14ac:dyDescent="0.3">
      <c r="A2019" t="s">
        <v>29</v>
      </c>
      <c r="B2019" t="s">
        <v>13</v>
      </c>
      <c r="C2019" t="s">
        <v>17</v>
      </c>
      <c r="D2019" s="3">
        <v>45459</v>
      </c>
      <c r="E2019" s="2">
        <v>4076</v>
      </c>
    </row>
    <row r="2020" spans="1:5" x14ac:dyDescent="0.3">
      <c r="A2020" t="s">
        <v>31</v>
      </c>
      <c r="B2020" t="s">
        <v>9</v>
      </c>
      <c r="C2020" t="s">
        <v>14</v>
      </c>
      <c r="D2020" s="3">
        <v>45460</v>
      </c>
      <c r="E2020" s="2">
        <v>9923</v>
      </c>
    </row>
    <row r="2021" spans="1:5" x14ac:dyDescent="0.3">
      <c r="A2021" t="s">
        <v>32</v>
      </c>
      <c r="B2021" t="s">
        <v>6</v>
      </c>
      <c r="C2021" t="s">
        <v>19</v>
      </c>
      <c r="D2021" s="3">
        <v>45460</v>
      </c>
      <c r="E2021" s="2">
        <v>8033</v>
      </c>
    </row>
    <row r="2022" spans="1:5" x14ac:dyDescent="0.3">
      <c r="A2022" t="s">
        <v>27</v>
      </c>
      <c r="B2022" t="s">
        <v>16</v>
      </c>
      <c r="C2022" t="s">
        <v>25</v>
      </c>
      <c r="D2022" s="3">
        <v>45460</v>
      </c>
      <c r="E2022" s="2">
        <v>6953</v>
      </c>
    </row>
    <row r="2023" spans="1:5" x14ac:dyDescent="0.3">
      <c r="A2023" t="s">
        <v>31</v>
      </c>
      <c r="B2023" t="s">
        <v>9</v>
      </c>
      <c r="C2023" t="s">
        <v>17</v>
      </c>
      <c r="D2023" s="3">
        <v>45460</v>
      </c>
      <c r="E2023" s="2">
        <v>10540</v>
      </c>
    </row>
    <row r="2024" spans="1:5" x14ac:dyDescent="0.3">
      <c r="A2024" t="s">
        <v>22</v>
      </c>
      <c r="B2024" t="s">
        <v>21</v>
      </c>
      <c r="C2024" t="s">
        <v>14</v>
      </c>
      <c r="D2024" s="3">
        <v>45461</v>
      </c>
      <c r="E2024" s="2">
        <v>2621</v>
      </c>
    </row>
    <row r="2025" spans="1:5" x14ac:dyDescent="0.3">
      <c r="A2025" t="s">
        <v>29</v>
      </c>
      <c r="B2025" t="s">
        <v>9</v>
      </c>
      <c r="C2025" t="s">
        <v>19</v>
      </c>
      <c r="D2025" s="3">
        <v>45461</v>
      </c>
      <c r="E2025" s="2">
        <v>3080</v>
      </c>
    </row>
    <row r="2026" spans="1:5" x14ac:dyDescent="0.3">
      <c r="A2026" t="s">
        <v>31</v>
      </c>
      <c r="B2026" t="s">
        <v>9</v>
      </c>
      <c r="C2026" t="s">
        <v>25</v>
      </c>
      <c r="D2026" s="3">
        <v>45461</v>
      </c>
      <c r="E2026" s="2">
        <v>4534</v>
      </c>
    </row>
    <row r="2027" spans="1:5" x14ac:dyDescent="0.3">
      <c r="A2027" t="s">
        <v>22</v>
      </c>
      <c r="B2027" t="s">
        <v>6</v>
      </c>
      <c r="C2027" t="s">
        <v>7</v>
      </c>
      <c r="D2027" s="3">
        <v>45461</v>
      </c>
      <c r="E2027" s="2">
        <v>12582</v>
      </c>
    </row>
    <row r="2028" spans="1:5" x14ac:dyDescent="0.3">
      <c r="A2028" t="s">
        <v>18</v>
      </c>
      <c r="B2028" t="s">
        <v>11</v>
      </c>
      <c r="C2028" t="s">
        <v>28</v>
      </c>
      <c r="D2028" s="3">
        <v>45461</v>
      </c>
      <c r="E2028" s="2">
        <v>1955</v>
      </c>
    </row>
    <row r="2029" spans="1:5" x14ac:dyDescent="0.3">
      <c r="A2029" t="s">
        <v>24</v>
      </c>
      <c r="B2029" t="s">
        <v>21</v>
      </c>
      <c r="C2029" t="s">
        <v>28</v>
      </c>
      <c r="D2029" s="3">
        <v>45461</v>
      </c>
      <c r="E2029" s="2">
        <v>6944</v>
      </c>
    </row>
    <row r="2030" spans="1:5" x14ac:dyDescent="0.3">
      <c r="A2030" t="s">
        <v>29</v>
      </c>
      <c r="B2030" t="s">
        <v>16</v>
      </c>
      <c r="C2030" t="s">
        <v>12</v>
      </c>
      <c r="D2030" s="3">
        <v>45461</v>
      </c>
      <c r="E2030" s="2">
        <v>13974</v>
      </c>
    </row>
    <row r="2031" spans="1:5" x14ac:dyDescent="0.3">
      <c r="A2031" t="s">
        <v>31</v>
      </c>
      <c r="B2031" t="s">
        <v>9</v>
      </c>
      <c r="C2031" t="s">
        <v>19</v>
      </c>
      <c r="D2031" s="3">
        <v>45462</v>
      </c>
      <c r="E2031" s="2">
        <v>10840</v>
      </c>
    </row>
    <row r="2032" spans="1:5" x14ac:dyDescent="0.3">
      <c r="A2032" t="s">
        <v>22</v>
      </c>
      <c r="B2032" t="s">
        <v>21</v>
      </c>
      <c r="C2032" t="s">
        <v>23</v>
      </c>
      <c r="D2032" s="3">
        <v>45462</v>
      </c>
      <c r="E2032" s="2">
        <v>5527</v>
      </c>
    </row>
    <row r="2033" spans="1:5" x14ac:dyDescent="0.3">
      <c r="A2033" t="s">
        <v>8</v>
      </c>
      <c r="B2033" t="s">
        <v>16</v>
      </c>
      <c r="C2033" t="s">
        <v>28</v>
      </c>
      <c r="D2033" s="3">
        <v>45462</v>
      </c>
      <c r="E2033" s="2">
        <v>1247</v>
      </c>
    </row>
    <row r="2034" spans="1:5" x14ac:dyDescent="0.3">
      <c r="A2034" t="s">
        <v>20</v>
      </c>
      <c r="B2034" t="s">
        <v>9</v>
      </c>
      <c r="C2034" t="s">
        <v>28</v>
      </c>
      <c r="D2034" s="3">
        <v>45462</v>
      </c>
      <c r="E2034" s="2">
        <v>10374</v>
      </c>
    </row>
    <row r="2035" spans="1:5" x14ac:dyDescent="0.3">
      <c r="A2035" t="s">
        <v>20</v>
      </c>
      <c r="B2035" t="s">
        <v>13</v>
      </c>
      <c r="C2035" t="s">
        <v>28</v>
      </c>
      <c r="D2035" s="3">
        <v>45462</v>
      </c>
      <c r="E2035" s="2">
        <v>11212</v>
      </c>
    </row>
    <row r="2036" spans="1:5" x14ac:dyDescent="0.3">
      <c r="A2036" t="s">
        <v>32</v>
      </c>
      <c r="B2036" t="s">
        <v>6</v>
      </c>
      <c r="C2036" t="s">
        <v>17</v>
      </c>
      <c r="D2036" s="3">
        <v>45462</v>
      </c>
      <c r="E2036" s="2">
        <v>7463</v>
      </c>
    </row>
    <row r="2037" spans="1:5" x14ac:dyDescent="0.3">
      <c r="A2037" t="s">
        <v>31</v>
      </c>
      <c r="B2037" t="s">
        <v>13</v>
      </c>
      <c r="C2037" t="s">
        <v>12</v>
      </c>
      <c r="D2037" s="3">
        <v>45462</v>
      </c>
      <c r="E2037" s="2">
        <v>5733</v>
      </c>
    </row>
    <row r="2038" spans="1:5" x14ac:dyDescent="0.3">
      <c r="A2038" t="s">
        <v>29</v>
      </c>
      <c r="B2038" t="s">
        <v>13</v>
      </c>
      <c r="C2038" t="s">
        <v>23</v>
      </c>
      <c r="D2038" s="3">
        <v>45463</v>
      </c>
      <c r="E2038" s="2">
        <v>9001</v>
      </c>
    </row>
    <row r="2039" spans="1:5" x14ac:dyDescent="0.3">
      <c r="A2039" t="s">
        <v>18</v>
      </c>
      <c r="B2039" t="s">
        <v>21</v>
      </c>
      <c r="C2039" t="s">
        <v>25</v>
      </c>
      <c r="D2039" s="3">
        <v>45463</v>
      </c>
      <c r="E2039" s="2">
        <v>10371</v>
      </c>
    </row>
    <row r="2040" spans="1:5" x14ac:dyDescent="0.3">
      <c r="A2040" t="s">
        <v>18</v>
      </c>
      <c r="B2040" t="s">
        <v>21</v>
      </c>
      <c r="C2040" t="s">
        <v>19</v>
      </c>
      <c r="D2040" s="3">
        <v>45464</v>
      </c>
      <c r="E2040" s="2">
        <v>1690</v>
      </c>
    </row>
    <row r="2041" spans="1:5" x14ac:dyDescent="0.3">
      <c r="A2041" t="s">
        <v>18</v>
      </c>
      <c r="B2041" t="s">
        <v>13</v>
      </c>
      <c r="C2041" t="s">
        <v>25</v>
      </c>
      <c r="D2041" s="3">
        <v>45464</v>
      </c>
      <c r="E2041" s="2">
        <v>10374</v>
      </c>
    </row>
    <row r="2042" spans="1:5" x14ac:dyDescent="0.3">
      <c r="A2042" t="s">
        <v>31</v>
      </c>
      <c r="B2042" t="s">
        <v>21</v>
      </c>
      <c r="C2042" t="s">
        <v>17</v>
      </c>
      <c r="D2042" s="3">
        <v>45464</v>
      </c>
      <c r="E2042" s="2">
        <v>12204</v>
      </c>
    </row>
    <row r="2043" spans="1:5" x14ac:dyDescent="0.3">
      <c r="A2043" t="s">
        <v>26</v>
      </c>
      <c r="B2043" t="s">
        <v>21</v>
      </c>
      <c r="C2043" t="s">
        <v>23</v>
      </c>
      <c r="D2043" s="3">
        <v>45465</v>
      </c>
      <c r="E2043" s="2">
        <v>6877</v>
      </c>
    </row>
    <row r="2044" spans="1:5" x14ac:dyDescent="0.3">
      <c r="A2044" t="s">
        <v>31</v>
      </c>
      <c r="B2044" t="s">
        <v>13</v>
      </c>
      <c r="C2044" t="s">
        <v>28</v>
      </c>
      <c r="D2044" s="3">
        <v>45465</v>
      </c>
      <c r="E2044" s="2">
        <v>12436</v>
      </c>
    </row>
    <row r="2045" spans="1:5" x14ac:dyDescent="0.3">
      <c r="A2045" t="s">
        <v>20</v>
      </c>
      <c r="B2045" t="s">
        <v>21</v>
      </c>
      <c r="C2045" t="s">
        <v>17</v>
      </c>
      <c r="D2045" s="3">
        <v>45465</v>
      </c>
      <c r="E2045" s="2">
        <v>8395</v>
      </c>
    </row>
    <row r="2046" spans="1:5" x14ac:dyDescent="0.3">
      <c r="A2046" t="s">
        <v>33</v>
      </c>
      <c r="B2046" t="s">
        <v>13</v>
      </c>
      <c r="C2046" t="s">
        <v>12</v>
      </c>
      <c r="D2046" s="3">
        <v>45465</v>
      </c>
      <c r="E2046" s="2">
        <v>1656</v>
      </c>
    </row>
    <row r="2047" spans="1:5" x14ac:dyDescent="0.3">
      <c r="A2047" t="s">
        <v>31</v>
      </c>
      <c r="B2047" t="s">
        <v>16</v>
      </c>
      <c r="C2047" t="s">
        <v>14</v>
      </c>
      <c r="D2047" s="3">
        <v>45466</v>
      </c>
      <c r="E2047" s="2">
        <v>7724</v>
      </c>
    </row>
    <row r="2048" spans="1:5" x14ac:dyDescent="0.3">
      <c r="A2048" t="s">
        <v>32</v>
      </c>
      <c r="B2048" t="s">
        <v>6</v>
      </c>
      <c r="C2048" t="s">
        <v>19</v>
      </c>
      <c r="D2048" s="3">
        <v>45466</v>
      </c>
      <c r="E2048" s="2">
        <v>8777</v>
      </c>
    </row>
    <row r="2049" spans="1:5" x14ac:dyDescent="0.3">
      <c r="A2049" t="s">
        <v>27</v>
      </c>
      <c r="B2049" t="s">
        <v>9</v>
      </c>
      <c r="C2049" t="s">
        <v>17</v>
      </c>
      <c r="D2049" s="3">
        <v>45466</v>
      </c>
      <c r="E2049" s="2">
        <v>10554</v>
      </c>
    </row>
    <row r="2050" spans="1:5" x14ac:dyDescent="0.3">
      <c r="A2050" t="s">
        <v>29</v>
      </c>
      <c r="B2050" t="s">
        <v>6</v>
      </c>
      <c r="C2050" t="s">
        <v>23</v>
      </c>
      <c r="D2050" s="3">
        <v>45467</v>
      </c>
      <c r="E2050" s="2">
        <v>10279</v>
      </c>
    </row>
    <row r="2051" spans="1:5" x14ac:dyDescent="0.3">
      <c r="A2051" t="s">
        <v>33</v>
      </c>
      <c r="B2051" t="s">
        <v>21</v>
      </c>
      <c r="C2051" t="s">
        <v>25</v>
      </c>
      <c r="D2051" s="3">
        <v>45467</v>
      </c>
      <c r="E2051" s="2">
        <v>2140</v>
      </c>
    </row>
    <row r="2052" spans="1:5" x14ac:dyDescent="0.3">
      <c r="A2052" t="s">
        <v>15</v>
      </c>
      <c r="B2052" t="s">
        <v>11</v>
      </c>
      <c r="C2052" t="s">
        <v>7</v>
      </c>
      <c r="D2052" s="3">
        <v>45467</v>
      </c>
      <c r="E2052" s="2">
        <v>13912</v>
      </c>
    </row>
    <row r="2053" spans="1:5" x14ac:dyDescent="0.3">
      <c r="A2053" t="s">
        <v>22</v>
      </c>
      <c r="B2053" t="s">
        <v>9</v>
      </c>
      <c r="C2053" t="s">
        <v>12</v>
      </c>
      <c r="D2053" s="3">
        <v>45467</v>
      </c>
      <c r="E2053" s="2">
        <v>12360</v>
      </c>
    </row>
    <row r="2054" spans="1:5" x14ac:dyDescent="0.3">
      <c r="A2054" t="s">
        <v>30</v>
      </c>
      <c r="B2054" t="s">
        <v>13</v>
      </c>
      <c r="C2054" t="s">
        <v>12</v>
      </c>
      <c r="D2054" s="3">
        <v>45468</v>
      </c>
      <c r="E2054" s="2">
        <v>4676</v>
      </c>
    </row>
    <row r="2055" spans="1:5" x14ac:dyDescent="0.3">
      <c r="A2055" t="s">
        <v>27</v>
      </c>
      <c r="B2055" t="s">
        <v>6</v>
      </c>
      <c r="C2055" t="s">
        <v>14</v>
      </c>
      <c r="D2055" s="3">
        <v>45469</v>
      </c>
      <c r="E2055" s="2">
        <v>6603</v>
      </c>
    </row>
    <row r="2056" spans="1:5" x14ac:dyDescent="0.3">
      <c r="A2056" t="s">
        <v>18</v>
      </c>
      <c r="B2056" t="s">
        <v>21</v>
      </c>
      <c r="C2056" t="s">
        <v>19</v>
      </c>
      <c r="D2056" s="3">
        <v>45469</v>
      </c>
      <c r="E2056" s="2">
        <v>11519</v>
      </c>
    </row>
    <row r="2057" spans="1:5" x14ac:dyDescent="0.3">
      <c r="A2057" t="s">
        <v>22</v>
      </c>
      <c r="B2057" t="s">
        <v>9</v>
      </c>
      <c r="C2057" t="s">
        <v>25</v>
      </c>
      <c r="D2057" s="3">
        <v>45469</v>
      </c>
      <c r="E2057" s="2">
        <v>13236</v>
      </c>
    </row>
    <row r="2058" spans="1:5" x14ac:dyDescent="0.3">
      <c r="A2058" t="s">
        <v>30</v>
      </c>
      <c r="B2058" t="s">
        <v>21</v>
      </c>
      <c r="C2058" t="s">
        <v>17</v>
      </c>
      <c r="D2058" s="3">
        <v>45469</v>
      </c>
      <c r="E2058" s="2">
        <v>9587</v>
      </c>
    </row>
    <row r="2059" spans="1:5" x14ac:dyDescent="0.3">
      <c r="A2059" t="s">
        <v>20</v>
      </c>
      <c r="B2059" t="s">
        <v>9</v>
      </c>
      <c r="C2059" t="s">
        <v>14</v>
      </c>
      <c r="D2059" s="3">
        <v>45470</v>
      </c>
      <c r="E2059" s="2">
        <v>10767</v>
      </c>
    </row>
    <row r="2060" spans="1:5" x14ac:dyDescent="0.3">
      <c r="A2060" t="s">
        <v>29</v>
      </c>
      <c r="B2060" t="s">
        <v>9</v>
      </c>
      <c r="C2060" t="s">
        <v>19</v>
      </c>
      <c r="D2060" s="3">
        <v>45470</v>
      </c>
      <c r="E2060" s="2">
        <v>3582</v>
      </c>
    </row>
    <row r="2061" spans="1:5" x14ac:dyDescent="0.3">
      <c r="A2061" t="s">
        <v>22</v>
      </c>
      <c r="B2061" t="s">
        <v>21</v>
      </c>
      <c r="C2061" t="s">
        <v>7</v>
      </c>
      <c r="D2061" s="3">
        <v>45470</v>
      </c>
      <c r="E2061" s="2">
        <v>5485</v>
      </c>
    </row>
    <row r="2062" spans="1:5" x14ac:dyDescent="0.3">
      <c r="A2062" t="s">
        <v>29</v>
      </c>
      <c r="B2062" t="s">
        <v>9</v>
      </c>
      <c r="C2062" t="s">
        <v>28</v>
      </c>
      <c r="D2062" s="3">
        <v>45470</v>
      </c>
      <c r="E2062" s="2">
        <v>12903</v>
      </c>
    </row>
    <row r="2063" spans="1:5" x14ac:dyDescent="0.3">
      <c r="A2063" t="s">
        <v>15</v>
      </c>
      <c r="B2063" t="s">
        <v>6</v>
      </c>
      <c r="C2063" t="s">
        <v>28</v>
      </c>
      <c r="D2063" s="3">
        <v>45470</v>
      </c>
      <c r="E2063" s="2">
        <v>5116</v>
      </c>
    </row>
    <row r="2064" spans="1:5" x14ac:dyDescent="0.3">
      <c r="A2064" t="s">
        <v>10</v>
      </c>
      <c r="B2064" t="s">
        <v>6</v>
      </c>
      <c r="C2064" t="s">
        <v>12</v>
      </c>
      <c r="D2064" s="3">
        <v>45470</v>
      </c>
      <c r="E2064" s="2">
        <v>3079</v>
      </c>
    </row>
    <row r="2065" spans="1:5" x14ac:dyDescent="0.3">
      <c r="A2065" t="s">
        <v>22</v>
      </c>
      <c r="B2065" t="s">
        <v>16</v>
      </c>
      <c r="C2065" t="s">
        <v>14</v>
      </c>
      <c r="D2065" s="3">
        <v>45471</v>
      </c>
      <c r="E2065" s="2">
        <v>2218</v>
      </c>
    </row>
    <row r="2066" spans="1:5" x14ac:dyDescent="0.3">
      <c r="A2066" t="s">
        <v>18</v>
      </c>
      <c r="B2066" t="s">
        <v>16</v>
      </c>
      <c r="C2066" t="s">
        <v>23</v>
      </c>
      <c r="D2066" s="3">
        <v>45471</v>
      </c>
      <c r="E2066" s="2">
        <v>6608</v>
      </c>
    </row>
    <row r="2067" spans="1:5" x14ac:dyDescent="0.3">
      <c r="A2067" t="s">
        <v>32</v>
      </c>
      <c r="B2067" t="s">
        <v>11</v>
      </c>
      <c r="C2067" t="s">
        <v>23</v>
      </c>
      <c r="D2067" s="3">
        <v>45471</v>
      </c>
      <c r="E2067" s="2">
        <v>11365</v>
      </c>
    </row>
    <row r="2068" spans="1:5" x14ac:dyDescent="0.3">
      <c r="A2068" t="s">
        <v>31</v>
      </c>
      <c r="B2068" t="s">
        <v>13</v>
      </c>
      <c r="C2068" t="s">
        <v>7</v>
      </c>
      <c r="D2068" s="3">
        <v>45471</v>
      </c>
      <c r="E2068" s="2">
        <v>8604</v>
      </c>
    </row>
    <row r="2069" spans="1:5" x14ac:dyDescent="0.3">
      <c r="A2069" t="s">
        <v>26</v>
      </c>
      <c r="B2069" t="s">
        <v>6</v>
      </c>
      <c r="C2069" t="s">
        <v>28</v>
      </c>
      <c r="D2069" s="3">
        <v>45471</v>
      </c>
      <c r="E2069" s="2">
        <v>8969</v>
      </c>
    </row>
    <row r="2070" spans="1:5" x14ac:dyDescent="0.3">
      <c r="A2070" t="s">
        <v>15</v>
      </c>
      <c r="B2070" t="s">
        <v>6</v>
      </c>
      <c r="C2070" t="s">
        <v>28</v>
      </c>
      <c r="D2070" s="3">
        <v>45471</v>
      </c>
      <c r="E2070" s="2">
        <v>12725</v>
      </c>
    </row>
    <row r="2071" spans="1:5" x14ac:dyDescent="0.3">
      <c r="A2071" t="s">
        <v>32</v>
      </c>
      <c r="B2071" t="s">
        <v>21</v>
      </c>
      <c r="C2071" t="s">
        <v>17</v>
      </c>
      <c r="D2071" s="3">
        <v>45471</v>
      </c>
      <c r="E2071" s="2">
        <v>5702</v>
      </c>
    </row>
    <row r="2072" spans="1:5" x14ac:dyDescent="0.3">
      <c r="A2072" t="s">
        <v>29</v>
      </c>
      <c r="B2072" t="s">
        <v>11</v>
      </c>
      <c r="C2072" t="s">
        <v>12</v>
      </c>
      <c r="D2072" s="3">
        <v>45471</v>
      </c>
      <c r="E2072" s="2">
        <v>1064</v>
      </c>
    </row>
    <row r="2073" spans="1:5" x14ac:dyDescent="0.3">
      <c r="A2073" t="s">
        <v>31</v>
      </c>
      <c r="B2073" t="s">
        <v>9</v>
      </c>
      <c r="C2073" t="s">
        <v>14</v>
      </c>
      <c r="D2073" s="3">
        <v>45472</v>
      </c>
      <c r="E2073" s="2">
        <v>3644</v>
      </c>
    </row>
    <row r="2074" spans="1:5" x14ac:dyDescent="0.3">
      <c r="A2074" t="s">
        <v>26</v>
      </c>
      <c r="B2074" t="s">
        <v>6</v>
      </c>
      <c r="C2074" t="s">
        <v>7</v>
      </c>
      <c r="D2074" s="3">
        <v>45472</v>
      </c>
      <c r="E2074" s="2">
        <v>7790</v>
      </c>
    </row>
    <row r="2075" spans="1:5" x14ac:dyDescent="0.3">
      <c r="A2075" t="s">
        <v>31</v>
      </c>
      <c r="B2075" t="s">
        <v>9</v>
      </c>
      <c r="C2075" t="s">
        <v>7</v>
      </c>
      <c r="D2075" s="3">
        <v>45472</v>
      </c>
      <c r="E2075" s="2">
        <v>13693</v>
      </c>
    </row>
    <row r="2076" spans="1:5" x14ac:dyDescent="0.3">
      <c r="A2076" t="s">
        <v>32</v>
      </c>
      <c r="B2076" t="s">
        <v>16</v>
      </c>
      <c r="C2076" t="s">
        <v>14</v>
      </c>
      <c r="D2076" s="3">
        <v>45473</v>
      </c>
      <c r="E2076" s="2">
        <v>9740</v>
      </c>
    </row>
    <row r="2077" spans="1:5" x14ac:dyDescent="0.3">
      <c r="A2077" t="s">
        <v>8</v>
      </c>
      <c r="B2077" t="s">
        <v>11</v>
      </c>
      <c r="C2077" t="s">
        <v>19</v>
      </c>
      <c r="D2077" s="3">
        <v>45473</v>
      </c>
      <c r="E2077" s="2">
        <v>9350</v>
      </c>
    </row>
    <row r="2078" spans="1:5" x14ac:dyDescent="0.3">
      <c r="A2078" t="s">
        <v>24</v>
      </c>
      <c r="B2078" t="s">
        <v>13</v>
      </c>
      <c r="C2078" t="s">
        <v>25</v>
      </c>
      <c r="D2078" s="3">
        <v>45473</v>
      </c>
      <c r="E2078" s="2">
        <v>4132</v>
      </c>
    </row>
    <row r="2079" spans="1:5" x14ac:dyDescent="0.3">
      <c r="A2079" t="s">
        <v>8</v>
      </c>
      <c r="B2079" t="s">
        <v>16</v>
      </c>
      <c r="C2079" t="s">
        <v>17</v>
      </c>
      <c r="D2079" s="3">
        <v>45473</v>
      </c>
      <c r="E2079" s="2">
        <v>9591</v>
      </c>
    </row>
    <row r="2080" spans="1:5" x14ac:dyDescent="0.3">
      <c r="A2080" t="s">
        <v>31</v>
      </c>
      <c r="B2080" t="s">
        <v>21</v>
      </c>
      <c r="C2080" t="s">
        <v>17</v>
      </c>
      <c r="D2080" s="3">
        <v>45473</v>
      </c>
      <c r="E2080" s="2">
        <v>7821</v>
      </c>
    </row>
    <row r="2081" spans="1:5" x14ac:dyDescent="0.3">
      <c r="A2081" t="s">
        <v>8</v>
      </c>
      <c r="B2081" t="s">
        <v>6</v>
      </c>
      <c r="C2081" t="s">
        <v>12</v>
      </c>
      <c r="D2081" s="3">
        <v>45473</v>
      </c>
      <c r="E2081" s="2">
        <v>9698</v>
      </c>
    </row>
    <row r="2082" spans="1:5" x14ac:dyDescent="0.3">
      <c r="A2082" t="s">
        <v>8</v>
      </c>
      <c r="B2082" t="s">
        <v>16</v>
      </c>
      <c r="C2082" t="s">
        <v>14</v>
      </c>
      <c r="D2082" s="3">
        <v>45474</v>
      </c>
      <c r="E2082" s="2">
        <v>11823</v>
      </c>
    </row>
    <row r="2083" spans="1:5" x14ac:dyDescent="0.3">
      <c r="A2083" t="s">
        <v>5</v>
      </c>
      <c r="B2083" t="s">
        <v>6</v>
      </c>
      <c r="C2083" t="s">
        <v>14</v>
      </c>
      <c r="D2083" s="3">
        <v>45474</v>
      </c>
      <c r="E2083" s="2">
        <v>10289</v>
      </c>
    </row>
    <row r="2084" spans="1:5" x14ac:dyDescent="0.3">
      <c r="A2084" t="s">
        <v>5</v>
      </c>
      <c r="B2084" t="s">
        <v>9</v>
      </c>
      <c r="C2084" t="s">
        <v>19</v>
      </c>
      <c r="D2084" s="3">
        <v>45474</v>
      </c>
      <c r="E2084" s="2">
        <v>4337</v>
      </c>
    </row>
    <row r="2085" spans="1:5" x14ac:dyDescent="0.3">
      <c r="A2085" t="s">
        <v>15</v>
      </c>
      <c r="B2085" t="s">
        <v>16</v>
      </c>
      <c r="C2085" t="s">
        <v>7</v>
      </c>
      <c r="D2085" s="3">
        <v>45474</v>
      </c>
      <c r="E2085" s="2">
        <v>2011</v>
      </c>
    </row>
    <row r="2086" spans="1:5" x14ac:dyDescent="0.3">
      <c r="A2086" t="s">
        <v>26</v>
      </c>
      <c r="B2086" t="s">
        <v>21</v>
      </c>
      <c r="C2086" t="s">
        <v>7</v>
      </c>
      <c r="D2086" s="3">
        <v>45474</v>
      </c>
      <c r="E2086" s="2">
        <v>5405</v>
      </c>
    </row>
    <row r="2087" spans="1:5" x14ac:dyDescent="0.3">
      <c r="A2087" t="s">
        <v>27</v>
      </c>
      <c r="B2087" t="s">
        <v>21</v>
      </c>
      <c r="C2087" t="s">
        <v>7</v>
      </c>
      <c r="D2087" s="3">
        <v>45474</v>
      </c>
      <c r="E2087" s="2">
        <v>10727</v>
      </c>
    </row>
    <row r="2088" spans="1:5" x14ac:dyDescent="0.3">
      <c r="A2088" t="s">
        <v>31</v>
      </c>
      <c r="B2088" t="s">
        <v>13</v>
      </c>
      <c r="C2088" t="s">
        <v>28</v>
      </c>
      <c r="D2088" s="3">
        <v>45474</v>
      </c>
      <c r="E2088" s="2">
        <v>1469</v>
      </c>
    </row>
    <row r="2089" spans="1:5" x14ac:dyDescent="0.3">
      <c r="A2089" t="s">
        <v>20</v>
      </c>
      <c r="B2089" t="s">
        <v>16</v>
      </c>
      <c r="C2089" t="s">
        <v>17</v>
      </c>
      <c r="D2089" s="3">
        <v>45474</v>
      </c>
      <c r="E2089" s="2">
        <v>11444</v>
      </c>
    </row>
    <row r="2090" spans="1:5" x14ac:dyDescent="0.3">
      <c r="A2090" t="s">
        <v>31</v>
      </c>
      <c r="B2090" t="s">
        <v>21</v>
      </c>
      <c r="C2090" t="s">
        <v>17</v>
      </c>
      <c r="D2090" s="3">
        <v>45474</v>
      </c>
      <c r="E2090" s="2">
        <v>3101</v>
      </c>
    </row>
    <row r="2091" spans="1:5" x14ac:dyDescent="0.3">
      <c r="A2091" t="s">
        <v>18</v>
      </c>
      <c r="B2091" t="s">
        <v>13</v>
      </c>
      <c r="C2091" t="s">
        <v>12</v>
      </c>
      <c r="D2091" s="3">
        <v>45474</v>
      </c>
      <c r="E2091" s="2">
        <v>1771</v>
      </c>
    </row>
    <row r="2092" spans="1:5" x14ac:dyDescent="0.3">
      <c r="A2092" t="s">
        <v>20</v>
      </c>
      <c r="B2092" t="s">
        <v>6</v>
      </c>
      <c r="C2092" t="s">
        <v>19</v>
      </c>
      <c r="D2092" s="3">
        <v>45475</v>
      </c>
      <c r="E2092" s="2">
        <v>7437</v>
      </c>
    </row>
    <row r="2093" spans="1:5" x14ac:dyDescent="0.3">
      <c r="A2093" t="s">
        <v>18</v>
      </c>
      <c r="B2093" t="s">
        <v>11</v>
      </c>
      <c r="C2093" t="s">
        <v>17</v>
      </c>
      <c r="D2093" s="3">
        <v>45475</v>
      </c>
      <c r="E2093" s="2">
        <v>10196</v>
      </c>
    </row>
    <row r="2094" spans="1:5" x14ac:dyDescent="0.3">
      <c r="A2094" t="s">
        <v>26</v>
      </c>
      <c r="B2094" t="s">
        <v>21</v>
      </c>
      <c r="C2094" t="s">
        <v>17</v>
      </c>
      <c r="D2094" s="3">
        <v>45475</v>
      </c>
      <c r="E2094" s="2">
        <v>3516</v>
      </c>
    </row>
    <row r="2095" spans="1:5" x14ac:dyDescent="0.3">
      <c r="A2095" t="s">
        <v>18</v>
      </c>
      <c r="B2095" t="s">
        <v>21</v>
      </c>
      <c r="C2095" t="s">
        <v>12</v>
      </c>
      <c r="D2095" s="3">
        <v>45475</v>
      </c>
      <c r="E2095" s="2">
        <v>12615</v>
      </c>
    </row>
    <row r="2096" spans="1:5" x14ac:dyDescent="0.3">
      <c r="A2096" t="s">
        <v>33</v>
      </c>
      <c r="B2096" t="s">
        <v>21</v>
      </c>
      <c r="C2096" t="s">
        <v>19</v>
      </c>
      <c r="D2096" s="3">
        <v>45476</v>
      </c>
      <c r="E2096" s="2">
        <v>12750</v>
      </c>
    </row>
    <row r="2097" spans="1:5" x14ac:dyDescent="0.3">
      <c r="A2097" t="s">
        <v>5</v>
      </c>
      <c r="B2097" t="s">
        <v>11</v>
      </c>
      <c r="C2097" t="s">
        <v>7</v>
      </c>
      <c r="D2097" s="3">
        <v>45476</v>
      </c>
      <c r="E2097" s="2">
        <v>2238</v>
      </c>
    </row>
    <row r="2098" spans="1:5" x14ac:dyDescent="0.3">
      <c r="A2098" t="s">
        <v>18</v>
      </c>
      <c r="B2098" t="s">
        <v>21</v>
      </c>
      <c r="C2098" t="s">
        <v>7</v>
      </c>
      <c r="D2098" s="3">
        <v>45477</v>
      </c>
      <c r="E2098" s="2">
        <v>1657</v>
      </c>
    </row>
    <row r="2099" spans="1:5" x14ac:dyDescent="0.3">
      <c r="A2099" t="s">
        <v>33</v>
      </c>
      <c r="B2099" t="s">
        <v>21</v>
      </c>
      <c r="C2099" t="s">
        <v>12</v>
      </c>
      <c r="D2099" s="3">
        <v>45477</v>
      </c>
      <c r="E2099" s="2">
        <v>9886</v>
      </c>
    </row>
    <row r="2100" spans="1:5" x14ac:dyDescent="0.3">
      <c r="A2100" t="s">
        <v>32</v>
      </c>
      <c r="B2100" t="s">
        <v>13</v>
      </c>
      <c r="C2100" t="s">
        <v>7</v>
      </c>
      <c r="D2100" s="3">
        <v>45478</v>
      </c>
      <c r="E2100" s="2">
        <v>1384</v>
      </c>
    </row>
    <row r="2101" spans="1:5" x14ac:dyDescent="0.3">
      <c r="A2101" t="s">
        <v>29</v>
      </c>
      <c r="B2101" t="s">
        <v>13</v>
      </c>
      <c r="C2101" t="s">
        <v>19</v>
      </c>
      <c r="D2101" s="3">
        <v>45479</v>
      </c>
      <c r="E2101" s="2">
        <v>4222</v>
      </c>
    </row>
    <row r="2102" spans="1:5" x14ac:dyDescent="0.3">
      <c r="A2102" t="s">
        <v>33</v>
      </c>
      <c r="B2102" t="s">
        <v>6</v>
      </c>
      <c r="C2102" t="s">
        <v>14</v>
      </c>
      <c r="D2102" s="3">
        <v>45480</v>
      </c>
      <c r="E2102" s="2">
        <v>13377</v>
      </c>
    </row>
    <row r="2103" spans="1:5" x14ac:dyDescent="0.3">
      <c r="A2103" t="s">
        <v>32</v>
      </c>
      <c r="B2103" t="s">
        <v>9</v>
      </c>
      <c r="C2103" t="s">
        <v>14</v>
      </c>
      <c r="D2103" s="3">
        <v>45480</v>
      </c>
      <c r="E2103" s="2">
        <v>5627</v>
      </c>
    </row>
    <row r="2104" spans="1:5" x14ac:dyDescent="0.3">
      <c r="A2104" t="s">
        <v>18</v>
      </c>
      <c r="B2104" t="s">
        <v>11</v>
      </c>
      <c r="C2104" t="s">
        <v>23</v>
      </c>
      <c r="D2104" s="3">
        <v>45480</v>
      </c>
      <c r="E2104" s="2">
        <v>7566</v>
      </c>
    </row>
    <row r="2105" spans="1:5" x14ac:dyDescent="0.3">
      <c r="A2105" t="s">
        <v>24</v>
      </c>
      <c r="B2105" t="s">
        <v>11</v>
      </c>
      <c r="C2105" t="s">
        <v>12</v>
      </c>
      <c r="D2105" s="3">
        <v>45480</v>
      </c>
      <c r="E2105" s="2">
        <v>12382</v>
      </c>
    </row>
    <row r="2106" spans="1:5" x14ac:dyDescent="0.3">
      <c r="A2106" t="s">
        <v>18</v>
      </c>
      <c r="B2106" t="s">
        <v>11</v>
      </c>
      <c r="C2106" t="s">
        <v>19</v>
      </c>
      <c r="D2106" s="3">
        <v>45481</v>
      </c>
      <c r="E2106" s="2">
        <v>8268</v>
      </c>
    </row>
    <row r="2107" spans="1:5" x14ac:dyDescent="0.3">
      <c r="A2107" t="s">
        <v>22</v>
      </c>
      <c r="B2107" t="s">
        <v>16</v>
      </c>
      <c r="C2107" t="s">
        <v>28</v>
      </c>
      <c r="D2107" s="3">
        <v>45481</v>
      </c>
      <c r="E2107" s="2">
        <v>5738</v>
      </c>
    </row>
    <row r="2108" spans="1:5" x14ac:dyDescent="0.3">
      <c r="A2108" t="s">
        <v>20</v>
      </c>
      <c r="B2108" t="s">
        <v>11</v>
      </c>
      <c r="C2108" t="s">
        <v>28</v>
      </c>
      <c r="D2108" s="3">
        <v>45481</v>
      </c>
      <c r="E2108" s="2">
        <v>13377</v>
      </c>
    </row>
    <row r="2109" spans="1:5" x14ac:dyDescent="0.3">
      <c r="A2109" t="s">
        <v>10</v>
      </c>
      <c r="B2109" t="s">
        <v>11</v>
      </c>
      <c r="C2109" t="s">
        <v>12</v>
      </c>
      <c r="D2109" s="3">
        <v>45481</v>
      </c>
      <c r="E2109" s="2">
        <v>4267</v>
      </c>
    </row>
    <row r="2110" spans="1:5" x14ac:dyDescent="0.3">
      <c r="A2110" t="s">
        <v>10</v>
      </c>
      <c r="B2110" t="s">
        <v>21</v>
      </c>
      <c r="C2110" t="s">
        <v>12</v>
      </c>
      <c r="D2110" s="3">
        <v>45481</v>
      </c>
      <c r="E2110" s="2">
        <v>5254</v>
      </c>
    </row>
    <row r="2111" spans="1:5" x14ac:dyDescent="0.3">
      <c r="A2111" t="s">
        <v>27</v>
      </c>
      <c r="B2111" t="s">
        <v>11</v>
      </c>
      <c r="C2111" t="s">
        <v>14</v>
      </c>
      <c r="D2111" s="3">
        <v>45482</v>
      </c>
      <c r="E2111" s="2">
        <v>9051</v>
      </c>
    </row>
    <row r="2112" spans="1:5" x14ac:dyDescent="0.3">
      <c r="A2112" t="s">
        <v>18</v>
      </c>
      <c r="B2112" t="s">
        <v>13</v>
      </c>
      <c r="C2112" t="s">
        <v>14</v>
      </c>
      <c r="D2112" s="3">
        <v>45482</v>
      </c>
      <c r="E2112" s="2">
        <v>12311</v>
      </c>
    </row>
    <row r="2113" spans="1:5" x14ac:dyDescent="0.3">
      <c r="A2113" t="s">
        <v>24</v>
      </c>
      <c r="B2113" t="s">
        <v>9</v>
      </c>
      <c r="C2113" t="s">
        <v>19</v>
      </c>
      <c r="D2113" s="3">
        <v>45482</v>
      </c>
      <c r="E2113" s="2">
        <v>6230</v>
      </c>
    </row>
    <row r="2114" spans="1:5" x14ac:dyDescent="0.3">
      <c r="A2114" t="s">
        <v>29</v>
      </c>
      <c r="B2114" t="s">
        <v>13</v>
      </c>
      <c r="C2114" t="s">
        <v>25</v>
      </c>
      <c r="D2114" s="3">
        <v>45482</v>
      </c>
      <c r="E2114" s="2">
        <v>7264</v>
      </c>
    </row>
    <row r="2115" spans="1:5" x14ac:dyDescent="0.3">
      <c r="A2115" t="s">
        <v>18</v>
      </c>
      <c r="B2115" t="s">
        <v>21</v>
      </c>
      <c r="C2115" t="s">
        <v>25</v>
      </c>
      <c r="D2115" s="3">
        <v>45482</v>
      </c>
      <c r="E2115" s="2">
        <v>10849</v>
      </c>
    </row>
    <row r="2116" spans="1:5" x14ac:dyDescent="0.3">
      <c r="A2116" t="s">
        <v>30</v>
      </c>
      <c r="B2116" t="s">
        <v>9</v>
      </c>
      <c r="C2116" t="s">
        <v>7</v>
      </c>
      <c r="D2116" s="3">
        <v>45482</v>
      </c>
      <c r="E2116" s="2">
        <v>13471</v>
      </c>
    </row>
    <row r="2117" spans="1:5" x14ac:dyDescent="0.3">
      <c r="A2117" t="s">
        <v>8</v>
      </c>
      <c r="B2117" t="s">
        <v>13</v>
      </c>
      <c r="C2117" t="s">
        <v>12</v>
      </c>
      <c r="D2117" s="3">
        <v>45482</v>
      </c>
      <c r="E2117" s="2">
        <v>5089</v>
      </c>
    </row>
    <row r="2118" spans="1:5" x14ac:dyDescent="0.3">
      <c r="A2118" t="s">
        <v>29</v>
      </c>
      <c r="B2118" t="s">
        <v>6</v>
      </c>
      <c r="C2118" t="s">
        <v>7</v>
      </c>
      <c r="D2118" s="3">
        <v>45483</v>
      </c>
      <c r="E2118" s="2">
        <v>4856</v>
      </c>
    </row>
    <row r="2119" spans="1:5" x14ac:dyDescent="0.3">
      <c r="A2119" t="s">
        <v>20</v>
      </c>
      <c r="B2119" t="s">
        <v>16</v>
      </c>
      <c r="C2119" t="s">
        <v>7</v>
      </c>
      <c r="D2119" s="3">
        <v>45483</v>
      </c>
      <c r="E2119" s="2">
        <v>13645</v>
      </c>
    </row>
    <row r="2120" spans="1:5" x14ac:dyDescent="0.3">
      <c r="A2120" t="s">
        <v>26</v>
      </c>
      <c r="B2120" t="s">
        <v>9</v>
      </c>
      <c r="C2120" t="s">
        <v>28</v>
      </c>
      <c r="D2120" s="3">
        <v>45483</v>
      </c>
      <c r="E2120" s="2">
        <v>5454</v>
      </c>
    </row>
    <row r="2121" spans="1:5" x14ac:dyDescent="0.3">
      <c r="A2121" t="s">
        <v>30</v>
      </c>
      <c r="B2121" t="s">
        <v>6</v>
      </c>
      <c r="C2121" t="s">
        <v>17</v>
      </c>
      <c r="D2121" s="3">
        <v>45483</v>
      </c>
      <c r="E2121" s="2">
        <v>3690</v>
      </c>
    </row>
    <row r="2122" spans="1:5" x14ac:dyDescent="0.3">
      <c r="A2122" t="s">
        <v>29</v>
      </c>
      <c r="B2122" t="s">
        <v>21</v>
      </c>
      <c r="C2122" t="s">
        <v>17</v>
      </c>
      <c r="D2122" s="3">
        <v>45483</v>
      </c>
      <c r="E2122" s="2">
        <v>10538</v>
      </c>
    </row>
    <row r="2123" spans="1:5" x14ac:dyDescent="0.3">
      <c r="A2123" t="s">
        <v>8</v>
      </c>
      <c r="B2123" t="s">
        <v>21</v>
      </c>
      <c r="C2123" t="s">
        <v>12</v>
      </c>
      <c r="D2123" s="3">
        <v>45483</v>
      </c>
      <c r="E2123" s="2">
        <v>13394</v>
      </c>
    </row>
    <row r="2124" spans="1:5" x14ac:dyDescent="0.3">
      <c r="A2124" t="s">
        <v>27</v>
      </c>
      <c r="B2124" t="s">
        <v>16</v>
      </c>
      <c r="C2124" t="s">
        <v>19</v>
      </c>
      <c r="D2124" s="3">
        <v>45484</v>
      </c>
      <c r="E2124" s="2">
        <v>7625</v>
      </c>
    </row>
    <row r="2125" spans="1:5" x14ac:dyDescent="0.3">
      <c r="A2125" t="s">
        <v>10</v>
      </c>
      <c r="B2125" t="s">
        <v>9</v>
      </c>
      <c r="C2125" t="s">
        <v>7</v>
      </c>
      <c r="D2125" s="3">
        <v>45484</v>
      </c>
      <c r="E2125" s="2">
        <v>1784</v>
      </c>
    </row>
    <row r="2126" spans="1:5" x14ac:dyDescent="0.3">
      <c r="A2126" t="s">
        <v>20</v>
      </c>
      <c r="B2126" t="s">
        <v>11</v>
      </c>
      <c r="C2126" t="s">
        <v>28</v>
      </c>
      <c r="D2126" s="3">
        <v>45484</v>
      </c>
      <c r="E2126" s="2">
        <v>10518</v>
      </c>
    </row>
    <row r="2127" spans="1:5" x14ac:dyDescent="0.3">
      <c r="A2127" t="s">
        <v>20</v>
      </c>
      <c r="B2127" t="s">
        <v>6</v>
      </c>
      <c r="C2127" t="s">
        <v>19</v>
      </c>
      <c r="D2127" s="3">
        <v>45485</v>
      </c>
      <c r="E2127" s="2">
        <v>3971</v>
      </c>
    </row>
    <row r="2128" spans="1:5" x14ac:dyDescent="0.3">
      <c r="A2128" t="s">
        <v>8</v>
      </c>
      <c r="B2128" t="s">
        <v>16</v>
      </c>
      <c r="C2128" t="s">
        <v>25</v>
      </c>
      <c r="D2128" s="3">
        <v>45485</v>
      </c>
      <c r="E2128" s="2">
        <v>3049</v>
      </c>
    </row>
    <row r="2129" spans="1:5" x14ac:dyDescent="0.3">
      <c r="A2129" t="s">
        <v>10</v>
      </c>
      <c r="B2129" t="s">
        <v>6</v>
      </c>
      <c r="C2129" t="s">
        <v>28</v>
      </c>
      <c r="D2129" s="3">
        <v>45485</v>
      </c>
      <c r="E2129" s="2">
        <v>11592</v>
      </c>
    </row>
    <row r="2130" spans="1:5" x14ac:dyDescent="0.3">
      <c r="A2130" t="s">
        <v>20</v>
      </c>
      <c r="B2130" t="s">
        <v>11</v>
      </c>
      <c r="C2130" t="s">
        <v>12</v>
      </c>
      <c r="D2130" s="3">
        <v>45485</v>
      </c>
      <c r="E2130" s="2">
        <v>1358</v>
      </c>
    </row>
    <row r="2131" spans="1:5" x14ac:dyDescent="0.3">
      <c r="A2131" t="s">
        <v>26</v>
      </c>
      <c r="B2131" t="s">
        <v>11</v>
      </c>
      <c r="C2131" t="s">
        <v>23</v>
      </c>
      <c r="D2131" s="3">
        <v>45486</v>
      </c>
      <c r="E2131" s="2">
        <v>11092</v>
      </c>
    </row>
    <row r="2132" spans="1:5" x14ac:dyDescent="0.3">
      <c r="A2132" t="s">
        <v>26</v>
      </c>
      <c r="B2132" t="s">
        <v>13</v>
      </c>
      <c r="C2132" t="s">
        <v>28</v>
      </c>
      <c r="D2132" s="3">
        <v>45486</v>
      </c>
      <c r="E2132" s="2">
        <v>5178</v>
      </c>
    </row>
    <row r="2133" spans="1:5" x14ac:dyDescent="0.3">
      <c r="A2133" t="s">
        <v>5</v>
      </c>
      <c r="B2133" t="s">
        <v>6</v>
      </c>
      <c r="C2133" t="s">
        <v>23</v>
      </c>
      <c r="D2133" s="3">
        <v>45487</v>
      </c>
      <c r="E2133" s="2">
        <v>8893</v>
      </c>
    </row>
    <row r="2134" spans="1:5" x14ac:dyDescent="0.3">
      <c r="A2134" t="s">
        <v>26</v>
      </c>
      <c r="B2134" t="s">
        <v>11</v>
      </c>
      <c r="C2134" t="s">
        <v>7</v>
      </c>
      <c r="D2134" s="3">
        <v>45487</v>
      </c>
      <c r="E2134" s="2">
        <v>9900</v>
      </c>
    </row>
    <row r="2135" spans="1:5" x14ac:dyDescent="0.3">
      <c r="A2135" t="s">
        <v>30</v>
      </c>
      <c r="B2135" t="s">
        <v>21</v>
      </c>
      <c r="C2135" t="s">
        <v>28</v>
      </c>
      <c r="D2135" s="3">
        <v>45487</v>
      </c>
      <c r="E2135" s="2">
        <v>2537</v>
      </c>
    </row>
    <row r="2136" spans="1:5" x14ac:dyDescent="0.3">
      <c r="A2136" t="s">
        <v>15</v>
      </c>
      <c r="B2136" t="s">
        <v>13</v>
      </c>
      <c r="C2136" t="s">
        <v>17</v>
      </c>
      <c r="D2136" s="3">
        <v>45487</v>
      </c>
      <c r="E2136" s="2">
        <v>7564</v>
      </c>
    </row>
    <row r="2137" spans="1:5" x14ac:dyDescent="0.3">
      <c r="A2137" t="s">
        <v>29</v>
      </c>
      <c r="B2137" t="s">
        <v>9</v>
      </c>
      <c r="C2137" t="s">
        <v>12</v>
      </c>
      <c r="D2137" s="3">
        <v>45487</v>
      </c>
      <c r="E2137" s="2">
        <v>8240</v>
      </c>
    </row>
    <row r="2138" spans="1:5" x14ac:dyDescent="0.3">
      <c r="A2138" t="s">
        <v>29</v>
      </c>
      <c r="B2138" t="s">
        <v>21</v>
      </c>
      <c r="C2138" t="s">
        <v>19</v>
      </c>
      <c r="D2138" s="3">
        <v>45488</v>
      </c>
      <c r="E2138" s="2">
        <v>1490</v>
      </c>
    </row>
    <row r="2139" spans="1:5" x14ac:dyDescent="0.3">
      <c r="A2139" t="s">
        <v>5</v>
      </c>
      <c r="B2139" t="s">
        <v>16</v>
      </c>
      <c r="C2139" t="s">
        <v>23</v>
      </c>
      <c r="D2139" s="3">
        <v>45488</v>
      </c>
      <c r="E2139" s="2">
        <v>4942</v>
      </c>
    </row>
    <row r="2140" spans="1:5" x14ac:dyDescent="0.3">
      <c r="A2140" t="s">
        <v>32</v>
      </c>
      <c r="B2140" t="s">
        <v>11</v>
      </c>
      <c r="C2140" t="s">
        <v>25</v>
      </c>
      <c r="D2140" s="3">
        <v>45488</v>
      </c>
      <c r="E2140" s="2">
        <v>1534</v>
      </c>
    </row>
    <row r="2141" spans="1:5" x14ac:dyDescent="0.3">
      <c r="A2141" t="s">
        <v>8</v>
      </c>
      <c r="B2141" t="s">
        <v>6</v>
      </c>
      <c r="C2141" t="s">
        <v>7</v>
      </c>
      <c r="D2141" s="3">
        <v>45488</v>
      </c>
      <c r="E2141" s="2">
        <v>11712</v>
      </c>
    </row>
    <row r="2142" spans="1:5" x14ac:dyDescent="0.3">
      <c r="A2142" t="s">
        <v>5</v>
      </c>
      <c r="B2142" t="s">
        <v>6</v>
      </c>
      <c r="C2142" t="s">
        <v>7</v>
      </c>
      <c r="D2142" s="3">
        <v>45488</v>
      </c>
      <c r="E2142" s="2">
        <v>8363</v>
      </c>
    </row>
    <row r="2143" spans="1:5" x14ac:dyDescent="0.3">
      <c r="A2143" t="s">
        <v>20</v>
      </c>
      <c r="B2143" t="s">
        <v>11</v>
      </c>
      <c r="C2143" t="s">
        <v>14</v>
      </c>
      <c r="D2143" s="3">
        <v>45489</v>
      </c>
      <c r="E2143" s="2">
        <v>3691</v>
      </c>
    </row>
    <row r="2144" spans="1:5" x14ac:dyDescent="0.3">
      <c r="A2144" t="s">
        <v>32</v>
      </c>
      <c r="B2144" t="s">
        <v>21</v>
      </c>
      <c r="C2144" t="s">
        <v>17</v>
      </c>
      <c r="D2144" s="3">
        <v>45489</v>
      </c>
      <c r="E2144" s="2">
        <v>13738</v>
      </c>
    </row>
    <row r="2145" spans="1:5" x14ac:dyDescent="0.3">
      <c r="A2145" t="s">
        <v>30</v>
      </c>
      <c r="B2145" t="s">
        <v>16</v>
      </c>
      <c r="C2145" t="s">
        <v>14</v>
      </c>
      <c r="D2145" s="3">
        <v>45490</v>
      </c>
      <c r="E2145" s="2">
        <v>3973</v>
      </c>
    </row>
    <row r="2146" spans="1:5" x14ac:dyDescent="0.3">
      <c r="A2146" t="s">
        <v>18</v>
      </c>
      <c r="B2146" t="s">
        <v>6</v>
      </c>
      <c r="C2146" t="s">
        <v>23</v>
      </c>
      <c r="D2146" s="3">
        <v>45491</v>
      </c>
      <c r="E2146" s="2">
        <v>10922</v>
      </c>
    </row>
    <row r="2147" spans="1:5" x14ac:dyDescent="0.3">
      <c r="A2147" t="s">
        <v>8</v>
      </c>
      <c r="B2147" t="s">
        <v>6</v>
      </c>
      <c r="C2147" t="s">
        <v>25</v>
      </c>
      <c r="D2147" s="3">
        <v>45491</v>
      </c>
      <c r="E2147" s="2">
        <v>3551</v>
      </c>
    </row>
    <row r="2148" spans="1:5" x14ac:dyDescent="0.3">
      <c r="A2148" t="s">
        <v>30</v>
      </c>
      <c r="B2148" t="s">
        <v>13</v>
      </c>
      <c r="C2148" t="s">
        <v>28</v>
      </c>
      <c r="D2148" s="3">
        <v>45491</v>
      </c>
      <c r="E2148" s="2">
        <v>13946</v>
      </c>
    </row>
    <row r="2149" spans="1:5" x14ac:dyDescent="0.3">
      <c r="A2149" t="s">
        <v>30</v>
      </c>
      <c r="B2149" t="s">
        <v>21</v>
      </c>
      <c r="C2149" t="s">
        <v>28</v>
      </c>
      <c r="D2149" s="3">
        <v>45491</v>
      </c>
      <c r="E2149" s="2">
        <v>2550</v>
      </c>
    </row>
    <row r="2150" spans="1:5" x14ac:dyDescent="0.3">
      <c r="A2150" t="s">
        <v>15</v>
      </c>
      <c r="B2150" t="s">
        <v>9</v>
      </c>
      <c r="C2150" t="s">
        <v>25</v>
      </c>
      <c r="D2150" s="3">
        <v>45492</v>
      </c>
      <c r="E2150" s="2">
        <v>8572</v>
      </c>
    </row>
    <row r="2151" spans="1:5" x14ac:dyDescent="0.3">
      <c r="A2151" t="s">
        <v>24</v>
      </c>
      <c r="B2151" t="s">
        <v>21</v>
      </c>
      <c r="C2151" t="s">
        <v>12</v>
      </c>
      <c r="D2151" s="3">
        <v>45492</v>
      </c>
      <c r="E2151" s="2">
        <v>6287</v>
      </c>
    </row>
    <row r="2152" spans="1:5" x14ac:dyDescent="0.3">
      <c r="A2152" t="s">
        <v>5</v>
      </c>
      <c r="B2152" t="s">
        <v>16</v>
      </c>
      <c r="C2152" t="s">
        <v>23</v>
      </c>
      <c r="D2152" s="3">
        <v>45493</v>
      </c>
      <c r="E2152" s="2">
        <v>10543</v>
      </c>
    </row>
    <row r="2153" spans="1:5" x14ac:dyDescent="0.3">
      <c r="A2153" t="s">
        <v>33</v>
      </c>
      <c r="B2153" t="s">
        <v>13</v>
      </c>
      <c r="C2153" t="s">
        <v>7</v>
      </c>
      <c r="D2153" s="3">
        <v>45493</v>
      </c>
      <c r="E2153" s="2">
        <v>7740</v>
      </c>
    </row>
    <row r="2154" spans="1:5" x14ac:dyDescent="0.3">
      <c r="A2154" t="s">
        <v>29</v>
      </c>
      <c r="B2154" t="s">
        <v>11</v>
      </c>
      <c r="C2154" t="s">
        <v>14</v>
      </c>
      <c r="D2154" s="3">
        <v>45494</v>
      </c>
      <c r="E2154" s="2">
        <v>1714</v>
      </c>
    </row>
    <row r="2155" spans="1:5" x14ac:dyDescent="0.3">
      <c r="A2155" t="s">
        <v>32</v>
      </c>
      <c r="B2155" t="s">
        <v>16</v>
      </c>
      <c r="C2155" t="s">
        <v>23</v>
      </c>
      <c r="D2155" s="3">
        <v>45494</v>
      </c>
      <c r="E2155" s="2">
        <v>6041</v>
      </c>
    </row>
    <row r="2156" spans="1:5" x14ac:dyDescent="0.3">
      <c r="A2156" t="s">
        <v>27</v>
      </c>
      <c r="B2156" t="s">
        <v>11</v>
      </c>
      <c r="C2156" t="s">
        <v>23</v>
      </c>
      <c r="D2156" s="3">
        <v>45494</v>
      </c>
      <c r="E2156" s="2">
        <v>1838</v>
      </c>
    </row>
    <row r="2157" spans="1:5" x14ac:dyDescent="0.3">
      <c r="A2157" t="s">
        <v>26</v>
      </c>
      <c r="B2157" t="s">
        <v>21</v>
      </c>
      <c r="C2157" t="s">
        <v>25</v>
      </c>
      <c r="D2157" s="3">
        <v>45494</v>
      </c>
      <c r="E2157" s="2">
        <v>9641</v>
      </c>
    </row>
    <row r="2158" spans="1:5" x14ac:dyDescent="0.3">
      <c r="A2158" t="s">
        <v>8</v>
      </c>
      <c r="B2158" t="s">
        <v>6</v>
      </c>
      <c r="C2158" t="s">
        <v>28</v>
      </c>
      <c r="D2158" s="3">
        <v>45494</v>
      </c>
      <c r="E2158" s="2">
        <v>3833</v>
      </c>
    </row>
    <row r="2159" spans="1:5" x14ac:dyDescent="0.3">
      <c r="A2159" t="s">
        <v>32</v>
      </c>
      <c r="B2159" t="s">
        <v>16</v>
      </c>
      <c r="C2159" t="s">
        <v>17</v>
      </c>
      <c r="D2159" s="3">
        <v>45494</v>
      </c>
      <c r="E2159" s="2">
        <v>11764</v>
      </c>
    </row>
    <row r="2160" spans="1:5" x14ac:dyDescent="0.3">
      <c r="A2160" t="s">
        <v>10</v>
      </c>
      <c r="B2160" t="s">
        <v>9</v>
      </c>
      <c r="C2160" t="s">
        <v>12</v>
      </c>
      <c r="D2160" s="3">
        <v>45494</v>
      </c>
      <c r="E2160" s="2">
        <v>11688</v>
      </c>
    </row>
    <row r="2161" spans="1:5" x14ac:dyDescent="0.3">
      <c r="A2161" t="s">
        <v>15</v>
      </c>
      <c r="B2161" t="s">
        <v>16</v>
      </c>
      <c r="C2161" t="s">
        <v>12</v>
      </c>
      <c r="D2161" s="3">
        <v>45496</v>
      </c>
      <c r="E2161" s="2">
        <v>7956</v>
      </c>
    </row>
    <row r="2162" spans="1:5" x14ac:dyDescent="0.3">
      <c r="A2162" t="s">
        <v>5</v>
      </c>
      <c r="B2162" t="s">
        <v>6</v>
      </c>
      <c r="C2162" t="s">
        <v>19</v>
      </c>
      <c r="D2162" s="3">
        <v>45497</v>
      </c>
      <c r="E2162" s="2">
        <v>12712</v>
      </c>
    </row>
    <row r="2163" spans="1:5" x14ac:dyDescent="0.3">
      <c r="A2163" t="s">
        <v>24</v>
      </c>
      <c r="B2163" t="s">
        <v>13</v>
      </c>
      <c r="C2163" t="s">
        <v>25</v>
      </c>
      <c r="D2163" s="3">
        <v>45497</v>
      </c>
      <c r="E2163" s="2">
        <v>1092</v>
      </c>
    </row>
    <row r="2164" spans="1:5" x14ac:dyDescent="0.3">
      <c r="A2164" t="s">
        <v>15</v>
      </c>
      <c r="B2164" t="s">
        <v>9</v>
      </c>
      <c r="C2164" t="s">
        <v>7</v>
      </c>
      <c r="D2164" s="3">
        <v>45497</v>
      </c>
      <c r="E2164" s="2">
        <v>4387</v>
      </c>
    </row>
    <row r="2165" spans="1:5" x14ac:dyDescent="0.3">
      <c r="A2165" t="s">
        <v>20</v>
      </c>
      <c r="B2165" t="s">
        <v>11</v>
      </c>
      <c r="C2165" t="s">
        <v>7</v>
      </c>
      <c r="D2165" s="3">
        <v>45497</v>
      </c>
      <c r="E2165" s="2">
        <v>3444</v>
      </c>
    </row>
    <row r="2166" spans="1:5" x14ac:dyDescent="0.3">
      <c r="A2166" t="s">
        <v>22</v>
      </c>
      <c r="B2166" t="s">
        <v>21</v>
      </c>
      <c r="C2166" t="s">
        <v>28</v>
      </c>
      <c r="D2166" s="3">
        <v>45497</v>
      </c>
      <c r="E2166" s="2">
        <v>4800</v>
      </c>
    </row>
    <row r="2167" spans="1:5" x14ac:dyDescent="0.3">
      <c r="A2167" t="s">
        <v>26</v>
      </c>
      <c r="B2167" t="s">
        <v>6</v>
      </c>
      <c r="C2167" t="s">
        <v>17</v>
      </c>
      <c r="D2167" s="3">
        <v>45497</v>
      </c>
      <c r="E2167" s="2">
        <v>9477</v>
      </c>
    </row>
    <row r="2168" spans="1:5" x14ac:dyDescent="0.3">
      <c r="A2168" t="s">
        <v>20</v>
      </c>
      <c r="B2168" t="s">
        <v>9</v>
      </c>
      <c r="C2168" t="s">
        <v>17</v>
      </c>
      <c r="D2168" s="3">
        <v>45497</v>
      </c>
      <c r="E2168" s="2">
        <v>10556</v>
      </c>
    </row>
    <row r="2169" spans="1:5" x14ac:dyDescent="0.3">
      <c r="A2169" t="s">
        <v>22</v>
      </c>
      <c r="B2169" t="s">
        <v>21</v>
      </c>
      <c r="C2169" t="s">
        <v>19</v>
      </c>
      <c r="D2169" s="3">
        <v>45498</v>
      </c>
      <c r="E2169" s="2">
        <v>8174</v>
      </c>
    </row>
    <row r="2170" spans="1:5" x14ac:dyDescent="0.3">
      <c r="A2170" t="s">
        <v>18</v>
      </c>
      <c r="B2170" t="s">
        <v>16</v>
      </c>
      <c r="C2170" t="s">
        <v>19</v>
      </c>
      <c r="D2170" s="3">
        <v>45498</v>
      </c>
      <c r="E2170" s="2">
        <v>10887</v>
      </c>
    </row>
    <row r="2171" spans="1:5" x14ac:dyDescent="0.3">
      <c r="A2171" t="s">
        <v>20</v>
      </c>
      <c r="B2171" t="s">
        <v>16</v>
      </c>
      <c r="C2171" t="s">
        <v>23</v>
      </c>
      <c r="D2171" s="3">
        <v>45498</v>
      </c>
      <c r="E2171" s="2">
        <v>3877</v>
      </c>
    </row>
    <row r="2172" spans="1:5" x14ac:dyDescent="0.3">
      <c r="A2172" t="s">
        <v>30</v>
      </c>
      <c r="B2172" t="s">
        <v>21</v>
      </c>
      <c r="C2172" t="s">
        <v>25</v>
      </c>
      <c r="D2172" s="3">
        <v>45498</v>
      </c>
      <c r="E2172" s="2">
        <v>9395</v>
      </c>
    </row>
    <row r="2173" spans="1:5" x14ac:dyDescent="0.3">
      <c r="A2173" t="s">
        <v>33</v>
      </c>
      <c r="B2173" t="s">
        <v>6</v>
      </c>
      <c r="C2173" t="s">
        <v>25</v>
      </c>
      <c r="D2173" s="3">
        <v>45499</v>
      </c>
      <c r="E2173" s="2">
        <v>5764</v>
      </c>
    </row>
    <row r="2174" spans="1:5" x14ac:dyDescent="0.3">
      <c r="A2174" t="s">
        <v>31</v>
      </c>
      <c r="B2174" t="s">
        <v>11</v>
      </c>
      <c r="C2174" t="s">
        <v>7</v>
      </c>
      <c r="D2174" s="3">
        <v>45499</v>
      </c>
      <c r="E2174" s="2">
        <v>1823</v>
      </c>
    </row>
    <row r="2175" spans="1:5" x14ac:dyDescent="0.3">
      <c r="A2175" t="s">
        <v>26</v>
      </c>
      <c r="B2175" t="s">
        <v>21</v>
      </c>
      <c r="C2175" t="s">
        <v>17</v>
      </c>
      <c r="D2175" s="3">
        <v>45499</v>
      </c>
      <c r="E2175" s="2">
        <v>10416</v>
      </c>
    </row>
    <row r="2176" spans="1:5" x14ac:dyDescent="0.3">
      <c r="A2176" t="s">
        <v>24</v>
      </c>
      <c r="B2176" t="s">
        <v>21</v>
      </c>
      <c r="C2176" t="s">
        <v>7</v>
      </c>
      <c r="D2176" s="3">
        <v>45500</v>
      </c>
      <c r="E2176" s="2">
        <v>9735</v>
      </c>
    </row>
    <row r="2177" spans="1:5" x14ac:dyDescent="0.3">
      <c r="A2177" t="s">
        <v>32</v>
      </c>
      <c r="B2177" t="s">
        <v>6</v>
      </c>
      <c r="C2177" t="s">
        <v>19</v>
      </c>
      <c r="D2177" s="3">
        <v>45501</v>
      </c>
      <c r="E2177" s="2">
        <v>11936</v>
      </c>
    </row>
    <row r="2178" spans="1:5" x14ac:dyDescent="0.3">
      <c r="A2178" t="s">
        <v>10</v>
      </c>
      <c r="B2178" t="s">
        <v>16</v>
      </c>
      <c r="C2178" t="s">
        <v>19</v>
      </c>
      <c r="D2178" s="3">
        <v>45501</v>
      </c>
      <c r="E2178" s="2">
        <v>4829</v>
      </c>
    </row>
    <row r="2179" spans="1:5" x14ac:dyDescent="0.3">
      <c r="A2179" t="s">
        <v>15</v>
      </c>
      <c r="B2179" t="s">
        <v>13</v>
      </c>
      <c r="C2179" t="s">
        <v>12</v>
      </c>
      <c r="D2179" s="3">
        <v>45502</v>
      </c>
      <c r="E2179" s="2">
        <v>2125</v>
      </c>
    </row>
    <row r="2180" spans="1:5" x14ac:dyDescent="0.3">
      <c r="A2180" t="s">
        <v>20</v>
      </c>
      <c r="B2180" t="s">
        <v>21</v>
      </c>
      <c r="C2180" t="s">
        <v>14</v>
      </c>
      <c r="D2180" s="3">
        <v>45503</v>
      </c>
      <c r="E2180" s="2">
        <v>11750</v>
      </c>
    </row>
    <row r="2181" spans="1:5" x14ac:dyDescent="0.3">
      <c r="A2181" t="s">
        <v>5</v>
      </c>
      <c r="B2181" t="s">
        <v>9</v>
      </c>
      <c r="C2181" t="s">
        <v>28</v>
      </c>
      <c r="D2181" s="3">
        <v>45503</v>
      </c>
      <c r="E2181" s="2">
        <v>10961</v>
      </c>
    </row>
    <row r="2182" spans="1:5" x14ac:dyDescent="0.3">
      <c r="A2182" t="s">
        <v>8</v>
      </c>
      <c r="B2182" t="s">
        <v>13</v>
      </c>
      <c r="C2182" t="s">
        <v>17</v>
      </c>
      <c r="D2182" s="3">
        <v>45503</v>
      </c>
      <c r="E2182" s="2">
        <v>5183</v>
      </c>
    </row>
    <row r="2183" spans="1:5" x14ac:dyDescent="0.3">
      <c r="A2183" t="s">
        <v>10</v>
      </c>
      <c r="B2183" t="s">
        <v>13</v>
      </c>
      <c r="C2183" t="s">
        <v>12</v>
      </c>
      <c r="D2183" s="3">
        <v>45503</v>
      </c>
      <c r="E2183" s="2">
        <v>11449</v>
      </c>
    </row>
    <row r="2184" spans="1:5" x14ac:dyDescent="0.3">
      <c r="A2184" t="s">
        <v>5</v>
      </c>
      <c r="B2184" t="s">
        <v>11</v>
      </c>
      <c r="C2184" t="s">
        <v>14</v>
      </c>
      <c r="D2184" s="3">
        <v>45504</v>
      </c>
      <c r="E2184" s="2">
        <v>13180</v>
      </c>
    </row>
    <row r="2185" spans="1:5" x14ac:dyDescent="0.3">
      <c r="A2185" t="s">
        <v>33</v>
      </c>
      <c r="B2185" t="s">
        <v>6</v>
      </c>
      <c r="C2185" t="s">
        <v>19</v>
      </c>
      <c r="D2185" s="3">
        <v>45504</v>
      </c>
      <c r="E2185" s="2">
        <v>12333</v>
      </c>
    </row>
    <row r="2186" spans="1:5" x14ac:dyDescent="0.3">
      <c r="A2186" t="s">
        <v>22</v>
      </c>
      <c r="B2186" t="s">
        <v>21</v>
      </c>
      <c r="C2186" t="s">
        <v>17</v>
      </c>
      <c r="D2186" s="3">
        <v>45504</v>
      </c>
      <c r="E2186" s="2">
        <v>5328</v>
      </c>
    </row>
    <row r="2187" spans="1:5" x14ac:dyDescent="0.3">
      <c r="A2187" t="s">
        <v>8</v>
      </c>
      <c r="B2187" t="s">
        <v>6</v>
      </c>
      <c r="C2187" t="s">
        <v>7</v>
      </c>
      <c r="D2187" s="3">
        <v>45505</v>
      </c>
      <c r="E2187" s="2">
        <v>13611</v>
      </c>
    </row>
    <row r="2188" spans="1:5" x14ac:dyDescent="0.3">
      <c r="A2188" t="s">
        <v>18</v>
      </c>
      <c r="B2188" t="s">
        <v>11</v>
      </c>
      <c r="C2188" t="s">
        <v>23</v>
      </c>
      <c r="D2188" s="3">
        <v>45506</v>
      </c>
      <c r="E2188" s="2">
        <v>10549</v>
      </c>
    </row>
    <row r="2189" spans="1:5" x14ac:dyDescent="0.3">
      <c r="A2189" t="s">
        <v>18</v>
      </c>
      <c r="B2189" t="s">
        <v>6</v>
      </c>
      <c r="C2189" t="s">
        <v>28</v>
      </c>
      <c r="D2189" s="3">
        <v>45506</v>
      </c>
      <c r="E2189" s="2">
        <v>1502</v>
      </c>
    </row>
    <row r="2190" spans="1:5" x14ac:dyDescent="0.3">
      <c r="A2190" t="s">
        <v>10</v>
      </c>
      <c r="B2190" t="s">
        <v>16</v>
      </c>
      <c r="C2190" t="s">
        <v>12</v>
      </c>
      <c r="D2190" s="3">
        <v>45506</v>
      </c>
      <c r="E2190" s="2">
        <v>6523</v>
      </c>
    </row>
    <row r="2191" spans="1:5" x14ac:dyDescent="0.3">
      <c r="A2191" t="s">
        <v>32</v>
      </c>
      <c r="B2191" t="s">
        <v>16</v>
      </c>
      <c r="C2191" t="s">
        <v>14</v>
      </c>
      <c r="D2191" s="3">
        <v>45507</v>
      </c>
      <c r="E2191" s="2">
        <v>6767</v>
      </c>
    </row>
    <row r="2192" spans="1:5" x14ac:dyDescent="0.3">
      <c r="A2192" t="s">
        <v>15</v>
      </c>
      <c r="B2192" t="s">
        <v>13</v>
      </c>
      <c r="C2192" t="s">
        <v>23</v>
      </c>
      <c r="D2192" s="3">
        <v>45507</v>
      </c>
      <c r="E2192" s="2">
        <v>3721</v>
      </c>
    </row>
    <row r="2193" spans="1:5" x14ac:dyDescent="0.3">
      <c r="A2193" t="s">
        <v>8</v>
      </c>
      <c r="B2193" t="s">
        <v>21</v>
      </c>
      <c r="C2193" t="s">
        <v>25</v>
      </c>
      <c r="D2193" s="3">
        <v>45507</v>
      </c>
      <c r="E2193" s="2">
        <v>6142</v>
      </c>
    </row>
    <row r="2194" spans="1:5" x14ac:dyDescent="0.3">
      <c r="A2194" t="s">
        <v>20</v>
      </c>
      <c r="B2194" t="s">
        <v>21</v>
      </c>
      <c r="C2194" t="s">
        <v>7</v>
      </c>
      <c r="D2194" s="3">
        <v>45507</v>
      </c>
      <c r="E2194" s="2">
        <v>2173</v>
      </c>
    </row>
    <row r="2195" spans="1:5" x14ac:dyDescent="0.3">
      <c r="A2195" t="s">
        <v>5</v>
      </c>
      <c r="B2195" t="s">
        <v>6</v>
      </c>
      <c r="C2195" t="s">
        <v>12</v>
      </c>
      <c r="D2195" s="3">
        <v>45507</v>
      </c>
      <c r="E2195" s="2">
        <v>12253</v>
      </c>
    </row>
    <row r="2196" spans="1:5" x14ac:dyDescent="0.3">
      <c r="A2196" t="s">
        <v>27</v>
      </c>
      <c r="B2196" t="s">
        <v>9</v>
      </c>
      <c r="C2196" t="s">
        <v>19</v>
      </c>
      <c r="D2196" s="3">
        <v>45508</v>
      </c>
      <c r="E2196" s="2">
        <v>12943</v>
      </c>
    </row>
    <row r="2197" spans="1:5" x14ac:dyDescent="0.3">
      <c r="A2197" t="s">
        <v>22</v>
      </c>
      <c r="B2197" t="s">
        <v>9</v>
      </c>
      <c r="C2197" t="s">
        <v>17</v>
      </c>
      <c r="D2197" s="3">
        <v>45508</v>
      </c>
      <c r="E2197" s="2">
        <v>5895</v>
      </c>
    </row>
    <row r="2198" spans="1:5" x14ac:dyDescent="0.3">
      <c r="A2198" t="s">
        <v>27</v>
      </c>
      <c r="B2198" t="s">
        <v>6</v>
      </c>
      <c r="C2198" t="s">
        <v>19</v>
      </c>
      <c r="D2198" s="3">
        <v>45509</v>
      </c>
      <c r="E2198" s="2">
        <v>1199</v>
      </c>
    </row>
    <row r="2199" spans="1:5" x14ac:dyDescent="0.3">
      <c r="A2199" t="s">
        <v>27</v>
      </c>
      <c r="B2199" t="s">
        <v>9</v>
      </c>
      <c r="C2199" t="s">
        <v>28</v>
      </c>
      <c r="D2199" s="3">
        <v>45509</v>
      </c>
      <c r="E2199" s="2">
        <v>7740</v>
      </c>
    </row>
    <row r="2200" spans="1:5" x14ac:dyDescent="0.3">
      <c r="A2200" t="s">
        <v>32</v>
      </c>
      <c r="B2200" t="s">
        <v>9</v>
      </c>
      <c r="C2200" t="s">
        <v>12</v>
      </c>
      <c r="D2200" s="3">
        <v>45509</v>
      </c>
      <c r="E2200" s="2">
        <v>3674</v>
      </c>
    </row>
    <row r="2201" spans="1:5" x14ac:dyDescent="0.3">
      <c r="A2201" t="s">
        <v>26</v>
      </c>
      <c r="B2201" t="s">
        <v>6</v>
      </c>
      <c r="C2201" t="s">
        <v>14</v>
      </c>
      <c r="D2201" s="3">
        <v>45510</v>
      </c>
      <c r="E2201" s="2">
        <v>2252</v>
      </c>
    </row>
    <row r="2202" spans="1:5" x14ac:dyDescent="0.3">
      <c r="A2202" t="s">
        <v>24</v>
      </c>
      <c r="B2202" t="s">
        <v>13</v>
      </c>
      <c r="C2202" t="s">
        <v>19</v>
      </c>
      <c r="D2202" s="3">
        <v>45510</v>
      </c>
      <c r="E2202" s="2">
        <v>12693</v>
      </c>
    </row>
    <row r="2203" spans="1:5" x14ac:dyDescent="0.3">
      <c r="A2203" t="s">
        <v>10</v>
      </c>
      <c r="B2203" t="s">
        <v>6</v>
      </c>
      <c r="C2203" t="s">
        <v>19</v>
      </c>
      <c r="D2203" s="3">
        <v>45510</v>
      </c>
      <c r="E2203" s="2">
        <v>5281</v>
      </c>
    </row>
    <row r="2204" spans="1:5" x14ac:dyDescent="0.3">
      <c r="A2204" t="s">
        <v>22</v>
      </c>
      <c r="B2204" t="s">
        <v>13</v>
      </c>
      <c r="C2204" t="s">
        <v>25</v>
      </c>
      <c r="D2204" s="3">
        <v>45510</v>
      </c>
      <c r="E2204" s="2">
        <v>13257</v>
      </c>
    </row>
    <row r="2205" spans="1:5" x14ac:dyDescent="0.3">
      <c r="A2205" t="s">
        <v>29</v>
      </c>
      <c r="B2205" t="s">
        <v>11</v>
      </c>
      <c r="C2205" t="s">
        <v>14</v>
      </c>
      <c r="D2205" s="3">
        <v>45511</v>
      </c>
      <c r="E2205" s="2">
        <v>1511</v>
      </c>
    </row>
    <row r="2206" spans="1:5" x14ac:dyDescent="0.3">
      <c r="A2206" t="s">
        <v>10</v>
      </c>
      <c r="B2206" t="s">
        <v>13</v>
      </c>
      <c r="C2206" t="s">
        <v>23</v>
      </c>
      <c r="D2206" s="3">
        <v>45511</v>
      </c>
      <c r="E2206" s="2">
        <v>12705</v>
      </c>
    </row>
    <row r="2207" spans="1:5" x14ac:dyDescent="0.3">
      <c r="A2207" t="s">
        <v>27</v>
      </c>
      <c r="B2207" t="s">
        <v>16</v>
      </c>
      <c r="C2207" t="s">
        <v>17</v>
      </c>
      <c r="D2207" s="3">
        <v>45511</v>
      </c>
      <c r="E2207" s="2">
        <v>12509</v>
      </c>
    </row>
    <row r="2208" spans="1:5" x14ac:dyDescent="0.3">
      <c r="A2208" t="s">
        <v>27</v>
      </c>
      <c r="B2208" t="s">
        <v>6</v>
      </c>
      <c r="C2208" t="s">
        <v>12</v>
      </c>
      <c r="D2208" s="3">
        <v>45511</v>
      </c>
      <c r="E2208" s="2">
        <v>13247</v>
      </c>
    </row>
    <row r="2209" spans="1:5" x14ac:dyDescent="0.3">
      <c r="A2209" t="s">
        <v>33</v>
      </c>
      <c r="B2209" t="s">
        <v>6</v>
      </c>
      <c r="C2209" t="s">
        <v>23</v>
      </c>
      <c r="D2209" s="3">
        <v>45512</v>
      </c>
      <c r="E2209" s="2">
        <v>8454</v>
      </c>
    </row>
    <row r="2210" spans="1:5" x14ac:dyDescent="0.3">
      <c r="A2210" t="s">
        <v>18</v>
      </c>
      <c r="B2210" t="s">
        <v>21</v>
      </c>
      <c r="C2210" t="s">
        <v>25</v>
      </c>
      <c r="D2210" s="3">
        <v>45512</v>
      </c>
      <c r="E2210" s="2">
        <v>13045</v>
      </c>
    </row>
    <row r="2211" spans="1:5" x14ac:dyDescent="0.3">
      <c r="A2211" t="s">
        <v>24</v>
      </c>
      <c r="B2211" t="s">
        <v>16</v>
      </c>
      <c r="C2211" t="s">
        <v>7</v>
      </c>
      <c r="D2211" s="3">
        <v>45512</v>
      </c>
      <c r="E2211" s="2">
        <v>1667</v>
      </c>
    </row>
    <row r="2212" spans="1:5" x14ac:dyDescent="0.3">
      <c r="A2212" t="s">
        <v>32</v>
      </c>
      <c r="B2212" t="s">
        <v>9</v>
      </c>
      <c r="C2212" t="s">
        <v>28</v>
      </c>
      <c r="D2212" s="3">
        <v>45512</v>
      </c>
      <c r="E2212" s="2">
        <v>7630</v>
      </c>
    </row>
    <row r="2213" spans="1:5" x14ac:dyDescent="0.3">
      <c r="A2213" t="s">
        <v>30</v>
      </c>
      <c r="B2213" t="s">
        <v>9</v>
      </c>
      <c r="C2213" t="s">
        <v>23</v>
      </c>
      <c r="D2213" s="3">
        <v>45513</v>
      </c>
      <c r="E2213" s="2">
        <v>8302</v>
      </c>
    </row>
    <row r="2214" spans="1:5" x14ac:dyDescent="0.3">
      <c r="A2214" t="s">
        <v>31</v>
      </c>
      <c r="B2214" t="s">
        <v>21</v>
      </c>
      <c r="C2214" t="s">
        <v>12</v>
      </c>
      <c r="D2214" s="3">
        <v>45513</v>
      </c>
      <c r="E2214" s="2">
        <v>11157</v>
      </c>
    </row>
    <row r="2215" spans="1:5" x14ac:dyDescent="0.3">
      <c r="A2215" t="s">
        <v>30</v>
      </c>
      <c r="B2215" t="s">
        <v>11</v>
      </c>
      <c r="C2215" t="s">
        <v>23</v>
      </c>
      <c r="D2215" s="3">
        <v>45514</v>
      </c>
      <c r="E2215" s="2">
        <v>11728</v>
      </c>
    </row>
    <row r="2216" spans="1:5" x14ac:dyDescent="0.3">
      <c r="A2216" t="s">
        <v>5</v>
      </c>
      <c r="B2216" t="s">
        <v>9</v>
      </c>
      <c r="C2216" t="s">
        <v>25</v>
      </c>
      <c r="D2216" s="3">
        <v>45514</v>
      </c>
      <c r="E2216" s="2">
        <v>11689</v>
      </c>
    </row>
    <row r="2217" spans="1:5" x14ac:dyDescent="0.3">
      <c r="A2217" t="s">
        <v>22</v>
      </c>
      <c r="B2217" t="s">
        <v>13</v>
      </c>
      <c r="C2217" t="s">
        <v>28</v>
      </c>
      <c r="D2217" s="3">
        <v>45514</v>
      </c>
      <c r="E2217" s="2">
        <v>13229</v>
      </c>
    </row>
    <row r="2218" spans="1:5" x14ac:dyDescent="0.3">
      <c r="A2218" t="s">
        <v>27</v>
      </c>
      <c r="B2218" t="s">
        <v>9</v>
      </c>
      <c r="C2218" t="s">
        <v>14</v>
      </c>
      <c r="D2218" s="3">
        <v>45515</v>
      </c>
      <c r="E2218" s="2">
        <v>9292</v>
      </c>
    </row>
    <row r="2219" spans="1:5" x14ac:dyDescent="0.3">
      <c r="A2219" t="s">
        <v>27</v>
      </c>
      <c r="B2219" t="s">
        <v>6</v>
      </c>
      <c r="C2219" t="s">
        <v>12</v>
      </c>
      <c r="D2219" s="3">
        <v>45515</v>
      </c>
      <c r="E2219" s="2">
        <v>10397</v>
      </c>
    </row>
    <row r="2220" spans="1:5" x14ac:dyDescent="0.3">
      <c r="A2220" t="s">
        <v>5</v>
      </c>
      <c r="B2220" t="s">
        <v>6</v>
      </c>
      <c r="C2220" t="s">
        <v>25</v>
      </c>
      <c r="D2220" s="3">
        <v>45516</v>
      </c>
      <c r="E2220" s="2">
        <v>8074</v>
      </c>
    </row>
    <row r="2221" spans="1:5" x14ac:dyDescent="0.3">
      <c r="A2221" t="s">
        <v>18</v>
      </c>
      <c r="B2221" t="s">
        <v>13</v>
      </c>
      <c r="C2221" t="s">
        <v>25</v>
      </c>
      <c r="D2221" s="3">
        <v>45516</v>
      </c>
      <c r="E2221" s="2">
        <v>5031</v>
      </c>
    </row>
    <row r="2222" spans="1:5" x14ac:dyDescent="0.3">
      <c r="A2222" t="s">
        <v>5</v>
      </c>
      <c r="B2222" t="s">
        <v>11</v>
      </c>
      <c r="C2222" t="s">
        <v>17</v>
      </c>
      <c r="D2222" s="3">
        <v>45516</v>
      </c>
      <c r="E2222" s="2">
        <v>13319</v>
      </c>
    </row>
    <row r="2223" spans="1:5" x14ac:dyDescent="0.3">
      <c r="A2223" t="s">
        <v>20</v>
      </c>
      <c r="B2223" t="s">
        <v>11</v>
      </c>
      <c r="C2223" t="s">
        <v>12</v>
      </c>
      <c r="D2223" s="3">
        <v>45516</v>
      </c>
      <c r="E2223" s="2">
        <v>6174</v>
      </c>
    </row>
    <row r="2224" spans="1:5" x14ac:dyDescent="0.3">
      <c r="A2224" t="s">
        <v>22</v>
      </c>
      <c r="B2224" t="s">
        <v>21</v>
      </c>
      <c r="C2224" t="s">
        <v>19</v>
      </c>
      <c r="D2224" s="3">
        <v>45517</v>
      </c>
      <c r="E2224" s="2">
        <v>12134</v>
      </c>
    </row>
    <row r="2225" spans="1:5" x14ac:dyDescent="0.3">
      <c r="A2225" t="s">
        <v>22</v>
      </c>
      <c r="B2225" t="s">
        <v>9</v>
      </c>
      <c r="C2225" t="s">
        <v>23</v>
      </c>
      <c r="D2225" s="3">
        <v>45517</v>
      </c>
      <c r="E2225" s="2">
        <v>3610</v>
      </c>
    </row>
    <row r="2226" spans="1:5" x14ac:dyDescent="0.3">
      <c r="A2226" t="s">
        <v>20</v>
      </c>
      <c r="B2226" t="s">
        <v>13</v>
      </c>
      <c r="C2226" t="s">
        <v>7</v>
      </c>
      <c r="D2226" s="3">
        <v>45517</v>
      </c>
      <c r="E2226" s="2">
        <v>3613</v>
      </c>
    </row>
    <row r="2227" spans="1:5" x14ac:dyDescent="0.3">
      <c r="A2227" t="s">
        <v>10</v>
      </c>
      <c r="B2227" t="s">
        <v>21</v>
      </c>
      <c r="C2227" t="s">
        <v>17</v>
      </c>
      <c r="D2227" s="3">
        <v>45517</v>
      </c>
      <c r="E2227" s="2">
        <v>6200</v>
      </c>
    </row>
    <row r="2228" spans="1:5" x14ac:dyDescent="0.3">
      <c r="A2228" t="s">
        <v>8</v>
      </c>
      <c r="B2228" t="s">
        <v>6</v>
      </c>
      <c r="C2228" t="s">
        <v>12</v>
      </c>
      <c r="D2228" s="3">
        <v>45517</v>
      </c>
      <c r="E2228" s="2">
        <v>6651</v>
      </c>
    </row>
    <row r="2229" spans="1:5" x14ac:dyDescent="0.3">
      <c r="A2229" t="s">
        <v>10</v>
      </c>
      <c r="B2229" t="s">
        <v>9</v>
      </c>
      <c r="C2229" t="s">
        <v>14</v>
      </c>
      <c r="D2229" s="3">
        <v>45518</v>
      </c>
      <c r="E2229" s="2">
        <v>5824</v>
      </c>
    </row>
    <row r="2230" spans="1:5" x14ac:dyDescent="0.3">
      <c r="A2230" t="s">
        <v>22</v>
      </c>
      <c r="B2230" t="s">
        <v>11</v>
      </c>
      <c r="C2230" t="s">
        <v>19</v>
      </c>
      <c r="D2230" s="3">
        <v>45518</v>
      </c>
      <c r="E2230" s="2">
        <v>8293</v>
      </c>
    </row>
    <row r="2231" spans="1:5" x14ac:dyDescent="0.3">
      <c r="A2231" t="s">
        <v>26</v>
      </c>
      <c r="B2231" t="s">
        <v>9</v>
      </c>
      <c r="C2231" t="s">
        <v>28</v>
      </c>
      <c r="D2231" s="3">
        <v>45518</v>
      </c>
      <c r="E2231" s="2">
        <v>1733</v>
      </c>
    </row>
    <row r="2232" spans="1:5" x14ac:dyDescent="0.3">
      <c r="A2232" t="s">
        <v>27</v>
      </c>
      <c r="B2232" t="s">
        <v>6</v>
      </c>
      <c r="C2232" t="s">
        <v>17</v>
      </c>
      <c r="D2232" s="3">
        <v>45518</v>
      </c>
      <c r="E2232" s="2">
        <v>1275</v>
      </c>
    </row>
    <row r="2233" spans="1:5" x14ac:dyDescent="0.3">
      <c r="A2233" t="s">
        <v>24</v>
      </c>
      <c r="B2233" t="s">
        <v>13</v>
      </c>
      <c r="C2233" t="s">
        <v>12</v>
      </c>
      <c r="D2233" s="3">
        <v>45518</v>
      </c>
      <c r="E2233" s="2">
        <v>12659</v>
      </c>
    </row>
    <row r="2234" spans="1:5" x14ac:dyDescent="0.3">
      <c r="A2234" t="s">
        <v>10</v>
      </c>
      <c r="B2234" t="s">
        <v>13</v>
      </c>
      <c r="C2234" t="s">
        <v>14</v>
      </c>
      <c r="D2234" s="3">
        <v>45519</v>
      </c>
      <c r="E2234" s="2">
        <v>3016</v>
      </c>
    </row>
    <row r="2235" spans="1:5" x14ac:dyDescent="0.3">
      <c r="A2235" t="s">
        <v>27</v>
      </c>
      <c r="B2235" t="s">
        <v>6</v>
      </c>
      <c r="C2235" t="s">
        <v>19</v>
      </c>
      <c r="D2235" s="3">
        <v>45519</v>
      </c>
      <c r="E2235" s="2">
        <v>8392</v>
      </c>
    </row>
    <row r="2236" spans="1:5" x14ac:dyDescent="0.3">
      <c r="A2236" t="s">
        <v>24</v>
      </c>
      <c r="B2236" t="s">
        <v>6</v>
      </c>
      <c r="C2236" t="s">
        <v>23</v>
      </c>
      <c r="D2236" s="3">
        <v>45519</v>
      </c>
      <c r="E2236" s="2">
        <v>8365</v>
      </c>
    </row>
    <row r="2237" spans="1:5" x14ac:dyDescent="0.3">
      <c r="A2237" t="s">
        <v>22</v>
      </c>
      <c r="B2237" t="s">
        <v>11</v>
      </c>
      <c r="C2237" t="s">
        <v>23</v>
      </c>
      <c r="D2237" s="3">
        <v>45519</v>
      </c>
      <c r="E2237" s="2">
        <v>7283</v>
      </c>
    </row>
    <row r="2238" spans="1:5" x14ac:dyDescent="0.3">
      <c r="A2238" t="s">
        <v>24</v>
      </c>
      <c r="B2238" t="s">
        <v>11</v>
      </c>
      <c r="C2238" t="s">
        <v>25</v>
      </c>
      <c r="D2238" s="3">
        <v>45519</v>
      </c>
      <c r="E2238" s="2">
        <v>5728</v>
      </c>
    </row>
    <row r="2239" spans="1:5" x14ac:dyDescent="0.3">
      <c r="A2239" t="s">
        <v>33</v>
      </c>
      <c r="B2239" t="s">
        <v>13</v>
      </c>
      <c r="C2239" t="s">
        <v>7</v>
      </c>
      <c r="D2239" s="3">
        <v>45519</v>
      </c>
      <c r="E2239" s="2">
        <v>4380</v>
      </c>
    </row>
    <row r="2240" spans="1:5" x14ac:dyDescent="0.3">
      <c r="A2240" t="s">
        <v>10</v>
      </c>
      <c r="B2240" t="s">
        <v>16</v>
      </c>
      <c r="C2240" t="s">
        <v>14</v>
      </c>
      <c r="D2240" s="3">
        <v>45520</v>
      </c>
      <c r="E2240" s="2">
        <v>13636</v>
      </c>
    </row>
    <row r="2241" spans="1:5" x14ac:dyDescent="0.3">
      <c r="A2241" t="s">
        <v>32</v>
      </c>
      <c r="B2241" t="s">
        <v>13</v>
      </c>
      <c r="C2241" t="s">
        <v>23</v>
      </c>
      <c r="D2241" s="3">
        <v>45520</v>
      </c>
      <c r="E2241" s="2">
        <v>12088</v>
      </c>
    </row>
    <row r="2242" spans="1:5" x14ac:dyDescent="0.3">
      <c r="A2242" t="s">
        <v>27</v>
      </c>
      <c r="B2242" t="s">
        <v>11</v>
      </c>
      <c r="C2242" t="s">
        <v>17</v>
      </c>
      <c r="D2242" s="3">
        <v>45520</v>
      </c>
      <c r="E2242" s="2">
        <v>1969</v>
      </c>
    </row>
    <row r="2243" spans="1:5" x14ac:dyDescent="0.3">
      <c r="A2243" t="s">
        <v>32</v>
      </c>
      <c r="B2243" t="s">
        <v>6</v>
      </c>
      <c r="C2243" t="s">
        <v>17</v>
      </c>
      <c r="D2243" s="3">
        <v>45520</v>
      </c>
      <c r="E2243" s="2">
        <v>11155</v>
      </c>
    </row>
    <row r="2244" spans="1:5" x14ac:dyDescent="0.3">
      <c r="A2244" t="s">
        <v>32</v>
      </c>
      <c r="B2244" t="s">
        <v>9</v>
      </c>
      <c r="C2244" t="s">
        <v>14</v>
      </c>
      <c r="D2244" s="3">
        <v>45521</v>
      </c>
      <c r="E2244" s="2">
        <v>5106</v>
      </c>
    </row>
    <row r="2245" spans="1:5" x14ac:dyDescent="0.3">
      <c r="A2245" t="s">
        <v>33</v>
      </c>
      <c r="B2245" t="s">
        <v>21</v>
      </c>
      <c r="C2245" t="s">
        <v>23</v>
      </c>
      <c r="D2245" s="3">
        <v>45521</v>
      </c>
      <c r="E2245" s="2">
        <v>6454</v>
      </c>
    </row>
    <row r="2246" spans="1:5" x14ac:dyDescent="0.3">
      <c r="A2246" t="s">
        <v>15</v>
      </c>
      <c r="B2246" t="s">
        <v>9</v>
      </c>
      <c r="C2246" t="s">
        <v>12</v>
      </c>
      <c r="D2246" s="3">
        <v>45521</v>
      </c>
      <c r="E2246" s="2">
        <v>1616</v>
      </c>
    </row>
    <row r="2247" spans="1:5" x14ac:dyDescent="0.3">
      <c r="A2247" t="s">
        <v>24</v>
      </c>
      <c r="B2247" t="s">
        <v>11</v>
      </c>
      <c r="C2247" t="s">
        <v>14</v>
      </c>
      <c r="D2247" s="3">
        <v>45522</v>
      </c>
      <c r="E2247" s="2">
        <v>8643</v>
      </c>
    </row>
    <row r="2248" spans="1:5" x14ac:dyDescent="0.3">
      <c r="A2248" t="s">
        <v>33</v>
      </c>
      <c r="B2248" t="s">
        <v>16</v>
      </c>
      <c r="C2248" t="s">
        <v>19</v>
      </c>
      <c r="D2248" s="3">
        <v>45523</v>
      </c>
      <c r="E2248" s="2">
        <v>11582</v>
      </c>
    </row>
    <row r="2249" spans="1:5" x14ac:dyDescent="0.3">
      <c r="A2249" t="s">
        <v>10</v>
      </c>
      <c r="B2249" t="s">
        <v>6</v>
      </c>
      <c r="C2249" t="s">
        <v>19</v>
      </c>
      <c r="D2249" s="3">
        <v>45523</v>
      </c>
      <c r="E2249" s="2">
        <v>7467</v>
      </c>
    </row>
    <row r="2250" spans="1:5" x14ac:dyDescent="0.3">
      <c r="A2250" t="s">
        <v>31</v>
      </c>
      <c r="B2250" t="s">
        <v>9</v>
      </c>
      <c r="C2250" t="s">
        <v>23</v>
      </c>
      <c r="D2250" s="3">
        <v>45523</v>
      </c>
      <c r="E2250" s="2">
        <v>10522</v>
      </c>
    </row>
    <row r="2251" spans="1:5" x14ac:dyDescent="0.3">
      <c r="A2251" t="s">
        <v>8</v>
      </c>
      <c r="B2251" t="s">
        <v>21</v>
      </c>
      <c r="C2251" t="s">
        <v>25</v>
      </c>
      <c r="D2251" s="3">
        <v>45523</v>
      </c>
      <c r="E2251" s="2">
        <v>9654</v>
      </c>
    </row>
    <row r="2252" spans="1:5" x14ac:dyDescent="0.3">
      <c r="A2252" t="s">
        <v>31</v>
      </c>
      <c r="B2252" t="s">
        <v>9</v>
      </c>
      <c r="C2252" t="s">
        <v>28</v>
      </c>
      <c r="D2252" s="3">
        <v>45523</v>
      </c>
      <c r="E2252" s="2">
        <v>2588</v>
      </c>
    </row>
    <row r="2253" spans="1:5" x14ac:dyDescent="0.3">
      <c r="A2253" t="s">
        <v>18</v>
      </c>
      <c r="B2253" t="s">
        <v>6</v>
      </c>
      <c r="C2253" t="s">
        <v>14</v>
      </c>
      <c r="D2253" s="3">
        <v>45524</v>
      </c>
      <c r="E2253" s="2">
        <v>12334</v>
      </c>
    </row>
    <row r="2254" spans="1:5" x14ac:dyDescent="0.3">
      <c r="A2254" t="s">
        <v>27</v>
      </c>
      <c r="B2254" t="s">
        <v>13</v>
      </c>
      <c r="C2254" t="s">
        <v>19</v>
      </c>
      <c r="D2254" s="3">
        <v>45524</v>
      </c>
      <c r="E2254" s="2">
        <v>2212</v>
      </c>
    </row>
    <row r="2255" spans="1:5" x14ac:dyDescent="0.3">
      <c r="A2255" t="s">
        <v>22</v>
      </c>
      <c r="B2255" t="s">
        <v>21</v>
      </c>
      <c r="C2255" t="s">
        <v>25</v>
      </c>
      <c r="D2255" s="3">
        <v>45524</v>
      </c>
      <c r="E2255" s="2">
        <v>5970</v>
      </c>
    </row>
    <row r="2256" spans="1:5" x14ac:dyDescent="0.3">
      <c r="A2256" t="s">
        <v>8</v>
      </c>
      <c r="B2256" t="s">
        <v>11</v>
      </c>
      <c r="C2256" t="s">
        <v>28</v>
      </c>
      <c r="D2256" s="3">
        <v>45524</v>
      </c>
      <c r="E2256" s="2">
        <v>13183</v>
      </c>
    </row>
    <row r="2257" spans="1:5" x14ac:dyDescent="0.3">
      <c r="A2257" t="s">
        <v>18</v>
      </c>
      <c r="B2257" t="s">
        <v>16</v>
      </c>
      <c r="C2257" t="s">
        <v>19</v>
      </c>
      <c r="D2257" s="3">
        <v>45525</v>
      </c>
      <c r="E2257" s="2">
        <v>7852</v>
      </c>
    </row>
    <row r="2258" spans="1:5" x14ac:dyDescent="0.3">
      <c r="A2258" t="s">
        <v>10</v>
      </c>
      <c r="B2258" t="s">
        <v>13</v>
      </c>
      <c r="C2258" t="s">
        <v>23</v>
      </c>
      <c r="D2258" s="3">
        <v>45525</v>
      </c>
      <c r="E2258" s="2">
        <v>9228</v>
      </c>
    </row>
    <row r="2259" spans="1:5" x14ac:dyDescent="0.3">
      <c r="A2259" t="s">
        <v>24</v>
      </c>
      <c r="B2259" t="s">
        <v>11</v>
      </c>
      <c r="C2259" t="s">
        <v>7</v>
      </c>
      <c r="D2259" s="3">
        <v>45525</v>
      </c>
      <c r="E2259" s="2">
        <v>2983</v>
      </c>
    </row>
    <row r="2260" spans="1:5" x14ac:dyDescent="0.3">
      <c r="A2260" t="s">
        <v>31</v>
      </c>
      <c r="B2260" t="s">
        <v>13</v>
      </c>
      <c r="C2260" t="s">
        <v>7</v>
      </c>
      <c r="D2260" s="3">
        <v>45525</v>
      </c>
      <c r="E2260" s="2">
        <v>9902</v>
      </c>
    </row>
    <row r="2261" spans="1:5" x14ac:dyDescent="0.3">
      <c r="A2261" t="s">
        <v>8</v>
      </c>
      <c r="B2261" t="s">
        <v>9</v>
      </c>
      <c r="C2261" t="s">
        <v>7</v>
      </c>
      <c r="D2261" s="3">
        <v>45525</v>
      </c>
      <c r="E2261" s="2">
        <v>5082</v>
      </c>
    </row>
    <row r="2262" spans="1:5" x14ac:dyDescent="0.3">
      <c r="A2262" t="s">
        <v>29</v>
      </c>
      <c r="B2262" t="s">
        <v>6</v>
      </c>
      <c r="C2262" t="s">
        <v>28</v>
      </c>
      <c r="D2262" s="3">
        <v>45525</v>
      </c>
      <c r="E2262" s="2">
        <v>10068</v>
      </c>
    </row>
    <row r="2263" spans="1:5" x14ac:dyDescent="0.3">
      <c r="A2263" t="s">
        <v>10</v>
      </c>
      <c r="B2263" t="s">
        <v>6</v>
      </c>
      <c r="C2263" t="s">
        <v>28</v>
      </c>
      <c r="D2263" s="3">
        <v>45525</v>
      </c>
      <c r="E2263" s="2">
        <v>7116</v>
      </c>
    </row>
    <row r="2264" spans="1:5" x14ac:dyDescent="0.3">
      <c r="A2264" t="s">
        <v>8</v>
      </c>
      <c r="B2264" t="s">
        <v>11</v>
      </c>
      <c r="C2264" t="s">
        <v>17</v>
      </c>
      <c r="D2264" s="3">
        <v>45525</v>
      </c>
      <c r="E2264" s="2">
        <v>6199</v>
      </c>
    </row>
    <row r="2265" spans="1:5" x14ac:dyDescent="0.3">
      <c r="A2265" t="s">
        <v>8</v>
      </c>
      <c r="B2265" t="s">
        <v>21</v>
      </c>
      <c r="C2265" t="s">
        <v>23</v>
      </c>
      <c r="D2265" s="3">
        <v>45526</v>
      </c>
      <c r="E2265" s="2">
        <v>9282</v>
      </c>
    </row>
    <row r="2266" spans="1:5" x14ac:dyDescent="0.3">
      <c r="A2266" t="s">
        <v>20</v>
      </c>
      <c r="B2266" t="s">
        <v>9</v>
      </c>
      <c r="C2266" t="s">
        <v>7</v>
      </c>
      <c r="D2266" s="3">
        <v>45526</v>
      </c>
      <c r="E2266" s="2">
        <v>9051</v>
      </c>
    </row>
    <row r="2267" spans="1:5" x14ac:dyDescent="0.3">
      <c r="A2267" t="s">
        <v>27</v>
      </c>
      <c r="B2267" t="s">
        <v>16</v>
      </c>
      <c r="C2267" t="s">
        <v>17</v>
      </c>
      <c r="D2267" s="3">
        <v>45526</v>
      </c>
      <c r="E2267" s="2">
        <v>8858</v>
      </c>
    </row>
    <row r="2268" spans="1:5" x14ac:dyDescent="0.3">
      <c r="A2268" t="s">
        <v>27</v>
      </c>
      <c r="B2268" t="s">
        <v>13</v>
      </c>
      <c r="C2268" t="s">
        <v>17</v>
      </c>
      <c r="D2268" s="3">
        <v>45526</v>
      </c>
      <c r="E2268" s="2">
        <v>4622</v>
      </c>
    </row>
    <row r="2269" spans="1:5" x14ac:dyDescent="0.3">
      <c r="A2269" t="s">
        <v>5</v>
      </c>
      <c r="B2269" t="s">
        <v>9</v>
      </c>
      <c r="C2269" t="s">
        <v>7</v>
      </c>
      <c r="D2269" s="3">
        <v>45527</v>
      </c>
      <c r="E2269" s="2">
        <v>10229</v>
      </c>
    </row>
    <row r="2270" spans="1:5" x14ac:dyDescent="0.3">
      <c r="A2270" t="s">
        <v>30</v>
      </c>
      <c r="B2270" t="s">
        <v>9</v>
      </c>
      <c r="C2270" t="s">
        <v>17</v>
      </c>
      <c r="D2270" s="3">
        <v>45527</v>
      </c>
      <c r="E2270" s="2">
        <v>3828</v>
      </c>
    </row>
    <row r="2271" spans="1:5" x14ac:dyDescent="0.3">
      <c r="A2271" t="s">
        <v>32</v>
      </c>
      <c r="B2271" t="s">
        <v>9</v>
      </c>
      <c r="C2271" t="s">
        <v>12</v>
      </c>
      <c r="D2271" s="3">
        <v>45527</v>
      </c>
      <c r="E2271" s="2">
        <v>8859</v>
      </c>
    </row>
    <row r="2272" spans="1:5" x14ac:dyDescent="0.3">
      <c r="A2272" t="s">
        <v>10</v>
      </c>
      <c r="B2272" t="s">
        <v>13</v>
      </c>
      <c r="C2272" t="s">
        <v>14</v>
      </c>
      <c r="D2272" s="3">
        <v>45528</v>
      </c>
      <c r="E2272" s="2">
        <v>4272</v>
      </c>
    </row>
    <row r="2273" spans="1:5" x14ac:dyDescent="0.3">
      <c r="A2273" t="s">
        <v>22</v>
      </c>
      <c r="B2273" t="s">
        <v>11</v>
      </c>
      <c r="C2273" t="s">
        <v>23</v>
      </c>
      <c r="D2273" s="3">
        <v>45528</v>
      </c>
      <c r="E2273" s="2">
        <v>11359</v>
      </c>
    </row>
    <row r="2274" spans="1:5" x14ac:dyDescent="0.3">
      <c r="A2274" t="s">
        <v>31</v>
      </c>
      <c r="B2274" t="s">
        <v>13</v>
      </c>
      <c r="C2274" t="s">
        <v>25</v>
      </c>
      <c r="D2274" s="3">
        <v>45528</v>
      </c>
      <c r="E2274" s="2">
        <v>9999</v>
      </c>
    </row>
    <row r="2275" spans="1:5" x14ac:dyDescent="0.3">
      <c r="A2275" t="s">
        <v>32</v>
      </c>
      <c r="B2275" t="s">
        <v>6</v>
      </c>
      <c r="C2275" t="s">
        <v>7</v>
      </c>
      <c r="D2275" s="3">
        <v>45528</v>
      </c>
      <c r="E2275" s="2">
        <v>10237</v>
      </c>
    </row>
    <row r="2276" spans="1:5" x14ac:dyDescent="0.3">
      <c r="A2276" t="s">
        <v>31</v>
      </c>
      <c r="B2276" t="s">
        <v>13</v>
      </c>
      <c r="C2276" t="s">
        <v>28</v>
      </c>
      <c r="D2276" s="3">
        <v>45528</v>
      </c>
      <c r="E2276" s="2">
        <v>6255</v>
      </c>
    </row>
    <row r="2277" spans="1:5" x14ac:dyDescent="0.3">
      <c r="A2277" t="s">
        <v>26</v>
      </c>
      <c r="B2277" t="s">
        <v>11</v>
      </c>
      <c r="C2277" t="s">
        <v>28</v>
      </c>
      <c r="D2277" s="3">
        <v>45528</v>
      </c>
      <c r="E2277" s="2">
        <v>6664</v>
      </c>
    </row>
    <row r="2278" spans="1:5" x14ac:dyDescent="0.3">
      <c r="A2278" t="s">
        <v>26</v>
      </c>
      <c r="B2278" t="s">
        <v>9</v>
      </c>
      <c r="C2278" t="s">
        <v>17</v>
      </c>
      <c r="D2278" s="3">
        <v>45528</v>
      </c>
      <c r="E2278" s="2">
        <v>8541</v>
      </c>
    </row>
    <row r="2279" spans="1:5" x14ac:dyDescent="0.3">
      <c r="A2279" t="s">
        <v>27</v>
      </c>
      <c r="B2279" t="s">
        <v>9</v>
      </c>
      <c r="C2279" t="s">
        <v>14</v>
      </c>
      <c r="D2279" s="3">
        <v>45529</v>
      </c>
      <c r="E2279" s="2">
        <v>4410</v>
      </c>
    </row>
    <row r="2280" spans="1:5" x14ac:dyDescent="0.3">
      <c r="A2280" t="s">
        <v>24</v>
      </c>
      <c r="B2280" t="s">
        <v>21</v>
      </c>
      <c r="C2280" t="s">
        <v>23</v>
      </c>
      <c r="D2280" s="3">
        <v>45529</v>
      </c>
      <c r="E2280" s="2">
        <v>7357</v>
      </c>
    </row>
    <row r="2281" spans="1:5" x14ac:dyDescent="0.3">
      <c r="A2281" t="s">
        <v>15</v>
      </c>
      <c r="B2281" t="s">
        <v>16</v>
      </c>
      <c r="C2281" t="s">
        <v>25</v>
      </c>
      <c r="D2281" s="3">
        <v>45529</v>
      </c>
      <c r="E2281" s="2">
        <v>11397</v>
      </c>
    </row>
    <row r="2282" spans="1:5" x14ac:dyDescent="0.3">
      <c r="A2282" t="s">
        <v>27</v>
      </c>
      <c r="B2282" t="s">
        <v>9</v>
      </c>
      <c r="C2282" t="s">
        <v>7</v>
      </c>
      <c r="D2282" s="3">
        <v>45529</v>
      </c>
      <c r="E2282" s="2">
        <v>13415</v>
      </c>
    </row>
    <row r="2283" spans="1:5" x14ac:dyDescent="0.3">
      <c r="A2283" t="s">
        <v>30</v>
      </c>
      <c r="B2283" t="s">
        <v>16</v>
      </c>
      <c r="C2283" t="s">
        <v>28</v>
      </c>
      <c r="D2283" s="3">
        <v>45529</v>
      </c>
      <c r="E2283" s="2">
        <v>13782</v>
      </c>
    </row>
    <row r="2284" spans="1:5" x14ac:dyDescent="0.3">
      <c r="A2284" t="s">
        <v>22</v>
      </c>
      <c r="B2284" t="s">
        <v>11</v>
      </c>
      <c r="C2284" t="s">
        <v>17</v>
      </c>
      <c r="D2284" s="3">
        <v>45529</v>
      </c>
      <c r="E2284" s="2">
        <v>3701</v>
      </c>
    </row>
    <row r="2285" spans="1:5" x14ac:dyDescent="0.3">
      <c r="A2285" t="s">
        <v>18</v>
      </c>
      <c r="B2285" t="s">
        <v>13</v>
      </c>
      <c r="C2285" t="s">
        <v>12</v>
      </c>
      <c r="D2285" s="3">
        <v>45529</v>
      </c>
      <c r="E2285" s="2">
        <v>5454</v>
      </c>
    </row>
    <row r="2286" spans="1:5" x14ac:dyDescent="0.3">
      <c r="A2286" t="s">
        <v>31</v>
      </c>
      <c r="B2286" t="s">
        <v>16</v>
      </c>
      <c r="C2286" t="s">
        <v>12</v>
      </c>
      <c r="D2286" s="3">
        <v>45530</v>
      </c>
      <c r="E2286" s="2">
        <v>4732</v>
      </c>
    </row>
    <row r="2287" spans="1:5" x14ac:dyDescent="0.3">
      <c r="A2287" t="s">
        <v>33</v>
      </c>
      <c r="B2287" t="s">
        <v>6</v>
      </c>
      <c r="C2287" t="s">
        <v>12</v>
      </c>
      <c r="D2287" s="3">
        <v>45530</v>
      </c>
      <c r="E2287" s="2">
        <v>2895</v>
      </c>
    </row>
    <row r="2288" spans="1:5" x14ac:dyDescent="0.3">
      <c r="A2288" t="s">
        <v>15</v>
      </c>
      <c r="B2288" t="s">
        <v>9</v>
      </c>
      <c r="C2288" t="s">
        <v>17</v>
      </c>
      <c r="D2288" s="3">
        <v>45531</v>
      </c>
      <c r="E2288" s="2">
        <v>8244</v>
      </c>
    </row>
    <row r="2289" spans="1:5" x14ac:dyDescent="0.3">
      <c r="A2289" t="s">
        <v>10</v>
      </c>
      <c r="B2289" t="s">
        <v>6</v>
      </c>
      <c r="C2289" t="s">
        <v>19</v>
      </c>
      <c r="D2289" s="3">
        <v>45532</v>
      </c>
      <c r="E2289" s="2">
        <v>11560</v>
      </c>
    </row>
    <row r="2290" spans="1:5" x14ac:dyDescent="0.3">
      <c r="A2290" t="s">
        <v>8</v>
      </c>
      <c r="B2290" t="s">
        <v>9</v>
      </c>
      <c r="C2290" t="s">
        <v>7</v>
      </c>
      <c r="D2290" s="3">
        <v>45532</v>
      </c>
      <c r="E2290" s="2">
        <v>1809</v>
      </c>
    </row>
    <row r="2291" spans="1:5" x14ac:dyDescent="0.3">
      <c r="A2291" t="s">
        <v>5</v>
      </c>
      <c r="B2291" t="s">
        <v>13</v>
      </c>
      <c r="C2291" t="s">
        <v>17</v>
      </c>
      <c r="D2291" s="3">
        <v>45532</v>
      </c>
      <c r="E2291" s="2">
        <v>13886</v>
      </c>
    </row>
    <row r="2292" spans="1:5" x14ac:dyDescent="0.3">
      <c r="A2292" t="s">
        <v>27</v>
      </c>
      <c r="B2292" t="s">
        <v>13</v>
      </c>
      <c r="C2292" t="s">
        <v>17</v>
      </c>
      <c r="D2292" s="3">
        <v>45532</v>
      </c>
      <c r="E2292" s="2">
        <v>11077</v>
      </c>
    </row>
    <row r="2293" spans="1:5" x14ac:dyDescent="0.3">
      <c r="A2293" t="s">
        <v>31</v>
      </c>
      <c r="B2293" t="s">
        <v>6</v>
      </c>
      <c r="C2293" t="s">
        <v>12</v>
      </c>
      <c r="D2293" s="3">
        <v>45532</v>
      </c>
      <c r="E2293" s="2">
        <v>3322</v>
      </c>
    </row>
    <row r="2294" spans="1:5" x14ac:dyDescent="0.3">
      <c r="A2294" t="s">
        <v>31</v>
      </c>
      <c r="B2294" t="s">
        <v>6</v>
      </c>
      <c r="C2294" t="s">
        <v>12</v>
      </c>
      <c r="D2294" s="3">
        <v>45532</v>
      </c>
      <c r="E2294" s="2">
        <v>12371</v>
      </c>
    </row>
    <row r="2295" spans="1:5" x14ac:dyDescent="0.3">
      <c r="A2295" t="s">
        <v>27</v>
      </c>
      <c r="B2295" t="s">
        <v>16</v>
      </c>
      <c r="C2295" t="s">
        <v>7</v>
      </c>
      <c r="D2295" s="3">
        <v>45533</v>
      </c>
      <c r="E2295" s="2">
        <v>3030</v>
      </c>
    </row>
    <row r="2296" spans="1:5" x14ac:dyDescent="0.3">
      <c r="A2296" t="s">
        <v>15</v>
      </c>
      <c r="B2296" t="s">
        <v>9</v>
      </c>
      <c r="C2296" t="s">
        <v>7</v>
      </c>
      <c r="D2296" s="3">
        <v>45533</v>
      </c>
      <c r="E2296" s="2">
        <v>1999</v>
      </c>
    </row>
    <row r="2297" spans="1:5" x14ac:dyDescent="0.3">
      <c r="A2297" t="s">
        <v>32</v>
      </c>
      <c r="B2297" t="s">
        <v>21</v>
      </c>
      <c r="C2297" t="s">
        <v>28</v>
      </c>
      <c r="D2297" s="3">
        <v>45533</v>
      </c>
      <c r="E2297" s="2">
        <v>8216</v>
      </c>
    </row>
    <row r="2298" spans="1:5" x14ac:dyDescent="0.3">
      <c r="A2298" t="s">
        <v>5</v>
      </c>
      <c r="B2298" t="s">
        <v>13</v>
      </c>
      <c r="C2298" t="s">
        <v>17</v>
      </c>
      <c r="D2298" s="3">
        <v>45533</v>
      </c>
      <c r="E2298" s="2">
        <v>6045</v>
      </c>
    </row>
    <row r="2299" spans="1:5" x14ac:dyDescent="0.3">
      <c r="A2299" t="s">
        <v>18</v>
      </c>
      <c r="B2299" t="s">
        <v>6</v>
      </c>
      <c r="C2299" t="s">
        <v>25</v>
      </c>
      <c r="D2299" s="3">
        <v>45534</v>
      </c>
      <c r="E2299" s="2">
        <v>1974</v>
      </c>
    </row>
    <row r="2300" spans="1:5" x14ac:dyDescent="0.3">
      <c r="A2300" t="s">
        <v>5</v>
      </c>
      <c r="B2300" t="s">
        <v>9</v>
      </c>
      <c r="C2300" t="s">
        <v>28</v>
      </c>
      <c r="D2300" s="3">
        <v>45535</v>
      </c>
      <c r="E2300" s="2">
        <v>6362</v>
      </c>
    </row>
    <row r="2301" spans="1:5" x14ac:dyDescent="0.3">
      <c r="A2301" t="s">
        <v>18</v>
      </c>
      <c r="B2301" t="s">
        <v>11</v>
      </c>
      <c r="C2301" t="s">
        <v>12</v>
      </c>
      <c r="D2301" s="3">
        <v>45535</v>
      </c>
      <c r="E2301" s="2">
        <v>7275</v>
      </c>
    </row>
    <row r="2302" spans="1:5" x14ac:dyDescent="0.3">
      <c r="A2302" t="s">
        <v>27</v>
      </c>
      <c r="B2302" t="s">
        <v>13</v>
      </c>
      <c r="C2302" t="s">
        <v>14</v>
      </c>
      <c r="D2302" s="3">
        <v>45536</v>
      </c>
      <c r="E2302" s="2">
        <v>2725</v>
      </c>
    </row>
    <row r="2303" spans="1:5" x14ac:dyDescent="0.3">
      <c r="A2303" t="s">
        <v>29</v>
      </c>
      <c r="B2303" t="s">
        <v>13</v>
      </c>
      <c r="C2303" t="s">
        <v>14</v>
      </c>
      <c r="D2303" s="3">
        <v>45536</v>
      </c>
      <c r="E2303" s="2">
        <v>7817</v>
      </c>
    </row>
    <row r="2304" spans="1:5" x14ac:dyDescent="0.3">
      <c r="A2304" t="s">
        <v>8</v>
      </c>
      <c r="B2304" t="s">
        <v>16</v>
      </c>
      <c r="C2304" t="s">
        <v>19</v>
      </c>
      <c r="D2304" s="3">
        <v>45536</v>
      </c>
      <c r="E2304" s="2">
        <v>10749</v>
      </c>
    </row>
    <row r="2305" spans="1:5" x14ac:dyDescent="0.3">
      <c r="A2305" t="s">
        <v>26</v>
      </c>
      <c r="B2305" t="s">
        <v>16</v>
      </c>
      <c r="C2305" t="s">
        <v>25</v>
      </c>
      <c r="D2305" s="3">
        <v>45536</v>
      </c>
      <c r="E2305" s="2">
        <v>3218</v>
      </c>
    </row>
    <row r="2306" spans="1:5" x14ac:dyDescent="0.3">
      <c r="A2306" t="s">
        <v>29</v>
      </c>
      <c r="B2306" t="s">
        <v>21</v>
      </c>
      <c r="C2306" t="s">
        <v>12</v>
      </c>
      <c r="D2306" s="3">
        <v>45536</v>
      </c>
      <c r="E2306" s="2">
        <v>11259</v>
      </c>
    </row>
    <row r="2307" spans="1:5" x14ac:dyDescent="0.3">
      <c r="A2307" t="s">
        <v>31</v>
      </c>
      <c r="B2307" t="s">
        <v>13</v>
      </c>
      <c r="C2307" t="s">
        <v>14</v>
      </c>
      <c r="D2307" s="3">
        <v>45537</v>
      </c>
      <c r="E2307" s="2">
        <v>12271</v>
      </c>
    </row>
    <row r="2308" spans="1:5" x14ac:dyDescent="0.3">
      <c r="A2308" t="s">
        <v>22</v>
      </c>
      <c r="B2308" t="s">
        <v>13</v>
      </c>
      <c r="C2308" t="s">
        <v>14</v>
      </c>
      <c r="D2308" s="3">
        <v>45537</v>
      </c>
      <c r="E2308" s="2">
        <v>9495</v>
      </c>
    </row>
    <row r="2309" spans="1:5" x14ac:dyDescent="0.3">
      <c r="A2309" t="s">
        <v>33</v>
      </c>
      <c r="B2309" t="s">
        <v>9</v>
      </c>
      <c r="C2309" t="s">
        <v>25</v>
      </c>
      <c r="D2309" s="3">
        <v>45537</v>
      </c>
      <c r="E2309" s="2">
        <v>2314</v>
      </c>
    </row>
    <row r="2310" spans="1:5" x14ac:dyDescent="0.3">
      <c r="A2310" t="s">
        <v>30</v>
      </c>
      <c r="B2310" t="s">
        <v>16</v>
      </c>
      <c r="C2310" t="s">
        <v>17</v>
      </c>
      <c r="D2310" s="3">
        <v>45537</v>
      </c>
      <c r="E2310" s="2">
        <v>13308</v>
      </c>
    </row>
    <row r="2311" spans="1:5" x14ac:dyDescent="0.3">
      <c r="A2311" t="s">
        <v>8</v>
      </c>
      <c r="B2311" t="s">
        <v>6</v>
      </c>
      <c r="C2311" t="s">
        <v>12</v>
      </c>
      <c r="D2311" s="3">
        <v>45537</v>
      </c>
      <c r="E2311" s="2">
        <v>2474</v>
      </c>
    </row>
    <row r="2312" spans="1:5" x14ac:dyDescent="0.3">
      <c r="A2312" t="s">
        <v>8</v>
      </c>
      <c r="B2312" t="s">
        <v>11</v>
      </c>
      <c r="C2312" t="s">
        <v>14</v>
      </c>
      <c r="D2312" s="3">
        <v>45538</v>
      </c>
      <c r="E2312" s="2">
        <v>8218</v>
      </c>
    </row>
    <row r="2313" spans="1:5" x14ac:dyDescent="0.3">
      <c r="A2313" t="s">
        <v>32</v>
      </c>
      <c r="B2313" t="s">
        <v>13</v>
      </c>
      <c r="C2313" t="s">
        <v>23</v>
      </c>
      <c r="D2313" s="3">
        <v>45538</v>
      </c>
      <c r="E2313" s="2">
        <v>1410</v>
      </c>
    </row>
    <row r="2314" spans="1:5" x14ac:dyDescent="0.3">
      <c r="A2314" t="s">
        <v>18</v>
      </c>
      <c r="B2314" t="s">
        <v>6</v>
      </c>
      <c r="C2314" t="s">
        <v>7</v>
      </c>
      <c r="D2314" s="3">
        <v>45538</v>
      </c>
      <c r="E2314" s="2">
        <v>4999</v>
      </c>
    </row>
    <row r="2315" spans="1:5" x14ac:dyDescent="0.3">
      <c r="A2315" t="s">
        <v>32</v>
      </c>
      <c r="B2315" t="s">
        <v>13</v>
      </c>
      <c r="C2315" t="s">
        <v>28</v>
      </c>
      <c r="D2315" s="3">
        <v>45538</v>
      </c>
      <c r="E2315" s="2">
        <v>4057</v>
      </c>
    </row>
    <row r="2316" spans="1:5" x14ac:dyDescent="0.3">
      <c r="A2316" t="s">
        <v>15</v>
      </c>
      <c r="B2316" t="s">
        <v>13</v>
      </c>
      <c r="C2316" t="s">
        <v>25</v>
      </c>
      <c r="D2316" s="3">
        <v>45539</v>
      </c>
      <c r="E2316" s="2">
        <v>1416</v>
      </c>
    </row>
    <row r="2317" spans="1:5" x14ac:dyDescent="0.3">
      <c r="A2317" t="s">
        <v>8</v>
      </c>
      <c r="B2317" t="s">
        <v>21</v>
      </c>
      <c r="C2317" t="s">
        <v>14</v>
      </c>
      <c r="D2317" s="3">
        <v>45540</v>
      </c>
      <c r="E2317" s="2">
        <v>12083</v>
      </c>
    </row>
    <row r="2318" spans="1:5" x14ac:dyDescent="0.3">
      <c r="A2318" t="s">
        <v>29</v>
      </c>
      <c r="B2318" t="s">
        <v>11</v>
      </c>
      <c r="C2318" t="s">
        <v>19</v>
      </c>
      <c r="D2318" s="3">
        <v>45540</v>
      </c>
      <c r="E2318" s="2">
        <v>7883</v>
      </c>
    </row>
    <row r="2319" spans="1:5" x14ac:dyDescent="0.3">
      <c r="A2319" t="s">
        <v>10</v>
      </c>
      <c r="B2319" t="s">
        <v>6</v>
      </c>
      <c r="C2319" t="s">
        <v>12</v>
      </c>
      <c r="D2319" s="3">
        <v>45540</v>
      </c>
      <c r="E2319" s="2">
        <v>10376</v>
      </c>
    </row>
    <row r="2320" spans="1:5" x14ac:dyDescent="0.3">
      <c r="A2320" t="s">
        <v>8</v>
      </c>
      <c r="B2320" t="s">
        <v>11</v>
      </c>
      <c r="C2320" t="s">
        <v>12</v>
      </c>
      <c r="D2320" s="3">
        <v>45540</v>
      </c>
      <c r="E2320" s="2">
        <v>8729</v>
      </c>
    </row>
    <row r="2321" spans="1:5" x14ac:dyDescent="0.3">
      <c r="A2321" t="s">
        <v>32</v>
      </c>
      <c r="B2321" t="s">
        <v>21</v>
      </c>
      <c r="C2321" t="s">
        <v>23</v>
      </c>
      <c r="D2321" s="3">
        <v>45541</v>
      </c>
      <c r="E2321" s="2">
        <v>6213</v>
      </c>
    </row>
    <row r="2322" spans="1:5" x14ac:dyDescent="0.3">
      <c r="A2322" t="s">
        <v>26</v>
      </c>
      <c r="B2322" t="s">
        <v>6</v>
      </c>
      <c r="C2322" t="s">
        <v>28</v>
      </c>
      <c r="D2322" s="3">
        <v>45541</v>
      </c>
      <c r="E2322" s="2">
        <v>5104</v>
      </c>
    </row>
    <row r="2323" spans="1:5" x14ac:dyDescent="0.3">
      <c r="A2323" t="s">
        <v>10</v>
      </c>
      <c r="B2323" t="s">
        <v>9</v>
      </c>
      <c r="C2323" t="s">
        <v>28</v>
      </c>
      <c r="D2323" s="3">
        <v>45541</v>
      </c>
      <c r="E2323" s="2">
        <v>3173</v>
      </c>
    </row>
    <row r="2324" spans="1:5" x14ac:dyDescent="0.3">
      <c r="A2324" t="s">
        <v>27</v>
      </c>
      <c r="B2324" t="s">
        <v>9</v>
      </c>
      <c r="C2324" t="s">
        <v>17</v>
      </c>
      <c r="D2324" s="3">
        <v>45541</v>
      </c>
      <c r="E2324" s="2">
        <v>6405</v>
      </c>
    </row>
    <row r="2325" spans="1:5" x14ac:dyDescent="0.3">
      <c r="A2325" t="s">
        <v>20</v>
      </c>
      <c r="B2325" t="s">
        <v>16</v>
      </c>
      <c r="C2325" t="s">
        <v>14</v>
      </c>
      <c r="D2325" s="3">
        <v>45542</v>
      </c>
      <c r="E2325" s="2">
        <v>9536</v>
      </c>
    </row>
    <row r="2326" spans="1:5" x14ac:dyDescent="0.3">
      <c r="A2326" t="s">
        <v>10</v>
      </c>
      <c r="B2326" t="s">
        <v>9</v>
      </c>
      <c r="C2326" t="s">
        <v>19</v>
      </c>
      <c r="D2326" s="3">
        <v>45542</v>
      </c>
      <c r="E2326" s="2">
        <v>7869</v>
      </c>
    </row>
    <row r="2327" spans="1:5" x14ac:dyDescent="0.3">
      <c r="A2327" t="s">
        <v>15</v>
      </c>
      <c r="B2327" t="s">
        <v>11</v>
      </c>
      <c r="C2327" t="s">
        <v>25</v>
      </c>
      <c r="D2327" s="3">
        <v>45542</v>
      </c>
      <c r="E2327" s="2">
        <v>8219</v>
      </c>
    </row>
    <row r="2328" spans="1:5" x14ac:dyDescent="0.3">
      <c r="A2328" t="s">
        <v>29</v>
      </c>
      <c r="B2328" t="s">
        <v>13</v>
      </c>
      <c r="C2328" t="s">
        <v>25</v>
      </c>
      <c r="D2328" s="3">
        <v>45542</v>
      </c>
      <c r="E2328" s="2">
        <v>13605</v>
      </c>
    </row>
    <row r="2329" spans="1:5" x14ac:dyDescent="0.3">
      <c r="A2329" t="s">
        <v>8</v>
      </c>
      <c r="B2329" t="s">
        <v>21</v>
      </c>
      <c r="C2329" t="s">
        <v>7</v>
      </c>
      <c r="D2329" s="3">
        <v>45542</v>
      </c>
      <c r="E2329" s="2">
        <v>7361</v>
      </c>
    </row>
    <row r="2330" spans="1:5" x14ac:dyDescent="0.3">
      <c r="A2330" t="s">
        <v>29</v>
      </c>
      <c r="B2330" t="s">
        <v>21</v>
      </c>
      <c r="C2330" t="s">
        <v>28</v>
      </c>
      <c r="D2330" s="3">
        <v>45542</v>
      </c>
      <c r="E2330" s="2">
        <v>5566</v>
      </c>
    </row>
    <row r="2331" spans="1:5" x14ac:dyDescent="0.3">
      <c r="A2331" t="s">
        <v>22</v>
      </c>
      <c r="B2331" t="s">
        <v>16</v>
      </c>
      <c r="C2331" t="s">
        <v>17</v>
      </c>
      <c r="D2331" s="3">
        <v>45542</v>
      </c>
      <c r="E2331" s="2">
        <v>8810</v>
      </c>
    </row>
    <row r="2332" spans="1:5" x14ac:dyDescent="0.3">
      <c r="A2332" t="s">
        <v>32</v>
      </c>
      <c r="B2332" t="s">
        <v>9</v>
      </c>
      <c r="C2332" t="s">
        <v>23</v>
      </c>
      <c r="D2332" s="3">
        <v>45543</v>
      </c>
      <c r="E2332" s="2">
        <v>3775</v>
      </c>
    </row>
    <row r="2333" spans="1:5" x14ac:dyDescent="0.3">
      <c r="A2333" t="s">
        <v>33</v>
      </c>
      <c r="B2333" t="s">
        <v>21</v>
      </c>
      <c r="C2333" t="s">
        <v>7</v>
      </c>
      <c r="D2333" s="3">
        <v>45543</v>
      </c>
      <c r="E2333" s="2">
        <v>13347</v>
      </c>
    </row>
    <row r="2334" spans="1:5" x14ac:dyDescent="0.3">
      <c r="A2334" t="s">
        <v>29</v>
      </c>
      <c r="B2334" t="s">
        <v>9</v>
      </c>
      <c r="C2334" t="s">
        <v>28</v>
      </c>
      <c r="D2334" s="3">
        <v>45543</v>
      </c>
      <c r="E2334" s="2">
        <v>6113</v>
      </c>
    </row>
    <row r="2335" spans="1:5" x14ac:dyDescent="0.3">
      <c r="A2335" t="s">
        <v>31</v>
      </c>
      <c r="B2335" t="s">
        <v>16</v>
      </c>
      <c r="C2335" t="s">
        <v>19</v>
      </c>
      <c r="D2335" s="3">
        <v>45544</v>
      </c>
      <c r="E2335" s="2">
        <v>10795</v>
      </c>
    </row>
    <row r="2336" spans="1:5" x14ac:dyDescent="0.3">
      <c r="A2336" t="s">
        <v>32</v>
      </c>
      <c r="B2336" t="s">
        <v>9</v>
      </c>
      <c r="C2336" t="s">
        <v>19</v>
      </c>
      <c r="D2336" s="3">
        <v>45544</v>
      </c>
      <c r="E2336" s="2">
        <v>4258</v>
      </c>
    </row>
    <row r="2337" spans="1:5" x14ac:dyDescent="0.3">
      <c r="A2337" t="s">
        <v>29</v>
      </c>
      <c r="B2337" t="s">
        <v>6</v>
      </c>
      <c r="C2337" t="s">
        <v>25</v>
      </c>
      <c r="D2337" s="3">
        <v>45544</v>
      </c>
      <c r="E2337" s="2">
        <v>9132</v>
      </c>
    </row>
    <row r="2338" spans="1:5" x14ac:dyDescent="0.3">
      <c r="A2338" t="s">
        <v>5</v>
      </c>
      <c r="B2338" t="s">
        <v>6</v>
      </c>
      <c r="C2338" t="s">
        <v>17</v>
      </c>
      <c r="D2338" s="3">
        <v>45544</v>
      </c>
      <c r="E2338" s="2">
        <v>11289</v>
      </c>
    </row>
    <row r="2339" spans="1:5" x14ac:dyDescent="0.3">
      <c r="A2339" t="s">
        <v>31</v>
      </c>
      <c r="B2339" t="s">
        <v>13</v>
      </c>
      <c r="C2339" t="s">
        <v>12</v>
      </c>
      <c r="D2339" s="3">
        <v>45544</v>
      </c>
      <c r="E2339" s="2">
        <v>10318</v>
      </c>
    </row>
    <row r="2340" spans="1:5" x14ac:dyDescent="0.3">
      <c r="A2340" t="s">
        <v>8</v>
      </c>
      <c r="B2340" t="s">
        <v>9</v>
      </c>
      <c r="C2340" t="s">
        <v>19</v>
      </c>
      <c r="D2340" s="3">
        <v>45545</v>
      </c>
      <c r="E2340" s="2">
        <v>10946</v>
      </c>
    </row>
    <row r="2341" spans="1:5" x14ac:dyDescent="0.3">
      <c r="A2341" t="s">
        <v>27</v>
      </c>
      <c r="B2341" t="s">
        <v>21</v>
      </c>
      <c r="C2341" t="s">
        <v>25</v>
      </c>
      <c r="D2341" s="3">
        <v>45545</v>
      </c>
      <c r="E2341" s="2">
        <v>2231</v>
      </c>
    </row>
    <row r="2342" spans="1:5" x14ac:dyDescent="0.3">
      <c r="A2342" t="s">
        <v>8</v>
      </c>
      <c r="B2342" t="s">
        <v>9</v>
      </c>
      <c r="C2342" t="s">
        <v>25</v>
      </c>
      <c r="D2342" s="3">
        <v>45545</v>
      </c>
      <c r="E2342" s="2">
        <v>10150</v>
      </c>
    </row>
    <row r="2343" spans="1:5" x14ac:dyDescent="0.3">
      <c r="A2343" t="s">
        <v>26</v>
      </c>
      <c r="B2343" t="s">
        <v>13</v>
      </c>
      <c r="C2343" t="s">
        <v>19</v>
      </c>
      <c r="D2343" s="3">
        <v>45546</v>
      </c>
      <c r="E2343" s="2">
        <v>13027</v>
      </c>
    </row>
    <row r="2344" spans="1:5" x14ac:dyDescent="0.3">
      <c r="A2344" t="s">
        <v>5</v>
      </c>
      <c r="B2344" t="s">
        <v>9</v>
      </c>
      <c r="C2344" t="s">
        <v>19</v>
      </c>
      <c r="D2344" s="3">
        <v>45546</v>
      </c>
      <c r="E2344" s="2">
        <v>9338</v>
      </c>
    </row>
    <row r="2345" spans="1:5" x14ac:dyDescent="0.3">
      <c r="A2345" t="s">
        <v>24</v>
      </c>
      <c r="B2345" t="s">
        <v>6</v>
      </c>
      <c r="C2345" t="s">
        <v>19</v>
      </c>
      <c r="D2345" s="3">
        <v>45546</v>
      </c>
      <c r="E2345" s="2">
        <v>7685</v>
      </c>
    </row>
    <row r="2346" spans="1:5" x14ac:dyDescent="0.3">
      <c r="A2346" t="s">
        <v>5</v>
      </c>
      <c r="B2346" t="s">
        <v>16</v>
      </c>
      <c r="C2346" t="s">
        <v>28</v>
      </c>
      <c r="D2346" s="3">
        <v>45546</v>
      </c>
      <c r="E2346" s="2">
        <v>3339</v>
      </c>
    </row>
    <row r="2347" spans="1:5" x14ac:dyDescent="0.3">
      <c r="A2347" t="s">
        <v>24</v>
      </c>
      <c r="B2347" t="s">
        <v>16</v>
      </c>
      <c r="C2347" t="s">
        <v>17</v>
      </c>
      <c r="D2347" s="3">
        <v>45546</v>
      </c>
      <c r="E2347" s="2">
        <v>4610</v>
      </c>
    </row>
    <row r="2348" spans="1:5" x14ac:dyDescent="0.3">
      <c r="A2348" t="s">
        <v>5</v>
      </c>
      <c r="B2348" t="s">
        <v>16</v>
      </c>
      <c r="C2348" t="s">
        <v>14</v>
      </c>
      <c r="D2348" s="3">
        <v>45547</v>
      </c>
      <c r="E2348" s="2">
        <v>11031</v>
      </c>
    </row>
    <row r="2349" spans="1:5" x14ac:dyDescent="0.3">
      <c r="A2349" t="s">
        <v>10</v>
      </c>
      <c r="B2349" t="s">
        <v>6</v>
      </c>
      <c r="C2349" t="s">
        <v>25</v>
      </c>
      <c r="D2349" s="3">
        <v>45547</v>
      </c>
      <c r="E2349" s="2">
        <v>8585</v>
      </c>
    </row>
    <row r="2350" spans="1:5" x14ac:dyDescent="0.3">
      <c r="A2350" t="s">
        <v>32</v>
      </c>
      <c r="B2350" t="s">
        <v>13</v>
      </c>
      <c r="C2350" t="s">
        <v>7</v>
      </c>
      <c r="D2350" s="3">
        <v>45547</v>
      </c>
      <c r="E2350" s="2">
        <v>6897</v>
      </c>
    </row>
    <row r="2351" spans="1:5" x14ac:dyDescent="0.3">
      <c r="A2351" t="s">
        <v>5</v>
      </c>
      <c r="B2351" t="s">
        <v>9</v>
      </c>
      <c r="C2351" t="s">
        <v>17</v>
      </c>
      <c r="D2351" s="3">
        <v>45547</v>
      </c>
      <c r="E2351" s="2">
        <v>4553</v>
      </c>
    </row>
    <row r="2352" spans="1:5" x14ac:dyDescent="0.3">
      <c r="A2352" t="s">
        <v>29</v>
      </c>
      <c r="B2352" t="s">
        <v>6</v>
      </c>
      <c r="C2352" t="s">
        <v>14</v>
      </c>
      <c r="D2352" s="3">
        <v>45548</v>
      </c>
      <c r="E2352" s="2">
        <v>10090</v>
      </c>
    </row>
    <row r="2353" spans="1:5" x14ac:dyDescent="0.3">
      <c r="A2353" t="s">
        <v>20</v>
      </c>
      <c r="B2353" t="s">
        <v>13</v>
      </c>
      <c r="C2353" t="s">
        <v>19</v>
      </c>
      <c r="D2353" s="3">
        <v>45548</v>
      </c>
      <c r="E2353" s="2">
        <v>9609</v>
      </c>
    </row>
    <row r="2354" spans="1:5" x14ac:dyDescent="0.3">
      <c r="A2354" t="s">
        <v>26</v>
      </c>
      <c r="B2354" t="s">
        <v>21</v>
      </c>
      <c r="C2354" t="s">
        <v>7</v>
      </c>
      <c r="D2354" s="3">
        <v>45548</v>
      </c>
      <c r="E2354" s="2">
        <v>3523</v>
      </c>
    </row>
    <row r="2355" spans="1:5" x14ac:dyDescent="0.3">
      <c r="A2355" t="s">
        <v>26</v>
      </c>
      <c r="B2355" t="s">
        <v>11</v>
      </c>
      <c r="C2355" t="s">
        <v>7</v>
      </c>
      <c r="D2355" s="3">
        <v>45548</v>
      </c>
      <c r="E2355" s="2">
        <v>1664</v>
      </c>
    </row>
    <row r="2356" spans="1:5" x14ac:dyDescent="0.3">
      <c r="A2356" t="s">
        <v>30</v>
      </c>
      <c r="B2356" t="s">
        <v>21</v>
      </c>
      <c r="C2356" t="s">
        <v>17</v>
      </c>
      <c r="D2356" s="3">
        <v>45548</v>
      </c>
      <c r="E2356" s="2">
        <v>1887</v>
      </c>
    </row>
    <row r="2357" spans="1:5" x14ac:dyDescent="0.3">
      <c r="A2357" t="s">
        <v>24</v>
      </c>
      <c r="B2357" t="s">
        <v>21</v>
      </c>
      <c r="C2357" t="s">
        <v>12</v>
      </c>
      <c r="D2357" s="3">
        <v>45548</v>
      </c>
      <c r="E2357" s="2">
        <v>9118</v>
      </c>
    </row>
    <row r="2358" spans="1:5" x14ac:dyDescent="0.3">
      <c r="A2358" t="s">
        <v>24</v>
      </c>
      <c r="B2358" t="s">
        <v>13</v>
      </c>
      <c r="C2358" t="s">
        <v>14</v>
      </c>
      <c r="D2358" s="3">
        <v>45549</v>
      </c>
      <c r="E2358" s="2">
        <v>11810</v>
      </c>
    </row>
    <row r="2359" spans="1:5" x14ac:dyDescent="0.3">
      <c r="A2359" t="s">
        <v>18</v>
      </c>
      <c r="B2359" t="s">
        <v>16</v>
      </c>
      <c r="C2359" t="s">
        <v>14</v>
      </c>
      <c r="D2359" s="3">
        <v>45549</v>
      </c>
      <c r="E2359" s="2">
        <v>7486</v>
      </c>
    </row>
    <row r="2360" spans="1:5" x14ac:dyDescent="0.3">
      <c r="A2360" t="s">
        <v>5</v>
      </c>
      <c r="B2360" t="s">
        <v>11</v>
      </c>
      <c r="C2360" t="s">
        <v>19</v>
      </c>
      <c r="D2360" s="3">
        <v>45549</v>
      </c>
      <c r="E2360" s="2">
        <v>12682</v>
      </c>
    </row>
    <row r="2361" spans="1:5" x14ac:dyDescent="0.3">
      <c r="A2361" t="s">
        <v>15</v>
      </c>
      <c r="B2361" t="s">
        <v>16</v>
      </c>
      <c r="C2361" t="s">
        <v>25</v>
      </c>
      <c r="D2361" s="3">
        <v>45549</v>
      </c>
      <c r="E2361" s="2">
        <v>13765</v>
      </c>
    </row>
    <row r="2362" spans="1:5" x14ac:dyDescent="0.3">
      <c r="A2362" t="s">
        <v>22</v>
      </c>
      <c r="B2362" t="s">
        <v>21</v>
      </c>
      <c r="C2362" t="s">
        <v>28</v>
      </c>
      <c r="D2362" s="3">
        <v>45549</v>
      </c>
      <c r="E2362" s="2">
        <v>2910</v>
      </c>
    </row>
    <row r="2363" spans="1:5" x14ac:dyDescent="0.3">
      <c r="A2363" t="s">
        <v>8</v>
      </c>
      <c r="B2363" t="s">
        <v>21</v>
      </c>
      <c r="C2363" t="s">
        <v>17</v>
      </c>
      <c r="D2363" s="3">
        <v>45550</v>
      </c>
      <c r="E2363" s="2">
        <v>9564</v>
      </c>
    </row>
    <row r="2364" spans="1:5" x14ac:dyDescent="0.3">
      <c r="A2364" t="s">
        <v>8</v>
      </c>
      <c r="B2364" t="s">
        <v>6</v>
      </c>
      <c r="C2364" t="s">
        <v>19</v>
      </c>
      <c r="D2364" s="3">
        <v>45552</v>
      </c>
      <c r="E2364" s="2">
        <v>13904</v>
      </c>
    </row>
    <row r="2365" spans="1:5" x14ac:dyDescent="0.3">
      <c r="A2365" t="s">
        <v>27</v>
      </c>
      <c r="B2365" t="s">
        <v>13</v>
      </c>
      <c r="C2365" t="s">
        <v>23</v>
      </c>
      <c r="D2365" s="3">
        <v>45552</v>
      </c>
      <c r="E2365" s="2">
        <v>12771</v>
      </c>
    </row>
    <row r="2366" spans="1:5" x14ac:dyDescent="0.3">
      <c r="A2366" t="s">
        <v>31</v>
      </c>
      <c r="B2366" t="s">
        <v>21</v>
      </c>
      <c r="C2366" t="s">
        <v>7</v>
      </c>
      <c r="D2366" s="3">
        <v>45552</v>
      </c>
      <c r="E2366" s="2">
        <v>2790</v>
      </c>
    </row>
    <row r="2367" spans="1:5" x14ac:dyDescent="0.3">
      <c r="A2367" t="s">
        <v>24</v>
      </c>
      <c r="B2367" t="s">
        <v>6</v>
      </c>
      <c r="C2367" t="s">
        <v>14</v>
      </c>
      <c r="D2367" s="3">
        <v>45553</v>
      </c>
      <c r="E2367" s="2">
        <v>12889</v>
      </c>
    </row>
    <row r="2368" spans="1:5" x14ac:dyDescent="0.3">
      <c r="A2368" t="s">
        <v>26</v>
      </c>
      <c r="B2368" t="s">
        <v>21</v>
      </c>
      <c r="C2368" t="s">
        <v>14</v>
      </c>
      <c r="D2368" s="3">
        <v>45553</v>
      </c>
      <c r="E2368" s="2">
        <v>10817</v>
      </c>
    </row>
    <row r="2369" spans="1:5" x14ac:dyDescent="0.3">
      <c r="A2369" t="s">
        <v>15</v>
      </c>
      <c r="B2369" t="s">
        <v>21</v>
      </c>
      <c r="C2369" t="s">
        <v>23</v>
      </c>
      <c r="D2369" s="3">
        <v>45553</v>
      </c>
      <c r="E2369" s="2">
        <v>9008</v>
      </c>
    </row>
    <row r="2370" spans="1:5" x14ac:dyDescent="0.3">
      <c r="A2370" t="s">
        <v>26</v>
      </c>
      <c r="B2370" t="s">
        <v>16</v>
      </c>
      <c r="C2370" t="s">
        <v>25</v>
      </c>
      <c r="D2370" s="3">
        <v>45553</v>
      </c>
      <c r="E2370" s="2">
        <v>7068</v>
      </c>
    </row>
    <row r="2371" spans="1:5" x14ac:dyDescent="0.3">
      <c r="A2371" t="s">
        <v>29</v>
      </c>
      <c r="B2371" t="s">
        <v>21</v>
      </c>
      <c r="C2371" t="s">
        <v>12</v>
      </c>
      <c r="D2371" s="3">
        <v>45554</v>
      </c>
      <c r="E2371" s="2">
        <v>1071</v>
      </c>
    </row>
    <row r="2372" spans="1:5" x14ac:dyDescent="0.3">
      <c r="A2372" t="s">
        <v>10</v>
      </c>
      <c r="B2372" t="s">
        <v>6</v>
      </c>
      <c r="C2372" t="s">
        <v>14</v>
      </c>
      <c r="D2372" s="3">
        <v>45555</v>
      </c>
      <c r="E2372" s="2">
        <v>12711</v>
      </c>
    </row>
    <row r="2373" spans="1:5" x14ac:dyDescent="0.3">
      <c r="A2373" t="s">
        <v>5</v>
      </c>
      <c r="B2373" t="s">
        <v>11</v>
      </c>
      <c r="C2373" t="s">
        <v>14</v>
      </c>
      <c r="D2373" s="3">
        <v>45555</v>
      </c>
      <c r="E2373" s="2">
        <v>1355</v>
      </c>
    </row>
    <row r="2374" spans="1:5" x14ac:dyDescent="0.3">
      <c r="A2374" t="s">
        <v>27</v>
      </c>
      <c r="B2374" t="s">
        <v>11</v>
      </c>
      <c r="C2374" t="s">
        <v>19</v>
      </c>
      <c r="D2374" s="3">
        <v>45555</v>
      </c>
      <c r="E2374" s="2">
        <v>13331</v>
      </c>
    </row>
    <row r="2375" spans="1:5" x14ac:dyDescent="0.3">
      <c r="A2375" t="s">
        <v>32</v>
      </c>
      <c r="B2375" t="s">
        <v>9</v>
      </c>
      <c r="C2375" t="s">
        <v>23</v>
      </c>
      <c r="D2375" s="3">
        <v>45555</v>
      </c>
      <c r="E2375" s="2">
        <v>2290</v>
      </c>
    </row>
    <row r="2376" spans="1:5" x14ac:dyDescent="0.3">
      <c r="A2376" t="s">
        <v>33</v>
      </c>
      <c r="B2376" t="s">
        <v>6</v>
      </c>
      <c r="C2376" t="s">
        <v>7</v>
      </c>
      <c r="D2376" s="3">
        <v>45555</v>
      </c>
      <c r="E2376" s="2">
        <v>2435</v>
      </c>
    </row>
    <row r="2377" spans="1:5" x14ac:dyDescent="0.3">
      <c r="A2377" t="s">
        <v>26</v>
      </c>
      <c r="B2377" t="s">
        <v>13</v>
      </c>
      <c r="C2377" t="s">
        <v>28</v>
      </c>
      <c r="D2377" s="3">
        <v>45555</v>
      </c>
      <c r="E2377" s="2">
        <v>7851</v>
      </c>
    </row>
    <row r="2378" spans="1:5" x14ac:dyDescent="0.3">
      <c r="A2378" t="s">
        <v>22</v>
      </c>
      <c r="B2378" t="s">
        <v>21</v>
      </c>
      <c r="C2378" t="s">
        <v>17</v>
      </c>
      <c r="D2378" s="3">
        <v>45555</v>
      </c>
      <c r="E2378" s="2">
        <v>1908</v>
      </c>
    </row>
    <row r="2379" spans="1:5" x14ac:dyDescent="0.3">
      <c r="A2379" t="s">
        <v>27</v>
      </c>
      <c r="B2379" t="s">
        <v>16</v>
      </c>
      <c r="C2379" t="s">
        <v>14</v>
      </c>
      <c r="D2379" s="3">
        <v>45556</v>
      </c>
      <c r="E2379" s="2">
        <v>1491</v>
      </c>
    </row>
    <row r="2380" spans="1:5" x14ac:dyDescent="0.3">
      <c r="A2380" t="s">
        <v>33</v>
      </c>
      <c r="B2380" t="s">
        <v>21</v>
      </c>
      <c r="C2380" t="s">
        <v>19</v>
      </c>
      <c r="D2380" s="3">
        <v>45557</v>
      </c>
      <c r="E2380" s="2">
        <v>6992</v>
      </c>
    </row>
    <row r="2381" spans="1:5" x14ac:dyDescent="0.3">
      <c r="A2381" t="s">
        <v>18</v>
      </c>
      <c r="B2381" t="s">
        <v>6</v>
      </c>
      <c r="C2381" t="s">
        <v>25</v>
      </c>
      <c r="D2381" s="3">
        <v>45557</v>
      </c>
      <c r="E2381" s="2">
        <v>8254</v>
      </c>
    </row>
    <row r="2382" spans="1:5" x14ac:dyDescent="0.3">
      <c r="A2382" t="s">
        <v>15</v>
      </c>
      <c r="B2382" t="s">
        <v>21</v>
      </c>
      <c r="C2382" t="s">
        <v>28</v>
      </c>
      <c r="D2382" s="3">
        <v>45557</v>
      </c>
      <c r="E2382" s="2">
        <v>2307</v>
      </c>
    </row>
    <row r="2383" spans="1:5" x14ac:dyDescent="0.3">
      <c r="A2383" t="s">
        <v>8</v>
      </c>
      <c r="B2383" t="s">
        <v>21</v>
      </c>
      <c r="C2383" t="s">
        <v>25</v>
      </c>
      <c r="D2383" s="3">
        <v>45558</v>
      </c>
      <c r="E2383" s="2">
        <v>12342</v>
      </c>
    </row>
    <row r="2384" spans="1:5" x14ac:dyDescent="0.3">
      <c r="A2384" t="s">
        <v>22</v>
      </c>
      <c r="B2384" t="s">
        <v>11</v>
      </c>
      <c r="C2384" t="s">
        <v>17</v>
      </c>
      <c r="D2384" s="3">
        <v>45558</v>
      </c>
      <c r="E2384" s="2">
        <v>5801</v>
      </c>
    </row>
    <row r="2385" spans="1:5" x14ac:dyDescent="0.3">
      <c r="A2385" t="s">
        <v>18</v>
      </c>
      <c r="B2385" t="s">
        <v>11</v>
      </c>
      <c r="C2385" t="s">
        <v>12</v>
      </c>
      <c r="D2385" s="3">
        <v>45558</v>
      </c>
      <c r="E2385" s="2">
        <v>13582</v>
      </c>
    </row>
    <row r="2386" spans="1:5" x14ac:dyDescent="0.3">
      <c r="A2386" t="s">
        <v>22</v>
      </c>
      <c r="B2386" t="s">
        <v>9</v>
      </c>
      <c r="C2386" t="s">
        <v>12</v>
      </c>
      <c r="D2386" s="3">
        <v>45558</v>
      </c>
      <c r="E2386" s="2">
        <v>12074</v>
      </c>
    </row>
    <row r="2387" spans="1:5" x14ac:dyDescent="0.3">
      <c r="A2387" t="s">
        <v>31</v>
      </c>
      <c r="B2387" t="s">
        <v>21</v>
      </c>
      <c r="C2387" t="s">
        <v>25</v>
      </c>
      <c r="D2387" s="3">
        <v>45559</v>
      </c>
      <c r="E2387" s="2">
        <v>9462</v>
      </c>
    </row>
    <row r="2388" spans="1:5" x14ac:dyDescent="0.3">
      <c r="A2388" t="s">
        <v>24</v>
      </c>
      <c r="B2388" t="s">
        <v>21</v>
      </c>
      <c r="C2388" t="s">
        <v>25</v>
      </c>
      <c r="D2388" s="3">
        <v>45559</v>
      </c>
      <c r="E2388" s="2">
        <v>9988</v>
      </c>
    </row>
    <row r="2389" spans="1:5" x14ac:dyDescent="0.3">
      <c r="A2389" t="s">
        <v>32</v>
      </c>
      <c r="B2389" t="s">
        <v>13</v>
      </c>
      <c r="C2389" t="s">
        <v>28</v>
      </c>
      <c r="D2389" s="3">
        <v>45559</v>
      </c>
      <c r="E2389" s="2">
        <v>13597</v>
      </c>
    </row>
    <row r="2390" spans="1:5" x14ac:dyDescent="0.3">
      <c r="A2390" t="s">
        <v>26</v>
      </c>
      <c r="B2390" t="s">
        <v>11</v>
      </c>
      <c r="C2390" t="s">
        <v>28</v>
      </c>
      <c r="D2390" s="3">
        <v>45559</v>
      </c>
      <c r="E2390" s="2">
        <v>3976</v>
      </c>
    </row>
    <row r="2391" spans="1:5" x14ac:dyDescent="0.3">
      <c r="A2391" t="s">
        <v>22</v>
      </c>
      <c r="B2391" t="s">
        <v>13</v>
      </c>
      <c r="C2391" t="s">
        <v>23</v>
      </c>
      <c r="D2391" s="3">
        <v>45560</v>
      </c>
      <c r="E2391" s="2">
        <v>3229</v>
      </c>
    </row>
    <row r="2392" spans="1:5" x14ac:dyDescent="0.3">
      <c r="A2392" t="s">
        <v>26</v>
      </c>
      <c r="B2392" t="s">
        <v>16</v>
      </c>
      <c r="C2392" t="s">
        <v>7</v>
      </c>
      <c r="D2392" s="3">
        <v>45560</v>
      </c>
      <c r="E2392" s="2">
        <v>12782</v>
      </c>
    </row>
    <row r="2393" spans="1:5" x14ac:dyDescent="0.3">
      <c r="A2393" t="s">
        <v>20</v>
      </c>
      <c r="B2393" t="s">
        <v>13</v>
      </c>
      <c r="C2393" t="s">
        <v>14</v>
      </c>
      <c r="D2393" s="3">
        <v>45561</v>
      </c>
      <c r="E2393" s="2">
        <v>12102</v>
      </c>
    </row>
    <row r="2394" spans="1:5" x14ac:dyDescent="0.3">
      <c r="A2394" t="s">
        <v>26</v>
      </c>
      <c r="B2394" t="s">
        <v>16</v>
      </c>
      <c r="C2394" t="s">
        <v>19</v>
      </c>
      <c r="D2394" s="3">
        <v>45561</v>
      </c>
      <c r="E2394" s="2">
        <v>7677</v>
      </c>
    </row>
    <row r="2395" spans="1:5" x14ac:dyDescent="0.3">
      <c r="A2395" t="s">
        <v>20</v>
      </c>
      <c r="B2395" t="s">
        <v>13</v>
      </c>
      <c r="C2395" t="s">
        <v>25</v>
      </c>
      <c r="D2395" s="3">
        <v>45561</v>
      </c>
      <c r="E2395" s="2">
        <v>9356</v>
      </c>
    </row>
    <row r="2396" spans="1:5" x14ac:dyDescent="0.3">
      <c r="A2396" t="s">
        <v>18</v>
      </c>
      <c r="B2396" t="s">
        <v>21</v>
      </c>
      <c r="C2396" t="s">
        <v>23</v>
      </c>
      <c r="D2396" s="3">
        <v>45562</v>
      </c>
      <c r="E2396" s="2">
        <v>2039</v>
      </c>
    </row>
    <row r="2397" spans="1:5" x14ac:dyDescent="0.3">
      <c r="A2397" t="s">
        <v>8</v>
      </c>
      <c r="B2397" t="s">
        <v>13</v>
      </c>
      <c r="C2397" t="s">
        <v>7</v>
      </c>
      <c r="D2397" s="3">
        <v>45562</v>
      </c>
      <c r="E2397" s="2">
        <v>3979</v>
      </c>
    </row>
    <row r="2398" spans="1:5" x14ac:dyDescent="0.3">
      <c r="A2398" t="s">
        <v>30</v>
      </c>
      <c r="B2398" t="s">
        <v>11</v>
      </c>
      <c r="C2398" t="s">
        <v>17</v>
      </c>
      <c r="D2398" s="3">
        <v>45562</v>
      </c>
      <c r="E2398" s="2">
        <v>4822</v>
      </c>
    </row>
    <row r="2399" spans="1:5" x14ac:dyDescent="0.3">
      <c r="A2399" t="s">
        <v>24</v>
      </c>
      <c r="B2399" t="s">
        <v>21</v>
      </c>
      <c r="C2399" t="s">
        <v>14</v>
      </c>
      <c r="D2399" s="3">
        <v>45563</v>
      </c>
      <c r="E2399" s="2">
        <v>13903</v>
      </c>
    </row>
    <row r="2400" spans="1:5" x14ac:dyDescent="0.3">
      <c r="A2400" t="s">
        <v>18</v>
      </c>
      <c r="B2400" t="s">
        <v>16</v>
      </c>
      <c r="C2400" t="s">
        <v>19</v>
      </c>
      <c r="D2400" s="3">
        <v>45563</v>
      </c>
      <c r="E2400" s="2">
        <v>11353</v>
      </c>
    </row>
    <row r="2401" spans="1:5" x14ac:dyDescent="0.3">
      <c r="A2401" t="s">
        <v>8</v>
      </c>
      <c r="B2401" t="s">
        <v>11</v>
      </c>
      <c r="C2401" t="s">
        <v>12</v>
      </c>
      <c r="D2401" s="3">
        <v>45563</v>
      </c>
      <c r="E2401" s="2">
        <v>11862</v>
      </c>
    </row>
    <row r="2402" spans="1:5" x14ac:dyDescent="0.3">
      <c r="A2402" t="s">
        <v>24</v>
      </c>
      <c r="B2402" t="s">
        <v>9</v>
      </c>
      <c r="C2402" t="s">
        <v>14</v>
      </c>
      <c r="D2402" s="3">
        <v>45564</v>
      </c>
      <c r="E2402" s="2">
        <v>10626</v>
      </c>
    </row>
    <row r="2403" spans="1:5" x14ac:dyDescent="0.3">
      <c r="A2403" t="s">
        <v>15</v>
      </c>
      <c r="B2403" t="s">
        <v>13</v>
      </c>
      <c r="C2403" t="s">
        <v>25</v>
      </c>
      <c r="D2403" s="3">
        <v>45564</v>
      </c>
      <c r="E2403" s="2">
        <v>11331</v>
      </c>
    </row>
    <row r="2404" spans="1:5" x14ac:dyDescent="0.3">
      <c r="A2404" t="s">
        <v>10</v>
      </c>
      <c r="B2404" t="s">
        <v>13</v>
      </c>
      <c r="C2404" t="s">
        <v>28</v>
      </c>
      <c r="D2404" s="3">
        <v>45564</v>
      </c>
      <c r="E2404" s="2">
        <v>6623</v>
      </c>
    </row>
    <row r="2405" spans="1:5" x14ac:dyDescent="0.3">
      <c r="A2405" t="s">
        <v>5</v>
      </c>
      <c r="B2405" t="s">
        <v>11</v>
      </c>
      <c r="C2405" t="s">
        <v>28</v>
      </c>
      <c r="D2405" s="3">
        <v>45564</v>
      </c>
      <c r="E2405" s="2">
        <v>7079</v>
      </c>
    </row>
    <row r="2406" spans="1:5" x14ac:dyDescent="0.3">
      <c r="A2406" t="s">
        <v>5</v>
      </c>
      <c r="B2406" t="s">
        <v>16</v>
      </c>
      <c r="C2406" t="s">
        <v>12</v>
      </c>
      <c r="D2406" s="3">
        <v>45564</v>
      </c>
      <c r="E2406" s="2">
        <v>5750</v>
      </c>
    </row>
    <row r="2407" spans="1:5" x14ac:dyDescent="0.3">
      <c r="A2407" t="s">
        <v>26</v>
      </c>
      <c r="B2407" t="s">
        <v>11</v>
      </c>
      <c r="C2407" t="s">
        <v>25</v>
      </c>
      <c r="D2407" s="3">
        <v>45565</v>
      </c>
      <c r="E2407" s="2">
        <v>8212</v>
      </c>
    </row>
    <row r="2408" spans="1:5" x14ac:dyDescent="0.3">
      <c r="A2408" t="s">
        <v>22</v>
      </c>
      <c r="B2408" t="s">
        <v>21</v>
      </c>
      <c r="C2408" t="s">
        <v>7</v>
      </c>
      <c r="D2408" s="3">
        <v>45565</v>
      </c>
      <c r="E2408" s="2">
        <v>11015</v>
      </c>
    </row>
    <row r="2409" spans="1:5" x14ac:dyDescent="0.3">
      <c r="A2409" t="s">
        <v>30</v>
      </c>
      <c r="B2409" t="s">
        <v>9</v>
      </c>
      <c r="C2409" t="s">
        <v>14</v>
      </c>
      <c r="D2409" s="3">
        <v>45566</v>
      </c>
      <c r="E2409" s="2">
        <v>8184</v>
      </c>
    </row>
    <row r="2410" spans="1:5" x14ac:dyDescent="0.3">
      <c r="A2410" t="s">
        <v>22</v>
      </c>
      <c r="B2410" t="s">
        <v>16</v>
      </c>
      <c r="C2410" t="s">
        <v>14</v>
      </c>
      <c r="D2410" s="3">
        <v>45567</v>
      </c>
      <c r="E2410" s="2">
        <v>7662</v>
      </c>
    </row>
    <row r="2411" spans="1:5" x14ac:dyDescent="0.3">
      <c r="A2411" t="s">
        <v>27</v>
      </c>
      <c r="B2411" t="s">
        <v>6</v>
      </c>
      <c r="C2411" t="s">
        <v>14</v>
      </c>
      <c r="D2411" s="3">
        <v>45567</v>
      </c>
      <c r="E2411" s="2">
        <v>1049</v>
      </c>
    </row>
    <row r="2412" spans="1:5" x14ac:dyDescent="0.3">
      <c r="A2412" t="s">
        <v>31</v>
      </c>
      <c r="B2412" t="s">
        <v>9</v>
      </c>
      <c r="C2412" t="s">
        <v>19</v>
      </c>
      <c r="D2412" s="3">
        <v>45567</v>
      </c>
      <c r="E2412" s="2">
        <v>2535</v>
      </c>
    </row>
    <row r="2413" spans="1:5" x14ac:dyDescent="0.3">
      <c r="A2413" t="s">
        <v>31</v>
      </c>
      <c r="B2413" t="s">
        <v>9</v>
      </c>
      <c r="C2413" t="s">
        <v>12</v>
      </c>
      <c r="D2413" s="3">
        <v>45567</v>
      </c>
      <c r="E2413" s="2">
        <v>6612</v>
      </c>
    </row>
    <row r="2414" spans="1:5" x14ac:dyDescent="0.3">
      <c r="A2414" t="s">
        <v>31</v>
      </c>
      <c r="B2414" t="s">
        <v>11</v>
      </c>
      <c r="C2414" t="s">
        <v>14</v>
      </c>
      <c r="D2414" s="3">
        <v>45568</v>
      </c>
      <c r="E2414" s="2">
        <v>9237</v>
      </c>
    </row>
    <row r="2415" spans="1:5" x14ac:dyDescent="0.3">
      <c r="A2415" t="s">
        <v>8</v>
      </c>
      <c r="B2415" t="s">
        <v>16</v>
      </c>
      <c r="C2415" t="s">
        <v>19</v>
      </c>
      <c r="D2415" s="3">
        <v>45568</v>
      </c>
      <c r="E2415" s="2">
        <v>5936</v>
      </c>
    </row>
    <row r="2416" spans="1:5" x14ac:dyDescent="0.3">
      <c r="A2416" t="s">
        <v>8</v>
      </c>
      <c r="B2416" t="s">
        <v>21</v>
      </c>
      <c r="C2416" t="s">
        <v>23</v>
      </c>
      <c r="D2416" s="3">
        <v>45568</v>
      </c>
      <c r="E2416" s="2">
        <v>1665</v>
      </c>
    </row>
    <row r="2417" spans="1:5" x14ac:dyDescent="0.3">
      <c r="A2417" t="s">
        <v>31</v>
      </c>
      <c r="B2417" t="s">
        <v>6</v>
      </c>
      <c r="C2417" t="s">
        <v>17</v>
      </c>
      <c r="D2417" s="3">
        <v>45569</v>
      </c>
      <c r="E2417" s="2">
        <v>1693</v>
      </c>
    </row>
    <row r="2418" spans="1:5" x14ac:dyDescent="0.3">
      <c r="A2418" t="s">
        <v>27</v>
      </c>
      <c r="B2418" t="s">
        <v>9</v>
      </c>
      <c r="C2418" t="s">
        <v>14</v>
      </c>
      <c r="D2418" s="3">
        <v>45570</v>
      </c>
      <c r="E2418" s="2">
        <v>3947</v>
      </c>
    </row>
    <row r="2419" spans="1:5" x14ac:dyDescent="0.3">
      <c r="A2419" t="s">
        <v>30</v>
      </c>
      <c r="B2419" t="s">
        <v>9</v>
      </c>
      <c r="C2419" t="s">
        <v>14</v>
      </c>
      <c r="D2419" s="3">
        <v>45570</v>
      </c>
      <c r="E2419" s="2">
        <v>1214</v>
      </c>
    </row>
    <row r="2420" spans="1:5" x14ac:dyDescent="0.3">
      <c r="A2420" t="s">
        <v>15</v>
      </c>
      <c r="B2420" t="s">
        <v>21</v>
      </c>
      <c r="C2420" t="s">
        <v>19</v>
      </c>
      <c r="D2420" s="3">
        <v>45570</v>
      </c>
      <c r="E2420" s="2">
        <v>6116</v>
      </c>
    </row>
    <row r="2421" spans="1:5" x14ac:dyDescent="0.3">
      <c r="A2421" t="s">
        <v>20</v>
      </c>
      <c r="B2421" t="s">
        <v>13</v>
      </c>
      <c r="C2421" t="s">
        <v>23</v>
      </c>
      <c r="D2421" s="3">
        <v>45570</v>
      </c>
      <c r="E2421" s="2">
        <v>5465</v>
      </c>
    </row>
    <row r="2422" spans="1:5" x14ac:dyDescent="0.3">
      <c r="A2422" t="s">
        <v>5</v>
      </c>
      <c r="B2422" t="s">
        <v>11</v>
      </c>
      <c r="C2422" t="s">
        <v>25</v>
      </c>
      <c r="D2422" s="3">
        <v>45570</v>
      </c>
      <c r="E2422" s="2">
        <v>5502</v>
      </c>
    </row>
    <row r="2423" spans="1:5" x14ac:dyDescent="0.3">
      <c r="A2423" t="s">
        <v>26</v>
      </c>
      <c r="B2423" t="s">
        <v>11</v>
      </c>
      <c r="C2423" t="s">
        <v>25</v>
      </c>
      <c r="D2423" s="3">
        <v>45570</v>
      </c>
      <c r="E2423" s="2">
        <v>1565</v>
      </c>
    </row>
    <row r="2424" spans="1:5" x14ac:dyDescent="0.3">
      <c r="A2424" t="s">
        <v>5</v>
      </c>
      <c r="B2424" t="s">
        <v>13</v>
      </c>
      <c r="C2424" t="s">
        <v>7</v>
      </c>
      <c r="D2424" s="3">
        <v>45570</v>
      </c>
      <c r="E2424" s="2">
        <v>8759</v>
      </c>
    </row>
    <row r="2425" spans="1:5" x14ac:dyDescent="0.3">
      <c r="A2425" t="s">
        <v>32</v>
      </c>
      <c r="B2425" t="s">
        <v>21</v>
      </c>
      <c r="C2425" t="s">
        <v>19</v>
      </c>
      <c r="D2425" s="3">
        <v>45571</v>
      </c>
      <c r="E2425" s="2">
        <v>8381</v>
      </c>
    </row>
    <row r="2426" spans="1:5" x14ac:dyDescent="0.3">
      <c r="A2426" t="s">
        <v>27</v>
      </c>
      <c r="B2426" t="s">
        <v>9</v>
      </c>
      <c r="C2426" t="s">
        <v>25</v>
      </c>
      <c r="D2426" s="3">
        <v>45571</v>
      </c>
      <c r="E2426" s="2">
        <v>7801</v>
      </c>
    </row>
    <row r="2427" spans="1:5" x14ac:dyDescent="0.3">
      <c r="A2427" t="s">
        <v>33</v>
      </c>
      <c r="B2427" t="s">
        <v>16</v>
      </c>
      <c r="C2427" t="s">
        <v>12</v>
      </c>
      <c r="D2427" s="3">
        <v>45571</v>
      </c>
      <c r="E2427" s="2">
        <v>4210</v>
      </c>
    </row>
    <row r="2428" spans="1:5" x14ac:dyDescent="0.3">
      <c r="A2428" t="s">
        <v>24</v>
      </c>
      <c r="B2428" t="s">
        <v>21</v>
      </c>
      <c r="C2428" t="s">
        <v>12</v>
      </c>
      <c r="D2428" s="3">
        <v>45571</v>
      </c>
      <c r="E2428" s="2">
        <v>4298</v>
      </c>
    </row>
    <row r="2429" spans="1:5" x14ac:dyDescent="0.3">
      <c r="A2429" t="s">
        <v>31</v>
      </c>
      <c r="B2429" t="s">
        <v>11</v>
      </c>
      <c r="C2429" t="s">
        <v>12</v>
      </c>
      <c r="D2429" s="3">
        <v>45571</v>
      </c>
      <c r="E2429" s="2">
        <v>5363</v>
      </c>
    </row>
    <row r="2430" spans="1:5" x14ac:dyDescent="0.3">
      <c r="A2430" t="s">
        <v>5</v>
      </c>
      <c r="B2430" t="s">
        <v>9</v>
      </c>
      <c r="C2430" t="s">
        <v>23</v>
      </c>
      <c r="D2430" s="3">
        <v>45572</v>
      </c>
      <c r="E2430" s="2">
        <v>12247</v>
      </c>
    </row>
    <row r="2431" spans="1:5" x14ac:dyDescent="0.3">
      <c r="A2431" t="s">
        <v>26</v>
      </c>
      <c r="B2431" t="s">
        <v>21</v>
      </c>
      <c r="C2431" t="s">
        <v>23</v>
      </c>
      <c r="D2431" s="3">
        <v>45572</v>
      </c>
      <c r="E2431" s="2">
        <v>11416</v>
      </c>
    </row>
    <row r="2432" spans="1:5" x14ac:dyDescent="0.3">
      <c r="A2432" t="s">
        <v>32</v>
      </c>
      <c r="B2432" t="s">
        <v>21</v>
      </c>
      <c r="C2432" t="s">
        <v>28</v>
      </c>
      <c r="D2432" s="3">
        <v>45572</v>
      </c>
      <c r="E2432" s="2">
        <v>4574</v>
      </c>
    </row>
    <row r="2433" spans="1:5" x14ac:dyDescent="0.3">
      <c r="A2433" t="s">
        <v>15</v>
      </c>
      <c r="B2433" t="s">
        <v>13</v>
      </c>
      <c r="C2433" t="s">
        <v>7</v>
      </c>
      <c r="D2433" s="3">
        <v>45573</v>
      </c>
      <c r="E2433" s="2">
        <v>5359</v>
      </c>
    </row>
    <row r="2434" spans="1:5" x14ac:dyDescent="0.3">
      <c r="A2434" t="s">
        <v>22</v>
      </c>
      <c r="B2434" t="s">
        <v>9</v>
      </c>
      <c r="C2434" t="s">
        <v>7</v>
      </c>
      <c r="D2434" s="3">
        <v>45574</v>
      </c>
      <c r="E2434" s="2">
        <v>8562</v>
      </c>
    </row>
    <row r="2435" spans="1:5" x14ac:dyDescent="0.3">
      <c r="A2435" t="s">
        <v>15</v>
      </c>
      <c r="B2435" t="s">
        <v>16</v>
      </c>
      <c r="C2435" t="s">
        <v>12</v>
      </c>
      <c r="D2435" s="3">
        <v>45574</v>
      </c>
      <c r="E2435" s="2">
        <v>6927</v>
      </c>
    </row>
    <row r="2436" spans="1:5" x14ac:dyDescent="0.3">
      <c r="A2436" t="s">
        <v>5</v>
      </c>
      <c r="B2436" t="s">
        <v>11</v>
      </c>
      <c r="C2436" t="s">
        <v>14</v>
      </c>
      <c r="D2436" s="3">
        <v>45575</v>
      </c>
      <c r="E2436" s="2">
        <v>1436</v>
      </c>
    </row>
    <row r="2437" spans="1:5" x14ac:dyDescent="0.3">
      <c r="A2437" t="s">
        <v>33</v>
      </c>
      <c r="B2437" t="s">
        <v>13</v>
      </c>
      <c r="C2437" t="s">
        <v>7</v>
      </c>
      <c r="D2437" s="3">
        <v>45575</v>
      </c>
      <c r="E2437" s="2">
        <v>11837</v>
      </c>
    </row>
    <row r="2438" spans="1:5" x14ac:dyDescent="0.3">
      <c r="A2438" t="s">
        <v>10</v>
      </c>
      <c r="B2438" t="s">
        <v>13</v>
      </c>
      <c r="C2438" t="s">
        <v>17</v>
      </c>
      <c r="D2438" s="3">
        <v>45575</v>
      </c>
      <c r="E2438" s="2">
        <v>3058</v>
      </c>
    </row>
    <row r="2439" spans="1:5" x14ac:dyDescent="0.3">
      <c r="A2439" t="s">
        <v>22</v>
      </c>
      <c r="B2439" t="s">
        <v>6</v>
      </c>
      <c r="C2439" t="s">
        <v>12</v>
      </c>
      <c r="D2439" s="3">
        <v>45575</v>
      </c>
      <c r="E2439" s="2">
        <v>5820</v>
      </c>
    </row>
    <row r="2440" spans="1:5" x14ac:dyDescent="0.3">
      <c r="A2440" t="s">
        <v>29</v>
      </c>
      <c r="B2440" t="s">
        <v>6</v>
      </c>
      <c r="C2440" t="s">
        <v>23</v>
      </c>
      <c r="D2440" s="3">
        <v>45576</v>
      </c>
      <c r="E2440" s="2">
        <v>2545</v>
      </c>
    </row>
    <row r="2441" spans="1:5" x14ac:dyDescent="0.3">
      <c r="A2441" t="s">
        <v>8</v>
      </c>
      <c r="B2441" t="s">
        <v>21</v>
      </c>
      <c r="C2441" t="s">
        <v>25</v>
      </c>
      <c r="D2441" s="3">
        <v>45576</v>
      </c>
      <c r="E2441" s="2">
        <v>2805</v>
      </c>
    </row>
    <row r="2442" spans="1:5" x14ac:dyDescent="0.3">
      <c r="A2442" t="s">
        <v>10</v>
      </c>
      <c r="B2442" t="s">
        <v>9</v>
      </c>
      <c r="C2442" t="s">
        <v>25</v>
      </c>
      <c r="D2442" s="3">
        <v>45576</v>
      </c>
      <c r="E2442" s="2">
        <v>7890</v>
      </c>
    </row>
    <row r="2443" spans="1:5" x14ac:dyDescent="0.3">
      <c r="A2443" t="s">
        <v>33</v>
      </c>
      <c r="B2443" t="s">
        <v>13</v>
      </c>
      <c r="C2443" t="s">
        <v>25</v>
      </c>
      <c r="D2443" s="3">
        <v>45576</v>
      </c>
      <c r="E2443" s="2">
        <v>11349</v>
      </c>
    </row>
    <row r="2444" spans="1:5" x14ac:dyDescent="0.3">
      <c r="A2444" t="s">
        <v>10</v>
      </c>
      <c r="B2444" t="s">
        <v>6</v>
      </c>
      <c r="C2444" t="s">
        <v>7</v>
      </c>
      <c r="D2444" s="3">
        <v>45576</v>
      </c>
      <c r="E2444" s="2">
        <v>13633</v>
      </c>
    </row>
    <row r="2445" spans="1:5" x14ac:dyDescent="0.3">
      <c r="A2445" t="s">
        <v>15</v>
      </c>
      <c r="B2445" t="s">
        <v>16</v>
      </c>
      <c r="C2445" t="s">
        <v>7</v>
      </c>
      <c r="D2445" s="3">
        <v>45576</v>
      </c>
      <c r="E2445" s="2">
        <v>6132</v>
      </c>
    </row>
    <row r="2446" spans="1:5" x14ac:dyDescent="0.3">
      <c r="A2446" t="s">
        <v>32</v>
      </c>
      <c r="B2446" t="s">
        <v>21</v>
      </c>
      <c r="C2446" t="s">
        <v>17</v>
      </c>
      <c r="D2446" s="3">
        <v>45576</v>
      </c>
      <c r="E2446" s="2">
        <v>13013</v>
      </c>
    </row>
    <row r="2447" spans="1:5" x14ac:dyDescent="0.3">
      <c r="A2447" t="s">
        <v>32</v>
      </c>
      <c r="B2447" t="s">
        <v>21</v>
      </c>
      <c r="C2447" t="s">
        <v>12</v>
      </c>
      <c r="D2447" s="3">
        <v>45576</v>
      </c>
      <c r="E2447" s="2">
        <v>8225</v>
      </c>
    </row>
    <row r="2448" spans="1:5" x14ac:dyDescent="0.3">
      <c r="A2448" t="s">
        <v>26</v>
      </c>
      <c r="B2448" t="s">
        <v>9</v>
      </c>
      <c r="C2448" t="s">
        <v>7</v>
      </c>
      <c r="D2448" s="3">
        <v>45577</v>
      </c>
      <c r="E2448" s="2">
        <v>12515</v>
      </c>
    </row>
    <row r="2449" spans="1:5" x14ac:dyDescent="0.3">
      <c r="A2449" t="s">
        <v>33</v>
      </c>
      <c r="B2449" t="s">
        <v>16</v>
      </c>
      <c r="C2449" t="s">
        <v>7</v>
      </c>
      <c r="D2449" s="3">
        <v>45577</v>
      </c>
      <c r="E2449" s="2">
        <v>5252</v>
      </c>
    </row>
    <row r="2450" spans="1:5" x14ac:dyDescent="0.3">
      <c r="A2450" t="s">
        <v>20</v>
      </c>
      <c r="B2450" t="s">
        <v>16</v>
      </c>
      <c r="C2450" t="s">
        <v>28</v>
      </c>
      <c r="D2450" s="3">
        <v>45577</v>
      </c>
      <c r="E2450" s="2">
        <v>6155</v>
      </c>
    </row>
    <row r="2451" spans="1:5" x14ac:dyDescent="0.3">
      <c r="A2451" t="s">
        <v>31</v>
      </c>
      <c r="B2451" t="s">
        <v>16</v>
      </c>
      <c r="C2451" t="s">
        <v>7</v>
      </c>
      <c r="D2451" s="3">
        <v>45578</v>
      </c>
      <c r="E2451" s="2">
        <v>10489</v>
      </c>
    </row>
    <row r="2452" spans="1:5" x14ac:dyDescent="0.3">
      <c r="A2452" t="s">
        <v>10</v>
      </c>
      <c r="B2452" t="s">
        <v>11</v>
      </c>
      <c r="C2452" t="s">
        <v>7</v>
      </c>
      <c r="D2452" s="3">
        <v>45578</v>
      </c>
      <c r="E2452" s="2">
        <v>8820</v>
      </c>
    </row>
    <row r="2453" spans="1:5" x14ac:dyDescent="0.3">
      <c r="A2453" t="s">
        <v>20</v>
      </c>
      <c r="B2453" t="s">
        <v>11</v>
      </c>
      <c r="C2453" t="s">
        <v>7</v>
      </c>
      <c r="D2453" s="3">
        <v>45578</v>
      </c>
      <c r="E2453" s="2">
        <v>1851</v>
      </c>
    </row>
    <row r="2454" spans="1:5" x14ac:dyDescent="0.3">
      <c r="A2454" t="s">
        <v>29</v>
      </c>
      <c r="B2454" t="s">
        <v>21</v>
      </c>
      <c r="C2454" t="s">
        <v>12</v>
      </c>
      <c r="D2454" s="3">
        <v>45578</v>
      </c>
      <c r="E2454" s="2">
        <v>10997</v>
      </c>
    </row>
    <row r="2455" spans="1:5" x14ac:dyDescent="0.3">
      <c r="A2455" t="s">
        <v>26</v>
      </c>
      <c r="B2455" t="s">
        <v>6</v>
      </c>
      <c r="C2455" t="s">
        <v>12</v>
      </c>
      <c r="D2455" s="3">
        <v>45578</v>
      </c>
      <c r="E2455" s="2">
        <v>3778</v>
      </c>
    </row>
    <row r="2456" spans="1:5" x14ac:dyDescent="0.3">
      <c r="A2456" t="s">
        <v>24</v>
      </c>
      <c r="B2456" t="s">
        <v>6</v>
      </c>
      <c r="C2456" t="s">
        <v>19</v>
      </c>
      <c r="D2456" s="3">
        <v>45579</v>
      </c>
      <c r="E2456" s="2">
        <v>7027</v>
      </c>
    </row>
    <row r="2457" spans="1:5" x14ac:dyDescent="0.3">
      <c r="A2457" t="s">
        <v>26</v>
      </c>
      <c r="B2457" t="s">
        <v>9</v>
      </c>
      <c r="C2457" t="s">
        <v>19</v>
      </c>
      <c r="D2457" s="3">
        <v>45579</v>
      </c>
      <c r="E2457" s="2">
        <v>7886</v>
      </c>
    </row>
    <row r="2458" spans="1:5" x14ac:dyDescent="0.3">
      <c r="A2458" t="s">
        <v>30</v>
      </c>
      <c r="B2458" t="s">
        <v>13</v>
      </c>
      <c r="C2458" t="s">
        <v>23</v>
      </c>
      <c r="D2458" s="3">
        <v>45579</v>
      </c>
      <c r="E2458" s="2">
        <v>5608</v>
      </c>
    </row>
    <row r="2459" spans="1:5" x14ac:dyDescent="0.3">
      <c r="A2459" t="s">
        <v>33</v>
      </c>
      <c r="B2459" t="s">
        <v>13</v>
      </c>
      <c r="C2459" t="s">
        <v>12</v>
      </c>
      <c r="D2459" s="3">
        <v>45579</v>
      </c>
      <c r="E2459" s="2">
        <v>12698</v>
      </c>
    </row>
    <row r="2460" spans="1:5" x14ac:dyDescent="0.3">
      <c r="A2460" t="s">
        <v>8</v>
      </c>
      <c r="B2460" t="s">
        <v>9</v>
      </c>
      <c r="C2460" t="s">
        <v>14</v>
      </c>
      <c r="D2460" s="3">
        <v>45580</v>
      </c>
      <c r="E2460" s="2">
        <v>8620</v>
      </c>
    </row>
    <row r="2461" spans="1:5" x14ac:dyDescent="0.3">
      <c r="A2461" t="s">
        <v>32</v>
      </c>
      <c r="B2461" t="s">
        <v>6</v>
      </c>
      <c r="C2461" t="s">
        <v>25</v>
      </c>
      <c r="D2461" s="3">
        <v>45580</v>
      </c>
      <c r="E2461" s="2">
        <v>10906</v>
      </c>
    </row>
    <row r="2462" spans="1:5" x14ac:dyDescent="0.3">
      <c r="A2462" t="s">
        <v>24</v>
      </c>
      <c r="B2462" t="s">
        <v>9</v>
      </c>
      <c r="C2462" t="s">
        <v>7</v>
      </c>
      <c r="D2462" s="3">
        <v>45580</v>
      </c>
      <c r="E2462" s="2">
        <v>12488</v>
      </c>
    </row>
    <row r="2463" spans="1:5" x14ac:dyDescent="0.3">
      <c r="A2463" t="s">
        <v>18</v>
      </c>
      <c r="B2463" t="s">
        <v>21</v>
      </c>
      <c r="C2463" t="s">
        <v>7</v>
      </c>
      <c r="D2463" s="3">
        <v>45580</v>
      </c>
      <c r="E2463" s="2">
        <v>11565</v>
      </c>
    </row>
    <row r="2464" spans="1:5" x14ac:dyDescent="0.3">
      <c r="A2464" t="s">
        <v>10</v>
      </c>
      <c r="B2464" t="s">
        <v>9</v>
      </c>
      <c r="C2464" t="s">
        <v>28</v>
      </c>
      <c r="D2464" s="3">
        <v>45580</v>
      </c>
      <c r="E2464" s="2">
        <v>8526</v>
      </c>
    </row>
    <row r="2465" spans="1:5" x14ac:dyDescent="0.3">
      <c r="A2465" t="s">
        <v>29</v>
      </c>
      <c r="B2465" t="s">
        <v>11</v>
      </c>
      <c r="C2465" t="s">
        <v>23</v>
      </c>
      <c r="D2465" s="3">
        <v>45581</v>
      </c>
      <c r="E2465" s="2">
        <v>4064</v>
      </c>
    </row>
    <row r="2466" spans="1:5" x14ac:dyDescent="0.3">
      <c r="A2466" t="s">
        <v>15</v>
      </c>
      <c r="B2466" t="s">
        <v>9</v>
      </c>
      <c r="C2466" t="s">
        <v>25</v>
      </c>
      <c r="D2466" s="3">
        <v>45581</v>
      </c>
      <c r="E2466" s="2">
        <v>7873</v>
      </c>
    </row>
    <row r="2467" spans="1:5" x14ac:dyDescent="0.3">
      <c r="A2467" t="s">
        <v>24</v>
      </c>
      <c r="B2467" t="s">
        <v>21</v>
      </c>
      <c r="C2467" t="s">
        <v>25</v>
      </c>
      <c r="D2467" s="3">
        <v>45582</v>
      </c>
      <c r="E2467" s="2">
        <v>3848</v>
      </c>
    </row>
    <row r="2468" spans="1:5" x14ac:dyDescent="0.3">
      <c r="A2468" t="s">
        <v>20</v>
      </c>
      <c r="B2468" t="s">
        <v>11</v>
      </c>
      <c r="C2468" t="s">
        <v>14</v>
      </c>
      <c r="D2468" s="3">
        <v>45583</v>
      </c>
      <c r="E2468" s="2">
        <v>12681</v>
      </c>
    </row>
    <row r="2469" spans="1:5" x14ac:dyDescent="0.3">
      <c r="A2469" t="s">
        <v>26</v>
      </c>
      <c r="B2469" t="s">
        <v>9</v>
      </c>
      <c r="C2469" t="s">
        <v>19</v>
      </c>
      <c r="D2469" s="3">
        <v>45583</v>
      </c>
      <c r="E2469" s="2">
        <v>3428</v>
      </c>
    </row>
    <row r="2470" spans="1:5" x14ac:dyDescent="0.3">
      <c r="A2470" t="s">
        <v>29</v>
      </c>
      <c r="B2470" t="s">
        <v>13</v>
      </c>
      <c r="C2470" t="s">
        <v>25</v>
      </c>
      <c r="D2470" s="3">
        <v>45583</v>
      </c>
      <c r="E2470" s="2">
        <v>8840</v>
      </c>
    </row>
    <row r="2471" spans="1:5" x14ac:dyDescent="0.3">
      <c r="A2471" t="s">
        <v>8</v>
      </c>
      <c r="B2471" t="s">
        <v>9</v>
      </c>
      <c r="C2471" t="s">
        <v>17</v>
      </c>
      <c r="D2471" s="3">
        <v>45583</v>
      </c>
      <c r="E2471" s="2">
        <v>3579</v>
      </c>
    </row>
    <row r="2472" spans="1:5" x14ac:dyDescent="0.3">
      <c r="A2472" t="s">
        <v>8</v>
      </c>
      <c r="B2472" t="s">
        <v>13</v>
      </c>
      <c r="C2472" t="s">
        <v>19</v>
      </c>
      <c r="D2472" s="3">
        <v>45584</v>
      </c>
      <c r="E2472" s="2">
        <v>13298</v>
      </c>
    </row>
    <row r="2473" spans="1:5" x14ac:dyDescent="0.3">
      <c r="A2473" t="s">
        <v>5</v>
      </c>
      <c r="B2473" t="s">
        <v>13</v>
      </c>
      <c r="C2473" t="s">
        <v>19</v>
      </c>
      <c r="D2473" s="3">
        <v>45584</v>
      </c>
      <c r="E2473" s="2">
        <v>5679</v>
      </c>
    </row>
    <row r="2474" spans="1:5" x14ac:dyDescent="0.3">
      <c r="A2474" t="s">
        <v>24</v>
      </c>
      <c r="B2474" t="s">
        <v>16</v>
      </c>
      <c r="C2474" t="s">
        <v>23</v>
      </c>
      <c r="D2474" s="3">
        <v>45584</v>
      </c>
      <c r="E2474" s="2">
        <v>4269</v>
      </c>
    </row>
    <row r="2475" spans="1:5" x14ac:dyDescent="0.3">
      <c r="A2475" t="s">
        <v>5</v>
      </c>
      <c r="B2475" t="s">
        <v>6</v>
      </c>
      <c r="C2475" t="s">
        <v>23</v>
      </c>
      <c r="D2475" s="3">
        <v>45584</v>
      </c>
      <c r="E2475" s="2">
        <v>9769</v>
      </c>
    </row>
    <row r="2476" spans="1:5" x14ac:dyDescent="0.3">
      <c r="A2476" t="s">
        <v>30</v>
      </c>
      <c r="B2476" t="s">
        <v>13</v>
      </c>
      <c r="C2476" t="s">
        <v>25</v>
      </c>
      <c r="D2476" s="3">
        <v>45584</v>
      </c>
      <c r="E2476" s="2">
        <v>1891</v>
      </c>
    </row>
    <row r="2477" spans="1:5" x14ac:dyDescent="0.3">
      <c r="A2477" t="s">
        <v>10</v>
      </c>
      <c r="B2477" t="s">
        <v>13</v>
      </c>
      <c r="C2477" t="s">
        <v>28</v>
      </c>
      <c r="D2477" s="3">
        <v>45584</v>
      </c>
      <c r="E2477" s="2">
        <v>4947</v>
      </c>
    </row>
    <row r="2478" spans="1:5" x14ac:dyDescent="0.3">
      <c r="A2478" t="s">
        <v>24</v>
      </c>
      <c r="B2478" t="s">
        <v>16</v>
      </c>
      <c r="C2478" t="s">
        <v>17</v>
      </c>
      <c r="D2478" s="3">
        <v>45584</v>
      </c>
      <c r="E2478" s="2">
        <v>1669</v>
      </c>
    </row>
    <row r="2479" spans="1:5" x14ac:dyDescent="0.3">
      <c r="A2479" t="s">
        <v>29</v>
      </c>
      <c r="B2479" t="s">
        <v>13</v>
      </c>
      <c r="C2479" t="s">
        <v>12</v>
      </c>
      <c r="D2479" s="3">
        <v>45584</v>
      </c>
      <c r="E2479" s="2">
        <v>6795</v>
      </c>
    </row>
    <row r="2480" spans="1:5" x14ac:dyDescent="0.3">
      <c r="A2480" t="s">
        <v>18</v>
      </c>
      <c r="B2480" t="s">
        <v>6</v>
      </c>
      <c r="C2480" t="s">
        <v>19</v>
      </c>
      <c r="D2480" s="3">
        <v>45585</v>
      </c>
      <c r="E2480" s="2">
        <v>6502</v>
      </c>
    </row>
    <row r="2481" spans="1:5" x14ac:dyDescent="0.3">
      <c r="A2481" t="s">
        <v>5</v>
      </c>
      <c r="B2481" t="s">
        <v>13</v>
      </c>
      <c r="C2481" t="s">
        <v>7</v>
      </c>
      <c r="D2481" s="3">
        <v>45585</v>
      </c>
      <c r="E2481" s="2">
        <v>2214</v>
      </c>
    </row>
    <row r="2482" spans="1:5" x14ac:dyDescent="0.3">
      <c r="A2482" t="s">
        <v>32</v>
      </c>
      <c r="B2482" t="s">
        <v>16</v>
      </c>
      <c r="C2482" t="s">
        <v>23</v>
      </c>
      <c r="D2482" s="3">
        <v>45586</v>
      </c>
      <c r="E2482" s="2">
        <v>9074</v>
      </c>
    </row>
    <row r="2483" spans="1:5" x14ac:dyDescent="0.3">
      <c r="A2483" t="s">
        <v>20</v>
      </c>
      <c r="B2483" t="s">
        <v>9</v>
      </c>
      <c r="C2483" t="s">
        <v>25</v>
      </c>
      <c r="D2483" s="3">
        <v>45586</v>
      </c>
      <c r="E2483" s="2">
        <v>13604</v>
      </c>
    </row>
    <row r="2484" spans="1:5" x14ac:dyDescent="0.3">
      <c r="A2484" t="s">
        <v>22</v>
      </c>
      <c r="B2484" t="s">
        <v>6</v>
      </c>
      <c r="C2484" t="s">
        <v>17</v>
      </c>
      <c r="D2484" s="3">
        <v>45586</v>
      </c>
      <c r="E2484" s="2">
        <v>6081</v>
      </c>
    </row>
    <row r="2485" spans="1:5" x14ac:dyDescent="0.3">
      <c r="A2485" t="s">
        <v>29</v>
      </c>
      <c r="B2485" t="s">
        <v>16</v>
      </c>
      <c r="C2485" t="s">
        <v>14</v>
      </c>
      <c r="D2485" s="3">
        <v>45587</v>
      </c>
      <c r="E2485" s="2">
        <v>11890</v>
      </c>
    </row>
    <row r="2486" spans="1:5" x14ac:dyDescent="0.3">
      <c r="A2486" t="s">
        <v>30</v>
      </c>
      <c r="B2486" t="s">
        <v>13</v>
      </c>
      <c r="C2486" t="s">
        <v>14</v>
      </c>
      <c r="D2486" s="3">
        <v>45587</v>
      </c>
      <c r="E2486" s="2">
        <v>1487</v>
      </c>
    </row>
    <row r="2487" spans="1:5" x14ac:dyDescent="0.3">
      <c r="A2487" t="s">
        <v>30</v>
      </c>
      <c r="B2487" t="s">
        <v>9</v>
      </c>
      <c r="C2487" t="s">
        <v>23</v>
      </c>
      <c r="D2487" s="3">
        <v>45587</v>
      </c>
      <c r="E2487" s="2">
        <v>1472</v>
      </c>
    </row>
    <row r="2488" spans="1:5" x14ac:dyDescent="0.3">
      <c r="A2488" t="s">
        <v>18</v>
      </c>
      <c r="B2488" t="s">
        <v>9</v>
      </c>
      <c r="C2488" t="s">
        <v>23</v>
      </c>
      <c r="D2488" s="3">
        <v>45587</v>
      </c>
      <c r="E2488" s="2">
        <v>3066</v>
      </c>
    </row>
    <row r="2489" spans="1:5" x14ac:dyDescent="0.3">
      <c r="A2489" t="s">
        <v>30</v>
      </c>
      <c r="B2489" t="s">
        <v>6</v>
      </c>
      <c r="C2489" t="s">
        <v>25</v>
      </c>
      <c r="D2489" s="3">
        <v>45587</v>
      </c>
      <c r="E2489" s="2">
        <v>3080</v>
      </c>
    </row>
    <row r="2490" spans="1:5" x14ac:dyDescent="0.3">
      <c r="A2490" t="s">
        <v>18</v>
      </c>
      <c r="B2490" t="s">
        <v>11</v>
      </c>
      <c r="C2490" t="s">
        <v>28</v>
      </c>
      <c r="D2490" s="3">
        <v>45587</v>
      </c>
      <c r="E2490" s="2">
        <v>8332</v>
      </c>
    </row>
    <row r="2491" spans="1:5" x14ac:dyDescent="0.3">
      <c r="A2491" t="s">
        <v>30</v>
      </c>
      <c r="B2491" t="s">
        <v>6</v>
      </c>
      <c r="C2491" t="s">
        <v>17</v>
      </c>
      <c r="D2491" s="3">
        <v>45587</v>
      </c>
      <c r="E2491" s="2">
        <v>11946</v>
      </c>
    </row>
    <row r="2492" spans="1:5" x14ac:dyDescent="0.3">
      <c r="A2492" t="s">
        <v>33</v>
      </c>
      <c r="B2492" t="s">
        <v>21</v>
      </c>
      <c r="C2492" t="s">
        <v>19</v>
      </c>
      <c r="D2492" s="3">
        <v>45588</v>
      </c>
      <c r="E2492" s="2">
        <v>9202</v>
      </c>
    </row>
    <row r="2493" spans="1:5" x14ac:dyDescent="0.3">
      <c r="A2493" t="s">
        <v>32</v>
      </c>
      <c r="B2493" t="s">
        <v>6</v>
      </c>
      <c r="C2493" t="s">
        <v>25</v>
      </c>
      <c r="D2493" s="3">
        <v>45588</v>
      </c>
      <c r="E2493" s="2">
        <v>6048</v>
      </c>
    </row>
    <row r="2494" spans="1:5" x14ac:dyDescent="0.3">
      <c r="A2494" t="s">
        <v>24</v>
      </c>
      <c r="B2494" t="s">
        <v>11</v>
      </c>
      <c r="C2494" t="s">
        <v>7</v>
      </c>
      <c r="D2494" s="3">
        <v>45588</v>
      </c>
      <c r="E2494" s="2">
        <v>11739</v>
      </c>
    </row>
    <row r="2495" spans="1:5" x14ac:dyDescent="0.3">
      <c r="A2495" t="s">
        <v>26</v>
      </c>
      <c r="B2495" t="s">
        <v>21</v>
      </c>
      <c r="C2495" t="s">
        <v>12</v>
      </c>
      <c r="D2495" s="3">
        <v>45588</v>
      </c>
      <c r="E2495" s="2">
        <v>9610</v>
      </c>
    </row>
    <row r="2496" spans="1:5" x14ac:dyDescent="0.3">
      <c r="A2496" t="s">
        <v>30</v>
      </c>
      <c r="B2496" t="s">
        <v>21</v>
      </c>
      <c r="C2496" t="s">
        <v>19</v>
      </c>
      <c r="D2496" s="3">
        <v>45589</v>
      </c>
      <c r="E2496" s="2">
        <v>9115</v>
      </c>
    </row>
    <row r="2497" spans="1:5" x14ac:dyDescent="0.3">
      <c r="A2497" t="s">
        <v>30</v>
      </c>
      <c r="B2497" t="s">
        <v>11</v>
      </c>
      <c r="C2497" t="s">
        <v>23</v>
      </c>
      <c r="D2497" s="3">
        <v>45589</v>
      </c>
      <c r="E2497" s="2">
        <v>8948</v>
      </c>
    </row>
    <row r="2498" spans="1:5" x14ac:dyDescent="0.3">
      <c r="A2498" t="s">
        <v>33</v>
      </c>
      <c r="B2498" t="s">
        <v>11</v>
      </c>
      <c r="C2498" t="s">
        <v>25</v>
      </c>
      <c r="D2498" s="3">
        <v>45589</v>
      </c>
      <c r="E2498" s="2">
        <v>12996</v>
      </c>
    </row>
    <row r="2499" spans="1:5" x14ac:dyDescent="0.3">
      <c r="A2499" t="s">
        <v>30</v>
      </c>
      <c r="B2499" t="s">
        <v>21</v>
      </c>
      <c r="C2499" t="s">
        <v>25</v>
      </c>
      <c r="D2499" s="3">
        <v>45589</v>
      </c>
      <c r="E2499" s="2">
        <v>7816</v>
      </c>
    </row>
    <row r="2500" spans="1:5" x14ac:dyDescent="0.3">
      <c r="A2500" t="s">
        <v>32</v>
      </c>
      <c r="B2500" t="s">
        <v>9</v>
      </c>
      <c r="C2500" t="s">
        <v>14</v>
      </c>
      <c r="D2500" s="3">
        <v>45590</v>
      </c>
      <c r="E2500" s="2">
        <v>1162</v>
      </c>
    </row>
    <row r="2501" spans="1:5" x14ac:dyDescent="0.3">
      <c r="A2501" t="s">
        <v>5</v>
      </c>
      <c r="B2501" t="s">
        <v>9</v>
      </c>
      <c r="C2501" t="s">
        <v>19</v>
      </c>
      <c r="D2501" s="3">
        <v>45591</v>
      </c>
      <c r="E2501" s="2">
        <v>2400</v>
      </c>
    </row>
    <row r="2502" spans="1:5" x14ac:dyDescent="0.3">
      <c r="A2502" t="s">
        <v>32</v>
      </c>
      <c r="B2502" t="s">
        <v>16</v>
      </c>
      <c r="C2502" t="s">
        <v>7</v>
      </c>
      <c r="D2502" s="3">
        <v>45591</v>
      </c>
      <c r="E2502" s="2">
        <v>9755</v>
      </c>
    </row>
    <row r="2503" spans="1:5" x14ac:dyDescent="0.3">
      <c r="A2503" t="s">
        <v>22</v>
      </c>
      <c r="B2503" t="s">
        <v>16</v>
      </c>
      <c r="C2503" t="s">
        <v>28</v>
      </c>
      <c r="D2503" s="3">
        <v>45591</v>
      </c>
      <c r="E2503" s="2">
        <v>2389</v>
      </c>
    </row>
    <row r="2504" spans="1:5" x14ac:dyDescent="0.3">
      <c r="A2504" t="s">
        <v>18</v>
      </c>
      <c r="B2504" t="s">
        <v>6</v>
      </c>
      <c r="C2504" t="s">
        <v>17</v>
      </c>
      <c r="D2504" s="3">
        <v>45592</v>
      </c>
      <c r="E2504" s="2">
        <v>5676</v>
      </c>
    </row>
    <row r="2505" spans="1:5" x14ac:dyDescent="0.3">
      <c r="A2505" t="s">
        <v>33</v>
      </c>
      <c r="B2505" t="s">
        <v>13</v>
      </c>
      <c r="C2505" t="s">
        <v>14</v>
      </c>
      <c r="D2505" s="3">
        <v>45593</v>
      </c>
      <c r="E2505" s="2">
        <v>1016</v>
      </c>
    </row>
    <row r="2506" spans="1:5" x14ac:dyDescent="0.3">
      <c r="A2506" t="s">
        <v>5</v>
      </c>
      <c r="B2506" t="s">
        <v>21</v>
      </c>
      <c r="C2506" t="s">
        <v>23</v>
      </c>
      <c r="D2506" s="3">
        <v>45593</v>
      </c>
      <c r="E2506" s="2">
        <v>5172</v>
      </c>
    </row>
    <row r="2507" spans="1:5" x14ac:dyDescent="0.3">
      <c r="A2507" t="s">
        <v>27</v>
      </c>
      <c r="B2507" t="s">
        <v>6</v>
      </c>
      <c r="C2507" t="s">
        <v>23</v>
      </c>
      <c r="D2507" s="3">
        <v>45593</v>
      </c>
      <c r="E2507" s="2">
        <v>7946</v>
      </c>
    </row>
    <row r="2508" spans="1:5" x14ac:dyDescent="0.3">
      <c r="A2508" t="s">
        <v>15</v>
      </c>
      <c r="B2508" t="s">
        <v>16</v>
      </c>
      <c r="C2508" t="s">
        <v>25</v>
      </c>
      <c r="D2508" s="3">
        <v>45593</v>
      </c>
      <c r="E2508" s="2">
        <v>2896</v>
      </c>
    </row>
    <row r="2509" spans="1:5" x14ac:dyDescent="0.3">
      <c r="A2509" t="s">
        <v>29</v>
      </c>
      <c r="B2509" t="s">
        <v>13</v>
      </c>
      <c r="C2509" t="s">
        <v>17</v>
      </c>
      <c r="D2509" s="3">
        <v>45593</v>
      </c>
      <c r="E2509" s="2">
        <v>10857</v>
      </c>
    </row>
    <row r="2510" spans="1:5" x14ac:dyDescent="0.3">
      <c r="A2510" t="s">
        <v>24</v>
      </c>
      <c r="B2510" t="s">
        <v>11</v>
      </c>
      <c r="C2510" t="s">
        <v>14</v>
      </c>
      <c r="D2510" s="3">
        <v>45594</v>
      </c>
      <c r="E2510" s="2">
        <v>5363</v>
      </c>
    </row>
    <row r="2511" spans="1:5" x14ac:dyDescent="0.3">
      <c r="A2511" t="s">
        <v>30</v>
      </c>
      <c r="B2511" t="s">
        <v>6</v>
      </c>
      <c r="C2511" t="s">
        <v>17</v>
      </c>
      <c r="D2511" s="3">
        <v>45594</v>
      </c>
      <c r="E2511" s="2">
        <v>13729</v>
      </c>
    </row>
    <row r="2512" spans="1:5" x14ac:dyDescent="0.3">
      <c r="A2512" t="s">
        <v>29</v>
      </c>
      <c r="B2512" t="s">
        <v>21</v>
      </c>
      <c r="C2512" t="s">
        <v>23</v>
      </c>
      <c r="D2512" s="3">
        <v>45595</v>
      </c>
      <c r="E2512" s="2">
        <v>12067</v>
      </c>
    </row>
    <row r="2513" spans="1:5" x14ac:dyDescent="0.3">
      <c r="A2513" t="s">
        <v>29</v>
      </c>
      <c r="B2513" t="s">
        <v>21</v>
      </c>
      <c r="C2513" t="s">
        <v>17</v>
      </c>
      <c r="D2513" s="3">
        <v>45595</v>
      </c>
      <c r="E2513" s="2">
        <v>13449</v>
      </c>
    </row>
    <row r="2514" spans="1:5" x14ac:dyDescent="0.3">
      <c r="A2514" t="s">
        <v>32</v>
      </c>
      <c r="B2514" t="s">
        <v>13</v>
      </c>
      <c r="C2514" t="s">
        <v>28</v>
      </c>
      <c r="D2514" s="3">
        <v>45596</v>
      </c>
      <c r="E2514" s="2">
        <v>12048</v>
      </c>
    </row>
    <row r="2515" spans="1:5" x14ac:dyDescent="0.3">
      <c r="A2515" t="s">
        <v>32</v>
      </c>
      <c r="B2515" t="s">
        <v>9</v>
      </c>
      <c r="C2515" t="s">
        <v>14</v>
      </c>
      <c r="D2515" s="3">
        <v>45597</v>
      </c>
      <c r="E2515" s="2">
        <v>2943</v>
      </c>
    </row>
    <row r="2516" spans="1:5" x14ac:dyDescent="0.3">
      <c r="A2516" t="s">
        <v>18</v>
      </c>
      <c r="B2516" t="s">
        <v>21</v>
      </c>
      <c r="C2516" t="s">
        <v>14</v>
      </c>
      <c r="D2516" s="3">
        <v>45597</v>
      </c>
      <c r="E2516" s="2">
        <v>11881</v>
      </c>
    </row>
    <row r="2517" spans="1:5" x14ac:dyDescent="0.3">
      <c r="A2517" t="s">
        <v>29</v>
      </c>
      <c r="B2517" t="s">
        <v>11</v>
      </c>
      <c r="C2517" t="s">
        <v>25</v>
      </c>
      <c r="D2517" s="3">
        <v>45597</v>
      </c>
      <c r="E2517" s="2">
        <v>6498</v>
      </c>
    </row>
    <row r="2518" spans="1:5" x14ac:dyDescent="0.3">
      <c r="A2518" t="s">
        <v>33</v>
      </c>
      <c r="B2518" t="s">
        <v>9</v>
      </c>
      <c r="C2518" t="s">
        <v>25</v>
      </c>
      <c r="D2518" s="3">
        <v>45597</v>
      </c>
      <c r="E2518" s="2">
        <v>3023</v>
      </c>
    </row>
    <row r="2519" spans="1:5" x14ac:dyDescent="0.3">
      <c r="A2519" t="s">
        <v>22</v>
      </c>
      <c r="B2519" t="s">
        <v>16</v>
      </c>
      <c r="C2519" t="s">
        <v>28</v>
      </c>
      <c r="D2519" s="3">
        <v>45597</v>
      </c>
      <c r="E2519" s="2">
        <v>7726</v>
      </c>
    </row>
    <row r="2520" spans="1:5" x14ac:dyDescent="0.3">
      <c r="A2520" t="s">
        <v>30</v>
      </c>
      <c r="B2520" t="s">
        <v>11</v>
      </c>
      <c r="C2520" t="s">
        <v>17</v>
      </c>
      <c r="D2520" s="3">
        <v>45597</v>
      </c>
      <c r="E2520" s="2">
        <v>9900</v>
      </c>
    </row>
    <row r="2521" spans="1:5" x14ac:dyDescent="0.3">
      <c r="A2521" t="s">
        <v>22</v>
      </c>
      <c r="B2521" t="s">
        <v>9</v>
      </c>
      <c r="C2521" t="s">
        <v>19</v>
      </c>
      <c r="D2521" s="3">
        <v>45598</v>
      </c>
      <c r="E2521" s="2">
        <v>12252</v>
      </c>
    </row>
    <row r="2522" spans="1:5" x14ac:dyDescent="0.3">
      <c r="A2522" t="s">
        <v>33</v>
      </c>
      <c r="B2522" t="s">
        <v>13</v>
      </c>
      <c r="C2522" t="s">
        <v>23</v>
      </c>
      <c r="D2522" s="3">
        <v>45598</v>
      </c>
      <c r="E2522" s="2">
        <v>6931</v>
      </c>
    </row>
    <row r="2523" spans="1:5" x14ac:dyDescent="0.3">
      <c r="A2523" t="s">
        <v>31</v>
      </c>
      <c r="B2523" t="s">
        <v>6</v>
      </c>
      <c r="C2523" t="s">
        <v>25</v>
      </c>
      <c r="D2523" s="3">
        <v>45598</v>
      </c>
      <c r="E2523" s="2">
        <v>2033</v>
      </c>
    </row>
    <row r="2524" spans="1:5" x14ac:dyDescent="0.3">
      <c r="A2524" t="s">
        <v>33</v>
      </c>
      <c r="B2524" t="s">
        <v>9</v>
      </c>
      <c r="C2524" t="s">
        <v>7</v>
      </c>
      <c r="D2524" s="3">
        <v>45598</v>
      </c>
      <c r="E2524" s="2">
        <v>1423</v>
      </c>
    </row>
    <row r="2525" spans="1:5" x14ac:dyDescent="0.3">
      <c r="A2525" t="s">
        <v>10</v>
      </c>
      <c r="B2525" t="s">
        <v>13</v>
      </c>
      <c r="C2525" t="s">
        <v>7</v>
      </c>
      <c r="D2525" s="3">
        <v>45598</v>
      </c>
      <c r="E2525" s="2">
        <v>1216</v>
      </c>
    </row>
    <row r="2526" spans="1:5" x14ac:dyDescent="0.3">
      <c r="A2526" t="s">
        <v>22</v>
      </c>
      <c r="B2526" t="s">
        <v>16</v>
      </c>
      <c r="C2526" t="s">
        <v>23</v>
      </c>
      <c r="D2526" s="3">
        <v>45599</v>
      </c>
      <c r="E2526" s="2">
        <v>12274</v>
      </c>
    </row>
    <row r="2527" spans="1:5" x14ac:dyDescent="0.3">
      <c r="A2527" t="s">
        <v>27</v>
      </c>
      <c r="B2527" t="s">
        <v>6</v>
      </c>
      <c r="C2527" t="s">
        <v>25</v>
      </c>
      <c r="D2527" s="3">
        <v>45599</v>
      </c>
      <c r="E2527" s="2">
        <v>6354</v>
      </c>
    </row>
    <row r="2528" spans="1:5" x14ac:dyDescent="0.3">
      <c r="A2528" t="s">
        <v>30</v>
      </c>
      <c r="B2528" t="s">
        <v>16</v>
      </c>
      <c r="C2528" t="s">
        <v>7</v>
      </c>
      <c r="D2528" s="3">
        <v>45599</v>
      </c>
      <c r="E2528" s="2">
        <v>6483</v>
      </c>
    </row>
    <row r="2529" spans="1:5" x14ac:dyDescent="0.3">
      <c r="A2529" t="s">
        <v>24</v>
      </c>
      <c r="B2529" t="s">
        <v>9</v>
      </c>
      <c r="C2529" t="s">
        <v>12</v>
      </c>
      <c r="D2529" s="3">
        <v>45599</v>
      </c>
      <c r="E2529" s="2">
        <v>6692</v>
      </c>
    </row>
    <row r="2530" spans="1:5" x14ac:dyDescent="0.3">
      <c r="A2530" t="s">
        <v>26</v>
      </c>
      <c r="B2530" t="s">
        <v>11</v>
      </c>
      <c r="C2530" t="s">
        <v>14</v>
      </c>
      <c r="D2530" s="3">
        <v>45600</v>
      </c>
      <c r="E2530" s="2">
        <v>12761</v>
      </c>
    </row>
    <row r="2531" spans="1:5" x14ac:dyDescent="0.3">
      <c r="A2531" t="s">
        <v>29</v>
      </c>
      <c r="B2531" t="s">
        <v>21</v>
      </c>
      <c r="C2531" t="s">
        <v>14</v>
      </c>
      <c r="D2531" s="3">
        <v>45600</v>
      </c>
      <c r="E2531" s="2">
        <v>7486</v>
      </c>
    </row>
    <row r="2532" spans="1:5" x14ac:dyDescent="0.3">
      <c r="A2532" t="s">
        <v>33</v>
      </c>
      <c r="B2532" t="s">
        <v>21</v>
      </c>
      <c r="C2532" t="s">
        <v>23</v>
      </c>
      <c r="D2532" s="3">
        <v>45600</v>
      </c>
      <c r="E2532" s="2">
        <v>11502</v>
      </c>
    </row>
    <row r="2533" spans="1:5" x14ac:dyDescent="0.3">
      <c r="A2533" t="s">
        <v>31</v>
      </c>
      <c r="B2533" t="s">
        <v>16</v>
      </c>
      <c r="C2533" t="s">
        <v>25</v>
      </c>
      <c r="D2533" s="3">
        <v>45600</v>
      </c>
      <c r="E2533" s="2">
        <v>3101</v>
      </c>
    </row>
    <row r="2534" spans="1:5" x14ac:dyDescent="0.3">
      <c r="A2534" t="s">
        <v>32</v>
      </c>
      <c r="B2534" t="s">
        <v>9</v>
      </c>
      <c r="C2534" t="s">
        <v>17</v>
      </c>
      <c r="D2534" s="3">
        <v>45600</v>
      </c>
      <c r="E2534" s="2">
        <v>7704</v>
      </c>
    </row>
    <row r="2535" spans="1:5" x14ac:dyDescent="0.3">
      <c r="A2535" t="s">
        <v>27</v>
      </c>
      <c r="B2535" t="s">
        <v>21</v>
      </c>
      <c r="C2535" t="s">
        <v>14</v>
      </c>
      <c r="D2535" s="3">
        <v>45601</v>
      </c>
      <c r="E2535" s="2">
        <v>10374</v>
      </c>
    </row>
    <row r="2536" spans="1:5" x14ac:dyDescent="0.3">
      <c r="A2536" t="s">
        <v>31</v>
      </c>
      <c r="B2536" t="s">
        <v>13</v>
      </c>
      <c r="C2536" t="s">
        <v>25</v>
      </c>
      <c r="D2536" s="3">
        <v>45601</v>
      </c>
      <c r="E2536" s="2">
        <v>9397</v>
      </c>
    </row>
    <row r="2537" spans="1:5" x14ac:dyDescent="0.3">
      <c r="A2537" t="s">
        <v>24</v>
      </c>
      <c r="B2537" t="s">
        <v>13</v>
      </c>
      <c r="C2537" t="s">
        <v>7</v>
      </c>
      <c r="D2537" s="3">
        <v>45601</v>
      </c>
      <c r="E2537" s="2">
        <v>8154</v>
      </c>
    </row>
    <row r="2538" spans="1:5" x14ac:dyDescent="0.3">
      <c r="A2538" t="s">
        <v>33</v>
      </c>
      <c r="B2538" t="s">
        <v>13</v>
      </c>
      <c r="C2538" t="s">
        <v>17</v>
      </c>
      <c r="D2538" s="3">
        <v>45601</v>
      </c>
      <c r="E2538" s="2">
        <v>4576</v>
      </c>
    </row>
    <row r="2539" spans="1:5" x14ac:dyDescent="0.3">
      <c r="A2539" t="s">
        <v>24</v>
      </c>
      <c r="B2539" t="s">
        <v>13</v>
      </c>
      <c r="C2539" t="s">
        <v>19</v>
      </c>
      <c r="D2539" s="3">
        <v>45602</v>
      </c>
      <c r="E2539" s="2">
        <v>7181</v>
      </c>
    </row>
    <row r="2540" spans="1:5" x14ac:dyDescent="0.3">
      <c r="A2540" t="s">
        <v>5</v>
      </c>
      <c r="B2540" t="s">
        <v>13</v>
      </c>
      <c r="C2540" t="s">
        <v>25</v>
      </c>
      <c r="D2540" s="3">
        <v>45602</v>
      </c>
      <c r="E2540" s="2">
        <v>6196</v>
      </c>
    </row>
    <row r="2541" spans="1:5" x14ac:dyDescent="0.3">
      <c r="A2541" t="s">
        <v>33</v>
      </c>
      <c r="B2541" t="s">
        <v>9</v>
      </c>
      <c r="C2541" t="s">
        <v>12</v>
      </c>
      <c r="D2541" s="3">
        <v>45602</v>
      </c>
      <c r="E2541" s="2">
        <v>4658</v>
      </c>
    </row>
    <row r="2542" spans="1:5" x14ac:dyDescent="0.3">
      <c r="A2542" t="s">
        <v>10</v>
      </c>
      <c r="B2542" t="s">
        <v>6</v>
      </c>
      <c r="C2542" t="s">
        <v>23</v>
      </c>
      <c r="D2542" s="3">
        <v>45603</v>
      </c>
      <c r="E2542" s="2">
        <v>2410</v>
      </c>
    </row>
    <row r="2543" spans="1:5" x14ac:dyDescent="0.3">
      <c r="A2543" t="s">
        <v>22</v>
      </c>
      <c r="B2543" t="s">
        <v>6</v>
      </c>
      <c r="C2543" t="s">
        <v>25</v>
      </c>
      <c r="D2543" s="3">
        <v>45603</v>
      </c>
      <c r="E2543" s="2">
        <v>4711</v>
      </c>
    </row>
    <row r="2544" spans="1:5" x14ac:dyDescent="0.3">
      <c r="A2544" t="s">
        <v>10</v>
      </c>
      <c r="B2544" t="s">
        <v>11</v>
      </c>
      <c r="C2544" t="s">
        <v>7</v>
      </c>
      <c r="D2544" s="3">
        <v>45603</v>
      </c>
      <c r="E2544" s="2">
        <v>10340</v>
      </c>
    </row>
    <row r="2545" spans="1:5" x14ac:dyDescent="0.3">
      <c r="A2545" t="s">
        <v>24</v>
      </c>
      <c r="B2545" t="s">
        <v>11</v>
      </c>
      <c r="C2545" t="s">
        <v>17</v>
      </c>
      <c r="D2545" s="3">
        <v>45603</v>
      </c>
      <c r="E2545" s="2">
        <v>11792</v>
      </c>
    </row>
    <row r="2546" spans="1:5" x14ac:dyDescent="0.3">
      <c r="A2546" t="s">
        <v>5</v>
      </c>
      <c r="B2546" t="s">
        <v>6</v>
      </c>
      <c r="C2546" t="s">
        <v>17</v>
      </c>
      <c r="D2546" s="3">
        <v>45603</v>
      </c>
      <c r="E2546" s="2">
        <v>3253</v>
      </c>
    </row>
    <row r="2547" spans="1:5" x14ac:dyDescent="0.3">
      <c r="A2547" t="s">
        <v>8</v>
      </c>
      <c r="B2547" t="s">
        <v>11</v>
      </c>
      <c r="C2547" t="s">
        <v>12</v>
      </c>
      <c r="D2547" s="3">
        <v>45603</v>
      </c>
      <c r="E2547" s="2">
        <v>4032</v>
      </c>
    </row>
    <row r="2548" spans="1:5" x14ac:dyDescent="0.3">
      <c r="A2548" t="s">
        <v>30</v>
      </c>
      <c r="B2548" t="s">
        <v>21</v>
      </c>
      <c r="C2548" t="s">
        <v>14</v>
      </c>
      <c r="D2548" s="3">
        <v>45604</v>
      </c>
      <c r="E2548" s="2">
        <v>13815</v>
      </c>
    </row>
    <row r="2549" spans="1:5" x14ac:dyDescent="0.3">
      <c r="A2549" t="s">
        <v>27</v>
      </c>
      <c r="B2549" t="s">
        <v>13</v>
      </c>
      <c r="C2549" t="s">
        <v>14</v>
      </c>
      <c r="D2549" s="3">
        <v>45604</v>
      </c>
      <c r="E2549" s="2">
        <v>13291</v>
      </c>
    </row>
    <row r="2550" spans="1:5" x14ac:dyDescent="0.3">
      <c r="A2550" t="s">
        <v>32</v>
      </c>
      <c r="B2550" t="s">
        <v>16</v>
      </c>
      <c r="C2550" t="s">
        <v>25</v>
      </c>
      <c r="D2550" s="3">
        <v>45604</v>
      </c>
      <c r="E2550" s="2">
        <v>4219</v>
      </c>
    </row>
    <row r="2551" spans="1:5" x14ac:dyDescent="0.3">
      <c r="A2551" t="s">
        <v>32</v>
      </c>
      <c r="B2551" t="s">
        <v>9</v>
      </c>
      <c r="C2551" t="s">
        <v>28</v>
      </c>
      <c r="D2551" s="3">
        <v>45604</v>
      </c>
      <c r="E2551" s="2">
        <v>9553</v>
      </c>
    </row>
    <row r="2552" spans="1:5" x14ac:dyDescent="0.3">
      <c r="A2552" t="s">
        <v>33</v>
      </c>
      <c r="B2552" t="s">
        <v>11</v>
      </c>
      <c r="C2552" t="s">
        <v>23</v>
      </c>
      <c r="D2552" s="3">
        <v>45605</v>
      </c>
      <c r="E2552" s="2">
        <v>1730</v>
      </c>
    </row>
    <row r="2553" spans="1:5" x14ac:dyDescent="0.3">
      <c r="A2553" t="s">
        <v>32</v>
      </c>
      <c r="B2553" t="s">
        <v>11</v>
      </c>
      <c r="C2553" t="s">
        <v>12</v>
      </c>
      <c r="D2553" s="3">
        <v>45605</v>
      </c>
      <c r="E2553" s="2">
        <v>4116</v>
      </c>
    </row>
    <row r="2554" spans="1:5" x14ac:dyDescent="0.3">
      <c r="A2554" t="s">
        <v>27</v>
      </c>
      <c r="B2554" t="s">
        <v>13</v>
      </c>
      <c r="C2554" t="s">
        <v>12</v>
      </c>
      <c r="D2554" s="3">
        <v>45605</v>
      </c>
      <c r="E2554" s="2">
        <v>11439</v>
      </c>
    </row>
    <row r="2555" spans="1:5" x14ac:dyDescent="0.3">
      <c r="A2555" t="s">
        <v>15</v>
      </c>
      <c r="B2555" t="s">
        <v>21</v>
      </c>
      <c r="C2555" t="s">
        <v>25</v>
      </c>
      <c r="D2555" s="3">
        <v>45606</v>
      </c>
      <c r="E2555" s="2">
        <v>8932</v>
      </c>
    </row>
    <row r="2556" spans="1:5" x14ac:dyDescent="0.3">
      <c r="A2556" t="s">
        <v>33</v>
      </c>
      <c r="B2556" t="s">
        <v>6</v>
      </c>
      <c r="C2556" t="s">
        <v>25</v>
      </c>
      <c r="D2556" s="3">
        <v>45606</v>
      </c>
      <c r="E2556" s="2">
        <v>13990</v>
      </c>
    </row>
    <row r="2557" spans="1:5" x14ac:dyDescent="0.3">
      <c r="A2557" t="s">
        <v>32</v>
      </c>
      <c r="B2557" t="s">
        <v>13</v>
      </c>
      <c r="C2557" t="s">
        <v>25</v>
      </c>
      <c r="D2557" s="3">
        <v>45606</v>
      </c>
      <c r="E2557" s="2">
        <v>7531</v>
      </c>
    </row>
    <row r="2558" spans="1:5" x14ac:dyDescent="0.3">
      <c r="A2558" t="s">
        <v>32</v>
      </c>
      <c r="B2558" t="s">
        <v>9</v>
      </c>
      <c r="C2558" t="s">
        <v>28</v>
      </c>
      <c r="D2558" s="3">
        <v>45606</v>
      </c>
      <c r="E2558" s="2">
        <v>11144</v>
      </c>
    </row>
    <row r="2559" spans="1:5" x14ac:dyDescent="0.3">
      <c r="A2559" t="s">
        <v>20</v>
      </c>
      <c r="B2559" t="s">
        <v>16</v>
      </c>
      <c r="C2559" t="s">
        <v>17</v>
      </c>
      <c r="D2559" s="3">
        <v>45606</v>
      </c>
      <c r="E2559" s="2">
        <v>2477</v>
      </c>
    </row>
    <row r="2560" spans="1:5" x14ac:dyDescent="0.3">
      <c r="A2560" t="s">
        <v>32</v>
      </c>
      <c r="B2560" t="s">
        <v>6</v>
      </c>
      <c r="C2560" t="s">
        <v>14</v>
      </c>
      <c r="D2560" s="3">
        <v>45607</v>
      </c>
      <c r="E2560" s="2">
        <v>1419</v>
      </c>
    </row>
    <row r="2561" spans="1:5" x14ac:dyDescent="0.3">
      <c r="A2561" t="s">
        <v>26</v>
      </c>
      <c r="B2561" t="s">
        <v>13</v>
      </c>
      <c r="C2561" t="s">
        <v>19</v>
      </c>
      <c r="D2561" s="3">
        <v>45607</v>
      </c>
      <c r="E2561" s="2">
        <v>1541</v>
      </c>
    </row>
    <row r="2562" spans="1:5" x14ac:dyDescent="0.3">
      <c r="A2562" t="s">
        <v>26</v>
      </c>
      <c r="B2562" t="s">
        <v>16</v>
      </c>
      <c r="C2562" t="s">
        <v>28</v>
      </c>
      <c r="D2562" s="3">
        <v>45607</v>
      </c>
      <c r="E2562" s="2">
        <v>2564</v>
      </c>
    </row>
    <row r="2563" spans="1:5" x14ac:dyDescent="0.3">
      <c r="A2563" t="s">
        <v>26</v>
      </c>
      <c r="B2563" t="s">
        <v>9</v>
      </c>
      <c r="C2563" t="s">
        <v>12</v>
      </c>
      <c r="D2563" s="3">
        <v>45607</v>
      </c>
      <c r="E2563" s="2">
        <v>5310</v>
      </c>
    </row>
    <row r="2564" spans="1:5" x14ac:dyDescent="0.3">
      <c r="A2564" t="s">
        <v>5</v>
      </c>
      <c r="B2564" t="s">
        <v>21</v>
      </c>
      <c r="C2564" t="s">
        <v>12</v>
      </c>
      <c r="D2564" s="3">
        <v>45607</v>
      </c>
      <c r="E2564" s="2">
        <v>11169</v>
      </c>
    </row>
    <row r="2565" spans="1:5" x14ac:dyDescent="0.3">
      <c r="A2565" t="s">
        <v>22</v>
      </c>
      <c r="B2565" t="s">
        <v>11</v>
      </c>
      <c r="C2565" t="s">
        <v>12</v>
      </c>
      <c r="D2565" s="3">
        <v>45607</v>
      </c>
      <c r="E2565" s="2">
        <v>7830</v>
      </c>
    </row>
    <row r="2566" spans="1:5" x14ac:dyDescent="0.3">
      <c r="A2566" t="s">
        <v>33</v>
      </c>
      <c r="B2566" t="s">
        <v>9</v>
      </c>
      <c r="C2566" t="s">
        <v>19</v>
      </c>
      <c r="D2566" s="3">
        <v>45608</v>
      </c>
      <c r="E2566" s="2">
        <v>11690</v>
      </c>
    </row>
    <row r="2567" spans="1:5" x14ac:dyDescent="0.3">
      <c r="A2567" t="s">
        <v>29</v>
      </c>
      <c r="B2567" t="s">
        <v>6</v>
      </c>
      <c r="C2567" t="s">
        <v>25</v>
      </c>
      <c r="D2567" s="3">
        <v>45608</v>
      </c>
      <c r="E2567" s="2">
        <v>4666</v>
      </c>
    </row>
    <row r="2568" spans="1:5" x14ac:dyDescent="0.3">
      <c r="A2568" t="s">
        <v>20</v>
      </c>
      <c r="B2568" t="s">
        <v>9</v>
      </c>
      <c r="C2568" t="s">
        <v>7</v>
      </c>
      <c r="D2568" s="3">
        <v>45608</v>
      </c>
      <c r="E2568" s="2">
        <v>8380</v>
      </c>
    </row>
    <row r="2569" spans="1:5" x14ac:dyDescent="0.3">
      <c r="A2569" t="s">
        <v>26</v>
      </c>
      <c r="B2569" t="s">
        <v>21</v>
      </c>
      <c r="C2569" t="s">
        <v>23</v>
      </c>
      <c r="D2569" s="3">
        <v>45609</v>
      </c>
      <c r="E2569" s="2">
        <v>10544</v>
      </c>
    </row>
    <row r="2570" spans="1:5" x14ac:dyDescent="0.3">
      <c r="A2570" t="s">
        <v>24</v>
      </c>
      <c r="B2570" t="s">
        <v>13</v>
      </c>
      <c r="C2570" t="s">
        <v>28</v>
      </c>
      <c r="D2570" s="3">
        <v>45609</v>
      </c>
      <c r="E2570" s="2">
        <v>3510</v>
      </c>
    </row>
    <row r="2571" spans="1:5" x14ac:dyDescent="0.3">
      <c r="A2571" t="s">
        <v>5</v>
      </c>
      <c r="B2571" t="s">
        <v>6</v>
      </c>
      <c r="C2571" t="s">
        <v>17</v>
      </c>
      <c r="D2571" s="3">
        <v>45609</v>
      </c>
      <c r="E2571" s="2">
        <v>11744</v>
      </c>
    </row>
    <row r="2572" spans="1:5" x14ac:dyDescent="0.3">
      <c r="A2572" t="s">
        <v>29</v>
      </c>
      <c r="B2572" t="s">
        <v>6</v>
      </c>
      <c r="C2572" t="s">
        <v>14</v>
      </c>
      <c r="D2572" s="3">
        <v>45610</v>
      </c>
      <c r="E2572" s="2">
        <v>11865</v>
      </c>
    </row>
    <row r="2573" spans="1:5" x14ac:dyDescent="0.3">
      <c r="A2573" t="s">
        <v>31</v>
      </c>
      <c r="B2573" t="s">
        <v>6</v>
      </c>
      <c r="C2573" t="s">
        <v>23</v>
      </c>
      <c r="D2573" s="3">
        <v>45610</v>
      </c>
      <c r="E2573" s="2">
        <v>3110</v>
      </c>
    </row>
    <row r="2574" spans="1:5" x14ac:dyDescent="0.3">
      <c r="A2574" t="s">
        <v>27</v>
      </c>
      <c r="B2574" t="s">
        <v>9</v>
      </c>
      <c r="C2574" t="s">
        <v>7</v>
      </c>
      <c r="D2574" s="3">
        <v>45610</v>
      </c>
      <c r="E2574" s="2">
        <v>1714</v>
      </c>
    </row>
    <row r="2575" spans="1:5" x14ac:dyDescent="0.3">
      <c r="A2575" t="s">
        <v>31</v>
      </c>
      <c r="B2575" t="s">
        <v>21</v>
      </c>
      <c r="C2575" t="s">
        <v>28</v>
      </c>
      <c r="D2575" s="3">
        <v>45610</v>
      </c>
      <c r="E2575" s="2">
        <v>4715</v>
      </c>
    </row>
    <row r="2576" spans="1:5" x14ac:dyDescent="0.3">
      <c r="A2576" t="s">
        <v>22</v>
      </c>
      <c r="B2576" t="s">
        <v>9</v>
      </c>
      <c r="C2576" t="s">
        <v>28</v>
      </c>
      <c r="D2576" s="3">
        <v>45610</v>
      </c>
      <c r="E2576" s="2">
        <v>8845</v>
      </c>
    </row>
    <row r="2577" spans="1:5" x14ac:dyDescent="0.3">
      <c r="A2577" t="s">
        <v>33</v>
      </c>
      <c r="B2577" t="s">
        <v>11</v>
      </c>
      <c r="C2577" t="s">
        <v>17</v>
      </c>
      <c r="D2577" s="3">
        <v>45610</v>
      </c>
      <c r="E2577" s="2">
        <v>8567</v>
      </c>
    </row>
    <row r="2578" spans="1:5" x14ac:dyDescent="0.3">
      <c r="A2578" t="s">
        <v>15</v>
      </c>
      <c r="B2578" t="s">
        <v>9</v>
      </c>
      <c r="C2578" t="s">
        <v>12</v>
      </c>
      <c r="D2578" s="3">
        <v>45610</v>
      </c>
      <c r="E2578" s="2">
        <v>2907</v>
      </c>
    </row>
    <row r="2579" spans="1:5" x14ac:dyDescent="0.3">
      <c r="A2579" t="s">
        <v>20</v>
      </c>
      <c r="B2579" t="s">
        <v>16</v>
      </c>
      <c r="C2579" t="s">
        <v>23</v>
      </c>
      <c r="D2579" s="3">
        <v>45611</v>
      </c>
      <c r="E2579" s="2">
        <v>3736</v>
      </c>
    </row>
    <row r="2580" spans="1:5" x14ac:dyDescent="0.3">
      <c r="A2580" t="s">
        <v>5</v>
      </c>
      <c r="B2580" t="s">
        <v>13</v>
      </c>
      <c r="C2580" t="s">
        <v>25</v>
      </c>
      <c r="D2580" s="3">
        <v>45611</v>
      </c>
      <c r="E2580" s="2">
        <v>7002</v>
      </c>
    </row>
    <row r="2581" spans="1:5" x14ac:dyDescent="0.3">
      <c r="A2581" t="s">
        <v>15</v>
      </c>
      <c r="B2581" t="s">
        <v>11</v>
      </c>
      <c r="C2581" t="s">
        <v>25</v>
      </c>
      <c r="D2581" s="3">
        <v>45611</v>
      </c>
      <c r="E2581" s="2">
        <v>11617</v>
      </c>
    </row>
    <row r="2582" spans="1:5" x14ac:dyDescent="0.3">
      <c r="A2582" t="s">
        <v>8</v>
      </c>
      <c r="B2582" t="s">
        <v>9</v>
      </c>
      <c r="C2582" t="s">
        <v>17</v>
      </c>
      <c r="D2582" s="3">
        <v>45611</v>
      </c>
      <c r="E2582" s="2">
        <v>11826</v>
      </c>
    </row>
    <row r="2583" spans="1:5" x14ac:dyDescent="0.3">
      <c r="A2583" t="s">
        <v>10</v>
      </c>
      <c r="B2583" t="s">
        <v>11</v>
      </c>
      <c r="C2583" t="s">
        <v>12</v>
      </c>
      <c r="D2583" s="3">
        <v>45611</v>
      </c>
      <c r="E2583" s="2">
        <v>9739</v>
      </c>
    </row>
    <row r="2584" spans="1:5" x14ac:dyDescent="0.3">
      <c r="A2584" t="s">
        <v>32</v>
      </c>
      <c r="B2584" t="s">
        <v>21</v>
      </c>
      <c r="C2584" t="s">
        <v>19</v>
      </c>
      <c r="D2584" s="3">
        <v>45612</v>
      </c>
      <c r="E2584" s="2">
        <v>7966</v>
      </c>
    </row>
    <row r="2585" spans="1:5" x14ac:dyDescent="0.3">
      <c r="A2585" t="s">
        <v>10</v>
      </c>
      <c r="B2585" t="s">
        <v>9</v>
      </c>
      <c r="C2585" t="s">
        <v>23</v>
      </c>
      <c r="D2585" s="3">
        <v>45612</v>
      </c>
      <c r="E2585" s="2">
        <v>8501</v>
      </c>
    </row>
    <row r="2586" spans="1:5" x14ac:dyDescent="0.3">
      <c r="A2586" t="s">
        <v>33</v>
      </c>
      <c r="B2586" t="s">
        <v>16</v>
      </c>
      <c r="C2586" t="s">
        <v>19</v>
      </c>
      <c r="D2586" s="3">
        <v>45613</v>
      </c>
      <c r="E2586" s="2">
        <v>2084</v>
      </c>
    </row>
    <row r="2587" spans="1:5" x14ac:dyDescent="0.3">
      <c r="A2587" t="s">
        <v>20</v>
      </c>
      <c r="B2587" t="s">
        <v>16</v>
      </c>
      <c r="C2587" t="s">
        <v>19</v>
      </c>
      <c r="D2587" s="3">
        <v>45613</v>
      </c>
      <c r="E2587" s="2">
        <v>6057</v>
      </c>
    </row>
    <row r="2588" spans="1:5" x14ac:dyDescent="0.3">
      <c r="A2588" t="s">
        <v>30</v>
      </c>
      <c r="B2588" t="s">
        <v>11</v>
      </c>
      <c r="C2588" t="s">
        <v>23</v>
      </c>
      <c r="D2588" s="3">
        <v>45613</v>
      </c>
      <c r="E2588" s="2">
        <v>1274</v>
      </c>
    </row>
    <row r="2589" spans="1:5" x14ac:dyDescent="0.3">
      <c r="A2589" t="s">
        <v>30</v>
      </c>
      <c r="B2589" t="s">
        <v>6</v>
      </c>
      <c r="C2589" t="s">
        <v>7</v>
      </c>
      <c r="D2589" s="3">
        <v>45613</v>
      </c>
      <c r="E2589" s="2">
        <v>5609</v>
      </c>
    </row>
    <row r="2590" spans="1:5" x14ac:dyDescent="0.3">
      <c r="A2590" t="s">
        <v>32</v>
      </c>
      <c r="B2590" t="s">
        <v>11</v>
      </c>
      <c r="C2590" t="s">
        <v>7</v>
      </c>
      <c r="D2590" s="3">
        <v>45613</v>
      </c>
      <c r="E2590" s="2">
        <v>3071</v>
      </c>
    </row>
    <row r="2591" spans="1:5" x14ac:dyDescent="0.3">
      <c r="A2591" t="s">
        <v>30</v>
      </c>
      <c r="B2591" t="s">
        <v>16</v>
      </c>
      <c r="C2591" t="s">
        <v>12</v>
      </c>
      <c r="D2591" s="3">
        <v>45613</v>
      </c>
      <c r="E2591" s="2">
        <v>3564</v>
      </c>
    </row>
    <row r="2592" spans="1:5" x14ac:dyDescent="0.3">
      <c r="A2592" t="s">
        <v>24</v>
      </c>
      <c r="B2592" t="s">
        <v>16</v>
      </c>
      <c r="C2592" t="s">
        <v>28</v>
      </c>
      <c r="D2592" s="3">
        <v>45614</v>
      </c>
      <c r="E2592" s="2">
        <v>5415</v>
      </c>
    </row>
    <row r="2593" spans="1:5" x14ac:dyDescent="0.3">
      <c r="A2593" t="s">
        <v>26</v>
      </c>
      <c r="B2593" t="s">
        <v>9</v>
      </c>
      <c r="C2593" t="s">
        <v>17</v>
      </c>
      <c r="D2593" s="3">
        <v>45614</v>
      </c>
      <c r="E2593" s="2">
        <v>1731</v>
      </c>
    </row>
    <row r="2594" spans="1:5" x14ac:dyDescent="0.3">
      <c r="A2594" t="s">
        <v>18</v>
      </c>
      <c r="B2594" t="s">
        <v>13</v>
      </c>
      <c r="C2594" t="s">
        <v>14</v>
      </c>
      <c r="D2594" s="3">
        <v>45615</v>
      </c>
      <c r="E2594" s="2">
        <v>6373</v>
      </c>
    </row>
    <row r="2595" spans="1:5" x14ac:dyDescent="0.3">
      <c r="A2595" t="s">
        <v>18</v>
      </c>
      <c r="B2595" t="s">
        <v>6</v>
      </c>
      <c r="C2595" t="s">
        <v>14</v>
      </c>
      <c r="D2595" s="3">
        <v>45616</v>
      </c>
      <c r="E2595" s="2">
        <v>13523</v>
      </c>
    </row>
    <row r="2596" spans="1:5" x14ac:dyDescent="0.3">
      <c r="A2596" t="s">
        <v>8</v>
      </c>
      <c r="B2596" t="s">
        <v>6</v>
      </c>
      <c r="C2596" t="s">
        <v>14</v>
      </c>
      <c r="D2596" s="3">
        <v>45616</v>
      </c>
      <c r="E2596" s="2">
        <v>6442</v>
      </c>
    </row>
    <row r="2597" spans="1:5" x14ac:dyDescent="0.3">
      <c r="A2597" t="s">
        <v>27</v>
      </c>
      <c r="B2597" t="s">
        <v>9</v>
      </c>
      <c r="C2597" t="s">
        <v>7</v>
      </c>
      <c r="D2597" s="3">
        <v>45616</v>
      </c>
      <c r="E2597" s="2">
        <v>8256</v>
      </c>
    </row>
    <row r="2598" spans="1:5" x14ac:dyDescent="0.3">
      <c r="A2598" t="s">
        <v>31</v>
      </c>
      <c r="B2598" t="s">
        <v>6</v>
      </c>
      <c r="C2598" t="s">
        <v>12</v>
      </c>
      <c r="D2598" s="3">
        <v>45616</v>
      </c>
      <c r="E2598" s="2">
        <v>9045</v>
      </c>
    </row>
    <row r="2599" spans="1:5" x14ac:dyDescent="0.3">
      <c r="A2599" t="s">
        <v>18</v>
      </c>
      <c r="B2599" t="s">
        <v>16</v>
      </c>
      <c r="C2599" t="s">
        <v>19</v>
      </c>
      <c r="D2599" s="3">
        <v>45617</v>
      </c>
      <c r="E2599" s="2">
        <v>4689</v>
      </c>
    </row>
    <row r="2600" spans="1:5" x14ac:dyDescent="0.3">
      <c r="A2600" t="s">
        <v>22</v>
      </c>
      <c r="B2600" t="s">
        <v>13</v>
      </c>
      <c r="C2600" t="s">
        <v>23</v>
      </c>
      <c r="D2600" s="3">
        <v>45617</v>
      </c>
      <c r="E2600" s="2">
        <v>12009</v>
      </c>
    </row>
    <row r="2601" spans="1:5" x14ac:dyDescent="0.3">
      <c r="A2601" t="s">
        <v>27</v>
      </c>
      <c r="B2601" t="s">
        <v>11</v>
      </c>
      <c r="C2601" t="s">
        <v>23</v>
      </c>
      <c r="D2601" s="3">
        <v>45617</v>
      </c>
      <c r="E2601" s="2">
        <v>13211</v>
      </c>
    </row>
    <row r="2602" spans="1:5" x14ac:dyDescent="0.3">
      <c r="A2602" t="s">
        <v>31</v>
      </c>
      <c r="B2602" t="s">
        <v>13</v>
      </c>
      <c r="C2602" t="s">
        <v>28</v>
      </c>
      <c r="D2602" s="3">
        <v>45617</v>
      </c>
      <c r="E2602" s="2">
        <v>2282</v>
      </c>
    </row>
    <row r="2603" spans="1:5" x14ac:dyDescent="0.3">
      <c r="A2603" t="s">
        <v>8</v>
      </c>
      <c r="B2603" t="s">
        <v>11</v>
      </c>
      <c r="C2603" t="s">
        <v>17</v>
      </c>
      <c r="D2603" s="3">
        <v>45617</v>
      </c>
      <c r="E2603" s="2">
        <v>11855</v>
      </c>
    </row>
    <row r="2604" spans="1:5" x14ac:dyDescent="0.3">
      <c r="A2604" t="s">
        <v>27</v>
      </c>
      <c r="B2604" t="s">
        <v>13</v>
      </c>
      <c r="C2604" t="s">
        <v>12</v>
      </c>
      <c r="D2604" s="3">
        <v>45617</v>
      </c>
      <c r="E2604" s="2">
        <v>2645</v>
      </c>
    </row>
    <row r="2605" spans="1:5" x14ac:dyDescent="0.3">
      <c r="A2605" t="s">
        <v>10</v>
      </c>
      <c r="B2605" t="s">
        <v>9</v>
      </c>
      <c r="C2605" t="s">
        <v>19</v>
      </c>
      <c r="D2605" s="3">
        <v>45618</v>
      </c>
      <c r="E2605" s="2">
        <v>1007</v>
      </c>
    </row>
    <row r="2606" spans="1:5" x14ac:dyDescent="0.3">
      <c r="A2606" t="s">
        <v>18</v>
      </c>
      <c r="B2606" t="s">
        <v>21</v>
      </c>
      <c r="C2606" t="s">
        <v>25</v>
      </c>
      <c r="D2606" s="3">
        <v>45618</v>
      </c>
      <c r="E2606" s="2">
        <v>10328</v>
      </c>
    </row>
    <row r="2607" spans="1:5" x14ac:dyDescent="0.3">
      <c r="A2607" t="s">
        <v>18</v>
      </c>
      <c r="B2607" t="s">
        <v>13</v>
      </c>
      <c r="C2607" t="s">
        <v>7</v>
      </c>
      <c r="D2607" s="3">
        <v>45618</v>
      </c>
      <c r="E2607" s="2">
        <v>5474</v>
      </c>
    </row>
    <row r="2608" spans="1:5" x14ac:dyDescent="0.3">
      <c r="A2608" t="s">
        <v>26</v>
      </c>
      <c r="B2608" t="s">
        <v>16</v>
      </c>
      <c r="C2608" t="s">
        <v>28</v>
      </c>
      <c r="D2608" s="3">
        <v>45619</v>
      </c>
      <c r="E2608" s="2">
        <v>5413</v>
      </c>
    </row>
    <row r="2609" spans="1:5" x14ac:dyDescent="0.3">
      <c r="A2609" t="s">
        <v>8</v>
      </c>
      <c r="B2609" t="s">
        <v>9</v>
      </c>
      <c r="C2609" t="s">
        <v>12</v>
      </c>
      <c r="D2609" s="3">
        <v>45619</v>
      </c>
      <c r="E2609" s="2">
        <v>10497</v>
      </c>
    </row>
    <row r="2610" spans="1:5" x14ac:dyDescent="0.3">
      <c r="A2610" t="s">
        <v>32</v>
      </c>
      <c r="B2610" t="s">
        <v>11</v>
      </c>
      <c r="C2610" t="s">
        <v>12</v>
      </c>
      <c r="D2610" s="3">
        <v>45619</v>
      </c>
      <c r="E2610" s="2">
        <v>1579</v>
      </c>
    </row>
    <row r="2611" spans="1:5" x14ac:dyDescent="0.3">
      <c r="A2611" t="s">
        <v>32</v>
      </c>
      <c r="B2611" t="s">
        <v>6</v>
      </c>
      <c r="C2611" t="s">
        <v>14</v>
      </c>
      <c r="D2611" s="3">
        <v>45620</v>
      </c>
      <c r="E2611" s="2">
        <v>11621</v>
      </c>
    </row>
    <row r="2612" spans="1:5" x14ac:dyDescent="0.3">
      <c r="A2612" t="s">
        <v>15</v>
      </c>
      <c r="B2612" t="s">
        <v>6</v>
      </c>
      <c r="C2612" t="s">
        <v>23</v>
      </c>
      <c r="D2612" s="3">
        <v>45620</v>
      </c>
      <c r="E2612" s="2">
        <v>3768</v>
      </c>
    </row>
    <row r="2613" spans="1:5" x14ac:dyDescent="0.3">
      <c r="A2613" t="s">
        <v>29</v>
      </c>
      <c r="B2613" t="s">
        <v>11</v>
      </c>
      <c r="C2613" t="s">
        <v>17</v>
      </c>
      <c r="D2613" s="3">
        <v>45620</v>
      </c>
      <c r="E2613" s="2">
        <v>5627</v>
      </c>
    </row>
    <row r="2614" spans="1:5" x14ac:dyDescent="0.3">
      <c r="A2614" t="s">
        <v>22</v>
      </c>
      <c r="B2614" t="s">
        <v>21</v>
      </c>
      <c r="C2614" t="s">
        <v>19</v>
      </c>
      <c r="D2614" s="3">
        <v>45621</v>
      </c>
      <c r="E2614" s="2">
        <v>13324</v>
      </c>
    </row>
    <row r="2615" spans="1:5" x14ac:dyDescent="0.3">
      <c r="A2615" t="s">
        <v>31</v>
      </c>
      <c r="B2615" t="s">
        <v>16</v>
      </c>
      <c r="C2615" t="s">
        <v>19</v>
      </c>
      <c r="D2615" s="3">
        <v>45621</v>
      </c>
      <c r="E2615" s="2">
        <v>4162</v>
      </c>
    </row>
    <row r="2616" spans="1:5" x14ac:dyDescent="0.3">
      <c r="A2616" t="s">
        <v>5</v>
      </c>
      <c r="B2616" t="s">
        <v>21</v>
      </c>
      <c r="C2616" t="s">
        <v>23</v>
      </c>
      <c r="D2616" s="3">
        <v>45621</v>
      </c>
      <c r="E2616" s="2">
        <v>5928</v>
      </c>
    </row>
    <row r="2617" spans="1:5" x14ac:dyDescent="0.3">
      <c r="A2617" t="s">
        <v>18</v>
      </c>
      <c r="B2617" t="s">
        <v>9</v>
      </c>
      <c r="C2617" t="s">
        <v>7</v>
      </c>
      <c r="D2617" s="3">
        <v>45621</v>
      </c>
      <c r="E2617" s="2">
        <v>9513</v>
      </c>
    </row>
    <row r="2618" spans="1:5" x14ac:dyDescent="0.3">
      <c r="A2618" t="s">
        <v>5</v>
      </c>
      <c r="B2618" t="s">
        <v>13</v>
      </c>
      <c r="C2618" t="s">
        <v>7</v>
      </c>
      <c r="D2618" s="3">
        <v>45621</v>
      </c>
      <c r="E2618" s="2">
        <v>4725</v>
      </c>
    </row>
    <row r="2619" spans="1:5" x14ac:dyDescent="0.3">
      <c r="A2619" t="s">
        <v>30</v>
      </c>
      <c r="B2619" t="s">
        <v>16</v>
      </c>
      <c r="C2619" t="s">
        <v>7</v>
      </c>
      <c r="D2619" s="3">
        <v>45621</v>
      </c>
      <c r="E2619" s="2">
        <v>5279</v>
      </c>
    </row>
    <row r="2620" spans="1:5" x14ac:dyDescent="0.3">
      <c r="A2620" t="s">
        <v>22</v>
      </c>
      <c r="B2620" t="s">
        <v>11</v>
      </c>
      <c r="C2620" t="s">
        <v>12</v>
      </c>
      <c r="D2620" s="3">
        <v>45621</v>
      </c>
      <c r="E2620" s="2">
        <v>13624</v>
      </c>
    </row>
    <row r="2621" spans="1:5" x14ac:dyDescent="0.3">
      <c r="A2621" t="s">
        <v>31</v>
      </c>
      <c r="B2621" t="s">
        <v>9</v>
      </c>
      <c r="C2621" t="s">
        <v>28</v>
      </c>
      <c r="D2621" s="3">
        <v>45622</v>
      </c>
      <c r="E2621" s="2">
        <v>9019</v>
      </c>
    </row>
    <row r="2622" spans="1:5" x14ac:dyDescent="0.3">
      <c r="A2622" t="s">
        <v>32</v>
      </c>
      <c r="B2622" t="s">
        <v>6</v>
      </c>
      <c r="C2622" t="s">
        <v>17</v>
      </c>
      <c r="D2622" s="3">
        <v>45622</v>
      </c>
      <c r="E2622" s="2">
        <v>4996</v>
      </c>
    </row>
    <row r="2623" spans="1:5" x14ac:dyDescent="0.3">
      <c r="A2623" t="s">
        <v>31</v>
      </c>
      <c r="B2623" t="s">
        <v>6</v>
      </c>
      <c r="C2623" t="s">
        <v>14</v>
      </c>
      <c r="D2623" s="3">
        <v>45623</v>
      </c>
      <c r="E2623" s="2">
        <v>13309</v>
      </c>
    </row>
    <row r="2624" spans="1:5" x14ac:dyDescent="0.3">
      <c r="A2624" t="s">
        <v>30</v>
      </c>
      <c r="B2624" t="s">
        <v>9</v>
      </c>
      <c r="C2624" t="s">
        <v>17</v>
      </c>
      <c r="D2624" s="3">
        <v>45623</v>
      </c>
      <c r="E2624" s="2">
        <v>2274</v>
      </c>
    </row>
    <row r="2625" spans="1:5" x14ac:dyDescent="0.3">
      <c r="A2625" t="s">
        <v>33</v>
      </c>
      <c r="B2625" t="s">
        <v>6</v>
      </c>
      <c r="C2625" t="s">
        <v>14</v>
      </c>
      <c r="D2625" s="3">
        <v>45624</v>
      </c>
      <c r="E2625" s="2">
        <v>6086</v>
      </c>
    </row>
    <row r="2626" spans="1:5" x14ac:dyDescent="0.3">
      <c r="A2626" t="s">
        <v>27</v>
      </c>
      <c r="B2626" t="s">
        <v>16</v>
      </c>
      <c r="C2626" t="s">
        <v>14</v>
      </c>
      <c r="D2626" s="3">
        <v>45624</v>
      </c>
      <c r="E2626" s="2">
        <v>1524</v>
      </c>
    </row>
    <row r="2627" spans="1:5" x14ac:dyDescent="0.3">
      <c r="A2627" t="s">
        <v>5</v>
      </c>
      <c r="B2627" t="s">
        <v>16</v>
      </c>
      <c r="C2627" t="s">
        <v>19</v>
      </c>
      <c r="D2627" s="3">
        <v>45624</v>
      </c>
      <c r="E2627" s="2">
        <v>3404</v>
      </c>
    </row>
    <row r="2628" spans="1:5" x14ac:dyDescent="0.3">
      <c r="A2628" t="s">
        <v>26</v>
      </c>
      <c r="B2628" t="s">
        <v>9</v>
      </c>
      <c r="C2628" t="s">
        <v>19</v>
      </c>
      <c r="D2628" s="3">
        <v>45624</v>
      </c>
      <c r="E2628" s="2">
        <v>13157</v>
      </c>
    </row>
    <row r="2629" spans="1:5" x14ac:dyDescent="0.3">
      <c r="A2629" t="s">
        <v>32</v>
      </c>
      <c r="B2629" t="s">
        <v>11</v>
      </c>
      <c r="C2629" t="s">
        <v>7</v>
      </c>
      <c r="D2629" s="3">
        <v>45624</v>
      </c>
      <c r="E2629" s="2">
        <v>12882</v>
      </c>
    </row>
    <row r="2630" spans="1:5" x14ac:dyDescent="0.3">
      <c r="A2630" t="s">
        <v>30</v>
      </c>
      <c r="B2630" t="s">
        <v>11</v>
      </c>
      <c r="C2630" t="s">
        <v>7</v>
      </c>
      <c r="D2630" s="3">
        <v>45624</v>
      </c>
      <c r="E2630" s="2">
        <v>5482</v>
      </c>
    </row>
    <row r="2631" spans="1:5" x14ac:dyDescent="0.3">
      <c r="A2631" t="s">
        <v>30</v>
      </c>
      <c r="B2631" t="s">
        <v>11</v>
      </c>
      <c r="C2631" t="s">
        <v>28</v>
      </c>
      <c r="D2631" s="3">
        <v>45624</v>
      </c>
      <c r="E2631" s="2">
        <v>10011</v>
      </c>
    </row>
    <row r="2632" spans="1:5" x14ac:dyDescent="0.3">
      <c r="A2632" t="s">
        <v>30</v>
      </c>
      <c r="B2632" t="s">
        <v>21</v>
      </c>
      <c r="C2632" t="s">
        <v>23</v>
      </c>
      <c r="D2632" s="3">
        <v>45626</v>
      </c>
      <c r="E2632" s="2">
        <v>8918</v>
      </c>
    </row>
    <row r="2633" spans="1:5" x14ac:dyDescent="0.3">
      <c r="A2633" t="s">
        <v>18</v>
      </c>
      <c r="B2633" t="s">
        <v>21</v>
      </c>
      <c r="C2633" t="s">
        <v>7</v>
      </c>
      <c r="D2633" s="3">
        <v>45626</v>
      </c>
      <c r="E2633" s="2">
        <v>4964</v>
      </c>
    </row>
    <row r="2634" spans="1:5" x14ac:dyDescent="0.3">
      <c r="A2634" t="s">
        <v>10</v>
      </c>
      <c r="B2634" t="s">
        <v>16</v>
      </c>
      <c r="C2634" t="s">
        <v>7</v>
      </c>
      <c r="D2634" s="3">
        <v>45627</v>
      </c>
      <c r="E2634" s="2">
        <v>8821</v>
      </c>
    </row>
    <row r="2635" spans="1:5" x14ac:dyDescent="0.3">
      <c r="A2635" t="s">
        <v>26</v>
      </c>
      <c r="B2635" t="s">
        <v>21</v>
      </c>
      <c r="C2635" t="s">
        <v>28</v>
      </c>
      <c r="D2635" s="3">
        <v>45627</v>
      </c>
      <c r="E2635" s="2">
        <v>8721</v>
      </c>
    </row>
    <row r="2636" spans="1:5" x14ac:dyDescent="0.3">
      <c r="A2636" t="s">
        <v>20</v>
      </c>
      <c r="B2636" t="s">
        <v>21</v>
      </c>
      <c r="C2636" t="s">
        <v>14</v>
      </c>
      <c r="D2636" s="3">
        <v>45628</v>
      </c>
      <c r="E2636" s="2">
        <v>9216</v>
      </c>
    </row>
    <row r="2637" spans="1:5" x14ac:dyDescent="0.3">
      <c r="A2637" t="s">
        <v>30</v>
      </c>
      <c r="B2637" t="s">
        <v>21</v>
      </c>
      <c r="C2637" t="s">
        <v>19</v>
      </c>
      <c r="D2637" s="3">
        <v>45628</v>
      </c>
      <c r="E2637" s="2">
        <v>8519</v>
      </c>
    </row>
    <row r="2638" spans="1:5" x14ac:dyDescent="0.3">
      <c r="A2638" t="s">
        <v>29</v>
      </c>
      <c r="B2638" t="s">
        <v>6</v>
      </c>
      <c r="C2638" t="s">
        <v>23</v>
      </c>
      <c r="D2638" s="3">
        <v>45628</v>
      </c>
      <c r="E2638" s="2">
        <v>1832</v>
      </c>
    </row>
    <row r="2639" spans="1:5" x14ac:dyDescent="0.3">
      <c r="A2639" t="s">
        <v>5</v>
      </c>
      <c r="B2639" t="s">
        <v>6</v>
      </c>
      <c r="C2639" t="s">
        <v>23</v>
      </c>
      <c r="D2639" s="3">
        <v>45628</v>
      </c>
      <c r="E2639" s="2">
        <v>8811</v>
      </c>
    </row>
    <row r="2640" spans="1:5" x14ac:dyDescent="0.3">
      <c r="A2640" t="s">
        <v>20</v>
      </c>
      <c r="B2640" t="s">
        <v>16</v>
      </c>
      <c r="C2640" t="s">
        <v>7</v>
      </c>
      <c r="D2640" s="3">
        <v>45628</v>
      </c>
      <c r="E2640" s="2">
        <v>11655</v>
      </c>
    </row>
    <row r="2641" spans="1:5" x14ac:dyDescent="0.3">
      <c r="A2641" t="s">
        <v>18</v>
      </c>
      <c r="B2641" t="s">
        <v>6</v>
      </c>
      <c r="C2641" t="s">
        <v>12</v>
      </c>
      <c r="D2641" s="3">
        <v>45628</v>
      </c>
      <c r="E2641" s="2">
        <v>12418</v>
      </c>
    </row>
    <row r="2642" spans="1:5" x14ac:dyDescent="0.3">
      <c r="A2642" t="s">
        <v>8</v>
      </c>
      <c r="B2642" t="s">
        <v>11</v>
      </c>
      <c r="C2642" t="s">
        <v>25</v>
      </c>
      <c r="D2642" s="3">
        <v>45629</v>
      </c>
      <c r="E2642" s="2">
        <v>5539</v>
      </c>
    </row>
    <row r="2643" spans="1:5" x14ac:dyDescent="0.3">
      <c r="A2643" t="s">
        <v>31</v>
      </c>
      <c r="B2643" t="s">
        <v>13</v>
      </c>
      <c r="C2643" t="s">
        <v>25</v>
      </c>
      <c r="D2643" s="3">
        <v>45630</v>
      </c>
      <c r="E2643" s="2">
        <v>11313</v>
      </c>
    </row>
    <row r="2644" spans="1:5" x14ac:dyDescent="0.3">
      <c r="A2644" t="s">
        <v>24</v>
      </c>
      <c r="B2644" t="s">
        <v>6</v>
      </c>
      <c r="C2644" t="s">
        <v>25</v>
      </c>
      <c r="D2644" s="3">
        <v>45630</v>
      </c>
      <c r="E2644" s="2">
        <v>2154</v>
      </c>
    </row>
    <row r="2645" spans="1:5" x14ac:dyDescent="0.3">
      <c r="A2645" t="s">
        <v>31</v>
      </c>
      <c r="B2645" t="s">
        <v>6</v>
      </c>
      <c r="C2645" t="s">
        <v>7</v>
      </c>
      <c r="D2645" s="3">
        <v>45630</v>
      </c>
      <c r="E2645" s="2">
        <v>4599</v>
      </c>
    </row>
    <row r="2646" spans="1:5" x14ac:dyDescent="0.3">
      <c r="A2646" t="s">
        <v>31</v>
      </c>
      <c r="B2646" t="s">
        <v>16</v>
      </c>
      <c r="C2646" t="s">
        <v>7</v>
      </c>
      <c r="D2646" s="3">
        <v>45630</v>
      </c>
      <c r="E2646" s="2">
        <v>5260</v>
      </c>
    </row>
    <row r="2647" spans="1:5" x14ac:dyDescent="0.3">
      <c r="A2647" t="s">
        <v>26</v>
      </c>
      <c r="B2647" t="s">
        <v>9</v>
      </c>
      <c r="C2647" t="s">
        <v>28</v>
      </c>
      <c r="D2647" s="3">
        <v>45630</v>
      </c>
      <c r="E2647" s="2">
        <v>4654</v>
      </c>
    </row>
    <row r="2648" spans="1:5" x14ac:dyDescent="0.3">
      <c r="A2648" t="s">
        <v>18</v>
      </c>
      <c r="B2648" t="s">
        <v>9</v>
      </c>
      <c r="C2648" t="s">
        <v>12</v>
      </c>
      <c r="D2648" s="3">
        <v>45630</v>
      </c>
      <c r="E2648" s="2">
        <v>2209</v>
      </c>
    </row>
    <row r="2649" spans="1:5" x14ac:dyDescent="0.3">
      <c r="A2649" t="s">
        <v>20</v>
      </c>
      <c r="B2649" t="s">
        <v>11</v>
      </c>
      <c r="C2649" t="s">
        <v>14</v>
      </c>
      <c r="D2649" s="3">
        <v>45631</v>
      </c>
      <c r="E2649" s="2">
        <v>6305</v>
      </c>
    </row>
    <row r="2650" spans="1:5" x14ac:dyDescent="0.3">
      <c r="A2650" t="s">
        <v>30</v>
      </c>
      <c r="B2650" t="s">
        <v>16</v>
      </c>
      <c r="C2650" t="s">
        <v>17</v>
      </c>
      <c r="D2650" s="3">
        <v>45631</v>
      </c>
      <c r="E2650" s="2">
        <v>11702</v>
      </c>
    </row>
    <row r="2651" spans="1:5" x14ac:dyDescent="0.3">
      <c r="A2651" t="s">
        <v>24</v>
      </c>
      <c r="B2651" t="s">
        <v>13</v>
      </c>
      <c r="C2651" t="s">
        <v>12</v>
      </c>
      <c r="D2651" s="3">
        <v>45631</v>
      </c>
      <c r="E2651" s="2">
        <v>8976</v>
      </c>
    </row>
    <row r="2652" spans="1:5" x14ac:dyDescent="0.3">
      <c r="A2652" t="s">
        <v>8</v>
      </c>
      <c r="B2652" t="s">
        <v>13</v>
      </c>
      <c r="C2652" t="s">
        <v>28</v>
      </c>
      <c r="D2652" s="3">
        <v>45632</v>
      </c>
      <c r="E2652" s="2">
        <v>10198</v>
      </c>
    </row>
    <row r="2653" spans="1:5" x14ac:dyDescent="0.3">
      <c r="A2653" t="s">
        <v>26</v>
      </c>
      <c r="B2653" t="s">
        <v>16</v>
      </c>
      <c r="C2653" t="s">
        <v>17</v>
      </c>
      <c r="D2653" s="3">
        <v>45632</v>
      </c>
      <c r="E2653" s="2">
        <v>5727</v>
      </c>
    </row>
    <row r="2654" spans="1:5" x14ac:dyDescent="0.3">
      <c r="A2654" t="s">
        <v>24</v>
      </c>
      <c r="B2654" t="s">
        <v>13</v>
      </c>
      <c r="C2654" t="s">
        <v>7</v>
      </c>
      <c r="D2654" s="3">
        <v>45633</v>
      </c>
      <c r="E2654" s="2">
        <v>8400</v>
      </c>
    </row>
    <row r="2655" spans="1:5" x14ac:dyDescent="0.3">
      <c r="A2655" t="s">
        <v>26</v>
      </c>
      <c r="B2655" t="s">
        <v>9</v>
      </c>
      <c r="C2655" t="s">
        <v>28</v>
      </c>
      <c r="D2655" s="3">
        <v>45633</v>
      </c>
      <c r="E2655" s="2">
        <v>6415</v>
      </c>
    </row>
    <row r="2656" spans="1:5" x14ac:dyDescent="0.3">
      <c r="A2656" t="s">
        <v>5</v>
      </c>
      <c r="B2656" t="s">
        <v>9</v>
      </c>
      <c r="C2656" t="s">
        <v>17</v>
      </c>
      <c r="D2656" s="3">
        <v>45633</v>
      </c>
      <c r="E2656" s="2">
        <v>8560</v>
      </c>
    </row>
    <row r="2657" spans="1:5" x14ac:dyDescent="0.3">
      <c r="A2657" t="s">
        <v>27</v>
      </c>
      <c r="B2657" t="s">
        <v>16</v>
      </c>
      <c r="C2657" t="s">
        <v>25</v>
      </c>
      <c r="D2657" s="3">
        <v>45634</v>
      </c>
      <c r="E2657" s="2">
        <v>7340</v>
      </c>
    </row>
    <row r="2658" spans="1:5" x14ac:dyDescent="0.3">
      <c r="A2658" t="s">
        <v>31</v>
      </c>
      <c r="B2658" t="s">
        <v>6</v>
      </c>
      <c r="C2658" t="s">
        <v>7</v>
      </c>
      <c r="D2658" s="3">
        <v>45634</v>
      </c>
      <c r="E2658" s="2">
        <v>12914</v>
      </c>
    </row>
    <row r="2659" spans="1:5" x14ac:dyDescent="0.3">
      <c r="A2659" t="s">
        <v>10</v>
      </c>
      <c r="B2659" t="s">
        <v>9</v>
      </c>
      <c r="C2659" t="s">
        <v>23</v>
      </c>
      <c r="D2659" s="3">
        <v>45635</v>
      </c>
      <c r="E2659" s="2">
        <v>2895</v>
      </c>
    </row>
    <row r="2660" spans="1:5" x14ac:dyDescent="0.3">
      <c r="A2660" t="s">
        <v>18</v>
      </c>
      <c r="B2660" t="s">
        <v>21</v>
      </c>
      <c r="C2660" t="s">
        <v>7</v>
      </c>
      <c r="D2660" s="3">
        <v>45635</v>
      </c>
      <c r="E2660" s="2">
        <v>9500</v>
      </c>
    </row>
    <row r="2661" spans="1:5" x14ac:dyDescent="0.3">
      <c r="A2661" t="s">
        <v>24</v>
      </c>
      <c r="B2661" t="s">
        <v>9</v>
      </c>
      <c r="C2661" t="s">
        <v>17</v>
      </c>
      <c r="D2661" s="3">
        <v>45635</v>
      </c>
      <c r="E2661" s="2">
        <v>13929</v>
      </c>
    </row>
    <row r="2662" spans="1:5" x14ac:dyDescent="0.3">
      <c r="A2662" t="s">
        <v>27</v>
      </c>
      <c r="B2662" t="s">
        <v>16</v>
      </c>
      <c r="C2662" t="s">
        <v>19</v>
      </c>
      <c r="D2662" s="3">
        <v>45636</v>
      </c>
      <c r="E2662" s="2">
        <v>10043</v>
      </c>
    </row>
    <row r="2663" spans="1:5" x14ac:dyDescent="0.3">
      <c r="A2663" t="s">
        <v>22</v>
      </c>
      <c r="B2663" t="s">
        <v>13</v>
      </c>
      <c r="C2663" t="s">
        <v>23</v>
      </c>
      <c r="D2663" s="3">
        <v>45636</v>
      </c>
      <c r="E2663" s="2">
        <v>9831</v>
      </c>
    </row>
    <row r="2664" spans="1:5" x14ac:dyDescent="0.3">
      <c r="A2664" t="s">
        <v>26</v>
      </c>
      <c r="B2664" t="s">
        <v>11</v>
      </c>
      <c r="C2664" t="s">
        <v>25</v>
      </c>
      <c r="D2664" s="3">
        <v>45636</v>
      </c>
      <c r="E2664" s="2">
        <v>12601</v>
      </c>
    </row>
    <row r="2665" spans="1:5" x14ac:dyDescent="0.3">
      <c r="A2665" t="s">
        <v>8</v>
      </c>
      <c r="B2665" t="s">
        <v>21</v>
      </c>
      <c r="C2665" t="s">
        <v>7</v>
      </c>
      <c r="D2665" s="3">
        <v>45636</v>
      </c>
      <c r="E2665" s="2">
        <v>3115</v>
      </c>
    </row>
    <row r="2666" spans="1:5" x14ac:dyDescent="0.3">
      <c r="A2666" t="s">
        <v>26</v>
      </c>
      <c r="B2666" t="s">
        <v>11</v>
      </c>
      <c r="C2666" t="s">
        <v>14</v>
      </c>
      <c r="D2666" s="3">
        <v>45637</v>
      </c>
      <c r="E2666" s="2">
        <v>8844</v>
      </c>
    </row>
    <row r="2667" spans="1:5" x14ac:dyDescent="0.3">
      <c r="A2667" t="s">
        <v>29</v>
      </c>
      <c r="B2667" t="s">
        <v>11</v>
      </c>
      <c r="C2667" t="s">
        <v>23</v>
      </c>
      <c r="D2667" s="3">
        <v>45637</v>
      </c>
      <c r="E2667" s="2">
        <v>13361</v>
      </c>
    </row>
    <row r="2668" spans="1:5" x14ac:dyDescent="0.3">
      <c r="A2668" t="s">
        <v>32</v>
      </c>
      <c r="B2668" t="s">
        <v>9</v>
      </c>
      <c r="C2668" t="s">
        <v>28</v>
      </c>
      <c r="D2668" s="3">
        <v>45637</v>
      </c>
      <c r="E2668" s="2">
        <v>5333</v>
      </c>
    </row>
    <row r="2669" spans="1:5" x14ac:dyDescent="0.3">
      <c r="A2669" t="s">
        <v>8</v>
      </c>
      <c r="B2669" t="s">
        <v>11</v>
      </c>
      <c r="C2669" t="s">
        <v>12</v>
      </c>
      <c r="D2669" s="3">
        <v>45637</v>
      </c>
      <c r="E2669" s="2">
        <v>7292</v>
      </c>
    </row>
    <row r="2670" spans="1:5" x14ac:dyDescent="0.3">
      <c r="A2670" t="s">
        <v>5</v>
      </c>
      <c r="B2670" t="s">
        <v>6</v>
      </c>
      <c r="C2670" t="s">
        <v>12</v>
      </c>
      <c r="D2670" s="3">
        <v>45637</v>
      </c>
      <c r="E2670" s="2">
        <v>5955</v>
      </c>
    </row>
    <row r="2671" spans="1:5" x14ac:dyDescent="0.3">
      <c r="A2671" t="s">
        <v>30</v>
      </c>
      <c r="B2671" t="s">
        <v>13</v>
      </c>
      <c r="C2671" t="s">
        <v>19</v>
      </c>
      <c r="D2671" s="3">
        <v>45638</v>
      </c>
      <c r="E2671" s="2">
        <v>4421</v>
      </c>
    </row>
    <row r="2672" spans="1:5" x14ac:dyDescent="0.3">
      <c r="A2672" t="s">
        <v>27</v>
      </c>
      <c r="B2672" t="s">
        <v>9</v>
      </c>
      <c r="C2672" t="s">
        <v>23</v>
      </c>
      <c r="D2672" s="3">
        <v>45638</v>
      </c>
      <c r="E2672" s="2">
        <v>5785</v>
      </c>
    </row>
    <row r="2673" spans="1:5" x14ac:dyDescent="0.3">
      <c r="A2673" t="s">
        <v>29</v>
      </c>
      <c r="B2673" t="s">
        <v>16</v>
      </c>
      <c r="C2673" t="s">
        <v>17</v>
      </c>
      <c r="D2673" s="3">
        <v>45638</v>
      </c>
      <c r="E2673" s="2">
        <v>7831</v>
      </c>
    </row>
    <row r="2674" spans="1:5" x14ac:dyDescent="0.3">
      <c r="A2674" t="s">
        <v>27</v>
      </c>
      <c r="B2674" t="s">
        <v>6</v>
      </c>
      <c r="C2674" t="s">
        <v>12</v>
      </c>
      <c r="D2674" s="3">
        <v>45638</v>
      </c>
      <c r="E2674" s="2">
        <v>12629</v>
      </c>
    </row>
    <row r="2675" spans="1:5" x14ac:dyDescent="0.3">
      <c r="A2675" t="s">
        <v>32</v>
      </c>
      <c r="B2675" t="s">
        <v>11</v>
      </c>
      <c r="C2675" t="s">
        <v>14</v>
      </c>
      <c r="D2675" s="3">
        <v>45639</v>
      </c>
      <c r="E2675" s="2">
        <v>13918</v>
      </c>
    </row>
    <row r="2676" spans="1:5" x14ac:dyDescent="0.3">
      <c r="A2676" t="s">
        <v>29</v>
      </c>
      <c r="B2676" t="s">
        <v>6</v>
      </c>
      <c r="C2676" t="s">
        <v>7</v>
      </c>
      <c r="D2676" s="3">
        <v>45639</v>
      </c>
      <c r="E2676" s="2">
        <v>1167</v>
      </c>
    </row>
    <row r="2677" spans="1:5" x14ac:dyDescent="0.3">
      <c r="A2677" t="s">
        <v>22</v>
      </c>
      <c r="B2677" t="s">
        <v>21</v>
      </c>
      <c r="C2677" t="s">
        <v>17</v>
      </c>
      <c r="D2677" s="3">
        <v>45639</v>
      </c>
      <c r="E2677" s="2">
        <v>3878</v>
      </c>
    </row>
    <row r="2678" spans="1:5" x14ac:dyDescent="0.3">
      <c r="A2678" t="s">
        <v>27</v>
      </c>
      <c r="B2678" t="s">
        <v>9</v>
      </c>
      <c r="C2678" t="s">
        <v>17</v>
      </c>
      <c r="D2678" s="3">
        <v>45639</v>
      </c>
      <c r="E2678" s="2">
        <v>7696</v>
      </c>
    </row>
    <row r="2679" spans="1:5" x14ac:dyDescent="0.3">
      <c r="A2679" t="s">
        <v>24</v>
      </c>
      <c r="B2679" t="s">
        <v>6</v>
      </c>
      <c r="C2679" t="s">
        <v>12</v>
      </c>
      <c r="D2679" s="3">
        <v>45639</v>
      </c>
      <c r="E2679" s="2">
        <v>3763</v>
      </c>
    </row>
    <row r="2680" spans="1:5" x14ac:dyDescent="0.3">
      <c r="A2680" t="s">
        <v>5</v>
      </c>
      <c r="B2680" t="s">
        <v>9</v>
      </c>
      <c r="C2680" t="s">
        <v>19</v>
      </c>
      <c r="D2680" s="3">
        <v>45640</v>
      </c>
      <c r="E2680" s="2">
        <v>10059</v>
      </c>
    </row>
    <row r="2681" spans="1:5" x14ac:dyDescent="0.3">
      <c r="A2681" t="s">
        <v>30</v>
      </c>
      <c r="B2681" t="s">
        <v>6</v>
      </c>
      <c r="C2681" t="s">
        <v>19</v>
      </c>
      <c r="D2681" s="3">
        <v>45640</v>
      </c>
      <c r="E2681" s="2">
        <v>13304</v>
      </c>
    </row>
    <row r="2682" spans="1:5" x14ac:dyDescent="0.3">
      <c r="A2682" t="s">
        <v>29</v>
      </c>
      <c r="B2682" t="s">
        <v>16</v>
      </c>
      <c r="C2682" t="s">
        <v>28</v>
      </c>
      <c r="D2682" s="3">
        <v>45640</v>
      </c>
      <c r="E2682" s="2">
        <v>2571</v>
      </c>
    </row>
    <row r="2683" spans="1:5" x14ac:dyDescent="0.3">
      <c r="A2683" t="s">
        <v>20</v>
      </c>
      <c r="B2683" t="s">
        <v>11</v>
      </c>
      <c r="C2683" t="s">
        <v>17</v>
      </c>
      <c r="D2683" s="3">
        <v>45640</v>
      </c>
      <c r="E2683" s="2">
        <v>8532</v>
      </c>
    </row>
    <row r="2684" spans="1:5" x14ac:dyDescent="0.3">
      <c r="A2684" t="s">
        <v>26</v>
      </c>
      <c r="B2684" t="s">
        <v>9</v>
      </c>
      <c r="C2684" t="s">
        <v>17</v>
      </c>
      <c r="D2684" s="3">
        <v>45640</v>
      </c>
      <c r="E2684" s="2">
        <v>4675</v>
      </c>
    </row>
    <row r="2685" spans="1:5" x14ac:dyDescent="0.3">
      <c r="A2685" t="s">
        <v>15</v>
      </c>
      <c r="B2685" t="s">
        <v>16</v>
      </c>
      <c r="C2685" t="s">
        <v>17</v>
      </c>
      <c r="D2685" s="3">
        <v>45640</v>
      </c>
      <c r="E2685" s="2">
        <v>8322</v>
      </c>
    </row>
    <row r="2686" spans="1:5" x14ac:dyDescent="0.3">
      <c r="A2686" t="s">
        <v>8</v>
      </c>
      <c r="B2686" t="s">
        <v>21</v>
      </c>
      <c r="C2686" t="s">
        <v>23</v>
      </c>
      <c r="D2686" s="3">
        <v>45641</v>
      </c>
      <c r="E2686" s="2">
        <v>1537</v>
      </c>
    </row>
    <row r="2687" spans="1:5" x14ac:dyDescent="0.3">
      <c r="A2687" t="s">
        <v>10</v>
      </c>
      <c r="B2687" t="s">
        <v>9</v>
      </c>
      <c r="C2687" t="s">
        <v>7</v>
      </c>
      <c r="D2687" s="3">
        <v>45641</v>
      </c>
      <c r="E2687" s="2">
        <v>13227</v>
      </c>
    </row>
    <row r="2688" spans="1:5" x14ac:dyDescent="0.3">
      <c r="A2688" t="s">
        <v>15</v>
      </c>
      <c r="B2688" t="s">
        <v>6</v>
      </c>
      <c r="C2688" t="s">
        <v>17</v>
      </c>
      <c r="D2688" s="3">
        <v>45641</v>
      </c>
      <c r="E2688" s="2">
        <v>5643</v>
      </c>
    </row>
    <row r="2689" spans="1:5" x14ac:dyDescent="0.3">
      <c r="A2689" t="s">
        <v>24</v>
      </c>
      <c r="B2689" t="s">
        <v>11</v>
      </c>
      <c r="C2689" t="s">
        <v>28</v>
      </c>
      <c r="D2689" s="3">
        <v>45642</v>
      </c>
      <c r="E2689" s="2">
        <v>1365</v>
      </c>
    </row>
    <row r="2690" spans="1:5" x14ac:dyDescent="0.3">
      <c r="A2690" t="s">
        <v>8</v>
      </c>
      <c r="B2690" t="s">
        <v>21</v>
      </c>
      <c r="C2690" t="s">
        <v>17</v>
      </c>
      <c r="D2690" s="3">
        <v>45642</v>
      </c>
      <c r="E2690" s="2">
        <v>3580</v>
      </c>
    </row>
    <row r="2691" spans="1:5" x14ac:dyDescent="0.3">
      <c r="A2691" t="s">
        <v>22</v>
      </c>
      <c r="B2691" t="s">
        <v>13</v>
      </c>
      <c r="C2691" t="s">
        <v>23</v>
      </c>
      <c r="D2691" s="3">
        <v>45643</v>
      </c>
      <c r="E2691" s="2">
        <v>8041</v>
      </c>
    </row>
    <row r="2692" spans="1:5" x14ac:dyDescent="0.3">
      <c r="A2692" t="s">
        <v>33</v>
      </c>
      <c r="B2692" t="s">
        <v>16</v>
      </c>
      <c r="C2692" t="s">
        <v>28</v>
      </c>
      <c r="D2692" s="3">
        <v>45643</v>
      </c>
      <c r="E2692" s="2">
        <v>3441</v>
      </c>
    </row>
    <row r="2693" spans="1:5" x14ac:dyDescent="0.3">
      <c r="A2693" t="s">
        <v>30</v>
      </c>
      <c r="B2693" t="s">
        <v>9</v>
      </c>
      <c r="C2693" t="s">
        <v>12</v>
      </c>
      <c r="D2693" s="3">
        <v>45643</v>
      </c>
      <c r="E2693" s="2">
        <v>4824</v>
      </c>
    </row>
    <row r="2694" spans="1:5" x14ac:dyDescent="0.3">
      <c r="A2694" t="s">
        <v>8</v>
      </c>
      <c r="B2694" t="s">
        <v>21</v>
      </c>
      <c r="C2694" t="s">
        <v>12</v>
      </c>
      <c r="D2694" s="3">
        <v>45643</v>
      </c>
      <c r="E2694" s="2">
        <v>2183</v>
      </c>
    </row>
    <row r="2695" spans="1:5" x14ac:dyDescent="0.3">
      <c r="A2695" t="s">
        <v>15</v>
      </c>
      <c r="B2695" t="s">
        <v>21</v>
      </c>
      <c r="C2695" t="s">
        <v>23</v>
      </c>
      <c r="D2695" s="3">
        <v>45644</v>
      </c>
      <c r="E2695" s="2">
        <v>7666</v>
      </c>
    </row>
    <row r="2696" spans="1:5" x14ac:dyDescent="0.3">
      <c r="A2696" t="s">
        <v>8</v>
      </c>
      <c r="B2696" t="s">
        <v>9</v>
      </c>
      <c r="C2696" t="s">
        <v>25</v>
      </c>
      <c r="D2696" s="3">
        <v>45644</v>
      </c>
      <c r="E2696" s="2">
        <v>5375</v>
      </c>
    </row>
    <row r="2697" spans="1:5" x14ac:dyDescent="0.3">
      <c r="A2697" t="s">
        <v>26</v>
      </c>
      <c r="B2697" t="s">
        <v>9</v>
      </c>
      <c r="C2697" t="s">
        <v>12</v>
      </c>
      <c r="D2697" s="3">
        <v>45644</v>
      </c>
      <c r="E2697" s="2">
        <v>13849</v>
      </c>
    </row>
    <row r="2698" spans="1:5" x14ac:dyDescent="0.3">
      <c r="A2698" t="s">
        <v>10</v>
      </c>
      <c r="B2698" t="s">
        <v>9</v>
      </c>
      <c r="C2698" t="s">
        <v>14</v>
      </c>
      <c r="D2698" s="3">
        <v>45645</v>
      </c>
      <c r="E2698" s="2">
        <v>4211</v>
      </c>
    </row>
    <row r="2699" spans="1:5" x14ac:dyDescent="0.3">
      <c r="A2699" t="s">
        <v>31</v>
      </c>
      <c r="B2699" t="s">
        <v>16</v>
      </c>
      <c r="C2699" t="s">
        <v>14</v>
      </c>
      <c r="D2699" s="3">
        <v>45645</v>
      </c>
      <c r="E2699" s="2">
        <v>3087</v>
      </c>
    </row>
    <row r="2700" spans="1:5" x14ac:dyDescent="0.3">
      <c r="A2700" t="s">
        <v>10</v>
      </c>
      <c r="B2700" t="s">
        <v>16</v>
      </c>
      <c r="C2700" t="s">
        <v>23</v>
      </c>
      <c r="D2700" s="3">
        <v>45645</v>
      </c>
      <c r="E2700" s="2">
        <v>11304</v>
      </c>
    </row>
    <row r="2701" spans="1:5" x14ac:dyDescent="0.3">
      <c r="A2701" t="s">
        <v>15</v>
      </c>
      <c r="B2701" t="s">
        <v>9</v>
      </c>
      <c r="C2701" t="s">
        <v>23</v>
      </c>
      <c r="D2701" s="3">
        <v>45645</v>
      </c>
      <c r="E2701" s="2">
        <v>1077</v>
      </c>
    </row>
    <row r="2702" spans="1:5" x14ac:dyDescent="0.3">
      <c r="A2702" t="s">
        <v>29</v>
      </c>
      <c r="B2702" t="s">
        <v>16</v>
      </c>
      <c r="C2702" t="s">
        <v>7</v>
      </c>
      <c r="D2702" s="3">
        <v>45646</v>
      </c>
      <c r="E2702" s="2">
        <v>9909</v>
      </c>
    </row>
    <row r="2703" spans="1:5" x14ac:dyDescent="0.3">
      <c r="A2703" t="s">
        <v>10</v>
      </c>
      <c r="B2703" t="s">
        <v>13</v>
      </c>
      <c r="C2703" t="s">
        <v>25</v>
      </c>
      <c r="D2703" s="3">
        <v>45647</v>
      </c>
      <c r="E2703" s="2">
        <v>3910</v>
      </c>
    </row>
    <row r="2704" spans="1:5" x14ac:dyDescent="0.3">
      <c r="A2704" t="s">
        <v>29</v>
      </c>
      <c r="B2704" t="s">
        <v>11</v>
      </c>
      <c r="C2704" t="s">
        <v>12</v>
      </c>
      <c r="D2704" s="3">
        <v>45647</v>
      </c>
      <c r="E2704" s="2">
        <v>12732</v>
      </c>
    </row>
    <row r="2705" spans="1:5" x14ac:dyDescent="0.3">
      <c r="A2705" t="s">
        <v>26</v>
      </c>
      <c r="B2705" t="s">
        <v>11</v>
      </c>
      <c r="C2705" t="s">
        <v>19</v>
      </c>
      <c r="D2705" s="3">
        <v>45648</v>
      </c>
      <c r="E2705" s="2">
        <v>4204</v>
      </c>
    </row>
    <row r="2706" spans="1:5" x14ac:dyDescent="0.3">
      <c r="A2706" t="s">
        <v>33</v>
      </c>
      <c r="B2706" t="s">
        <v>9</v>
      </c>
      <c r="C2706" t="s">
        <v>7</v>
      </c>
      <c r="D2706" s="3">
        <v>45648</v>
      </c>
      <c r="E2706" s="2">
        <v>7900</v>
      </c>
    </row>
    <row r="2707" spans="1:5" x14ac:dyDescent="0.3">
      <c r="A2707" t="s">
        <v>31</v>
      </c>
      <c r="B2707" t="s">
        <v>16</v>
      </c>
      <c r="C2707" t="s">
        <v>28</v>
      </c>
      <c r="D2707" s="3">
        <v>45648</v>
      </c>
      <c r="E2707" s="2">
        <v>11864</v>
      </c>
    </row>
    <row r="2708" spans="1:5" x14ac:dyDescent="0.3">
      <c r="A2708" t="s">
        <v>8</v>
      </c>
      <c r="B2708" t="s">
        <v>13</v>
      </c>
      <c r="C2708" t="s">
        <v>12</v>
      </c>
      <c r="D2708" s="3">
        <v>45648</v>
      </c>
      <c r="E2708" s="2">
        <v>6101</v>
      </c>
    </row>
    <row r="2709" spans="1:5" x14ac:dyDescent="0.3">
      <c r="A2709" t="s">
        <v>32</v>
      </c>
      <c r="B2709" t="s">
        <v>13</v>
      </c>
      <c r="C2709" t="s">
        <v>14</v>
      </c>
      <c r="D2709" s="3">
        <v>45649</v>
      </c>
      <c r="E2709" s="2">
        <v>3450</v>
      </c>
    </row>
    <row r="2710" spans="1:5" x14ac:dyDescent="0.3">
      <c r="A2710" t="s">
        <v>31</v>
      </c>
      <c r="B2710" t="s">
        <v>11</v>
      </c>
      <c r="C2710" t="s">
        <v>17</v>
      </c>
      <c r="D2710" s="3">
        <v>45649</v>
      </c>
      <c r="E2710" s="2">
        <v>4712</v>
      </c>
    </row>
    <row r="2711" spans="1:5" x14ac:dyDescent="0.3">
      <c r="A2711" t="s">
        <v>20</v>
      </c>
      <c r="B2711" t="s">
        <v>9</v>
      </c>
      <c r="C2711" t="s">
        <v>7</v>
      </c>
      <c r="D2711" s="3">
        <v>45650</v>
      </c>
      <c r="E2711" s="2">
        <v>6868</v>
      </c>
    </row>
    <row r="2712" spans="1:5" x14ac:dyDescent="0.3">
      <c r="A2712" t="s">
        <v>22</v>
      </c>
      <c r="B2712" t="s">
        <v>9</v>
      </c>
      <c r="C2712" t="s">
        <v>17</v>
      </c>
      <c r="D2712" s="3">
        <v>45650</v>
      </c>
      <c r="E2712" s="2">
        <v>4894</v>
      </c>
    </row>
    <row r="2713" spans="1:5" x14ac:dyDescent="0.3">
      <c r="A2713" t="s">
        <v>10</v>
      </c>
      <c r="B2713" t="s">
        <v>9</v>
      </c>
      <c r="C2713" t="s">
        <v>25</v>
      </c>
      <c r="D2713" s="3">
        <v>45651</v>
      </c>
      <c r="E2713" s="2">
        <v>7068</v>
      </c>
    </row>
    <row r="2714" spans="1:5" x14ac:dyDescent="0.3">
      <c r="A2714" t="s">
        <v>8</v>
      </c>
      <c r="B2714" t="s">
        <v>16</v>
      </c>
      <c r="C2714" t="s">
        <v>28</v>
      </c>
      <c r="D2714" s="3">
        <v>45651</v>
      </c>
      <c r="E2714" s="2">
        <v>1726</v>
      </c>
    </row>
    <row r="2715" spans="1:5" x14ac:dyDescent="0.3">
      <c r="A2715" t="s">
        <v>10</v>
      </c>
      <c r="B2715" t="s">
        <v>13</v>
      </c>
      <c r="C2715" t="s">
        <v>28</v>
      </c>
      <c r="D2715" s="3">
        <v>45651</v>
      </c>
      <c r="E2715" s="2">
        <v>11515</v>
      </c>
    </row>
    <row r="2716" spans="1:5" x14ac:dyDescent="0.3">
      <c r="A2716" t="s">
        <v>30</v>
      </c>
      <c r="B2716" t="s">
        <v>11</v>
      </c>
      <c r="C2716" t="s">
        <v>17</v>
      </c>
      <c r="D2716" s="3">
        <v>45651</v>
      </c>
      <c r="E2716" s="2">
        <v>10863</v>
      </c>
    </row>
    <row r="2717" spans="1:5" x14ac:dyDescent="0.3">
      <c r="A2717" t="s">
        <v>26</v>
      </c>
      <c r="B2717" t="s">
        <v>16</v>
      </c>
      <c r="C2717" t="s">
        <v>17</v>
      </c>
      <c r="D2717" s="3">
        <v>45651</v>
      </c>
      <c r="E2717" s="2">
        <v>2554</v>
      </c>
    </row>
    <row r="2718" spans="1:5" x14ac:dyDescent="0.3">
      <c r="A2718" t="s">
        <v>30</v>
      </c>
      <c r="B2718" t="s">
        <v>11</v>
      </c>
      <c r="C2718" t="s">
        <v>17</v>
      </c>
      <c r="D2718" s="3">
        <v>45651</v>
      </c>
      <c r="E2718" s="2">
        <v>3815</v>
      </c>
    </row>
    <row r="2719" spans="1:5" x14ac:dyDescent="0.3">
      <c r="A2719" t="s">
        <v>10</v>
      </c>
      <c r="B2719" t="s">
        <v>21</v>
      </c>
      <c r="C2719" t="s">
        <v>19</v>
      </c>
      <c r="D2719" s="3">
        <v>45652</v>
      </c>
      <c r="E2719" s="2">
        <v>2063</v>
      </c>
    </row>
    <row r="2720" spans="1:5" x14ac:dyDescent="0.3">
      <c r="A2720" t="s">
        <v>20</v>
      </c>
      <c r="B2720" t="s">
        <v>21</v>
      </c>
      <c r="C2720" t="s">
        <v>23</v>
      </c>
      <c r="D2720" s="3">
        <v>45653</v>
      </c>
      <c r="E2720" s="2">
        <v>7509</v>
      </c>
    </row>
    <row r="2721" spans="1:5" x14ac:dyDescent="0.3">
      <c r="A2721" t="s">
        <v>32</v>
      </c>
      <c r="B2721" t="s">
        <v>11</v>
      </c>
      <c r="C2721" t="s">
        <v>7</v>
      </c>
      <c r="D2721" s="3">
        <v>45653</v>
      </c>
      <c r="E2721" s="2">
        <v>9839</v>
      </c>
    </row>
    <row r="2722" spans="1:5" x14ac:dyDescent="0.3">
      <c r="A2722" t="s">
        <v>32</v>
      </c>
      <c r="B2722" t="s">
        <v>6</v>
      </c>
      <c r="C2722" t="s">
        <v>12</v>
      </c>
      <c r="D2722" s="3">
        <v>45653</v>
      </c>
      <c r="E2722" s="2">
        <v>10182</v>
      </c>
    </row>
    <row r="2723" spans="1:5" x14ac:dyDescent="0.3">
      <c r="A2723" t="s">
        <v>15</v>
      </c>
      <c r="B2723" t="s">
        <v>13</v>
      </c>
      <c r="C2723" t="s">
        <v>12</v>
      </c>
      <c r="D2723" s="3">
        <v>45653</v>
      </c>
      <c r="E2723" s="2">
        <v>6347</v>
      </c>
    </row>
    <row r="2724" spans="1:5" x14ac:dyDescent="0.3">
      <c r="A2724" t="s">
        <v>15</v>
      </c>
      <c r="B2724" t="s">
        <v>11</v>
      </c>
      <c r="C2724" t="s">
        <v>23</v>
      </c>
      <c r="D2724" s="3">
        <v>45655</v>
      </c>
      <c r="E2724" s="2">
        <v>1321</v>
      </c>
    </row>
    <row r="2725" spans="1:5" x14ac:dyDescent="0.3">
      <c r="A2725" t="s">
        <v>33</v>
      </c>
      <c r="B2725" t="s">
        <v>16</v>
      </c>
      <c r="C2725" t="s">
        <v>25</v>
      </c>
      <c r="D2725" s="3">
        <v>45655</v>
      </c>
      <c r="E2725" s="2">
        <v>1294</v>
      </c>
    </row>
    <row r="2726" spans="1:5" x14ac:dyDescent="0.3">
      <c r="A2726" t="s">
        <v>15</v>
      </c>
      <c r="B2726" t="s">
        <v>6</v>
      </c>
      <c r="C2726" t="s">
        <v>25</v>
      </c>
      <c r="D2726" s="3">
        <v>45655</v>
      </c>
      <c r="E2726" s="2">
        <v>1506</v>
      </c>
    </row>
    <row r="2727" spans="1:5" x14ac:dyDescent="0.3">
      <c r="A2727" t="s">
        <v>29</v>
      </c>
      <c r="B2727" t="s">
        <v>21</v>
      </c>
      <c r="C2727" t="s">
        <v>7</v>
      </c>
      <c r="D2727" s="3">
        <v>45655</v>
      </c>
      <c r="E2727" s="2">
        <v>3993</v>
      </c>
    </row>
    <row r="2728" spans="1:5" x14ac:dyDescent="0.3">
      <c r="A2728" t="s">
        <v>29</v>
      </c>
      <c r="B2728" t="s">
        <v>11</v>
      </c>
      <c r="C2728" t="s">
        <v>7</v>
      </c>
      <c r="D2728" s="3">
        <v>45655</v>
      </c>
      <c r="E2728" s="2">
        <v>13558</v>
      </c>
    </row>
    <row r="2729" spans="1:5" x14ac:dyDescent="0.3">
      <c r="A2729" t="s">
        <v>20</v>
      </c>
      <c r="B2729" t="s">
        <v>13</v>
      </c>
      <c r="C2729" t="s">
        <v>28</v>
      </c>
      <c r="D2729" s="3">
        <v>45655</v>
      </c>
      <c r="E2729" s="2">
        <v>7905</v>
      </c>
    </row>
    <row r="2730" spans="1:5" x14ac:dyDescent="0.3">
      <c r="A2730" t="s">
        <v>30</v>
      </c>
      <c r="B2730" t="s">
        <v>9</v>
      </c>
      <c r="C2730" t="s">
        <v>12</v>
      </c>
      <c r="D2730" s="3">
        <v>45655</v>
      </c>
      <c r="E2730" s="2">
        <v>12449</v>
      </c>
    </row>
    <row r="2731" spans="1:5" x14ac:dyDescent="0.3">
      <c r="A2731" t="s">
        <v>5</v>
      </c>
      <c r="B2731" t="s">
        <v>13</v>
      </c>
      <c r="C2731" t="s">
        <v>19</v>
      </c>
      <c r="D2731" s="3">
        <v>45656</v>
      </c>
      <c r="E2731" s="2">
        <v>7540</v>
      </c>
    </row>
    <row r="2732" spans="1:5" x14ac:dyDescent="0.3">
      <c r="A2732" t="s">
        <v>20</v>
      </c>
      <c r="B2732" t="s">
        <v>13</v>
      </c>
      <c r="C2732" t="s">
        <v>7</v>
      </c>
      <c r="D2732" s="3">
        <v>45656</v>
      </c>
      <c r="E2732" s="2">
        <v>10403</v>
      </c>
    </row>
    <row r="2733" spans="1:5" x14ac:dyDescent="0.3">
      <c r="A2733" t="s">
        <v>31</v>
      </c>
      <c r="B2733" t="s">
        <v>9</v>
      </c>
      <c r="C2733" t="s">
        <v>19</v>
      </c>
      <c r="D2733" s="3">
        <v>45657</v>
      </c>
      <c r="E2733" s="2">
        <v>11357</v>
      </c>
    </row>
    <row r="2734" spans="1:5" x14ac:dyDescent="0.3">
      <c r="A2734" t="s">
        <v>26</v>
      </c>
      <c r="B2734" t="s">
        <v>9</v>
      </c>
      <c r="C2734" t="s">
        <v>23</v>
      </c>
      <c r="D2734" s="3">
        <v>45657</v>
      </c>
      <c r="E2734" s="2">
        <v>4880</v>
      </c>
    </row>
    <row r="2735" spans="1:5" x14ac:dyDescent="0.3">
      <c r="A2735" t="s">
        <v>20</v>
      </c>
      <c r="B2735" t="s">
        <v>6</v>
      </c>
      <c r="C2735" t="s">
        <v>23</v>
      </c>
      <c r="D2735" s="3">
        <v>45657</v>
      </c>
      <c r="E2735" s="2">
        <v>4958</v>
      </c>
    </row>
    <row r="2736" spans="1:5" x14ac:dyDescent="0.3">
      <c r="A2736" t="s">
        <v>20</v>
      </c>
      <c r="B2736" t="s">
        <v>6</v>
      </c>
      <c r="C2736" t="s">
        <v>23</v>
      </c>
      <c r="D2736" s="3">
        <v>45657</v>
      </c>
      <c r="E2736" s="2">
        <v>7664</v>
      </c>
    </row>
    <row r="2737" spans="1:5" x14ac:dyDescent="0.3">
      <c r="A2737" t="s">
        <v>26</v>
      </c>
      <c r="B2737" t="s">
        <v>9</v>
      </c>
      <c r="C2737" t="s">
        <v>23</v>
      </c>
      <c r="D2737" s="3">
        <v>45657</v>
      </c>
      <c r="E2737" s="2">
        <v>7599</v>
      </c>
    </row>
    <row r="2738" spans="1:5" x14ac:dyDescent="0.3">
      <c r="A2738" t="s">
        <v>29</v>
      </c>
      <c r="B2738" t="s">
        <v>6</v>
      </c>
      <c r="C2738" t="s">
        <v>25</v>
      </c>
      <c r="D2738" s="3">
        <v>45657</v>
      </c>
      <c r="E2738" s="2">
        <v>11021</v>
      </c>
    </row>
    <row r="2739" spans="1:5" x14ac:dyDescent="0.3">
      <c r="A2739" t="s">
        <v>24</v>
      </c>
      <c r="B2739" t="s">
        <v>21</v>
      </c>
      <c r="C2739" t="s">
        <v>25</v>
      </c>
      <c r="D2739" s="3">
        <v>45657</v>
      </c>
      <c r="E2739" s="2">
        <v>11536</v>
      </c>
    </row>
  </sheetData>
  <sortState xmlns:xlrd2="http://schemas.microsoft.com/office/spreadsheetml/2017/richdata2" ref="A2:E2739">
    <sortCondition ref="D2:D2739"/>
    <sortCondition ref="C2:C2739"/>
  </sortState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9FB9-A3DB-4AF7-AFAD-921054B3D456}">
  <dimension ref="A1:L716"/>
  <sheetViews>
    <sheetView topLeftCell="A9" workbookViewId="0">
      <selection activeCell="L29" sqref="L29"/>
    </sheetView>
  </sheetViews>
  <sheetFormatPr defaultRowHeight="14.4" x14ac:dyDescent="0.3"/>
  <cols>
    <col min="1" max="1" width="10.5546875" style="3" bestFit="1" customWidth="1"/>
    <col min="3" max="3" width="8.88671875" style="6"/>
  </cols>
  <sheetData>
    <row r="1" spans="1:3" x14ac:dyDescent="0.3">
      <c r="A1" s="3" cm="1">
        <f t="array" ref="A1:A716">_xlfn.UNIQUE(Sheet1!D2:D2739)</f>
        <v>44927</v>
      </c>
      <c r="B1">
        <f>SUMIF(Table1[Date],Sheet2!A1,Table1[Amount])</f>
        <v>34308</v>
      </c>
    </row>
    <row r="2" spans="1:3" x14ac:dyDescent="0.3">
      <c r="A2" s="3">
        <v>44928</v>
      </c>
      <c r="B2">
        <f>SUMIF(Table1[Date],Sheet2!A2,Table1[Amount])</f>
        <v>12694</v>
      </c>
      <c r="C2" s="6">
        <f>(B2-B1)/B1</f>
        <v>-0.62999883409117408</v>
      </c>
    </row>
    <row r="3" spans="1:3" x14ac:dyDescent="0.3">
      <c r="A3" s="3">
        <v>44929</v>
      </c>
      <c r="B3">
        <f>SUMIF(Table1[Date],Sheet2!A3,Table1[Amount])</f>
        <v>8442</v>
      </c>
      <c r="C3" s="6">
        <f t="shared" ref="C3:C66" si="0">(B3-B2)/B2</f>
        <v>-0.33496139908618244</v>
      </c>
    </row>
    <row r="4" spans="1:3" x14ac:dyDescent="0.3">
      <c r="A4" s="3">
        <v>44930</v>
      </c>
      <c r="B4">
        <f>SUMIF(Table1[Date],Sheet2!A4,Table1[Amount])</f>
        <v>38081</v>
      </c>
      <c r="C4" s="6">
        <f t="shared" si="0"/>
        <v>3.5108978914949063</v>
      </c>
    </row>
    <row r="5" spans="1:3" x14ac:dyDescent="0.3">
      <c r="A5" s="3">
        <v>44931</v>
      </c>
      <c r="B5">
        <f>SUMIF(Table1[Date],Sheet2!A5,Table1[Amount])</f>
        <v>43389</v>
      </c>
      <c r="C5" s="6">
        <f t="shared" si="0"/>
        <v>0.13938709592710274</v>
      </c>
    </row>
    <row r="6" spans="1:3" x14ac:dyDescent="0.3">
      <c r="A6" s="3">
        <v>44932</v>
      </c>
      <c r="B6">
        <f>SUMIF(Table1[Date],Sheet2!A6,Table1[Amount])</f>
        <v>38458</v>
      </c>
      <c r="C6" s="6">
        <f t="shared" si="0"/>
        <v>-0.11364631588651501</v>
      </c>
    </row>
    <row r="7" spans="1:3" x14ac:dyDescent="0.3">
      <c r="A7" s="3">
        <v>44933</v>
      </c>
      <c r="B7">
        <f>SUMIF(Table1[Date],Sheet2!A7,Table1[Amount])</f>
        <v>42895</v>
      </c>
      <c r="C7" s="6">
        <f t="shared" si="0"/>
        <v>0.1153726142805138</v>
      </c>
    </row>
    <row r="8" spans="1:3" x14ac:dyDescent="0.3">
      <c r="A8" s="3">
        <v>44934</v>
      </c>
      <c r="B8">
        <f>SUMIF(Table1[Date],Sheet2!A8,Table1[Amount])</f>
        <v>49430</v>
      </c>
      <c r="C8" s="6">
        <f t="shared" si="0"/>
        <v>0.15234875859657301</v>
      </c>
    </row>
    <row r="9" spans="1:3" x14ac:dyDescent="0.3">
      <c r="A9" s="3">
        <v>44935</v>
      </c>
      <c r="B9">
        <f>SUMIF(Table1[Date],Sheet2!A9,Table1[Amount])</f>
        <v>12008</v>
      </c>
      <c r="C9" s="6">
        <f t="shared" si="0"/>
        <v>-0.75707060489581224</v>
      </c>
    </row>
    <row r="10" spans="1:3" x14ac:dyDescent="0.3">
      <c r="A10" s="3">
        <v>44936</v>
      </c>
      <c r="B10">
        <f>SUMIF(Table1[Date],Sheet2!A10,Table1[Amount])</f>
        <v>13562</v>
      </c>
      <c r="C10" s="6">
        <f t="shared" si="0"/>
        <v>0.12941372418387742</v>
      </c>
    </row>
    <row r="11" spans="1:3" x14ac:dyDescent="0.3">
      <c r="A11" s="3">
        <v>44937</v>
      </c>
      <c r="B11">
        <f>SUMIF(Table1[Date],Sheet2!A11,Table1[Amount])</f>
        <v>23842</v>
      </c>
      <c r="C11" s="6">
        <f t="shared" si="0"/>
        <v>0.75800029494174903</v>
      </c>
    </row>
    <row r="12" spans="1:3" x14ac:dyDescent="0.3">
      <c r="A12" s="3">
        <v>44938</v>
      </c>
      <c r="B12">
        <f>SUMIF(Table1[Date],Sheet2!A12,Table1[Amount])</f>
        <v>19747</v>
      </c>
      <c r="C12" s="6">
        <f t="shared" si="0"/>
        <v>-0.1717557251908397</v>
      </c>
    </row>
    <row r="13" spans="1:3" x14ac:dyDescent="0.3">
      <c r="A13" s="3">
        <v>44939</v>
      </c>
      <c r="B13">
        <f>SUMIF(Table1[Date],Sheet2!A13,Table1[Amount])</f>
        <v>16098</v>
      </c>
      <c r="C13" s="6">
        <f t="shared" si="0"/>
        <v>-0.18478756266774701</v>
      </c>
    </row>
    <row r="14" spans="1:3" x14ac:dyDescent="0.3">
      <c r="A14" s="3">
        <v>44940</v>
      </c>
      <c r="B14">
        <f>SUMIF(Table1[Date],Sheet2!A14,Table1[Amount])</f>
        <v>22469</v>
      </c>
      <c r="C14" s="6">
        <f t="shared" si="0"/>
        <v>0.39576344887563675</v>
      </c>
    </row>
    <row r="15" spans="1:3" x14ac:dyDescent="0.3">
      <c r="A15" s="3">
        <v>44941</v>
      </c>
      <c r="B15">
        <f>SUMIF(Table1[Date],Sheet2!A15,Table1[Amount])</f>
        <v>42354</v>
      </c>
      <c r="C15" s="6">
        <f t="shared" si="0"/>
        <v>0.88499710712537272</v>
      </c>
    </row>
    <row r="16" spans="1:3" x14ac:dyDescent="0.3">
      <c r="A16" s="3">
        <v>44942</v>
      </c>
      <c r="B16">
        <f>SUMIF(Table1[Date],Sheet2!A16,Table1[Amount])</f>
        <v>36536</v>
      </c>
      <c r="C16" s="6">
        <f t="shared" si="0"/>
        <v>-0.1373660102941871</v>
      </c>
    </row>
    <row r="17" spans="1:12" x14ac:dyDescent="0.3">
      <c r="A17" s="3">
        <v>44943</v>
      </c>
      <c r="B17">
        <f>SUMIF(Table1[Date],Sheet2!A17,Table1[Amount])</f>
        <v>22593</v>
      </c>
      <c r="C17" s="6">
        <f t="shared" si="0"/>
        <v>-0.38162360411648782</v>
      </c>
    </row>
    <row r="18" spans="1:12" x14ac:dyDescent="0.3">
      <c r="A18" s="3">
        <v>44944</v>
      </c>
      <c r="B18">
        <f>SUMIF(Table1[Date],Sheet2!A18,Table1[Amount])</f>
        <v>25447</v>
      </c>
      <c r="C18" s="6">
        <f t="shared" si="0"/>
        <v>0.12632231222059931</v>
      </c>
    </row>
    <row r="19" spans="1:12" x14ac:dyDescent="0.3">
      <c r="A19" s="3">
        <v>44945</v>
      </c>
      <c r="B19">
        <f>SUMIF(Table1[Date],Sheet2!A19,Table1[Amount])</f>
        <v>47885</v>
      </c>
      <c r="C19" s="6">
        <f t="shared" si="0"/>
        <v>0.88175423429087907</v>
      </c>
    </row>
    <row r="20" spans="1:12" x14ac:dyDescent="0.3">
      <c r="A20" s="3">
        <v>44946</v>
      </c>
      <c r="B20">
        <f>SUMIF(Table1[Date],Sheet2!A20,Table1[Amount])</f>
        <v>18196</v>
      </c>
      <c r="C20" s="6">
        <f t="shared" si="0"/>
        <v>-0.62000626500991962</v>
      </c>
    </row>
    <row r="21" spans="1:12" x14ac:dyDescent="0.3">
      <c r="A21" s="3">
        <v>44947</v>
      </c>
      <c r="B21">
        <f>SUMIF(Table1[Date],Sheet2!A21,Table1[Amount])</f>
        <v>63257</v>
      </c>
      <c r="C21" s="6">
        <f t="shared" si="0"/>
        <v>2.4764233897559902</v>
      </c>
    </row>
    <row r="22" spans="1:12" x14ac:dyDescent="0.3">
      <c r="A22" s="3">
        <v>44948</v>
      </c>
      <c r="B22">
        <f>SUMIF(Table1[Date],Sheet2!A22,Table1[Amount])</f>
        <v>51432</v>
      </c>
      <c r="C22" s="6">
        <f t="shared" si="0"/>
        <v>-0.18693583318842183</v>
      </c>
    </row>
    <row r="23" spans="1:12" x14ac:dyDescent="0.3">
      <c r="A23" s="3">
        <v>44949</v>
      </c>
      <c r="B23">
        <f>SUMIF(Table1[Date],Sheet2!A23,Table1[Amount])</f>
        <v>13635</v>
      </c>
      <c r="C23" s="6">
        <f t="shared" si="0"/>
        <v>-0.73489267382174517</v>
      </c>
    </row>
    <row r="24" spans="1:12" x14ac:dyDescent="0.3">
      <c r="A24" s="3">
        <v>44950</v>
      </c>
      <c r="B24">
        <f>SUMIF(Table1[Date],Sheet2!A24,Table1[Amount])</f>
        <v>29539</v>
      </c>
      <c r="C24" s="6">
        <f t="shared" si="0"/>
        <v>1.1664099743307663</v>
      </c>
    </row>
    <row r="25" spans="1:12" x14ac:dyDescent="0.3">
      <c r="A25" s="3">
        <v>44951</v>
      </c>
      <c r="B25">
        <f>SUMIF(Table1[Date],Sheet2!A25,Table1[Amount])</f>
        <v>41515</v>
      </c>
      <c r="C25" s="6">
        <f t="shared" si="0"/>
        <v>0.40543010934696505</v>
      </c>
    </row>
    <row r="26" spans="1:12" x14ac:dyDescent="0.3">
      <c r="A26" s="3">
        <v>44952</v>
      </c>
      <c r="B26">
        <f>SUMIF(Table1[Date],Sheet2!A26,Table1[Amount])</f>
        <v>16789</v>
      </c>
      <c r="C26" s="6">
        <f t="shared" si="0"/>
        <v>-0.59559195471516324</v>
      </c>
    </row>
    <row r="27" spans="1:12" x14ac:dyDescent="0.3">
      <c r="A27" s="3">
        <v>44953</v>
      </c>
      <c r="B27">
        <f>SUMIF(Table1[Date],Sheet2!A27,Table1[Amount])</f>
        <v>24506</v>
      </c>
      <c r="C27" s="6">
        <f t="shared" si="0"/>
        <v>0.45964619691464648</v>
      </c>
    </row>
    <row r="28" spans="1:12" x14ac:dyDescent="0.3">
      <c r="A28" s="3">
        <v>44954</v>
      </c>
      <c r="B28">
        <f>SUMIF(Table1[Date],Sheet2!A28,Table1[Amount])</f>
        <v>23584</v>
      </c>
      <c r="C28" s="6">
        <f t="shared" si="0"/>
        <v>-3.7623439157757281E-2</v>
      </c>
    </row>
    <row r="29" spans="1:12" x14ac:dyDescent="0.3">
      <c r="A29" s="3">
        <v>44955</v>
      </c>
      <c r="B29">
        <f>SUMIF(Table1[Date],Sheet2!A29,Table1[Amount])</f>
        <v>18371</v>
      </c>
      <c r="C29" s="6">
        <f t="shared" si="0"/>
        <v>-0.22103968792401629</v>
      </c>
      <c r="H29" t="s">
        <v>37</v>
      </c>
      <c r="J29" t="s">
        <v>38</v>
      </c>
      <c r="L29" t="s">
        <v>39</v>
      </c>
    </row>
    <row r="30" spans="1:12" x14ac:dyDescent="0.3">
      <c r="A30" s="3">
        <v>44956</v>
      </c>
      <c r="B30">
        <f>SUMIF(Table1[Date],Sheet2!A30,Table1[Amount])</f>
        <v>29797</v>
      </c>
      <c r="C30" s="6">
        <f t="shared" si="0"/>
        <v>0.62195852158292964</v>
      </c>
      <c r="H30">
        <f>SUM(B1:B31)</f>
        <v>904109</v>
      </c>
      <c r="J30">
        <f>SUM(B32:B59)</f>
        <v>876772</v>
      </c>
      <c r="L30" s="6">
        <f>(J30-H30)/H30</f>
        <v>-3.0236398487350529E-2</v>
      </c>
    </row>
    <row r="31" spans="1:12" x14ac:dyDescent="0.3">
      <c r="A31" s="3">
        <v>44957</v>
      </c>
      <c r="B31">
        <f>SUMIF(Table1[Date],Sheet2!A31,Table1[Amount])</f>
        <v>23250</v>
      </c>
      <c r="C31" s="6">
        <f t="shared" si="0"/>
        <v>-0.21972010605094472</v>
      </c>
      <c r="D31" s="7">
        <f>AVERAGE(C2:C31)</f>
        <v>0.22990352192571978</v>
      </c>
      <c r="E31" t="s">
        <v>35</v>
      </c>
    </row>
    <row r="32" spans="1:12" x14ac:dyDescent="0.3">
      <c r="A32" s="3">
        <v>44958</v>
      </c>
      <c r="B32">
        <f>SUMIF(Table1[Date],Sheet2!A32,Table1[Amount])</f>
        <v>24464</v>
      </c>
      <c r="C32" s="6">
        <f t="shared" si="0"/>
        <v>5.2215053763440863E-2</v>
      </c>
      <c r="D32" s="7">
        <f>AVERAGE(C32:C59)</f>
        <v>0.28565102287544203</v>
      </c>
      <c r="E32" t="s">
        <v>36</v>
      </c>
    </row>
    <row r="33" spans="1:3" x14ac:dyDescent="0.3">
      <c r="A33" s="3">
        <v>44959</v>
      </c>
      <c r="B33">
        <f>SUMIF(Table1[Date],Sheet2!A33,Table1[Amount])</f>
        <v>35409</v>
      </c>
      <c r="C33" s="6">
        <f t="shared" si="0"/>
        <v>0.44739208633093525</v>
      </c>
    </row>
    <row r="34" spans="1:3" x14ac:dyDescent="0.3">
      <c r="A34" s="3">
        <v>44960</v>
      </c>
      <c r="B34">
        <f>SUMIF(Table1[Date],Sheet2!A34,Table1[Amount])</f>
        <v>37034</v>
      </c>
      <c r="C34" s="6">
        <f t="shared" si="0"/>
        <v>4.5892287271597616E-2</v>
      </c>
    </row>
    <row r="35" spans="1:3" x14ac:dyDescent="0.3">
      <c r="A35" s="3">
        <v>44961</v>
      </c>
      <c r="B35">
        <f>SUMIF(Table1[Date],Sheet2!A35,Table1[Amount])</f>
        <v>81006</v>
      </c>
      <c r="C35" s="6">
        <f t="shared" si="0"/>
        <v>1.1873413619916833</v>
      </c>
    </row>
    <row r="36" spans="1:3" x14ac:dyDescent="0.3">
      <c r="A36" s="3">
        <v>44962</v>
      </c>
      <c r="B36">
        <f>SUMIF(Table1[Date],Sheet2!A36,Table1[Amount])</f>
        <v>39919</v>
      </c>
      <c r="C36" s="6">
        <f t="shared" si="0"/>
        <v>-0.50720934251783822</v>
      </c>
    </row>
    <row r="37" spans="1:3" x14ac:dyDescent="0.3">
      <c r="A37" s="3">
        <v>44963</v>
      </c>
      <c r="B37">
        <f>SUMIF(Table1[Date],Sheet2!A37,Table1[Amount])</f>
        <v>13923</v>
      </c>
      <c r="C37" s="6">
        <f t="shared" si="0"/>
        <v>-0.65121871790375507</v>
      </c>
    </row>
    <row r="38" spans="1:3" x14ac:dyDescent="0.3">
      <c r="A38" s="3">
        <v>44964</v>
      </c>
      <c r="B38">
        <f>SUMIF(Table1[Date],Sheet2!A38,Table1[Amount])</f>
        <v>39991</v>
      </c>
      <c r="C38" s="6">
        <f t="shared" si="0"/>
        <v>1.8722976370035194</v>
      </c>
    </row>
    <row r="39" spans="1:3" x14ac:dyDescent="0.3">
      <c r="A39" s="3">
        <v>44965</v>
      </c>
      <c r="B39">
        <f>SUMIF(Table1[Date],Sheet2!A39,Table1[Amount])</f>
        <v>69473</v>
      </c>
      <c r="C39" s="6">
        <f t="shared" si="0"/>
        <v>0.7372158735715536</v>
      </c>
    </row>
    <row r="40" spans="1:3" x14ac:dyDescent="0.3">
      <c r="A40" s="3">
        <v>44966</v>
      </c>
      <c r="B40">
        <f>SUMIF(Table1[Date],Sheet2!A40,Table1[Amount])</f>
        <v>18074</v>
      </c>
      <c r="C40" s="6">
        <f t="shared" si="0"/>
        <v>-0.73984137722568477</v>
      </c>
    </row>
    <row r="41" spans="1:3" x14ac:dyDescent="0.3">
      <c r="A41" s="3">
        <v>44967</v>
      </c>
      <c r="B41">
        <f>SUMIF(Table1[Date],Sheet2!A41,Table1[Amount])</f>
        <v>24087</v>
      </c>
      <c r="C41" s="6">
        <f t="shared" si="0"/>
        <v>0.33268783888458558</v>
      </c>
    </row>
    <row r="42" spans="1:3" x14ac:dyDescent="0.3">
      <c r="A42" s="3">
        <v>44968</v>
      </c>
      <c r="B42">
        <f>SUMIF(Table1[Date],Sheet2!A42,Table1[Amount])</f>
        <v>36489</v>
      </c>
      <c r="C42" s="6">
        <f t="shared" si="0"/>
        <v>0.51488354714161166</v>
      </c>
    </row>
    <row r="43" spans="1:3" x14ac:dyDescent="0.3">
      <c r="A43" s="3">
        <v>44969</v>
      </c>
      <c r="B43">
        <f>SUMIF(Table1[Date],Sheet2!A43,Table1[Amount])</f>
        <v>33102</v>
      </c>
      <c r="C43" s="6">
        <f t="shared" si="0"/>
        <v>-9.2822494450382306E-2</v>
      </c>
    </row>
    <row r="44" spans="1:3" x14ac:dyDescent="0.3">
      <c r="A44" s="3">
        <v>44970</v>
      </c>
      <c r="B44">
        <f>SUMIF(Table1[Date],Sheet2!A44,Table1[Amount])</f>
        <v>44459</v>
      </c>
      <c r="C44" s="6">
        <f t="shared" si="0"/>
        <v>0.34309105190018729</v>
      </c>
    </row>
    <row r="45" spans="1:3" x14ac:dyDescent="0.3">
      <c r="A45" s="3">
        <v>44971</v>
      </c>
      <c r="B45">
        <f>SUMIF(Table1[Date],Sheet2!A45,Table1[Amount])</f>
        <v>23470</v>
      </c>
      <c r="C45" s="6">
        <f t="shared" si="0"/>
        <v>-0.4720978879416991</v>
      </c>
    </row>
    <row r="46" spans="1:3" x14ac:dyDescent="0.3">
      <c r="A46" s="3">
        <v>44972</v>
      </c>
      <c r="B46">
        <f>SUMIF(Table1[Date],Sheet2!A46,Table1[Amount])</f>
        <v>24654</v>
      </c>
      <c r="C46" s="6">
        <f t="shared" si="0"/>
        <v>5.0447379633574777E-2</v>
      </c>
    </row>
    <row r="47" spans="1:3" x14ac:dyDescent="0.3">
      <c r="A47" s="3">
        <v>44973</v>
      </c>
      <c r="B47">
        <f>SUMIF(Table1[Date],Sheet2!A47,Table1[Amount])</f>
        <v>37035</v>
      </c>
      <c r="C47" s="6">
        <f t="shared" si="0"/>
        <v>0.5021903139449988</v>
      </c>
    </row>
    <row r="48" spans="1:3" x14ac:dyDescent="0.3">
      <c r="A48" s="3">
        <v>44974</v>
      </c>
      <c r="B48">
        <f>SUMIF(Table1[Date],Sheet2!A48,Table1[Amount])</f>
        <v>14321</v>
      </c>
      <c r="C48" s="6">
        <f t="shared" si="0"/>
        <v>-0.61331173214526802</v>
      </c>
    </row>
    <row r="49" spans="1:3" x14ac:dyDescent="0.3">
      <c r="A49" s="3">
        <v>44975</v>
      </c>
      <c r="B49">
        <f>SUMIF(Table1[Date],Sheet2!A49,Table1[Amount])</f>
        <v>48970</v>
      </c>
      <c r="C49" s="6">
        <f t="shared" si="0"/>
        <v>2.4194539487465958</v>
      </c>
    </row>
    <row r="50" spans="1:3" x14ac:dyDescent="0.3">
      <c r="A50" s="3">
        <v>44976</v>
      </c>
      <c r="B50">
        <f>SUMIF(Table1[Date],Sheet2!A50,Table1[Amount])</f>
        <v>8722</v>
      </c>
      <c r="C50" s="6">
        <f t="shared" si="0"/>
        <v>-0.8218909536450888</v>
      </c>
    </row>
    <row r="51" spans="1:3" x14ac:dyDescent="0.3">
      <c r="A51" s="3">
        <v>44977</v>
      </c>
      <c r="B51">
        <f>SUMIF(Table1[Date],Sheet2!A51,Table1[Amount])</f>
        <v>29273</v>
      </c>
      <c r="C51" s="6">
        <f t="shared" si="0"/>
        <v>2.3562256363219447</v>
      </c>
    </row>
    <row r="52" spans="1:3" x14ac:dyDescent="0.3">
      <c r="A52" s="3">
        <v>44978</v>
      </c>
      <c r="B52">
        <f>SUMIF(Table1[Date],Sheet2!A52,Table1[Amount])</f>
        <v>21260</v>
      </c>
      <c r="C52" s="6">
        <f t="shared" si="0"/>
        <v>-0.27373347453284597</v>
      </c>
    </row>
    <row r="53" spans="1:3" x14ac:dyDescent="0.3">
      <c r="A53" s="3">
        <v>44979</v>
      </c>
      <c r="B53">
        <f>SUMIF(Table1[Date],Sheet2!A53,Table1[Amount])</f>
        <v>40071</v>
      </c>
      <c r="C53" s="6">
        <f t="shared" si="0"/>
        <v>0.88480714957666984</v>
      </c>
    </row>
    <row r="54" spans="1:3" x14ac:dyDescent="0.3">
      <c r="A54" s="3">
        <v>44980</v>
      </c>
      <c r="B54">
        <f>SUMIF(Table1[Date],Sheet2!A54,Table1[Amount])</f>
        <v>13425</v>
      </c>
      <c r="C54" s="6">
        <f t="shared" si="0"/>
        <v>-0.66496967882009428</v>
      </c>
    </row>
    <row r="55" spans="1:3" x14ac:dyDescent="0.3">
      <c r="A55" s="3">
        <v>44981</v>
      </c>
      <c r="B55">
        <f>SUMIF(Table1[Date],Sheet2!A55,Table1[Amount])</f>
        <v>10058</v>
      </c>
      <c r="C55" s="6">
        <f t="shared" si="0"/>
        <v>-0.25080074487895715</v>
      </c>
    </row>
    <row r="56" spans="1:3" x14ac:dyDescent="0.3">
      <c r="A56" s="3">
        <v>44982</v>
      </c>
      <c r="B56">
        <f>SUMIF(Table1[Date],Sheet2!A56,Table1[Amount])</f>
        <v>32112</v>
      </c>
      <c r="C56" s="6">
        <f t="shared" si="0"/>
        <v>2.1926824418373436</v>
      </c>
    </row>
    <row r="57" spans="1:3" x14ac:dyDescent="0.3">
      <c r="A57" s="3">
        <v>44983</v>
      </c>
      <c r="B57">
        <f>SUMIF(Table1[Date],Sheet2!A57,Table1[Amount])</f>
        <v>43993</v>
      </c>
      <c r="C57" s="6">
        <f t="shared" si="0"/>
        <v>0.36998629795714999</v>
      </c>
    </row>
    <row r="58" spans="1:3" x14ac:dyDescent="0.3">
      <c r="A58" s="3">
        <v>44984</v>
      </c>
      <c r="B58">
        <f>SUMIF(Table1[Date],Sheet2!A58,Table1[Amount])</f>
        <v>28068</v>
      </c>
      <c r="C58" s="6">
        <f t="shared" si="0"/>
        <v>-0.36198940740572366</v>
      </c>
    </row>
    <row r="59" spans="1:3" x14ac:dyDescent="0.3">
      <c r="A59" s="3">
        <v>44985</v>
      </c>
      <c r="B59">
        <f>SUMIF(Table1[Date],Sheet2!A59,Table1[Amount])</f>
        <v>3910</v>
      </c>
      <c r="C59" s="6">
        <f t="shared" si="0"/>
        <v>-0.8606954538976771</v>
      </c>
    </row>
    <row r="60" spans="1:3" x14ac:dyDescent="0.3">
      <c r="A60" s="3">
        <v>44986</v>
      </c>
      <c r="B60">
        <f>SUMIF(Table1[Date],Sheet2!A60,Table1[Amount])</f>
        <v>53829</v>
      </c>
      <c r="C60" s="6">
        <f t="shared" si="0"/>
        <v>12.767007672634271</v>
      </c>
    </row>
    <row r="61" spans="1:3" x14ac:dyDescent="0.3">
      <c r="A61" s="3">
        <v>44987</v>
      </c>
      <c r="B61">
        <f>SUMIF(Table1[Date],Sheet2!A61,Table1[Amount])</f>
        <v>26201</v>
      </c>
      <c r="C61" s="6">
        <f t="shared" si="0"/>
        <v>-0.51325493692990765</v>
      </c>
    </row>
    <row r="62" spans="1:3" x14ac:dyDescent="0.3">
      <c r="A62" s="3">
        <v>44988</v>
      </c>
      <c r="B62">
        <f>SUMIF(Table1[Date],Sheet2!A62,Table1[Amount])</f>
        <v>14389</v>
      </c>
      <c r="C62" s="6">
        <f t="shared" si="0"/>
        <v>-0.4508224876913095</v>
      </c>
    </row>
    <row r="63" spans="1:3" x14ac:dyDescent="0.3">
      <c r="A63" s="3">
        <v>44989</v>
      </c>
      <c r="B63">
        <f>SUMIF(Table1[Date],Sheet2!A63,Table1[Amount])</f>
        <v>15623</v>
      </c>
      <c r="C63" s="6">
        <f t="shared" si="0"/>
        <v>8.5759955521578987E-2</v>
      </c>
    </row>
    <row r="64" spans="1:3" x14ac:dyDescent="0.3">
      <c r="A64" s="3">
        <v>44990</v>
      </c>
      <c r="B64">
        <f>SUMIF(Table1[Date],Sheet2!A64,Table1[Amount])</f>
        <v>25822</v>
      </c>
      <c r="C64" s="6">
        <f t="shared" si="0"/>
        <v>0.65281956090379567</v>
      </c>
    </row>
    <row r="65" spans="1:3" x14ac:dyDescent="0.3">
      <c r="A65" s="3">
        <v>44991</v>
      </c>
      <c r="B65">
        <f>SUMIF(Table1[Date],Sheet2!A65,Table1[Amount])</f>
        <v>9146</v>
      </c>
      <c r="C65" s="6">
        <f t="shared" si="0"/>
        <v>-0.64580590194407872</v>
      </c>
    </row>
    <row r="66" spans="1:3" x14ac:dyDescent="0.3">
      <c r="A66" s="3">
        <v>44992</v>
      </c>
      <c r="B66">
        <f>SUMIF(Table1[Date],Sheet2!A66,Table1[Amount])</f>
        <v>29894</v>
      </c>
      <c r="C66" s="6">
        <f t="shared" si="0"/>
        <v>2.268532691887164</v>
      </c>
    </row>
    <row r="67" spans="1:3" x14ac:dyDescent="0.3">
      <c r="A67" s="3">
        <v>44993</v>
      </c>
      <c r="B67">
        <f>SUMIF(Table1[Date],Sheet2!A67,Table1[Amount])</f>
        <v>28871</v>
      </c>
      <c r="C67" s="6">
        <f t="shared" ref="C67:C130" si="1">(B67-B66)/B66</f>
        <v>-3.4220913895765037E-2</v>
      </c>
    </row>
    <row r="68" spans="1:3" x14ac:dyDescent="0.3">
      <c r="A68" s="3">
        <v>44994</v>
      </c>
      <c r="B68">
        <f>SUMIF(Table1[Date],Sheet2!A68,Table1[Amount])</f>
        <v>39355</v>
      </c>
      <c r="C68" s="6">
        <f t="shared" si="1"/>
        <v>0.36313255515915627</v>
      </c>
    </row>
    <row r="69" spans="1:3" x14ac:dyDescent="0.3">
      <c r="A69" s="3">
        <v>44995</v>
      </c>
      <c r="B69">
        <f>SUMIF(Table1[Date],Sheet2!A69,Table1[Amount])</f>
        <v>5185</v>
      </c>
      <c r="C69" s="6">
        <f t="shared" si="1"/>
        <v>-0.86825053995680346</v>
      </c>
    </row>
    <row r="70" spans="1:3" x14ac:dyDescent="0.3">
      <c r="A70" s="3">
        <v>44996</v>
      </c>
      <c r="B70">
        <f>SUMIF(Table1[Date],Sheet2!A70,Table1[Amount])</f>
        <v>30968</v>
      </c>
      <c r="C70" s="6">
        <f t="shared" si="1"/>
        <v>4.9726133076181291</v>
      </c>
    </row>
    <row r="71" spans="1:3" x14ac:dyDescent="0.3">
      <c r="A71" s="3">
        <v>44997</v>
      </c>
      <c r="B71">
        <f>SUMIF(Table1[Date],Sheet2!A71,Table1[Amount])</f>
        <v>41613</v>
      </c>
      <c r="C71" s="6">
        <f t="shared" si="1"/>
        <v>0.34374192715060709</v>
      </c>
    </row>
    <row r="72" spans="1:3" x14ac:dyDescent="0.3">
      <c r="A72" s="3">
        <v>44998</v>
      </c>
      <c r="B72">
        <f>SUMIF(Table1[Date],Sheet2!A72,Table1[Amount])</f>
        <v>2994</v>
      </c>
      <c r="C72" s="6">
        <f t="shared" si="1"/>
        <v>-0.92805133011318575</v>
      </c>
    </row>
    <row r="73" spans="1:3" x14ac:dyDescent="0.3">
      <c r="A73" s="3">
        <v>44999</v>
      </c>
      <c r="B73">
        <f>SUMIF(Table1[Date],Sheet2!A73,Table1[Amount])</f>
        <v>26512</v>
      </c>
      <c r="C73" s="6">
        <f t="shared" si="1"/>
        <v>7.855043420173681</v>
      </c>
    </row>
    <row r="74" spans="1:3" x14ac:dyDescent="0.3">
      <c r="A74" s="3">
        <v>45000</v>
      </c>
      <c r="B74">
        <f>SUMIF(Table1[Date],Sheet2!A74,Table1[Amount])</f>
        <v>36020</v>
      </c>
      <c r="C74" s="6">
        <f t="shared" si="1"/>
        <v>0.35863005431502715</v>
      </c>
    </row>
    <row r="75" spans="1:3" x14ac:dyDescent="0.3">
      <c r="A75" s="3">
        <v>45001</v>
      </c>
      <c r="B75">
        <f>SUMIF(Table1[Date],Sheet2!A75,Table1[Amount])</f>
        <v>4565</v>
      </c>
      <c r="C75" s="6">
        <f t="shared" si="1"/>
        <v>-0.87326485285952249</v>
      </c>
    </row>
    <row r="76" spans="1:3" x14ac:dyDescent="0.3">
      <c r="A76" s="3">
        <v>45002</v>
      </c>
      <c r="B76">
        <f>SUMIF(Table1[Date],Sheet2!A76,Table1[Amount])</f>
        <v>4790</v>
      </c>
      <c r="C76" s="6">
        <f t="shared" si="1"/>
        <v>4.9288061336254109E-2</v>
      </c>
    </row>
    <row r="77" spans="1:3" x14ac:dyDescent="0.3">
      <c r="A77" s="3">
        <v>45003</v>
      </c>
      <c r="B77">
        <f>SUMIF(Table1[Date],Sheet2!A77,Table1[Amount])</f>
        <v>34635</v>
      </c>
      <c r="C77" s="6">
        <f t="shared" si="1"/>
        <v>6.2306889352818375</v>
      </c>
    </row>
    <row r="78" spans="1:3" x14ac:dyDescent="0.3">
      <c r="A78" s="3">
        <v>45004</v>
      </c>
      <c r="B78">
        <f>SUMIF(Table1[Date],Sheet2!A78,Table1[Amount])</f>
        <v>19572</v>
      </c>
      <c r="C78" s="6">
        <f t="shared" si="1"/>
        <v>-0.43490688609787787</v>
      </c>
    </row>
    <row r="79" spans="1:3" x14ac:dyDescent="0.3">
      <c r="A79" s="3">
        <v>45005</v>
      </c>
      <c r="B79">
        <f>SUMIF(Table1[Date],Sheet2!A79,Table1[Amount])</f>
        <v>6677</v>
      </c>
      <c r="C79" s="6">
        <f t="shared" si="1"/>
        <v>-0.65884937666053545</v>
      </c>
    </row>
    <row r="80" spans="1:3" x14ac:dyDescent="0.3">
      <c r="A80" s="3">
        <v>45006</v>
      </c>
      <c r="B80">
        <f>SUMIF(Table1[Date],Sheet2!A80,Table1[Amount])</f>
        <v>10399</v>
      </c>
      <c r="C80" s="6">
        <f t="shared" si="1"/>
        <v>0.55743597423992808</v>
      </c>
    </row>
    <row r="81" spans="1:3" x14ac:dyDescent="0.3">
      <c r="A81" s="3">
        <v>45007</v>
      </c>
      <c r="B81">
        <f>SUMIF(Table1[Date],Sheet2!A81,Table1[Amount])</f>
        <v>8106</v>
      </c>
      <c r="C81" s="6">
        <f t="shared" si="1"/>
        <v>-0.22050197134339841</v>
      </c>
    </row>
    <row r="82" spans="1:3" x14ac:dyDescent="0.3">
      <c r="A82" s="3">
        <v>45008</v>
      </c>
      <c r="B82">
        <f>SUMIF(Table1[Date],Sheet2!A82,Table1[Amount])</f>
        <v>16819</v>
      </c>
      <c r="C82" s="6">
        <f t="shared" si="1"/>
        <v>1.0748828028620774</v>
      </c>
    </row>
    <row r="83" spans="1:3" x14ac:dyDescent="0.3">
      <c r="A83" s="3">
        <v>45009</v>
      </c>
      <c r="B83">
        <f>SUMIF(Table1[Date],Sheet2!A83,Table1[Amount])</f>
        <v>39280</v>
      </c>
      <c r="C83" s="6">
        <f t="shared" si="1"/>
        <v>1.3354539508888756</v>
      </c>
    </row>
    <row r="84" spans="1:3" x14ac:dyDescent="0.3">
      <c r="A84" s="3">
        <v>45010</v>
      </c>
      <c r="B84">
        <f>SUMIF(Table1[Date],Sheet2!A84,Table1[Amount])</f>
        <v>1689</v>
      </c>
      <c r="C84" s="6">
        <f t="shared" si="1"/>
        <v>-0.95700101832993889</v>
      </c>
    </row>
    <row r="85" spans="1:3" x14ac:dyDescent="0.3">
      <c r="A85" s="3">
        <v>45011</v>
      </c>
      <c r="B85">
        <f>SUMIF(Table1[Date],Sheet2!A85,Table1[Amount])</f>
        <v>6659</v>
      </c>
      <c r="C85" s="6">
        <f t="shared" si="1"/>
        <v>2.9425695677915926</v>
      </c>
    </row>
    <row r="86" spans="1:3" x14ac:dyDescent="0.3">
      <c r="A86" s="3">
        <v>45012</v>
      </c>
      <c r="B86">
        <f>SUMIF(Table1[Date],Sheet2!A86,Table1[Amount])</f>
        <v>16542</v>
      </c>
      <c r="C86" s="6">
        <f t="shared" si="1"/>
        <v>1.4841567802973419</v>
      </c>
    </row>
    <row r="87" spans="1:3" x14ac:dyDescent="0.3">
      <c r="A87" s="3">
        <v>45013</v>
      </c>
      <c r="B87">
        <f>SUMIF(Table1[Date],Sheet2!A87,Table1[Amount])</f>
        <v>6075</v>
      </c>
      <c r="C87" s="6">
        <f t="shared" si="1"/>
        <v>-0.63275299238302507</v>
      </c>
    </row>
    <row r="88" spans="1:3" x14ac:dyDescent="0.3">
      <c r="A88" s="3">
        <v>45014</v>
      </c>
      <c r="B88">
        <f>SUMIF(Table1[Date],Sheet2!A88,Table1[Amount])</f>
        <v>10993</v>
      </c>
      <c r="C88" s="6">
        <f t="shared" si="1"/>
        <v>0.80954732510288063</v>
      </c>
    </row>
    <row r="89" spans="1:3" x14ac:dyDescent="0.3">
      <c r="A89" s="3">
        <v>45015</v>
      </c>
      <c r="B89">
        <f>SUMIF(Table1[Date],Sheet2!A89,Table1[Amount])</f>
        <v>45225</v>
      </c>
      <c r="C89" s="6">
        <f t="shared" si="1"/>
        <v>3.1139816246702448</v>
      </c>
    </row>
    <row r="90" spans="1:3" x14ac:dyDescent="0.3">
      <c r="A90" s="3">
        <v>45016</v>
      </c>
      <c r="B90">
        <f>SUMIF(Table1[Date],Sheet2!A90,Table1[Amount])</f>
        <v>47750</v>
      </c>
      <c r="C90" s="6">
        <f t="shared" si="1"/>
        <v>5.5831951354339417E-2</v>
      </c>
    </row>
    <row r="91" spans="1:3" x14ac:dyDescent="0.3">
      <c r="A91" s="3">
        <v>45017</v>
      </c>
      <c r="B91">
        <f>SUMIF(Table1[Date],Sheet2!A91,Table1[Amount])</f>
        <v>45437</v>
      </c>
      <c r="C91" s="6">
        <f t="shared" si="1"/>
        <v>-4.8439790575916228E-2</v>
      </c>
    </row>
    <row r="92" spans="1:3" x14ac:dyDescent="0.3">
      <c r="A92" s="3">
        <v>45018</v>
      </c>
      <c r="B92">
        <f>SUMIF(Table1[Date],Sheet2!A92,Table1[Amount])</f>
        <v>41928</v>
      </c>
      <c r="C92" s="6">
        <f t="shared" si="1"/>
        <v>-7.7227809934634767E-2</v>
      </c>
    </row>
    <row r="93" spans="1:3" x14ac:dyDescent="0.3">
      <c r="A93" s="3">
        <v>45019</v>
      </c>
      <c r="B93">
        <f>SUMIF(Table1[Date],Sheet2!A93,Table1[Amount])</f>
        <v>22102</v>
      </c>
      <c r="C93" s="6">
        <f t="shared" si="1"/>
        <v>-0.47285823316161035</v>
      </c>
    </row>
    <row r="94" spans="1:3" x14ac:dyDescent="0.3">
      <c r="A94" s="3">
        <v>45020</v>
      </c>
      <c r="B94">
        <f>SUMIF(Table1[Date],Sheet2!A94,Table1[Amount])</f>
        <v>22971</v>
      </c>
      <c r="C94" s="6">
        <f t="shared" si="1"/>
        <v>3.9317708804633068E-2</v>
      </c>
    </row>
    <row r="95" spans="1:3" x14ac:dyDescent="0.3">
      <c r="A95" s="3">
        <v>45021</v>
      </c>
      <c r="B95">
        <f>SUMIF(Table1[Date],Sheet2!A95,Table1[Amount])</f>
        <v>20560</v>
      </c>
      <c r="C95" s="6">
        <f t="shared" si="1"/>
        <v>-0.10495842584127814</v>
      </c>
    </row>
    <row r="96" spans="1:3" x14ac:dyDescent="0.3">
      <c r="A96" s="3">
        <v>45022</v>
      </c>
      <c r="B96">
        <f>SUMIF(Table1[Date],Sheet2!A96,Table1[Amount])</f>
        <v>21126</v>
      </c>
      <c r="C96" s="6">
        <f t="shared" si="1"/>
        <v>2.7529182879377431E-2</v>
      </c>
    </row>
    <row r="97" spans="1:3" x14ac:dyDescent="0.3">
      <c r="A97" s="3">
        <v>45023</v>
      </c>
      <c r="B97">
        <f>SUMIF(Table1[Date],Sheet2!A97,Table1[Amount])</f>
        <v>28191</v>
      </c>
      <c r="C97" s="6">
        <f t="shared" si="1"/>
        <v>0.33442203919341096</v>
      </c>
    </row>
    <row r="98" spans="1:3" x14ac:dyDescent="0.3">
      <c r="A98" s="3">
        <v>45024</v>
      </c>
      <c r="B98">
        <f>SUMIF(Table1[Date],Sheet2!A98,Table1[Amount])</f>
        <v>44256</v>
      </c>
      <c r="C98" s="6">
        <f t="shared" si="1"/>
        <v>0.5698627221453656</v>
      </c>
    </row>
    <row r="99" spans="1:3" x14ac:dyDescent="0.3">
      <c r="A99" s="3">
        <v>45025</v>
      </c>
      <c r="B99">
        <f>SUMIF(Table1[Date],Sheet2!A99,Table1[Amount])</f>
        <v>32877</v>
      </c>
      <c r="C99" s="6">
        <f t="shared" si="1"/>
        <v>-0.25711767895878523</v>
      </c>
    </row>
    <row r="100" spans="1:3" x14ac:dyDescent="0.3">
      <c r="A100" s="3">
        <v>45026</v>
      </c>
      <c r="B100">
        <f>SUMIF(Table1[Date],Sheet2!A100,Table1[Amount])</f>
        <v>33261</v>
      </c>
      <c r="C100" s="6">
        <f t="shared" si="1"/>
        <v>1.1679897800894241E-2</v>
      </c>
    </row>
    <row r="101" spans="1:3" x14ac:dyDescent="0.3">
      <c r="A101" s="3">
        <v>45027</v>
      </c>
      <c r="B101">
        <f>SUMIF(Table1[Date],Sheet2!A101,Table1[Amount])</f>
        <v>44334</v>
      </c>
      <c r="C101" s="6">
        <f t="shared" si="1"/>
        <v>0.33291241995129434</v>
      </c>
    </row>
    <row r="102" spans="1:3" x14ac:dyDescent="0.3">
      <c r="A102" s="3">
        <v>45028</v>
      </c>
      <c r="B102">
        <f>SUMIF(Table1[Date],Sheet2!A102,Table1[Amount])</f>
        <v>33821</v>
      </c>
      <c r="C102" s="6">
        <f t="shared" si="1"/>
        <v>-0.23713177245454956</v>
      </c>
    </row>
    <row r="103" spans="1:3" x14ac:dyDescent="0.3">
      <c r="A103" s="3">
        <v>45029</v>
      </c>
      <c r="B103">
        <f>SUMIF(Table1[Date],Sheet2!A103,Table1[Amount])</f>
        <v>46372</v>
      </c>
      <c r="C103" s="6">
        <f t="shared" si="1"/>
        <v>0.37110079536382723</v>
      </c>
    </row>
    <row r="104" spans="1:3" x14ac:dyDescent="0.3">
      <c r="A104" s="3">
        <v>45030</v>
      </c>
      <c r="B104">
        <f>SUMIF(Table1[Date],Sheet2!A104,Table1[Amount])</f>
        <v>16100</v>
      </c>
      <c r="C104" s="6">
        <f t="shared" si="1"/>
        <v>-0.65280772880186322</v>
      </c>
    </row>
    <row r="105" spans="1:3" x14ac:dyDescent="0.3">
      <c r="A105" s="3">
        <v>45031</v>
      </c>
      <c r="B105">
        <f>SUMIF(Table1[Date],Sheet2!A105,Table1[Amount])</f>
        <v>20911</v>
      </c>
      <c r="C105" s="6">
        <f t="shared" si="1"/>
        <v>0.29881987577639751</v>
      </c>
    </row>
    <row r="106" spans="1:3" x14ac:dyDescent="0.3">
      <c r="A106" s="3">
        <v>45032</v>
      </c>
      <c r="B106">
        <f>SUMIF(Table1[Date],Sheet2!A106,Table1[Amount])</f>
        <v>20447</v>
      </c>
      <c r="C106" s="6">
        <f t="shared" si="1"/>
        <v>-2.2189278370235762E-2</v>
      </c>
    </row>
    <row r="107" spans="1:3" x14ac:dyDescent="0.3">
      <c r="A107" s="3">
        <v>45033</v>
      </c>
      <c r="B107">
        <f>SUMIF(Table1[Date],Sheet2!A107,Table1[Amount])</f>
        <v>57804</v>
      </c>
      <c r="C107" s="6">
        <f t="shared" si="1"/>
        <v>1.8270161881938671</v>
      </c>
    </row>
    <row r="108" spans="1:3" x14ac:dyDescent="0.3">
      <c r="A108" s="3">
        <v>45034</v>
      </c>
      <c r="B108">
        <f>SUMIF(Table1[Date],Sheet2!A108,Table1[Amount])</f>
        <v>16575</v>
      </c>
      <c r="C108" s="6">
        <f t="shared" si="1"/>
        <v>-0.71325513805272989</v>
      </c>
    </row>
    <row r="109" spans="1:3" x14ac:dyDescent="0.3">
      <c r="A109" s="3">
        <v>45035</v>
      </c>
      <c r="B109">
        <f>SUMIF(Table1[Date],Sheet2!A109,Table1[Amount])</f>
        <v>14776</v>
      </c>
      <c r="C109" s="6">
        <f t="shared" si="1"/>
        <v>-0.10853695324283559</v>
      </c>
    </row>
    <row r="110" spans="1:3" x14ac:dyDescent="0.3">
      <c r="A110" s="3">
        <v>45036</v>
      </c>
      <c r="B110">
        <f>SUMIF(Table1[Date],Sheet2!A110,Table1[Amount])</f>
        <v>33758</v>
      </c>
      <c r="C110" s="6">
        <f t="shared" si="1"/>
        <v>1.2846507850568489</v>
      </c>
    </row>
    <row r="111" spans="1:3" x14ac:dyDescent="0.3">
      <c r="A111" s="3">
        <v>45037</v>
      </c>
      <c r="B111">
        <f>SUMIF(Table1[Date],Sheet2!A111,Table1[Amount])</f>
        <v>33333</v>
      </c>
      <c r="C111" s="6">
        <f t="shared" si="1"/>
        <v>-1.2589608389122578E-2</v>
      </c>
    </row>
    <row r="112" spans="1:3" x14ac:dyDescent="0.3">
      <c r="A112" s="3">
        <v>45038</v>
      </c>
      <c r="B112">
        <f>SUMIF(Table1[Date],Sheet2!A112,Table1[Amount])</f>
        <v>7504</v>
      </c>
      <c r="C112" s="6">
        <f t="shared" si="1"/>
        <v>-0.77487774877748783</v>
      </c>
    </row>
    <row r="113" spans="1:3" x14ac:dyDescent="0.3">
      <c r="A113" s="3">
        <v>45039</v>
      </c>
      <c r="B113">
        <f>SUMIF(Table1[Date],Sheet2!A113,Table1[Amount])</f>
        <v>35197</v>
      </c>
      <c r="C113" s="6">
        <f t="shared" si="1"/>
        <v>3.6904317697228146</v>
      </c>
    </row>
    <row r="114" spans="1:3" x14ac:dyDescent="0.3">
      <c r="A114" s="3">
        <v>45040</v>
      </c>
      <c r="B114">
        <f>SUMIF(Table1[Date],Sheet2!A114,Table1[Amount])</f>
        <v>54497</v>
      </c>
      <c r="C114" s="6">
        <f t="shared" si="1"/>
        <v>0.54834218825468084</v>
      </c>
    </row>
    <row r="115" spans="1:3" x14ac:dyDescent="0.3">
      <c r="A115" s="3">
        <v>45041</v>
      </c>
      <c r="B115">
        <f>SUMIF(Table1[Date],Sheet2!A115,Table1[Amount])</f>
        <v>11466</v>
      </c>
      <c r="C115" s="6">
        <f t="shared" si="1"/>
        <v>-0.78960309741820656</v>
      </c>
    </row>
    <row r="116" spans="1:3" x14ac:dyDescent="0.3">
      <c r="A116" s="3">
        <v>45042</v>
      </c>
      <c r="B116">
        <f>SUMIF(Table1[Date],Sheet2!A116,Table1[Amount])</f>
        <v>48089</v>
      </c>
      <c r="C116" s="6">
        <f t="shared" si="1"/>
        <v>3.1940519797662654</v>
      </c>
    </row>
    <row r="117" spans="1:3" x14ac:dyDescent="0.3">
      <c r="A117" s="3">
        <v>45043</v>
      </c>
      <c r="B117">
        <f>SUMIF(Table1[Date],Sheet2!A117,Table1[Amount])</f>
        <v>21499</v>
      </c>
      <c r="C117" s="6">
        <f t="shared" si="1"/>
        <v>-0.55293310320447508</v>
      </c>
    </row>
    <row r="118" spans="1:3" x14ac:dyDescent="0.3">
      <c r="A118" s="3">
        <v>45044</v>
      </c>
      <c r="B118">
        <f>SUMIF(Table1[Date],Sheet2!A118,Table1[Amount])</f>
        <v>11827</v>
      </c>
      <c r="C118" s="6">
        <f t="shared" si="1"/>
        <v>-0.4498813898320852</v>
      </c>
    </row>
    <row r="119" spans="1:3" x14ac:dyDescent="0.3">
      <c r="A119" s="3">
        <v>45045</v>
      </c>
      <c r="B119">
        <f>SUMIF(Table1[Date],Sheet2!A119,Table1[Amount])</f>
        <v>41130</v>
      </c>
      <c r="C119" s="6">
        <f t="shared" si="1"/>
        <v>2.4776359178151686</v>
      </c>
    </row>
    <row r="120" spans="1:3" x14ac:dyDescent="0.3">
      <c r="A120" s="3">
        <v>45046</v>
      </c>
      <c r="B120">
        <f>SUMIF(Table1[Date],Sheet2!A120,Table1[Amount])</f>
        <v>10770</v>
      </c>
      <c r="C120" s="6">
        <f t="shared" si="1"/>
        <v>-0.73814733770970098</v>
      </c>
    </row>
    <row r="121" spans="1:3" x14ac:dyDescent="0.3">
      <c r="A121" s="3">
        <v>45047</v>
      </c>
      <c r="B121">
        <f>SUMIF(Table1[Date],Sheet2!A121,Table1[Amount])</f>
        <v>14434</v>
      </c>
      <c r="C121" s="6">
        <f t="shared" si="1"/>
        <v>0.34020427112349116</v>
      </c>
    </row>
    <row r="122" spans="1:3" x14ac:dyDescent="0.3">
      <c r="A122" s="3">
        <v>45048</v>
      </c>
      <c r="B122">
        <f>SUMIF(Table1[Date],Sheet2!A122,Table1[Amount])</f>
        <v>27243</v>
      </c>
      <c r="C122" s="6">
        <f t="shared" si="1"/>
        <v>0.88741859498406539</v>
      </c>
    </row>
    <row r="123" spans="1:3" x14ac:dyDescent="0.3">
      <c r="A123" s="3">
        <v>45049</v>
      </c>
      <c r="B123">
        <f>SUMIF(Table1[Date],Sheet2!A123,Table1[Amount])</f>
        <v>38060</v>
      </c>
      <c r="C123" s="6">
        <f t="shared" si="1"/>
        <v>0.3970561245090482</v>
      </c>
    </row>
    <row r="124" spans="1:3" x14ac:dyDescent="0.3">
      <c r="A124" s="3">
        <v>45050</v>
      </c>
      <c r="B124">
        <f>SUMIF(Table1[Date],Sheet2!A124,Table1[Amount])</f>
        <v>61053</v>
      </c>
      <c r="C124" s="6">
        <f t="shared" si="1"/>
        <v>0.6041250656857593</v>
      </c>
    </row>
    <row r="125" spans="1:3" x14ac:dyDescent="0.3">
      <c r="A125" s="3">
        <v>45051</v>
      </c>
      <c r="B125">
        <f>SUMIF(Table1[Date],Sheet2!A125,Table1[Amount])</f>
        <v>14614</v>
      </c>
      <c r="C125" s="6">
        <f t="shared" si="1"/>
        <v>-0.76063420306946428</v>
      </c>
    </row>
    <row r="126" spans="1:3" x14ac:dyDescent="0.3">
      <c r="A126" s="3">
        <v>45052</v>
      </c>
      <c r="B126">
        <f>SUMIF(Table1[Date],Sheet2!A126,Table1[Amount])</f>
        <v>13218</v>
      </c>
      <c r="C126" s="6">
        <f t="shared" si="1"/>
        <v>-9.5524839195292185E-2</v>
      </c>
    </row>
    <row r="127" spans="1:3" x14ac:dyDescent="0.3">
      <c r="A127" s="3">
        <v>45053</v>
      </c>
      <c r="B127">
        <f>SUMIF(Table1[Date],Sheet2!A127,Table1[Amount])</f>
        <v>13641</v>
      </c>
      <c r="C127" s="6">
        <f t="shared" si="1"/>
        <v>3.2001815705855655E-2</v>
      </c>
    </row>
    <row r="128" spans="1:3" x14ac:dyDescent="0.3">
      <c r="A128" s="3">
        <v>45054</v>
      </c>
      <c r="B128">
        <f>SUMIF(Table1[Date],Sheet2!A128,Table1[Amount])</f>
        <v>33177</v>
      </c>
      <c r="C128" s="6">
        <f t="shared" si="1"/>
        <v>1.4321530679568946</v>
      </c>
    </row>
    <row r="129" spans="1:3" x14ac:dyDescent="0.3">
      <c r="A129" s="3">
        <v>45055</v>
      </c>
      <c r="B129">
        <f>SUMIF(Table1[Date],Sheet2!A129,Table1[Amount])</f>
        <v>24593</v>
      </c>
      <c r="C129" s="6">
        <f t="shared" si="1"/>
        <v>-0.25873345992705787</v>
      </c>
    </row>
    <row r="130" spans="1:3" x14ac:dyDescent="0.3">
      <c r="A130" s="3">
        <v>45056</v>
      </c>
      <c r="B130">
        <f>SUMIF(Table1[Date],Sheet2!A130,Table1[Amount])</f>
        <v>31305</v>
      </c>
      <c r="C130" s="6">
        <f t="shared" si="1"/>
        <v>0.27292318952547473</v>
      </c>
    </row>
    <row r="131" spans="1:3" x14ac:dyDescent="0.3">
      <c r="A131" s="3">
        <v>45057</v>
      </c>
      <c r="B131">
        <f>SUMIF(Table1[Date],Sheet2!A131,Table1[Amount])</f>
        <v>33049</v>
      </c>
      <c r="C131" s="6">
        <f t="shared" ref="C131:C194" si="2">(B131-B130)/B130</f>
        <v>5.5709950487142626E-2</v>
      </c>
    </row>
    <row r="132" spans="1:3" x14ac:dyDescent="0.3">
      <c r="A132" s="3">
        <v>45058</v>
      </c>
      <c r="B132">
        <f>SUMIF(Table1[Date],Sheet2!A132,Table1[Amount])</f>
        <v>18513</v>
      </c>
      <c r="C132" s="6">
        <f t="shared" si="2"/>
        <v>-0.43983176495506671</v>
      </c>
    </row>
    <row r="133" spans="1:3" x14ac:dyDescent="0.3">
      <c r="A133" s="3">
        <v>45059</v>
      </c>
      <c r="B133">
        <f>SUMIF(Table1[Date],Sheet2!A133,Table1[Amount])</f>
        <v>30913</v>
      </c>
      <c r="C133" s="6">
        <f t="shared" si="2"/>
        <v>0.6697996002808837</v>
      </c>
    </row>
    <row r="134" spans="1:3" x14ac:dyDescent="0.3">
      <c r="A134" s="3">
        <v>45060</v>
      </c>
      <c r="B134">
        <f>SUMIF(Table1[Date],Sheet2!A134,Table1[Amount])</f>
        <v>14010</v>
      </c>
      <c r="C134" s="6">
        <f t="shared" si="2"/>
        <v>-0.54679261152266034</v>
      </c>
    </row>
    <row r="135" spans="1:3" x14ac:dyDescent="0.3">
      <c r="A135" s="3">
        <v>45061</v>
      </c>
      <c r="B135">
        <f>SUMIF(Table1[Date],Sheet2!A135,Table1[Amount])</f>
        <v>18260</v>
      </c>
      <c r="C135" s="6">
        <f t="shared" si="2"/>
        <v>0.30335474660956457</v>
      </c>
    </row>
    <row r="136" spans="1:3" x14ac:dyDescent="0.3">
      <c r="A136" s="3">
        <v>45062</v>
      </c>
      <c r="B136">
        <f>SUMIF(Table1[Date],Sheet2!A136,Table1[Amount])</f>
        <v>26903</v>
      </c>
      <c r="C136" s="6">
        <f t="shared" si="2"/>
        <v>0.47332968236582695</v>
      </c>
    </row>
    <row r="137" spans="1:3" x14ac:dyDescent="0.3">
      <c r="A137" s="3">
        <v>45063</v>
      </c>
      <c r="B137">
        <f>SUMIF(Table1[Date],Sheet2!A137,Table1[Amount])</f>
        <v>49906</v>
      </c>
      <c r="C137" s="6">
        <f t="shared" si="2"/>
        <v>0.85503475448834698</v>
      </c>
    </row>
    <row r="138" spans="1:3" x14ac:dyDescent="0.3">
      <c r="A138" s="3">
        <v>45064</v>
      </c>
      <c r="B138">
        <f>SUMIF(Table1[Date],Sheet2!A138,Table1[Amount])</f>
        <v>25205</v>
      </c>
      <c r="C138" s="6">
        <f t="shared" si="2"/>
        <v>-0.4949505069530718</v>
      </c>
    </row>
    <row r="139" spans="1:3" x14ac:dyDescent="0.3">
      <c r="A139" s="3">
        <v>45065</v>
      </c>
      <c r="B139">
        <f>SUMIF(Table1[Date],Sheet2!A139,Table1[Amount])</f>
        <v>2478</v>
      </c>
      <c r="C139" s="6">
        <f t="shared" si="2"/>
        <v>-0.90168617337829793</v>
      </c>
    </row>
    <row r="140" spans="1:3" x14ac:dyDescent="0.3">
      <c r="A140" s="3">
        <v>45066</v>
      </c>
      <c r="B140">
        <f>SUMIF(Table1[Date],Sheet2!A140,Table1[Amount])</f>
        <v>31848</v>
      </c>
      <c r="C140" s="6">
        <f t="shared" si="2"/>
        <v>11.852300242130751</v>
      </c>
    </row>
    <row r="141" spans="1:3" x14ac:dyDescent="0.3">
      <c r="A141" s="3">
        <v>45067</v>
      </c>
      <c r="B141">
        <f>SUMIF(Table1[Date],Sheet2!A141,Table1[Amount])</f>
        <v>3624</v>
      </c>
      <c r="C141" s="6">
        <f t="shared" si="2"/>
        <v>-0.88620949510173319</v>
      </c>
    </row>
    <row r="142" spans="1:3" x14ac:dyDescent="0.3">
      <c r="A142" s="3">
        <v>45068</v>
      </c>
      <c r="B142">
        <f>SUMIF(Table1[Date],Sheet2!A142,Table1[Amount])</f>
        <v>7225</v>
      </c>
      <c r="C142" s="6">
        <f t="shared" si="2"/>
        <v>0.99365342163355408</v>
      </c>
    </row>
    <row r="143" spans="1:3" x14ac:dyDescent="0.3">
      <c r="A143" s="3">
        <v>45069</v>
      </c>
      <c r="B143">
        <f>SUMIF(Table1[Date],Sheet2!A143,Table1[Amount])</f>
        <v>47133</v>
      </c>
      <c r="C143" s="6">
        <f t="shared" si="2"/>
        <v>5.5235986159169554</v>
      </c>
    </row>
    <row r="144" spans="1:3" x14ac:dyDescent="0.3">
      <c r="A144" s="3">
        <v>45070</v>
      </c>
      <c r="B144">
        <f>SUMIF(Table1[Date],Sheet2!A144,Table1[Amount])</f>
        <v>25125</v>
      </c>
      <c r="C144" s="6">
        <f t="shared" si="2"/>
        <v>-0.46693399528992424</v>
      </c>
    </row>
    <row r="145" spans="1:3" x14ac:dyDescent="0.3">
      <c r="A145" s="3">
        <v>45071</v>
      </c>
      <c r="B145">
        <f>SUMIF(Table1[Date],Sheet2!A145,Table1[Amount])</f>
        <v>1582</v>
      </c>
      <c r="C145" s="6">
        <f t="shared" si="2"/>
        <v>-0.93703482587064679</v>
      </c>
    </row>
    <row r="146" spans="1:3" x14ac:dyDescent="0.3">
      <c r="A146" s="3">
        <v>45072</v>
      </c>
      <c r="B146">
        <f>SUMIF(Table1[Date],Sheet2!A146,Table1[Amount])</f>
        <v>28056</v>
      </c>
      <c r="C146" s="6">
        <f t="shared" si="2"/>
        <v>16.734513274336283</v>
      </c>
    </row>
    <row r="147" spans="1:3" x14ac:dyDescent="0.3">
      <c r="A147" s="3">
        <v>45073</v>
      </c>
      <c r="B147">
        <f>SUMIF(Table1[Date],Sheet2!A147,Table1[Amount])</f>
        <v>27080</v>
      </c>
      <c r="C147" s="6">
        <f t="shared" si="2"/>
        <v>-3.4787567721699456E-2</v>
      </c>
    </row>
    <row r="148" spans="1:3" x14ac:dyDescent="0.3">
      <c r="A148" s="3">
        <v>45074</v>
      </c>
      <c r="B148">
        <f>SUMIF(Table1[Date],Sheet2!A148,Table1[Amount])</f>
        <v>43499</v>
      </c>
      <c r="C148" s="6">
        <f t="shared" si="2"/>
        <v>0.60631462333825703</v>
      </c>
    </row>
    <row r="149" spans="1:3" x14ac:dyDescent="0.3">
      <c r="A149" s="3">
        <v>45075</v>
      </c>
      <c r="B149">
        <f>SUMIF(Table1[Date],Sheet2!A149,Table1[Amount])</f>
        <v>26327</v>
      </c>
      <c r="C149" s="6">
        <f t="shared" si="2"/>
        <v>-0.39476769580909904</v>
      </c>
    </row>
    <row r="150" spans="1:3" x14ac:dyDescent="0.3">
      <c r="A150" s="3">
        <v>45076</v>
      </c>
      <c r="B150">
        <f>SUMIF(Table1[Date],Sheet2!A150,Table1[Amount])</f>
        <v>12514</v>
      </c>
      <c r="C150" s="6">
        <f t="shared" si="2"/>
        <v>-0.52467049037110192</v>
      </c>
    </row>
    <row r="151" spans="1:3" x14ac:dyDescent="0.3">
      <c r="A151" s="3">
        <v>45077</v>
      </c>
      <c r="B151">
        <f>SUMIF(Table1[Date],Sheet2!A151,Table1[Amount])</f>
        <v>48042</v>
      </c>
      <c r="C151" s="6">
        <f t="shared" si="2"/>
        <v>2.8390602525171809</v>
      </c>
    </row>
    <row r="152" spans="1:3" x14ac:dyDescent="0.3">
      <c r="A152" s="3">
        <v>45079</v>
      </c>
      <c r="B152">
        <f>SUMIF(Table1[Date],Sheet2!A152,Table1[Amount])</f>
        <v>25060</v>
      </c>
      <c r="C152" s="6">
        <f t="shared" si="2"/>
        <v>-0.4783730902127305</v>
      </c>
    </row>
    <row r="153" spans="1:3" x14ac:dyDescent="0.3">
      <c r="A153" s="3">
        <v>45080</v>
      </c>
      <c r="B153">
        <f>SUMIF(Table1[Date],Sheet2!A153,Table1[Amount])</f>
        <v>14190</v>
      </c>
      <c r="C153" s="6">
        <f t="shared" si="2"/>
        <v>-0.4337589784517159</v>
      </c>
    </row>
    <row r="154" spans="1:3" x14ac:dyDescent="0.3">
      <c r="A154" s="3">
        <v>45081</v>
      </c>
      <c r="B154">
        <f>SUMIF(Table1[Date],Sheet2!A154,Table1[Amount])</f>
        <v>58786</v>
      </c>
      <c r="C154" s="6">
        <f t="shared" si="2"/>
        <v>3.1427766032417197</v>
      </c>
    </row>
    <row r="155" spans="1:3" x14ac:dyDescent="0.3">
      <c r="A155" s="3">
        <v>45082</v>
      </c>
      <c r="B155">
        <f>SUMIF(Table1[Date],Sheet2!A155,Table1[Amount])</f>
        <v>15695</v>
      </c>
      <c r="C155" s="6">
        <f t="shared" si="2"/>
        <v>-0.73301466335522059</v>
      </c>
    </row>
    <row r="156" spans="1:3" x14ac:dyDescent="0.3">
      <c r="A156" s="3">
        <v>45083</v>
      </c>
      <c r="B156">
        <f>SUMIF(Table1[Date],Sheet2!A156,Table1[Amount])</f>
        <v>47562</v>
      </c>
      <c r="C156" s="6">
        <f t="shared" si="2"/>
        <v>2.0303918445364766</v>
      </c>
    </row>
    <row r="157" spans="1:3" x14ac:dyDescent="0.3">
      <c r="A157" s="3">
        <v>45084</v>
      </c>
      <c r="B157">
        <f>SUMIF(Table1[Date],Sheet2!A157,Table1[Amount])</f>
        <v>14221</v>
      </c>
      <c r="C157" s="6">
        <f t="shared" si="2"/>
        <v>-0.70100079895715062</v>
      </c>
    </row>
    <row r="158" spans="1:3" x14ac:dyDescent="0.3">
      <c r="A158" s="3">
        <v>45085</v>
      </c>
      <c r="B158">
        <f>SUMIF(Table1[Date],Sheet2!A158,Table1[Amount])</f>
        <v>27506</v>
      </c>
      <c r="C158" s="6">
        <f t="shared" si="2"/>
        <v>0.93418184375219748</v>
      </c>
    </row>
    <row r="159" spans="1:3" x14ac:dyDescent="0.3">
      <c r="A159" s="3">
        <v>45086</v>
      </c>
      <c r="B159">
        <f>SUMIF(Table1[Date],Sheet2!A159,Table1[Amount])</f>
        <v>38935</v>
      </c>
      <c r="C159" s="6">
        <f t="shared" si="2"/>
        <v>0.41550934341598195</v>
      </c>
    </row>
    <row r="160" spans="1:3" x14ac:dyDescent="0.3">
      <c r="A160" s="3">
        <v>45087</v>
      </c>
      <c r="B160">
        <f>SUMIF(Table1[Date],Sheet2!A160,Table1[Amount])</f>
        <v>22466</v>
      </c>
      <c r="C160" s="6">
        <f t="shared" si="2"/>
        <v>-0.42298702966482599</v>
      </c>
    </row>
    <row r="161" spans="1:3" x14ac:dyDescent="0.3">
      <c r="A161" s="3">
        <v>45088</v>
      </c>
      <c r="B161">
        <f>SUMIF(Table1[Date],Sheet2!A161,Table1[Amount])</f>
        <v>5701</v>
      </c>
      <c r="C161" s="6">
        <f t="shared" si="2"/>
        <v>-0.7462387607940888</v>
      </c>
    </row>
    <row r="162" spans="1:3" x14ac:dyDescent="0.3">
      <c r="A162" s="3">
        <v>45089</v>
      </c>
      <c r="B162">
        <f>SUMIF(Table1[Date],Sheet2!A162,Table1[Amount])</f>
        <v>30991</v>
      </c>
      <c r="C162" s="6">
        <f t="shared" si="2"/>
        <v>4.4360638484476409</v>
      </c>
    </row>
    <row r="163" spans="1:3" x14ac:dyDescent="0.3">
      <c r="A163" s="3">
        <v>45090</v>
      </c>
      <c r="B163">
        <f>SUMIF(Table1[Date],Sheet2!A163,Table1[Amount])</f>
        <v>10151</v>
      </c>
      <c r="C163" s="6">
        <f t="shared" si="2"/>
        <v>-0.67245329289148459</v>
      </c>
    </row>
    <row r="164" spans="1:3" x14ac:dyDescent="0.3">
      <c r="A164" s="3">
        <v>45091</v>
      </c>
      <c r="B164">
        <f>SUMIF(Table1[Date],Sheet2!A164,Table1[Amount])</f>
        <v>5704</v>
      </c>
      <c r="C164" s="6">
        <f t="shared" si="2"/>
        <v>-0.43808491774209435</v>
      </c>
    </row>
    <row r="165" spans="1:3" x14ac:dyDescent="0.3">
      <c r="A165" s="3">
        <v>45092</v>
      </c>
      <c r="B165">
        <f>SUMIF(Table1[Date],Sheet2!A165,Table1[Amount])</f>
        <v>26486</v>
      </c>
      <c r="C165" s="6">
        <f t="shared" si="2"/>
        <v>3.6434081346423564</v>
      </c>
    </row>
    <row r="166" spans="1:3" x14ac:dyDescent="0.3">
      <c r="A166" s="3">
        <v>45093</v>
      </c>
      <c r="B166">
        <f>SUMIF(Table1[Date],Sheet2!A166,Table1[Amount])</f>
        <v>35738</v>
      </c>
      <c r="C166" s="6">
        <f t="shared" si="2"/>
        <v>0.34931662010118553</v>
      </c>
    </row>
    <row r="167" spans="1:3" x14ac:dyDescent="0.3">
      <c r="A167" s="3">
        <v>45094</v>
      </c>
      <c r="B167">
        <f>SUMIF(Table1[Date],Sheet2!A167,Table1[Amount])</f>
        <v>47213</v>
      </c>
      <c r="C167" s="6">
        <f t="shared" si="2"/>
        <v>0.32108679836588505</v>
      </c>
    </row>
    <row r="168" spans="1:3" x14ac:dyDescent="0.3">
      <c r="A168" s="3">
        <v>45095</v>
      </c>
      <c r="B168">
        <f>SUMIF(Table1[Date],Sheet2!A168,Table1[Amount])</f>
        <v>25881</v>
      </c>
      <c r="C168" s="6">
        <f t="shared" si="2"/>
        <v>-0.45182470929616841</v>
      </c>
    </row>
    <row r="169" spans="1:3" x14ac:dyDescent="0.3">
      <c r="A169" s="3">
        <v>45096</v>
      </c>
      <c r="B169">
        <f>SUMIF(Table1[Date],Sheet2!A169,Table1[Amount])</f>
        <v>46264</v>
      </c>
      <c r="C169" s="6">
        <f t="shared" si="2"/>
        <v>0.78756616823152115</v>
      </c>
    </row>
    <row r="170" spans="1:3" x14ac:dyDescent="0.3">
      <c r="A170" s="3">
        <v>45097</v>
      </c>
      <c r="B170">
        <f>SUMIF(Table1[Date],Sheet2!A170,Table1[Amount])</f>
        <v>16087</v>
      </c>
      <c r="C170" s="6">
        <f t="shared" si="2"/>
        <v>-0.65227822929275459</v>
      </c>
    </row>
    <row r="171" spans="1:3" x14ac:dyDescent="0.3">
      <c r="A171" s="3">
        <v>45098</v>
      </c>
      <c r="B171">
        <f>SUMIF(Table1[Date],Sheet2!A171,Table1[Amount])</f>
        <v>13775</v>
      </c>
      <c r="C171" s="6">
        <f t="shared" si="2"/>
        <v>-0.14371853049045813</v>
      </c>
    </row>
    <row r="172" spans="1:3" x14ac:dyDescent="0.3">
      <c r="A172" s="3">
        <v>45099</v>
      </c>
      <c r="B172">
        <f>SUMIF(Table1[Date],Sheet2!A172,Table1[Amount])</f>
        <v>11313</v>
      </c>
      <c r="C172" s="6">
        <f t="shared" si="2"/>
        <v>-0.17872958257713248</v>
      </c>
    </row>
    <row r="173" spans="1:3" x14ac:dyDescent="0.3">
      <c r="A173" s="3">
        <v>45100</v>
      </c>
      <c r="B173">
        <f>SUMIF(Table1[Date],Sheet2!A173,Table1[Amount])</f>
        <v>38029</v>
      </c>
      <c r="C173" s="6">
        <f t="shared" si="2"/>
        <v>2.3615309820560415</v>
      </c>
    </row>
    <row r="174" spans="1:3" x14ac:dyDescent="0.3">
      <c r="A174" s="3">
        <v>45101</v>
      </c>
      <c r="B174">
        <f>SUMIF(Table1[Date],Sheet2!A174,Table1[Amount])</f>
        <v>12287</v>
      </c>
      <c r="C174" s="6">
        <f t="shared" si="2"/>
        <v>-0.67690446764311452</v>
      </c>
    </row>
    <row r="175" spans="1:3" x14ac:dyDescent="0.3">
      <c r="A175" s="3">
        <v>45102</v>
      </c>
      <c r="B175">
        <f>SUMIF(Table1[Date],Sheet2!A175,Table1[Amount])</f>
        <v>34947</v>
      </c>
      <c r="C175" s="6">
        <f t="shared" si="2"/>
        <v>1.8442256042972247</v>
      </c>
    </row>
    <row r="176" spans="1:3" x14ac:dyDescent="0.3">
      <c r="A176" s="3">
        <v>45104</v>
      </c>
      <c r="B176">
        <f>SUMIF(Table1[Date],Sheet2!A176,Table1[Amount])</f>
        <v>9240</v>
      </c>
      <c r="C176" s="6">
        <f t="shared" si="2"/>
        <v>-0.73559962228517473</v>
      </c>
    </row>
    <row r="177" spans="1:3" x14ac:dyDescent="0.3">
      <c r="A177" s="3">
        <v>45105</v>
      </c>
      <c r="B177">
        <f>SUMIF(Table1[Date],Sheet2!A177,Table1[Amount])</f>
        <v>25299</v>
      </c>
      <c r="C177" s="6">
        <f t="shared" si="2"/>
        <v>1.737987012987013</v>
      </c>
    </row>
    <row r="178" spans="1:3" x14ac:dyDescent="0.3">
      <c r="A178" s="3">
        <v>45106</v>
      </c>
      <c r="B178">
        <f>SUMIF(Table1[Date],Sheet2!A178,Table1[Amount])</f>
        <v>51200</v>
      </c>
      <c r="C178" s="6">
        <f t="shared" si="2"/>
        <v>1.0237954069330804</v>
      </c>
    </row>
    <row r="179" spans="1:3" x14ac:dyDescent="0.3">
      <c r="A179" s="3">
        <v>45107</v>
      </c>
      <c r="B179">
        <f>SUMIF(Table1[Date],Sheet2!A179,Table1[Amount])</f>
        <v>26886</v>
      </c>
      <c r="C179" s="6">
        <f t="shared" si="2"/>
        <v>-0.47488281249999997</v>
      </c>
    </row>
    <row r="180" spans="1:3" x14ac:dyDescent="0.3">
      <c r="A180" s="3">
        <v>45108</v>
      </c>
      <c r="B180">
        <f>SUMIF(Table1[Date],Sheet2!A180,Table1[Amount])</f>
        <v>27635</v>
      </c>
      <c r="C180" s="6">
        <f t="shared" si="2"/>
        <v>2.785836494830023E-2</v>
      </c>
    </row>
    <row r="181" spans="1:3" x14ac:dyDescent="0.3">
      <c r="A181" s="3">
        <v>45109</v>
      </c>
      <c r="B181">
        <f>SUMIF(Table1[Date],Sheet2!A181,Table1[Amount])</f>
        <v>18806</v>
      </c>
      <c r="C181" s="6">
        <f t="shared" si="2"/>
        <v>-0.31948615885652254</v>
      </c>
    </row>
    <row r="182" spans="1:3" x14ac:dyDescent="0.3">
      <c r="A182" s="3">
        <v>45110</v>
      </c>
      <c r="B182">
        <f>SUMIF(Table1[Date],Sheet2!A182,Table1[Amount])</f>
        <v>7014</v>
      </c>
      <c r="C182" s="6">
        <f t="shared" si="2"/>
        <v>-0.62703392534297564</v>
      </c>
    </row>
    <row r="183" spans="1:3" x14ac:dyDescent="0.3">
      <c r="A183" s="3">
        <v>45111</v>
      </c>
      <c r="B183">
        <f>SUMIF(Table1[Date],Sheet2!A183,Table1[Amount])</f>
        <v>82987</v>
      </c>
      <c r="C183" s="6">
        <f t="shared" si="2"/>
        <v>10.831622469347021</v>
      </c>
    </row>
    <row r="184" spans="1:3" x14ac:dyDescent="0.3">
      <c r="A184" s="3">
        <v>45112</v>
      </c>
      <c r="B184">
        <f>SUMIF(Table1[Date],Sheet2!A184,Table1[Amount])</f>
        <v>45517</v>
      </c>
      <c r="C184" s="6">
        <f t="shared" si="2"/>
        <v>-0.45151650258474219</v>
      </c>
    </row>
    <row r="185" spans="1:3" x14ac:dyDescent="0.3">
      <c r="A185" s="3">
        <v>45113</v>
      </c>
      <c r="B185">
        <f>SUMIF(Table1[Date],Sheet2!A185,Table1[Amount])</f>
        <v>24209</v>
      </c>
      <c r="C185" s="6">
        <f t="shared" si="2"/>
        <v>-0.46813278555265064</v>
      </c>
    </row>
    <row r="186" spans="1:3" x14ac:dyDescent="0.3">
      <c r="A186" s="3">
        <v>45115</v>
      </c>
      <c r="B186">
        <f>SUMIF(Table1[Date],Sheet2!A186,Table1[Amount])</f>
        <v>11210</v>
      </c>
      <c r="C186" s="6">
        <f t="shared" si="2"/>
        <v>-0.53694906852823332</v>
      </c>
    </row>
    <row r="187" spans="1:3" x14ac:dyDescent="0.3">
      <c r="A187" s="3">
        <v>45116</v>
      </c>
      <c r="B187">
        <f>SUMIF(Table1[Date],Sheet2!A187,Table1[Amount])</f>
        <v>15054</v>
      </c>
      <c r="C187" s="6">
        <f t="shared" si="2"/>
        <v>0.34290811775200714</v>
      </c>
    </row>
    <row r="188" spans="1:3" x14ac:dyDescent="0.3">
      <c r="A188" s="3">
        <v>45117</v>
      </c>
      <c r="B188">
        <f>SUMIF(Table1[Date],Sheet2!A188,Table1[Amount])</f>
        <v>18320</v>
      </c>
      <c r="C188" s="6">
        <f t="shared" si="2"/>
        <v>0.2169523050352066</v>
      </c>
    </row>
    <row r="189" spans="1:3" x14ac:dyDescent="0.3">
      <c r="A189" s="3">
        <v>45118</v>
      </c>
      <c r="B189">
        <f>SUMIF(Table1[Date],Sheet2!A189,Table1[Amount])</f>
        <v>42938</v>
      </c>
      <c r="C189" s="6">
        <f t="shared" si="2"/>
        <v>1.3437772925764193</v>
      </c>
    </row>
    <row r="190" spans="1:3" x14ac:dyDescent="0.3">
      <c r="A190" s="3">
        <v>45119</v>
      </c>
      <c r="B190">
        <f>SUMIF(Table1[Date],Sheet2!A190,Table1[Amount])</f>
        <v>13858</v>
      </c>
      <c r="C190" s="6">
        <f t="shared" si="2"/>
        <v>-0.67725557780986534</v>
      </c>
    </row>
    <row r="191" spans="1:3" x14ac:dyDescent="0.3">
      <c r="A191" s="3">
        <v>45120</v>
      </c>
      <c r="B191">
        <f>SUMIF(Table1[Date],Sheet2!A191,Table1[Amount])</f>
        <v>28078</v>
      </c>
      <c r="C191" s="6">
        <f t="shared" si="2"/>
        <v>1.0261220955404819</v>
      </c>
    </row>
    <row r="192" spans="1:3" x14ac:dyDescent="0.3">
      <c r="A192" s="3">
        <v>45121</v>
      </c>
      <c r="B192">
        <f>SUMIF(Table1[Date],Sheet2!A192,Table1[Amount])</f>
        <v>53895</v>
      </c>
      <c r="C192" s="6">
        <f t="shared" si="2"/>
        <v>0.91947432153287267</v>
      </c>
    </row>
    <row r="193" spans="1:3" x14ac:dyDescent="0.3">
      <c r="A193" s="3">
        <v>45122</v>
      </c>
      <c r="B193">
        <f>SUMIF(Table1[Date],Sheet2!A193,Table1[Amount])</f>
        <v>33706</v>
      </c>
      <c r="C193" s="6">
        <f t="shared" si="2"/>
        <v>-0.37459875684200761</v>
      </c>
    </row>
    <row r="194" spans="1:3" x14ac:dyDescent="0.3">
      <c r="A194" s="3">
        <v>45123</v>
      </c>
      <c r="B194">
        <f>SUMIF(Table1[Date],Sheet2!A194,Table1[Amount])</f>
        <v>43525</v>
      </c>
      <c r="C194" s="6">
        <f t="shared" si="2"/>
        <v>0.29131311932593601</v>
      </c>
    </row>
    <row r="195" spans="1:3" x14ac:dyDescent="0.3">
      <c r="A195" s="3">
        <v>45124</v>
      </c>
      <c r="B195">
        <f>SUMIF(Table1[Date],Sheet2!A195,Table1[Amount])</f>
        <v>46907</v>
      </c>
      <c r="C195" s="6">
        <f t="shared" ref="C195:C258" si="3">(B195-B194)/B194</f>
        <v>7.7702469844916716E-2</v>
      </c>
    </row>
    <row r="196" spans="1:3" x14ac:dyDescent="0.3">
      <c r="A196" s="3">
        <v>45125</v>
      </c>
      <c r="B196">
        <f>SUMIF(Table1[Date],Sheet2!A196,Table1[Amount])</f>
        <v>36956</v>
      </c>
      <c r="C196" s="6">
        <f t="shared" si="3"/>
        <v>-0.21214317692455284</v>
      </c>
    </row>
    <row r="197" spans="1:3" x14ac:dyDescent="0.3">
      <c r="A197" s="3">
        <v>45126</v>
      </c>
      <c r="B197">
        <f>SUMIF(Table1[Date],Sheet2!A197,Table1[Amount])</f>
        <v>49489</v>
      </c>
      <c r="C197" s="6">
        <f t="shared" si="3"/>
        <v>0.33913302305444309</v>
      </c>
    </row>
    <row r="198" spans="1:3" x14ac:dyDescent="0.3">
      <c r="A198" s="3">
        <v>45127</v>
      </c>
      <c r="B198">
        <f>SUMIF(Table1[Date],Sheet2!A198,Table1[Amount])</f>
        <v>16937</v>
      </c>
      <c r="C198" s="6">
        <f t="shared" si="3"/>
        <v>-0.65776233102305559</v>
      </c>
    </row>
    <row r="199" spans="1:3" x14ac:dyDescent="0.3">
      <c r="A199" s="3">
        <v>45128</v>
      </c>
      <c r="B199">
        <f>SUMIF(Table1[Date],Sheet2!A199,Table1[Amount])</f>
        <v>71837</v>
      </c>
      <c r="C199" s="6">
        <f t="shared" si="3"/>
        <v>3.2414241010804745</v>
      </c>
    </row>
    <row r="200" spans="1:3" x14ac:dyDescent="0.3">
      <c r="A200" s="3">
        <v>45129</v>
      </c>
      <c r="B200">
        <f>SUMIF(Table1[Date],Sheet2!A200,Table1[Amount])</f>
        <v>34088</v>
      </c>
      <c r="C200" s="6">
        <f t="shared" si="3"/>
        <v>-0.52548129793838827</v>
      </c>
    </row>
    <row r="201" spans="1:3" x14ac:dyDescent="0.3">
      <c r="A201" s="3">
        <v>45130</v>
      </c>
      <c r="B201">
        <f>SUMIF(Table1[Date],Sheet2!A201,Table1[Amount])</f>
        <v>18739</v>
      </c>
      <c r="C201" s="6">
        <f t="shared" si="3"/>
        <v>-0.45027575686458576</v>
      </c>
    </row>
    <row r="202" spans="1:3" x14ac:dyDescent="0.3">
      <c r="A202" s="3">
        <v>45131</v>
      </c>
      <c r="B202">
        <f>SUMIF(Table1[Date],Sheet2!A202,Table1[Amount])</f>
        <v>15573</v>
      </c>
      <c r="C202" s="6">
        <f t="shared" si="3"/>
        <v>-0.16895245210523507</v>
      </c>
    </row>
    <row r="203" spans="1:3" x14ac:dyDescent="0.3">
      <c r="A203" s="3">
        <v>45132</v>
      </c>
      <c r="B203">
        <f>SUMIF(Table1[Date],Sheet2!A203,Table1[Amount])</f>
        <v>15085</v>
      </c>
      <c r="C203" s="6">
        <f t="shared" si="3"/>
        <v>-3.1336287163680726E-2</v>
      </c>
    </row>
    <row r="204" spans="1:3" x14ac:dyDescent="0.3">
      <c r="A204" s="3">
        <v>45133</v>
      </c>
      <c r="B204">
        <f>SUMIF(Table1[Date],Sheet2!A204,Table1[Amount])</f>
        <v>51142</v>
      </c>
      <c r="C204" s="6">
        <f t="shared" si="3"/>
        <v>2.3902552204176333</v>
      </c>
    </row>
    <row r="205" spans="1:3" x14ac:dyDescent="0.3">
      <c r="A205" s="3">
        <v>45134</v>
      </c>
      <c r="B205">
        <f>SUMIF(Table1[Date],Sheet2!A205,Table1[Amount])</f>
        <v>27285</v>
      </c>
      <c r="C205" s="6">
        <f t="shared" si="3"/>
        <v>-0.4664854718235501</v>
      </c>
    </row>
    <row r="206" spans="1:3" x14ac:dyDescent="0.3">
      <c r="A206" s="3">
        <v>45135</v>
      </c>
      <c r="B206">
        <f>SUMIF(Table1[Date],Sheet2!A206,Table1[Amount])</f>
        <v>30096</v>
      </c>
      <c r="C206" s="6">
        <f t="shared" si="3"/>
        <v>0.10302363936228696</v>
      </c>
    </row>
    <row r="207" spans="1:3" x14ac:dyDescent="0.3">
      <c r="A207" s="3">
        <v>45136</v>
      </c>
      <c r="B207">
        <f>SUMIF(Table1[Date],Sheet2!A207,Table1[Amount])</f>
        <v>15937</v>
      </c>
      <c r="C207" s="6">
        <f t="shared" si="3"/>
        <v>-0.47046119085592769</v>
      </c>
    </row>
    <row r="208" spans="1:3" x14ac:dyDescent="0.3">
      <c r="A208" s="3">
        <v>45137</v>
      </c>
      <c r="B208">
        <f>SUMIF(Table1[Date],Sheet2!A208,Table1[Amount])</f>
        <v>32285</v>
      </c>
      <c r="C208" s="6">
        <f t="shared" si="3"/>
        <v>1.025789044362176</v>
      </c>
    </row>
    <row r="209" spans="1:3" x14ac:dyDescent="0.3">
      <c r="A209" s="3">
        <v>45138</v>
      </c>
      <c r="B209">
        <f>SUMIF(Table1[Date],Sheet2!A209,Table1[Amount])</f>
        <v>44359</v>
      </c>
      <c r="C209" s="6">
        <f t="shared" si="3"/>
        <v>0.37398172525940837</v>
      </c>
    </row>
    <row r="210" spans="1:3" x14ac:dyDescent="0.3">
      <c r="A210" s="3">
        <v>45139</v>
      </c>
      <c r="B210">
        <f>SUMIF(Table1[Date],Sheet2!A210,Table1[Amount])</f>
        <v>21029</v>
      </c>
      <c r="C210" s="6">
        <f t="shared" si="3"/>
        <v>-0.52593611217565772</v>
      </c>
    </row>
    <row r="211" spans="1:3" x14ac:dyDescent="0.3">
      <c r="A211" s="3">
        <v>45140</v>
      </c>
      <c r="B211">
        <f>SUMIF(Table1[Date],Sheet2!A211,Table1[Amount])</f>
        <v>32891</v>
      </c>
      <c r="C211" s="6">
        <f t="shared" si="3"/>
        <v>0.56407817775452951</v>
      </c>
    </row>
    <row r="212" spans="1:3" x14ac:dyDescent="0.3">
      <c r="A212" s="3">
        <v>45141</v>
      </c>
      <c r="B212">
        <f>SUMIF(Table1[Date],Sheet2!A212,Table1[Amount])</f>
        <v>23162</v>
      </c>
      <c r="C212" s="6">
        <f t="shared" si="3"/>
        <v>-0.29579520233498524</v>
      </c>
    </row>
    <row r="213" spans="1:3" x14ac:dyDescent="0.3">
      <c r="A213" s="3">
        <v>45142</v>
      </c>
      <c r="B213">
        <f>SUMIF(Table1[Date],Sheet2!A213,Table1[Amount])</f>
        <v>30625</v>
      </c>
      <c r="C213" s="6">
        <f t="shared" si="3"/>
        <v>0.32220879025990845</v>
      </c>
    </row>
    <row r="214" spans="1:3" x14ac:dyDescent="0.3">
      <c r="A214" s="3">
        <v>45143</v>
      </c>
      <c r="B214">
        <f>SUMIF(Table1[Date],Sheet2!A214,Table1[Amount])</f>
        <v>22769</v>
      </c>
      <c r="C214" s="6">
        <f t="shared" si="3"/>
        <v>-0.25652244897959181</v>
      </c>
    </row>
    <row r="215" spans="1:3" x14ac:dyDescent="0.3">
      <c r="A215" s="3">
        <v>45144</v>
      </c>
      <c r="B215">
        <f>SUMIF(Table1[Date],Sheet2!A215,Table1[Amount])</f>
        <v>12307</v>
      </c>
      <c r="C215" s="6">
        <f t="shared" si="3"/>
        <v>-0.4594843866660811</v>
      </c>
    </row>
    <row r="216" spans="1:3" x14ac:dyDescent="0.3">
      <c r="A216" s="3">
        <v>45145</v>
      </c>
      <c r="B216">
        <f>SUMIF(Table1[Date],Sheet2!A216,Table1[Amount])</f>
        <v>35054</v>
      </c>
      <c r="C216" s="6">
        <f t="shared" si="3"/>
        <v>1.8482977167465671</v>
      </c>
    </row>
    <row r="217" spans="1:3" x14ac:dyDescent="0.3">
      <c r="A217" s="3">
        <v>45146</v>
      </c>
      <c r="B217">
        <f>SUMIF(Table1[Date],Sheet2!A217,Table1[Amount])</f>
        <v>46313</v>
      </c>
      <c r="C217" s="6">
        <f t="shared" si="3"/>
        <v>0.3211901637473612</v>
      </c>
    </row>
    <row r="218" spans="1:3" x14ac:dyDescent="0.3">
      <c r="A218" s="3">
        <v>45147</v>
      </c>
      <c r="B218">
        <f>SUMIF(Table1[Date],Sheet2!A218,Table1[Amount])</f>
        <v>18009</v>
      </c>
      <c r="C218" s="6">
        <f t="shared" si="3"/>
        <v>-0.61114589855979962</v>
      </c>
    </row>
    <row r="219" spans="1:3" x14ac:dyDescent="0.3">
      <c r="A219" s="3">
        <v>45148</v>
      </c>
      <c r="B219">
        <f>SUMIF(Table1[Date],Sheet2!A219,Table1[Amount])</f>
        <v>29938</v>
      </c>
      <c r="C219" s="6">
        <f t="shared" si="3"/>
        <v>0.66239102670886774</v>
      </c>
    </row>
    <row r="220" spans="1:3" x14ac:dyDescent="0.3">
      <c r="A220" s="3">
        <v>45150</v>
      </c>
      <c r="B220">
        <f>SUMIF(Table1[Date],Sheet2!A220,Table1[Amount])</f>
        <v>9835</v>
      </c>
      <c r="C220" s="6">
        <f t="shared" si="3"/>
        <v>-0.67148774133208633</v>
      </c>
    </row>
    <row r="221" spans="1:3" x14ac:dyDescent="0.3">
      <c r="A221" s="3">
        <v>45152</v>
      </c>
      <c r="B221">
        <f>SUMIF(Table1[Date],Sheet2!A221,Table1[Amount])</f>
        <v>38257</v>
      </c>
      <c r="C221" s="6">
        <f t="shared" si="3"/>
        <v>2.8898830706659888</v>
      </c>
    </row>
    <row r="222" spans="1:3" x14ac:dyDescent="0.3">
      <c r="A222" s="3">
        <v>45153</v>
      </c>
      <c r="B222">
        <f>SUMIF(Table1[Date],Sheet2!A222,Table1[Amount])</f>
        <v>10863</v>
      </c>
      <c r="C222" s="6">
        <f t="shared" si="3"/>
        <v>-0.71605196434639418</v>
      </c>
    </row>
    <row r="223" spans="1:3" x14ac:dyDescent="0.3">
      <c r="A223" s="3">
        <v>45154</v>
      </c>
      <c r="B223">
        <f>SUMIF(Table1[Date],Sheet2!A223,Table1[Amount])</f>
        <v>29642</v>
      </c>
      <c r="C223" s="6">
        <f t="shared" si="3"/>
        <v>1.7287121421338489</v>
      </c>
    </row>
    <row r="224" spans="1:3" x14ac:dyDescent="0.3">
      <c r="A224" s="3">
        <v>45155</v>
      </c>
      <c r="B224">
        <f>SUMIF(Table1[Date],Sheet2!A224,Table1[Amount])</f>
        <v>14625</v>
      </c>
      <c r="C224" s="6">
        <f t="shared" si="3"/>
        <v>-0.50661223939005462</v>
      </c>
    </row>
    <row r="225" spans="1:3" x14ac:dyDescent="0.3">
      <c r="A225" s="3">
        <v>45156</v>
      </c>
      <c r="B225">
        <f>SUMIF(Table1[Date],Sheet2!A225,Table1[Amount])</f>
        <v>17532</v>
      </c>
      <c r="C225" s="6">
        <f t="shared" si="3"/>
        <v>0.19876923076923078</v>
      </c>
    </row>
    <row r="226" spans="1:3" x14ac:dyDescent="0.3">
      <c r="A226" s="3">
        <v>45157</v>
      </c>
      <c r="B226">
        <f>SUMIF(Table1[Date],Sheet2!A226,Table1[Amount])</f>
        <v>39251</v>
      </c>
      <c r="C226" s="6">
        <f t="shared" si="3"/>
        <v>1.2388204426192106</v>
      </c>
    </row>
    <row r="227" spans="1:3" x14ac:dyDescent="0.3">
      <c r="A227" s="3">
        <v>45158</v>
      </c>
      <c r="B227">
        <f>SUMIF(Table1[Date],Sheet2!A227,Table1[Amount])</f>
        <v>20214</v>
      </c>
      <c r="C227" s="6">
        <f t="shared" si="3"/>
        <v>-0.48500675142034599</v>
      </c>
    </row>
    <row r="228" spans="1:3" x14ac:dyDescent="0.3">
      <c r="A228" s="3">
        <v>45159</v>
      </c>
      <c r="B228">
        <f>SUMIF(Table1[Date],Sheet2!A228,Table1[Amount])</f>
        <v>27232</v>
      </c>
      <c r="C228" s="6">
        <f t="shared" si="3"/>
        <v>0.34718511922430001</v>
      </c>
    </row>
    <row r="229" spans="1:3" x14ac:dyDescent="0.3">
      <c r="A229" s="3">
        <v>45160</v>
      </c>
      <c r="B229">
        <f>SUMIF(Table1[Date],Sheet2!A229,Table1[Amount])</f>
        <v>24412</v>
      </c>
      <c r="C229" s="6">
        <f t="shared" si="3"/>
        <v>-0.10355464159811986</v>
      </c>
    </row>
    <row r="230" spans="1:3" x14ac:dyDescent="0.3">
      <c r="A230" s="3">
        <v>45161</v>
      </c>
      <c r="B230">
        <f>SUMIF(Table1[Date],Sheet2!A230,Table1[Amount])</f>
        <v>21287</v>
      </c>
      <c r="C230" s="6">
        <f t="shared" si="3"/>
        <v>-0.1280108143535966</v>
      </c>
    </row>
    <row r="231" spans="1:3" x14ac:dyDescent="0.3">
      <c r="A231" s="3">
        <v>45162</v>
      </c>
      <c r="B231">
        <f>SUMIF(Table1[Date],Sheet2!A231,Table1[Amount])</f>
        <v>26570</v>
      </c>
      <c r="C231" s="6">
        <f t="shared" si="3"/>
        <v>0.24817964015596372</v>
      </c>
    </row>
    <row r="232" spans="1:3" x14ac:dyDescent="0.3">
      <c r="A232" s="3">
        <v>45163</v>
      </c>
      <c r="B232">
        <f>SUMIF(Table1[Date],Sheet2!A232,Table1[Amount])</f>
        <v>38000</v>
      </c>
      <c r="C232" s="6">
        <f t="shared" si="3"/>
        <v>0.43018441851712458</v>
      </c>
    </row>
    <row r="233" spans="1:3" x14ac:dyDescent="0.3">
      <c r="A233" s="3">
        <v>45164</v>
      </c>
      <c r="B233">
        <f>SUMIF(Table1[Date],Sheet2!A233,Table1[Amount])</f>
        <v>10520</v>
      </c>
      <c r="C233" s="6">
        <f t="shared" si="3"/>
        <v>-0.72315789473684211</v>
      </c>
    </row>
    <row r="234" spans="1:3" x14ac:dyDescent="0.3">
      <c r="A234" s="3">
        <v>45165</v>
      </c>
      <c r="B234">
        <f>SUMIF(Table1[Date],Sheet2!A234,Table1[Amount])</f>
        <v>14435</v>
      </c>
      <c r="C234" s="6">
        <f t="shared" si="3"/>
        <v>0.37214828897338403</v>
      </c>
    </row>
    <row r="235" spans="1:3" x14ac:dyDescent="0.3">
      <c r="A235" s="3">
        <v>45166</v>
      </c>
      <c r="B235">
        <f>SUMIF(Table1[Date],Sheet2!A235,Table1[Amount])</f>
        <v>51697</v>
      </c>
      <c r="C235" s="6">
        <f t="shared" si="3"/>
        <v>2.5813647384828542</v>
      </c>
    </row>
    <row r="236" spans="1:3" x14ac:dyDescent="0.3">
      <c r="A236" s="3">
        <v>45167</v>
      </c>
      <c r="B236">
        <f>SUMIF(Table1[Date],Sheet2!A236,Table1[Amount])</f>
        <v>18954</v>
      </c>
      <c r="C236" s="6">
        <f t="shared" si="3"/>
        <v>-0.6333636381221347</v>
      </c>
    </row>
    <row r="237" spans="1:3" x14ac:dyDescent="0.3">
      <c r="A237" s="3">
        <v>45168</v>
      </c>
      <c r="B237">
        <f>SUMIF(Table1[Date],Sheet2!A237,Table1[Amount])</f>
        <v>38123</v>
      </c>
      <c r="C237" s="6">
        <f t="shared" si="3"/>
        <v>1.0113432520839929</v>
      </c>
    </row>
    <row r="238" spans="1:3" x14ac:dyDescent="0.3">
      <c r="A238" s="3">
        <v>45169</v>
      </c>
      <c r="B238">
        <f>SUMIF(Table1[Date],Sheet2!A238,Table1[Amount])</f>
        <v>14941</v>
      </c>
      <c r="C238" s="6">
        <f t="shared" si="3"/>
        <v>-0.60808435852372589</v>
      </c>
    </row>
    <row r="239" spans="1:3" x14ac:dyDescent="0.3">
      <c r="A239" s="3">
        <v>45170</v>
      </c>
      <c r="B239">
        <f>SUMIF(Table1[Date],Sheet2!A239,Table1[Amount])</f>
        <v>60627</v>
      </c>
      <c r="C239" s="6">
        <f t="shared" si="3"/>
        <v>3.057760524730607</v>
      </c>
    </row>
    <row r="240" spans="1:3" x14ac:dyDescent="0.3">
      <c r="A240" s="3">
        <v>45171</v>
      </c>
      <c r="B240">
        <f>SUMIF(Table1[Date],Sheet2!A240,Table1[Amount])</f>
        <v>21339</v>
      </c>
      <c r="C240" s="6">
        <f t="shared" si="3"/>
        <v>-0.64802810628927709</v>
      </c>
    </row>
    <row r="241" spans="1:3" x14ac:dyDescent="0.3">
      <c r="A241" s="3">
        <v>45172</v>
      </c>
      <c r="B241">
        <f>SUMIF(Table1[Date],Sheet2!A241,Table1[Amount])</f>
        <v>43078</v>
      </c>
      <c r="C241" s="6">
        <f t="shared" si="3"/>
        <v>1.0187450208538358</v>
      </c>
    </row>
    <row r="242" spans="1:3" x14ac:dyDescent="0.3">
      <c r="A242" s="3">
        <v>45173</v>
      </c>
      <c r="B242">
        <f>SUMIF(Table1[Date],Sheet2!A242,Table1[Amount])</f>
        <v>1402</v>
      </c>
      <c r="C242" s="6">
        <f t="shared" si="3"/>
        <v>-0.96745438506894466</v>
      </c>
    </row>
    <row r="243" spans="1:3" x14ac:dyDescent="0.3">
      <c r="A243" s="3">
        <v>45174</v>
      </c>
      <c r="B243">
        <f>SUMIF(Table1[Date],Sheet2!A243,Table1[Amount])</f>
        <v>21451</v>
      </c>
      <c r="C243" s="6">
        <f t="shared" si="3"/>
        <v>14.300285306704708</v>
      </c>
    </row>
    <row r="244" spans="1:3" x14ac:dyDescent="0.3">
      <c r="A244" s="3">
        <v>45175</v>
      </c>
      <c r="B244">
        <f>SUMIF(Table1[Date],Sheet2!A244,Table1[Amount])</f>
        <v>7007</v>
      </c>
      <c r="C244" s="6">
        <f t="shared" si="3"/>
        <v>-0.67334856183860892</v>
      </c>
    </row>
    <row r="245" spans="1:3" x14ac:dyDescent="0.3">
      <c r="A245" s="3">
        <v>45176</v>
      </c>
      <c r="B245">
        <f>SUMIF(Table1[Date],Sheet2!A245,Table1[Amount])</f>
        <v>17711</v>
      </c>
      <c r="C245" s="6">
        <f t="shared" si="3"/>
        <v>1.5276152419009561</v>
      </c>
    </row>
    <row r="246" spans="1:3" x14ac:dyDescent="0.3">
      <c r="A246" s="3">
        <v>45177</v>
      </c>
      <c r="B246">
        <f>SUMIF(Table1[Date],Sheet2!A246,Table1[Amount])</f>
        <v>32075</v>
      </c>
      <c r="C246" s="6">
        <f t="shared" si="3"/>
        <v>0.81102139913048388</v>
      </c>
    </row>
    <row r="247" spans="1:3" x14ac:dyDescent="0.3">
      <c r="A247" s="3">
        <v>45178</v>
      </c>
      <c r="B247">
        <f>SUMIF(Table1[Date],Sheet2!A247,Table1[Amount])</f>
        <v>7412</v>
      </c>
      <c r="C247" s="6">
        <f t="shared" si="3"/>
        <v>-0.76891660171473108</v>
      </c>
    </row>
    <row r="248" spans="1:3" x14ac:dyDescent="0.3">
      <c r="A248" s="3">
        <v>45179</v>
      </c>
      <c r="B248">
        <f>SUMIF(Table1[Date],Sheet2!A248,Table1[Amount])</f>
        <v>49078</v>
      </c>
      <c r="C248" s="6">
        <f t="shared" si="3"/>
        <v>5.6214247166756612</v>
      </c>
    </row>
    <row r="249" spans="1:3" x14ac:dyDescent="0.3">
      <c r="A249" s="3">
        <v>45180</v>
      </c>
      <c r="B249">
        <f>SUMIF(Table1[Date],Sheet2!A249,Table1[Amount])</f>
        <v>8993</v>
      </c>
      <c r="C249" s="6">
        <f t="shared" si="3"/>
        <v>-0.81676107420840294</v>
      </c>
    </row>
    <row r="250" spans="1:3" x14ac:dyDescent="0.3">
      <c r="A250" s="3">
        <v>45181</v>
      </c>
      <c r="B250">
        <f>SUMIF(Table1[Date],Sheet2!A250,Table1[Amount])</f>
        <v>17700</v>
      </c>
      <c r="C250" s="6">
        <f t="shared" si="3"/>
        <v>0.9681974869342822</v>
      </c>
    </row>
    <row r="251" spans="1:3" x14ac:dyDescent="0.3">
      <c r="A251" s="3">
        <v>45182</v>
      </c>
      <c r="B251">
        <f>SUMIF(Table1[Date],Sheet2!A251,Table1[Amount])</f>
        <v>30303</v>
      </c>
      <c r="C251" s="6">
        <f t="shared" si="3"/>
        <v>0.71203389830508479</v>
      </c>
    </row>
    <row r="252" spans="1:3" x14ac:dyDescent="0.3">
      <c r="A252" s="3">
        <v>45183</v>
      </c>
      <c r="B252">
        <f>SUMIF(Table1[Date],Sheet2!A252,Table1[Amount])</f>
        <v>22353</v>
      </c>
      <c r="C252" s="6">
        <f t="shared" si="3"/>
        <v>-0.26235026235026238</v>
      </c>
    </row>
    <row r="253" spans="1:3" x14ac:dyDescent="0.3">
      <c r="A253" s="3">
        <v>45184</v>
      </c>
      <c r="B253">
        <f>SUMIF(Table1[Date],Sheet2!A253,Table1[Amount])</f>
        <v>14310</v>
      </c>
      <c r="C253" s="6">
        <f t="shared" si="3"/>
        <v>-0.35981747416454168</v>
      </c>
    </row>
    <row r="254" spans="1:3" x14ac:dyDescent="0.3">
      <c r="A254" s="3">
        <v>45185</v>
      </c>
      <c r="B254">
        <f>SUMIF(Table1[Date],Sheet2!A254,Table1[Amount])</f>
        <v>50694</v>
      </c>
      <c r="C254" s="6">
        <f t="shared" si="3"/>
        <v>2.5425576519916144</v>
      </c>
    </row>
    <row r="255" spans="1:3" x14ac:dyDescent="0.3">
      <c r="A255" s="3">
        <v>45186</v>
      </c>
      <c r="B255">
        <f>SUMIF(Table1[Date],Sheet2!A255,Table1[Amount])</f>
        <v>11744</v>
      </c>
      <c r="C255" s="6">
        <f t="shared" si="3"/>
        <v>-0.7683355032153707</v>
      </c>
    </row>
    <row r="256" spans="1:3" x14ac:dyDescent="0.3">
      <c r="A256" s="3">
        <v>45187</v>
      </c>
      <c r="B256">
        <f>SUMIF(Table1[Date],Sheet2!A256,Table1[Amount])</f>
        <v>21719</v>
      </c>
      <c r="C256" s="6">
        <f t="shared" si="3"/>
        <v>0.84936989100817439</v>
      </c>
    </row>
    <row r="257" spans="1:3" x14ac:dyDescent="0.3">
      <c r="A257" s="3">
        <v>45188</v>
      </c>
      <c r="B257">
        <f>SUMIF(Table1[Date],Sheet2!A257,Table1[Amount])</f>
        <v>23809</v>
      </c>
      <c r="C257" s="6">
        <f t="shared" si="3"/>
        <v>9.6229108154150741E-2</v>
      </c>
    </row>
    <row r="258" spans="1:3" x14ac:dyDescent="0.3">
      <c r="A258" s="3">
        <v>45189</v>
      </c>
      <c r="B258">
        <f>SUMIF(Table1[Date],Sheet2!A258,Table1[Amount])</f>
        <v>59801</v>
      </c>
      <c r="C258" s="6">
        <f t="shared" si="3"/>
        <v>1.5116972573396614</v>
      </c>
    </row>
    <row r="259" spans="1:3" x14ac:dyDescent="0.3">
      <c r="A259" s="3">
        <v>45190</v>
      </c>
      <c r="B259">
        <f>SUMIF(Table1[Date],Sheet2!A259,Table1[Amount])</f>
        <v>27004</v>
      </c>
      <c r="C259" s="6">
        <f t="shared" ref="C259:C322" si="4">(B259-B258)/B258</f>
        <v>-0.54843564488888141</v>
      </c>
    </row>
    <row r="260" spans="1:3" x14ac:dyDescent="0.3">
      <c r="A260" s="3">
        <v>45191</v>
      </c>
      <c r="B260">
        <f>SUMIF(Table1[Date],Sheet2!A260,Table1[Amount])</f>
        <v>30867</v>
      </c>
      <c r="C260" s="6">
        <f t="shared" si="4"/>
        <v>0.14305288105465858</v>
      </c>
    </row>
    <row r="261" spans="1:3" x14ac:dyDescent="0.3">
      <c r="A261" s="3">
        <v>45192</v>
      </c>
      <c r="B261">
        <f>SUMIF(Table1[Date],Sheet2!A261,Table1[Amount])</f>
        <v>50576</v>
      </c>
      <c r="C261" s="6">
        <f t="shared" si="4"/>
        <v>0.63851362296303493</v>
      </c>
    </row>
    <row r="262" spans="1:3" x14ac:dyDescent="0.3">
      <c r="A262" s="3">
        <v>45193</v>
      </c>
      <c r="B262">
        <f>SUMIF(Table1[Date],Sheet2!A262,Table1[Amount])</f>
        <v>10748</v>
      </c>
      <c r="C262" s="6">
        <f t="shared" si="4"/>
        <v>-0.78748813666561213</v>
      </c>
    </row>
    <row r="263" spans="1:3" x14ac:dyDescent="0.3">
      <c r="A263" s="3">
        <v>45194</v>
      </c>
      <c r="B263">
        <f>SUMIF(Table1[Date],Sheet2!A263,Table1[Amount])</f>
        <v>23107</v>
      </c>
      <c r="C263" s="6">
        <f t="shared" si="4"/>
        <v>1.1498883513211759</v>
      </c>
    </row>
    <row r="264" spans="1:3" x14ac:dyDescent="0.3">
      <c r="A264" s="3">
        <v>45195</v>
      </c>
      <c r="B264">
        <f>SUMIF(Table1[Date],Sheet2!A264,Table1[Amount])</f>
        <v>23205</v>
      </c>
      <c r="C264" s="6">
        <f t="shared" si="4"/>
        <v>4.2411390487730989E-3</v>
      </c>
    </row>
    <row r="265" spans="1:3" x14ac:dyDescent="0.3">
      <c r="A265" s="3">
        <v>45196</v>
      </c>
      <c r="B265">
        <f>SUMIF(Table1[Date],Sheet2!A265,Table1[Amount])</f>
        <v>11204</v>
      </c>
      <c r="C265" s="6">
        <f t="shared" si="4"/>
        <v>-0.51717302305537605</v>
      </c>
    </row>
    <row r="266" spans="1:3" x14ac:dyDescent="0.3">
      <c r="A266" s="3">
        <v>45197</v>
      </c>
      <c r="B266">
        <f>SUMIF(Table1[Date],Sheet2!A266,Table1[Amount])</f>
        <v>1363</v>
      </c>
      <c r="C266" s="6">
        <f t="shared" si="4"/>
        <v>-0.87834701892181366</v>
      </c>
    </row>
    <row r="267" spans="1:3" x14ac:dyDescent="0.3">
      <c r="A267" s="3">
        <v>45198</v>
      </c>
      <c r="B267">
        <f>SUMIF(Table1[Date],Sheet2!A267,Table1[Amount])</f>
        <v>23388</v>
      </c>
      <c r="C267" s="6">
        <f t="shared" si="4"/>
        <v>16.159207630227439</v>
      </c>
    </row>
    <row r="268" spans="1:3" x14ac:dyDescent="0.3">
      <c r="A268" s="3">
        <v>45199</v>
      </c>
      <c r="B268">
        <f>SUMIF(Table1[Date],Sheet2!A268,Table1[Amount])</f>
        <v>79314</v>
      </c>
      <c r="C268" s="6">
        <f t="shared" si="4"/>
        <v>2.3912262698819906</v>
      </c>
    </row>
    <row r="269" spans="1:3" x14ac:dyDescent="0.3">
      <c r="A269" s="3">
        <v>45200</v>
      </c>
      <c r="B269">
        <f>SUMIF(Table1[Date],Sheet2!A269,Table1[Amount])</f>
        <v>5163</v>
      </c>
      <c r="C269" s="6">
        <f t="shared" si="4"/>
        <v>-0.93490430441031847</v>
      </c>
    </row>
    <row r="270" spans="1:3" x14ac:dyDescent="0.3">
      <c r="A270" s="3">
        <v>45202</v>
      </c>
      <c r="B270">
        <f>SUMIF(Table1[Date],Sheet2!A270,Table1[Amount])</f>
        <v>9233</v>
      </c>
      <c r="C270" s="6">
        <f t="shared" si="4"/>
        <v>0.78830137516947507</v>
      </c>
    </row>
    <row r="271" spans="1:3" x14ac:dyDescent="0.3">
      <c r="A271" s="3">
        <v>45203</v>
      </c>
      <c r="B271">
        <f>SUMIF(Table1[Date],Sheet2!A271,Table1[Amount])</f>
        <v>45833</v>
      </c>
      <c r="C271" s="6">
        <f t="shared" si="4"/>
        <v>3.9640420231777322</v>
      </c>
    </row>
    <row r="272" spans="1:3" x14ac:dyDescent="0.3">
      <c r="A272" s="3">
        <v>45204</v>
      </c>
      <c r="B272">
        <f>SUMIF(Table1[Date],Sheet2!A272,Table1[Amount])</f>
        <v>4201</v>
      </c>
      <c r="C272" s="6">
        <f t="shared" si="4"/>
        <v>-0.90834115157201145</v>
      </c>
    </row>
    <row r="273" spans="1:3" x14ac:dyDescent="0.3">
      <c r="A273" s="3">
        <v>45205</v>
      </c>
      <c r="B273">
        <f>SUMIF(Table1[Date],Sheet2!A273,Table1[Amount])</f>
        <v>24125</v>
      </c>
      <c r="C273" s="6">
        <f t="shared" si="4"/>
        <v>4.7426803142109017</v>
      </c>
    </row>
    <row r="274" spans="1:3" x14ac:dyDescent="0.3">
      <c r="A274" s="3">
        <v>45206</v>
      </c>
      <c r="B274">
        <f>SUMIF(Table1[Date],Sheet2!A274,Table1[Amount])</f>
        <v>17390</v>
      </c>
      <c r="C274" s="6">
        <f t="shared" si="4"/>
        <v>-0.27917098445595856</v>
      </c>
    </row>
    <row r="275" spans="1:3" x14ac:dyDescent="0.3">
      <c r="A275" s="3">
        <v>45207</v>
      </c>
      <c r="B275">
        <f>SUMIF(Table1[Date],Sheet2!A275,Table1[Amount])</f>
        <v>19827</v>
      </c>
      <c r="C275" s="6">
        <f t="shared" si="4"/>
        <v>0.1401380103507763</v>
      </c>
    </row>
    <row r="276" spans="1:3" x14ac:dyDescent="0.3">
      <c r="A276" s="3">
        <v>45208</v>
      </c>
      <c r="B276">
        <f>SUMIF(Table1[Date],Sheet2!A276,Table1[Amount])</f>
        <v>56954</v>
      </c>
      <c r="C276" s="6">
        <f t="shared" si="4"/>
        <v>1.8725475361880264</v>
      </c>
    </row>
    <row r="277" spans="1:3" x14ac:dyDescent="0.3">
      <c r="A277" s="3">
        <v>45209</v>
      </c>
      <c r="B277">
        <f>SUMIF(Table1[Date],Sheet2!A277,Table1[Amount])</f>
        <v>29529</v>
      </c>
      <c r="C277" s="6">
        <f t="shared" si="4"/>
        <v>-0.48152895319029393</v>
      </c>
    </row>
    <row r="278" spans="1:3" x14ac:dyDescent="0.3">
      <c r="A278" s="3">
        <v>45210</v>
      </c>
      <c r="B278">
        <f>SUMIF(Table1[Date],Sheet2!A278,Table1[Amount])</f>
        <v>36348</v>
      </c>
      <c r="C278" s="6">
        <f t="shared" si="4"/>
        <v>0.23092553083409528</v>
      </c>
    </row>
    <row r="279" spans="1:3" x14ac:dyDescent="0.3">
      <c r="A279" s="3">
        <v>45211</v>
      </c>
      <c r="B279">
        <f>SUMIF(Table1[Date],Sheet2!A279,Table1[Amount])</f>
        <v>51322</v>
      </c>
      <c r="C279" s="6">
        <f t="shared" si="4"/>
        <v>0.4119621437218004</v>
      </c>
    </row>
    <row r="280" spans="1:3" x14ac:dyDescent="0.3">
      <c r="A280" s="3">
        <v>45212</v>
      </c>
      <c r="B280">
        <f>SUMIF(Table1[Date],Sheet2!A280,Table1[Amount])</f>
        <v>20531</v>
      </c>
      <c r="C280" s="6">
        <f t="shared" si="4"/>
        <v>-0.59995713339308676</v>
      </c>
    </row>
    <row r="281" spans="1:3" x14ac:dyDescent="0.3">
      <c r="A281" s="3">
        <v>45213</v>
      </c>
      <c r="B281">
        <f>SUMIF(Table1[Date],Sheet2!A281,Table1[Amount])</f>
        <v>14138</v>
      </c>
      <c r="C281" s="6">
        <f t="shared" si="4"/>
        <v>-0.31138278700501681</v>
      </c>
    </row>
    <row r="282" spans="1:3" x14ac:dyDescent="0.3">
      <c r="A282" s="3">
        <v>45214</v>
      </c>
      <c r="B282">
        <f>SUMIF(Table1[Date],Sheet2!A282,Table1[Amount])</f>
        <v>92425</v>
      </c>
      <c r="C282" s="6">
        <f t="shared" si="4"/>
        <v>5.5373461592870274</v>
      </c>
    </row>
    <row r="283" spans="1:3" x14ac:dyDescent="0.3">
      <c r="A283" s="3">
        <v>45215</v>
      </c>
      <c r="B283">
        <f>SUMIF(Table1[Date],Sheet2!A283,Table1[Amount])</f>
        <v>42684</v>
      </c>
      <c r="C283" s="6">
        <f t="shared" si="4"/>
        <v>-0.53817690018934272</v>
      </c>
    </row>
    <row r="284" spans="1:3" x14ac:dyDescent="0.3">
      <c r="A284" s="3">
        <v>45216</v>
      </c>
      <c r="B284">
        <f>SUMIF(Table1[Date],Sheet2!A284,Table1[Amount])</f>
        <v>7124</v>
      </c>
      <c r="C284" s="6">
        <f t="shared" si="4"/>
        <v>-0.83309905350951174</v>
      </c>
    </row>
    <row r="285" spans="1:3" x14ac:dyDescent="0.3">
      <c r="A285" s="3">
        <v>45217</v>
      </c>
      <c r="B285">
        <f>SUMIF(Table1[Date],Sheet2!A285,Table1[Amount])</f>
        <v>47321</v>
      </c>
      <c r="C285" s="6">
        <f t="shared" si="4"/>
        <v>5.642476137001684</v>
      </c>
    </row>
    <row r="286" spans="1:3" x14ac:dyDescent="0.3">
      <c r="A286" s="3">
        <v>45218</v>
      </c>
      <c r="B286">
        <f>SUMIF(Table1[Date],Sheet2!A286,Table1[Amount])</f>
        <v>10863</v>
      </c>
      <c r="C286" s="6">
        <f t="shared" si="4"/>
        <v>-0.77044018511865764</v>
      </c>
    </row>
    <row r="287" spans="1:3" x14ac:dyDescent="0.3">
      <c r="A287" s="3">
        <v>45219</v>
      </c>
      <c r="B287">
        <f>SUMIF(Table1[Date],Sheet2!A287,Table1[Amount])</f>
        <v>39738</v>
      </c>
      <c r="C287" s="6">
        <f t="shared" si="4"/>
        <v>2.6581054957194143</v>
      </c>
    </row>
    <row r="288" spans="1:3" x14ac:dyDescent="0.3">
      <c r="A288" s="3">
        <v>45220</v>
      </c>
      <c r="B288">
        <f>SUMIF(Table1[Date],Sheet2!A288,Table1[Amount])</f>
        <v>32078</v>
      </c>
      <c r="C288" s="6">
        <f t="shared" si="4"/>
        <v>-0.19276259499723186</v>
      </c>
    </row>
    <row r="289" spans="1:3" x14ac:dyDescent="0.3">
      <c r="A289" s="3">
        <v>45221</v>
      </c>
      <c r="B289">
        <f>SUMIF(Table1[Date],Sheet2!A289,Table1[Amount])</f>
        <v>7063</v>
      </c>
      <c r="C289" s="6">
        <f t="shared" si="4"/>
        <v>-0.77981794376207991</v>
      </c>
    </row>
    <row r="290" spans="1:3" x14ac:dyDescent="0.3">
      <c r="A290" s="3">
        <v>45222</v>
      </c>
      <c r="B290">
        <f>SUMIF(Table1[Date],Sheet2!A290,Table1[Amount])</f>
        <v>28464</v>
      </c>
      <c r="C290" s="6">
        <f t="shared" si="4"/>
        <v>3.0300155741186465</v>
      </c>
    </row>
    <row r="291" spans="1:3" x14ac:dyDescent="0.3">
      <c r="A291" s="3">
        <v>45223</v>
      </c>
      <c r="B291">
        <f>SUMIF(Table1[Date],Sheet2!A291,Table1[Amount])</f>
        <v>4450</v>
      </c>
      <c r="C291" s="6">
        <f t="shared" si="4"/>
        <v>-0.84366216975829122</v>
      </c>
    </row>
    <row r="292" spans="1:3" x14ac:dyDescent="0.3">
      <c r="A292" s="3">
        <v>45224</v>
      </c>
      <c r="B292">
        <f>SUMIF(Table1[Date],Sheet2!A292,Table1[Amount])</f>
        <v>3421</v>
      </c>
      <c r="C292" s="6">
        <f t="shared" si="4"/>
        <v>-0.23123595505617978</v>
      </c>
    </row>
    <row r="293" spans="1:3" x14ac:dyDescent="0.3">
      <c r="A293" s="3">
        <v>45225</v>
      </c>
      <c r="B293">
        <f>SUMIF(Table1[Date],Sheet2!A293,Table1[Amount])</f>
        <v>45662</v>
      </c>
      <c r="C293" s="6">
        <f t="shared" si="4"/>
        <v>12.347559193218357</v>
      </c>
    </row>
    <row r="294" spans="1:3" x14ac:dyDescent="0.3">
      <c r="A294" s="3">
        <v>45226</v>
      </c>
      <c r="B294">
        <f>SUMIF(Table1[Date],Sheet2!A294,Table1[Amount])</f>
        <v>2479</v>
      </c>
      <c r="C294" s="6">
        <f t="shared" si="4"/>
        <v>-0.94570978056151722</v>
      </c>
    </row>
    <row r="295" spans="1:3" x14ac:dyDescent="0.3">
      <c r="A295" s="3">
        <v>45227</v>
      </c>
      <c r="B295">
        <f>SUMIF(Table1[Date],Sheet2!A295,Table1[Amount])</f>
        <v>27328</v>
      </c>
      <c r="C295" s="6">
        <f t="shared" si="4"/>
        <v>10.023799919322308</v>
      </c>
    </row>
    <row r="296" spans="1:3" x14ac:dyDescent="0.3">
      <c r="A296" s="3">
        <v>45228</v>
      </c>
      <c r="B296">
        <f>SUMIF(Table1[Date],Sheet2!A296,Table1[Amount])</f>
        <v>44750</v>
      </c>
      <c r="C296" s="6">
        <f t="shared" si="4"/>
        <v>0.6375146370023419</v>
      </c>
    </row>
    <row r="297" spans="1:3" x14ac:dyDescent="0.3">
      <c r="A297" s="3">
        <v>45229</v>
      </c>
      <c r="B297">
        <f>SUMIF(Table1[Date],Sheet2!A297,Table1[Amount])</f>
        <v>37607</v>
      </c>
      <c r="C297" s="6">
        <f t="shared" si="4"/>
        <v>-0.15962011173184357</v>
      </c>
    </row>
    <row r="298" spans="1:3" x14ac:dyDescent="0.3">
      <c r="A298" s="3">
        <v>45230</v>
      </c>
      <c r="B298">
        <f>SUMIF(Table1[Date],Sheet2!A298,Table1[Amount])</f>
        <v>39066</v>
      </c>
      <c r="C298" s="6">
        <f t="shared" si="4"/>
        <v>3.8795968835589119E-2</v>
      </c>
    </row>
    <row r="299" spans="1:3" x14ac:dyDescent="0.3">
      <c r="A299" s="3">
        <v>45232</v>
      </c>
      <c r="B299">
        <f>SUMIF(Table1[Date],Sheet2!A299,Table1[Amount])</f>
        <v>44402</v>
      </c>
      <c r="C299" s="6">
        <f t="shared" si="4"/>
        <v>0.13658936159320126</v>
      </c>
    </row>
    <row r="300" spans="1:3" x14ac:dyDescent="0.3">
      <c r="A300" s="3">
        <v>45233</v>
      </c>
      <c r="B300">
        <f>SUMIF(Table1[Date],Sheet2!A300,Table1[Amount])</f>
        <v>19672</v>
      </c>
      <c r="C300" s="6">
        <f t="shared" si="4"/>
        <v>-0.55695689383361113</v>
      </c>
    </row>
    <row r="301" spans="1:3" x14ac:dyDescent="0.3">
      <c r="A301" s="3">
        <v>45234</v>
      </c>
      <c r="B301">
        <f>SUMIF(Table1[Date],Sheet2!A301,Table1[Amount])</f>
        <v>50553</v>
      </c>
      <c r="C301" s="6">
        <f t="shared" si="4"/>
        <v>1.5697946319642131</v>
      </c>
    </row>
    <row r="302" spans="1:3" x14ac:dyDescent="0.3">
      <c r="A302" s="3">
        <v>45235</v>
      </c>
      <c r="B302">
        <f>SUMIF(Table1[Date],Sheet2!A302,Table1[Amount])</f>
        <v>8001</v>
      </c>
      <c r="C302" s="6">
        <f t="shared" si="4"/>
        <v>-0.84173046110023142</v>
      </c>
    </row>
    <row r="303" spans="1:3" x14ac:dyDescent="0.3">
      <c r="A303" s="3">
        <v>45236</v>
      </c>
      <c r="B303">
        <f>SUMIF(Table1[Date],Sheet2!A303,Table1[Amount])</f>
        <v>59292</v>
      </c>
      <c r="C303" s="6">
        <f t="shared" si="4"/>
        <v>6.4105736782902136</v>
      </c>
    </row>
    <row r="304" spans="1:3" x14ac:dyDescent="0.3">
      <c r="A304" s="3">
        <v>45237</v>
      </c>
      <c r="B304">
        <f>SUMIF(Table1[Date],Sheet2!A304,Table1[Amount])</f>
        <v>20594</v>
      </c>
      <c r="C304" s="6">
        <f t="shared" si="4"/>
        <v>-0.65266815084665719</v>
      </c>
    </row>
    <row r="305" spans="1:3" x14ac:dyDescent="0.3">
      <c r="A305" s="3">
        <v>45238</v>
      </c>
      <c r="B305">
        <f>SUMIF(Table1[Date],Sheet2!A305,Table1[Amount])</f>
        <v>32813</v>
      </c>
      <c r="C305" s="6">
        <f t="shared" si="4"/>
        <v>0.59332815383121296</v>
      </c>
    </row>
    <row r="306" spans="1:3" x14ac:dyDescent="0.3">
      <c r="A306" s="3">
        <v>45239</v>
      </c>
      <c r="B306">
        <f>SUMIF(Table1[Date],Sheet2!A306,Table1[Amount])</f>
        <v>38287</v>
      </c>
      <c r="C306" s="6">
        <f t="shared" si="4"/>
        <v>0.16682412458476822</v>
      </c>
    </row>
    <row r="307" spans="1:3" x14ac:dyDescent="0.3">
      <c r="A307" s="3">
        <v>45240</v>
      </c>
      <c r="B307">
        <f>SUMIF(Table1[Date],Sheet2!A307,Table1[Amount])</f>
        <v>12938</v>
      </c>
      <c r="C307" s="6">
        <f t="shared" si="4"/>
        <v>-0.66207851228876646</v>
      </c>
    </row>
    <row r="308" spans="1:3" x14ac:dyDescent="0.3">
      <c r="A308" s="3">
        <v>45241</v>
      </c>
      <c r="B308">
        <f>SUMIF(Table1[Date],Sheet2!A308,Table1[Amount])</f>
        <v>55095</v>
      </c>
      <c r="C308" s="6">
        <f t="shared" si="4"/>
        <v>3.2583861493275621</v>
      </c>
    </row>
    <row r="309" spans="1:3" x14ac:dyDescent="0.3">
      <c r="A309" s="3">
        <v>45242</v>
      </c>
      <c r="B309">
        <f>SUMIF(Table1[Date],Sheet2!A309,Table1[Amount])</f>
        <v>47844</v>
      </c>
      <c r="C309" s="6">
        <f t="shared" si="4"/>
        <v>-0.13160903893275253</v>
      </c>
    </row>
    <row r="310" spans="1:3" x14ac:dyDescent="0.3">
      <c r="A310" s="3">
        <v>45243</v>
      </c>
      <c r="B310">
        <f>SUMIF(Table1[Date],Sheet2!A310,Table1[Amount])</f>
        <v>32056</v>
      </c>
      <c r="C310" s="6">
        <f t="shared" si="4"/>
        <v>-0.32998913134353314</v>
      </c>
    </row>
    <row r="311" spans="1:3" x14ac:dyDescent="0.3">
      <c r="A311" s="3">
        <v>45244</v>
      </c>
      <c r="B311">
        <f>SUMIF(Table1[Date],Sheet2!A311,Table1[Amount])</f>
        <v>34503</v>
      </c>
      <c r="C311" s="6">
        <f t="shared" si="4"/>
        <v>7.6335163463938108E-2</v>
      </c>
    </row>
    <row r="312" spans="1:3" x14ac:dyDescent="0.3">
      <c r="A312" s="3">
        <v>45245</v>
      </c>
      <c r="B312">
        <f>SUMIF(Table1[Date],Sheet2!A312,Table1[Amount])</f>
        <v>24732</v>
      </c>
      <c r="C312" s="6">
        <f t="shared" si="4"/>
        <v>-0.28319276584644815</v>
      </c>
    </row>
    <row r="313" spans="1:3" x14ac:dyDescent="0.3">
      <c r="A313" s="3">
        <v>45246</v>
      </c>
      <c r="B313">
        <f>SUMIF(Table1[Date],Sheet2!A313,Table1[Amount])</f>
        <v>27070</v>
      </c>
      <c r="C313" s="6">
        <f t="shared" si="4"/>
        <v>9.4533398026847806E-2</v>
      </c>
    </row>
    <row r="314" spans="1:3" x14ac:dyDescent="0.3">
      <c r="A314" s="3">
        <v>45248</v>
      </c>
      <c r="B314">
        <f>SUMIF(Table1[Date],Sheet2!A314,Table1[Amount])</f>
        <v>41834</v>
      </c>
      <c r="C314" s="6">
        <f t="shared" si="4"/>
        <v>0.54540081270779461</v>
      </c>
    </row>
    <row r="315" spans="1:3" x14ac:dyDescent="0.3">
      <c r="A315" s="3">
        <v>45249</v>
      </c>
      <c r="B315">
        <f>SUMIF(Table1[Date],Sheet2!A315,Table1[Amount])</f>
        <v>23650</v>
      </c>
      <c r="C315" s="6">
        <f t="shared" si="4"/>
        <v>-0.43467036381890328</v>
      </c>
    </row>
    <row r="316" spans="1:3" x14ac:dyDescent="0.3">
      <c r="A316" s="3">
        <v>45250</v>
      </c>
      <c r="B316">
        <f>SUMIF(Table1[Date],Sheet2!A316,Table1[Amount])</f>
        <v>7721</v>
      </c>
      <c r="C316" s="6">
        <f t="shared" si="4"/>
        <v>-0.67353065539112056</v>
      </c>
    </row>
    <row r="317" spans="1:3" x14ac:dyDescent="0.3">
      <c r="A317" s="3">
        <v>45251</v>
      </c>
      <c r="B317">
        <f>SUMIF(Table1[Date],Sheet2!A317,Table1[Amount])</f>
        <v>13941</v>
      </c>
      <c r="C317" s="6">
        <f t="shared" si="4"/>
        <v>0.80559513016448647</v>
      </c>
    </row>
    <row r="318" spans="1:3" x14ac:dyDescent="0.3">
      <c r="A318" s="3">
        <v>45252</v>
      </c>
      <c r="B318">
        <f>SUMIF(Table1[Date],Sheet2!A318,Table1[Amount])</f>
        <v>24667</v>
      </c>
      <c r="C318" s="6">
        <f t="shared" si="4"/>
        <v>0.76938526648016636</v>
      </c>
    </row>
    <row r="319" spans="1:3" x14ac:dyDescent="0.3">
      <c r="A319" s="3">
        <v>45253</v>
      </c>
      <c r="B319">
        <f>SUMIF(Table1[Date],Sheet2!A319,Table1[Amount])</f>
        <v>59610</v>
      </c>
      <c r="C319" s="6">
        <f t="shared" si="4"/>
        <v>1.4165889650139862</v>
      </c>
    </row>
    <row r="320" spans="1:3" x14ac:dyDescent="0.3">
      <c r="A320" s="3">
        <v>45254</v>
      </c>
      <c r="B320">
        <f>SUMIF(Table1[Date],Sheet2!A320,Table1[Amount])</f>
        <v>34209</v>
      </c>
      <c r="C320" s="6">
        <f t="shared" si="4"/>
        <v>-0.4261197785606442</v>
      </c>
    </row>
    <row r="321" spans="1:3" x14ac:dyDescent="0.3">
      <c r="A321" s="3">
        <v>45255</v>
      </c>
      <c r="B321">
        <f>SUMIF(Table1[Date],Sheet2!A321,Table1[Amount])</f>
        <v>54043</v>
      </c>
      <c r="C321" s="6">
        <f t="shared" si="4"/>
        <v>0.57978894442982842</v>
      </c>
    </row>
    <row r="322" spans="1:3" x14ac:dyDescent="0.3">
      <c r="A322" s="3">
        <v>45256</v>
      </c>
      <c r="B322">
        <f>SUMIF(Table1[Date],Sheet2!A322,Table1[Amount])</f>
        <v>24396</v>
      </c>
      <c r="C322" s="6">
        <f t="shared" si="4"/>
        <v>-0.54858168495457316</v>
      </c>
    </row>
    <row r="323" spans="1:3" x14ac:dyDescent="0.3">
      <c r="A323" s="3">
        <v>45257</v>
      </c>
      <c r="B323">
        <f>SUMIF(Table1[Date],Sheet2!A323,Table1[Amount])</f>
        <v>58638</v>
      </c>
      <c r="C323" s="6">
        <f t="shared" ref="C323:C386" si="5">(B323-B322)/B322</f>
        <v>1.4035907525823905</v>
      </c>
    </row>
    <row r="324" spans="1:3" x14ac:dyDescent="0.3">
      <c r="A324" s="3">
        <v>45258</v>
      </c>
      <c r="B324">
        <f>SUMIF(Table1[Date],Sheet2!A324,Table1[Amount])</f>
        <v>26235</v>
      </c>
      <c r="C324" s="6">
        <f t="shared" si="5"/>
        <v>-0.5525938811009925</v>
      </c>
    </row>
    <row r="325" spans="1:3" x14ac:dyDescent="0.3">
      <c r="A325" s="3">
        <v>45259</v>
      </c>
      <c r="B325">
        <f>SUMIF(Table1[Date],Sheet2!A325,Table1[Amount])</f>
        <v>7212</v>
      </c>
      <c r="C325" s="6">
        <f t="shared" si="5"/>
        <v>-0.72510005717552883</v>
      </c>
    </row>
    <row r="326" spans="1:3" x14ac:dyDescent="0.3">
      <c r="A326" s="3">
        <v>45260</v>
      </c>
      <c r="B326">
        <f>SUMIF(Table1[Date],Sheet2!A326,Table1[Amount])</f>
        <v>44605</v>
      </c>
      <c r="C326" s="6">
        <f t="shared" si="5"/>
        <v>5.1848308374930667</v>
      </c>
    </row>
    <row r="327" spans="1:3" x14ac:dyDescent="0.3">
      <c r="A327" s="3">
        <v>45261</v>
      </c>
      <c r="B327">
        <f>SUMIF(Table1[Date],Sheet2!A327,Table1[Amount])</f>
        <v>18343</v>
      </c>
      <c r="C327" s="6">
        <f t="shared" si="5"/>
        <v>-0.588768075327878</v>
      </c>
    </row>
    <row r="328" spans="1:3" x14ac:dyDescent="0.3">
      <c r="A328" s="3">
        <v>45262</v>
      </c>
      <c r="B328">
        <f>SUMIF(Table1[Date],Sheet2!A328,Table1[Amount])</f>
        <v>59519</v>
      </c>
      <c r="C328" s="6">
        <f t="shared" si="5"/>
        <v>2.2447800250776861</v>
      </c>
    </row>
    <row r="329" spans="1:3" x14ac:dyDescent="0.3">
      <c r="A329" s="3">
        <v>45263</v>
      </c>
      <c r="B329">
        <f>SUMIF(Table1[Date],Sheet2!A329,Table1[Amount])</f>
        <v>27374</v>
      </c>
      <c r="C329" s="6">
        <f t="shared" si="5"/>
        <v>-0.54007963843478557</v>
      </c>
    </row>
    <row r="330" spans="1:3" x14ac:dyDescent="0.3">
      <c r="A330" s="3">
        <v>45264</v>
      </c>
      <c r="B330">
        <f>SUMIF(Table1[Date],Sheet2!A330,Table1[Amount])</f>
        <v>45717</v>
      </c>
      <c r="C330" s="6">
        <f t="shared" si="5"/>
        <v>0.6700884050558924</v>
      </c>
    </row>
    <row r="331" spans="1:3" x14ac:dyDescent="0.3">
      <c r="A331" s="3">
        <v>45265</v>
      </c>
      <c r="B331">
        <f>SUMIF(Table1[Date],Sheet2!A331,Table1[Amount])</f>
        <v>18905</v>
      </c>
      <c r="C331" s="6">
        <f t="shared" si="5"/>
        <v>-0.58647767788787541</v>
      </c>
    </row>
    <row r="332" spans="1:3" x14ac:dyDescent="0.3">
      <c r="A332" s="3">
        <v>45266</v>
      </c>
      <c r="B332">
        <f>SUMIF(Table1[Date],Sheet2!A332,Table1[Amount])</f>
        <v>41487</v>
      </c>
      <c r="C332" s="6">
        <f t="shared" si="5"/>
        <v>1.1944988098386671</v>
      </c>
    </row>
    <row r="333" spans="1:3" x14ac:dyDescent="0.3">
      <c r="A333" s="3">
        <v>45267</v>
      </c>
      <c r="B333">
        <f>SUMIF(Table1[Date],Sheet2!A333,Table1[Amount])</f>
        <v>33341</v>
      </c>
      <c r="C333" s="6">
        <f t="shared" si="5"/>
        <v>-0.19635066406344157</v>
      </c>
    </row>
    <row r="334" spans="1:3" x14ac:dyDescent="0.3">
      <c r="A334" s="3">
        <v>45268</v>
      </c>
      <c r="B334">
        <f>SUMIF(Table1[Date],Sheet2!A334,Table1[Amount])</f>
        <v>14405</v>
      </c>
      <c r="C334" s="6">
        <f t="shared" si="5"/>
        <v>-0.56794937164452175</v>
      </c>
    </row>
    <row r="335" spans="1:3" x14ac:dyDescent="0.3">
      <c r="A335" s="3">
        <v>45269</v>
      </c>
      <c r="B335">
        <f>SUMIF(Table1[Date],Sheet2!A335,Table1[Amount])</f>
        <v>21714</v>
      </c>
      <c r="C335" s="6">
        <f t="shared" si="5"/>
        <v>0.50739326622700454</v>
      </c>
    </row>
    <row r="336" spans="1:3" x14ac:dyDescent="0.3">
      <c r="A336" s="3">
        <v>45270</v>
      </c>
      <c r="B336">
        <f>SUMIF(Table1[Date],Sheet2!A336,Table1[Amount])</f>
        <v>41185</v>
      </c>
      <c r="C336" s="6">
        <f t="shared" si="5"/>
        <v>0.89670258819194992</v>
      </c>
    </row>
    <row r="337" spans="1:3" x14ac:dyDescent="0.3">
      <c r="A337" s="3">
        <v>45271</v>
      </c>
      <c r="B337">
        <f>SUMIF(Table1[Date],Sheet2!A337,Table1[Amount])</f>
        <v>26783</v>
      </c>
      <c r="C337" s="6">
        <f t="shared" si="5"/>
        <v>-0.34969042126987981</v>
      </c>
    </row>
    <row r="338" spans="1:3" x14ac:dyDescent="0.3">
      <c r="A338" s="3">
        <v>45272</v>
      </c>
      <c r="B338">
        <f>SUMIF(Table1[Date],Sheet2!A338,Table1[Amount])</f>
        <v>28581</v>
      </c>
      <c r="C338" s="6">
        <f t="shared" si="5"/>
        <v>6.7132136056453726E-2</v>
      </c>
    </row>
    <row r="339" spans="1:3" x14ac:dyDescent="0.3">
      <c r="A339" s="3">
        <v>45273</v>
      </c>
      <c r="B339">
        <f>SUMIF(Table1[Date],Sheet2!A339,Table1[Amount])</f>
        <v>5607</v>
      </c>
      <c r="C339" s="6">
        <f t="shared" si="5"/>
        <v>-0.80382072005878036</v>
      </c>
    </row>
    <row r="340" spans="1:3" x14ac:dyDescent="0.3">
      <c r="A340" s="3">
        <v>45274</v>
      </c>
      <c r="B340">
        <f>SUMIF(Table1[Date],Sheet2!A340,Table1[Amount])</f>
        <v>21676</v>
      </c>
      <c r="C340" s="6">
        <f t="shared" si="5"/>
        <v>2.8658819332976635</v>
      </c>
    </row>
    <row r="341" spans="1:3" x14ac:dyDescent="0.3">
      <c r="A341" s="3">
        <v>45275</v>
      </c>
      <c r="B341">
        <f>SUMIF(Table1[Date],Sheet2!A341,Table1[Amount])</f>
        <v>10898</v>
      </c>
      <c r="C341" s="6">
        <f t="shared" si="5"/>
        <v>-0.49723196161653443</v>
      </c>
    </row>
    <row r="342" spans="1:3" x14ac:dyDescent="0.3">
      <c r="A342" s="3">
        <v>45276</v>
      </c>
      <c r="B342">
        <f>SUMIF(Table1[Date],Sheet2!A342,Table1[Amount])</f>
        <v>3717</v>
      </c>
      <c r="C342" s="6">
        <f t="shared" si="5"/>
        <v>-0.65892824371444303</v>
      </c>
    </row>
    <row r="343" spans="1:3" x14ac:dyDescent="0.3">
      <c r="A343" s="3">
        <v>45277</v>
      </c>
      <c r="B343">
        <f>SUMIF(Table1[Date],Sheet2!A343,Table1[Amount])</f>
        <v>5736</v>
      </c>
      <c r="C343" s="6">
        <f t="shared" si="5"/>
        <v>0.54317998385794997</v>
      </c>
    </row>
    <row r="344" spans="1:3" x14ac:dyDescent="0.3">
      <c r="A344" s="3">
        <v>45278</v>
      </c>
      <c r="B344">
        <f>SUMIF(Table1[Date],Sheet2!A344,Table1[Amount])</f>
        <v>48324</v>
      </c>
      <c r="C344" s="6">
        <f t="shared" si="5"/>
        <v>7.4246861924686192</v>
      </c>
    </row>
    <row r="345" spans="1:3" x14ac:dyDescent="0.3">
      <c r="A345" s="3">
        <v>45279</v>
      </c>
      <c r="B345">
        <f>SUMIF(Table1[Date],Sheet2!A345,Table1[Amount])</f>
        <v>33616</v>
      </c>
      <c r="C345" s="6">
        <f t="shared" si="5"/>
        <v>-0.30436222167039151</v>
      </c>
    </row>
    <row r="346" spans="1:3" x14ac:dyDescent="0.3">
      <c r="A346" s="3">
        <v>45280</v>
      </c>
      <c r="B346">
        <f>SUMIF(Table1[Date],Sheet2!A346,Table1[Amount])</f>
        <v>12703</v>
      </c>
      <c r="C346" s="6">
        <f t="shared" si="5"/>
        <v>-0.62211446930033321</v>
      </c>
    </row>
    <row r="347" spans="1:3" x14ac:dyDescent="0.3">
      <c r="A347" s="3">
        <v>45281</v>
      </c>
      <c r="B347">
        <f>SUMIF(Table1[Date],Sheet2!A347,Table1[Amount])</f>
        <v>28562</v>
      </c>
      <c r="C347" s="6">
        <f t="shared" si="5"/>
        <v>1.2484452491537432</v>
      </c>
    </row>
    <row r="348" spans="1:3" x14ac:dyDescent="0.3">
      <c r="A348" s="3">
        <v>45282</v>
      </c>
      <c r="B348">
        <f>SUMIF(Table1[Date],Sheet2!A348,Table1[Amount])</f>
        <v>24801</v>
      </c>
      <c r="C348" s="6">
        <f t="shared" si="5"/>
        <v>-0.13167845388978364</v>
      </c>
    </row>
    <row r="349" spans="1:3" x14ac:dyDescent="0.3">
      <c r="A349" s="3">
        <v>45283</v>
      </c>
      <c r="B349">
        <f>SUMIF(Table1[Date],Sheet2!A349,Table1[Amount])</f>
        <v>9663</v>
      </c>
      <c r="C349" s="6">
        <f t="shared" si="5"/>
        <v>-0.61037861376557401</v>
      </c>
    </row>
    <row r="350" spans="1:3" x14ac:dyDescent="0.3">
      <c r="A350" s="3">
        <v>45284</v>
      </c>
      <c r="B350">
        <f>SUMIF(Table1[Date],Sheet2!A350,Table1[Amount])</f>
        <v>64520</v>
      </c>
      <c r="C350" s="6">
        <f t="shared" si="5"/>
        <v>5.6770154196419336</v>
      </c>
    </row>
    <row r="351" spans="1:3" x14ac:dyDescent="0.3">
      <c r="A351" s="3">
        <v>45285</v>
      </c>
      <c r="B351">
        <f>SUMIF(Table1[Date],Sheet2!A351,Table1[Amount])</f>
        <v>39645</v>
      </c>
      <c r="C351" s="6">
        <f t="shared" si="5"/>
        <v>-0.38553936763794172</v>
      </c>
    </row>
    <row r="352" spans="1:3" x14ac:dyDescent="0.3">
      <c r="A352" s="3">
        <v>45286</v>
      </c>
      <c r="B352">
        <f>SUMIF(Table1[Date],Sheet2!A352,Table1[Amount])</f>
        <v>22756</v>
      </c>
      <c r="C352" s="6">
        <f t="shared" si="5"/>
        <v>-0.42600580148820782</v>
      </c>
    </row>
    <row r="353" spans="1:3" x14ac:dyDescent="0.3">
      <c r="A353" s="3">
        <v>45287</v>
      </c>
      <c r="B353">
        <f>SUMIF(Table1[Date],Sheet2!A353,Table1[Amount])</f>
        <v>22772</v>
      </c>
      <c r="C353" s="6">
        <f t="shared" si="5"/>
        <v>7.0311126735805938E-4</v>
      </c>
    </row>
    <row r="354" spans="1:3" x14ac:dyDescent="0.3">
      <c r="A354" s="3">
        <v>45288</v>
      </c>
      <c r="B354">
        <f>SUMIF(Table1[Date],Sheet2!A354,Table1[Amount])</f>
        <v>33593</v>
      </c>
      <c r="C354" s="6">
        <f t="shared" si="5"/>
        <v>0.47518882838573689</v>
      </c>
    </row>
    <row r="355" spans="1:3" x14ac:dyDescent="0.3">
      <c r="A355" s="3">
        <v>45289</v>
      </c>
      <c r="B355">
        <f>SUMIF(Table1[Date],Sheet2!A355,Table1[Amount])</f>
        <v>12215</v>
      </c>
      <c r="C355" s="6">
        <f t="shared" si="5"/>
        <v>-0.63638257970410506</v>
      </c>
    </row>
    <row r="356" spans="1:3" x14ac:dyDescent="0.3">
      <c r="A356" s="3">
        <v>45290</v>
      </c>
      <c r="B356">
        <f>SUMIF(Table1[Date],Sheet2!A356,Table1[Amount])</f>
        <v>26113</v>
      </c>
      <c r="C356" s="6">
        <f t="shared" si="5"/>
        <v>1.137781416291445</v>
      </c>
    </row>
    <row r="357" spans="1:3" x14ac:dyDescent="0.3">
      <c r="A357" s="3">
        <v>45291</v>
      </c>
      <c r="B357">
        <f>SUMIF(Table1[Date],Sheet2!A357,Table1[Amount])</f>
        <v>17594</v>
      </c>
      <c r="C357" s="6">
        <f t="shared" si="5"/>
        <v>-0.32623597441887181</v>
      </c>
    </row>
    <row r="358" spans="1:3" x14ac:dyDescent="0.3">
      <c r="A358" s="3">
        <v>45292</v>
      </c>
      <c r="B358">
        <f>SUMIF(Table1[Date],Sheet2!A358,Table1[Amount])</f>
        <v>22118</v>
      </c>
      <c r="C358" s="6">
        <f t="shared" si="5"/>
        <v>0.25713311356144142</v>
      </c>
    </row>
    <row r="359" spans="1:3" x14ac:dyDescent="0.3">
      <c r="A359" s="3">
        <v>45293</v>
      </c>
      <c r="B359">
        <f>SUMIF(Table1[Date],Sheet2!A359,Table1[Amount])</f>
        <v>39163</v>
      </c>
      <c r="C359" s="6">
        <f t="shared" si="5"/>
        <v>0.77063929830906952</v>
      </c>
    </row>
    <row r="360" spans="1:3" x14ac:dyDescent="0.3">
      <c r="A360" s="3">
        <v>45294</v>
      </c>
      <c r="B360">
        <f>SUMIF(Table1[Date],Sheet2!A360,Table1[Amount])</f>
        <v>44269</v>
      </c>
      <c r="C360" s="6">
        <f t="shared" si="5"/>
        <v>0.13037816306207389</v>
      </c>
    </row>
    <row r="361" spans="1:3" x14ac:dyDescent="0.3">
      <c r="A361" s="3">
        <v>45295</v>
      </c>
      <c r="B361">
        <f>SUMIF(Table1[Date],Sheet2!A361,Table1[Amount])</f>
        <v>42427</v>
      </c>
      <c r="C361" s="6">
        <f t="shared" si="5"/>
        <v>-4.1609252524339835E-2</v>
      </c>
    </row>
    <row r="362" spans="1:3" x14ac:dyDescent="0.3">
      <c r="A362" s="3">
        <v>45296</v>
      </c>
      <c r="B362">
        <f>SUMIF(Table1[Date],Sheet2!A362,Table1[Amount])</f>
        <v>66099</v>
      </c>
      <c r="C362" s="6">
        <f t="shared" si="5"/>
        <v>0.55794659061446716</v>
      </c>
    </row>
    <row r="363" spans="1:3" x14ac:dyDescent="0.3">
      <c r="A363" s="3">
        <v>45297</v>
      </c>
      <c r="B363">
        <f>SUMIF(Table1[Date],Sheet2!A363,Table1[Amount])</f>
        <v>34343</v>
      </c>
      <c r="C363" s="6">
        <f t="shared" si="5"/>
        <v>-0.48043086884824276</v>
      </c>
    </row>
    <row r="364" spans="1:3" x14ac:dyDescent="0.3">
      <c r="A364" s="3">
        <v>45298</v>
      </c>
      <c r="B364">
        <f>SUMIF(Table1[Date],Sheet2!A364,Table1[Amount])</f>
        <v>18706</v>
      </c>
      <c r="C364" s="6">
        <f t="shared" si="5"/>
        <v>-0.45531840549748132</v>
      </c>
    </row>
    <row r="365" spans="1:3" x14ac:dyDescent="0.3">
      <c r="A365" s="3">
        <v>45299</v>
      </c>
      <c r="B365">
        <f>SUMIF(Table1[Date],Sheet2!A365,Table1[Amount])</f>
        <v>47431</v>
      </c>
      <c r="C365" s="6">
        <f t="shared" si="5"/>
        <v>1.5356035496632097</v>
      </c>
    </row>
    <row r="366" spans="1:3" x14ac:dyDescent="0.3">
      <c r="A366" s="3">
        <v>45300</v>
      </c>
      <c r="B366">
        <f>SUMIF(Table1[Date],Sheet2!A366,Table1[Amount])</f>
        <v>27079</v>
      </c>
      <c r="C366" s="6">
        <f t="shared" si="5"/>
        <v>-0.42908646244017623</v>
      </c>
    </row>
    <row r="367" spans="1:3" x14ac:dyDescent="0.3">
      <c r="A367" s="3">
        <v>45301</v>
      </c>
      <c r="B367">
        <f>SUMIF(Table1[Date],Sheet2!A367,Table1[Amount])</f>
        <v>24069</v>
      </c>
      <c r="C367" s="6">
        <f t="shared" si="5"/>
        <v>-0.11115624653790761</v>
      </c>
    </row>
    <row r="368" spans="1:3" x14ac:dyDescent="0.3">
      <c r="A368" s="3">
        <v>45302</v>
      </c>
      <c r="B368">
        <f>SUMIF(Table1[Date],Sheet2!A368,Table1[Amount])</f>
        <v>47272</v>
      </c>
      <c r="C368" s="6">
        <f t="shared" si="5"/>
        <v>0.96402010885371225</v>
      </c>
    </row>
    <row r="369" spans="1:3" x14ac:dyDescent="0.3">
      <c r="A369" s="3">
        <v>45303</v>
      </c>
      <c r="B369">
        <f>SUMIF(Table1[Date],Sheet2!A369,Table1[Amount])</f>
        <v>22859</v>
      </c>
      <c r="C369" s="6">
        <f t="shared" si="5"/>
        <v>-0.51643679133525133</v>
      </c>
    </row>
    <row r="370" spans="1:3" x14ac:dyDescent="0.3">
      <c r="A370" s="3">
        <v>45304</v>
      </c>
      <c r="B370">
        <f>SUMIF(Table1[Date],Sheet2!A370,Table1[Amount])</f>
        <v>28052</v>
      </c>
      <c r="C370" s="6">
        <f t="shared" si="5"/>
        <v>0.2271752920075244</v>
      </c>
    </row>
    <row r="371" spans="1:3" x14ac:dyDescent="0.3">
      <c r="A371" s="3">
        <v>45305</v>
      </c>
      <c r="B371">
        <f>SUMIF(Table1[Date],Sheet2!A371,Table1[Amount])</f>
        <v>58971</v>
      </c>
      <c r="C371" s="6">
        <f t="shared" si="5"/>
        <v>1.1022030514758305</v>
      </c>
    </row>
    <row r="372" spans="1:3" x14ac:dyDescent="0.3">
      <c r="A372" s="3">
        <v>45306</v>
      </c>
      <c r="B372">
        <f>SUMIF(Table1[Date],Sheet2!A372,Table1[Amount])</f>
        <v>47709</v>
      </c>
      <c r="C372" s="6">
        <f t="shared" si="5"/>
        <v>-0.1909752251106476</v>
      </c>
    </row>
    <row r="373" spans="1:3" x14ac:dyDescent="0.3">
      <c r="A373" s="3">
        <v>45307</v>
      </c>
      <c r="B373">
        <f>SUMIF(Table1[Date],Sheet2!A373,Table1[Amount])</f>
        <v>28295</v>
      </c>
      <c r="C373" s="6">
        <f t="shared" si="5"/>
        <v>-0.40692531807415794</v>
      </c>
    </row>
    <row r="374" spans="1:3" x14ac:dyDescent="0.3">
      <c r="A374" s="3">
        <v>45308</v>
      </c>
      <c r="B374">
        <f>SUMIF(Table1[Date],Sheet2!A374,Table1[Amount])</f>
        <v>2277</v>
      </c>
      <c r="C374" s="6">
        <f t="shared" si="5"/>
        <v>-0.91952641809506985</v>
      </c>
    </row>
    <row r="375" spans="1:3" x14ac:dyDescent="0.3">
      <c r="A375" s="3">
        <v>45309</v>
      </c>
      <c r="B375">
        <f>SUMIF(Table1[Date],Sheet2!A375,Table1[Amount])</f>
        <v>23347</v>
      </c>
      <c r="C375" s="6">
        <f t="shared" si="5"/>
        <v>9.2534036012296887</v>
      </c>
    </row>
    <row r="376" spans="1:3" x14ac:dyDescent="0.3">
      <c r="A376" s="3">
        <v>45310</v>
      </c>
      <c r="B376">
        <f>SUMIF(Table1[Date],Sheet2!A376,Table1[Amount])</f>
        <v>29720</v>
      </c>
      <c r="C376" s="6">
        <f t="shared" si="5"/>
        <v>0.27296868976742195</v>
      </c>
    </row>
    <row r="377" spans="1:3" x14ac:dyDescent="0.3">
      <c r="A377" s="3">
        <v>45311</v>
      </c>
      <c r="B377">
        <f>SUMIF(Table1[Date],Sheet2!A377,Table1[Amount])</f>
        <v>14729</v>
      </c>
      <c r="C377" s="6">
        <f t="shared" si="5"/>
        <v>-0.50440780619111714</v>
      </c>
    </row>
    <row r="378" spans="1:3" x14ac:dyDescent="0.3">
      <c r="A378" s="3">
        <v>45312</v>
      </c>
      <c r="B378">
        <f>SUMIF(Table1[Date],Sheet2!A378,Table1[Amount])</f>
        <v>10355</v>
      </c>
      <c r="C378" s="6">
        <f t="shared" si="5"/>
        <v>-0.29696517075157852</v>
      </c>
    </row>
    <row r="379" spans="1:3" x14ac:dyDescent="0.3">
      <c r="A379" s="3">
        <v>45313</v>
      </c>
      <c r="B379">
        <f>SUMIF(Table1[Date],Sheet2!A379,Table1[Amount])</f>
        <v>42635</v>
      </c>
      <c r="C379" s="6">
        <f t="shared" si="5"/>
        <v>3.11733462095606</v>
      </c>
    </row>
    <row r="380" spans="1:3" x14ac:dyDescent="0.3">
      <c r="A380" s="3">
        <v>45314</v>
      </c>
      <c r="B380">
        <f>SUMIF(Table1[Date],Sheet2!A380,Table1[Amount])</f>
        <v>51789</v>
      </c>
      <c r="C380" s="6">
        <f t="shared" si="5"/>
        <v>0.21470622727805794</v>
      </c>
    </row>
    <row r="381" spans="1:3" x14ac:dyDescent="0.3">
      <c r="A381" s="3">
        <v>45315</v>
      </c>
      <c r="B381">
        <f>SUMIF(Table1[Date],Sheet2!A381,Table1[Amount])</f>
        <v>23321</v>
      </c>
      <c r="C381" s="6">
        <f t="shared" si="5"/>
        <v>-0.54969201954082914</v>
      </c>
    </row>
    <row r="382" spans="1:3" x14ac:dyDescent="0.3">
      <c r="A382" s="3">
        <v>45316</v>
      </c>
      <c r="B382">
        <f>SUMIF(Table1[Date],Sheet2!A382,Table1[Amount])</f>
        <v>48007</v>
      </c>
      <c r="C382" s="6">
        <f t="shared" si="5"/>
        <v>1.0585309377813987</v>
      </c>
    </row>
    <row r="383" spans="1:3" x14ac:dyDescent="0.3">
      <c r="A383" s="3">
        <v>45317</v>
      </c>
      <c r="B383">
        <f>SUMIF(Table1[Date],Sheet2!A383,Table1[Amount])</f>
        <v>49467</v>
      </c>
      <c r="C383" s="6">
        <f t="shared" si="5"/>
        <v>3.0412231549565689E-2</v>
      </c>
    </row>
    <row r="384" spans="1:3" x14ac:dyDescent="0.3">
      <c r="A384" s="3">
        <v>45318</v>
      </c>
      <c r="B384">
        <f>SUMIF(Table1[Date],Sheet2!A384,Table1[Amount])</f>
        <v>12046</v>
      </c>
      <c r="C384" s="6">
        <f t="shared" si="5"/>
        <v>-0.75648412072694926</v>
      </c>
    </row>
    <row r="385" spans="1:3" x14ac:dyDescent="0.3">
      <c r="A385" s="3">
        <v>45319</v>
      </c>
      <c r="B385">
        <f>SUMIF(Table1[Date],Sheet2!A385,Table1[Amount])</f>
        <v>11529</v>
      </c>
      <c r="C385" s="6">
        <f t="shared" si="5"/>
        <v>-4.2918811223642703E-2</v>
      </c>
    </row>
    <row r="386" spans="1:3" x14ac:dyDescent="0.3">
      <c r="A386" s="3">
        <v>45320</v>
      </c>
      <c r="B386">
        <f>SUMIF(Table1[Date],Sheet2!A386,Table1[Amount])</f>
        <v>51246</v>
      </c>
      <c r="C386" s="6">
        <f t="shared" si="5"/>
        <v>3.4449648711943794</v>
      </c>
    </row>
    <row r="387" spans="1:3" x14ac:dyDescent="0.3">
      <c r="A387" s="3">
        <v>45321</v>
      </c>
      <c r="B387">
        <f>SUMIF(Table1[Date],Sheet2!A387,Table1[Amount])</f>
        <v>11971</v>
      </c>
      <c r="C387" s="6">
        <f t="shared" ref="C387:C450" si="6">(B387-B386)/B386</f>
        <v>-0.76640128009991026</v>
      </c>
    </row>
    <row r="388" spans="1:3" x14ac:dyDescent="0.3">
      <c r="A388" s="3">
        <v>45322</v>
      </c>
      <c r="B388">
        <f>SUMIF(Table1[Date],Sheet2!A388,Table1[Amount])</f>
        <v>26449</v>
      </c>
      <c r="C388" s="6">
        <f t="shared" si="6"/>
        <v>1.2094227716982708</v>
      </c>
    </row>
    <row r="389" spans="1:3" x14ac:dyDescent="0.3">
      <c r="A389" s="3">
        <v>45323</v>
      </c>
      <c r="B389">
        <f>SUMIF(Table1[Date],Sheet2!A389,Table1[Amount])</f>
        <v>45460</v>
      </c>
      <c r="C389" s="6">
        <f t="shared" si="6"/>
        <v>0.7187795379787516</v>
      </c>
    </row>
    <row r="390" spans="1:3" x14ac:dyDescent="0.3">
      <c r="A390" s="3">
        <v>45324</v>
      </c>
      <c r="B390">
        <f>SUMIF(Table1[Date],Sheet2!A390,Table1[Amount])</f>
        <v>2728</v>
      </c>
      <c r="C390" s="6">
        <f t="shared" si="6"/>
        <v>-0.9399912010558733</v>
      </c>
    </row>
    <row r="391" spans="1:3" x14ac:dyDescent="0.3">
      <c r="A391" s="3">
        <v>45325</v>
      </c>
      <c r="B391">
        <f>SUMIF(Table1[Date],Sheet2!A391,Table1[Amount])</f>
        <v>24606</v>
      </c>
      <c r="C391" s="6">
        <f t="shared" si="6"/>
        <v>8.0197947214076244</v>
      </c>
    </row>
    <row r="392" spans="1:3" x14ac:dyDescent="0.3">
      <c r="A392" s="3">
        <v>45326</v>
      </c>
      <c r="B392">
        <f>SUMIF(Table1[Date],Sheet2!A392,Table1[Amount])</f>
        <v>30107</v>
      </c>
      <c r="C392" s="6">
        <f t="shared" si="6"/>
        <v>0.22356335853043974</v>
      </c>
    </row>
    <row r="393" spans="1:3" x14ac:dyDescent="0.3">
      <c r="A393" s="3">
        <v>45327</v>
      </c>
      <c r="B393">
        <f>SUMIF(Table1[Date],Sheet2!A393,Table1[Amount])</f>
        <v>35738</v>
      </c>
      <c r="C393" s="6">
        <f t="shared" si="6"/>
        <v>0.1870329159331717</v>
      </c>
    </row>
    <row r="394" spans="1:3" x14ac:dyDescent="0.3">
      <c r="A394" s="3">
        <v>45328</v>
      </c>
      <c r="B394">
        <f>SUMIF(Table1[Date],Sheet2!A394,Table1[Amount])</f>
        <v>33432</v>
      </c>
      <c r="C394" s="6">
        <f t="shared" si="6"/>
        <v>-6.4525155296882866E-2</v>
      </c>
    </row>
    <row r="395" spans="1:3" x14ac:dyDescent="0.3">
      <c r="A395" s="3">
        <v>45329</v>
      </c>
      <c r="B395">
        <f>SUMIF(Table1[Date],Sheet2!A395,Table1[Amount])</f>
        <v>16171</v>
      </c>
      <c r="C395" s="6">
        <f t="shared" si="6"/>
        <v>-0.51630174682938501</v>
      </c>
    </row>
    <row r="396" spans="1:3" x14ac:dyDescent="0.3">
      <c r="A396" s="3">
        <v>45330</v>
      </c>
      <c r="B396">
        <f>SUMIF(Table1[Date],Sheet2!A396,Table1[Amount])</f>
        <v>37710</v>
      </c>
      <c r="C396" s="6">
        <f t="shared" si="6"/>
        <v>1.3319522602189104</v>
      </c>
    </row>
    <row r="397" spans="1:3" x14ac:dyDescent="0.3">
      <c r="A397" s="3">
        <v>45331</v>
      </c>
      <c r="B397">
        <f>SUMIF(Table1[Date],Sheet2!A397,Table1[Amount])</f>
        <v>7698</v>
      </c>
      <c r="C397" s="6">
        <f t="shared" si="6"/>
        <v>-0.7958631662688942</v>
      </c>
    </row>
    <row r="398" spans="1:3" x14ac:dyDescent="0.3">
      <c r="A398" s="3">
        <v>45332</v>
      </c>
      <c r="B398">
        <f>SUMIF(Table1[Date],Sheet2!A398,Table1[Amount])</f>
        <v>21184</v>
      </c>
      <c r="C398" s="6">
        <f t="shared" si="6"/>
        <v>1.7518836061314627</v>
      </c>
    </row>
    <row r="399" spans="1:3" x14ac:dyDescent="0.3">
      <c r="A399" s="3">
        <v>45333</v>
      </c>
      <c r="B399">
        <f>SUMIF(Table1[Date],Sheet2!A399,Table1[Amount])</f>
        <v>12616</v>
      </c>
      <c r="C399" s="6">
        <f t="shared" si="6"/>
        <v>-0.40445619335347432</v>
      </c>
    </row>
    <row r="400" spans="1:3" x14ac:dyDescent="0.3">
      <c r="A400" s="3">
        <v>45334</v>
      </c>
      <c r="B400">
        <f>SUMIF(Table1[Date],Sheet2!A400,Table1[Amount])</f>
        <v>29961</v>
      </c>
      <c r="C400" s="6">
        <f t="shared" si="6"/>
        <v>1.3748414711477488</v>
      </c>
    </row>
    <row r="401" spans="1:3" x14ac:dyDescent="0.3">
      <c r="A401" s="3">
        <v>45335</v>
      </c>
      <c r="B401">
        <f>SUMIF(Table1[Date],Sheet2!A401,Table1[Amount])</f>
        <v>40197</v>
      </c>
      <c r="C401" s="6">
        <f t="shared" si="6"/>
        <v>0.34164413737859217</v>
      </c>
    </row>
    <row r="402" spans="1:3" x14ac:dyDescent="0.3">
      <c r="A402" s="3">
        <v>45336</v>
      </c>
      <c r="B402">
        <f>SUMIF(Table1[Date],Sheet2!A402,Table1[Amount])</f>
        <v>20713</v>
      </c>
      <c r="C402" s="6">
        <f t="shared" si="6"/>
        <v>-0.48471278951165508</v>
      </c>
    </row>
    <row r="403" spans="1:3" x14ac:dyDescent="0.3">
      <c r="A403" s="3">
        <v>45337</v>
      </c>
      <c r="B403">
        <f>SUMIF(Table1[Date],Sheet2!A403,Table1[Amount])</f>
        <v>22784</v>
      </c>
      <c r="C403" s="6">
        <f t="shared" si="6"/>
        <v>9.9985516342393665E-2</v>
      </c>
    </row>
    <row r="404" spans="1:3" x14ac:dyDescent="0.3">
      <c r="A404" s="3">
        <v>45338</v>
      </c>
      <c r="B404">
        <f>SUMIF(Table1[Date],Sheet2!A404,Table1[Amount])</f>
        <v>20037</v>
      </c>
      <c r="C404" s="6">
        <f t="shared" si="6"/>
        <v>-0.12056706460674158</v>
      </c>
    </row>
    <row r="405" spans="1:3" x14ac:dyDescent="0.3">
      <c r="A405" s="3">
        <v>45339</v>
      </c>
      <c r="B405">
        <f>SUMIF(Table1[Date],Sheet2!A405,Table1[Amount])</f>
        <v>25214</v>
      </c>
      <c r="C405" s="6">
        <f t="shared" si="6"/>
        <v>0.25837201177821029</v>
      </c>
    </row>
    <row r="406" spans="1:3" x14ac:dyDescent="0.3">
      <c r="A406" s="3">
        <v>45340</v>
      </c>
      <c r="B406">
        <f>SUMIF(Table1[Date],Sheet2!A406,Table1[Amount])</f>
        <v>16418</v>
      </c>
      <c r="C406" s="6">
        <f t="shared" si="6"/>
        <v>-0.34885381137463312</v>
      </c>
    </row>
    <row r="407" spans="1:3" x14ac:dyDescent="0.3">
      <c r="A407" s="3">
        <v>45341</v>
      </c>
      <c r="B407">
        <f>SUMIF(Table1[Date],Sheet2!A407,Table1[Amount])</f>
        <v>1983</v>
      </c>
      <c r="C407" s="6">
        <f t="shared" si="6"/>
        <v>-0.87921793153855521</v>
      </c>
    </row>
    <row r="408" spans="1:3" x14ac:dyDescent="0.3">
      <c r="A408" s="3">
        <v>45342</v>
      </c>
      <c r="B408">
        <f>SUMIF(Table1[Date],Sheet2!A408,Table1[Amount])</f>
        <v>34990</v>
      </c>
      <c r="C408" s="6">
        <f t="shared" si="6"/>
        <v>16.644982349974786</v>
      </c>
    </row>
    <row r="409" spans="1:3" x14ac:dyDescent="0.3">
      <c r="A409" s="3">
        <v>45343</v>
      </c>
      <c r="B409">
        <f>SUMIF(Table1[Date],Sheet2!A409,Table1[Amount])</f>
        <v>40162</v>
      </c>
      <c r="C409" s="6">
        <f t="shared" si="6"/>
        <v>0.14781366104601315</v>
      </c>
    </row>
    <row r="410" spans="1:3" x14ac:dyDescent="0.3">
      <c r="A410" s="3">
        <v>45344</v>
      </c>
      <c r="B410">
        <f>SUMIF(Table1[Date],Sheet2!A410,Table1[Amount])</f>
        <v>27183</v>
      </c>
      <c r="C410" s="6">
        <f t="shared" si="6"/>
        <v>-0.32316617698321798</v>
      </c>
    </row>
    <row r="411" spans="1:3" x14ac:dyDescent="0.3">
      <c r="A411" s="3">
        <v>45345</v>
      </c>
      <c r="B411">
        <f>SUMIF(Table1[Date],Sheet2!A411,Table1[Amount])</f>
        <v>22566</v>
      </c>
      <c r="C411" s="6">
        <f t="shared" si="6"/>
        <v>-0.16984880256042378</v>
      </c>
    </row>
    <row r="412" spans="1:3" x14ac:dyDescent="0.3">
      <c r="A412" s="3">
        <v>45346</v>
      </c>
      <c r="B412">
        <f>SUMIF(Table1[Date],Sheet2!A412,Table1[Amount])</f>
        <v>20792</v>
      </c>
      <c r="C412" s="6">
        <f t="shared" si="6"/>
        <v>-7.861384383585926E-2</v>
      </c>
    </row>
    <row r="413" spans="1:3" x14ac:dyDescent="0.3">
      <c r="A413" s="3">
        <v>45347</v>
      </c>
      <c r="B413">
        <f>SUMIF(Table1[Date],Sheet2!A413,Table1[Amount])</f>
        <v>41795</v>
      </c>
      <c r="C413" s="6">
        <f t="shared" si="6"/>
        <v>1.010148133897653</v>
      </c>
    </row>
    <row r="414" spans="1:3" x14ac:dyDescent="0.3">
      <c r="A414" s="3">
        <v>45348</v>
      </c>
      <c r="B414">
        <f>SUMIF(Table1[Date],Sheet2!A414,Table1[Amount])</f>
        <v>22300</v>
      </c>
      <c r="C414" s="6">
        <f t="shared" si="6"/>
        <v>-0.46644335446823781</v>
      </c>
    </row>
    <row r="415" spans="1:3" x14ac:dyDescent="0.3">
      <c r="A415" s="3">
        <v>45349</v>
      </c>
      <c r="B415">
        <f>SUMIF(Table1[Date],Sheet2!A415,Table1[Amount])</f>
        <v>24851</v>
      </c>
      <c r="C415" s="6">
        <f t="shared" si="6"/>
        <v>0.11439461883408071</v>
      </c>
    </row>
    <row r="416" spans="1:3" x14ac:dyDescent="0.3">
      <c r="A416" s="3">
        <v>45350</v>
      </c>
      <c r="B416">
        <f>SUMIF(Table1[Date],Sheet2!A416,Table1[Amount])</f>
        <v>16047</v>
      </c>
      <c r="C416" s="6">
        <f t="shared" si="6"/>
        <v>-0.35427145788901854</v>
      </c>
    </row>
    <row r="417" spans="1:3" x14ac:dyDescent="0.3">
      <c r="A417" s="3">
        <v>45351</v>
      </c>
      <c r="B417">
        <f>SUMIF(Table1[Date],Sheet2!A417,Table1[Amount])</f>
        <v>19166</v>
      </c>
      <c r="C417" s="6">
        <f t="shared" si="6"/>
        <v>0.19436654826447311</v>
      </c>
    </row>
    <row r="418" spans="1:3" x14ac:dyDescent="0.3">
      <c r="A418" s="3">
        <v>45352</v>
      </c>
      <c r="B418">
        <f>SUMIF(Table1[Date],Sheet2!A418,Table1[Amount])</f>
        <v>31595</v>
      </c>
      <c r="C418" s="6">
        <f t="shared" si="6"/>
        <v>0.64849212146509438</v>
      </c>
    </row>
    <row r="419" spans="1:3" x14ac:dyDescent="0.3">
      <c r="A419" s="3">
        <v>45353</v>
      </c>
      <c r="B419">
        <f>SUMIF(Table1[Date],Sheet2!A419,Table1[Amount])</f>
        <v>51166</v>
      </c>
      <c r="C419" s="6">
        <f t="shared" si="6"/>
        <v>0.61943345466054756</v>
      </c>
    </row>
    <row r="420" spans="1:3" x14ac:dyDescent="0.3">
      <c r="A420" s="3">
        <v>45354</v>
      </c>
      <c r="B420">
        <f>SUMIF(Table1[Date],Sheet2!A420,Table1[Amount])</f>
        <v>9012</v>
      </c>
      <c r="C420" s="6">
        <f t="shared" si="6"/>
        <v>-0.82386741195325019</v>
      </c>
    </row>
    <row r="421" spans="1:3" x14ac:dyDescent="0.3">
      <c r="A421" s="3">
        <v>45355</v>
      </c>
      <c r="B421">
        <f>SUMIF(Table1[Date],Sheet2!A421,Table1[Amount])</f>
        <v>14490</v>
      </c>
      <c r="C421" s="6">
        <f t="shared" si="6"/>
        <v>0.60785619174434091</v>
      </c>
    </row>
    <row r="422" spans="1:3" x14ac:dyDescent="0.3">
      <c r="A422" s="3">
        <v>45356</v>
      </c>
      <c r="B422">
        <f>SUMIF(Table1[Date],Sheet2!A422,Table1[Amount])</f>
        <v>61393</v>
      </c>
      <c r="C422" s="6">
        <f t="shared" si="6"/>
        <v>3.2369220151828846</v>
      </c>
    </row>
    <row r="423" spans="1:3" x14ac:dyDescent="0.3">
      <c r="A423" s="3">
        <v>45357</v>
      </c>
      <c r="B423">
        <f>SUMIF(Table1[Date],Sheet2!A423,Table1[Amount])</f>
        <v>22050</v>
      </c>
      <c r="C423" s="6">
        <f t="shared" si="6"/>
        <v>-0.64083853208020458</v>
      </c>
    </row>
    <row r="424" spans="1:3" x14ac:dyDescent="0.3">
      <c r="A424" s="3">
        <v>45358</v>
      </c>
      <c r="B424">
        <f>SUMIF(Table1[Date],Sheet2!A424,Table1[Amount])</f>
        <v>27546</v>
      </c>
      <c r="C424" s="6">
        <f t="shared" si="6"/>
        <v>0.24925170068027211</v>
      </c>
    </row>
    <row r="425" spans="1:3" x14ac:dyDescent="0.3">
      <c r="A425" s="3">
        <v>45359</v>
      </c>
      <c r="B425">
        <f>SUMIF(Table1[Date],Sheet2!A425,Table1[Amount])</f>
        <v>24068</v>
      </c>
      <c r="C425" s="6">
        <f t="shared" si="6"/>
        <v>-0.12626152617439917</v>
      </c>
    </row>
    <row r="426" spans="1:3" x14ac:dyDescent="0.3">
      <c r="A426" s="3">
        <v>45360</v>
      </c>
      <c r="B426">
        <f>SUMIF(Table1[Date],Sheet2!A426,Table1[Amount])</f>
        <v>17999</v>
      </c>
      <c r="C426" s="6">
        <f t="shared" si="6"/>
        <v>-0.25216054512215391</v>
      </c>
    </row>
    <row r="427" spans="1:3" x14ac:dyDescent="0.3">
      <c r="A427" s="3">
        <v>45361</v>
      </c>
      <c r="B427">
        <f>SUMIF(Table1[Date],Sheet2!A427,Table1[Amount])</f>
        <v>22741</v>
      </c>
      <c r="C427" s="6">
        <f t="shared" si="6"/>
        <v>0.26345908106005889</v>
      </c>
    </row>
    <row r="428" spans="1:3" x14ac:dyDescent="0.3">
      <c r="A428" s="3">
        <v>45362</v>
      </c>
      <c r="B428">
        <f>SUMIF(Table1[Date],Sheet2!A428,Table1[Amount])</f>
        <v>50590</v>
      </c>
      <c r="C428" s="6">
        <f t="shared" si="6"/>
        <v>1.2246163317356318</v>
      </c>
    </row>
    <row r="429" spans="1:3" x14ac:dyDescent="0.3">
      <c r="A429" s="3">
        <v>45363</v>
      </c>
      <c r="B429">
        <f>SUMIF(Table1[Date],Sheet2!A429,Table1[Amount])</f>
        <v>4745</v>
      </c>
      <c r="C429" s="6">
        <f t="shared" si="6"/>
        <v>-0.90620676022929436</v>
      </c>
    </row>
    <row r="430" spans="1:3" x14ac:dyDescent="0.3">
      <c r="A430" s="3">
        <v>45364</v>
      </c>
      <c r="B430">
        <f>SUMIF(Table1[Date],Sheet2!A430,Table1[Amount])</f>
        <v>19235</v>
      </c>
      <c r="C430" s="6">
        <f t="shared" si="6"/>
        <v>3.053740779768177</v>
      </c>
    </row>
    <row r="431" spans="1:3" x14ac:dyDescent="0.3">
      <c r="A431" s="3">
        <v>45365</v>
      </c>
      <c r="B431">
        <f>SUMIF(Table1[Date],Sheet2!A431,Table1[Amount])</f>
        <v>34970</v>
      </c>
      <c r="C431" s="6">
        <f t="shared" si="6"/>
        <v>0.81804003119313751</v>
      </c>
    </row>
    <row r="432" spans="1:3" x14ac:dyDescent="0.3">
      <c r="A432" s="3">
        <v>45366</v>
      </c>
      <c r="B432">
        <f>SUMIF(Table1[Date],Sheet2!A432,Table1[Amount])</f>
        <v>23927</v>
      </c>
      <c r="C432" s="6">
        <f t="shared" si="6"/>
        <v>-0.31578495853588789</v>
      </c>
    </row>
    <row r="433" spans="1:3" x14ac:dyDescent="0.3">
      <c r="A433" s="3">
        <v>45367</v>
      </c>
      <c r="B433">
        <f>SUMIF(Table1[Date],Sheet2!A433,Table1[Amount])</f>
        <v>25510</v>
      </c>
      <c r="C433" s="6">
        <f t="shared" si="6"/>
        <v>6.6159568688092946E-2</v>
      </c>
    </row>
    <row r="434" spans="1:3" x14ac:dyDescent="0.3">
      <c r="A434" s="3">
        <v>45368</v>
      </c>
      <c r="B434">
        <f>SUMIF(Table1[Date],Sheet2!A434,Table1[Amount])</f>
        <v>31678</v>
      </c>
      <c r="C434" s="6">
        <f t="shared" si="6"/>
        <v>0.24178753430027441</v>
      </c>
    </row>
    <row r="435" spans="1:3" x14ac:dyDescent="0.3">
      <c r="A435" s="3">
        <v>45369</v>
      </c>
      <c r="B435">
        <f>SUMIF(Table1[Date],Sheet2!A435,Table1[Amount])</f>
        <v>26046</v>
      </c>
      <c r="C435" s="6">
        <f t="shared" si="6"/>
        <v>-0.17778900183092367</v>
      </c>
    </row>
    <row r="436" spans="1:3" x14ac:dyDescent="0.3">
      <c r="A436" s="3">
        <v>45370</v>
      </c>
      <c r="B436">
        <f>SUMIF(Table1[Date],Sheet2!A436,Table1[Amount])</f>
        <v>20326</v>
      </c>
      <c r="C436" s="6">
        <f t="shared" si="6"/>
        <v>-0.21961145665361284</v>
      </c>
    </row>
    <row r="437" spans="1:3" x14ac:dyDescent="0.3">
      <c r="A437" s="3">
        <v>45371</v>
      </c>
      <c r="B437">
        <f>SUMIF(Table1[Date],Sheet2!A437,Table1[Amount])</f>
        <v>21356</v>
      </c>
      <c r="C437" s="6">
        <f t="shared" si="6"/>
        <v>5.0674013578667715E-2</v>
      </c>
    </row>
    <row r="438" spans="1:3" x14ac:dyDescent="0.3">
      <c r="A438" s="3">
        <v>45372</v>
      </c>
      <c r="B438">
        <f>SUMIF(Table1[Date],Sheet2!A438,Table1[Amount])</f>
        <v>9519</v>
      </c>
      <c r="C438" s="6">
        <f t="shared" si="6"/>
        <v>-0.55427046263345192</v>
      </c>
    </row>
    <row r="439" spans="1:3" x14ac:dyDescent="0.3">
      <c r="A439" s="3">
        <v>45373</v>
      </c>
      <c r="B439">
        <f>SUMIF(Table1[Date],Sheet2!A439,Table1[Amount])</f>
        <v>49543</v>
      </c>
      <c r="C439" s="6">
        <f t="shared" si="6"/>
        <v>4.2046433448891687</v>
      </c>
    </row>
    <row r="440" spans="1:3" x14ac:dyDescent="0.3">
      <c r="A440" s="3">
        <v>45374</v>
      </c>
      <c r="B440">
        <f>SUMIF(Table1[Date],Sheet2!A440,Table1[Amount])</f>
        <v>41950</v>
      </c>
      <c r="C440" s="6">
        <f t="shared" si="6"/>
        <v>-0.15326080374624063</v>
      </c>
    </row>
    <row r="441" spans="1:3" x14ac:dyDescent="0.3">
      <c r="A441" s="3">
        <v>45375</v>
      </c>
      <c r="B441">
        <f>SUMIF(Table1[Date],Sheet2!A441,Table1[Amount])</f>
        <v>14274</v>
      </c>
      <c r="C441" s="6">
        <f t="shared" si="6"/>
        <v>-0.65973778307508935</v>
      </c>
    </row>
    <row r="442" spans="1:3" x14ac:dyDescent="0.3">
      <c r="A442" s="3">
        <v>45376</v>
      </c>
      <c r="B442">
        <f>SUMIF(Table1[Date],Sheet2!A442,Table1[Amount])</f>
        <v>47282</v>
      </c>
      <c r="C442" s="6">
        <f t="shared" si="6"/>
        <v>2.3124562140955582</v>
      </c>
    </row>
    <row r="443" spans="1:3" x14ac:dyDescent="0.3">
      <c r="A443" s="3">
        <v>45377</v>
      </c>
      <c r="B443">
        <f>SUMIF(Table1[Date],Sheet2!A443,Table1[Amount])</f>
        <v>40534</v>
      </c>
      <c r="C443" s="6">
        <f t="shared" si="6"/>
        <v>-0.14271815913032443</v>
      </c>
    </row>
    <row r="444" spans="1:3" x14ac:dyDescent="0.3">
      <c r="A444" s="3">
        <v>45378</v>
      </c>
      <c r="B444">
        <f>SUMIF(Table1[Date],Sheet2!A444,Table1[Amount])</f>
        <v>71116</v>
      </c>
      <c r="C444" s="6">
        <f t="shared" si="6"/>
        <v>0.75447772240588151</v>
      </c>
    </row>
    <row r="445" spans="1:3" x14ac:dyDescent="0.3">
      <c r="A445" s="3">
        <v>45379</v>
      </c>
      <c r="B445">
        <f>SUMIF(Table1[Date],Sheet2!A445,Table1[Amount])</f>
        <v>3017</v>
      </c>
      <c r="C445" s="6">
        <f t="shared" si="6"/>
        <v>-0.95757635412565389</v>
      </c>
    </row>
    <row r="446" spans="1:3" x14ac:dyDescent="0.3">
      <c r="A446" s="3">
        <v>45380</v>
      </c>
      <c r="B446">
        <f>SUMIF(Table1[Date],Sheet2!A446,Table1[Amount])</f>
        <v>36988</v>
      </c>
      <c r="C446" s="6">
        <f t="shared" si="6"/>
        <v>11.25986078886311</v>
      </c>
    </row>
    <row r="447" spans="1:3" x14ac:dyDescent="0.3">
      <c r="A447" s="3">
        <v>45381</v>
      </c>
      <c r="B447">
        <f>SUMIF(Table1[Date],Sheet2!A447,Table1[Amount])</f>
        <v>41450</v>
      </c>
      <c r="C447" s="6">
        <f t="shared" si="6"/>
        <v>0.12063371904401428</v>
      </c>
    </row>
    <row r="448" spans="1:3" x14ac:dyDescent="0.3">
      <c r="A448" s="3">
        <v>45382</v>
      </c>
      <c r="B448">
        <f>SUMIF(Table1[Date],Sheet2!A448,Table1[Amount])</f>
        <v>29709</v>
      </c>
      <c r="C448" s="6">
        <f t="shared" si="6"/>
        <v>-0.28325693606755126</v>
      </c>
    </row>
    <row r="449" spans="1:3" x14ac:dyDescent="0.3">
      <c r="A449" s="3">
        <v>45383</v>
      </c>
      <c r="B449">
        <f>SUMIF(Table1[Date],Sheet2!A449,Table1[Amount])</f>
        <v>39209</v>
      </c>
      <c r="C449" s="6">
        <f t="shared" si="6"/>
        <v>0.31976842034400349</v>
      </c>
    </row>
    <row r="450" spans="1:3" x14ac:dyDescent="0.3">
      <c r="A450" s="3">
        <v>45384</v>
      </c>
      <c r="B450">
        <f>SUMIF(Table1[Date],Sheet2!A450,Table1[Amount])</f>
        <v>38632</v>
      </c>
      <c r="C450" s="6">
        <f t="shared" si="6"/>
        <v>-1.4716009079548063E-2</v>
      </c>
    </row>
    <row r="451" spans="1:3" x14ac:dyDescent="0.3">
      <c r="A451" s="3">
        <v>45385</v>
      </c>
      <c r="B451">
        <f>SUMIF(Table1[Date],Sheet2!A451,Table1[Amount])</f>
        <v>14287</v>
      </c>
      <c r="C451" s="6">
        <f t="shared" ref="C451:C514" si="7">(B451-B450)/B450</f>
        <v>-0.63017705529095047</v>
      </c>
    </row>
    <row r="452" spans="1:3" x14ac:dyDescent="0.3">
      <c r="A452" s="3">
        <v>45386</v>
      </c>
      <c r="B452">
        <f>SUMIF(Table1[Date],Sheet2!A452,Table1[Amount])</f>
        <v>26507</v>
      </c>
      <c r="C452" s="6">
        <f t="shared" si="7"/>
        <v>0.85532302092811652</v>
      </c>
    </row>
    <row r="453" spans="1:3" x14ac:dyDescent="0.3">
      <c r="A453" s="3">
        <v>45387</v>
      </c>
      <c r="B453">
        <f>SUMIF(Table1[Date],Sheet2!A453,Table1[Amount])</f>
        <v>16732</v>
      </c>
      <c r="C453" s="6">
        <f t="shared" si="7"/>
        <v>-0.36877051344927753</v>
      </c>
    </row>
    <row r="454" spans="1:3" x14ac:dyDescent="0.3">
      <c r="A454" s="3">
        <v>45388</v>
      </c>
      <c r="B454">
        <f>SUMIF(Table1[Date],Sheet2!A454,Table1[Amount])</f>
        <v>20232</v>
      </c>
      <c r="C454" s="6">
        <f t="shared" si="7"/>
        <v>0.20918001434377242</v>
      </c>
    </row>
    <row r="455" spans="1:3" x14ac:dyDescent="0.3">
      <c r="A455" s="3">
        <v>45389</v>
      </c>
      <c r="B455">
        <f>SUMIF(Table1[Date],Sheet2!A455,Table1[Amount])</f>
        <v>24775</v>
      </c>
      <c r="C455" s="6">
        <f t="shared" si="7"/>
        <v>0.22454527481217873</v>
      </c>
    </row>
    <row r="456" spans="1:3" x14ac:dyDescent="0.3">
      <c r="A456" s="3">
        <v>45390</v>
      </c>
      <c r="B456">
        <f>SUMIF(Table1[Date],Sheet2!A456,Table1[Amount])</f>
        <v>8631</v>
      </c>
      <c r="C456" s="6">
        <f t="shared" si="7"/>
        <v>-0.6516246215943492</v>
      </c>
    </row>
    <row r="457" spans="1:3" x14ac:dyDescent="0.3">
      <c r="A457" s="3">
        <v>45391</v>
      </c>
      <c r="B457">
        <f>SUMIF(Table1[Date],Sheet2!A457,Table1[Amount])</f>
        <v>34647</v>
      </c>
      <c r="C457" s="6">
        <f t="shared" si="7"/>
        <v>3.0142509558567951</v>
      </c>
    </row>
    <row r="458" spans="1:3" x14ac:dyDescent="0.3">
      <c r="A458" s="3">
        <v>45392</v>
      </c>
      <c r="B458">
        <f>SUMIF(Table1[Date],Sheet2!A458,Table1[Amount])</f>
        <v>19562</v>
      </c>
      <c r="C458" s="6">
        <f t="shared" si="7"/>
        <v>-0.4353912315640604</v>
      </c>
    </row>
    <row r="459" spans="1:3" x14ac:dyDescent="0.3">
      <c r="A459" s="3">
        <v>45394</v>
      </c>
      <c r="B459">
        <f>SUMIF(Table1[Date],Sheet2!A459,Table1[Amount])</f>
        <v>13569</v>
      </c>
      <c r="C459" s="6">
        <f t="shared" si="7"/>
        <v>-0.30635926796851037</v>
      </c>
    </row>
    <row r="460" spans="1:3" x14ac:dyDescent="0.3">
      <c r="A460" s="3">
        <v>45395</v>
      </c>
      <c r="B460">
        <f>SUMIF(Table1[Date],Sheet2!A460,Table1[Amount])</f>
        <v>53977</v>
      </c>
      <c r="C460" s="6">
        <f t="shared" si="7"/>
        <v>2.9779644778539316</v>
      </c>
    </row>
    <row r="461" spans="1:3" x14ac:dyDescent="0.3">
      <c r="A461" s="3">
        <v>45396</v>
      </c>
      <c r="B461">
        <f>SUMIF(Table1[Date],Sheet2!A461,Table1[Amount])</f>
        <v>3854</v>
      </c>
      <c r="C461" s="6">
        <f t="shared" si="7"/>
        <v>-0.92859921818552349</v>
      </c>
    </row>
    <row r="462" spans="1:3" x14ac:dyDescent="0.3">
      <c r="A462" s="3">
        <v>45397</v>
      </c>
      <c r="B462">
        <f>SUMIF(Table1[Date],Sheet2!A462,Table1[Amount])</f>
        <v>63974</v>
      </c>
      <c r="C462" s="6">
        <f t="shared" si="7"/>
        <v>15.599377270368448</v>
      </c>
    </row>
    <row r="463" spans="1:3" x14ac:dyDescent="0.3">
      <c r="A463" s="3">
        <v>45398</v>
      </c>
      <c r="B463">
        <f>SUMIF(Table1[Date],Sheet2!A463,Table1[Amount])</f>
        <v>63509</v>
      </c>
      <c r="C463" s="6">
        <f t="shared" si="7"/>
        <v>-7.2685778597555255E-3</v>
      </c>
    </row>
    <row r="464" spans="1:3" x14ac:dyDescent="0.3">
      <c r="A464" s="3">
        <v>45399</v>
      </c>
      <c r="B464">
        <f>SUMIF(Table1[Date],Sheet2!A464,Table1[Amount])</f>
        <v>41197</v>
      </c>
      <c r="C464" s="6">
        <f t="shared" si="7"/>
        <v>-0.35132028531389253</v>
      </c>
    </row>
    <row r="465" spans="1:3" x14ac:dyDescent="0.3">
      <c r="A465" s="3">
        <v>45400</v>
      </c>
      <c r="B465">
        <f>SUMIF(Table1[Date],Sheet2!A465,Table1[Amount])</f>
        <v>19962</v>
      </c>
      <c r="C465" s="6">
        <f t="shared" si="7"/>
        <v>-0.51545015413743722</v>
      </c>
    </row>
    <row r="466" spans="1:3" x14ac:dyDescent="0.3">
      <c r="A466" s="3">
        <v>45401</v>
      </c>
      <c r="B466">
        <f>SUMIF(Table1[Date],Sheet2!A466,Table1[Amount])</f>
        <v>20775</v>
      </c>
      <c r="C466" s="6">
        <f t="shared" si="7"/>
        <v>4.0727382025849114E-2</v>
      </c>
    </row>
    <row r="467" spans="1:3" x14ac:dyDescent="0.3">
      <c r="A467" s="3">
        <v>45402</v>
      </c>
      <c r="B467">
        <f>SUMIF(Table1[Date],Sheet2!A467,Table1[Amount])</f>
        <v>19984</v>
      </c>
      <c r="C467" s="6">
        <f t="shared" si="7"/>
        <v>-3.8074608904933811E-2</v>
      </c>
    </row>
    <row r="468" spans="1:3" x14ac:dyDescent="0.3">
      <c r="A468" s="3">
        <v>45403</v>
      </c>
      <c r="B468">
        <f>SUMIF(Table1[Date],Sheet2!A468,Table1[Amount])</f>
        <v>11386</v>
      </c>
      <c r="C468" s="6">
        <f t="shared" si="7"/>
        <v>-0.43024419535628505</v>
      </c>
    </row>
    <row r="469" spans="1:3" x14ac:dyDescent="0.3">
      <c r="A469" s="3">
        <v>45404</v>
      </c>
      <c r="B469">
        <f>SUMIF(Table1[Date],Sheet2!A469,Table1[Amount])</f>
        <v>26004</v>
      </c>
      <c r="C469" s="6">
        <f t="shared" si="7"/>
        <v>1.2838573686984016</v>
      </c>
    </row>
    <row r="470" spans="1:3" x14ac:dyDescent="0.3">
      <c r="A470" s="3">
        <v>45405</v>
      </c>
      <c r="B470">
        <f>SUMIF(Table1[Date],Sheet2!A470,Table1[Amount])</f>
        <v>27483</v>
      </c>
      <c r="C470" s="6">
        <f t="shared" si="7"/>
        <v>5.687586525149977E-2</v>
      </c>
    </row>
    <row r="471" spans="1:3" x14ac:dyDescent="0.3">
      <c r="A471" s="3">
        <v>45406</v>
      </c>
      <c r="B471">
        <f>SUMIF(Table1[Date],Sheet2!A471,Table1[Amount])</f>
        <v>51067</v>
      </c>
      <c r="C471" s="6">
        <f t="shared" si="7"/>
        <v>0.85813048066077213</v>
      </c>
    </row>
    <row r="472" spans="1:3" x14ac:dyDescent="0.3">
      <c r="A472" s="3">
        <v>45407</v>
      </c>
      <c r="B472">
        <f>SUMIF(Table1[Date],Sheet2!A472,Table1[Amount])</f>
        <v>19919</v>
      </c>
      <c r="C472" s="6">
        <f t="shared" si="7"/>
        <v>-0.60994379932245868</v>
      </c>
    </row>
    <row r="473" spans="1:3" x14ac:dyDescent="0.3">
      <c r="A473" s="3">
        <v>45408</v>
      </c>
      <c r="B473">
        <f>SUMIF(Table1[Date],Sheet2!A473,Table1[Amount])</f>
        <v>22774</v>
      </c>
      <c r="C473" s="6">
        <f t="shared" si="7"/>
        <v>0.14333048847833726</v>
      </c>
    </row>
    <row r="474" spans="1:3" x14ac:dyDescent="0.3">
      <c r="A474" s="3">
        <v>45409</v>
      </c>
      <c r="B474">
        <f>SUMIF(Table1[Date],Sheet2!A474,Table1[Amount])</f>
        <v>9117</v>
      </c>
      <c r="C474" s="6">
        <f t="shared" si="7"/>
        <v>-0.59967506806006854</v>
      </c>
    </row>
    <row r="475" spans="1:3" x14ac:dyDescent="0.3">
      <c r="A475" s="3">
        <v>45410</v>
      </c>
      <c r="B475">
        <f>SUMIF(Table1[Date],Sheet2!A475,Table1[Amount])</f>
        <v>36123</v>
      </c>
      <c r="C475" s="6">
        <f t="shared" si="7"/>
        <v>2.9621586048042121</v>
      </c>
    </row>
    <row r="476" spans="1:3" x14ac:dyDescent="0.3">
      <c r="A476" s="3">
        <v>45411</v>
      </c>
      <c r="B476">
        <f>SUMIF(Table1[Date],Sheet2!A476,Table1[Amount])</f>
        <v>14943</v>
      </c>
      <c r="C476" s="6">
        <f t="shared" si="7"/>
        <v>-0.58633003903330283</v>
      </c>
    </row>
    <row r="477" spans="1:3" x14ac:dyDescent="0.3">
      <c r="A477" s="3">
        <v>45412</v>
      </c>
      <c r="B477">
        <f>SUMIF(Table1[Date],Sheet2!A477,Table1[Amount])</f>
        <v>70407</v>
      </c>
      <c r="C477" s="6">
        <f t="shared" si="7"/>
        <v>3.7117044770126482</v>
      </c>
    </row>
    <row r="478" spans="1:3" x14ac:dyDescent="0.3">
      <c r="A478" s="3">
        <v>45413</v>
      </c>
      <c r="B478">
        <f>SUMIF(Table1[Date],Sheet2!A478,Table1[Amount])</f>
        <v>26429</v>
      </c>
      <c r="C478" s="6">
        <f t="shared" si="7"/>
        <v>-0.62462539236155501</v>
      </c>
    </row>
    <row r="479" spans="1:3" x14ac:dyDescent="0.3">
      <c r="A479" s="3">
        <v>45414</v>
      </c>
      <c r="B479">
        <f>SUMIF(Table1[Date],Sheet2!A479,Table1[Amount])</f>
        <v>26993</v>
      </c>
      <c r="C479" s="6">
        <f t="shared" si="7"/>
        <v>2.1340194483332704E-2</v>
      </c>
    </row>
    <row r="480" spans="1:3" x14ac:dyDescent="0.3">
      <c r="A480" s="3">
        <v>45415</v>
      </c>
      <c r="B480">
        <f>SUMIF(Table1[Date],Sheet2!A480,Table1[Amount])</f>
        <v>90997</v>
      </c>
      <c r="C480" s="6">
        <f t="shared" si="7"/>
        <v>2.3711332567702739</v>
      </c>
    </row>
    <row r="481" spans="1:3" x14ac:dyDescent="0.3">
      <c r="A481" s="3">
        <v>45416</v>
      </c>
      <c r="B481">
        <f>SUMIF(Table1[Date],Sheet2!A481,Table1[Amount])</f>
        <v>35777</v>
      </c>
      <c r="C481" s="6">
        <f t="shared" si="7"/>
        <v>-0.606833192303043</v>
      </c>
    </row>
    <row r="482" spans="1:3" x14ac:dyDescent="0.3">
      <c r="A482" s="3">
        <v>45417</v>
      </c>
      <c r="B482">
        <f>SUMIF(Table1[Date],Sheet2!A482,Table1[Amount])</f>
        <v>38752</v>
      </c>
      <c r="C482" s="6">
        <f t="shared" si="7"/>
        <v>8.3153981608295832E-2</v>
      </c>
    </row>
    <row r="483" spans="1:3" x14ac:dyDescent="0.3">
      <c r="A483" s="3">
        <v>45418</v>
      </c>
      <c r="B483">
        <f>SUMIF(Table1[Date],Sheet2!A483,Table1[Amount])</f>
        <v>14661</v>
      </c>
      <c r="C483" s="6">
        <f t="shared" si="7"/>
        <v>-0.62167113955408748</v>
      </c>
    </row>
    <row r="484" spans="1:3" x14ac:dyDescent="0.3">
      <c r="A484" s="3">
        <v>45419</v>
      </c>
      <c r="B484">
        <f>SUMIF(Table1[Date],Sheet2!A484,Table1[Amount])</f>
        <v>48316</v>
      </c>
      <c r="C484" s="6">
        <f t="shared" si="7"/>
        <v>2.295546006411568</v>
      </c>
    </row>
    <row r="485" spans="1:3" x14ac:dyDescent="0.3">
      <c r="A485" s="3">
        <v>45420</v>
      </c>
      <c r="B485">
        <f>SUMIF(Table1[Date],Sheet2!A485,Table1[Amount])</f>
        <v>1326</v>
      </c>
      <c r="C485" s="6">
        <f t="shared" si="7"/>
        <v>-0.97255567513867047</v>
      </c>
    </row>
    <row r="486" spans="1:3" x14ac:dyDescent="0.3">
      <c r="A486" s="3">
        <v>45421</v>
      </c>
      <c r="B486">
        <f>SUMIF(Table1[Date],Sheet2!A486,Table1[Amount])</f>
        <v>17653</v>
      </c>
      <c r="C486" s="6">
        <f t="shared" si="7"/>
        <v>12.312971342383108</v>
      </c>
    </row>
    <row r="487" spans="1:3" x14ac:dyDescent="0.3">
      <c r="A487" s="3">
        <v>45422</v>
      </c>
      <c r="B487">
        <f>SUMIF(Table1[Date],Sheet2!A487,Table1[Amount])</f>
        <v>28926</v>
      </c>
      <c r="C487" s="6">
        <f t="shared" si="7"/>
        <v>0.63858834192488534</v>
      </c>
    </row>
    <row r="488" spans="1:3" x14ac:dyDescent="0.3">
      <c r="A488" s="3">
        <v>45423</v>
      </c>
      <c r="B488">
        <f>SUMIF(Table1[Date],Sheet2!A488,Table1[Amount])</f>
        <v>32376</v>
      </c>
      <c r="C488" s="6">
        <f t="shared" si="7"/>
        <v>0.11926986102468368</v>
      </c>
    </row>
    <row r="489" spans="1:3" x14ac:dyDescent="0.3">
      <c r="A489" s="3">
        <v>45424</v>
      </c>
      <c r="B489">
        <f>SUMIF(Table1[Date],Sheet2!A489,Table1[Amount])</f>
        <v>30890</v>
      </c>
      <c r="C489" s="6">
        <f t="shared" si="7"/>
        <v>-4.5898196194712131E-2</v>
      </c>
    </row>
    <row r="490" spans="1:3" x14ac:dyDescent="0.3">
      <c r="A490" s="3">
        <v>45425</v>
      </c>
      <c r="B490">
        <f>SUMIF(Table1[Date],Sheet2!A490,Table1[Amount])</f>
        <v>29414</v>
      </c>
      <c r="C490" s="6">
        <f t="shared" si="7"/>
        <v>-4.7782453868565881E-2</v>
      </c>
    </row>
    <row r="491" spans="1:3" x14ac:dyDescent="0.3">
      <c r="A491" s="3">
        <v>45426</v>
      </c>
      <c r="B491">
        <f>SUMIF(Table1[Date],Sheet2!A491,Table1[Amount])</f>
        <v>20857</v>
      </c>
      <c r="C491" s="6">
        <f t="shared" si="7"/>
        <v>-0.29091589039233018</v>
      </c>
    </row>
    <row r="492" spans="1:3" x14ac:dyDescent="0.3">
      <c r="A492" s="3">
        <v>45427</v>
      </c>
      <c r="B492">
        <f>SUMIF(Table1[Date],Sheet2!A492,Table1[Amount])</f>
        <v>34821</v>
      </c>
      <c r="C492" s="6">
        <f t="shared" si="7"/>
        <v>0.66951143500982879</v>
      </c>
    </row>
    <row r="493" spans="1:3" x14ac:dyDescent="0.3">
      <c r="A493" s="3">
        <v>45428</v>
      </c>
      <c r="B493">
        <f>SUMIF(Table1[Date],Sheet2!A493,Table1[Amount])</f>
        <v>37801</v>
      </c>
      <c r="C493" s="6">
        <f t="shared" si="7"/>
        <v>8.5580540478446918E-2</v>
      </c>
    </row>
    <row r="494" spans="1:3" x14ac:dyDescent="0.3">
      <c r="A494" s="3">
        <v>45429</v>
      </c>
      <c r="B494">
        <f>SUMIF(Table1[Date],Sheet2!A494,Table1[Amount])</f>
        <v>56728</v>
      </c>
      <c r="C494" s="6">
        <f t="shared" si="7"/>
        <v>0.50070103965503554</v>
      </c>
    </row>
    <row r="495" spans="1:3" x14ac:dyDescent="0.3">
      <c r="A495" s="3">
        <v>45430</v>
      </c>
      <c r="B495">
        <f>SUMIF(Table1[Date],Sheet2!A495,Table1[Amount])</f>
        <v>48661</v>
      </c>
      <c r="C495" s="6">
        <f t="shared" si="7"/>
        <v>-0.14220490762938937</v>
      </c>
    </row>
    <row r="496" spans="1:3" x14ac:dyDescent="0.3">
      <c r="A496" s="3">
        <v>45431</v>
      </c>
      <c r="B496">
        <f>SUMIF(Table1[Date],Sheet2!A496,Table1[Amount])</f>
        <v>27484</v>
      </c>
      <c r="C496" s="6">
        <f t="shared" si="7"/>
        <v>-0.43519450894967221</v>
      </c>
    </row>
    <row r="497" spans="1:3" x14ac:dyDescent="0.3">
      <c r="A497" s="3">
        <v>45432</v>
      </c>
      <c r="B497">
        <f>SUMIF(Table1[Date],Sheet2!A497,Table1[Amount])</f>
        <v>29057</v>
      </c>
      <c r="C497" s="6">
        <f t="shared" si="7"/>
        <v>5.723329937418134E-2</v>
      </c>
    </row>
    <row r="498" spans="1:3" x14ac:dyDescent="0.3">
      <c r="A498" s="3">
        <v>45433</v>
      </c>
      <c r="B498">
        <f>SUMIF(Table1[Date],Sheet2!A498,Table1[Amount])</f>
        <v>39749</v>
      </c>
      <c r="C498" s="6">
        <f t="shared" si="7"/>
        <v>0.36796641084764431</v>
      </c>
    </row>
    <row r="499" spans="1:3" x14ac:dyDescent="0.3">
      <c r="A499" s="3">
        <v>45434</v>
      </c>
      <c r="B499">
        <f>SUMIF(Table1[Date],Sheet2!A499,Table1[Amount])</f>
        <v>22547</v>
      </c>
      <c r="C499" s="6">
        <f t="shared" si="7"/>
        <v>-0.43276560416614257</v>
      </c>
    </row>
    <row r="500" spans="1:3" x14ac:dyDescent="0.3">
      <c r="A500" s="3">
        <v>45435</v>
      </c>
      <c r="B500">
        <f>SUMIF(Table1[Date],Sheet2!A500,Table1[Amount])</f>
        <v>23778</v>
      </c>
      <c r="C500" s="6">
        <f t="shared" si="7"/>
        <v>5.4597063910941587E-2</v>
      </c>
    </row>
    <row r="501" spans="1:3" x14ac:dyDescent="0.3">
      <c r="A501" s="3">
        <v>45436</v>
      </c>
      <c r="B501">
        <f>SUMIF(Table1[Date],Sheet2!A501,Table1[Amount])</f>
        <v>17825</v>
      </c>
      <c r="C501" s="6">
        <f t="shared" si="7"/>
        <v>-0.25035747329464209</v>
      </c>
    </row>
    <row r="502" spans="1:3" x14ac:dyDescent="0.3">
      <c r="A502" s="3">
        <v>45438</v>
      </c>
      <c r="B502">
        <f>SUMIF(Table1[Date],Sheet2!A502,Table1[Amount])</f>
        <v>49177</v>
      </c>
      <c r="C502" s="6">
        <f t="shared" si="7"/>
        <v>1.7588779803646564</v>
      </c>
    </row>
    <row r="503" spans="1:3" x14ac:dyDescent="0.3">
      <c r="A503" s="3">
        <v>45439</v>
      </c>
      <c r="B503">
        <f>SUMIF(Table1[Date],Sheet2!A503,Table1[Amount])</f>
        <v>28918</v>
      </c>
      <c r="C503" s="6">
        <f t="shared" si="7"/>
        <v>-0.41196087601927728</v>
      </c>
    </row>
    <row r="504" spans="1:3" x14ac:dyDescent="0.3">
      <c r="A504" s="3">
        <v>45440</v>
      </c>
      <c r="B504">
        <f>SUMIF(Table1[Date],Sheet2!A504,Table1[Amount])</f>
        <v>26723</v>
      </c>
      <c r="C504" s="6">
        <f t="shared" si="7"/>
        <v>-7.5904281070613464E-2</v>
      </c>
    </row>
    <row r="505" spans="1:3" x14ac:dyDescent="0.3">
      <c r="A505" s="3">
        <v>45441</v>
      </c>
      <c r="B505">
        <f>SUMIF(Table1[Date],Sheet2!A505,Table1[Amount])</f>
        <v>11127</v>
      </c>
      <c r="C505" s="6">
        <f t="shared" si="7"/>
        <v>-0.58361710885753848</v>
      </c>
    </row>
    <row r="506" spans="1:3" x14ac:dyDescent="0.3">
      <c r="A506" s="3">
        <v>45442</v>
      </c>
      <c r="B506">
        <f>SUMIF(Table1[Date],Sheet2!A506,Table1[Amount])</f>
        <v>37210</v>
      </c>
      <c r="C506" s="6">
        <f t="shared" si="7"/>
        <v>2.344117911386717</v>
      </c>
    </row>
    <row r="507" spans="1:3" x14ac:dyDescent="0.3">
      <c r="A507" s="3">
        <v>45443</v>
      </c>
      <c r="B507">
        <f>SUMIF(Table1[Date],Sheet2!A507,Table1[Amount])</f>
        <v>29431</v>
      </c>
      <c r="C507" s="6">
        <f t="shared" si="7"/>
        <v>-0.20905670518677774</v>
      </c>
    </row>
    <row r="508" spans="1:3" x14ac:dyDescent="0.3">
      <c r="A508" s="3">
        <v>45444</v>
      </c>
      <c r="B508">
        <f>SUMIF(Table1[Date],Sheet2!A508,Table1[Amount])</f>
        <v>26642</v>
      </c>
      <c r="C508" s="6">
        <f t="shared" si="7"/>
        <v>-9.4764024328089433E-2</v>
      </c>
    </row>
    <row r="509" spans="1:3" x14ac:dyDescent="0.3">
      <c r="A509" s="3">
        <v>45445</v>
      </c>
      <c r="B509">
        <f>SUMIF(Table1[Date],Sheet2!A509,Table1[Amount])</f>
        <v>55977</v>
      </c>
      <c r="C509" s="6">
        <f t="shared" si="7"/>
        <v>1.1010809999249305</v>
      </c>
    </row>
    <row r="510" spans="1:3" x14ac:dyDescent="0.3">
      <c r="A510" s="3">
        <v>45446</v>
      </c>
      <c r="B510">
        <f>SUMIF(Table1[Date],Sheet2!A510,Table1[Amount])</f>
        <v>50190</v>
      </c>
      <c r="C510" s="6">
        <f t="shared" si="7"/>
        <v>-0.10338174607428051</v>
      </c>
    </row>
    <row r="511" spans="1:3" x14ac:dyDescent="0.3">
      <c r="A511" s="3">
        <v>45447</v>
      </c>
      <c r="B511">
        <f>SUMIF(Table1[Date],Sheet2!A511,Table1[Amount])</f>
        <v>23670</v>
      </c>
      <c r="C511" s="6">
        <f t="shared" si="7"/>
        <v>-0.52839210998206809</v>
      </c>
    </row>
    <row r="512" spans="1:3" x14ac:dyDescent="0.3">
      <c r="A512" s="3">
        <v>45448</v>
      </c>
      <c r="B512">
        <f>SUMIF(Table1[Date],Sheet2!A512,Table1[Amount])</f>
        <v>13047</v>
      </c>
      <c r="C512" s="6">
        <f t="shared" si="7"/>
        <v>-0.44879594423320657</v>
      </c>
    </row>
    <row r="513" spans="1:3" x14ac:dyDescent="0.3">
      <c r="A513" s="3">
        <v>45449</v>
      </c>
      <c r="B513">
        <f>SUMIF(Table1[Date],Sheet2!A513,Table1[Amount])</f>
        <v>36606</v>
      </c>
      <c r="C513" s="6">
        <f t="shared" si="7"/>
        <v>1.8057024603357095</v>
      </c>
    </row>
    <row r="514" spans="1:3" x14ac:dyDescent="0.3">
      <c r="A514" s="3">
        <v>45450</v>
      </c>
      <c r="B514">
        <f>SUMIF(Table1[Date],Sheet2!A514,Table1[Amount])</f>
        <v>21756</v>
      </c>
      <c r="C514" s="6">
        <f t="shared" si="7"/>
        <v>-0.4056712014423865</v>
      </c>
    </row>
    <row r="515" spans="1:3" x14ac:dyDescent="0.3">
      <c r="A515" s="3">
        <v>45451</v>
      </c>
      <c r="B515">
        <f>SUMIF(Table1[Date],Sheet2!A515,Table1[Amount])</f>
        <v>41798</v>
      </c>
      <c r="C515" s="6">
        <f t="shared" ref="C515:C578" si="8">(B515-B514)/B514</f>
        <v>0.92121713550284978</v>
      </c>
    </row>
    <row r="516" spans="1:3" x14ac:dyDescent="0.3">
      <c r="A516" s="3">
        <v>45452</v>
      </c>
      <c r="B516">
        <f>SUMIF(Table1[Date],Sheet2!A516,Table1[Amount])</f>
        <v>64786</v>
      </c>
      <c r="C516" s="6">
        <f t="shared" si="8"/>
        <v>0.54997846786927607</v>
      </c>
    </row>
    <row r="517" spans="1:3" x14ac:dyDescent="0.3">
      <c r="A517" s="3">
        <v>45453</v>
      </c>
      <c r="B517">
        <f>SUMIF(Table1[Date],Sheet2!A517,Table1[Amount])</f>
        <v>58690</v>
      </c>
      <c r="C517" s="6">
        <f t="shared" si="8"/>
        <v>-9.4094403111783409E-2</v>
      </c>
    </row>
    <row r="518" spans="1:3" x14ac:dyDescent="0.3">
      <c r="A518" s="3">
        <v>45454</v>
      </c>
      <c r="B518">
        <f>SUMIF(Table1[Date],Sheet2!A518,Table1[Amount])</f>
        <v>59844</v>
      </c>
      <c r="C518" s="6">
        <f t="shared" si="8"/>
        <v>1.9662634179587662E-2</v>
      </c>
    </row>
    <row r="519" spans="1:3" x14ac:dyDescent="0.3">
      <c r="A519" s="3">
        <v>45456</v>
      </c>
      <c r="B519">
        <f>SUMIF(Table1[Date],Sheet2!A519,Table1[Amount])</f>
        <v>9420</v>
      </c>
      <c r="C519" s="6">
        <f t="shared" si="8"/>
        <v>-0.84259073591337474</v>
      </c>
    </row>
    <row r="520" spans="1:3" x14ac:dyDescent="0.3">
      <c r="A520" s="3">
        <v>45457</v>
      </c>
      <c r="B520">
        <f>SUMIF(Table1[Date],Sheet2!A520,Table1[Amount])</f>
        <v>18582</v>
      </c>
      <c r="C520" s="6">
        <f t="shared" si="8"/>
        <v>0.97261146496815287</v>
      </c>
    </row>
    <row r="521" spans="1:3" x14ac:dyDescent="0.3">
      <c r="A521" s="3">
        <v>45458</v>
      </c>
      <c r="B521">
        <f>SUMIF(Table1[Date],Sheet2!A521,Table1[Amount])</f>
        <v>33446</v>
      </c>
      <c r="C521" s="6">
        <f t="shared" si="8"/>
        <v>0.79991389516736622</v>
      </c>
    </row>
    <row r="522" spans="1:3" x14ac:dyDescent="0.3">
      <c r="A522" s="3">
        <v>45459</v>
      </c>
      <c r="B522">
        <f>SUMIF(Table1[Date],Sheet2!A522,Table1[Amount])</f>
        <v>60495</v>
      </c>
      <c r="C522" s="6">
        <f t="shared" si="8"/>
        <v>0.80873647072893617</v>
      </c>
    </row>
    <row r="523" spans="1:3" x14ac:dyDescent="0.3">
      <c r="A523" s="3">
        <v>45460</v>
      </c>
      <c r="B523">
        <f>SUMIF(Table1[Date],Sheet2!A523,Table1[Amount])</f>
        <v>35449</v>
      </c>
      <c r="C523" s="6">
        <f t="shared" si="8"/>
        <v>-0.41401768741218281</v>
      </c>
    </row>
    <row r="524" spans="1:3" x14ac:dyDescent="0.3">
      <c r="A524" s="3">
        <v>45461</v>
      </c>
      <c r="B524">
        <f>SUMIF(Table1[Date],Sheet2!A524,Table1[Amount])</f>
        <v>45690</v>
      </c>
      <c r="C524" s="6">
        <f t="shared" si="8"/>
        <v>0.28889390391830516</v>
      </c>
    </row>
    <row r="525" spans="1:3" x14ac:dyDescent="0.3">
      <c r="A525" s="3">
        <v>45462</v>
      </c>
      <c r="B525">
        <f>SUMIF(Table1[Date],Sheet2!A525,Table1[Amount])</f>
        <v>52396</v>
      </c>
      <c r="C525" s="6">
        <f t="shared" si="8"/>
        <v>0.1467717224775662</v>
      </c>
    </row>
    <row r="526" spans="1:3" x14ac:dyDescent="0.3">
      <c r="A526" s="3">
        <v>45463</v>
      </c>
      <c r="B526">
        <f>SUMIF(Table1[Date],Sheet2!A526,Table1[Amount])</f>
        <v>19372</v>
      </c>
      <c r="C526" s="6">
        <f t="shared" si="8"/>
        <v>-0.63027712039086958</v>
      </c>
    </row>
    <row r="527" spans="1:3" x14ac:dyDescent="0.3">
      <c r="A527" s="3">
        <v>45464</v>
      </c>
      <c r="B527">
        <f>SUMIF(Table1[Date],Sheet2!A527,Table1[Amount])</f>
        <v>24268</v>
      </c>
      <c r="C527" s="6">
        <f t="shared" si="8"/>
        <v>0.25273590749535413</v>
      </c>
    </row>
    <row r="528" spans="1:3" x14ac:dyDescent="0.3">
      <c r="A528" s="3">
        <v>45465</v>
      </c>
      <c r="B528">
        <f>SUMIF(Table1[Date],Sheet2!A528,Table1[Amount])</f>
        <v>29364</v>
      </c>
      <c r="C528" s="6">
        <f t="shared" si="8"/>
        <v>0.2099884621724081</v>
      </c>
    </row>
    <row r="529" spans="1:3" x14ac:dyDescent="0.3">
      <c r="A529" s="3">
        <v>45466</v>
      </c>
      <c r="B529">
        <f>SUMIF(Table1[Date],Sheet2!A529,Table1[Amount])</f>
        <v>27055</v>
      </c>
      <c r="C529" s="6">
        <f t="shared" si="8"/>
        <v>-7.8633701130636155E-2</v>
      </c>
    </row>
    <row r="530" spans="1:3" x14ac:dyDescent="0.3">
      <c r="A530" s="3">
        <v>45467</v>
      </c>
      <c r="B530">
        <f>SUMIF(Table1[Date],Sheet2!A530,Table1[Amount])</f>
        <v>38691</v>
      </c>
      <c r="C530" s="6">
        <f t="shared" si="8"/>
        <v>0.43008686009979669</v>
      </c>
    </row>
    <row r="531" spans="1:3" x14ac:dyDescent="0.3">
      <c r="A531" s="3">
        <v>45468</v>
      </c>
      <c r="B531">
        <f>SUMIF(Table1[Date],Sheet2!A531,Table1[Amount])</f>
        <v>4676</v>
      </c>
      <c r="C531" s="6">
        <f t="shared" si="8"/>
        <v>-0.8791450208058722</v>
      </c>
    </row>
    <row r="532" spans="1:3" x14ac:dyDescent="0.3">
      <c r="A532" s="3">
        <v>45469</v>
      </c>
      <c r="B532">
        <f>SUMIF(Table1[Date],Sheet2!A532,Table1[Amount])</f>
        <v>40945</v>
      </c>
      <c r="C532" s="6">
        <f t="shared" si="8"/>
        <v>7.7564157399486744</v>
      </c>
    </row>
    <row r="533" spans="1:3" x14ac:dyDescent="0.3">
      <c r="A533" s="3">
        <v>45470</v>
      </c>
      <c r="B533">
        <f>SUMIF(Table1[Date],Sheet2!A533,Table1[Amount])</f>
        <v>40932</v>
      </c>
      <c r="C533" s="6">
        <f t="shared" si="8"/>
        <v>-3.1749908413725728E-4</v>
      </c>
    </row>
    <row r="534" spans="1:3" x14ac:dyDescent="0.3">
      <c r="A534" s="3">
        <v>45471</v>
      </c>
      <c r="B534">
        <f>SUMIF(Table1[Date],Sheet2!A534,Table1[Amount])</f>
        <v>57255</v>
      </c>
      <c r="C534" s="6">
        <f t="shared" si="8"/>
        <v>0.39878334799179127</v>
      </c>
    </row>
    <row r="535" spans="1:3" x14ac:dyDescent="0.3">
      <c r="A535" s="3">
        <v>45472</v>
      </c>
      <c r="B535">
        <f>SUMIF(Table1[Date],Sheet2!A535,Table1[Amount])</f>
        <v>25127</v>
      </c>
      <c r="C535" s="6">
        <f t="shared" si="8"/>
        <v>-0.56113876517334726</v>
      </c>
    </row>
    <row r="536" spans="1:3" x14ac:dyDescent="0.3">
      <c r="A536" s="3">
        <v>45473</v>
      </c>
      <c r="B536">
        <f>SUMIF(Table1[Date],Sheet2!A536,Table1[Amount])</f>
        <v>50332</v>
      </c>
      <c r="C536" s="6">
        <f t="shared" si="8"/>
        <v>1.0031042305090143</v>
      </c>
    </row>
    <row r="537" spans="1:3" x14ac:dyDescent="0.3">
      <c r="A537" s="3">
        <v>45474</v>
      </c>
      <c r="B537">
        <f>SUMIF(Table1[Date],Sheet2!A537,Table1[Amount])</f>
        <v>62377</v>
      </c>
      <c r="C537" s="6">
        <f t="shared" si="8"/>
        <v>0.23931097512516888</v>
      </c>
    </row>
    <row r="538" spans="1:3" x14ac:dyDescent="0.3">
      <c r="A538" s="3">
        <v>45475</v>
      </c>
      <c r="B538">
        <f>SUMIF(Table1[Date],Sheet2!A538,Table1[Amount])</f>
        <v>33764</v>
      </c>
      <c r="C538" s="6">
        <f t="shared" si="8"/>
        <v>-0.45871074274171569</v>
      </c>
    </row>
    <row r="539" spans="1:3" x14ac:dyDescent="0.3">
      <c r="A539" s="3">
        <v>45476</v>
      </c>
      <c r="B539">
        <f>SUMIF(Table1[Date],Sheet2!A539,Table1[Amount])</f>
        <v>14988</v>
      </c>
      <c r="C539" s="6">
        <f t="shared" si="8"/>
        <v>-0.55609524937803578</v>
      </c>
    </row>
    <row r="540" spans="1:3" x14ac:dyDescent="0.3">
      <c r="A540" s="3">
        <v>45477</v>
      </c>
      <c r="B540">
        <f>SUMIF(Table1[Date],Sheet2!A540,Table1[Amount])</f>
        <v>11543</v>
      </c>
      <c r="C540" s="6">
        <f t="shared" si="8"/>
        <v>-0.22985054710435016</v>
      </c>
    </row>
    <row r="541" spans="1:3" x14ac:dyDescent="0.3">
      <c r="A541" s="3">
        <v>45478</v>
      </c>
      <c r="B541">
        <f>SUMIF(Table1[Date],Sheet2!A541,Table1[Amount])</f>
        <v>1384</v>
      </c>
      <c r="C541" s="6">
        <f t="shared" si="8"/>
        <v>-0.88010049380576971</v>
      </c>
    </row>
    <row r="542" spans="1:3" x14ac:dyDescent="0.3">
      <c r="A542" s="3">
        <v>45479</v>
      </c>
      <c r="B542">
        <f>SUMIF(Table1[Date],Sheet2!A542,Table1[Amount])</f>
        <v>4222</v>
      </c>
      <c r="C542" s="6">
        <f t="shared" si="8"/>
        <v>2.050578034682081</v>
      </c>
    </row>
    <row r="543" spans="1:3" x14ac:dyDescent="0.3">
      <c r="A543" s="3">
        <v>45480</v>
      </c>
      <c r="B543">
        <f>SUMIF(Table1[Date],Sheet2!A543,Table1[Amount])</f>
        <v>38952</v>
      </c>
      <c r="C543" s="6">
        <f t="shared" si="8"/>
        <v>8.2259592610137382</v>
      </c>
    </row>
    <row r="544" spans="1:3" x14ac:dyDescent="0.3">
      <c r="A544" s="3">
        <v>45481</v>
      </c>
      <c r="B544">
        <f>SUMIF(Table1[Date],Sheet2!A544,Table1[Amount])</f>
        <v>36904</v>
      </c>
      <c r="C544" s="6">
        <f t="shared" si="8"/>
        <v>-5.257753132059971E-2</v>
      </c>
    </row>
    <row r="545" spans="1:3" x14ac:dyDescent="0.3">
      <c r="A545" s="3">
        <v>45482</v>
      </c>
      <c r="B545">
        <f>SUMIF(Table1[Date],Sheet2!A545,Table1[Amount])</f>
        <v>64265</v>
      </c>
      <c r="C545" s="6">
        <f t="shared" si="8"/>
        <v>0.74141014524170823</v>
      </c>
    </row>
    <row r="546" spans="1:3" x14ac:dyDescent="0.3">
      <c r="A546" s="3">
        <v>45483</v>
      </c>
      <c r="B546">
        <f>SUMIF(Table1[Date],Sheet2!A546,Table1[Amount])</f>
        <v>51577</v>
      </c>
      <c r="C546" s="6">
        <f t="shared" si="8"/>
        <v>-0.19743250602972068</v>
      </c>
    </row>
    <row r="547" spans="1:3" x14ac:dyDescent="0.3">
      <c r="A547" s="3">
        <v>45484</v>
      </c>
      <c r="B547">
        <f>SUMIF(Table1[Date],Sheet2!A547,Table1[Amount])</f>
        <v>19927</v>
      </c>
      <c r="C547" s="6">
        <f t="shared" si="8"/>
        <v>-0.61364561723248734</v>
      </c>
    </row>
    <row r="548" spans="1:3" x14ac:dyDescent="0.3">
      <c r="A548" s="3">
        <v>45485</v>
      </c>
      <c r="B548">
        <f>SUMIF(Table1[Date],Sheet2!A548,Table1[Amount])</f>
        <v>19970</v>
      </c>
      <c r="C548" s="6">
        <f t="shared" si="8"/>
        <v>2.1578762483063182E-3</v>
      </c>
    </row>
    <row r="549" spans="1:3" x14ac:dyDescent="0.3">
      <c r="A549" s="3">
        <v>45486</v>
      </c>
      <c r="B549">
        <f>SUMIF(Table1[Date],Sheet2!A549,Table1[Amount])</f>
        <v>16270</v>
      </c>
      <c r="C549" s="6">
        <f t="shared" si="8"/>
        <v>-0.18527791687531298</v>
      </c>
    </row>
    <row r="550" spans="1:3" x14ac:dyDescent="0.3">
      <c r="A550" s="3">
        <v>45487</v>
      </c>
      <c r="B550">
        <f>SUMIF(Table1[Date],Sheet2!A550,Table1[Amount])</f>
        <v>37134</v>
      </c>
      <c r="C550" s="6">
        <f t="shared" si="8"/>
        <v>1.2823601720958819</v>
      </c>
    </row>
    <row r="551" spans="1:3" x14ac:dyDescent="0.3">
      <c r="A551" s="3">
        <v>45488</v>
      </c>
      <c r="B551">
        <f>SUMIF(Table1[Date],Sheet2!A551,Table1[Amount])</f>
        <v>28041</v>
      </c>
      <c r="C551" s="6">
        <f t="shared" si="8"/>
        <v>-0.24486993052189368</v>
      </c>
    </row>
    <row r="552" spans="1:3" x14ac:dyDescent="0.3">
      <c r="A552" s="3">
        <v>45489</v>
      </c>
      <c r="B552">
        <f>SUMIF(Table1[Date],Sheet2!A552,Table1[Amount])</f>
        <v>17429</v>
      </c>
      <c r="C552" s="6">
        <f t="shared" si="8"/>
        <v>-0.378445847152384</v>
      </c>
    </row>
    <row r="553" spans="1:3" x14ac:dyDescent="0.3">
      <c r="A553" s="3">
        <v>45490</v>
      </c>
      <c r="B553">
        <f>SUMIF(Table1[Date],Sheet2!A553,Table1[Amount])</f>
        <v>3973</v>
      </c>
      <c r="C553" s="6">
        <f t="shared" si="8"/>
        <v>-0.77204658901830281</v>
      </c>
    </row>
    <row r="554" spans="1:3" x14ac:dyDescent="0.3">
      <c r="A554" s="3">
        <v>45491</v>
      </c>
      <c r="B554">
        <f>SUMIF(Table1[Date],Sheet2!A554,Table1[Amount])</f>
        <v>30969</v>
      </c>
      <c r="C554" s="6">
        <f t="shared" si="8"/>
        <v>6.7948653410521018</v>
      </c>
    </row>
    <row r="555" spans="1:3" x14ac:dyDescent="0.3">
      <c r="A555" s="3">
        <v>45492</v>
      </c>
      <c r="B555">
        <f>SUMIF(Table1[Date],Sheet2!A555,Table1[Amount])</f>
        <v>14859</v>
      </c>
      <c r="C555" s="6">
        <f t="shared" si="8"/>
        <v>-0.52019761697181055</v>
      </c>
    </row>
    <row r="556" spans="1:3" x14ac:dyDescent="0.3">
      <c r="A556" s="3">
        <v>45493</v>
      </c>
      <c r="B556">
        <f>SUMIF(Table1[Date],Sheet2!A556,Table1[Amount])</f>
        <v>18283</v>
      </c>
      <c r="C556" s="6">
        <f t="shared" si="8"/>
        <v>0.23043273436974224</v>
      </c>
    </row>
    <row r="557" spans="1:3" x14ac:dyDescent="0.3">
      <c r="A557" s="3">
        <v>45494</v>
      </c>
      <c r="B557">
        <f>SUMIF(Table1[Date],Sheet2!A557,Table1[Amount])</f>
        <v>46519</v>
      </c>
      <c r="C557" s="6">
        <f t="shared" si="8"/>
        <v>1.5443854947218727</v>
      </c>
    </row>
    <row r="558" spans="1:3" x14ac:dyDescent="0.3">
      <c r="A558" s="3">
        <v>45496</v>
      </c>
      <c r="B558">
        <f>SUMIF(Table1[Date],Sheet2!A558,Table1[Amount])</f>
        <v>7956</v>
      </c>
      <c r="C558" s="6">
        <f t="shared" si="8"/>
        <v>-0.82897310776241961</v>
      </c>
    </row>
    <row r="559" spans="1:3" x14ac:dyDescent="0.3">
      <c r="A559" s="3">
        <v>45497</v>
      </c>
      <c r="B559">
        <f>SUMIF(Table1[Date],Sheet2!A559,Table1[Amount])</f>
        <v>46468</v>
      </c>
      <c r="C559" s="6">
        <f t="shared" si="8"/>
        <v>4.8406234288587227</v>
      </c>
    </row>
    <row r="560" spans="1:3" x14ac:dyDescent="0.3">
      <c r="A560" s="3">
        <v>45498</v>
      </c>
      <c r="B560">
        <f>SUMIF(Table1[Date],Sheet2!A560,Table1[Amount])</f>
        <v>32333</v>
      </c>
      <c r="C560" s="6">
        <f t="shared" si="8"/>
        <v>-0.30418782818283552</v>
      </c>
    </row>
    <row r="561" spans="1:3" x14ac:dyDescent="0.3">
      <c r="A561" s="3">
        <v>45499</v>
      </c>
      <c r="B561">
        <f>SUMIF(Table1[Date],Sheet2!A561,Table1[Amount])</f>
        <v>18003</v>
      </c>
      <c r="C561" s="6">
        <f t="shared" si="8"/>
        <v>-0.44320044536541614</v>
      </c>
    </row>
    <row r="562" spans="1:3" x14ac:dyDescent="0.3">
      <c r="A562" s="3">
        <v>45500</v>
      </c>
      <c r="B562">
        <f>SUMIF(Table1[Date],Sheet2!A562,Table1[Amount])</f>
        <v>9735</v>
      </c>
      <c r="C562" s="6">
        <f t="shared" si="8"/>
        <v>-0.45925679053491086</v>
      </c>
    </row>
    <row r="563" spans="1:3" x14ac:dyDescent="0.3">
      <c r="A563" s="3">
        <v>45501</v>
      </c>
      <c r="B563">
        <f>SUMIF(Table1[Date],Sheet2!A563,Table1[Amount])</f>
        <v>16765</v>
      </c>
      <c r="C563" s="6">
        <f t="shared" si="8"/>
        <v>0.72213662044170523</v>
      </c>
    </row>
    <row r="564" spans="1:3" x14ac:dyDescent="0.3">
      <c r="A564" s="3">
        <v>45502</v>
      </c>
      <c r="B564">
        <f>SUMIF(Table1[Date],Sheet2!A564,Table1[Amount])</f>
        <v>2125</v>
      </c>
      <c r="C564" s="6">
        <f t="shared" si="8"/>
        <v>-0.87324783775723236</v>
      </c>
    </row>
    <row r="565" spans="1:3" x14ac:dyDescent="0.3">
      <c r="A565" s="3">
        <v>45503</v>
      </c>
      <c r="B565">
        <f>SUMIF(Table1[Date],Sheet2!A565,Table1[Amount])</f>
        <v>39343</v>
      </c>
      <c r="C565" s="6">
        <f t="shared" si="8"/>
        <v>17.514352941176469</v>
      </c>
    </row>
    <row r="566" spans="1:3" x14ac:dyDescent="0.3">
      <c r="A566" s="3">
        <v>45504</v>
      </c>
      <c r="B566">
        <f>SUMIF(Table1[Date],Sheet2!A566,Table1[Amount])</f>
        <v>30841</v>
      </c>
      <c r="C566" s="6">
        <f t="shared" si="8"/>
        <v>-0.21609943319014818</v>
      </c>
    </row>
    <row r="567" spans="1:3" x14ac:dyDescent="0.3">
      <c r="A567" s="3">
        <v>45505</v>
      </c>
      <c r="B567">
        <f>SUMIF(Table1[Date],Sheet2!A567,Table1[Amount])</f>
        <v>13611</v>
      </c>
      <c r="C567" s="6">
        <f t="shared" si="8"/>
        <v>-0.55867189779838522</v>
      </c>
    </row>
    <row r="568" spans="1:3" x14ac:dyDescent="0.3">
      <c r="A568" s="3">
        <v>45506</v>
      </c>
      <c r="B568">
        <f>SUMIF(Table1[Date],Sheet2!A568,Table1[Amount])</f>
        <v>18574</v>
      </c>
      <c r="C568" s="6">
        <f t="shared" si="8"/>
        <v>0.36463154801263686</v>
      </c>
    </row>
    <row r="569" spans="1:3" x14ac:dyDescent="0.3">
      <c r="A569" s="3">
        <v>45507</v>
      </c>
      <c r="B569">
        <f>SUMIF(Table1[Date],Sheet2!A569,Table1[Amount])</f>
        <v>31056</v>
      </c>
      <c r="C569" s="6">
        <f t="shared" si="8"/>
        <v>0.67201464412619794</v>
      </c>
    </row>
    <row r="570" spans="1:3" x14ac:dyDescent="0.3">
      <c r="A570" s="3">
        <v>45508</v>
      </c>
      <c r="B570">
        <f>SUMIF(Table1[Date],Sheet2!A570,Table1[Amount])</f>
        <v>18838</v>
      </c>
      <c r="C570" s="6">
        <f t="shared" si="8"/>
        <v>-0.39341834106130863</v>
      </c>
    </row>
    <row r="571" spans="1:3" x14ac:dyDescent="0.3">
      <c r="A571" s="3">
        <v>45509</v>
      </c>
      <c r="B571">
        <f>SUMIF(Table1[Date],Sheet2!A571,Table1[Amount])</f>
        <v>12613</v>
      </c>
      <c r="C571" s="6">
        <f t="shared" si="8"/>
        <v>-0.33044909226032487</v>
      </c>
    </row>
    <row r="572" spans="1:3" x14ac:dyDescent="0.3">
      <c r="A572" s="3">
        <v>45510</v>
      </c>
      <c r="B572">
        <f>SUMIF(Table1[Date],Sheet2!A572,Table1[Amount])</f>
        <v>33483</v>
      </c>
      <c r="C572" s="6">
        <f t="shared" si="8"/>
        <v>1.6546420359946088</v>
      </c>
    </row>
    <row r="573" spans="1:3" x14ac:dyDescent="0.3">
      <c r="A573" s="3">
        <v>45511</v>
      </c>
      <c r="B573">
        <f>SUMIF(Table1[Date],Sheet2!A573,Table1[Amount])</f>
        <v>39972</v>
      </c>
      <c r="C573" s="6">
        <f t="shared" si="8"/>
        <v>0.19379983872412868</v>
      </c>
    </row>
    <row r="574" spans="1:3" x14ac:dyDescent="0.3">
      <c r="A574" s="3">
        <v>45512</v>
      </c>
      <c r="B574">
        <f>SUMIF(Table1[Date],Sheet2!A574,Table1[Amount])</f>
        <v>30796</v>
      </c>
      <c r="C574" s="6">
        <f t="shared" si="8"/>
        <v>-0.22956069248473931</v>
      </c>
    </row>
    <row r="575" spans="1:3" x14ac:dyDescent="0.3">
      <c r="A575" s="3">
        <v>45513</v>
      </c>
      <c r="B575">
        <f>SUMIF(Table1[Date],Sheet2!A575,Table1[Amount])</f>
        <v>19459</v>
      </c>
      <c r="C575" s="6">
        <f t="shared" si="8"/>
        <v>-0.36813222496428105</v>
      </c>
    </row>
    <row r="576" spans="1:3" x14ac:dyDescent="0.3">
      <c r="A576" s="3">
        <v>45514</v>
      </c>
      <c r="B576">
        <f>SUMIF(Table1[Date],Sheet2!A576,Table1[Amount])</f>
        <v>36646</v>
      </c>
      <c r="C576" s="6">
        <f t="shared" si="8"/>
        <v>0.88324168765095845</v>
      </c>
    </row>
    <row r="577" spans="1:3" x14ac:dyDescent="0.3">
      <c r="A577" s="3">
        <v>45515</v>
      </c>
      <c r="B577">
        <f>SUMIF(Table1[Date],Sheet2!A577,Table1[Amount])</f>
        <v>19689</v>
      </c>
      <c r="C577" s="6">
        <f t="shared" si="8"/>
        <v>-0.46272444468700541</v>
      </c>
    </row>
    <row r="578" spans="1:3" x14ac:dyDescent="0.3">
      <c r="A578" s="3">
        <v>45516</v>
      </c>
      <c r="B578">
        <f>SUMIF(Table1[Date],Sheet2!A578,Table1[Amount])</f>
        <v>32598</v>
      </c>
      <c r="C578" s="6">
        <f t="shared" si="8"/>
        <v>0.65564528416882528</v>
      </c>
    </row>
    <row r="579" spans="1:3" x14ac:dyDescent="0.3">
      <c r="A579" s="3">
        <v>45517</v>
      </c>
      <c r="B579">
        <f>SUMIF(Table1[Date],Sheet2!A579,Table1[Amount])</f>
        <v>32208</v>
      </c>
      <c r="C579" s="6">
        <f t="shared" ref="C579:C642" si="9">(B579-B578)/B578</f>
        <v>-1.1963924167126818E-2</v>
      </c>
    </row>
    <row r="580" spans="1:3" x14ac:dyDescent="0.3">
      <c r="A580" s="3">
        <v>45518</v>
      </c>
      <c r="B580">
        <f>SUMIF(Table1[Date],Sheet2!A580,Table1[Amount])</f>
        <v>29784</v>
      </c>
      <c r="C580" s="6">
        <f t="shared" si="9"/>
        <v>-7.5260804769001488E-2</v>
      </c>
    </row>
    <row r="581" spans="1:3" x14ac:dyDescent="0.3">
      <c r="A581" s="3">
        <v>45519</v>
      </c>
      <c r="B581">
        <f>SUMIF(Table1[Date],Sheet2!A581,Table1[Amount])</f>
        <v>37164</v>
      </c>
      <c r="C581" s="6">
        <f t="shared" si="9"/>
        <v>0.24778404512489927</v>
      </c>
    </row>
    <row r="582" spans="1:3" x14ac:dyDescent="0.3">
      <c r="A582" s="3">
        <v>45520</v>
      </c>
      <c r="B582">
        <f>SUMIF(Table1[Date],Sheet2!A582,Table1[Amount])</f>
        <v>38848</v>
      </c>
      <c r="C582" s="6">
        <f t="shared" si="9"/>
        <v>4.5312668173501235E-2</v>
      </c>
    </row>
    <row r="583" spans="1:3" x14ac:dyDescent="0.3">
      <c r="A583" s="3">
        <v>45521</v>
      </c>
      <c r="B583">
        <f>SUMIF(Table1[Date],Sheet2!A583,Table1[Amount])</f>
        <v>13176</v>
      </c>
      <c r="C583" s="6">
        <f t="shared" si="9"/>
        <v>-0.66083196046128501</v>
      </c>
    </row>
    <row r="584" spans="1:3" x14ac:dyDescent="0.3">
      <c r="A584" s="3">
        <v>45522</v>
      </c>
      <c r="B584">
        <f>SUMIF(Table1[Date],Sheet2!A584,Table1[Amount])</f>
        <v>8643</v>
      </c>
      <c r="C584" s="6">
        <f t="shared" si="9"/>
        <v>-0.34403460837887068</v>
      </c>
    </row>
    <row r="585" spans="1:3" x14ac:dyDescent="0.3">
      <c r="A585" s="3">
        <v>45523</v>
      </c>
      <c r="B585">
        <f>SUMIF(Table1[Date],Sheet2!A585,Table1[Amount])</f>
        <v>41813</v>
      </c>
      <c r="C585" s="6">
        <f t="shared" si="9"/>
        <v>3.8377878051602452</v>
      </c>
    </row>
    <row r="586" spans="1:3" x14ac:dyDescent="0.3">
      <c r="A586" s="3">
        <v>45524</v>
      </c>
      <c r="B586">
        <f>SUMIF(Table1[Date],Sheet2!A586,Table1[Amount])</f>
        <v>33699</v>
      </c>
      <c r="C586" s="6">
        <f t="shared" si="9"/>
        <v>-0.19405448066390835</v>
      </c>
    </row>
    <row r="587" spans="1:3" x14ac:dyDescent="0.3">
      <c r="A587" s="3">
        <v>45525</v>
      </c>
      <c r="B587">
        <f>SUMIF(Table1[Date],Sheet2!A587,Table1[Amount])</f>
        <v>58430</v>
      </c>
      <c r="C587" s="6">
        <f t="shared" si="9"/>
        <v>0.73387934360070028</v>
      </c>
    </row>
    <row r="588" spans="1:3" x14ac:dyDescent="0.3">
      <c r="A588" s="3">
        <v>45526</v>
      </c>
      <c r="B588">
        <f>SUMIF(Table1[Date],Sheet2!A588,Table1[Amount])</f>
        <v>31813</v>
      </c>
      <c r="C588" s="6">
        <f t="shared" si="9"/>
        <v>-0.4555365394489132</v>
      </c>
    </row>
    <row r="589" spans="1:3" x14ac:dyDescent="0.3">
      <c r="A589" s="3">
        <v>45527</v>
      </c>
      <c r="B589">
        <f>SUMIF(Table1[Date],Sheet2!A589,Table1[Amount])</f>
        <v>22916</v>
      </c>
      <c r="C589" s="6">
        <f t="shared" si="9"/>
        <v>-0.27966554553170087</v>
      </c>
    </row>
    <row r="590" spans="1:3" x14ac:dyDescent="0.3">
      <c r="A590" s="3">
        <v>45528</v>
      </c>
      <c r="B590">
        <f>SUMIF(Table1[Date],Sheet2!A590,Table1[Amount])</f>
        <v>57327</v>
      </c>
      <c r="C590" s="6">
        <f t="shared" si="9"/>
        <v>1.5016145924245068</v>
      </c>
    </row>
    <row r="591" spans="1:3" x14ac:dyDescent="0.3">
      <c r="A591" s="3">
        <v>45529</v>
      </c>
      <c r="B591">
        <f>SUMIF(Table1[Date],Sheet2!A591,Table1[Amount])</f>
        <v>59516</v>
      </c>
      <c r="C591" s="6">
        <f t="shared" si="9"/>
        <v>3.818445060791599E-2</v>
      </c>
    </row>
    <row r="592" spans="1:3" x14ac:dyDescent="0.3">
      <c r="A592" s="3">
        <v>45530</v>
      </c>
      <c r="B592">
        <f>SUMIF(Table1[Date],Sheet2!A592,Table1[Amount])</f>
        <v>7627</v>
      </c>
      <c r="C592" s="6">
        <f t="shared" si="9"/>
        <v>-0.8718495866657705</v>
      </c>
    </row>
    <row r="593" spans="1:3" x14ac:dyDescent="0.3">
      <c r="A593" s="3">
        <v>45531</v>
      </c>
      <c r="B593">
        <f>SUMIF(Table1[Date],Sheet2!A593,Table1[Amount])</f>
        <v>8244</v>
      </c>
      <c r="C593" s="6">
        <f t="shared" si="9"/>
        <v>8.0896813950439225E-2</v>
      </c>
    </row>
    <row r="594" spans="1:3" x14ac:dyDescent="0.3">
      <c r="A594" s="3">
        <v>45532</v>
      </c>
      <c r="B594">
        <f>SUMIF(Table1[Date],Sheet2!A594,Table1[Amount])</f>
        <v>54025</v>
      </c>
      <c r="C594" s="6">
        <f t="shared" si="9"/>
        <v>5.5532508491023771</v>
      </c>
    </row>
    <row r="595" spans="1:3" x14ac:dyDescent="0.3">
      <c r="A595" s="3">
        <v>45533</v>
      </c>
      <c r="B595">
        <f>SUMIF(Table1[Date],Sheet2!A595,Table1[Amount])</f>
        <v>19290</v>
      </c>
      <c r="C595" s="6">
        <f t="shared" si="9"/>
        <v>-0.64294308190652472</v>
      </c>
    </row>
    <row r="596" spans="1:3" x14ac:dyDescent="0.3">
      <c r="A596" s="3">
        <v>45534</v>
      </c>
      <c r="B596">
        <f>SUMIF(Table1[Date],Sheet2!A596,Table1[Amount])</f>
        <v>1974</v>
      </c>
      <c r="C596" s="6">
        <f t="shared" si="9"/>
        <v>-0.89766718506998444</v>
      </c>
    </row>
    <row r="597" spans="1:3" x14ac:dyDescent="0.3">
      <c r="A597" s="3">
        <v>45535</v>
      </c>
      <c r="B597">
        <f>SUMIF(Table1[Date],Sheet2!A597,Table1[Amount])</f>
        <v>13637</v>
      </c>
      <c r="C597" s="6">
        <f t="shared" si="9"/>
        <v>5.9083080040526852</v>
      </c>
    </row>
    <row r="598" spans="1:3" x14ac:dyDescent="0.3">
      <c r="A598" s="3">
        <v>45536</v>
      </c>
      <c r="B598">
        <f>SUMIF(Table1[Date],Sheet2!A598,Table1[Amount])</f>
        <v>35768</v>
      </c>
      <c r="C598" s="6">
        <f t="shared" si="9"/>
        <v>1.6228642663342376</v>
      </c>
    </row>
    <row r="599" spans="1:3" x14ac:dyDescent="0.3">
      <c r="A599" s="3">
        <v>45537</v>
      </c>
      <c r="B599">
        <f>SUMIF(Table1[Date],Sheet2!A599,Table1[Amount])</f>
        <v>39862</v>
      </c>
      <c r="C599" s="6">
        <f t="shared" si="9"/>
        <v>0.11445985238201745</v>
      </c>
    </row>
    <row r="600" spans="1:3" x14ac:dyDescent="0.3">
      <c r="A600" s="3">
        <v>45538</v>
      </c>
      <c r="B600">
        <f>SUMIF(Table1[Date],Sheet2!A600,Table1[Amount])</f>
        <v>18684</v>
      </c>
      <c r="C600" s="6">
        <f t="shared" si="9"/>
        <v>-0.53128292609502781</v>
      </c>
    </row>
    <row r="601" spans="1:3" x14ac:dyDescent="0.3">
      <c r="A601" s="3">
        <v>45539</v>
      </c>
      <c r="B601">
        <f>SUMIF(Table1[Date],Sheet2!A601,Table1[Amount])</f>
        <v>1416</v>
      </c>
      <c r="C601" s="6">
        <f t="shared" si="9"/>
        <v>-0.92421323057161209</v>
      </c>
    </row>
    <row r="602" spans="1:3" x14ac:dyDescent="0.3">
      <c r="A602" s="3">
        <v>45540</v>
      </c>
      <c r="B602">
        <f>SUMIF(Table1[Date],Sheet2!A602,Table1[Amount])</f>
        <v>39071</v>
      </c>
      <c r="C602" s="6">
        <f t="shared" si="9"/>
        <v>26.592514124293785</v>
      </c>
    </row>
    <row r="603" spans="1:3" x14ac:dyDescent="0.3">
      <c r="A603" s="3">
        <v>45541</v>
      </c>
      <c r="B603">
        <f>SUMIF(Table1[Date],Sheet2!A603,Table1[Amount])</f>
        <v>20895</v>
      </c>
      <c r="C603" s="6">
        <f t="shared" si="9"/>
        <v>-0.46520437152875532</v>
      </c>
    </row>
    <row r="604" spans="1:3" x14ac:dyDescent="0.3">
      <c r="A604" s="3">
        <v>45542</v>
      </c>
      <c r="B604">
        <f>SUMIF(Table1[Date],Sheet2!A604,Table1[Amount])</f>
        <v>60966</v>
      </c>
      <c r="C604" s="6">
        <f t="shared" si="9"/>
        <v>1.9177315147164393</v>
      </c>
    </row>
    <row r="605" spans="1:3" x14ac:dyDescent="0.3">
      <c r="A605" s="3">
        <v>45543</v>
      </c>
      <c r="B605">
        <f>SUMIF(Table1[Date],Sheet2!A605,Table1[Amount])</f>
        <v>23235</v>
      </c>
      <c r="C605" s="6">
        <f t="shared" si="9"/>
        <v>-0.61888593642358036</v>
      </c>
    </row>
    <row r="606" spans="1:3" x14ac:dyDescent="0.3">
      <c r="A606" s="3">
        <v>45544</v>
      </c>
      <c r="B606">
        <f>SUMIF(Table1[Date],Sheet2!A606,Table1[Amount])</f>
        <v>45792</v>
      </c>
      <c r="C606" s="6">
        <f t="shared" si="9"/>
        <v>0.97081988379599737</v>
      </c>
    </row>
    <row r="607" spans="1:3" x14ac:dyDescent="0.3">
      <c r="A607" s="3">
        <v>45545</v>
      </c>
      <c r="B607">
        <f>SUMIF(Table1[Date],Sheet2!A607,Table1[Amount])</f>
        <v>23327</v>
      </c>
      <c r="C607" s="6">
        <f t="shared" si="9"/>
        <v>-0.4905878756114605</v>
      </c>
    </row>
    <row r="608" spans="1:3" x14ac:dyDescent="0.3">
      <c r="A608" s="3">
        <v>45546</v>
      </c>
      <c r="B608">
        <f>SUMIF(Table1[Date],Sheet2!A608,Table1[Amount])</f>
        <v>37999</v>
      </c>
      <c r="C608" s="6">
        <f t="shared" si="9"/>
        <v>0.62897072062416937</v>
      </c>
    </row>
    <row r="609" spans="1:3" x14ac:dyDescent="0.3">
      <c r="A609" s="3">
        <v>45547</v>
      </c>
      <c r="B609">
        <f>SUMIF(Table1[Date],Sheet2!A609,Table1[Amount])</f>
        <v>31066</v>
      </c>
      <c r="C609" s="6">
        <f t="shared" si="9"/>
        <v>-0.18245216979394194</v>
      </c>
    </row>
    <row r="610" spans="1:3" x14ac:dyDescent="0.3">
      <c r="A610" s="3">
        <v>45548</v>
      </c>
      <c r="B610">
        <f>SUMIF(Table1[Date],Sheet2!A610,Table1[Amount])</f>
        <v>35891</v>
      </c>
      <c r="C610" s="6">
        <f t="shared" si="9"/>
        <v>0.15531449172729028</v>
      </c>
    </row>
    <row r="611" spans="1:3" x14ac:dyDescent="0.3">
      <c r="A611" s="3">
        <v>45549</v>
      </c>
      <c r="B611">
        <f>SUMIF(Table1[Date],Sheet2!A611,Table1[Amount])</f>
        <v>48653</v>
      </c>
      <c r="C611" s="6">
        <f t="shared" si="9"/>
        <v>0.35557660694881726</v>
      </c>
    </row>
    <row r="612" spans="1:3" x14ac:dyDescent="0.3">
      <c r="A612" s="3">
        <v>45550</v>
      </c>
      <c r="B612">
        <f>SUMIF(Table1[Date],Sheet2!A612,Table1[Amount])</f>
        <v>9564</v>
      </c>
      <c r="C612" s="6">
        <f t="shared" si="9"/>
        <v>-0.80342424927548151</v>
      </c>
    </row>
    <row r="613" spans="1:3" x14ac:dyDescent="0.3">
      <c r="A613" s="3">
        <v>45552</v>
      </c>
      <c r="B613">
        <f>SUMIF(Table1[Date],Sheet2!A613,Table1[Amount])</f>
        <v>29465</v>
      </c>
      <c r="C613" s="6">
        <f t="shared" si="9"/>
        <v>2.0808239230447509</v>
      </c>
    </row>
    <row r="614" spans="1:3" x14ac:dyDescent="0.3">
      <c r="A614" s="3">
        <v>45553</v>
      </c>
      <c r="B614">
        <f>SUMIF(Table1[Date],Sheet2!A614,Table1[Amount])</f>
        <v>39782</v>
      </c>
      <c r="C614" s="6">
        <f t="shared" si="9"/>
        <v>0.35014423892754115</v>
      </c>
    </row>
    <row r="615" spans="1:3" x14ac:dyDescent="0.3">
      <c r="A615" s="3">
        <v>45554</v>
      </c>
      <c r="B615">
        <f>SUMIF(Table1[Date],Sheet2!A615,Table1[Amount])</f>
        <v>1071</v>
      </c>
      <c r="C615" s="6">
        <f t="shared" si="9"/>
        <v>-0.97307827660751089</v>
      </c>
    </row>
    <row r="616" spans="1:3" x14ac:dyDescent="0.3">
      <c r="A616" s="3">
        <v>45555</v>
      </c>
      <c r="B616">
        <f>SUMIF(Table1[Date],Sheet2!A616,Table1[Amount])</f>
        <v>41881</v>
      </c>
      <c r="C616" s="6">
        <f t="shared" si="9"/>
        <v>38.104575163398692</v>
      </c>
    </row>
    <row r="617" spans="1:3" x14ac:dyDescent="0.3">
      <c r="A617" s="3">
        <v>45556</v>
      </c>
      <c r="B617">
        <f>SUMIF(Table1[Date],Sheet2!A617,Table1[Amount])</f>
        <v>1491</v>
      </c>
      <c r="C617" s="6">
        <f t="shared" si="9"/>
        <v>-0.96439913087080065</v>
      </c>
    </row>
    <row r="618" spans="1:3" x14ac:dyDescent="0.3">
      <c r="A618" s="3">
        <v>45557</v>
      </c>
      <c r="B618">
        <f>SUMIF(Table1[Date],Sheet2!A618,Table1[Amount])</f>
        <v>17553</v>
      </c>
      <c r="C618" s="6">
        <f t="shared" si="9"/>
        <v>10.772635814889336</v>
      </c>
    </row>
    <row r="619" spans="1:3" x14ac:dyDescent="0.3">
      <c r="A619" s="3">
        <v>45558</v>
      </c>
      <c r="B619">
        <f>SUMIF(Table1[Date],Sheet2!A619,Table1[Amount])</f>
        <v>43799</v>
      </c>
      <c r="C619" s="6">
        <f t="shared" si="9"/>
        <v>1.4952429784082493</v>
      </c>
    </row>
    <row r="620" spans="1:3" x14ac:dyDescent="0.3">
      <c r="A620" s="3">
        <v>45559</v>
      </c>
      <c r="B620">
        <f>SUMIF(Table1[Date],Sheet2!A620,Table1[Amount])</f>
        <v>37023</v>
      </c>
      <c r="C620" s="6">
        <f t="shared" si="9"/>
        <v>-0.15470672846412017</v>
      </c>
    </row>
    <row r="621" spans="1:3" x14ac:dyDescent="0.3">
      <c r="A621" s="3">
        <v>45560</v>
      </c>
      <c r="B621">
        <f>SUMIF(Table1[Date],Sheet2!A621,Table1[Amount])</f>
        <v>16011</v>
      </c>
      <c r="C621" s="6">
        <f t="shared" si="9"/>
        <v>-0.56753909731788343</v>
      </c>
    </row>
    <row r="622" spans="1:3" x14ac:dyDescent="0.3">
      <c r="A622" s="3">
        <v>45561</v>
      </c>
      <c r="B622">
        <f>SUMIF(Table1[Date],Sheet2!A622,Table1[Amount])</f>
        <v>29135</v>
      </c>
      <c r="C622" s="6">
        <f t="shared" si="9"/>
        <v>0.81968646555493097</v>
      </c>
    </row>
    <row r="623" spans="1:3" x14ac:dyDescent="0.3">
      <c r="A623" s="3">
        <v>45562</v>
      </c>
      <c r="B623">
        <f>SUMIF(Table1[Date],Sheet2!A623,Table1[Amount])</f>
        <v>10840</v>
      </c>
      <c r="C623" s="6">
        <f t="shared" si="9"/>
        <v>-0.62793890509696237</v>
      </c>
    </row>
    <row r="624" spans="1:3" x14ac:dyDescent="0.3">
      <c r="A624" s="3">
        <v>45563</v>
      </c>
      <c r="B624">
        <f>SUMIF(Table1[Date],Sheet2!A624,Table1[Amount])</f>
        <v>37118</v>
      </c>
      <c r="C624" s="6">
        <f t="shared" si="9"/>
        <v>2.4241697416974168</v>
      </c>
    </row>
    <row r="625" spans="1:3" x14ac:dyDescent="0.3">
      <c r="A625" s="3">
        <v>45564</v>
      </c>
      <c r="B625">
        <f>SUMIF(Table1[Date],Sheet2!A625,Table1[Amount])</f>
        <v>41409</v>
      </c>
      <c r="C625" s="6">
        <f t="shared" si="9"/>
        <v>0.11560428902419312</v>
      </c>
    </row>
    <row r="626" spans="1:3" x14ac:dyDescent="0.3">
      <c r="A626" s="3">
        <v>45565</v>
      </c>
      <c r="B626">
        <f>SUMIF(Table1[Date],Sheet2!A626,Table1[Amount])</f>
        <v>19227</v>
      </c>
      <c r="C626" s="6">
        <f t="shared" si="9"/>
        <v>-0.53568064913424618</v>
      </c>
    </row>
    <row r="627" spans="1:3" x14ac:dyDescent="0.3">
      <c r="A627" s="3">
        <v>45566</v>
      </c>
      <c r="B627">
        <f>SUMIF(Table1[Date],Sheet2!A627,Table1[Amount])</f>
        <v>8184</v>
      </c>
      <c r="C627" s="6">
        <f t="shared" si="9"/>
        <v>-0.57434857232017478</v>
      </c>
    </row>
    <row r="628" spans="1:3" x14ac:dyDescent="0.3">
      <c r="A628" s="3">
        <v>45567</v>
      </c>
      <c r="B628">
        <f>SUMIF(Table1[Date],Sheet2!A628,Table1[Amount])</f>
        <v>17858</v>
      </c>
      <c r="C628" s="6">
        <f t="shared" si="9"/>
        <v>1.1820625610948192</v>
      </c>
    </row>
    <row r="629" spans="1:3" x14ac:dyDescent="0.3">
      <c r="A629" s="3">
        <v>45568</v>
      </c>
      <c r="B629">
        <f>SUMIF(Table1[Date],Sheet2!A629,Table1[Amount])</f>
        <v>16838</v>
      </c>
      <c r="C629" s="6">
        <f t="shared" si="9"/>
        <v>-5.7117258371598166E-2</v>
      </c>
    </row>
    <row r="630" spans="1:3" x14ac:dyDescent="0.3">
      <c r="A630" s="3">
        <v>45569</v>
      </c>
      <c r="B630">
        <f>SUMIF(Table1[Date],Sheet2!A630,Table1[Amount])</f>
        <v>1693</v>
      </c>
      <c r="C630" s="6">
        <f t="shared" si="9"/>
        <v>-0.89945361681909963</v>
      </c>
    </row>
    <row r="631" spans="1:3" x14ac:dyDescent="0.3">
      <c r="A631" s="3">
        <v>45570</v>
      </c>
      <c r="B631">
        <f>SUMIF(Table1[Date],Sheet2!A631,Table1[Amount])</f>
        <v>32568</v>
      </c>
      <c r="C631" s="6">
        <f t="shared" si="9"/>
        <v>18.236857649143531</v>
      </c>
    </row>
    <row r="632" spans="1:3" x14ac:dyDescent="0.3">
      <c r="A632" s="3">
        <v>45571</v>
      </c>
      <c r="B632">
        <f>SUMIF(Table1[Date],Sheet2!A632,Table1[Amount])</f>
        <v>30053</v>
      </c>
      <c r="C632" s="6">
        <f t="shared" si="9"/>
        <v>-7.7223041021861949E-2</v>
      </c>
    </row>
    <row r="633" spans="1:3" x14ac:dyDescent="0.3">
      <c r="A633" s="3">
        <v>45572</v>
      </c>
      <c r="B633">
        <f>SUMIF(Table1[Date],Sheet2!A633,Table1[Amount])</f>
        <v>28237</v>
      </c>
      <c r="C633" s="6">
        <f t="shared" si="9"/>
        <v>-6.0426579709180445E-2</v>
      </c>
    </row>
    <row r="634" spans="1:3" x14ac:dyDescent="0.3">
      <c r="A634" s="3">
        <v>45573</v>
      </c>
      <c r="B634">
        <f>SUMIF(Table1[Date],Sheet2!A634,Table1[Amount])</f>
        <v>5359</v>
      </c>
      <c r="C634" s="6">
        <f t="shared" si="9"/>
        <v>-0.81021354959804515</v>
      </c>
    </row>
    <row r="635" spans="1:3" x14ac:dyDescent="0.3">
      <c r="A635" s="3">
        <v>45574</v>
      </c>
      <c r="B635">
        <f>SUMIF(Table1[Date],Sheet2!A635,Table1[Amount])</f>
        <v>15489</v>
      </c>
      <c r="C635" s="6">
        <f t="shared" si="9"/>
        <v>1.8902780369471917</v>
      </c>
    </row>
    <row r="636" spans="1:3" x14ac:dyDescent="0.3">
      <c r="A636" s="3">
        <v>45575</v>
      </c>
      <c r="B636">
        <f>SUMIF(Table1[Date],Sheet2!A636,Table1[Amount])</f>
        <v>22151</v>
      </c>
      <c r="C636" s="6">
        <f t="shared" si="9"/>
        <v>0.43011169216863582</v>
      </c>
    </row>
    <row r="637" spans="1:3" x14ac:dyDescent="0.3">
      <c r="A637" s="3">
        <v>45576</v>
      </c>
      <c r="B637">
        <f>SUMIF(Table1[Date],Sheet2!A637,Table1[Amount])</f>
        <v>65592</v>
      </c>
      <c r="C637" s="6">
        <f t="shared" si="9"/>
        <v>1.9611304230057334</v>
      </c>
    </row>
    <row r="638" spans="1:3" x14ac:dyDescent="0.3">
      <c r="A638" s="3">
        <v>45577</v>
      </c>
      <c r="B638">
        <f>SUMIF(Table1[Date],Sheet2!A638,Table1[Amount])</f>
        <v>23922</v>
      </c>
      <c r="C638" s="6">
        <f t="shared" si="9"/>
        <v>-0.63529088913282106</v>
      </c>
    </row>
    <row r="639" spans="1:3" x14ac:dyDescent="0.3">
      <c r="A639" s="3">
        <v>45578</v>
      </c>
      <c r="B639">
        <f>SUMIF(Table1[Date],Sheet2!A639,Table1[Amount])</f>
        <v>35935</v>
      </c>
      <c r="C639" s="6">
        <f t="shared" si="9"/>
        <v>0.50217373129337017</v>
      </c>
    </row>
    <row r="640" spans="1:3" x14ac:dyDescent="0.3">
      <c r="A640" s="3">
        <v>45579</v>
      </c>
      <c r="B640">
        <f>SUMIF(Table1[Date],Sheet2!A640,Table1[Amount])</f>
        <v>33219</v>
      </c>
      <c r="C640" s="6">
        <f t="shared" si="9"/>
        <v>-7.5580909976346186E-2</v>
      </c>
    </row>
    <row r="641" spans="1:3" x14ac:dyDescent="0.3">
      <c r="A641" s="3">
        <v>45580</v>
      </c>
      <c r="B641">
        <f>SUMIF(Table1[Date],Sheet2!A641,Table1[Amount])</f>
        <v>52105</v>
      </c>
      <c r="C641" s="6">
        <f t="shared" si="9"/>
        <v>0.56853005809928048</v>
      </c>
    </row>
    <row r="642" spans="1:3" x14ac:dyDescent="0.3">
      <c r="A642" s="3">
        <v>45581</v>
      </c>
      <c r="B642">
        <f>SUMIF(Table1[Date],Sheet2!A642,Table1[Amount])</f>
        <v>11937</v>
      </c>
      <c r="C642" s="6">
        <f t="shared" si="9"/>
        <v>-0.77090490356011898</v>
      </c>
    </row>
    <row r="643" spans="1:3" x14ac:dyDescent="0.3">
      <c r="A643" s="3">
        <v>45582</v>
      </c>
      <c r="B643">
        <f>SUMIF(Table1[Date],Sheet2!A643,Table1[Amount])</f>
        <v>3848</v>
      </c>
      <c r="C643" s="6">
        <f t="shared" ref="C643:C706" si="10">(B643-B642)/B642</f>
        <v>-0.67764094831197119</v>
      </c>
    </row>
    <row r="644" spans="1:3" x14ac:dyDescent="0.3">
      <c r="A644" s="3">
        <v>45583</v>
      </c>
      <c r="B644">
        <f>SUMIF(Table1[Date],Sheet2!A644,Table1[Amount])</f>
        <v>28528</v>
      </c>
      <c r="C644" s="6">
        <f t="shared" si="10"/>
        <v>6.4137214137214134</v>
      </c>
    </row>
    <row r="645" spans="1:3" x14ac:dyDescent="0.3">
      <c r="A645" s="3">
        <v>45584</v>
      </c>
      <c r="B645">
        <f>SUMIF(Table1[Date],Sheet2!A645,Table1[Amount])</f>
        <v>48317</v>
      </c>
      <c r="C645" s="6">
        <f t="shared" si="10"/>
        <v>0.6936693774537297</v>
      </c>
    </row>
    <row r="646" spans="1:3" x14ac:dyDescent="0.3">
      <c r="A646" s="3">
        <v>45585</v>
      </c>
      <c r="B646">
        <f>SUMIF(Table1[Date],Sheet2!A646,Table1[Amount])</f>
        <v>8716</v>
      </c>
      <c r="C646" s="6">
        <f t="shared" si="10"/>
        <v>-0.81960800546391543</v>
      </c>
    </row>
    <row r="647" spans="1:3" x14ac:dyDescent="0.3">
      <c r="A647" s="3">
        <v>45586</v>
      </c>
      <c r="B647">
        <f>SUMIF(Table1[Date],Sheet2!A647,Table1[Amount])</f>
        <v>28759</v>
      </c>
      <c r="C647" s="6">
        <f t="shared" si="10"/>
        <v>2.299564020192749</v>
      </c>
    </row>
    <row r="648" spans="1:3" x14ac:dyDescent="0.3">
      <c r="A648" s="3">
        <v>45587</v>
      </c>
      <c r="B648">
        <f>SUMIF(Table1[Date],Sheet2!A648,Table1[Amount])</f>
        <v>41273</v>
      </c>
      <c r="C648" s="6">
        <f t="shared" si="10"/>
        <v>0.43513334956013772</v>
      </c>
    </row>
    <row r="649" spans="1:3" x14ac:dyDescent="0.3">
      <c r="A649" s="3">
        <v>45588</v>
      </c>
      <c r="B649">
        <f>SUMIF(Table1[Date],Sheet2!A649,Table1[Amount])</f>
        <v>36599</v>
      </c>
      <c r="C649" s="6">
        <f t="shared" si="10"/>
        <v>-0.11324594771400188</v>
      </c>
    </row>
    <row r="650" spans="1:3" x14ac:dyDescent="0.3">
      <c r="A650" s="3">
        <v>45589</v>
      </c>
      <c r="B650">
        <f>SUMIF(Table1[Date],Sheet2!A650,Table1[Amount])</f>
        <v>38875</v>
      </c>
      <c r="C650" s="6">
        <f t="shared" si="10"/>
        <v>6.2187491461515344E-2</v>
      </c>
    </row>
    <row r="651" spans="1:3" x14ac:dyDescent="0.3">
      <c r="A651" s="3">
        <v>45590</v>
      </c>
      <c r="B651">
        <f>SUMIF(Table1[Date],Sheet2!A651,Table1[Amount])</f>
        <v>1162</v>
      </c>
      <c r="C651" s="6">
        <f t="shared" si="10"/>
        <v>-0.97010932475884248</v>
      </c>
    </row>
    <row r="652" spans="1:3" x14ac:dyDescent="0.3">
      <c r="A652" s="3">
        <v>45591</v>
      </c>
      <c r="B652">
        <f>SUMIF(Table1[Date],Sheet2!A652,Table1[Amount])</f>
        <v>14544</v>
      </c>
      <c r="C652" s="6">
        <f t="shared" si="10"/>
        <v>11.516351118760758</v>
      </c>
    </row>
    <row r="653" spans="1:3" x14ac:dyDescent="0.3">
      <c r="A653" s="3">
        <v>45592</v>
      </c>
      <c r="B653">
        <f>SUMIF(Table1[Date],Sheet2!A653,Table1[Amount])</f>
        <v>5676</v>
      </c>
      <c r="C653" s="6">
        <f t="shared" si="10"/>
        <v>-0.60973597359735976</v>
      </c>
    </row>
    <row r="654" spans="1:3" x14ac:dyDescent="0.3">
      <c r="A654" s="3">
        <v>45593</v>
      </c>
      <c r="B654">
        <f>SUMIF(Table1[Date],Sheet2!A654,Table1[Amount])</f>
        <v>27887</v>
      </c>
      <c r="C654" s="6">
        <f t="shared" si="10"/>
        <v>3.9131430584918956</v>
      </c>
    </row>
    <row r="655" spans="1:3" x14ac:dyDescent="0.3">
      <c r="A655" s="3">
        <v>45594</v>
      </c>
      <c r="B655">
        <f>SUMIF(Table1[Date],Sheet2!A655,Table1[Amount])</f>
        <v>19092</v>
      </c>
      <c r="C655" s="6">
        <f t="shared" si="10"/>
        <v>-0.31537992613045507</v>
      </c>
    </row>
    <row r="656" spans="1:3" x14ac:dyDescent="0.3">
      <c r="A656" s="3">
        <v>45595</v>
      </c>
      <c r="B656">
        <f>SUMIF(Table1[Date],Sheet2!A656,Table1[Amount])</f>
        <v>25516</v>
      </c>
      <c r="C656" s="6">
        <f t="shared" si="10"/>
        <v>0.33647601089461554</v>
      </c>
    </row>
    <row r="657" spans="1:3" x14ac:dyDescent="0.3">
      <c r="A657" s="3">
        <v>45596</v>
      </c>
      <c r="B657">
        <f>SUMIF(Table1[Date],Sheet2!A657,Table1[Amount])</f>
        <v>12048</v>
      </c>
      <c r="C657" s="6">
        <f t="shared" si="10"/>
        <v>-0.52782567800595703</v>
      </c>
    </row>
    <row r="658" spans="1:3" x14ac:dyDescent="0.3">
      <c r="A658" s="3">
        <v>45597</v>
      </c>
      <c r="B658">
        <f>SUMIF(Table1[Date],Sheet2!A658,Table1[Amount])</f>
        <v>41971</v>
      </c>
      <c r="C658" s="6">
        <f t="shared" si="10"/>
        <v>2.4836487383798143</v>
      </c>
    </row>
    <row r="659" spans="1:3" x14ac:dyDescent="0.3">
      <c r="A659" s="3">
        <v>45598</v>
      </c>
      <c r="B659">
        <f>SUMIF(Table1[Date],Sheet2!A659,Table1[Amount])</f>
        <v>23855</v>
      </c>
      <c r="C659" s="6">
        <f t="shared" si="10"/>
        <v>-0.43163136451359274</v>
      </c>
    </row>
    <row r="660" spans="1:3" x14ac:dyDescent="0.3">
      <c r="A660" s="3">
        <v>45599</v>
      </c>
      <c r="B660">
        <f>SUMIF(Table1[Date],Sheet2!A660,Table1[Amount])</f>
        <v>31803</v>
      </c>
      <c r="C660" s="6">
        <f t="shared" si="10"/>
        <v>0.33317962691259695</v>
      </c>
    </row>
    <row r="661" spans="1:3" x14ac:dyDescent="0.3">
      <c r="A661" s="3">
        <v>45600</v>
      </c>
      <c r="B661">
        <f>SUMIF(Table1[Date],Sheet2!A661,Table1[Amount])</f>
        <v>42554</v>
      </c>
      <c r="C661" s="6">
        <f t="shared" si="10"/>
        <v>0.33804986950916582</v>
      </c>
    </row>
    <row r="662" spans="1:3" x14ac:dyDescent="0.3">
      <c r="A662" s="3">
        <v>45601</v>
      </c>
      <c r="B662">
        <f>SUMIF(Table1[Date],Sheet2!A662,Table1[Amount])</f>
        <v>32501</v>
      </c>
      <c r="C662" s="6">
        <f t="shared" si="10"/>
        <v>-0.23624101142078299</v>
      </c>
    </row>
    <row r="663" spans="1:3" x14ac:dyDescent="0.3">
      <c r="A663" s="3">
        <v>45602</v>
      </c>
      <c r="B663">
        <f>SUMIF(Table1[Date],Sheet2!A663,Table1[Amount])</f>
        <v>18035</v>
      </c>
      <c r="C663" s="6">
        <f t="shared" si="10"/>
        <v>-0.4450939971077813</v>
      </c>
    </row>
    <row r="664" spans="1:3" x14ac:dyDescent="0.3">
      <c r="A664" s="3">
        <v>45603</v>
      </c>
      <c r="B664">
        <f>SUMIF(Table1[Date],Sheet2!A664,Table1[Amount])</f>
        <v>36538</v>
      </c>
      <c r="C664" s="6">
        <f t="shared" si="10"/>
        <v>1.0259495425561409</v>
      </c>
    </row>
    <row r="665" spans="1:3" x14ac:dyDescent="0.3">
      <c r="A665" s="3">
        <v>45604</v>
      </c>
      <c r="B665">
        <f>SUMIF(Table1[Date],Sheet2!A665,Table1[Amount])</f>
        <v>40878</v>
      </c>
      <c r="C665" s="6">
        <f t="shared" si="10"/>
        <v>0.11878044775302425</v>
      </c>
    </row>
    <row r="666" spans="1:3" x14ac:dyDescent="0.3">
      <c r="A666" s="3">
        <v>45605</v>
      </c>
      <c r="B666">
        <f>SUMIF(Table1[Date],Sheet2!A666,Table1[Amount])</f>
        <v>17285</v>
      </c>
      <c r="C666" s="6">
        <f t="shared" si="10"/>
        <v>-0.57715641665443518</v>
      </c>
    </row>
    <row r="667" spans="1:3" x14ac:dyDescent="0.3">
      <c r="A667" s="3">
        <v>45606</v>
      </c>
      <c r="B667">
        <f>SUMIF(Table1[Date],Sheet2!A667,Table1[Amount])</f>
        <v>44074</v>
      </c>
      <c r="C667" s="6">
        <f t="shared" si="10"/>
        <v>1.5498409025166329</v>
      </c>
    </row>
    <row r="668" spans="1:3" x14ac:dyDescent="0.3">
      <c r="A668" s="3">
        <v>45607</v>
      </c>
      <c r="B668">
        <f>SUMIF(Table1[Date],Sheet2!A668,Table1[Amount])</f>
        <v>29833</v>
      </c>
      <c r="C668" s="6">
        <f t="shared" si="10"/>
        <v>-0.32311566910196488</v>
      </c>
    </row>
    <row r="669" spans="1:3" x14ac:dyDescent="0.3">
      <c r="A669" s="3">
        <v>45608</v>
      </c>
      <c r="B669">
        <f>SUMIF(Table1[Date],Sheet2!A669,Table1[Amount])</f>
        <v>24736</v>
      </c>
      <c r="C669" s="6">
        <f t="shared" si="10"/>
        <v>-0.17085107096168672</v>
      </c>
    </row>
    <row r="670" spans="1:3" x14ac:dyDescent="0.3">
      <c r="A670" s="3">
        <v>45609</v>
      </c>
      <c r="B670">
        <f>SUMIF(Table1[Date],Sheet2!A670,Table1[Amount])</f>
        <v>25798</v>
      </c>
      <c r="C670" s="6">
        <f t="shared" si="10"/>
        <v>4.2933376455368696E-2</v>
      </c>
    </row>
    <row r="671" spans="1:3" x14ac:dyDescent="0.3">
      <c r="A671" s="3">
        <v>45610</v>
      </c>
      <c r="B671">
        <f>SUMIF(Table1[Date],Sheet2!A671,Table1[Amount])</f>
        <v>41723</v>
      </c>
      <c r="C671" s="6">
        <f t="shared" si="10"/>
        <v>0.61729591441196996</v>
      </c>
    </row>
    <row r="672" spans="1:3" x14ac:dyDescent="0.3">
      <c r="A672" s="3">
        <v>45611</v>
      </c>
      <c r="B672">
        <f>SUMIF(Table1[Date],Sheet2!A672,Table1[Amount])</f>
        <v>43920</v>
      </c>
      <c r="C672" s="6">
        <f t="shared" si="10"/>
        <v>5.2656807995589965E-2</v>
      </c>
    </row>
    <row r="673" spans="1:3" x14ac:dyDescent="0.3">
      <c r="A673" s="3">
        <v>45612</v>
      </c>
      <c r="B673">
        <f>SUMIF(Table1[Date],Sheet2!A673,Table1[Amount])</f>
        <v>16467</v>
      </c>
      <c r="C673" s="6">
        <f t="shared" si="10"/>
        <v>-0.625068306010929</v>
      </c>
    </row>
    <row r="674" spans="1:3" x14ac:dyDescent="0.3">
      <c r="A674" s="3">
        <v>45613</v>
      </c>
      <c r="B674">
        <f>SUMIF(Table1[Date],Sheet2!A674,Table1[Amount])</f>
        <v>21659</v>
      </c>
      <c r="C674" s="6">
        <f t="shared" si="10"/>
        <v>0.31529726118904478</v>
      </c>
    </row>
    <row r="675" spans="1:3" x14ac:dyDescent="0.3">
      <c r="A675" s="3">
        <v>45614</v>
      </c>
      <c r="B675">
        <f>SUMIF(Table1[Date],Sheet2!A675,Table1[Amount])</f>
        <v>7146</v>
      </c>
      <c r="C675" s="6">
        <f t="shared" si="10"/>
        <v>-0.67006787016944458</v>
      </c>
    </row>
    <row r="676" spans="1:3" x14ac:dyDescent="0.3">
      <c r="A676" s="3">
        <v>45615</v>
      </c>
      <c r="B676">
        <f>SUMIF(Table1[Date],Sheet2!A676,Table1[Amount])</f>
        <v>6373</v>
      </c>
      <c r="C676" s="6">
        <f t="shared" si="10"/>
        <v>-0.10817240414217744</v>
      </c>
    </row>
    <row r="677" spans="1:3" x14ac:dyDescent="0.3">
      <c r="A677" s="3">
        <v>45616</v>
      </c>
      <c r="B677">
        <f>SUMIF(Table1[Date],Sheet2!A677,Table1[Amount])</f>
        <v>37266</v>
      </c>
      <c r="C677" s="6">
        <f t="shared" si="10"/>
        <v>4.8474815628432451</v>
      </c>
    </row>
    <row r="678" spans="1:3" x14ac:dyDescent="0.3">
      <c r="A678" s="3">
        <v>45617</v>
      </c>
      <c r="B678">
        <f>SUMIF(Table1[Date],Sheet2!A678,Table1[Amount])</f>
        <v>46691</v>
      </c>
      <c r="C678" s="6">
        <f t="shared" si="10"/>
        <v>0.25291150110019855</v>
      </c>
    </row>
    <row r="679" spans="1:3" x14ac:dyDescent="0.3">
      <c r="A679" s="3">
        <v>45618</v>
      </c>
      <c r="B679">
        <f>SUMIF(Table1[Date],Sheet2!A679,Table1[Amount])</f>
        <v>16809</v>
      </c>
      <c r="C679" s="6">
        <f t="shared" si="10"/>
        <v>-0.63999485982309223</v>
      </c>
    </row>
    <row r="680" spans="1:3" x14ac:dyDescent="0.3">
      <c r="A680" s="3">
        <v>45619</v>
      </c>
      <c r="B680">
        <f>SUMIF(Table1[Date],Sheet2!A680,Table1[Amount])</f>
        <v>17489</v>
      </c>
      <c r="C680" s="6">
        <f t="shared" si="10"/>
        <v>4.0454518412755075E-2</v>
      </c>
    </row>
    <row r="681" spans="1:3" x14ac:dyDescent="0.3">
      <c r="A681" s="3">
        <v>45620</v>
      </c>
      <c r="B681">
        <f>SUMIF(Table1[Date],Sheet2!A681,Table1[Amount])</f>
        <v>21016</v>
      </c>
      <c r="C681" s="6">
        <f t="shared" si="10"/>
        <v>0.20166962090456858</v>
      </c>
    </row>
    <row r="682" spans="1:3" x14ac:dyDescent="0.3">
      <c r="A682" s="3">
        <v>45621</v>
      </c>
      <c r="B682">
        <f>SUMIF(Table1[Date],Sheet2!A682,Table1[Amount])</f>
        <v>56555</v>
      </c>
      <c r="C682" s="6">
        <f t="shared" si="10"/>
        <v>1.6910449181575942</v>
      </c>
    </row>
    <row r="683" spans="1:3" x14ac:dyDescent="0.3">
      <c r="A683" s="3">
        <v>45622</v>
      </c>
      <c r="B683">
        <f>SUMIF(Table1[Date],Sheet2!A683,Table1[Amount])</f>
        <v>14015</v>
      </c>
      <c r="C683" s="6">
        <f t="shared" si="10"/>
        <v>-0.75218813544337371</v>
      </c>
    </row>
    <row r="684" spans="1:3" x14ac:dyDescent="0.3">
      <c r="A684" s="3">
        <v>45623</v>
      </c>
      <c r="B684">
        <f>SUMIF(Table1[Date],Sheet2!A684,Table1[Amount])</f>
        <v>15583</v>
      </c>
      <c r="C684" s="6">
        <f t="shared" si="10"/>
        <v>0.11188012843382091</v>
      </c>
    </row>
    <row r="685" spans="1:3" x14ac:dyDescent="0.3">
      <c r="A685" s="3">
        <v>45624</v>
      </c>
      <c r="B685">
        <f>SUMIF(Table1[Date],Sheet2!A685,Table1[Amount])</f>
        <v>52546</v>
      </c>
      <c r="C685" s="6">
        <f t="shared" si="10"/>
        <v>2.3720079573894628</v>
      </c>
    </row>
    <row r="686" spans="1:3" x14ac:dyDescent="0.3">
      <c r="A686" s="3">
        <v>45626</v>
      </c>
      <c r="B686">
        <f>SUMIF(Table1[Date],Sheet2!A686,Table1[Amount])</f>
        <v>13882</v>
      </c>
      <c r="C686" s="6">
        <f t="shared" si="10"/>
        <v>-0.7358124310128269</v>
      </c>
    </row>
    <row r="687" spans="1:3" x14ac:dyDescent="0.3">
      <c r="A687" s="3">
        <v>45627</v>
      </c>
      <c r="B687">
        <f>SUMIF(Table1[Date],Sheet2!A687,Table1[Amount])</f>
        <v>17542</v>
      </c>
      <c r="C687" s="6">
        <f t="shared" si="10"/>
        <v>0.26365077078230803</v>
      </c>
    </row>
    <row r="688" spans="1:3" x14ac:dyDescent="0.3">
      <c r="A688" s="3">
        <v>45628</v>
      </c>
      <c r="B688">
        <f>SUMIF(Table1[Date],Sheet2!A688,Table1[Amount])</f>
        <v>52451</v>
      </c>
      <c r="C688" s="6">
        <f t="shared" si="10"/>
        <v>1.9900239425379089</v>
      </c>
    </row>
    <row r="689" spans="1:3" x14ac:dyDescent="0.3">
      <c r="A689" s="3">
        <v>45629</v>
      </c>
      <c r="B689">
        <f>SUMIF(Table1[Date],Sheet2!A689,Table1[Amount])</f>
        <v>5539</v>
      </c>
      <c r="C689" s="6">
        <f t="shared" si="10"/>
        <v>-0.89439667499189723</v>
      </c>
    </row>
    <row r="690" spans="1:3" x14ac:dyDescent="0.3">
      <c r="A690" s="3">
        <v>45630</v>
      </c>
      <c r="B690">
        <f>SUMIF(Table1[Date],Sheet2!A690,Table1[Amount])</f>
        <v>30189</v>
      </c>
      <c r="C690" s="6">
        <f t="shared" si="10"/>
        <v>4.4502617801047117</v>
      </c>
    </row>
    <row r="691" spans="1:3" x14ac:dyDescent="0.3">
      <c r="A691" s="3">
        <v>45631</v>
      </c>
      <c r="B691">
        <f>SUMIF(Table1[Date],Sheet2!A691,Table1[Amount])</f>
        <v>26983</v>
      </c>
      <c r="C691" s="6">
        <f t="shared" si="10"/>
        <v>-0.10619762165026997</v>
      </c>
    </row>
    <row r="692" spans="1:3" x14ac:dyDescent="0.3">
      <c r="A692" s="3">
        <v>45632</v>
      </c>
      <c r="B692">
        <f>SUMIF(Table1[Date],Sheet2!A692,Table1[Amount])</f>
        <v>15925</v>
      </c>
      <c r="C692" s="6">
        <f t="shared" si="10"/>
        <v>-0.40981358633213505</v>
      </c>
    </row>
    <row r="693" spans="1:3" x14ac:dyDescent="0.3">
      <c r="A693" s="3">
        <v>45633</v>
      </c>
      <c r="B693">
        <f>SUMIF(Table1[Date],Sheet2!A693,Table1[Amount])</f>
        <v>23375</v>
      </c>
      <c r="C693" s="6">
        <f t="shared" si="10"/>
        <v>0.46781789638932497</v>
      </c>
    </row>
    <row r="694" spans="1:3" x14ac:dyDescent="0.3">
      <c r="A694" s="3">
        <v>45634</v>
      </c>
      <c r="B694">
        <f>SUMIF(Table1[Date],Sheet2!A694,Table1[Amount])</f>
        <v>20254</v>
      </c>
      <c r="C694" s="6">
        <f t="shared" si="10"/>
        <v>-0.13351871657754011</v>
      </c>
    </row>
    <row r="695" spans="1:3" x14ac:dyDescent="0.3">
      <c r="A695" s="3">
        <v>45635</v>
      </c>
      <c r="B695">
        <f>SUMIF(Table1[Date],Sheet2!A695,Table1[Amount])</f>
        <v>26324</v>
      </c>
      <c r="C695" s="6">
        <f t="shared" si="10"/>
        <v>0.29969388762713539</v>
      </c>
    </row>
    <row r="696" spans="1:3" x14ac:dyDescent="0.3">
      <c r="A696" s="3">
        <v>45636</v>
      </c>
      <c r="B696">
        <f>SUMIF(Table1[Date],Sheet2!A696,Table1[Amount])</f>
        <v>35590</v>
      </c>
      <c r="C696" s="6">
        <f t="shared" si="10"/>
        <v>0.35199817656891053</v>
      </c>
    </row>
    <row r="697" spans="1:3" x14ac:dyDescent="0.3">
      <c r="A697" s="3">
        <v>45637</v>
      </c>
      <c r="B697">
        <f>SUMIF(Table1[Date],Sheet2!A697,Table1[Amount])</f>
        <v>40785</v>
      </c>
      <c r="C697" s="6">
        <f t="shared" si="10"/>
        <v>0.1459679685304861</v>
      </c>
    </row>
    <row r="698" spans="1:3" x14ac:dyDescent="0.3">
      <c r="A698" s="3">
        <v>45638</v>
      </c>
      <c r="B698">
        <f>SUMIF(Table1[Date],Sheet2!A698,Table1[Amount])</f>
        <v>30666</v>
      </c>
      <c r="C698" s="6">
        <f t="shared" si="10"/>
        <v>-0.24810592129459361</v>
      </c>
    </row>
    <row r="699" spans="1:3" x14ac:dyDescent="0.3">
      <c r="A699" s="3">
        <v>45639</v>
      </c>
      <c r="B699">
        <f>SUMIF(Table1[Date],Sheet2!A699,Table1[Amount])</f>
        <v>30422</v>
      </c>
      <c r="C699" s="6">
        <f t="shared" si="10"/>
        <v>-7.9566947107545822E-3</v>
      </c>
    </row>
    <row r="700" spans="1:3" x14ac:dyDescent="0.3">
      <c r="A700" s="3">
        <v>45640</v>
      </c>
      <c r="B700">
        <f>SUMIF(Table1[Date],Sheet2!A700,Table1[Amount])</f>
        <v>47463</v>
      </c>
      <c r="C700" s="6">
        <f t="shared" si="10"/>
        <v>0.56015383603970814</v>
      </c>
    </row>
    <row r="701" spans="1:3" x14ac:dyDescent="0.3">
      <c r="A701" s="3">
        <v>45641</v>
      </c>
      <c r="B701">
        <f>SUMIF(Table1[Date],Sheet2!A701,Table1[Amount])</f>
        <v>20407</v>
      </c>
      <c r="C701" s="6">
        <f t="shared" si="10"/>
        <v>-0.5700440343004024</v>
      </c>
    </row>
    <row r="702" spans="1:3" x14ac:dyDescent="0.3">
      <c r="A702" s="3">
        <v>45642</v>
      </c>
      <c r="B702">
        <f>SUMIF(Table1[Date],Sheet2!A702,Table1[Amount])</f>
        <v>4945</v>
      </c>
      <c r="C702" s="6">
        <f t="shared" si="10"/>
        <v>-0.75768118782770622</v>
      </c>
    </row>
    <row r="703" spans="1:3" x14ac:dyDescent="0.3">
      <c r="A703" s="3">
        <v>45643</v>
      </c>
      <c r="B703">
        <f>SUMIF(Table1[Date],Sheet2!A703,Table1[Amount])</f>
        <v>18489</v>
      </c>
      <c r="C703" s="6">
        <f t="shared" si="10"/>
        <v>2.738928210313448</v>
      </c>
    </row>
    <row r="704" spans="1:3" x14ac:dyDescent="0.3">
      <c r="A704" s="3">
        <v>45644</v>
      </c>
      <c r="B704">
        <f>SUMIF(Table1[Date],Sheet2!A704,Table1[Amount])</f>
        <v>26890</v>
      </c>
      <c r="C704" s="6">
        <f t="shared" si="10"/>
        <v>0.45437827897668887</v>
      </c>
    </row>
    <row r="705" spans="1:3" x14ac:dyDescent="0.3">
      <c r="A705" s="3">
        <v>45645</v>
      </c>
      <c r="B705">
        <f>SUMIF(Table1[Date],Sheet2!A705,Table1[Amount])</f>
        <v>19679</v>
      </c>
      <c r="C705" s="6">
        <f t="shared" si="10"/>
        <v>-0.26816660468575676</v>
      </c>
    </row>
    <row r="706" spans="1:3" x14ac:dyDescent="0.3">
      <c r="A706" s="3">
        <v>45646</v>
      </c>
      <c r="B706">
        <f>SUMIF(Table1[Date],Sheet2!A706,Table1[Amount])</f>
        <v>9909</v>
      </c>
      <c r="C706" s="6">
        <f t="shared" si="10"/>
        <v>-0.49646831647949591</v>
      </c>
    </row>
    <row r="707" spans="1:3" x14ac:dyDescent="0.3">
      <c r="A707" s="3">
        <v>45647</v>
      </c>
      <c r="B707">
        <f>SUMIF(Table1[Date],Sheet2!A707,Table1[Amount])</f>
        <v>16642</v>
      </c>
      <c r="C707" s="6">
        <f t="shared" ref="C707:C716" si="11">(B707-B706)/B706</f>
        <v>0.67948329801190832</v>
      </c>
    </row>
    <row r="708" spans="1:3" x14ac:dyDescent="0.3">
      <c r="A708" s="3">
        <v>45648</v>
      </c>
      <c r="B708">
        <f>SUMIF(Table1[Date],Sheet2!A708,Table1[Amount])</f>
        <v>30069</v>
      </c>
      <c r="C708" s="6">
        <f t="shared" si="11"/>
        <v>0.80681408484557149</v>
      </c>
    </row>
    <row r="709" spans="1:3" x14ac:dyDescent="0.3">
      <c r="A709" s="3">
        <v>45649</v>
      </c>
      <c r="B709">
        <f>SUMIF(Table1[Date],Sheet2!A709,Table1[Amount])</f>
        <v>8162</v>
      </c>
      <c r="C709" s="6">
        <f t="shared" si="11"/>
        <v>-0.72855765073663903</v>
      </c>
    </row>
    <row r="710" spans="1:3" x14ac:dyDescent="0.3">
      <c r="A710" s="3">
        <v>45650</v>
      </c>
      <c r="B710">
        <f>SUMIF(Table1[Date],Sheet2!A710,Table1[Amount])</f>
        <v>11762</v>
      </c>
      <c r="C710" s="6">
        <f t="shared" si="11"/>
        <v>0.44106836559666751</v>
      </c>
    </row>
    <row r="711" spans="1:3" x14ac:dyDescent="0.3">
      <c r="A711" s="3">
        <v>45651</v>
      </c>
      <c r="B711">
        <f>SUMIF(Table1[Date],Sheet2!A711,Table1[Amount])</f>
        <v>37541</v>
      </c>
      <c r="C711" s="6">
        <f t="shared" si="11"/>
        <v>2.1917190953919401</v>
      </c>
    </row>
    <row r="712" spans="1:3" x14ac:dyDescent="0.3">
      <c r="A712" s="3">
        <v>45652</v>
      </c>
      <c r="B712">
        <f>SUMIF(Table1[Date],Sheet2!A712,Table1[Amount])</f>
        <v>2063</v>
      </c>
      <c r="C712" s="6">
        <f t="shared" si="11"/>
        <v>-0.94504674888788254</v>
      </c>
    </row>
    <row r="713" spans="1:3" x14ac:dyDescent="0.3">
      <c r="A713" s="3">
        <v>45653</v>
      </c>
      <c r="B713">
        <f>SUMIF(Table1[Date],Sheet2!A713,Table1[Amount])</f>
        <v>33877</v>
      </c>
      <c r="C713" s="6">
        <f t="shared" si="11"/>
        <v>15.421231216674746</v>
      </c>
    </row>
    <row r="714" spans="1:3" x14ac:dyDescent="0.3">
      <c r="A714" s="3">
        <v>45655</v>
      </c>
      <c r="B714">
        <f>SUMIF(Table1[Date],Sheet2!A714,Table1[Amount])</f>
        <v>42026</v>
      </c>
      <c r="C714" s="6">
        <f t="shared" si="11"/>
        <v>0.24054668359063672</v>
      </c>
    </row>
    <row r="715" spans="1:3" x14ac:dyDescent="0.3">
      <c r="A715" s="3">
        <v>45656</v>
      </c>
      <c r="B715">
        <f>SUMIF(Table1[Date],Sheet2!A715,Table1[Amount])</f>
        <v>17943</v>
      </c>
      <c r="C715" s="6">
        <f t="shared" si="11"/>
        <v>-0.57305001665635558</v>
      </c>
    </row>
    <row r="716" spans="1:3" x14ac:dyDescent="0.3">
      <c r="A716" s="3">
        <v>45657</v>
      </c>
      <c r="B716">
        <f>SUMIF(Table1[Date],Sheet2!A716,Table1[Amount])</f>
        <v>59015</v>
      </c>
      <c r="C716" s="6">
        <f t="shared" si="11"/>
        <v>2.2890263612550856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Sheet3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Dylan Butterfield 2025 (N1423084)</cp:lastModifiedBy>
  <dcterms:created xsi:type="dcterms:W3CDTF">2026-01-04T06:36:34Z</dcterms:created>
  <dcterms:modified xsi:type="dcterms:W3CDTF">2026-01-09T18:12:49Z</dcterms:modified>
</cp:coreProperties>
</file>