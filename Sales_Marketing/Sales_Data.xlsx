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timelines/timeline1.xml" ContentType="application/vnd.ms-excel.timelin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Student\Documents\Github\ISYS40251_Deriving-Value-Data-Analytics\Sales_Marketing\"/>
    </mc:Choice>
  </mc:AlternateContent>
  <xr:revisionPtr revIDLastSave="0" documentId="13_ncr:1_{2A5CCCE8-2B7D-40CB-8081-A4E42ADA2037}" xr6:coauthVersionLast="47" xr6:coauthVersionMax="47" xr10:uidLastSave="{00000000-0000-0000-0000-000000000000}"/>
  <bookViews>
    <workbookView xWindow="-108" yWindow="-108" windowWidth="23256" windowHeight="12456" firstSheet="1" activeTab="5" xr2:uid="{00000000-000D-0000-FFFF-FFFF00000000}"/>
  </bookViews>
  <sheets>
    <sheet name="MasterSheet" sheetId="8" r:id="rId1"/>
    <sheet name="Product_Sales" sheetId="1" r:id="rId2"/>
    <sheet name="Daily_Totals" sheetId="2" r:id="rId3"/>
    <sheet name="Monthly_Growth" sheetId="4" r:id="rId4"/>
    <sheet name="Yearly_Growth" sheetId="7" r:id="rId5"/>
    <sheet name="Sales_Per_Representative" sheetId="5" r:id="rId6"/>
    <sheet name="Sales_Per_Rep_Yearly_Goal" sheetId="6" r:id="rId7"/>
    <sheet name="Sheet3" sheetId="3" r:id="rId8"/>
  </sheets>
  <definedNames>
    <definedName name="_xlnm._FilterDatabase" localSheetId="0" hidden="1">MasterSheet!$A$1:$M$2739</definedName>
    <definedName name="_xlnm._FilterDatabase" localSheetId="5" hidden="1">Sales_Per_Representative!$A$1:$C$31</definedName>
    <definedName name="NativeTimeline_Date">#N/A</definedName>
  </definedNames>
  <calcPr calcId="191029"/>
  <pivotCaches>
    <pivotCache cacheId="0" r:id="rId9"/>
  </pivotCaches>
  <extLs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10"/>
      </x15:timelineCacheRef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635" i="8" l="1"/>
  <c r="G2636" i="8"/>
  <c r="G2637" i="8"/>
  <c r="G2638" i="8"/>
  <c r="G2639" i="8"/>
  <c r="G2640" i="8"/>
  <c r="G2641" i="8"/>
  <c r="G2642" i="8"/>
  <c r="G2643" i="8"/>
  <c r="G2644" i="8"/>
  <c r="G2645" i="8"/>
  <c r="G2646" i="8"/>
  <c r="G2647" i="8"/>
  <c r="G2648" i="8"/>
  <c r="G2649" i="8"/>
  <c r="G2650" i="8"/>
  <c r="G2651" i="8"/>
  <c r="G2652" i="8"/>
  <c r="G2653" i="8"/>
  <c r="G2654" i="8"/>
  <c r="G2655" i="8"/>
  <c r="G2656" i="8"/>
  <c r="G2657" i="8"/>
  <c r="G2658" i="8"/>
  <c r="G2659" i="8"/>
  <c r="G2660" i="8"/>
  <c r="G2661" i="8"/>
  <c r="G2662" i="8"/>
  <c r="G2663" i="8"/>
  <c r="G2664" i="8"/>
  <c r="G2665" i="8"/>
  <c r="G2666" i="8"/>
  <c r="G2667" i="8"/>
  <c r="G2668" i="8"/>
  <c r="G2669" i="8"/>
  <c r="G2670" i="8"/>
  <c r="G2671" i="8"/>
  <c r="G2672" i="8"/>
  <c r="G2673" i="8"/>
  <c r="G2674" i="8"/>
  <c r="G2675" i="8"/>
  <c r="G2676" i="8"/>
  <c r="G2677" i="8"/>
  <c r="G2678" i="8"/>
  <c r="G2679" i="8"/>
  <c r="G2680" i="8"/>
  <c r="G2681" i="8"/>
  <c r="G2682" i="8"/>
  <c r="G2683" i="8"/>
  <c r="G2684" i="8"/>
  <c r="G2685" i="8"/>
  <c r="G2686" i="8"/>
  <c r="G2687" i="8"/>
  <c r="G2688" i="8"/>
  <c r="G2689" i="8"/>
  <c r="G2690" i="8"/>
  <c r="G2691" i="8"/>
  <c r="G2692" i="8"/>
  <c r="G2693" i="8"/>
  <c r="G2694" i="8"/>
  <c r="G2695" i="8"/>
  <c r="G2696" i="8"/>
  <c r="G2697" i="8"/>
  <c r="G2698" i="8"/>
  <c r="G2699" i="8"/>
  <c r="G2700" i="8"/>
  <c r="G2701" i="8"/>
  <c r="G2702" i="8"/>
  <c r="G2703" i="8"/>
  <c r="G2704" i="8"/>
  <c r="G2705" i="8"/>
  <c r="G2706" i="8"/>
  <c r="G2707" i="8"/>
  <c r="G2708" i="8"/>
  <c r="G2709" i="8"/>
  <c r="G2710" i="8"/>
  <c r="G2711" i="8"/>
  <c r="G2712" i="8"/>
  <c r="G2713" i="8"/>
  <c r="G2714" i="8"/>
  <c r="G2715" i="8"/>
  <c r="G2716" i="8"/>
  <c r="G2717" i="8"/>
  <c r="G2718" i="8"/>
  <c r="G2719" i="8"/>
  <c r="G2720" i="8"/>
  <c r="G2721" i="8"/>
  <c r="G2722" i="8"/>
  <c r="G2723" i="8"/>
  <c r="G2724" i="8"/>
  <c r="G2725" i="8"/>
  <c r="G2726" i="8"/>
  <c r="G2727" i="8"/>
  <c r="G2728" i="8"/>
  <c r="G2729" i="8"/>
  <c r="G2730" i="8"/>
  <c r="G2731" i="8"/>
  <c r="G2732" i="8"/>
  <c r="G2733" i="8"/>
  <c r="G2734" i="8"/>
  <c r="G2735" i="8"/>
  <c r="G2736" i="8"/>
  <c r="G2737" i="8"/>
  <c r="G2738" i="8"/>
  <c r="G2739" i="8"/>
  <c r="G2634" i="8"/>
  <c r="G1242" i="8"/>
  <c r="G1243" i="8"/>
  <c r="G1244" i="8"/>
  <c r="G1245" i="8"/>
  <c r="G1246" i="8"/>
  <c r="G1247" i="8"/>
  <c r="G1248" i="8"/>
  <c r="G1249" i="8"/>
  <c r="G1250" i="8"/>
  <c r="G1251" i="8"/>
  <c r="G1252" i="8"/>
  <c r="G1253" i="8"/>
  <c r="G1254" i="8"/>
  <c r="G1255" i="8"/>
  <c r="G1256" i="8"/>
  <c r="G1257" i="8"/>
  <c r="G1258" i="8"/>
  <c r="G1259" i="8"/>
  <c r="G1260" i="8"/>
  <c r="G1261" i="8"/>
  <c r="G1262" i="8"/>
  <c r="G1263" i="8"/>
  <c r="G1264" i="8"/>
  <c r="G1265" i="8"/>
  <c r="G1266" i="8"/>
  <c r="G1267" i="8"/>
  <c r="G1268" i="8"/>
  <c r="G1269" i="8"/>
  <c r="G1270" i="8"/>
  <c r="G1271" i="8"/>
  <c r="G1272" i="8"/>
  <c r="G1273" i="8"/>
  <c r="G1274" i="8"/>
  <c r="G1275" i="8"/>
  <c r="G1276" i="8"/>
  <c r="G1277" i="8"/>
  <c r="G1278" i="8"/>
  <c r="G1279" i="8"/>
  <c r="G1280" i="8"/>
  <c r="G1281" i="8"/>
  <c r="G1282" i="8"/>
  <c r="G1283" i="8"/>
  <c r="G1284" i="8"/>
  <c r="G1285" i="8"/>
  <c r="G1286" i="8"/>
  <c r="G1287" i="8"/>
  <c r="G1288" i="8"/>
  <c r="G1289" i="8"/>
  <c r="G1290" i="8"/>
  <c r="G1291" i="8"/>
  <c r="G1292" i="8"/>
  <c r="G1293" i="8"/>
  <c r="G1294" i="8"/>
  <c r="G1295" i="8"/>
  <c r="G1296" i="8"/>
  <c r="G1297" i="8"/>
  <c r="G1298" i="8"/>
  <c r="G1299" i="8"/>
  <c r="G1300" i="8"/>
  <c r="G1301" i="8"/>
  <c r="G1302" i="8"/>
  <c r="G1303" i="8"/>
  <c r="G1304" i="8"/>
  <c r="G1305" i="8"/>
  <c r="G1306" i="8"/>
  <c r="G1307" i="8"/>
  <c r="G1308" i="8"/>
  <c r="G1309" i="8"/>
  <c r="G1310" i="8"/>
  <c r="G1311" i="8"/>
  <c r="G1312" i="8"/>
  <c r="G1313" i="8"/>
  <c r="G1314" i="8"/>
  <c r="G1315" i="8"/>
  <c r="G1316" i="8"/>
  <c r="G1317" i="8"/>
  <c r="G1318" i="8"/>
  <c r="G1319" i="8"/>
  <c r="G1320" i="8"/>
  <c r="G1321" i="8"/>
  <c r="G1322" i="8"/>
  <c r="G1323" i="8"/>
  <c r="G1324" i="8"/>
  <c r="G1325" i="8"/>
  <c r="G1326" i="8"/>
  <c r="G1327" i="8"/>
  <c r="G1328" i="8"/>
  <c r="G1329" i="8"/>
  <c r="G1330" i="8"/>
  <c r="G1331" i="8"/>
  <c r="G1332" i="8"/>
  <c r="G1333" i="8"/>
  <c r="G1334" i="8"/>
  <c r="G1335" i="8"/>
  <c r="G1336" i="8"/>
  <c r="G1337" i="8"/>
  <c r="G1338" i="8"/>
  <c r="G1339" i="8"/>
  <c r="G1340" i="8"/>
  <c r="G1341" i="8"/>
  <c r="G1342" i="8"/>
  <c r="G1343" i="8"/>
  <c r="G1344" i="8"/>
  <c r="G1345" i="8"/>
  <c r="G1346" i="8"/>
  <c r="G1347" i="8"/>
  <c r="G1348" i="8"/>
  <c r="G1349" i="8"/>
  <c r="G1350" i="8"/>
  <c r="G1351" i="8"/>
  <c r="G1352" i="8"/>
  <c r="G1353" i="8"/>
  <c r="G1354" i="8"/>
  <c r="G1355" i="8"/>
  <c r="G1356" i="8"/>
  <c r="G1241" i="8"/>
  <c r="G1130" i="8"/>
  <c r="G1131" i="8"/>
  <c r="G1132" i="8"/>
  <c r="G1133" i="8"/>
  <c r="G1134" i="8"/>
  <c r="G1135" i="8"/>
  <c r="G1136" i="8"/>
  <c r="G1137" i="8"/>
  <c r="G1138" i="8"/>
  <c r="G1139" i="8"/>
  <c r="G1140" i="8"/>
  <c r="G1141" i="8"/>
  <c r="G1142" i="8"/>
  <c r="G1143" i="8"/>
  <c r="G1144" i="8"/>
  <c r="G1145" i="8"/>
  <c r="G1146" i="8"/>
  <c r="G1147" i="8"/>
  <c r="G1148" i="8"/>
  <c r="G1149" i="8"/>
  <c r="G1150" i="8"/>
  <c r="G1151" i="8"/>
  <c r="G1152" i="8"/>
  <c r="G1153" i="8"/>
  <c r="G1154" i="8"/>
  <c r="G1155" i="8"/>
  <c r="G1156" i="8"/>
  <c r="G1157" i="8"/>
  <c r="G1158" i="8"/>
  <c r="G1159" i="8"/>
  <c r="G1160" i="8"/>
  <c r="G1161" i="8"/>
  <c r="G1162" i="8"/>
  <c r="G1163" i="8"/>
  <c r="G1164" i="8"/>
  <c r="G1165" i="8"/>
  <c r="G1166" i="8"/>
  <c r="G1167" i="8"/>
  <c r="G1168" i="8"/>
  <c r="G1169" i="8"/>
  <c r="G1170" i="8"/>
  <c r="G1171" i="8"/>
  <c r="G1172" i="8"/>
  <c r="G1173" i="8"/>
  <c r="G1174" i="8"/>
  <c r="G1175" i="8"/>
  <c r="G1176" i="8"/>
  <c r="G1177" i="8"/>
  <c r="G1178" i="8"/>
  <c r="G1179" i="8"/>
  <c r="G1180" i="8"/>
  <c r="G1181" i="8"/>
  <c r="G1182" i="8"/>
  <c r="G1183" i="8"/>
  <c r="G1184" i="8"/>
  <c r="G1185" i="8"/>
  <c r="G1186" i="8"/>
  <c r="G1187" i="8"/>
  <c r="G1188" i="8"/>
  <c r="G1189" i="8"/>
  <c r="G1190" i="8"/>
  <c r="G1191" i="8"/>
  <c r="G1192" i="8"/>
  <c r="G1193" i="8"/>
  <c r="G1194" i="8"/>
  <c r="G1195" i="8"/>
  <c r="G1196" i="8"/>
  <c r="G1197" i="8"/>
  <c r="G1198" i="8"/>
  <c r="G1199" i="8"/>
  <c r="G1200" i="8"/>
  <c r="G1201" i="8"/>
  <c r="G1202" i="8"/>
  <c r="G1203" i="8"/>
  <c r="G1204" i="8"/>
  <c r="G1205" i="8"/>
  <c r="G1206" i="8"/>
  <c r="G1207" i="8"/>
  <c r="G1208" i="8"/>
  <c r="G1209" i="8"/>
  <c r="G1210" i="8"/>
  <c r="G1211" i="8"/>
  <c r="G1212" i="8"/>
  <c r="G1213" i="8"/>
  <c r="G1214" i="8"/>
  <c r="G1215" i="8"/>
  <c r="G1216" i="8"/>
  <c r="G1217" i="8"/>
  <c r="G1218" i="8"/>
  <c r="G1219" i="8"/>
  <c r="G1220" i="8"/>
  <c r="G1221" i="8"/>
  <c r="G1222" i="8"/>
  <c r="G1223" i="8"/>
  <c r="G1224" i="8"/>
  <c r="G1225" i="8"/>
  <c r="G1226" i="8"/>
  <c r="G1227" i="8"/>
  <c r="G1228" i="8"/>
  <c r="G1229" i="8"/>
  <c r="G1230" i="8"/>
  <c r="G1231" i="8"/>
  <c r="G1232" i="8"/>
  <c r="G1233" i="8"/>
  <c r="G1234" i="8"/>
  <c r="G1235" i="8"/>
  <c r="G1236" i="8"/>
  <c r="G1237" i="8"/>
  <c r="G1238" i="8"/>
  <c r="G1239" i="8"/>
  <c r="G1240" i="8"/>
  <c r="G1129" i="8"/>
  <c r="G2516" i="8"/>
  <c r="G2517" i="8"/>
  <c r="G2518" i="8"/>
  <c r="G2519" i="8"/>
  <c r="G2520" i="8"/>
  <c r="G2521" i="8"/>
  <c r="G2522" i="8"/>
  <c r="G2523" i="8"/>
  <c r="G2524" i="8"/>
  <c r="G2525" i="8"/>
  <c r="G2526" i="8"/>
  <c r="G2527" i="8"/>
  <c r="G2528" i="8"/>
  <c r="G2529" i="8"/>
  <c r="G2530" i="8"/>
  <c r="G2531" i="8"/>
  <c r="G2532" i="8"/>
  <c r="G2533" i="8"/>
  <c r="G2534" i="8"/>
  <c r="G2535" i="8"/>
  <c r="G2536" i="8"/>
  <c r="G2537" i="8"/>
  <c r="G2538" i="8"/>
  <c r="G2539" i="8"/>
  <c r="G2540" i="8"/>
  <c r="G2541" i="8"/>
  <c r="G2542" i="8"/>
  <c r="G2543" i="8"/>
  <c r="G2544" i="8"/>
  <c r="G2545" i="8"/>
  <c r="G2546" i="8"/>
  <c r="G2547" i="8"/>
  <c r="G2548" i="8"/>
  <c r="G2549" i="8"/>
  <c r="G2550" i="8"/>
  <c r="G2551" i="8"/>
  <c r="G2552" i="8"/>
  <c r="G2553" i="8"/>
  <c r="G2554" i="8"/>
  <c r="G2555" i="8"/>
  <c r="G2556" i="8"/>
  <c r="G2557" i="8"/>
  <c r="G2558" i="8"/>
  <c r="G2559" i="8"/>
  <c r="G2560" i="8"/>
  <c r="G2561" i="8"/>
  <c r="G2562" i="8"/>
  <c r="G2563" i="8"/>
  <c r="G2564" i="8"/>
  <c r="G2565" i="8"/>
  <c r="G2566" i="8"/>
  <c r="G2567" i="8"/>
  <c r="G2568" i="8"/>
  <c r="G2569" i="8"/>
  <c r="G2570" i="8"/>
  <c r="G2571" i="8"/>
  <c r="G2572" i="8"/>
  <c r="G2573" i="8"/>
  <c r="G2574" i="8"/>
  <c r="G2575" i="8"/>
  <c r="G2576" i="8"/>
  <c r="G2577" i="8"/>
  <c r="G2578" i="8"/>
  <c r="G2579" i="8"/>
  <c r="G2580" i="8"/>
  <c r="G2581" i="8"/>
  <c r="G2582" i="8"/>
  <c r="G2583" i="8"/>
  <c r="G2584" i="8"/>
  <c r="G2585" i="8"/>
  <c r="G2586" i="8"/>
  <c r="G2587" i="8"/>
  <c r="G2588" i="8"/>
  <c r="G2589" i="8"/>
  <c r="G2590" i="8"/>
  <c r="G2591" i="8"/>
  <c r="G2592" i="8"/>
  <c r="G2593" i="8"/>
  <c r="G2594" i="8"/>
  <c r="G2595" i="8"/>
  <c r="G2596" i="8"/>
  <c r="G2597" i="8"/>
  <c r="G2598" i="8"/>
  <c r="G2599" i="8"/>
  <c r="G2600" i="8"/>
  <c r="G2601" i="8"/>
  <c r="G2602" i="8"/>
  <c r="G2603" i="8"/>
  <c r="G2604" i="8"/>
  <c r="G2605" i="8"/>
  <c r="G2606" i="8"/>
  <c r="G2607" i="8"/>
  <c r="G2608" i="8"/>
  <c r="G2609" i="8"/>
  <c r="G2610" i="8"/>
  <c r="G2611" i="8"/>
  <c r="G2612" i="8"/>
  <c r="G2613" i="8"/>
  <c r="G2614" i="8"/>
  <c r="G2615" i="8"/>
  <c r="G2616" i="8"/>
  <c r="G2617" i="8"/>
  <c r="G2618" i="8"/>
  <c r="G2619" i="8"/>
  <c r="G2620" i="8"/>
  <c r="G2621" i="8"/>
  <c r="G2622" i="8"/>
  <c r="G2623" i="8"/>
  <c r="G2624" i="8"/>
  <c r="G2625" i="8"/>
  <c r="G2626" i="8"/>
  <c r="G2627" i="8"/>
  <c r="G2628" i="8"/>
  <c r="G2629" i="8"/>
  <c r="G2630" i="8"/>
  <c r="G2631" i="8"/>
  <c r="G2632" i="8"/>
  <c r="G2633" i="8"/>
  <c r="G2515" i="8"/>
  <c r="G2410" i="8"/>
  <c r="G2411" i="8"/>
  <c r="G2412" i="8"/>
  <c r="G2413" i="8"/>
  <c r="G2414" i="8"/>
  <c r="G2415" i="8"/>
  <c r="G2416" i="8"/>
  <c r="G2417" i="8"/>
  <c r="G2418" i="8"/>
  <c r="G2419" i="8"/>
  <c r="G2420" i="8"/>
  <c r="G2421" i="8"/>
  <c r="G2422" i="8"/>
  <c r="G2423" i="8"/>
  <c r="G2424" i="8"/>
  <c r="G2425" i="8"/>
  <c r="G2426" i="8"/>
  <c r="G2427" i="8"/>
  <c r="G2428" i="8"/>
  <c r="G2429" i="8"/>
  <c r="G2430" i="8"/>
  <c r="G2431" i="8"/>
  <c r="G2432" i="8"/>
  <c r="G2433" i="8"/>
  <c r="G2434" i="8"/>
  <c r="G2435" i="8"/>
  <c r="G2436" i="8"/>
  <c r="G2437" i="8"/>
  <c r="G2438" i="8"/>
  <c r="G2439" i="8"/>
  <c r="G2440" i="8"/>
  <c r="G2441" i="8"/>
  <c r="G2442" i="8"/>
  <c r="G2443" i="8"/>
  <c r="G2444" i="8"/>
  <c r="G2445" i="8"/>
  <c r="G2446" i="8"/>
  <c r="G2447" i="8"/>
  <c r="G2448" i="8"/>
  <c r="G2449" i="8"/>
  <c r="G2450" i="8"/>
  <c r="G2451" i="8"/>
  <c r="G2452" i="8"/>
  <c r="G2453" i="8"/>
  <c r="G2454" i="8"/>
  <c r="G2455" i="8"/>
  <c r="G2456" i="8"/>
  <c r="G2457" i="8"/>
  <c r="G2458" i="8"/>
  <c r="G2459" i="8"/>
  <c r="G2460" i="8"/>
  <c r="G2461" i="8"/>
  <c r="G2462" i="8"/>
  <c r="G2463" i="8"/>
  <c r="G2464" i="8"/>
  <c r="G2465" i="8"/>
  <c r="G2466" i="8"/>
  <c r="G2467" i="8"/>
  <c r="G2468" i="8"/>
  <c r="G2469" i="8"/>
  <c r="G2470" i="8"/>
  <c r="G2471" i="8"/>
  <c r="G2472" i="8"/>
  <c r="G2473" i="8"/>
  <c r="G2474" i="8"/>
  <c r="G2475" i="8"/>
  <c r="G2476" i="8"/>
  <c r="G2477" i="8"/>
  <c r="G2478" i="8"/>
  <c r="G2479" i="8"/>
  <c r="G2480" i="8"/>
  <c r="G2481" i="8"/>
  <c r="G2482" i="8"/>
  <c r="G2483" i="8"/>
  <c r="G2484" i="8"/>
  <c r="G2485" i="8"/>
  <c r="G2486" i="8"/>
  <c r="G2487" i="8"/>
  <c r="G2488" i="8"/>
  <c r="G2489" i="8"/>
  <c r="G2490" i="8"/>
  <c r="G2491" i="8"/>
  <c r="G2492" i="8"/>
  <c r="G2493" i="8"/>
  <c r="G2494" i="8"/>
  <c r="G2495" i="8"/>
  <c r="G2496" i="8"/>
  <c r="G2497" i="8"/>
  <c r="G2498" i="8"/>
  <c r="G2499" i="8"/>
  <c r="G2500" i="8"/>
  <c r="G2501" i="8"/>
  <c r="G2502" i="8"/>
  <c r="G2503" i="8"/>
  <c r="G2504" i="8"/>
  <c r="G2505" i="8"/>
  <c r="G2506" i="8"/>
  <c r="G2507" i="8"/>
  <c r="G2508" i="8"/>
  <c r="G2509" i="8"/>
  <c r="G2510" i="8"/>
  <c r="G2511" i="8"/>
  <c r="G2512" i="8"/>
  <c r="G2513" i="8"/>
  <c r="G2514" i="8"/>
  <c r="G2409" i="8"/>
  <c r="G1019" i="8"/>
  <c r="G1020" i="8"/>
  <c r="G1021" i="8"/>
  <c r="G1022" i="8"/>
  <c r="G1023" i="8"/>
  <c r="G1024" i="8"/>
  <c r="G1025" i="8"/>
  <c r="G1026" i="8"/>
  <c r="G1027" i="8"/>
  <c r="G1028" i="8"/>
  <c r="G1029" i="8"/>
  <c r="G1030" i="8"/>
  <c r="G1031" i="8"/>
  <c r="G1032" i="8"/>
  <c r="G1033" i="8"/>
  <c r="G1034" i="8"/>
  <c r="G1035" i="8"/>
  <c r="G1036" i="8"/>
  <c r="G1037" i="8"/>
  <c r="G1038" i="8"/>
  <c r="G1039" i="8"/>
  <c r="G1040" i="8"/>
  <c r="G1041" i="8"/>
  <c r="G1042" i="8"/>
  <c r="G1043" i="8"/>
  <c r="G1044" i="8"/>
  <c r="G1045" i="8"/>
  <c r="G1046" i="8"/>
  <c r="G1047" i="8"/>
  <c r="G1048" i="8"/>
  <c r="G1049" i="8"/>
  <c r="G1050" i="8"/>
  <c r="G1051" i="8"/>
  <c r="G1052" i="8"/>
  <c r="G1053" i="8"/>
  <c r="G1054" i="8"/>
  <c r="G1055" i="8"/>
  <c r="G1056" i="8"/>
  <c r="G1057" i="8"/>
  <c r="G1058" i="8"/>
  <c r="G1059" i="8"/>
  <c r="G1060" i="8"/>
  <c r="G1061" i="8"/>
  <c r="G1062" i="8"/>
  <c r="G1063" i="8"/>
  <c r="G1064" i="8"/>
  <c r="G1065" i="8"/>
  <c r="G1066" i="8"/>
  <c r="G1067" i="8"/>
  <c r="G1068" i="8"/>
  <c r="G1069" i="8"/>
  <c r="G1070" i="8"/>
  <c r="G1071" i="8"/>
  <c r="G1072" i="8"/>
  <c r="G1073" i="8"/>
  <c r="G1074" i="8"/>
  <c r="G1075" i="8"/>
  <c r="G1076" i="8"/>
  <c r="G1077" i="8"/>
  <c r="G1078" i="8"/>
  <c r="G1079" i="8"/>
  <c r="G1080" i="8"/>
  <c r="G1081" i="8"/>
  <c r="G1082" i="8"/>
  <c r="G1083" i="8"/>
  <c r="G1084" i="8"/>
  <c r="G1085" i="8"/>
  <c r="G1086" i="8"/>
  <c r="G1087" i="8"/>
  <c r="G1088" i="8"/>
  <c r="G1089" i="8"/>
  <c r="G1090" i="8"/>
  <c r="G1091" i="8"/>
  <c r="G1092" i="8"/>
  <c r="G1093" i="8"/>
  <c r="G1094" i="8"/>
  <c r="G1095" i="8"/>
  <c r="G1096" i="8"/>
  <c r="G1097" i="8"/>
  <c r="G1098" i="8"/>
  <c r="G1099" i="8"/>
  <c r="G1100" i="8"/>
  <c r="G1101" i="8"/>
  <c r="G1102" i="8"/>
  <c r="G1103" i="8"/>
  <c r="G1104" i="8"/>
  <c r="G1105" i="8"/>
  <c r="G1106" i="8"/>
  <c r="G1107" i="8"/>
  <c r="G1108" i="8"/>
  <c r="G1109" i="8"/>
  <c r="G1110" i="8"/>
  <c r="G1111" i="8"/>
  <c r="G1112" i="8"/>
  <c r="G1113" i="8"/>
  <c r="G1114" i="8"/>
  <c r="G1115" i="8"/>
  <c r="G1116" i="8"/>
  <c r="G1117" i="8"/>
  <c r="G1118" i="8"/>
  <c r="G1119" i="8"/>
  <c r="G1120" i="8"/>
  <c r="G1121" i="8"/>
  <c r="G1122" i="8"/>
  <c r="G1123" i="8"/>
  <c r="G1124" i="8"/>
  <c r="G1125" i="8"/>
  <c r="G1126" i="8"/>
  <c r="G1127" i="8"/>
  <c r="G1128" i="8"/>
  <c r="G1018" i="8"/>
  <c r="G2303" i="8"/>
  <c r="G2304" i="8"/>
  <c r="G2305" i="8"/>
  <c r="G2306" i="8"/>
  <c r="G2307" i="8"/>
  <c r="G2308" i="8"/>
  <c r="G2309" i="8"/>
  <c r="G2310" i="8"/>
  <c r="G2311" i="8"/>
  <c r="G2312" i="8"/>
  <c r="G2313" i="8"/>
  <c r="G2314" i="8"/>
  <c r="G2315" i="8"/>
  <c r="G2316" i="8"/>
  <c r="G2317" i="8"/>
  <c r="G2318" i="8"/>
  <c r="G2319" i="8"/>
  <c r="G2320" i="8"/>
  <c r="G2321" i="8"/>
  <c r="G2322" i="8"/>
  <c r="G2323" i="8"/>
  <c r="G2324" i="8"/>
  <c r="G2325" i="8"/>
  <c r="G2326" i="8"/>
  <c r="G2327" i="8"/>
  <c r="G2328" i="8"/>
  <c r="G2329" i="8"/>
  <c r="G2330" i="8"/>
  <c r="G2331" i="8"/>
  <c r="G2332" i="8"/>
  <c r="G2333" i="8"/>
  <c r="G2334" i="8"/>
  <c r="G2335" i="8"/>
  <c r="G2336" i="8"/>
  <c r="G2337" i="8"/>
  <c r="G2338" i="8"/>
  <c r="G2339" i="8"/>
  <c r="G2340" i="8"/>
  <c r="G2341" i="8"/>
  <c r="G2342" i="8"/>
  <c r="G2343" i="8"/>
  <c r="G2344" i="8"/>
  <c r="G2345" i="8"/>
  <c r="G2346" i="8"/>
  <c r="G2347" i="8"/>
  <c r="G2348" i="8"/>
  <c r="G2349" i="8"/>
  <c r="G2350" i="8"/>
  <c r="G2351" i="8"/>
  <c r="G2352" i="8"/>
  <c r="G2353" i="8"/>
  <c r="G2354" i="8"/>
  <c r="G2355" i="8"/>
  <c r="G2356" i="8"/>
  <c r="G2357" i="8"/>
  <c r="G2358" i="8"/>
  <c r="G2359" i="8"/>
  <c r="G2360" i="8"/>
  <c r="G2361" i="8"/>
  <c r="G2362" i="8"/>
  <c r="G2363" i="8"/>
  <c r="G2364" i="8"/>
  <c r="G2365" i="8"/>
  <c r="G2366" i="8"/>
  <c r="G2367" i="8"/>
  <c r="G2368" i="8"/>
  <c r="G2369" i="8"/>
  <c r="G2370" i="8"/>
  <c r="G2371" i="8"/>
  <c r="G2372" i="8"/>
  <c r="G2373" i="8"/>
  <c r="G2374" i="8"/>
  <c r="G2375" i="8"/>
  <c r="G2376" i="8"/>
  <c r="G2377" i="8"/>
  <c r="G2378" i="8"/>
  <c r="G2379" i="8"/>
  <c r="G2380" i="8"/>
  <c r="G2381" i="8"/>
  <c r="G2382" i="8"/>
  <c r="G2383" i="8"/>
  <c r="G2384" i="8"/>
  <c r="G2385" i="8"/>
  <c r="G2386" i="8"/>
  <c r="G2387" i="8"/>
  <c r="G2388" i="8"/>
  <c r="G2389" i="8"/>
  <c r="G2390" i="8"/>
  <c r="G2391" i="8"/>
  <c r="G2392" i="8"/>
  <c r="G2393" i="8"/>
  <c r="G2394" i="8"/>
  <c r="G2395" i="8"/>
  <c r="G2396" i="8"/>
  <c r="G2397" i="8"/>
  <c r="G2398" i="8"/>
  <c r="G2399" i="8"/>
  <c r="G2400" i="8"/>
  <c r="G2401" i="8"/>
  <c r="G2402" i="8"/>
  <c r="G2403" i="8"/>
  <c r="G2404" i="8"/>
  <c r="G2405" i="8"/>
  <c r="G2406" i="8"/>
  <c r="G2407" i="8"/>
  <c r="G2408" i="8"/>
  <c r="G2302" i="8"/>
  <c r="G907" i="8"/>
  <c r="G908" i="8"/>
  <c r="G909" i="8"/>
  <c r="G910" i="8"/>
  <c r="G911" i="8"/>
  <c r="G912" i="8"/>
  <c r="G913" i="8"/>
  <c r="G914" i="8"/>
  <c r="G915" i="8"/>
  <c r="G916" i="8"/>
  <c r="G917" i="8"/>
  <c r="G918" i="8"/>
  <c r="G919" i="8"/>
  <c r="G920" i="8"/>
  <c r="G921" i="8"/>
  <c r="G922" i="8"/>
  <c r="G923" i="8"/>
  <c r="G924" i="8"/>
  <c r="G925" i="8"/>
  <c r="G926" i="8"/>
  <c r="G927" i="8"/>
  <c r="G928" i="8"/>
  <c r="G929" i="8"/>
  <c r="G930" i="8"/>
  <c r="G931" i="8"/>
  <c r="G932" i="8"/>
  <c r="G933" i="8"/>
  <c r="G934" i="8"/>
  <c r="G935" i="8"/>
  <c r="G936" i="8"/>
  <c r="G937" i="8"/>
  <c r="G938" i="8"/>
  <c r="G939" i="8"/>
  <c r="G940" i="8"/>
  <c r="G941" i="8"/>
  <c r="G942" i="8"/>
  <c r="G943" i="8"/>
  <c r="G944" i="8"/>
  <c r="G945" i="8"/>
  <c r="G946" i="8"/>
  <c r="G947" i="8"/>
  <c r="G948" i="8"/>
  <c r="G949" i="8"/>
  <c r="G950" i="8"/>
  <c r="G951" i="8"/>
  <c r="G952" i="8"/>
  <c r="G953" i="8"/>
  <c r="G954" i="8"/>
  <c r="G955" i="8"/>
  <c r="G956" i="8"/>
  <c r="G957" i="8"/>
  <c r="G958" i="8"/>
  <c r="G959" i="8"/>
  <c r="G960" i="8"/>
  <c r="G961" i="8"/>
  <c r="G962" i="8"/>
  <c r="G963" i="8"/>
  <c r="G964" i="8"/>
  <c r="G965" i="8"/>
  <c r="G966" i="8"/>
  <c r="G967" i="8"/>
  <c r="G968" i="8"/>
  <c r="G969" i="8"/>
  <c r="G970" i="8"/>
  <c r="G971" i="8"/>
  <c r="G972" i="8"/>
  <c r="G973" i="8"/>
  <c r="G974" i="8"/>
  <c r="G975" i="8"/>
  <c r="G976" i="8"/>
  <c r="G977" i="8"/>
  <c r="G978" i="8"/>
  <c r="G979" i="8"/>
  <c r="G980" i="8"/>
  <c r="G981" i="8"/>
  <c r="G982" i="8"/>
  <c r="G983" i="8"/>
  <c r="G984" i="8"/>
  <c r="G985" i="8"/>
  <c r="G986" i="8"/>
  <c r="G987" i="8"/>
  <c r="G988" i="8"/>
  <c r="G989" i="8"/>
  <c r="G990" i="8"/>
  <c r="G991" i="8"/>
  <c r="G992" i="8"/>
  <c r="G993" i="8"/>
  <c r="G994" i="8"/>
  <c r="G995" i="8"/>
  <c r="G996" i="8"/>
  <c r="G997" i="8"/>
  <c r="G998" i="8"/>
  <c r="G999" i="8"/>
  <c r="G1000" i="8"/>
  <c r="G1001" i="8"/>
  <c r="G1002" i="8"/>
  <c r="G1003" i="8"/>
  <c r="G1004" i="8"/>
  <c r="G1005" i="8"/>
  <c r="G1006" i="8"/>
  <c r="G1007" i="8"/>
  <c r="G1008" i="8"/>
  <c r="G1009" i="8"/>
  <c r="G1010" i="8"/>
  <c r="G1011" i="8"/>
  <c r="G1012" i="8"/>
  <c r="G1013" i="8"/>
  <c r="G1014" i="8"/>
  <c r="G1015" i="8"/>
  <c r="G1016" i="8"/>
  <c r="G1017" i="8"/>
  <c r="G906" i="8"/>
  <c r="G806" i="8"/>
  <c r="G807" i="8"/>
  <c r="G808" i="8"/>
  <c r="G809" i="8"/>
  <c r="G810" i="8"/>
  <c r="G811" i="8"/>
  <c r="G812" i="8"/>
  <c r="G813" i="8"/>
  <c r="G814" i="8"/>
  <c r="G815" i="8"/>
  <c r="G816" i="8"/>
  <c r="G817" i="8"/>
  <c r="G818" i="8"/>
  <c r="G819" i="8"/>
  <c r="G820" i="8"/>
  <c r="G821" i="8"/>
  <c r="G822" i="8"/>
  <c r="G823" i="8"/>
  <c r="G824" i="8"/>
  <c r="G825" i="8"/>
  <c r="G826" i="8"/>
  <c r="G827" i="8"/>
  <c r="G828" i="8"/>
  <c r="G829" i="8"/>
  <c r="G830" i="8"/>
  <c r="G831" i="8"/>
  <c r="G832" i="8"/>
  <c r="G833" i="8"/>
  <c r="G834" i="8"/>
  <c r="G835" i="8"/>
  <c r="G836" i="8"/>
  <c r="G837" i="8"/>
  <c r="G838" i="8"/>
  <c r="G839" i="8"/>
  <c r="G840" i="8"/>
  <c r="G841" i="8"/>
  <c r="G842" i="8"/>
  <c r="G843" i="8"/>
  <c r="G844" i="8"/>
  <c r="G845" i="8"/>
  <c r="G846" i="8"/>
  <c r="G847" i="8"/>
  <c r="G848" i="8"/>
  <c r="G849" i="8"/>
  <c r="G850" i="8"/>
  <c r="G851" i="8"/>
  <c r="G852" i="8"/>
  <c r="G853" i="8"/>
  <c r="G854" i="8"/>
  <c r="G855" i="8"/>
  <c r="G856" i="8"/>
  <c r="G857" i="8"/>
  <c r="G858" i="8"/>
  <c r="G859" i="8"/>
  <c r="G860" i="8"/>
  <c r="G861" i="8"/>
  <c r="G862" i="8"/>
  <c r="G863" i="8"/>
  <c r="G864" i="8"/>
  <c r="G865" i="8"/>
  <c r="G866" i="8"/>
  <c r="G867" i="8"/>
  <c r="G868" i="8"/>
  <c r="G869" i="8"/>
  <c r="G870" i="8"/>
  <c r="G871" i="8"/>
  <c r="G872" i="8"/>
  <c r="G873" i="8"/>
  <c r="G874" i="8"/>
  <c r="G875" i="8"/>
  <c r="G876" i="8"/>
  <c r="G877" i="8"/>
  <c r="G878" i="8"/>
  <c r="G879" i="8"/>
  <c r="G880" i="8"/>
  <c r="G881" i="8"/>
  <c r="G882" i="8"/>
  <c r="G883" i="8"/>
  <c r="G884" i="8"/>
  <c r="G885" i="8"/>
  <c r="G886" i="8"/>
  <c r="G887" i="8"/>
  <c r="G888" i="8"/>
  <c r="G889" i="8"/>
  <c r="G890" i="8"/>
  <c r="G891" i="8"/>
  <c r="G892" i="8"/>
  <c r="G893" i="8"/>
  <c r="G894" i="8"/>
  <c r="G895" i="8"/>
  <c r="G896" i="8"/>
  <c r="G897" i="8"/>
  <c r="G898" i="8"/>
  <c r="G899" i="8"/>
  <c r="G900" i="8"/>
  <c r="G901" i="8"/>
  <c r="G902" i="8"/>
  <c r="G903" i="8"/>
  <c r="G904" i="8"/>
  <c r="G905" i="8"/>
  <c r="G805" i="8"/>
  <c r="G2188" i="8"/>
  <c r="G2189" i="8"/>
  <c r="G2190" i="8"/>
  <c r="G2191" i="8"/>
  <c r="G2192" i="8"/>
  <c r="G2193" i="8"/>
  <c r="G2194" i="8"/>
  <c r="G2195" i="8"/>
  <c r="G2196" i="8"/>
  <c r="G2197" i="8"/>
  <c r="G2198" i="8"/>
  <c r="G2199" i="8"/>
  <c r="G2200" i="8"/>
  <c r="G2201" i="8"/>
  <c r="G2202" i="8"/>
  <c r="G2203" i="8"/>
  <c r="G2204" i="8"/>
  <c r="G2205" i="8"/>
  <c r="G2206" i="8"/>
  <c r="G2207" i="8"/>
  <c r="G2208" i="8"/>
  <c r="G2209" i="8"/>
  <c r="G2210" i="8"/>
  <c r="G2211" i="8"/>
  <c r="G2212" i="8"/>
  <c r="G2213" i="8"/>
  <c r="G2214" i="8"/>
  <c r="G2215" i="8"/>
  <c r="G2216" i="8"/>
  <c r="G2217" i="8"/>
  <c r="G2218" i="8"/>
  <c r="G2219" i="8"/>
  <c r="G2220" i="8"/>
  <c r="G2221" i="8"/>
  <c r="G2222" i="8"/>
  <c r="G2223" i="8"/>
  <c r="G2224" i="8"/>
  <c r="G2225" i="8"/>
  <c r="G2226" i="8"/>
  <c r="G2227" i="8"/>
  <c r="G2228" i="8"/>
  <c r="G2229" i="8"/>
  <c r="G2230" i="8"/>
  <c r="G2231" i="8"/>
  <c r="G2232" i="8"/>
  <c r="G2233" i="8"/>
  <c r="G2234" i="8"/>
  <c r="G2235" i="8"/>
  <c r="G2236" i="8"/>
  <c r="G2237" i="8"/>
  <c r="G2238" i="8"/>
  <c r="G2239" i="8"/>
  <c r="G2240" i="8"/>
  <c r="G2241" i="8"/>
  <c r="G2242" i="8"/>
  <c r="G2243" i="8"/>
  <c r="G2244" i="8"/>
  <c r="G2245" i="8"/>
  <c r="G2246" i="8"/>
  <c r="G2247" i="8"/>
  <c r="G2248" i="8"/>
  <c r="G2249" i="8"/>
  <c r="G2250" i="8"/>
  <c r="G2251" i="8"/>
  <c r="G2252" i="8"/>
  <c r="G2253" i="8"/>
  <c r="G2254" i="8"/>
  <c r="G2255" i="8"/>
  <c r="G2256" i="8"/>
  <c r="G2257" i="8"/>
  <c r="G2258" i="8"/>
  <c r="G2259" i="8"/>
  <c r="G2260" i="8"/>
  <c r="G2261" i="8"/>
  <c r="G2262" i="8"/>
  <c r="G2263" i="8"/>
  <c r="G2264" i="8"/>
  <c r="G2265" i="8"/>
  <c r="G2266" i="8"/>
  <c r="G2267" i="8"/>
  <c r="G2268" i="8"/>
  <c r="G2269" i="8"/>
  <c r="G2270" i="8"/>
  <c r="G2271" i="8"/>
  <c r="G2272" i="8"/>
  <c r="G2273" i="8"/>
  <c r="G2274" i="8"/>
  <c r="G2275" i="8"/>
  <c r="G2276" i="8"/>
  <c r="G2277" i="8"/>
  <c r="G2278" i="8"/>
  <c r="G2279" i="8"/>
  <c r="G2280" i="8"/>
  <c r="G2281" i="8"/>
  <c r="G2282" i="8"/>
  <c r="G2283" i="8"/>
  <c r="G2284" i="8"/>
  <c r="G2285" i="8"/>
  <c r="G2286" i="8"/>
  <c r="G2287" i="8"/>
  <c r="G2288" i="8"/>
  <c r="G2289" i="8"/>
  <c r="G2290" i="8"/>
  <c r="G2291" i="8"/>
  <c r="G2292" i="8"/>
  <c r="G2293" i="8"/>
  <c r="G2294" i="8"/>
  <c r="G2295" i="8"/>
  <c r="G2296" i="8"/>
  <c r="G2297" i="8"/>
  <c r="G2298" i="8"/>
  <c r="G2299" i="8"/>
  <c r="G2300" i="8"/>
  <c r="G2301" i="8"/>
  <c r="G2187" i="8"/>
  <c r="G2083" i="8"/>
  <c r="G2084" i="8"/>
  <c r="G2085" i="8"/>
  <c r="G2086" i="8"/>
  <c r="G2087" i="8"/>
  <c r="G2088" i="8"/>
  <c r="G2089" i="8"/>
  <c r="G2090" i="8"/>
  <c r="G2091" i="8"/>
  <c r="G2092" i="8"/>
  <c r="G2093" i="8"/>
  <c r="G2094" i="8"/>
  <c r="G2095" i="8"/>
  <c r="G2096" i="8"/>
  <c r="G2097" i="8"/>
  <c r="G2098" i="8"/>
  <c r="G2099" i="8"/>
  <c r="G2100" i="8"/>
  <c r="G2101" i="8"/>
  <c r="G2102" i="8"/>
  <c r="G2103" i="8"/>
  <c r="G2104" i="8"/>
  <c r="G2105" i="8"/>
  <c r="G2106" i="8"/>
  <c r="G2107" i="8"/>
  <c r="G2108" i="8"/>
  <c r="G2109" i="8"/>
  <c r="G2110" i="8"/>
  <c r="G2111" i="8"/>
  <c r="G2112" i="8"/>
  <c r="G2113" i="8"/>
  <c r="G2114" i="8"/>
  <c r="G2115" i="8"/>
  <c r="G2116" i="8"/>
  <c r="G2117" i="8"/>
  <c r="G2118" i="8"/>
  <c r="G2119" i="8"/>
  <c r="G2120" i="8"/>
  <c r="G2121" i="8"/>
  <c r="G2122" i="8"/>
  <c r="G2123" i="8"/>
  <c r="G2124" i="8"/>
  <c r="G2125" i="8"/>
  <c r="G2126" i="8"/>
  <c r="G2127" i="8"/>
  <c r="G2128" i="8"/>
  <c r="G2129" i="8"/>
  <c r="G2130" i="8"/>
  <c r="G2131" i="8"/>
  <c r="G2132" i="8"/>
  <c r="G2133" i="8"/>
  <c r="G2134" i="8"/>
  <c r="G2135" i="8"/>
  <c r="G2136" i="8"/>
  <c r="G2137" i="8"/>
  <c r="G2138" i="8"/>
  <c r="G2139" i="8"/>
  <c r="G2140" i="8"/>
  <c r="G2141" i="8"/>
  <c r="G2142" i="8"/>
  <c r="G2143" i="8"/>
  <c r="G2144" i="8"/>
  <c r="G2145" i="8"/>
  <c r="G2146" i="8"/>
  <c r="G2147" i="8"/>
  <c r="G2148" i="8"/>
  <c r="G2149" i="8"/>
  <c r="G2150" i="8"/>
  <c r="G2151" i="8"/>
  <c r="G2152" i="8"/>
  <c r="G2153" i="8"/>
  <c r="G2154" i="8"/>
  <c r="G2155" i="8"/>
  <c r="G2156" i="8"/>
  <c r="G2157" i="8"/>
  <c r="G2158" i="8"/>
  <c r="G2159" i="8"/>
  <c r="G2160" i="8"/>
  <c r="G2161" i="8"/>
  <c r="G2162" i="8"/>
  <c r="G2163" i="8"/>
  <c r="G2164" i="8"/>
  <c r="G2165" i="8"/>
  <c r="G2166" i="8"/>
  <c r="G2167" i="8"/>
  <c r="G2168" i="8"/>
  <c r="G2169" i="8"/>
  <c r="G2170" i="8"/>
  <c r="G2171" i="8"/>
  <c r="G2172" i="8"/>
  <c r="G2173" i="8"/>
  <c r="G2174" i="8"/>
  <c r="G2175" i="8"/>
  <c r="G2176" i="8"/>
  <c r="G2177" i="8"/>
  <c r="G2178" i="8"/>
  <c r="G2179" i="8"/>
  <c r="G2180" i="8"/>
  <c r="G2181" i="8"/>
  <c r="G2182" i="8"/>
  <c r="G2183" i="8"/>
  <c r="G2184" i="8"/>
  <c r="G2185" i="8"/>
  <c r="G2186" i="8"/>
  <c r="G2082" i="8"/>
  <c r="G677" i="8"/>
  <c r="G678" i="8"/>
  <c r="G679" i="8"/>
  <c r="G680" i="8"/>
  <c r="G681" i="8"/>
  <c r="G682" i="8"/>
  <c r="G683" i="8"/>
  <c r="G684" i="8"/>
  <c r="G685" i="8"/>
  <c r="G686" i="8"/>
  <c r="G687" i="8"/>
  <c r="G688" i="8"/>
  <c r="G689" i="8"/>
  <c r="G690" i="8"/>
  <c r="G691" i="8"/>
  <c r="G692" i="8"/>
  <c r="G693" i="8"/>
  <c r="G694" i="8"/>
  <c r="G695" i="8"/>
  <c r="G696" i="8"/>
  <c r="G697" i="8"/>
  <c r="G698" i="8"/>
  <c r="G699" i="8"/>
  <c r="G700" i="8"/>
  <c r="G701" i="8"/>
  <c r="G702" i="8"/>
  <c r="G703" i="8"/>
  <c r="G704" i="8"/>
  <c r="G705" i="8"/>
  <c r="G706" i="8"/>
  <c r="G707" i="8"/>
  <c r="G708" i="8"/>
  <c r="G709" i="8"/>
  <c r="G710" i="8"/>
  <c r="G711" i="8"/>
  <c r="G712" i="8"/>
  <c r="G713" i="8"/>
  <c r="G714" i="8"/>
  <c r="G715" i="8"/>
  <c r="G716" i="8"/>
  <c r="G717" i="8"/>
  <c r="G718" i="8"/>
  <c r="G719" i="8"/>
  <c r="G720" i="8"/>
  <c r="G721" i="8"/>
  <c r="G722" i="8"/>
  <c r="G723" i="8"/>
  <c r="G724" i="8"/>
  <c r="G725" i="8"/>
  <c r="G726" i="8"/>
  <c r="G727" i="8"/>
  <c r="G728" i="8"/>
  <c r="G729" i="8"/>
  <c r="G730" i="8"/>
  <c r="G731" i="8"/>
  <c r="G732" i="8"/>
  <c r="G733" i="8"/>
  <c r="G734" i="8"/>
  <c r="G735" i="8"/>
  <c r="G736" i="8"/>
  <c r="G737" i="8"/>
  <c r="G738" i="8"/>
  <c r="G739" i="8"/>
  <c r="G740" i="8"/>
  <c r="G741" i="8"/>
  <c r="G742" i="8"/>
  <c r="G743" i="8"/>
  <c r="G744" i="8"/>
  <c r="G745" i="8"/>
  <c r="G746" i="8"/>
  <c r="G747" i="8"/>
  <c r="G748" i="8"/>
  <c r="G749" i="8"/>
  <c r="G750" i="8"/>
  <c r="G751" i="8"/>
  <c r="G752" i="8"/>
  <c r="G753" i="8"/>
  <c r="G754" i="8"/>
  <c r="G755" i="8"/>
  <c r="G756" i="8"/>
  <c r="G757" i="8"/>
  <c r="G758" i="8"/>
  <c r="G759" i="8"/>
  <c r="G760" i="8"/>
  <c r="G761" i="8"/>
  <c r="G762" i="8"/>
  <c r="G763" i="8"/>
  <c r="G764" i="8"/>
  <c r="G765" i="8"/>
  <c r="G766" i="8"/>
  <c r="G767" i="8"/>
  <c r="G768" i="8"/>
  <c r="G769" i="8"/>
  <c r="G770" i="8"/>
  <c r="G771" i="8"/>
  <c r="G772" i="8"/>
  <c r="G773" i="8"/>
  <c r="G774" i="8"/>
  <c r="G775" i="8"/>
  <c r="G776" i="8"/>
  <c r="G777" i="8"/>
  <c r="G778" i="8"/>
  <c r="G779" i="8"/>
  <c r="G780" i="8"/>
  <c r="G781" i="8"/>
  <c r="G782" i="8"/>
  <c r="G783" i="8"/>
  <c r="G784" i="8"/>
  <c r="G785" i="8"/>
  <c r="G786" i="8"/>
  <c r="G787" i="8"/>
  <c r="G788" i="8"/>
  <c r="G789" i="8"/>
  <c r="G790" i="8"/>
  <c r="G791" i="8"/>
  <c r="G792" i="8"/>
  <c r="G793" i="8"/>
  <c r="G794" i="8"/>
  <c r="G795" i="8"/>
  <c r="G796" i="8"/>
  <c r="G797" i="8"/>
  <c r="G798" i="8"/>
  <c r="G799" i="8"/>
  <c r="G800" i="8"/>
  <c r="G801" i="8"/>
  <c r="G802" i="8"/>
  <c r="G803" i="8"/>
  <c r="G804" i="8"/>
  <c r="G676" i="8"/>
  <c r="G1947" i="8"/>
  <c r="G1948" i="8"/>
  <c r="G1949" i="8"/>
  <c r="G1950" i="8"/>
  <c r="G1951" i="8"/>
  <c r="G1952" i="8"/>
  <c r="G1953" i="8"/>
  <c r="G1954" i="8"/>
  <c r="G1955" i="8"/>
  <c r="G1956" i="8"/>
  <c r="G1957" i="8"/>
  <c r="G1958" i="8"/>
  <c r="G1959" i="8"/>
  <c r="G1960" i="8"/>
  <c r="G1961" i="8"/>
  <c r="G1962" i="8"/>
  <c r="G1963" i="8"/>
  <c r="G1964" i="8"/>
  <c r="G1965" i="8"/>
  <c r="G1966" i="8"/>
  <c r="G1967" i="8"/>
  <c r="G1968" i="8"/>
  <c r="G1969" i="8"/>
  <c r="G1970" i="8"/>
  <c r="G1971" i="8"/>
  <c r="G1972" i="8"/>
  <c r="G1973" i="8"/>
  <c r="G1974" i="8"/>
  <c r="G1975" i="8"/>
  <c r="G1976" i="8"/>
  <c r="G1977" i="8"/>
  <c r="G1978" i="8"/>
  <c r="G1979" i="8"/>
  <c r="G1980" i="8"/>
  <c r="G1981" i="8"/>
  <c r="G1982" i="8"/>
  <c r="G1983" i="8"/>
  <c r="G1984" i="8"/>
  <c r="G1985" i="8"/>
  <c r="G1986" i="8"/>
  <c r="G1987" i="8"/>
  <c r="G1988" i="8"/>
  <c r="G1989" i="8"/>
  <c r="G1990" i="8"/>
  <c r="G1991" i="8"/>
  <c r="G1992" i="8"/>
  <c r="G1993" i="8"/>
  <c r="G1994" i="8"/>
  <c r="G1995" i="8"/>
  <c r="G1996" i="8"/>
  <c r="G1997" i="8"/>
  <c r="G1998" i="8"/>
  <c r="G1999" i="8"/>
  <c r="G2000" i="8"/>
  <c r="G2001" i="8"/>
  <c r="G2002" i="8"/>
  <c r="G2003" i="8"/>
  <c r="G2004" i="8"/>
  <c r="G2005" i="8"/>
  <c r="G2006" i="8"/>
  <c r="G2007" i="8"/>
  <c r="G2008" i="8"/>
  <c r="G2009" i="8"/>
  <c r="G2010" i="8"/>
  <c r="G2011" i="8"/>
  <c r="G2012" i="8"/>
  <c r="G2013" i="8"/>
  <c r="G2014" i="8"/>
  <c r="G2015" i="8"/>
  <c r="G2016" i="8"/>
  <c r="G2017" i="8"/>
  <c r="G2018" i="8"/>
  <c r="G2019" i="8"/>
  <c r="G2020" i="8"/>
  <c r="G2021" i="8"/>
  <c r="G2022" i="8"/>
  <c r="G2023" i="8"/>
  <c r="G2024" i="8"/>
  <c r="G2025" i="8"/>
  <c r="G2026" i="8"/>
  <c r="G2027" i="8"/>
  <c r="G2028" i="8"/>
  <c r="G2029" i="8"/>
  <c r="G2030" i="8"/>
  <c r="G2031" i="8"/>
  <c r="G2032" i="8"/>
  <c r="G2033" i="8"/>
  <c r="G2034" i="8"/>
  <c r="G2035" i="8"/>
  <c r="G2036" i="8"/>
  <c r="G2037" i="8"/>
  <c r="G2038" i="8"/>
  <c r="G2039" i="8"/>
  <c r="G2040" i="8"/>
  <c r="G2041" i="8"/>
  <c r="G2042" i="8"/>
  <c r="G2043" i="8"/>
  <c r="G2044" i="8"/>
  <c r="G2045" i="8"/>
  <c r="G2046" i="8"/>
  <c r="G2047" i="8"/>
  <c r="G2048" i="8"/>
  <c r="G2049" i="8"/>
  <c r="G2050" i="8"/>
  <c r="G2051" i="8"/>
  <c r="G2052" i="8"/>
  <c r="G2053" i="8"/>
  <c r="G2054" i="8"/>
  <c r="G2055" i="8"/>
  <c r="G2056" i="8"/>
  <c r="G2057" i="8"/>
  <c r="G2058" i="8"/>
  <c r="G2059" i="8"/>
  <c r="G2060" i="8"/>
  <c r="G2061" i="8"/>
  <c r="G2062" i="8"/>
  <c r="G2063" i="8"/>
  <c r="G2064" i="8"/>
  <c r="G2065" i="8"/>
  <c r="G2066" i="8"/>
  <c r="G2067" i="8"/>
  <c r="G2068" i="8"/>
  <c r="G2069" i="8"/>
  <c r="G2070" i="8"/>
  <c r="G2071" i="8"/>
  <c r="G2072" i="8"/>
  <c r="G2073" i="8"/>
  <c r="G2074" i="8"/>
  <c r="G2075" i="8"/>
  <c r="G2076" i="8"/>
  <c r="G2077" i="8"/>
  <c r="G2078" i="8"/>
  <c r="G2079" i="8"/>
  <c r="G2080" i="8"/>
  <c r="G2081" i="8"/>
  <c r="G1946" i="8"/>
  <c r="G573" i="8"/>
  <c r="G574" i="8"/>
  <c r="G575" i="8"/>
  <c r="G576" i="8"/>
  <c r="G577" i="8"/>
  <c r="G578" i="8"/>
  <c r="G579" i="8"/>
  <c r="G580" i="8"/>
  <c r="G581" i="8"/>
  <c r="G582" i="8"/>
  <c r="G583" i="8"/>
  <c r="G584" i="8"/>
  <c r="G585" i="8"/>
  <c r="G586" i="8"/>
  <c r="G587" i="8"/>
  <c r="G588" i="8"/>
  <c r="G589" i="8"/>
  <c r="G590" i="8"/>
  <c r="G591" i="8"/>
  <c r="G592" i="8"/>
  <c r="G593" i="8"/>
  <c r="G594" i="8"/>
  <c r="G595" i="8"/>
  <c r="G596" i="8"/>
  <c r="G597" i="8"/>
  <c r="G598" i="8"/>
  <c r="G599" i="8"/>
  <c r="G600" i="8"/>
  <c r="G601" i="8"/>
  <c r="G602" i="8"/>
  <c r="G603" i="8"/>
  <c r="G604" i="8"/>
  <c r="G605" i="8"/>
  <c r="G606" i="8"/>
  <c r="G607" i="8"/>
  <c r="G608" i="8"/>
  <c r="G609" i="8"/>
  <c r="G610" i="8"/>
  <c r="G611" i="8"/>
  <c r="G612" i="8"/>
  <c r="G613" i="8"/>
  <c r="G614" i="8"/>
  <c r="G615" i="8"/>
  <c r="G616" i="8"/>
  <c r="G617" i="8"/>
  <c r="G618" i="8"/>
  <c r="G619" i="8"/>
  <c r="G620" i="8"/>
  <c r="G621" i="8"/>
  <c r="G622" i="8"/>
  <c r="G623" i="8"/>
  <c r="G624" i="8"/>
  <c r="G625" i="8"/>
  <c r="G626" i="8"/>
  <c r="G627" i="8"/>
  <c r="G628" i="8"/>
  <c r="G629" i="8"/>
  <c r="G630" i="8"/>
  <c r="G631" i="8"/>
  <c r="G632" i="8"/>
  <c r="G633" i="8"/>
  <c r="G634" i="8"/>
  <c r="G635" i="8"/>
  <c r="G636" i="8"/>
  <c r="G637" i="8"/>
  <c r="G638" i="8"/>
  <c r="G639" i="8"/>
  <c r="G640" i="8"/>
  <c r="G641" i="8"/>
  <c r="G642" i="8"/>
  <c r="G643" i="8"/>
  <c r="G644" i="8"/>
  <c r="G645" i="8"/>
  <c r="G646" i="8"/>
  <c r="G647" i="8"/>
  <c r="G648" i="8"/>
  <c r="G649" i="8"/>
  <c r="G650" i="8"/>
  <c r="G651" i="8"/>
  <c r="G652" i="8"/>
  <c r="G653" i="8"/>
  <c r="G654" i="8"/>
  <c r="G655" i="8"/>
  <c r="G656" i="8"/>
  <c r="G657" i="8"/>
  <c r="G658" i="8"/>
  <c r="G659" i="8"/>
  <c r="G660" i="8"/>
  <c r="G661" i="8"/>
  <c r="G662" i="8"/>
  <c r="G663" i="8"/>
  <c r="G664" i="8"/>
  <c r="G665" i="8"/>
  <c r="G666" i="8"/>
  <c r="G667" i="8"/>
  <c r="G668" i="8"/>
  <c r="G669" i="8"/>
  <c r="G670" i="8"/>
  <c r="G671" i="8"/>
  <c r="G672" i="8"/>
  <c r="G673" i="8"/>
  <c r="G674" i="8"/>
  <c r="G675" i="8"/>
  <c r="G572" i="8"/>
  <c r="G464" i="8"/>
  <c r="G465" i="8"/>
  <c r="G466" i="8"/>
  <c r="G467" i="8"/>
  <c r="G468" i="8"/>
  <c r="G469" i="8"/>
  <c r="G470" i="8"/>
  <c r="G471" i="8"/>
  <c r="G472" i="8"/>
  <c r="G473" i="8"/>
  <c r="G474" i="8"/>
  <c r="G475" i="8"/>
  <c r="G476" i="8"/>
  <c r="G477" i="8"/>
  <c r="G478" i="8"/>
  <c r="G479" i="8"/>
  <c r="G480" i="8"/>
  <c r="G481" i="8"/>
  <c r="G482" i="8"/>
  <c r="G483" i="8"/>
  <c r="G484" i="8"/>
  <c r="G485" i="8"/>
  <c r="G486" i="8"/>
  <c r="G487" i="8"/>
  <c r="G488" i="8"/>
  <c r="G489" i="8"/>
  <c r="G490" i="8"/>
  <c r="G491" i="8"/>
  <c r="G492" i="8"/>
  <c r="G493" i="8"/>
  <c r="G494" i="8"/>
  <c r="G495" i="8"/>
  <c r="G496" i="8"/>
  <c r="G497" i="8"/>
  <c r="G498" i="8"/>
  <c r="G499" i="8"/>
  <c r="G500" i="8"/>
  <c r="G501" i="8"/>
  <c r="G502" i="8"/>
  <c r="G503" i="8"/>
  <c r="G504" i="8"/>
  <c r="G505" i="8"/>
  <c r="G506" i="8"/>
  <c r="G507" i="8"/>
  <c r="G508" i="8"/>
  <c r="G509" i="8"/>
  <c r="G510" i="8"/>
  <c r="G511" i="8"/>
  <c r="G512" i="8"/>
  <c r="G513" i="8"/>
  <c r="G514" i="8"/>
  <c r="G515" i="8"/>
  <c r="G516" i="8"/>
  <c r="G517" i="8"/>
  <c r="G518" i="8"/>
  <c r="G519" i="8"/>
  <c r="G520" i="8"/>
  <c r="G521" i="8"/>
  <c r="G522" i="8"/>
  <c r="G523" i="8"/>
  <c r="G524" i="8"/>
  <c r="G525" i="8"/>
  <c r="G526" i="8"/>
  <c r="G527" i="8"/>
  <c r="G528" i="8"/>
  <c r="G529" i="8"/>
  <c r="G530" i="8"/>
  <c r="G531" i="8"/>
  <c r="G532" i="8"/>
  <c r="G533" i="8"/>
  <c r="G534" i="8"/>
  <c r="G535" i="8"/>
  <c r="G536" i="8"/>
  <c r="G537" i="8"/>
  <c r="G538" i="8"/>
  <c r="G539" i="8"/>
  <c r="G540" i="8"/>
  <c r="G541" i="8"/>
  <c r="G542" i="8"/>
  <c r="G543" i="8"/>
  <c r="G544" i="8"/>
  <c r="G545" i="8"/>
  <c r="G546" i="8"/>
  <c r="G547" i="8"/>
  <c r="G548" i="8"/>
  <c r="G549" i="8"/>
  <c r="G550" i="8"/>
  <c r="G551" i="8"/>
  <c r="G552" i="8"/>
  <c r="G553" i="8"/>
  <c r="G554" i="8"/>
  <c r="G555" i="8"/>
  <c r="G556" i="8"/>
  <c r="G557" i="8"/>
  <c r="G558" i="8"/>
  <c r="G559" i="8"/>
  <c r="G560" i="8"/>
  <c r="G561" i="8"/>
  <c r="G562" i="8"/>
  <c r="G563" i="8"/>
  <c r="G564" i="8"/>
  <c r="G565" i="8"/>
  <c r="G566" i="8"/>
  <c r="G567" i="8"/>
  <c r="G568" i="8"/>
  <c r="G569" i="8"/>
  <c r="G570" i="8"/>
  <c r="G571" i="8"/>
  <c r="G463" i="8"/>
  <c r="G1819" i="8"/>
  <c r="G1820" i="8"/>
  <c r="G1821" i="8"/>
  <c r="G1822" i="8"/>
  <c r="G1823" i="8"/>
  <c r="G1824" i="8"/>
  <c r="G1825" i="8"/>
  <c r="G1826" i="8"/>
  <c r="G1827" i="8"/>
  <c r="G1828" i="8"/>
  <c r="G1829" i="8"/>
  <c r="G1830" i="8"/>
  <c r="G1831" i="8"/>
  <c r="G1832" i="8"/>
  <c r="G1833" i="8"/>
  <c r="G1834" i="8"/>
  <c r="G1835" i="8"/>
  <c r="G1836" i="8"/>
  <c r="G1837" i="8"/>
  <c r="G1838" i="8"/>
  <c r="G1839" i="8"/>
  <c r="G1840" i="8"/>
  <c r="G1841" i="8"/>
  <c r="G1842" i="8"/>
  <c r="G1843" i="8"/>
  <c r="G1844" i="8"/>
  <c r="G1845" i="8"/>
  <c r="G1846" i="8"/>
  <c r="G1847" i="8"/>
  <c r="G1848" i="8"/>
  <c r="G1849" i="8"/>
  <c r="G1850" i="8"/>
  <c r="G1851" i="8"/>
  <c r="G1852" i="8"/>
  <c r="G1853" i="8"/>
  <c r="G1854" i="8"/>
  <c r="G1855" i="8"/>
  <c r="G1856" i="8"/>
  <c r="G1857" i="8"/>
  <c r="G1858" i="8"/>
  <c r="G1859" i="8"/>
  <c r="G1860" i="8"/>
  <c r="G1861" i="8"/>
  <c r="G1862" i="8"/>
  <c r="G1863" i="8"/>
  <c r="G1864" i="8"/>
  <c r="G1865" i="8"/>
  <c r="G1866" i="8"/>
  <c r="G1867" i="8"/>
  <c r="G1868" i="8"/>
  <c r="G1869" i="8"/>
  <c r="G1870" i="8"/>
  <c r="G1871" i="8"/>
  <c r="G1872" i="8"/>
  <c r="G1873" i="8"/>
  <c r="G1874" i="8"/>
  <c r="G1875" i="8"/>
  <c r="G1876" i="8"/>
  <c r="G1877" i="8"/>
  <c r="G1878" i="8"/>
  <c r="G1879" i="8"/>
  <c r="G1880" i="8"/>
  <c r="G1881" i="8"/>
  <c r="G1882" i="8"/>
  <c r="G1883" i="8"/>
  <c r="G1884" i="8"/>
  <c r="G1885" i="8"/>
  <c r="G1886" i="8"/>
  <c r="G1887" i="8"/>
  <c r="G1888" i="8"/>
  <c r="G1889" i="8"/>
  <c r="G1890" i="8"/>
  <c r="G1891" i="8"/>
  <c r="G1892" i="8"/>
  <c r="G1893" i="8"/>
  <c r="G1894" i="8"/>
  <c r="G1895" i="8"/>
  <c r="G1896" i="8"/>
  <c r="G1897" i="8"/>
  <c r="G1898" i="8"/>
  <c r="G1899" i="8"/>
  <c r="G1900" i="8"/>
  <c r="G1901" i="8"/>
  <c r="G1902" i="8"/>
  <c r="G1903" i="8"/>
  <c r="G1904" i="8"/>
  <c r="G1905" i="8"/>
  <c r="G1906" i="8"/>
  <c r="G1907" i="8"/>
  <c r="G1908" i="8"/>
  <c r="G1909" i="8"/>
  <c r="G1910" i="8"/>
  <c r="G1911" i="8"/>
  <c r="G1912" i="8"/>
  <c r="G1913" i="8"/>
  <c r="G1914" i="8"/>
  <c r="G1915" i="8"/>
  <c r="G1916" i="8"/>
  <c r="G1917" i="8"/>
  <c r="G1918" i="8"/>
  <c r="G1919" i="8"/>
  <c r="G1920" i="8"/>
  <c r="G1921" i="8"/>
  <c r="G1922" i="8"/>
  <c r="G1923" i="8"/>
  <c r="G1924" i="8"/>
  <c r="G1925" i="8"/>
  <c r="G1926" i="8"/>
  <c r="G1927" i="8"/>
  <c r="G1928" i="8"/>
  <c r="G1929" i="8"/>
  <c r="G1930" i="8"/>
  <c r="G1931" i="8"/>
  <c r="G1932" i="8"/>
  <c r="G1933" i="8"/>
  <c r="G1934" i="8"/>
  <c r="G1935" i="8"/>
  <c r="G1936" i="8"/>
  <c r="G1937" i="8"/>
  <c r="G1938" i="8"/>
  <c r="G1939" i="8"/>
  <c r="G1940" i="8"/>
  <c r="G1941" i="8"/>
  <c r="G1942" i="8"/>
  <c r="G1943" i="8"/>
  <c r="G1944" i="8"/>
  <c r="G1945" i="8"/>
  <c r="G1818" i="8"/>
  <c r="G1707" i="8"/>
  <c r="G1708" i="8"/>
  <c r="G1709" i="8"/>
  <c r="G1710" i="8"/>
  <c r="G1711" i="8"/>
  <c r="G1712" i="8"/>
  <c r="G1713" i="8"/>
  <c r="G1714" i="8"/>
  <c r="G1715" i="8"/>
  <c r="G1716" i="8"/>
  <c r="G1717" i="8"/>
  <c r="G1718" i="8"/>
  <c r="G1719" i="8"/>
  <c r="G1720" i="8"/>
  <c r="G1721" i="8"/>
  <c r="G1722" i="8"/>
  <c r="G1723" i="8"/>
  <c r="G1724" i="8"/>
  <c r="G1725" i="8"/>
  <c r="G1726" i="8"/>
  <c r="G1727" i="8"/>
  <c r="G1728" i="8"/>
  <c r="G1729" i="8"/>
  <c r="G1730" i="8"/>
  <c r="G1731" i="8"/>
  <c r="G1732" i="8"/>
  <c r="G1733" i="8"/>
  <c r="G1734" i="8"/>
  <c r="G1735" i="8"/>
  <c r="G1736" i="8"/>
  <c r="G1737" i="8"/>
  <c r="G1738" i="8"/>
  <c r="G1739" i="8"/>
  <c r="G1740" i="8"/>
  <c r="G1741" i="8"/>
  <c r="G1742" i="8"/>
  <c r="G1743" i="8"/>
  <c r="G1744" i="8"/>
  <c r="G1745" i="8"/>
  <c r="G1746" i="8"/>
  <c r="G1747" i="8"/>
  <c r="G1748" i="8"/>
  <c r="G1749" i="8"/>
  <c r="G1750" i="8"/>
  <c r="G1751" i="8"/>
  <c r="G1752" i="8"/>
  <c r="G1753" i="8"/>
  <c r="G1754" i="8"/>
  <c r="G1755" i="8"/>
  <c r="G1756" i="8"/>
  <c r="G1757" i="8"/>
  <c r="G1758" i="8"/>
  <c r="G1759" i="8"/>
  <c r="G1760" i="8"/>
  <c r="G1761" i="8"/>
  <c r="G1762" i="8"/>
  <c r="G1763" i="8"/>
  <c r="G1764" i="8"/>
  <c r="G1765" i="8"/>
  <c r="G1766" i="8"/>
  <c r="G1767" i="8"/>
  <c r="G1768" i="8"/>
  <c r="G1769" i="8"/>
  <c r="G1770" i="8"/>
  <c r="G1771" i="8"/>
  <c r="G1772" i="8"/>
  <c r="G1773" i="8"/>
  <c r="G1774" i="8"/>
  <c r="G1775" i="8"/>
  <c r="G1776" i="8"/>
  <c r="G1777" i="8"/>
  <c r="G1778" i="8"/>
  <c r="G1779" i="8"/>
  <c r="G1780" i="8"/>
  <c r="G1781" i="8"/>
  <c r="G1782" i="8"/>
  <c r="G1783" i="8"/>
  <c r="G1784" i="8"/>
  <c r="G1785" i="8"/>
  <c r="G1786" i="8"/>
  <c r="G1787" i="8"/>
  <c r="G1788" i="8"/>
  <c r="G1789" i="8"/>
  <c r="G1790" i="8"/>
  <c r="G1791" i="8"/>
  <c r="G1792" i="8"/>
  <c r="G1793" i="8"/>
  <c r="G1794" i="8"/>
  <c r="G1795" i="8"/>
  <c r="G1796" i="8"/>
  <c r="G1797" i="8"/>
  <c r="G1798" i="8"/>
  <c r="G1799" i="8"/>
  <c r="G1800" i="8"/>
  <c r="G1801" i="8"/>
  <c r="G1802" i="8"/>
  <c r="G1803" i="8"/>
  <c r="G1804" i="8"/>
  <c r="G1805" i="8"/>
  <c r="G1806" i="8"/>
  <c r="G1807" i="8"/>
  <c r="G1808" i="8"/>
  <c r="G1809" i="8"/>
  <c r="G1810" i="8"/>
  <c r="G1811" i="8"/>
  <c r="G1812" i="8"/>
  <c r="G1813" i="8"/>
  <c r="G1814" i="8"/>
  <c r="G1815" i="8"/>
  <c r="G1816" i="8"/>
  <c r="G1817" i="8"/>
  <c r="G1706" i="8"/>
  <c r="G341" i="8"/>
  <c r="G342" i="8"/>
  <c r="G343" i="8"/>
  <c r="G344" i="8"/>
  <c r="G345" i="8"/>
  <c r="G346" i="8"/>
  <c r="G347" i="8"/>
  <c r="G348" i="8"/>
  <c r="G349" i="8"/>
  <c r="G350" i="8"/>
  <c r="G351" i="8"/>
  <c r="G352" i="8"/>
  <c r="G353" i="8"/>
  <c r="G354" i="8"/>
  <c r="G355" i="8"/>
  <c r="G356" i="8"/>
  <c r="G357" i="8"/>
  <c r="G358" i="8"/>
  <c r="G359" i="8"/>
  <c r="G360" i="8"/>
  <c r="G361" i="8"/>
  <c r="G362" i="8"/>
  <c r="G363" i="8"/>
  <c r="G364" i="8"/>
  <c r="G365" i="8"/>
  <c r="G366" i="8"/>
  <c r="G367" i="8"/>
  <c r="G368" i="8"/>
  <c r="G369" i="8"/>
  <c r="G370" i="8"/>
  <c r="G371" i="8"/>
  <c r="G372" i="8"/>
  <c r="G373" i="8"/>
  <c r="G374" i="8"/>
  <c r="G375" i="8"/>
  <c r="G376" i="8"/>
  <c r="G377" i="8"/>
  <c r="G378" i="8"/>
  <c r="G379" i="8"/>
  <c r="G380" i="8"/>
  <c r="G381" i="8"/>
  <c r="G382" i="8"/>
  <c r="G383" i="8"/>
  <c r="G384" i="8"/>
  <c r="G385" i="8"/>
  <c r="G386" i="8"/>
  <c r="G387" i="8"/>
  <c r="G388" i="8"/>
  <c r="G389" i="8"/>
  <c r="G390" i="8"/>
  <c r="G391" i="8"/>
  <c r="G392" i="8"/>
  <c r="G393" i="8"/>
  <c r="G394" i="8"/>
  <c r="G395" i="8"/>
  <c r="G396" i="8"/>
  <c r="G397" i="8"/>
  <c r="G398" i="8"/>
  <c r="G399" i="8"/>
  <c r="G400" i="8"/>
  <c r="G401" i="8"/>
  <c r="G402" i="8"/>
  <c r="G403" i="8"/>
  <c r="G404" i="8"/>
  <c r="G405" i="8"/>
  <c r="G406" i="8"/>
  <c r="G407" i="8"/>
  <c r="G408" i="8"/>
  <c r="G409" i="8"/>
  <c r="G410" i="8"/>
  <c r="G411" i="8"/>
  <c r="G412" i="8"/>
  <c r="G413" i="8"/>
  <c r="G414" i="8"/>
  <c r="G415" i="8"/>
  <c r="G416" i="8"/>
  <c r="G417" i="8"/>
  <c r="G418" i="8"/>
  <c r="G419" i="8"/>
  <c r="G420" i="8"/>
  <c r="G421" i="8"/>
  <c r="G422" i="8"/>
  <c r="G423" i="8"/>
  <c r="G424" i="8"/>
  <c r="G425" i="8"/>
  <c r="G426" i="8"/>
  <c r="G427" i="8"/>
  <c r="G428" i="8"/>
  <c r="G429" i="8"/>
  <c r="G430" i="8"/>
  <c r="G431" i="8"/>
  <c r="G432" i="8"/>
  <c r="G433" i="8"/>
  <c r="G434" i="8"/>
  <c r="G435" i="8"/>
  <c r="G436" i="8"/>
  <c r="G437" i="8"/>
  <c r="G438" i="8"/>
  <c r="G439" i="8"/>
  <c r="G440" i="8"/>
  <c r="G441" i="8"/>
  <c r="G442" i="8"/>
  <c r="G443" i="8"/>
  <c r="G444" i="8"/>
  <c r="G445" i="8"/>
  <c r="G446" i="8"/>
  <c r="G447" i="8"/>
  <c r="G448" i="8"/>
  <c r="G449" i="8"/>
  <c r="G450" i="8"/>
  <c r="G451" i="8"/>
  <c r="G452" i="8"/>
  <c r="G453" i="8"/>
  <c r="G454" i="8"/>
  <c r="G455" i="8"/>
  <c r="G456" i="8"/>
  <c r="G457" i="8"/>
  <c r="G458" i="8"/>
  <c r="G459" i="8"/>
  <c r="G460" i="8"/>
  <c r="G461" i="8"/>
  <c r="G462" i="8"/>
  <c r="G340" i="8"/>
  <c r="G243" i="8"/>
  <c r="G244" i="8"/>
  <c r="G245" i="8"/>
  <c r="G246" i="8"/>
  <c r="G247" i="8"/>
  <c r="G248" i="8"/>
  <c r="G249" i="8"/>
  <c r="G250" i="8"/>
  <c r="G251" i="8"/>
  <c r="G252" i="8"/>
  <c r="G253" i="8"/>
  <c r="G254" i="8"/>
  <c r="G255" i="8"/>
  <c r="G256" i="8"/>
  <c r="G257" i="8"/>
  <c r="G258" i="8"/>
  <c r="G259" i="8"/>
  <c r="G260" i="8"/>
  <c r="G261" i="8"/>
  <c r="G262" i="8"/>
  <c r="G263" i="8"/>
  <c r="G264" i="8"/>
  <c r="G265" i="8"/>
  <c r="G266" i="8"/>
  <c r="G267" i="8"/>
  <c r="G268" i="8"/>
  <c r="G269" i="8"/>
  <c r="G270" i="8"/>
  <c r="G271" i="8"/>
  <c r="G272" i="8"/>
  <c r="G273" i="8"/>
  <c r="G274" i="8"/>
  <c r="G275" i="8"/>
  <c r="G276" i="8"/>
  <c r="G277" i="8"/>
  <c r="G278" i="8"/>
  <c r="G279" i="8"/>
  <c r="G280" i="8"/>
  <c r="G281" i="8"/>
  <c r="G282" i="8"/>
  <c r="G283" i="8"/>
  <c r="G284" i="8"/>
  <c r="G285" i="8"/>
  <c r="G286" i="8"/>
  <c r="G287" i="8"/>
  <c r="G288" i="8"/>
  <c r="G289" i="8"/>
  <c r="G290" i="8"/>
  <c r="G291" i="8"/>
  <c r="G292" i="8"/>
  <c r="G293" i="8"/>
  <c r="G294" i="8"/>
  <c r="G295" i="8"/>
  <c r="G296" i="8"/>
  <c r="G297" i="8"/>
  <c r="G298" i="8"/>
  <c r="G299" i="8"/>
  <c r="G300" i="8"/>
  <c r="G301" i="8"/>
  <c r="G302" i="8"/>
  <c r="G303" i="8"/>
  <c r="G304" i="8"/>
  <c r="G305" i="8"/>
  <c r="G306" i="8"/>
  <c r="G307" i="8"/>
  <c r="G308" i="8"/>
  <c r="G309" i="8"/>
  <c r="G310" i="8"/>
  <c r="G311" i="8"/>
  <c r="G312" i="8"/>
  <c r="G313" i="8"/>
  <c r="G314" i="8"/>
  <c r="G315" i="8"/>
  <c r="G316" i="8"/>
  <c r="G317" i="8"/>
  <c r="G318" i="8"/>
  <c r="G319" i="8"/>
  <c r="G320" i="8"/>
  <c r="G321" i="8"/>
  <c r="G322" i="8"/>
  <c r="G323" i="8"/>
  <c r="G324" i="8"/>
  <c r="G325" i="8"/>
  <c r="G326" i="8"/>
  <c r="G327" i="8"/>
  <c r="G328" i="8"/>
  <c r="G329" i="8"/>
  <c r="G330" i="8"/>
  <c r="G331" i="8"/>
  <c r="G332" i="8"/>
  <c r="G333" i="8"/>
  <c r="G334" i="8"/>
  <c r="G335" i="8"/>
  <c r="G336" i="8"/>
  <c r="G337" i="8"/>
  <c r="G338" i="8"/>
  <c r="G339" i="8"/>
  <c r="G242" i="8"/>
  <c r="G1586" i="8"/>
  <c r="G1587" i="8"/>
  <c r="G1588" i="8"/>
  <c r="G1589" i="8"/>
  <c r="G1590" i="8"/>
  <c r="G1591" i="8"/>
  <c r="G1592" i="8"/>
  <c r="G1593" i="8"/>
  <c r="G1594" i="8"/>
  <c r="G1595" i="8"/>
  <c r="G1596" i="8"/>
  <c r="G1597" i="8"/>
  <c r="G1598" i="8"/>
  <c r="G1599" i="8"/>
  <c r="G1600" i="8"/>
  <c r="G1601" i="8"/>
  <c r="G1602" i="8"/>
  <c r="G1603" i="8"/>
  <c r="G1604" i="8"/>
  <c r="G1605" i="8"/>
  <c r="G1606" i="8"/>
  <c r="G1607" i="8"/>
  <c r="G1608" i="8"/>
  <c r="G1609" i="8"/>
  <c r="G1610" i="8"/>
  <c r="G1611" i="8"/>
  <c r="G1612" i="8"/>
  <c r="G1613" i="8"/>
  <c r="G1614" i="8"/>
  <c r="G1615" i="8"/>
  <c r="G1616" i="8"/>
  <c r="G1617" i="8"/>
  <c r="G1618" i="8"/>
  <c r="G1619" i="8"/>
  <c r="G1620" i="8"/>
  <c r="G1621" i="8"/>
  <c r="G1622" i="8"/>
  <c r="G1623" i="8"/>
  <c r="G1624" i="8"/>
  <c r="G1625" i="8"/>
  <c r="G1626" i="8"/>
  <c r="G1627" i="8"/>
  <c r="G1628" i="8"/>
  <c r="G1629" i="8"/>
  <c r="G1630" i="8"/>
  <c r="G1631" i="8"/>
  <c r="G1632" i="8"/>
  <c r="G1633" i="8"/>
  <c r="G1634" i="8"/>
  <c r="G1635" i="8"/>
  <c r="G1636" i="8"/>
  <c r="G1637" i="8"/>
  <c r="G1638" i="8"/>
  <c r="G1639" i="8"/>
  <c r="G1640" i="8"/>
  <c r="G1641" i="8"/>
  <c r="G1642" i="8"/>
  <c r="G1643" i="8"/>
  <c r="G1644" i="8"/>
  <c r="G1645" i="8"/>
  <c r="G1646" i="8"/>
  <c r="G1647" i="8"/>
  <c r="G1648" i="8"/>
  <c r="G1649" i="8"/>
  <c r="G1650" i="8"/>
  <c r="G1651" i="8"/>
  <c r="G1652" i="8"/>
  <c r="G1653" i="8"/>
  <c r="G1654" i="8"/>
  <c r="G1655" i="8"/>
  <c r="G1656" i="8"/>
  <c r="G1657" i="8"/>
  <c r="G1658" i="8"/>
  <c r="G1659" i="8"/>
  <c r="G1660" i="8"/>
  <c r="G1661" i="8"/>
  <c r="G1662" i="8"/>
  <c r="G1663" i="8"/>
  <c r="G1664" i="8"/>
  <c r="G1665" i="8"/>
  <c r="G1666" i="8"/>
  <c r="G1667" i="8"/>
  <c r="G1668" i="8"/>
  <c r="G1669" i="8"/>
  <c r="G1670" i="8"/>
  <c r="G1671" i="8"/>
  <c r="G1672" i="8"/>
  <c r="G1673" i="8"/>
  <c r="G1674" i="8"/>
  <c r="G1675" i="8"/>
  <c r="G1676" i="8"/>
  <c r="G1677" i="8"/>
  <c r="G1678" i="8"/>
  <c r="G1679" i="8"/>
  <c r="G1680" i="8"/>
  <c r="G1681" i="8"/>
  <c r="G1682" i="8"/>
  <c r="G1683" i="8"/>
  <c r="G1684" i="8"/>
  <c r="G1685" i="8"/>
  <c r="G1686" i="8"/>
  <c r="G1687" i="8"/>
  <c r="G1688" i="8"/>
  <c r="G1689" i="8"/>
  <c r="G1690" i="8"/>
  <c r="G1691" i="8"/>
  <c r="G1692" i="8"/>
  <c r="G1693" i="8"/>
  <c r="G1694" i="8"/>
  <c r="G1695" i="8"/>
  <c r="G1696" i="8"/>
  <c r="G1697" i="8"/>
  <c r="G1698" i="8"/>
  <c r="G1699" i="8"/>
  <c r="G1700" i="8"/>
  <c r="G1701" i="8"/>
  <c r="G1702" i="8"/>
  <c r="G1703" i="8"/>
  <c r="G1704" i="8"/>
  <c r="G1705" i="8"/>
  <c r="G1585" i="8"/>
  <c r="G122" i="8"/>
  <c r="G123" i="8"/>
  <c r="G124" i="8"/>
  <c r="G125" i="8"/>
  <c r="G126" i="8"/>
  <c r="G127" i="8"/>
  <c r="G128" i="8"/>
  <c r="G129" i="8"/>
  <c r="G130" i="8"/>
  <c r="G131" i="8"/>
  <c r="G132" i="8"/>
  <c r="G133" i="8"/>
  <c r="G134" i="8"/>
  <c r="G135" i="8"/>
  <c r="G136" i="8"/>
  <c r="G137" i="8"/>
  <c r="G138" i="8"/>
  <c r="G139" i="8"/>
  <c r="G140" i="8"/>
  <c r="G141" i="8"/>
  <c r="G142" i="8"/>
  <c r="G143" i="8"/>
  <c r="G144" i="8"/>
  <c r="G145" i="8"/>
  <c r="G146" i="8"/>
  <c r="G147" i="8"/>
  <c r="G148" i="8"/>
  <c r="G149" i="8"/>
  <c r="G150" i="8"/>
  <c r="G151" i="8"/>
  <c r="G152" i="8"/>
  <c r="G153" i="8"/>
  <c r="G154" i="8"/>
  <c r="G155" i="8"/>
  <c r="G156" i="8"/>
  <c r="G157" i="8"/>
  <c r="G158" i="8"/>
  <c r="G159" i="8"/>
  <c r="G160" i="8"/>
  <c r="G161" i="8"/>
  <c r="G162" i="8"/>
  <c r="G163" i="8"/>
  <c r="G164" i="8"/>
  <c r="G165" i="8"/>
  <c r="G166" i="8"/>
  <c r="G167" i="8"/>
  <c r="G168" i="8"/>
  <c r="G169" i="8"/>
  <c r="G170" i="8"/>
  <c r="G171" i="8"/>
  <c r="G172" i="8"/>
  <c r="G173" i="8"/>
  <c r="G174" i="8"/>
  <c r="G175" i="8"/>
  <c r="G176" i="8"/>
  <c r="G177" i="8"/>
  <c r="G178" i="8"/>
  <c r="G179" i="8"/>
  <c r="G180" i="8"/>
  <c r="G181" i="8"/>
  <c r="G182" i="8"/>
  <c r="G183" i="8"/>
  <c r="G184" i="8"/>
  <c r="G185" i="8"/>
  <c r="G186" i="8"/>
  <c r="G187" i="8"/>
  <c r="G188" i="8"/>
  <c r="G189" i="8"/>
  <c r="G190" i="8"/>
  <c r="G191" i="8"/>
  <c r="G192" i="8"/>
  <c r="G193" i="8"/>
  <c r="G194" i="8"/>
  <c r="G195" i="8"/>
  <c r="G196" i="8"/>
  <c r="G197" i="8"/>
  <c r="G198" i="8"/>
  <c r="G199" i="8"/>
  <c r="G200" i="8"/>
  <c r="G201" i="8"/>
  <c r="G202" i="8"/>
  <c r="G203" i="8"/>
  <c r="G204" i="8"/>
  <c r="G205" i="8"/>
  <c r="G206" i="8"/>
  <c r="G207" i="8"/>
  <c r="G208" i="8"/>
  <c r="G209" i="8"/>
  <c r="G210" i="8"/>
  <c r="G211" i="8"/>
  <c r="G212" i="8"/>
  <c r="G213" i="8"/>
  <c r="G214" i="8"/>
  <c r="G215" i="8"/>
  <c r="G216" i="8"/>
  <c r="G217" i="8"/>
  <c r="G218" i="8"/>
  <c r="G219" i="8"/>
  <c r="G220" i="8"/>
  <c r="G221" i="8"/>
  <c r="G222" i="8"/>
  <c r="G223" i="8"/>
  <c r="G224" i="8"/>
  <c r="G225" i="8"/>
  <c r="G226" i="8"/>
  <c r="G227" i="8"/>
  <c r="G228" i="8"/>
  <c r="G229" i="8"/>
  <c r="G230" i="8"/>
  <c r="G231" i="8"/>
  <c r="G232" i="8"/>
  <c r="G233" i="8"/>
  <c r="G234" i="8"/>
  <c r="G235" i="8"/>
  <c r="G236" i="8"/>
  <c r="G237" i="8"/>
  <c r="G238" i="8"/>
  <c r="G239" i="8"/>
  <c r="G240" i="8"/>
  <c r="G241" i="8"/>
  <c r="G121" i="8"/>
  <c r="G1492" i="8"/>
  <c r="G1493" i="8"/>
  <c r="G1494" i="8"/>
  <c r="G1495" i="8"/>
  <c r="G1496" i="8"/>
  <c r="G1497" i="8"/>
  <c r="G1498" i="8"/>
  <c r="G1499" i="8"/>
  <c r="G1500" i="8"/>
  <c r="G1501" i="8"/>
  <c r="G1502" i="8"/>
  <c r="G1503" i="8"/>
  <c r="G1504" i="8"/>
  <c r="G1505" i="8"/>
  <c r="G1506" i="8"/>
  <c r="G1507" i="8"/>
  <c r="G1508" i="8"/>
  <c r="G1509" i="8"/>
  <c r="G1510" i="8"/>
  <c r="G1511" i="8"/>
  <c r="G1512" i="8"/>
  <c r="G1513" i="8"/>
  <c r="G1514" i="8"/>
  <c r="G1515" i="8"/>
  <c r="G1516" i="8"/>
  <c r="G1517" i="8"/>
  <c r="G1518" i="8"/>
  <c r="G1519" i="8"/>
  <c r="G1520" i="8"/>
  <c r="G1521" i="8"/>
  <c r="G1522" i="8"/>
  <c r="G1523" i="8"/>
  <c r="G1524" i="8"/>
  <c r="G1525" i="8"/>
  <c r="G1526" i="8"/>
  <c r="G1527" i="8"/>
  <c r="G1528" i="8"/>
  <c r="G1529" i="8"/>
  <c r="G1530" i="8"/>
  <c r="G1531" i="8"/>
  <c r="G1532" i="8"/>
  <c r="G1533" i="8"/>
  <c r="G1534" i="8"/>
  <c r="G1535" i="8"/>
  <c r="G1536" i="8"/>
  <c r="G1537" i="8"/>
  <c r="G1538" i="8"/>
  <c r="G1539" i="8"/>
  <c r="G1540" i="8"/>
  <c r="G1541" i="8"/>
  <c r="G1542" i="8"/>
  <c r="G1543" i="8"/>
  <c r="G1544" i="8"/>
  <c r="G1545" i="8"/>
  <c r="G1546" i="8"/>
  <c r="G1547" i="8"/>
  <c r="G1548" i="8"/>
  <c r="G1549" i="8"/>
  <c r="G1550" i="8"/>
  <c r="G1551" i="8"/>
  <c r="G1552" i="8"/>
  <c r="G1553" i="8"/>
  <c r="G1554" i="8"/>
  <c r="G1555" i="8"/>
  <c r="G1556" i="8"/>
  <c r="G1557" i="8"/>
  <c r="G1558" i="8"/>
  <c r="G1559" i="8"/>
  <c r="G1560" i="8"/>
  <c r="G1561" i="8"/>
  <c r="G1562" i="8"/>
  <c r="G1563" i="8"/>
  <c r="G1564" i="8"/>
  <c r="G1565" i="8"/>
  <c r="G1566" i="8"/>
  <c r="G1567" i="8"/>
  <c r="G1568" i="8"/>
  <c r="G1569" i="8"/>
  <c r="G1570" i="8"/>
  <c r="G1571" i="8"/>
  <c r="G1572" i="8"/>
  <c r="G1573" i="8"/>
  <c r="G1574" i="8"/>
  <c r="G1575" i="8"/>
  <c r="G1576" i="8"/>
  <c r="G1577" i="8"/>
  <c r="G1578" i="8"/>
  <c r="G1579" i="8"/>
  <c r="G1580" i="8"/>
  <c r="G1581" i="8"/>
  <c r="G1582" i="8"/>
  <c r="G1583" i="8"/>
  <c r="G1584" i="8"/>
  <c r="G1491" i="8"/>
  <c r="G1358" i="8"/>
  <c r="G1359" i="8"/>
  <c r="G1360" i="8"/>
  <c r="G1361" i="8"/>
  <c r="G1362" i="8"/>
  <c r="G1363" i="8"/>
  <c r="G1364" i="8"/>
  <c r="G1365" i="8"/>
  <c r="G1366" i="8"/>
  <c r="G1367" i="8"/>
  <c r="G1368" i="8"/>
  <c r="G1369" i="8"/>
  <c r="G1370" i="8"/>
  <c r="G1371" i="8"/>
  <c r="G1372" i="8"/>
  <c r="G1373" i="8"/>
  <c r="G1374" i="8"/>
  <c r="G1375" i="8"/>
  <c r="G1376" i="8"/>
  <c r="G1377" i="8"/>
  <c r="G1378" i="8"/>
  <c r="G1379" i="8"/>
  <c r="G1380" i="8"/>
  <c r="G1381" i="8"/>
  <c r="G1382" i="8"/>
  <c r="G1383" i="8"/>
  <c r="G1384" i="8"/>
  <c r="G1385" i="8"/>
  <c r="G1386" i="8"/>
  <c r="G1387" i="8"/>
  <c r="G1388" i="8"/>
  <c r="G1389" i="8"/>
  <c r="G1390" i="8"/>
  <c r="G1391" i="8"/>
  <c r="G1392" i="8"/>
  <c r="G1393" i="8"/>
  <c r="G1394" i="8"/>
  <c r="G1395" i="8"/>
  <c r="G1396" i="8"/>
  <c r="G1397" i="8"/>
  <c r="G1398" i="8"/>
  <c r="G1399" i="8"/>
  <c r="G1400" i="8"/>
  <c r="G1401" i="8"/>
  <c r="G1402" i="8"/>
  <c r="G1403" i="8"/>
  <c r="G1404" i="8"/>
  <c r="G1405" i="8"/>
  <c r="G1406" i="8"/>
  <c r="G1407" i="8"/>
  <c r="G1408" i="8"/>
  <c r="G1409" i="8"/>
  <c r="G1410" i="8"/>
  <c r="G1411" i="8"/>
  <c r="G1412" i="8"/>
  <c r="G1413" i="8"/>
  <c r="G1414" i="8"/>
  <c r="G1415" i="8"/>
  <c r="G1416" i="8"/>
  <c r="G1417" i="8"/>
  <c r="G1418" i="8"/>
  <c r="G1419" i="8"/>
  <c r="G1420" i="8"/>
  <c r="G1421" i="8"/>
  <c r="G1422" i="8"/>
  <c r="G1423" i="8"/>
  <c r="G1424" i="8"/>
  <c r="G1425" i="8"/>
  <c r="G1426" i="8"/>
  <c r="G1427" i="8"/>
  <c r="G1428" i="8"/>
  <c r="G1429" i="8"/>
  <c r="G1430" i="8"/>
  <c r="G1431" i="8"/>
  <c r="G1432" i="8"/>
  <c r="G1433" i="8"/>
  <c r="G1434" i="8"/>
  <c r="G1435" i="8"/>
  <c r="G1436" i="8"/>
  <c r="G1437" i="8"/>
  <c r="G1438" i="8"/>
  <c r="G1439" i="8"/>
  <c r="G1440" i="8"/>
  <c r="G1441" i="8"/>
  <c r="G1442" i="8"/>
  <c r="G1443" i="8"/>
  <c r="G1444" i="8"/>
  <c r="G1445" i="8"/>
  <c r="G1446" i="8"/>
  <c r="G1447" i="8"/>
  <c r="G1448" i="8"/>
  <c r="G1449" i="8"/>
  <c r="G1450" i="8"/>
  <c r="G1451" i="8"/>
  <c r="G1452" i="8"/>
  <c r="G1453" i="8"/>
  <c r="G1454" i="8"/>
  <c r="G1455" i="8"/>
  <c r="G1456" i="8"/>
  <c r="G1457" i="8"/>
  <c r="G1458" i="8"/>
  <c r="G1459" i="8"/>
  <c r="G1460" i="8"/>
  <c r="G1461" i="8"/>
  <c r="G1462" i="8"/>
  <c r="G1463" i="8"/>
  <c r="G1464" i="8"/>
  <c r="G1465" i="8"/>
  <c r="G1466" i="8"/>
  <c r="G1467" i="8"/>
  <c r="G1468" i="8"/>
  <c r="G1469" i="8"/>
  <c r="G1470" i="8"/>
  <c r="G1471" i="8"/>
  <c r="G1472" i="8"/>
  <c r="G1473" i="8"/>
  <c r="G1474" i="8"/>
  <c r="G1475" i="8"/>
  <c r="G1476" i="8"/>
  <c r="G1477" i="8"/>
  <c r="G1478" i="8"/>
  <c r="G1479" i="8"/>
  <c r="G1480" i="8"/>
  <c r="G1481" i="8"/>
  <c r="G1482" i="8"/>
  <c r="G1483" i="8"/>
  <c r="G1484" i="8"/>
  <c r="G1485" i="8"/>
  <c r="G1486" i="8"/>
  <c r="G1487" i="8"/>
  <c r="G1488" i="8"/>
  <c r="G1489" i="8"/>
  <c r="G1490" i="8"/>
  <c r="G1357" i="8"/>
  <c r="G3" i="8"/>
  <c r="G4" i="8"/>
  <c r="G5" i="8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G70" i="8"/>
  <c r="G71" i="8"/>
  <c r="G72" i="8"/>
  <c r="G73" i="8"/>
  <c r="G74" i="8"/>
  <c r="G75" i="8"/>
  <c r="G76" i="8"/>
  <c r="G77" i="8"/>
  <c r="G78" i="8"/>
  <c r="G79" i="8"/>
  <c r="G80" i="8"/>
  <c r="G81" i="8"/>
  <c r="G82" i="8"/>
  <c r="G83" i="8"/>
  <c r="G84" i="8"/>
  <c r="G85" i="8"/>
  <c r="G86" i="8"/>
  <c r="G87" i="8"/>
  <c r="G88" i="8"/>
  <c r="G89" i="8"/>
  <c r="G90" i="8"/>
  <c r="G91" i="8"/>
  <c r="G92" i="8"/>
  <c r="G93" i="8"/>
  <c r="G94" i="8"/>
  <c r="G95" i="8"/>
  <c r="G96" i="8"/>
  <c r="G97" i="8"/>
  <c r="G98" i="8"/>
  <c r="G99" i="8"/>
  <c r="G100" i="8"/>
  <c r="G101" i="8"/>
  <c r="G102" i="8"/>
  <c r="G103" i="8"/>
  <c r="G104" i="8"/>
  <c r="G105" i="8"/>
  <c r="G106" i="8"/>
  <c r="G107" i="8"/>
  <c r="G108" i="8"/>
  <c r="G109" i="8"/>
  <c r="G110" i="8"/>
  <c r="G111" i="8"/>
  <c r="G112" i="8"/>
  <c r="G113" i="8"/>
  <c r="G114" i="8"/>
  <c r="G115" i="8"/>
  <c r="G116" i="8"/>
  <c r="G117" i="8"/>
  <c r="G118" i="8"/>
  <c r="G119" i="8"/>
  <c r="G120" i="8"/>
  <c r="G2" i="8"/>
  <c r="M1358" i="8"/>
  <c r="M1359" i="8"/>
  <c r="M1360" i="8"/>
  <c r="M1361" i="8"/>
  <c r="M1362" i="8"/>
  <c r="M1363" i="8"/>
  <c r="M1364" i="8"/>
  <c r="M1365" i="8"/>
  <c r="M1366" i="8"/>
  <c r="M1367" i="8"/>
  <c r="M1368" i="8"/>
  <c r="M1369" i="8"/>
  <c r="M1370" i="8"/>
  <c r="M1371" i="8"/>
  <c r="M1372" i="8"/>
  <c r="M1373" i="8"/>
  <c r="M1374" i="8"/>
  <c r="M1375" i="8"/>
  <c r="M1376" i="8"/>
  <c r="M1377" i="8"/>
  <c r="M1378" i="8"/>
  <c r="M1379" i="8"/>
  <c r="M1380" i="8"/>
  <c r="M1381" i="8"/>
  <c r="M1382" i="8"/>
  <c r="M1383" i="8"/>
  <c r="M1384" i="8"/>
  <c r="M1385" i="8"/>
  <c r="M1386" i="8"/>
  <c r="M1387" i="8"/>
  <c r="M1388" i="8"/>
  <c r="M1389" i="8"/>
  <c r="M1390" i="8"/>
  <c r="M1391" i="8"/>
  <c r="M1392" i="8"/>
  <c r="M1393" i="8"/>
  <c r="M1394" i="8"/>
  <c r="M1395" i="8"/>
  <c r="M1396" i="8"/>
  <c r="M1397" i="8"/>
  <c r="M1398" i="8"/>
  <c r="M1399" i="8"/>
  <c r="M1400" i="8"/>
  <c r="M1401" i="8"/>
  <c r="M1402" i="8"/>
  <c r="M1403" i="8"/>
  <c r="M1404" i="8"/>
  <c r="M1405" i="8"/>
  <c r="M1406" i="8"/>
  <c r="M1407" i="8"/>
  <c r="M1408" i="8"/>
  <c r="M1409" i="8"/>
  <c r="M1410" i="8"/>
  <c r="M1411" i="8"/>
  <c r="M1412" i="8"/>
  <c r="M1413" i="8"/>
  <c r="M1414" i="8"/>
  <c r="M1415" i="8"/>
  <c r="M1416" i="8"/>
  <c r="M1417" i="8"/>
  <c r="M1418" i="8"/>
  <c r="M1419" i="8"/>
  <c r="M1420" i="8"/>
  <c r="M1421" i="8"/>
  <c r="M1422" i="8"/>
  <c r="M1423" i="8"/>
  <c r="M1424" i="8"/>
  <c r="M1425" i="8"/>
  <c r="M1426" i="8"/>
  <c r="M1427" i="8"/>
  <c r="M1428" i="8"/>
  <c r="M1429" i="8"/>
  <c r="M1430" i="8"/>
  <c r="M1431" i="8"/>
  <c r="M1432" i="8"/>
  <c r="M1433" i="8"/>
  <c r="M1434" i="8"/>
  <c r="M1435" i="8"/>
  <c r="M1436" i="8"/>
  <c r="M1437" i="8"/>
  <c r="M1438" i="8"/>
  <c r="M1439" i="8"/>
  <c r="M1440" i="8"/>
  <c r="M1441" i="8"/>
  <c r="M1442" i="8"/>
  <c r="M1443" i="8"/>
  <c r="M1444" i="8"/>
  <c r="M1445" i="8"/>
  <c r="M1446" i="8"/>
  <c r="M1447" i="8"/>
  <c r="M1448" i="8"/>
  <c r="M1449" i="8"/>
  <c r="M1450" i="8"/>
  <c r="M1451" i="8"/>
  <c r="M1452" i="8"/>
  <c r="M1453" i="8"/>
  <c r="M1454" i="8"/>
  <c r="M1455" i="8"/>
  <c r="M1456" i="8"/>
  <c r="M1457" i="8"/>
  <c r="M1458" i="8"/>
  <c r="M1459" i="8"/>
  <c r="M1460" i="8"/>
  <c r="M1461" i="8"/>
  <c r="M1462" i="8"/>
  <c r="M1463" i="8"/>
  <c r="M1464" i="8"/>
  <c r="M1465" i="8"/>
  <c r="M1466" i="8"/>
  <c r="M1467" i="8"/>
  <c r="M1468" i="8"/>
  <c r="M1469" i="8"/>
  <c r="M1470" i="8"/>
  <c r="M1471" i="8"/>
  <c r="M1472" i="8"/>
  <c r="M1473" i="8"/>
  <c r="M1474" i="8"/>
  <c r="M1475" i="8"/>
  <c r="M1476" i="8"/>
  <c r="M1477" i="8"/>
  <c r="M1478" i="8"/>
  <c r="M1479" i="8"/>
  <c r="M1480" i="8"/>
  <c r="M1481" i="8"/>
  <c r="M1482" i="8"/>
  <c r="M1483" i="8"/>
  <c r="M1484" i="8"/>
  <c r="M1485" i="8"/>
  <c r="M1486" i="8"/>
  <c r="M1487" i="8"/>
  <c r="M1488" i="8"/>
  <c r="M1489" i="8"/>
  <c r="M1490" i="8"/>
  <c r="M1491" i="8"/>
  <c r="M1492" i="8"/>
  <c r="M1493" i="8"/>
  <c r="M1494" i="8"/>
  <c r="M1495" i="8"/>
  <c r="M1496" i="8"/>
  <c r="M1497" i="8"/>
  <c r="M1498" i="8"/>
  <c r="M1499" i="8"/>
  <c r="M1500" i="8"/>
  <c r="M1501" i="8"/>
  <c r="M1502" i="8"/>
  <c r="M1503" i="8"/>
  <c r="M1504" i="8"/>
  <c r="M1505" i="8"/>
  <c r="M1506" i="8"/>
  <c r="M1507" i="8"/>
  <c r="M1508" i="8"/>
  <c r="M1509" i="8"/>
  <c r="M1510" i="8"/>
  <c r="M1511" i="8"/>
  <c r="M1512" i="8"/>
  <c r="M1513" i="8"/>
  <c r="M1514" i="8"/>
  <c r="M1515" i="8"/>
  <c r="M1516" i="8"/>
  <c r="M1517" i="8"/>
  <c r="M1518" i="8"/>
  <c r="M1519" i="8"/>
  <c r="M1520" i="8"/>
  <c r="M1521" i="8"/>
  <c r="M1522" i="8"/>
  <c r="M1523" i="8"/>
  <c r="M1524" i="8"/>
  <c r="M1525" i="8"/>
  <c r="M1526" i="8"/>
  <c r="M1527" i="8"/>
  <c r="M1528" i="8"/>
  <c r="M1529" i="8"/>
  <c r="M1530" i="8"/>
  <c r="M1531" i="8"/>
  <c r="M1532" i="8"/>
  <c r="M1533" i="8"/>
  <c r="M1534" i="8"/>
  <c r="M1535" i="8"/>
  <c r="M1536" i="8"/>
  <c r="M1537" i="8"/>
  <c r="M1538" i="8"/>
  <c r="M1539" i="8"/>
  <c r="M1540" i="8"/>
  <c r="M1541" i="8"/>
  <c r="M1542" i="8"/>
  <c r="M1543" i="8"/>
  <c r="M1544" i="8"/>
  <c r="M1545" i="8"/>
  <c r="M1546" i="8"/>
  <c r="M1547" i="8"/>
  <c r="M1548" i="8"/>
  <c r="M1549" i="8"/>
  <c r="M1550" i="8"/>
  <c r="M1551" i="8"/>
  <c r="M1552" i="8"/>
  <c r="M1553" i="8"/>
  <c r="M1554" i="8"/>
  <c r="M1555" i="8"/>
  <c r="M1556" i="8"/>
  <c r="M1557" i="8"/>
  <c r="M1558" i="8"/>
  <c r="M1559" i="8"/>
  <c r="M1560" i="8"/>
  <c r="M1561" i="8"/>
  <c r="M1562" i="8"/>
  <c r="M1563" i="8"/>
  <c r="M1564" i="8"/>
  <c r="M1565" i="8"/>
  <c r="M1566" i="8"/>
  <c r="M1567" i="8"/>
  <c r="M1568" i="8"/>
  <c r="M1569" i="8"/>
  <c r="M1570" i="8"/>
  <c r="M1571" i="8"/>
  <c r="M1572" i="8"/>
  <c r="M1573" i="8"/>
  <c r="M1574" i="8"/>
  <c r="M1575" i="8"/>
  <c r="M1576" i="8"/>
  <c r="M1577" i="8"/>
  <c r="M1578" i="8"/>
  <c r="M1579" i="8"/>
  <c r="M1580" i="8"/>
  <c r="M1581" i="8"/>
  <c r="M1582" i="8"/>
  <c r="M1583" i="8"/>
  <c r="M1584" i="8"/>
  <c r="M1585" i="8"/>
  <c r="M1586" i="8"/>
  <c r="M1587" i="8"/>
  <c r="M1588" i="8"/>
  <c r="M1589" i="8"/>
  <c r="M1590" i="8"/>
  <c r="M1591" i="8"/>
  <c r="M1592" i="8"/>
  <c r="M1593" i="8"/>
  <c r="M1594" i="8"/>
  <c r="M1595" i="8"/>
  <c r="M1596" i="8"/>
  <c r="M1597" i="8"/>
  <c r="M1598" i="8"/>
  <c r="M1599" i="8"/>
  <c r="M1600" i="8"/>
  <c r="M1601" i="8"/>
  <c r="M1602" i="8"/>
  <c r="M1603" i="8"/>
  <c r="M1604" i="8"/>
  <c r="M1605" i="8"/>
  <c r="M1606" i="8"/>
  <c r="M1607" i="8"/>
  <c r="M1608" i="8"/>
  <c r="M1609" i="8"/>
  <c r="M1610" i="8"/>
  <c r="M1611" i="8"/>
  <c r="M1612" i="8"/>
  <c r="M1613" i="8"/>
  <c r="M1614" i="8"/>
  <c r="M1615" i="8"/>
  <c r="M1616" i="8"/>
  <c r="M1617" i="8"/>
  <c r="M1618" i="8"/>
  <c r="M1619" i="8"/>
  <c r="M1620" i="8"/>
  <c r="M1621" i="8"/>
  <c r="M1622" i="8"/>
  <c r="M1623" i="8"/>
  <c r="M1624" i="8"/>
  <c r="M1625" i="8"/>
  <c r="M1626" i="8"/>
  <c r="M1627" i="8"/>
  <c r="M1628" i="8"/>
  <c r="M1629" i="8"/>
  <c r="M1630" i="8"/>
  <c r="M1631" i="8"/>
  <c r="M1632" i="8"/>
  <c r="M1633" i="8"/>
  <c r="M1634" i="8"/>
  <c r="M1635" i="8"/>
  <c r="M1636" i="8"/>
  <c r="M1637" i="8"/>
  <c r="M1638" i="8"/>
  <c r="M1639" i="8"/>
  <c r="M1640" i="8"/>
  <c r="M1641" i="8"/>
  <c r="M1642" i="8"/>
  <c r="M1643" i="8"/>
  <c r="M1644" i="8"/>
  <c r="M1645" i="8"/>
  <c r="M1646" i="8"/>
  <c r="M1647" i="8"/>
  <c r="M1648" i="8"/>
  <c r="M1649" i="8"/>
  <c r="M1650" i="8"/>
  <c r="M1651" i="8"/>
  <c r="M1652" i="8"/>
  <c r="M1653" i="8"/>
  <c r="M1654" i="8"/>
  <c r="M1655" i="8"/>
  <c r="M1656" i="8"/>
  <c r="M1657" i="8"/>
  <c r="M1658" i="8"/>
  <c r="M1659" i="8"/>
  <c r="M1660" i="8"/>
  <c r="M1661" i="8"/>
  <c r="M1662" i="8"/>
  <c r="M1663" i="8"/>
  <c r="M1664" i="8"/>
  <c r="M1665" i="8"/>
  <c r="M1666" i="8"/>
  <c r="M1667" i="8"/>
  <c r="M1668" i="8"/>
  <c r="M1669" i="8"/>
  <c r="M1670" i="8"/>
  <c r="M1671" i="8"/>
  <c r="M1672" i="8"/>
  <c r="M1673" i="8"/>
  <c r="M1674" i="8"/>
  <c r="M1675" i="8"/>
  <c r="M1676" i="8"/>
  <c r="M1677" i="8"/>
  <c r="M1678" i="8"/>
  <c r="M1679" i="8"/>
  <c r="M1680" i="8"/>
  <c r="M1681" i="8"/>
  <c r="M1682" i="8"/>
  <c r="M1683" i="8"/>
  <c r="M1684" i="8"/>
  <c r="M1685" i="8"/>
  <c r="M1686" i="8"/>
  <c r="M1687" i="8"/>
  <c r="M1688" i="8"/>
  <c r="M1689" i="8"/>
  <c r="M1690" i="8"/>
  <c r="M1691" i="8"/>
  <c r="M1692" i="8"/>
  <c r="M1693" i="8"/>
  <c r="M1694" i="8"/>
  <c r="M1695" i="8"/>
  <c r="M1696" i="8"/>
  <c r="M1697" i="8"/>
  <c r="M1698" i="8"/>
  <c r="M1699" i="8"/>
  <c r="M1700" i="8"/>
  <c r="M1701" i="8"/>
  <c r="M1702" i="8"/>
  <c r="M1703" i="8"/>
  <c r="M1704" i="8"/>
  <c r="M1705" i="8"/>
  <c r="M1706" i="8"/>
  <c r="M1707" i="8"/>
  <c r="M1708" i="8"/>
  <c r="M1709" i="8"/>
  <c r="M1710" i="8"/>
  <c r="M1711" i="8"/>
  <c r="M1712" i="8"/>
  <c r="M1713" i="8"/>
  <c r="M1714" i="8"/>
  <c r="M1715" i="8"/>
  <c r="M1716" i="8"/>
  <c r="M1717" i="8"/>
  <c r="M1718" i="8"/>
  <c r="M1719" i="8"/>
  <c r="M1720" i="8"/>
  <c r="M1721" i="8"/>
  <c r="M1722" i="8"/>
  <c r="M1723" i="8"/>
  <c r="M1724" i="8"/>
  <c r="M1725" i="8"/>
  <c r="M1726" i="8"/>
  <c r="M1727" i="8"/>
  <c r="M1728" i="8"/>
  <c r="M1729" i="8"/>
  <c r="M1730" i="8"/>
  <c r="M1731" i="8"/>
  <c r="M1732" i="8"/>
  <c r="M1733" i="8"/>
  <c r="M1734" i="8"/>
  <c r="M1735" i="8"/>
  <c r="M1736" i="8"/>
  <c r="M1737" i="8"/>
  <c r="M1738" i="8"/>
  <c r="M1739" i="8"/>
  <c r="M1740" i="8"/>
  <c r="M1741" i="8"/>
  <c r="M1742" i="8"/>
  <c r="M1743" i="8"/>
  <c r="M1744" i="8"/>
  <c r="M1745" i="8"/>
  <c r="M1746" i="8"/>
  <c r="M1747" i="8"/>
  <c r="M1748" i="8"/>
  <c r="M1749" i="8"/>
  <c r="M1750" i="8"/>
  <c r="M1751" i="8"/>
  <c r="M1752" i="8"/>
  <c r="M1753" i="8"/>
  <c r="M1754" i="8"/>
  <c r="M1755" i="8"/>
  <c r="M1756" i="8"/>
  <c r="M1757" i="8"/>
  <c r="M1758" i="8"/>
  <c r="M1759" i="8"/>
  <c r="M1760" i="8"/>
  <c r="M1761" i="8"/>
  <c r="M1762" i="8"/>
  <c r="M1763" i="8"/>
  <c r="M1764" i="8"/>
  <c r="M1765" i="8"/>
  <c r="M1766" i="8"/>
  <c r="M1767" i="8"/>
  <c r="M1768" i="8"/>
  <c r="M1769" i="8"/>
  <c r="M1770" i="8"/>
  <c r="M1771" i="8"/>
  <c r="M1772" i="8"/>
  <c r="M1773" i="8"/>
  <c r="M1774" i="8"/>
  <c r="M1775" i="8"/>
  <c r="M1776" i="8"/>
  <c r="M1777" i="8"/>
  <c r="M1778" i="8"/>
  <c r="M1779" i="8"/>
  <c r="M1780" i="8"/>
  <c r="M1781" i="8"/>
  <c r="M1782" i="8"/>
  <c r="M1783" i="8"/>
  <c r="M1784" i="8"/>
  <c r="M1785" i="8"/>
  <c r="M1786" i="8"/>
  <c r="M1787" i="8"/>
  <c r="M1788" i="8"/>
  <c r="M1789" i="8"/>
  <c r="M1790" i="8"/>
  <c r="M1791" i="8"/>
  <c r="M1792" i="8"/>
  <c r="M1793" i="8"/>
  <c r="M1794" i="8"/>
  <c r="M1795" i="8"/>
  <c r="M1796" i="8"/>
  <c r="M1797" i="8"/>
  <c r="M1798" i="8"/>
  <c r="M1799" i="8"/>
  <c r="M1800" i="8"/>
  <c r="M1801" i="8"/>
  <c r="M1802" i="8"/>
  <c r="M1803" i="8"/>
  <c r="M1804" i="8"/>
  <c r="M1805" i="8"/>
  <c r="M1806" i="8"/>
  <c r="M1807" i="8"/>
  <c r="M1808" i="8"/>
  <c r="M1809" i="8"/>
  <c r="M1810" i="8"/>
  <c r="M1811" i="8"/>
  <c r="M1812" i="8"/>
  <c r="M1813" i="8"/>
  <c r="M1814" i="8"/>
  <c r="M1815" i="8"/>
  <c r="M1816" i="8"/>
  <c r="M1817" i="8"/>
  <c r="M1818" i="8"/>
  <c r="M1819" i="8"/>
  <c r="M1820" i="8"/>
  <c r="M1821" i="8"/>
  <c r="M1822" i="8"/>
  <c r="M1823" i="8"/>
  <c r="M1824" i="8"/>
  <c r="M1825" i="8"/>
  <c r="M1826" i="8"/>
  <c r="M1827" i="8"/>
  <c r="M1828" i="8"/>
  <c r="M1829" i="8"/>
  <c r="M1830" i="8"/>
  <c r="M1831" i="8"/>
  <c r="M1832" i="8"/>
  <c r="M1833" i="8"/>
  <c r="M1834" i="8"/>
  <c r="M1835" i="8"/>
  <c r="M1836" i="8"/>
  <c r="M1837" i="8"/>
  <c r="M1838" i="8"/>
  <c r="M1839" i="8"/>
  <c r="M1840" i="8"/>
  <c r="M1841" i="8"/>
  <c r="M1842" i="8"/>
  <c r="M1843" i="8"/>
  <c r="M1844" i="8"/>
  <c r="M1845" i="8"/>
  <c r="M1846" i="8"/>
  <c r="M1847" i="8"/>
  <c r="M1848" i="8"/>
  <c r="M1849" i="8"/>
  <c r="M1850" i="8"/>
  <c r="M1851" i="8"/>
  <c r="M1852" i="8"/>
  <c r="M1853" i="8"/>
  <c r="M1854" i="8"/>
  <c r="M1855" i="8"/>
  <c r="M1856" i="8"/>
  <c r="M1857" i="8"/>
  <c r="M1858" i="8"/>
  <c r="M1859" i="8"/>
  <c r="M1860" i="8"/>
  <c r="M1861" i="8"/>
  <c r="M1862" i="8"/>
  <c r="M1863" i="8"/>
  <c r="M1864" i="8"/>
  <c r="M1865" i="8"/>
  <c r="M1866" i="8"/>
  <c r="M1867" i="8"/>
  <c r="M1868" i="8"/>
  <c r="M1869" i="8"/>
  <c r="M1870" i="8"/>
  <c r="M1871" i="8"/>
  <c r="M1872" i="8"/>
  <c r="M1873" i="8"/>
  <c r="M1874" i="8"/>
  <c r="M1875" i="8"/>
  <c r="M1876" i="8"/>
  <c r="M1877" i="8"/>
  <c r="M1878" i="8"/>
  <c r="M1879" i="8"/>
  <c r="M1880" i="8"/>
  <c r="M1881" i="8"/>
  <c r="M1882" i="8"/>
  <c r="M1883" i="8"/>
  <c r="M1884" i="8"/>
  <c r="M1885" i="8"/>
  <c r="M1886" i="8"/>
  <c r="M1887" i="8"/>
  <c r="M1888" i="8"/>
  <c r="M1889" i="8"/>
  <c r="M1890" i="8"/>
  <c r="M1891" i="8"/>
  <c r="M1892" i="8"/>
  <c r="M1893" i="8"/>
  <c r="M1894" i="8"/>
  <c r="M1895" i="8"/>
  <c r="M1896" i="8"/>
  <c r="M1897" i="8"/>
  <c r="M1898" i="8"/>
  <c r="M1899" i="8"/>
  <c r="M1900" i="8"/>
  <c r="M1901" i="8"/>
  <c r="M1902" i="8"/>
  <c r="M1903" i="8"/>
  <c r="M1904" i="8"/>
  <c r="M1905" i="8"/>
  <c r="M1906" i="8"/>
  <c r="M1907" i="8"/>
  <c r="M1908" i="8"/>
  <c r="M1909" i="8"/>
  <c r="M1910" i="8"/>
  <c r="M1911" i="8"/>
  <c r="M1912" i="8"/>
  <c r="M1913" i="8"/>
  <c r="M1914" i="8"/>
  <c r="M1915" i="8"/>
  <c r="M1916" i="8"/>
  <c r="M1917" i="8"/>
  <c r="M1918" i="8"/>
  <c r="M1919" i="8"/>
  <c r="M1920" i="8"/>
  <c r="M1921" i="8"/>
  <c r="M1922" i="8"/>
  <c r="M1923" i="8"/>
  <c r="M1924" i="8"/>
  <c r="M1925" i="8"/>
  <c r="M1926" i="8"/>
  <c r="M1927" i="8"/>
  <c r="M1928" i="8"/>
  <c r="M1929" i="8"/>
  <c r="M1930" i="8"/>
  <c r="M1931" i="8"/>
  <c r="M1932" i="8"/>
  <c r="M1933" i="8"/>
  <c r="M1934" i="8"/>
  <c r="M1935" i="8"/>
  <c r="M1936" i="8"/>
  <c r="M1937" i="8"/>
  <c r="M1938" i="8"/>
  <c r="M1939" i="8"/>
  <c r="M1940" i="8"/>
  <c r="M1941" i="8"/>
  <c r="M1942" i="8"/>
  <c r="M1943" i="8"/>
  <c r="M1944" i="8"/>
  <c r="M1945" i="8"/>
  <c r="M1946" i="8"/>
  <c r="M1947" i="8"/>
  <c r="M1948" i="8"/>
  <c r="M1949" i="8"/>
  <c r="M1950" i="8"/>
  <c r="M1951" i="8"/>
  <c r="M1952" i="8"/>
  <c r="M1953" i="8"/>
  <c r="M1954" i="8"/>
  <c r="M1955" i="8"/>
  <c r="M1956" i="8"/>
  <c r="M1957" i="8"/>
  <c r="M1958" i="8"/>
  <c r="M1959" i="8"/>
  <c r="M1960" i="8"/>
  <c r="M1961" i="8"/>
  <c r="M1962" i="8"/>
  <c r="M1963" i="8"/>
  <c r="M1964" i="8"/>
  <c r="M1965" i="8"/>
  <c r="M1966" i="8"/>
  <c r="M1967" i="8"/>
  <c r="M1968" i="8"/>
  <c r="M1969" i="8"/>
  <c r="M1970" i="8"/>
  <c r="M1971" i="8"/>
  <c r="M1972" i="8"/>
  <c r="M1973" i="8"/>
  <c r="M1974" i="8"/>
  <c r="M1975" i="8"/>
  <c r="M1976" i="8"/>
  <c r="M1977" i="8"/>
  <c r="M1978" i="8"/>
  <c r="M1979" i="8"/>
  <c r="M1980" i="8"/>
  <c r="M1981" i="8"/>
  <c r="M1982" i="8"/>
  <c r="M1983" i="8"/>
  <c r="M1984" i="8"/>
  <c r="M1985" i="8"/>
  <c r="M1986" i="8"/>
  <c r="M1987" i="8"/>
  <c r="M1988" i="8"/>
  <c r="M1989" i="8"/>
  <c r="M1990" i="8"/>
  <c r="M1991" i="8"/>
  <c r="M1992" i="8"/>
  <c r="M1993" i="8"/>
  <c r="M1994" i="8"/>
  <c r="M1995" i="8"/>
  <c r="M1996" i="8"/>
  <c r="M1997" i="8"/>
  <c r="M1998" i="8"/>
  <c r="M1999" i="8"/>
  <c r="M2000" i="8"/>
  <c r="M2001" i="8"/>
  <c r="M2002" i="8"/>
  <c r="M2003" i="8"/>
  <c r="M2004" i="8"/>
  <c r="M2005" i="8"/>
  <c r="M2006" i="8"/>
  <c r="M2007" i="8"/>
  <c r="M2008" i="8"/>
  <c r="M2009" i="8"/>
  <c r="M2010" i="8"/>
  <c r="M2011" i="8"/>
  <c r="M2012" i="8"/>
  <c r="M2013" i="8"/>
  <c r="M2014" i="8"/>
  <c r="M2015" i="8"/>
  <c r="M2016" i="8"/>
  <c r="M2017" i="8"/>
  <c r="M2018" i="8"/>
  <c r="M2019" i="8"/>
  <c r="M2020" i="8"/>
  <c r="M2021" i="8"/>
  <c r="M2022" i="8"/>
  <c r="M2023" i="8"/>
  <c r="M2024" i="8"/>
  <c r="M2025" i="8"/>
  <c r="M2026" i="8"/>
  <c r="M2027" i="8"/>
  <c r="M2028" i="8"/>
  <c r="M2029" i="8"/>
  <c r="M2030" i="8"/>
  <c r="M2031" i="8"/>
  <c r="M2032" i="8"/>
  <c r="M2033" i="8"/>
  <c r="M2034" i="8"/>
  <c r="M2035" i="8"/>
  <c r="M2036" i="8"/>
  <c r="M2037" i="8"/>
  <c r="M2038" i="8"/>
  <c r="M2039" i="8"/>
  <c r="M2040" i="8"/>
  <c r="M2041" i="8"/>
  <c r="M2042" i="8"/>
  <c r="M2043" i="8"/>
  <c r="M2044" i="8"/>
  <c r="M2045" i="8"/>
  <c r="M2046" i="8"/>
  <c r="M2047" i="8"/>
  <c r="M2048" i="8"/>
  <c r="M2049" i="8"/>
  <c r="M2050" i="8"/>
  <c r="M2051" i="8"/>
  <c r="M2052" i="8"/>
  <c r="M2053" i="8"/>
  <c r="M2054" i="8"/>
  <c r="M2055" i="8"/>
  <c r="M2056" i="8"/>
  <c r="M2057" i="8"/>
  <c r="M2058" i="8"/>
  <c r="M2059" i="8"/>
  <c r="M2060" i="8"/>
  <c r="M2061" i="8"/>
  <c r="M2062" i="8"/>
  <c r="M2063" i="8"/>
  <c r="M2064" i="8"/>
  <c r="M2065" i="8"/>
  <c r="M2066" i="8"/>
  <c r="M2067" i="8"/>
  <c r="M2068" i="8"/>
  <c r="M2069" i="8"/>
  <c r="M2070" i="8"/>
  <c r="M2071" i="8"/>
  <c r="M2072" i="8"/>
  <c r="M2073" i="8"/>
  <c r="M2074" i="8"/>
  <c r="M2075" i="8"/>
  <c r="M2076" i="8"/>
  <c r="M2077" i="8"/>
  <c r="M2078" i="8"/>
  <c r="M2079" i="8"/>
  <c r="M2080" i="8"/>
  <c r="M2081" i="8"/>
  <c r="M2082" i="8"/>
  <c r="M2083" i="8"/>
  <c r="M2084" i="8"/>
  <c r="M2085" i="8"/>
  <c r="M2086" i="8"/>
  <c r="M2087" i="8"/>
  <c r="M2088" i="8"/>
  <c r="M2089" i="8"/>
  <c r="M2090" i="8"/>
  <c r="M2091" i="8"/>
  <c r="M2092" i="8"/>
  <c r="M2093" i="8"/>
  <c r="M2094" i="8"/>
  <c r="M2095" i="8"/>
  <c r="M2096" i="8"/>
  <c r="M2097" i="8"/>
  <c r="M2098" i="8"/>
  <c r="M2099" i="8"/>
  <c r="M2100" i="8"/>
  <c r="M2101" i="8"/>
  <c r="M2102" i="8"/>
  <c r="M2103" i="8"/>
  <c r="M2104" i="8"/>
  <c r="M2105" i="8"/>
  <c r="M2106" i="8"/>
  <c r="M2107" i="8"/>
  <c r="M2108" i="8"/>
  <c r="M2109" i="8"/>
  <c r="M2110" i="8"/>
  <c r="M2111" i="8"/>
  <c r="M2112" i="8"/>
  <c r="M2113" i="8"/>
  <c r="M2114" i="8"/>
  <c r="M2115" i="8"/>
  <c r="M2116" i="8"/>
  <c r="M2117" i="8"/>
  <c r="M2118" i="8"/>
  <c r="M2119" i="8"/>
  <c r="M2120" i="8"/>
  <c r="M2121" i="8"/>
  <c r="M2122" i="8"/>
  <c r="M2123" i="8"/>
  <c r="M2124" i="8"/>
  <c r="M2125" i="8"/>
  <c r="M2126" i="8"/>
  <c r="M2127" i="8"/>
  <c r="M2128" i="8"/>
  <c r="M2129" i="8"/>
  <c r="M2130" i="8"/>
  <c r="M2131" i="8"/>
  <c r="M2132" i="8"/>
  <c r="M2133" i="8"/>
  <c r="M2134" i="8"/>
  <c r="M2135" i="8"/>
  <c r="M2136" i="8"/>
  <c r="M2137" i="8"/>
  <c r="M2138" i="8"/>
  <c r="M2139" i="8"/>
  <c r="M2140" i="8"/>
  <c r="M2141" i="8"/>
  <c r="M2142" i="8"/>
  <c r="M2143" i="8"/>
  <c r="M2144" i="8"/>
  <c r="M2145" i="8"/>
  <c r="M2146" i="8"/>
  <c r="M2147" i="8"/>
  <c r="M2148" i="8"/>
  <c r="M2149" i="8"/>
  <c r="M2150" i="8"/>
  <c r="M2151" i="8"/>
  <c r="M2152" i="8"/>
  <c r="M2153" i="8"/>
  <c r="M2154" i="8"/>
  <c r="M2155" i="8"/>
  <c r="M2156" i="8"/>
  <c r="M2157" i="8"/>
  <c r="M2158" i="8"/>
  <c r="M2159" i="8"/>
  <c r="M2160" i="8"/>
  <c r="M2161" i="8"/>
  <c r="M2162" i="8"/>
  <c r="M2163" i="8"/>
  <c r="M2164" i="8"/>
  <c r="M2165" i="8"/>
  <c r="M2166" i="8"/>
  <c r="M2167" i="8"/>
  <c r="M2168" i="8"/>
  <c r="M2169" i="8"/>
  <c r="M2170" i="8"/>
  <c r="M2171" i="8"/>
  <c r="M2172" i="8"/>
  <c r="M2173" i="8"/>
  <c r="M2174" i="8"/>
  <c r="M2175" i="8"/>
  <c r="M2176" i="8"/>
  <c r="M2177" i="8"/>
  <c r="M2178" i="8"/>
  <c r="M2179" i="8"/>
  <c r="M2180" i="8"/>
  <c r="M2181" i="8"/>
  <c r="M2182" i="8"/>
  <c r="M2183" i="8"/>
  <c r="M2184" i="8"/>
  <c r="M2185" i="8"/>
  <c r="M2186" i="8"/>
  <c r="M2187" i="8"/>
  <c r="M2188" i="8"/>
  <c r="M2189" i="8"/>
  <c r="M2190" i="8"/>
  <c r="M2191" i="8"/>
  <c r="M2192" i="8"/>
  <c r="M2193" i="8"/>
  <c r="M2194" i="8"/>
  <c r="M2195" i="8"/>
  <c r="M2196" i="8"/>
  <c r="M2197" i="8"/>
  <c r="M2198" i="8"/>
  <c r="M2199" i="8"/>
  <c r="M2200" i="8"/>
  <c r="M2201" i="8"/>
  <c r="M2202" i="8"/>
  <c r="M2203" i="8"/>
  <c r="M2204" i="8"/>
  <c r="M2205" i="8"/>
  <c r="M2206" i="8"/>
  <c r="M2207" i="8"/>
  <c r="M2208" i="8"/>
  <c r="M2209" i="8"/>
  <c r="M2210" i="8"/>
  <c r="M2211" i="8"/>
  <c r="M2212" i="8"/>
  <c r="M2213" i="8"/>
  <c r="M2214" i="8"/>
  <c r="M2215" i="8"/>
  <c r="M2216" i="8"/>
  <c r="M2217" i="8"/>
  <c r="M2218" i="8"/>
  <c r="M2219" i="8"/>
  <c r="M2220" i="8"/>
  <c r="M2221" i="8"/>
  <c r="M2222" i="8"/>
  <c r="M2223" i="8"/>
  <c r="M2224" i="8"/>
  <c r="M2225" i="8"/>
  <c r="M2226" i="8"/>
  <c r="M2227" i="8"/>
  <c r="M2228" i="8"/>
  <c r="M2229" i="8"/>
  <c r="M2230" i="8"/>
  <c r="M2231" i="8"/>
  <c r="M2232" i="8"/>
  <c r="M2233" i="8"/>
  <c r="M2234" i="8"/>
  <c r="M2235" i="8"/>
  <c r="M2236" i="8"/>
  <c r="M2237" i="8"/>
  <c r="M2238" i="8"/>
  <c r="M2239" i="8"/>
  <c r="M2240" i="8"/>
  <c r="M2241" i="8"/>
  <c r="M2242" i="8"/>
  <c r="M2243" i="8"/>
  <c r="M2244" i="8"/>
  <c r="M2245" i="8"/>
  <c r="M2246" i="8"/>
  <c r="M2247" i="8"/>
  <c r="M2248" i="8"/>
  <c r="M2249" i="8"/>
  <c r="M2250" i="8"/>
  <c r="M2251" i="8"/>
  <c r="M2252" i="8"/>
  <c r="M2253" i="8"/>
  <c r="M2254" i="8"/>
  <c r="M2255" i="8"/>
  <c r="M2256" i="8"/>
  <c r="M2257" i="8"/>
  <c r="M2258" i="8"/>
  <c r="M2259" i="8"/>
  <c r="M2260" i="8"/>
  <c r="M2261" i="8"/>
  <c r="M2262" i="8"/>
  <c r="M2263" i="8"/>
  <c r="M2264" i="8"/>
  <c r="M2265" i="8"/>
  <c r="M2266" i="8"/>
  <c r="M2267" i="8"/>
  <c r="M2268" i="8"/>
  <c r="M2269" i="8"/>
  <c r="M2270" i="8"/>
  <c r="M2271" i="8"/>
  <c r="M2272" i="8"/>
  <c r="M2273" i="8"/>
  <c r="M2274" i="8"/>
  <c r="M2275" i="8"/>
  <c r="M2276" i="8"/>
  <c r="M2277" i="8"/>
  <c r="M2278" i="8"/>
  <c r="M2279" i="8"/>
  <c r="M2280" i="8"/>
  <c r="M2281" i="8"/>
  <c r="M2282" i="8"/>
  <c r="M2283" i="8"/>
  <c r="M2284" i="8"/>
  <c r="M2285" i="8"/>
  <c r="M2286" i="8"/>
  <c r="M2287" i="8"/>
  <c r="M2288" i="8"/>
  <c r="M2289" i="8"/>
  <c r="M2290" i="8"/>
  <c r="M2291" i="8"/>
  <c r="M2292" i="8"/>
  <c r="M2293" i="8"/>
  <c r="M2294" i="8"/>
  <c r="M2295" i="8"/>
  <c r="M2296" i="8"/>
  <c r="M2297" i="8"/>
  <c r="M2298" i="8"/>
  <c r="M2299" i="8"/>
  <c r="M2300" i="8"/>
  <c r="M2301" i="8"/>
  <c r="M2302" i="8"/>
  <c r="M2303" i="8"/>
  <c r="M2304" i="8"/>
  <c r="M2305" i="8"/>
  <c r="M2306" i="8"/>
  <c r="M2307" i="8"/>
  <c r="M2308" i="8"/>
  <c r="M2309" i="8"/>
  <c r="M2310" i="8"/>
  <c r="M2311" i="8"/>
  <c r="M2312" i="8"/>
  <c r="M2313" i="8"/>
  <c r="M2314" i="8"/>
  <c r="M2315" i="8"/>
  <c r="M2316" i="8"/>
  <c r="M2317" i="8"/>
  <c r="M2318" i="8"/>
  <c r="M2319" i="8"/>
  <c r="M2320" i="8"/>
  <c r="M2321" i="8"/>
  <c r="M2322" i="8"/>
  <c r="M2323" i="8"/>
  <c r="M2324" i="8"/>
  <c r="M2325" i="8"/>
  <c r="M2326" i="8"/>
  <c r="M2327" i="8"/>
  <c r="M2328" i="8"/>
  <c r="M2329" i="8"/>
  <c r="M2330" i="8"/>
  <c r="M2331" i="8"/>
  <c r="M2332" i="8"/>
  <c r="M2333" i="8"/>
  <c r="M2334" i="8"/>
  <c r="M2335" i="8"/>
  <c r="M2336" i="8"/>
  <c r="M2337" i="8"/>
  <c r="M2338" i="8"/>
  <c r="M2339" i="8"/>
  <c r="M2340" i="8"/>
  <c r="M2341" i="8"/>
  <c r="M2342" i="8"/>
  <c r="M2343" i="8"/>
  <c r="M2344" i="8"/>
  <c r="M2345" i="8"/>
  <c r="M2346" i="8"/>
  <c r="M2347" i="8"/>
  <c r="M2348" i="8"/>
  <c r="M2349" i="8"/>
  <c r="M2350" i="8"/>
  <c r="M2351" i="8"/>
  <c r="M2352" i="8"/>
  <c r="M2353" i="8"/>
  <c r="M2354" i="8"/>
  <c r="M2355" i="8"/>
  <c r="M2356" i="8"/>
  <c r="M2357" i="8"/>
  <c r="M2358" i="8"/>
  <c r="M2359" i="8"/>
  <c r="M2360" i="8"/>
  <c r="M2361" i="8"/>
  <c r="M2362" i="8"/>
  <c r="M2363" i="8"/>
  <c r="M2364" i="8"/>
  <c r="M2365" i="8"/>
  <c r="M2366" i="8"/>
  <c r="M2367" i="8"/>
  <c r="M2368" i="8"/>
  <c r="M2369" i="8"/>
  <c r="M2370" i="8"/>
  <c r="M2371" i="8"/>
  <c r="M2372" i="8"/>
  <c r="M2373" i="8"/>
  <c r="M2374" i="8"/>
  <c r="M2375" i="8"/>
  <c r="M2376" i="8"/>
  <c r="M2377" i="8"/>
  <c r="M2378" i="8"/>
  <c r="M2379" i="8"/>
  <c r="M2380" i="8"/>
  <c r="M2381" i="8"/>
  <c r="M2382" i="8"/>
  <c r="M2383" i="8"/>
  <c r="M2384" i="8"/>
  <c r="M2385" i="8"/>
  <c r="M2386" i="8"/>
  <c r="M2387" i="8"/>
  <c r="M2388" i="8"/>
  <c r="M2389" i="8"/>
  <c r="M2390" i="8"/>
  <c r="M2391" i="8"/>
  <c r="M2392" i="8"/>
  <c r="M2393" i="8"/>
  <c r="M2394" i="8"/>
  <c r="M2395" i="8"/>
  <c r="M2396" i="8"/>
  <c r="M2397" i="8"/>
  <c r="M2398" i="8"/>
  <c r="M2399" i="8"/>
  <c r="M2400" i="8"/>
  <c r="M2401" i="8"/>
  <c r="M2402" i="8"/>
  <c r="M2403" i="8"/>
  <c r="M2404" i="8"/>
  <c r="M2405" i="8"/>
  <c r="M2406" i="8"/>
  <c r="M2407" i="8"/>
  <c r="M2408" i="8"/>
  <c r="M2409" i="8"/>
  <c r="M2410" i="8"/>
  <c r="M2411" i="8"/>
  <c r="M2412" i="8"/>
  <c r="M2413" i="8"/>
  <c r="M2414" i="8"/>
  <c r="M2415" i="8"/>
  <c r="M2416" i="8"/>
  <c r="M2417" i="8"/>
  <c r="M2418" i="8"/>
  <c r="M2419" i="8"/>
  <c r="M2420" i="8"/>
  <c r="M2421" i="8"/>
  <c r="M2422" i="8"/>
  <c r="M2423" i="8"/>
  <c r="M2424" i="8"/>
  <c r="M2425" i="8"/>
  <c r="M2426" i="8"/>
  <c r="M2427" i="8"/>
  <c r="M2428" i="8"/>
  <c r="M2429" i="8"/>
  <c r="M2430" i="8"/>
  <c r="M2431" i="8"/>
  <c r="M2432" i="8"/>
  <c r="M2433" i="8"/>
  <c r="M2434" i="8"/>
  <c r="M2435" i="8"/>
  <c r="M2436" i="8"/>
  <c r="M2437" i="8"/>
  <c r="M2438" i="8"/>
  <c r="M2439" i="8"/>
  <c r="M2440" i="8"/>
  <c r="M2441" i="8"/>
  <c r="M2442" i="8"/>
  <c r="M2443" i="8"/>
  <c r="M2444" i="8"/>
  <c r="M2445" i="8"/>
  <c r="M2446" i="8"/>
  <c r="M2447" i="8"/>
  <c r="M2448" i="8"/>
  <c r="M2449" i="8"/>
  <c r="M2450" i="8"/>
  <c r="M2451" i="8"/>
  <c r="M2452" i="8"/>
  <c r="M2453" i="8"/>
  <c r="M2454" i="8"/>
  <c r="M2455" i="8"/>
  <c r="M2456" i="8"/>
  <c r="M2457" i="8"/>
  <c r="M2458" i="8"/>
  <c r="M2459" i="8"/>
  <c r="M2460" i="8"/>
  <c r="M2461" i="8"/>
  <c r="M2462" i="8"/>
  <c r="M2463" i="8"/>
  <c r="M2464" i="8"/>
  <c r="M2465" i="8"/>
  <c r="M2466" i="8"/>
  <c r="M2467" i="8"/>
  <c r="M2468" i="8"/>
  <c r="M2469" i="8"/>
  <c r="M2470" i="8"/>
  <c r="M2471" i="8"/>
  <c r="M2472" i="8"/>
  <c r="M2473" i="8"/>
  <c r="M2474" i="8"/>
  <c r="M2475" i="8"/>
  <c r="M2476" i="8"/>
  <c r="M2477" i="8"/>
  <c r="M2478" i="8"/>
  <c r="M2479" i="8"/>
  <c r="M2480" i="8"/>
  <c r="M2481" i="8"/>
  <c r="M2482" i="8"/>
  <c r="M2483" i="8"/>
  <c r="M2484" i="8"/>
  <c r="M2485" i="8"/>
  <c r="M2486" i="8"/>
  <c r="M2487" i="8"/>
  <c r="M2488" i="8"/>
  <c r="M2489" i="8"/>
  <c r="M2490" i="8"/>
  <c r="M2491" i="8"/>
  <c r="M2492" i="8"/>
  <c r="M2493" i="8"/>
  <c r="M2494" i="8"/>
  <c r="M2495" i="8"/>
  <c r="M2496" i="8"/>
  <c r="M2497" i="8"/>
  <c r="M2498" i="8"/>
  <c r="M2499" i="8"/>
  <c r="M2500" i="8"/>
  <c r="M2501" i="8"/>
  <c r="M2502" i="8"/>
  <c r="M2503" i="8"/>
  <c r="M2504" i="8"/>
  <c r="M2505" i="8"/>
  <c r="M2506" i="8"/>
  <c r="M2507" i="8"/>
  <c r="M2508" i="8"/>
  <c r="M2509" i="8"/>
  <c r="M2510" i="8"/>
  <c r="M2511" i="8"/>
  <c r="M2512" i="8"/>
  <c r="M2513" i="8"/>
  <c r="M2514" i="8"/>
  <c r="M2515" i="8"/>
  <c r="M2516" i="8"/>
  <c r="M2517" i="8"/>
  <c r="M2518" i="8"/>
  <c r="M2519" i="8"/>
  <c r="M2520" i="8"/>
  <c r="M2521" i="8"/>
  <c r="M2522" i="8"/>
  <c r="M2523" i="8"/>
  <c r="M2524" i="8"/>
  <c r="M2525" i="8"/>
  <c r="M2526" i="8"/>
  <c r="M2527" i="8"/>
  <c r="M2528" i="8"/>
  <c r="M2529" i="8"/>
  <c r="M2530" i="8"/>
  <c r="M2531" i="8"/>
  <c r="M2532" i="8"/>
  <c r="M2533" i="8"/>
  <c r="M2534" i="8"/>
  <c r="M2535" i="8"/>
  <c r="M2536" i="8"/>
  <c r="M2537" i="8"/>
  <c r="M2538" i="8"/>
  <c r="M2539" i="8"/>
  <c r="M2540" i="8"/>
  <c r="M2541" i="8"/>
  <c r="M2542" i="8"/>
  <c r="M2543" i="8"/>
  <c r="M2544" i="8"/>
  <c r="M2545" i="8"/>
  <c r="M2546" i="8"/>
  <c r="M2547" i="8"/>
  <c r="M2548" i="8"/>
  <c r="M2549" i="8"/>
  <c r="M2550" i="8"/>
  <c r="M2551" i="8"/>
  <c r="M2552" i="8"/>
  <c r="M2553" i="8"/>
  <c r="M2554" i="8"/>
  <c r="M2555" i="8"/>
  <c r="M2556" i="8"/>
  <c r="M2557" i="8"/>
  <c r="M2558" i="8"/>
  <c r="M2559" i="8"/>
  <c r="M2560" i="8"/>
  <c r="M2561" i="8"/>
  <c r="M2562" i="8"/>
  <c r="M2563" i="8"/>
  <c r="M2564" i="8"/>
  <c r="M2565" i="8"/>
  <c r="M2566" i="8"/>
  <c r="M2567" i="8"/>
  <c r="M2568" i="8"/>
  <c r="M2569" i="8"/>
  <c r="M2570" i="8"/>
  <c r="M2571" i="8"/>
  <c r="M2572" i="8"/>
  <c r="M2573" i="8"/>
  <c r="M2574" i="8"/>
  <c r="M2575" i="8"/>
  <c r="M2576" i="8"/>
  <c r="M2577" i="8"/>
  <c r="M2578" i="8"/>
  <c r="M2579" i="8"/>
  <c r="M2580" i="8"/>
  <c r="M2581" i="8"/>
  <c r="M2582" i="8"/>
  <c r="M2583" i="8"/>
  <c r="M2584" i="8"/>
  <c r="M2585" i="8"/>
  <c r="M2586" i="8"/>
  <c r="M2587" i="8"/>
  <c r="M2588" i="8"/>
  <c r="M2589" i="8"/>
  <c r="M2590" i="8"/>
  <c r="M2591" i="8"/>
  <c r="M2592" i="8"/>
  <c r="M2593" i="8"/>
  <c r="M2594" i="8"/>
  <c r="M2595" i="8"/>
  <c r="M2596" i="8"/>
  <c r="M2597" i="8"/>
  <c r="M2598" i="8"/>
  <c r="M2599" i="8"/>
  <c r="M2600" i="8"/>
  <c r="M2601" i="8"/>
  <c r="M2602" i="8"/>
  <c r="M2603" i="8"/>
  <c r="M2604" i="8"/>
  <c r="M2605" i="8"/>
  <c r="M2606" i="8"/>
  <c r="M2607" i="8"/>
  <c r="M2608" i="8"/>
  <c r="M2609" i="8"/>
  <c r="M2610" i="8"/>
  <c r="M2611" i="8"/>
  <c r="M2612" i="8"/>
  <c r="M2613" i="8"/>
  <c r="M2614" i="8"/>
  <c r="M2615" i="8"/>
  <c r="M2616" i="8"/>
  <c r="M2617" i="8"/>
  <c r="M2618" i="8"/>
  <c r="M2619" i="8"/>
  <c r="M2620" i="8"/>
  <c r="M2621" i="8"/>
  <c r="M2622" i="8"/>
  <c r="M2623" i="8"/>
  <c r="M2624" i="8"/>
  <c r="M2625" i="8"/>
  <c r="M2626" i="8"/>
  <c r="M2627" i="8"/>
  <c r="M2628" i="8"/>
  <c r="M2629" i="8"/>
  <c r="M2630" i="8"/>
  <c r="M2631" i="8"/>
  <c r="M2632" i="8"/>
  <c r="M2633" i="8"/>
  <c r="M2634" i="8"/>
  <c r="M2635" i="8"/>
  <c r="M2636" i="8"/>
  <c r="M2637" i="8"/>
  <c r="M2638" i="8"/>
  <c r="M2639" i="8"/>
  <c r="M2640" i="8"/>
  <c r="M2641" i="8"/>
  <c r="M2642" i="8"/>
  <c r="M2643" i="8"/>
  <c r="M2644" i="8"/>
  <c r="M2645" i="8"/>
  <c r="M2646" i="8"/>
  <c r="M2647" i="8"/>
  <c r="M2648" i="8"/>
  <c r="M2649" i="8"/>
  <c r="M2650" i="8"/>
  <c r="M2651" i="8"/>
  <c r="M2652" i="8"/>
  <c r="M2653" i="8"/>
  <c r="M2654" i="8"/>
  <c r="M2655" i="8"/>
  <c r="M2656" i="8"/>
  <c r="M2657" i="8"/>
  <c r="M2658" i="8"/>
  <c r="M2659" i="8"/>
  <c r="M2660" i="8"/>
  <c r="M2661" i="8"/>
  <c r="M2662" i="8"/>
  <c r="M2663" i="8"/>
  <c r="M2664" i="8"/>
  <c r="M2665" i="8"/>
  <c r="M2666" i="8"/>
  <c r="M2667" i="8"/>
  <c r="M2668" i="8"/>
  <c r="M2669" i="8"/>
  <c r="M2670" i="8"/>
  <c r="M2671" i="8"/>
  <c r="M2672" i="8"/>
  <c r="M2673" i="8"/>
  <c r="M2674" i="8"/>
  <c r="M2675" i="8"/>
  <c r="M2676" i="8"/>
  <c r="M2677" i="8"/>
  <c r="M2678" i="8"/>
  <c r="M2679" i="8"/>
  <c r="M2680" i="8"/>
  <c r="M2681" i="8"/>
  <c r="M2682" i="8"/>
  <c r="M2683" i="8"/>
  <c r="M2684" i="8"/>
  <c r="M2685" i="8"/>
  <c r="M2686" i="8"/>
  <c r="M2687" i="8"/>
  <c r="M2688" i="8"/>
  <c r="M2689" i="8"/>
  <c r="M2690" i="8"/>
  <c r="M2691" i="8"/>
  <c r="M2692" i="8"/>
  <c r="M2693" i="8"/>
  <c r="M2694" i="8"/>
  <c r="M2695" i="8"/>
  <c r="M2696" i="8"/>
  <c r="M2697" i="8"/>
  <c r="M2698" i="8"/>
  <c r="M2699" i="8"/>
  <c r="M2700" i="8"/>
  <c r="M2701" i="8"/>
  <c r="M2702" i="8"/>
  <c r="M2703" i="8"/>
  <c r="M2704" i="8"/>
  <c r="M2705" i="8"/>
  <c r="M2706" i="8"/>
  <c r="M2707" i="8"/>
  <c r="M2708" i="8"/>
  <c r="M2709" i="8"/>
  <c r="M2710" i="8"/>
  <c r="M2711" i="8"/>
  <c r="M2712" i="8"/>
  <c r="M2713" i="8"/>
  <c r="M2714" i="8"/>
  <c r="M2715" i="8"/>
  <c r="M2716" i="8"/>
  <c r="M2717" i="8"/>
  <c r="M2718" i="8"/>
  <c r="M2719" i="8"/>
  <c r="M2720" i="8"/>
  <c r="M2721" i="8"/>
  <c r="M2722" i="8"/>
  <c r="M2723" i="8"/>
  <c r="M2724" i="8"/>
  <c r="M2725" i="8"/>
  <c r="M2726" i="8"/>
  <c r="M2727" i="8"/>
  <c r="M2728" i="8"/>
  <c r="M2729" i="8"/>
  <c r="M2730" i="8"/>
  <c r="M2731" i="8"/>
  <c r="M2732" i="8"/>
  <c r="M2733" i="8"/>
  <c r="M2734" i="8"/>
  <c r="M2735" i="8"/>
  <c r="M2736" i="8"/>
  <c r="M2737" i="8"/>
  <c r="M2738" i="8"/>
  <c r="M2739" i="8"/>
  <c r="M1357" i="8"/>
  <c r="M3" i="8"/>
  <c r="M4" i="8"/>
  <c r="M5" i="8"/>
  <c r="M6" i="8"/>
  <c r="M7" i="8"/>
  <c r="M8" i="8"/>
  <c r="M9" i="8"/>
  <c r="M10" i="8"/>
  <c r="M11" i="8"/>
  <c r="M12" i="8"/>
  <c r="M13" i="8"/>
  <c r="M14" i="8"/>
  <c r="M15" i="8"/>
  <c r="M16" i="8"/>
  <c r="M17" i="8"/>
  <c r="M18" i="8"/>
  <c r="M19" i="8"/>
  <c r="M20" i="8"/>
  <c r="M21" i="8"/>
  <c r="M22" i="8"/>
  <c r="M23" i="8"/>
  <c r="M24" i="8"/>
  <c r="M25" i="8"/>
  <c r="M26" i="8"/>
  <c r="M27" i="8"/>
  <c r="M28" i="8"/>
  <c r="M29" i="8"/>
  <c r="M30" i="8"/>
  <c r="M31" i="8"/>
  <c r="M32" i="8"/>
  <c r="M33" i="8"/>
  <c r="M34" i="8"/>
  <c r="M35" i="8"/>
  <c r="M36" i="8"/>
  <c r="M37" i="8"/>
  <c r="M38" i="8"/>
  <c r="M39" i="8"/>
  <c r="M40" i="8"/>
  <c r="M41" i="8"/>
  <c r="M42" i="8"/>
  <c r="M43" i="8"/>
  <c r="M44" i="8"/>
  <c r="M45" i="8"/>
  <c r="M46" i="8"/>
  <c r="M47" i="8"/>
  <c r="M48" i="8"/>
  <c r="M49" i="8"/>
  <c r="M50" i="8"/>
  <c r="M51" i="8"/>
  <c r="M52" i="8"/>
  <c r="M53" i="8"/>
  <c r="M54" i="8"/>
  <c r="M55" i="8"/>
  <c r="M56" i="8"/>
  <c r="M57" i="8"/>
  <c r="M58" i="8"/>
  <c r="M59" i="8"/>
  <c r="M60" i="8"/>
  <c r="M61" i="8"/>
  <c r="M62" i="8"/>
  <c r="M63" i="8"/>
  <c r="M64" i="8"/>
  <c r="M65" i="8"/>
  <c r="M66" i="8"/>
  <c r="M67" i="8"/>
  <c r="M68" i="8"/>
  <c r="M69" i="8"/>
  <c r="M70" i="8"/>
  <c r="M71" i="8"/>
  <c r="M72" i="8"/>
  <c r="M73" i="8"/>
  <c r="M74" i="8"/>
  <c r="M75" i="8"/>
  <c r="M76" i="8"/>
  <c r="M77" i="8"/>
  <c r="M78" i="8"/>
  <c r="M79" i="8"/>
  <c r="M80" i="8"/>
  <c r="M81" i="8"/>
  <c r="M82" i="8"/>
  <c r="M83" i="8"/>
  <c r="M84" i="8"/>
  <c r="M85" i="8"/>
  <c r="M86" i="8"/>
  <c r="M87" i="8"/>
  <c r="M88" i="8"/>
  <c r="M89" i="8"/>
  <c r="M90" i="8"/>
  <c r="M91" i="8"/>
  <c r="M92" i="8"/>
  <c r="M93" i="8"/>
  <c r="M94" i="8"/>
  <c r="M95" i="8"/>
  <c r="M96" i="8"/>
  <c r="M97" i="8"/>
  <c r="M98" i="8"/>
  <c r="M99" i="8"/>
  <c r="M100" i="8"/>
  <c r="M101" i="8"/>
  <c r="M102" i="8"/>
  <c r="M103" i="8"/>
  <c r="M104" i="8"/>
  <c r="M105" i="8"/>
  <c r="M106" i="8"/>
  <c r="M107" i="8"/>
  <c r="M108" i="8"/>
  <c r="M109" i="8"/>
  <c r="M110" i="8"/>
  <c r="M111" i="8"/>
  <c r="M112" i="8"/>
  <c r="M113" i="8"/>
  <c r="M114" i="8"/>
  <c r="M115" i="8"/>
  <c r="M116" i="8"/>
  <c r="M117" i="8"/>
  <c r="M118" i="8"/>
  <c r="M119" i="8"/>
  <c r="M120" i="8"/>
  <c r="M121" i="8"/>
  <c r="M122" i="8"/>
  <c r="M123" i="8"/>
  <c r="M124" i="8"/>
  <c r="M125" i="8"/>
  <c r="M126" i="8"/>
  <c r="M127" i="8"/>
  <c r="M128" i="8"/>
  <c r="M129" i="8"/>
  <c r="M130" i="8"/>
  <c r="M131" i="8"/>
  <c r="M132" i="8"/>
  <c r="M133" i="8"/>
  <c r="M134" i="8"/>
  <c r="M135" i="8"/>
  <c r="M136" i="8"/>
  <c r="M137" i="8"/>
  <c r="M138" i="8"/>
  <c r="M139" i="8"/>
  <c r="M140" i="8"/>
  <c r="M141" i="8"/>
  <c r="M142" i="8"/>
  <c r="M143" i="8"/>
  <c r="M144" i="8"/>
  <c r="M145" i="8"/>
  <c r="M146" i="8"/>
  <c r="M147" i="8"/>
  <c r="M148" i="8"/>
  <c r="M149" i="8"/>
  <c r="M150" i="8"/>
  <c r="M151" i="8"/>
  <c r="M152" i="8"/>
  <c r="M153" i="8"/>
  <c r="M154" i="8"/>
  <c r="M155" i="8"/>
  <c r="M156" i="8"/>
  <c r="M157" i="8"/>
  <c r="M158" i="8"/>
  <c r="M159" i="8"/>
  <c r="M160" i="8"/>
  <c r="M161" i="8"/>
  <c r="M162" i="8"/>
  <c r="M163" i="8"/>
  <c r="M164" i="8"/>
  <c r="M165" i="8"/>
  <c r="M166" i="8"/>
  <c r="M167" i="8"/>
  <c r="M168" i="8"/>
  <c r="M169" i="8"/>
  <c r="M170" i="8"/>
  <c r="M171" i="8"/>
  <c r="M172" i="8"/>
  <c r="M173" i="8"/>
  <c r="M174" i="8"/>
  <c r="M175" i="8"/>
  <c r="M176" i="8"/>
  <c r="M177" i="8"/>
  <c r="M178" i="8"/>
  <c r="M179" i="8"/>
  <c r="M180" i="8"/>
  <c r="M181" i="8"/>
  <c r="M182" i="8"/>
  <c r="M183" i="8"/>
  <c r="M184" i="8"/>
  <c r="M185" i="8"/>
  <c r="M186" i="8"/>
  <c r="M187" i="8"/>
  <c r="M188" i="8"/>
  <c r="M189" i="8"/>
  <c r="M190" i="8"/>
  <c r="M191" i="8"/>
  <c r="M192" i="8"/>
  <c r="M193" i="8"/>
  <c r="M194" i="8"/>
  <c r="M195" i="8"/>
  <c r="M196" i="8"/>
  <c r="M197" i="8"/>
  <c r="M198" i="8"/>
  <c r="M199" i="8"/>
  <c r="M200" i="8"/>
  <c r="M201" i="8"/>
  <c r="M202" i="8"/>
  <c r="M203" i="8"/>
  <c r="M204" i="8"/>
  <c r="M205" i="8"/>
  <c r="M206" i="8"/>
  <c r="M207" i="8"/>
  <c r="M208" i="8"/>
  <c r="M209" i="8"/>
  <c r="M210" i="8"/>
  <c r="M211" i="8"/>
  <c r="M212" i="8"/>
  <c r="M213" i="8"/>
  <c r="M214" i="8"/>
  <c r="M215" i="8"/>
  <c r="M216" i="8"/>
  <c r="M217" i="8"/>
  <c r="M218" i="8"/>
  <c r="M219" i="8"/>
  <c r="M220" i="8"/>
  <c r="M221" i="8"/>
  <c r="M222" i="8"/>
  <c r="M223" i="8"/>
  <c r="M224" i="8"/>
  <c r="M225" i="8"/>
  <c r="M226" i="8"/>
  <c r="M227" i="8"/>
  <c r="M228" i="8"/>
  <c r="M229" i="8"/>
  <c r="M230" i="8"/>
  <c r="M231" i="8"/>
  <c r="M232" i="8"/>
  <c r="M233" i="8"/>
  <c r="M234" i="8"/>
  <c r="M235" i="8"/>
  <c r="M236" i="8"/>
  <c r="M237" i="8"/>
  <c r="M238" i="8"/>
  <c r="M239" i="8"/>
  <c r="M240" i="8"/>
  <c r="M241" i="8"/>
  <c r="M242" i="8"/>
  <c r="M243" i="8"/>
  <c r="M244" i="8"/>
  <c r="M245" i="8"/>
  <c r="M246" i="8"/>
  <c r="M247" i="8"/>
  <c r="M248" i="8"/>
  <c r="M249" i="8"/>
  <c r="M250" i="8"/>
  <c r="M251" i="8"/>
  <c r="M252" i="8"/>
  <c r="M253" i="8"/>
  <c r="M254" i="8"/>
  <c r="M255" i="8"/>
  <c r="M256" i="8"/>
  <c r="M257" i="8"/>
  <c r="M258" i="8"/>
  <c r="M259" i="8"/>
  <c r="M260" i="8"/>
  <c r="M261" i="8"/>
  <c r="M262" i="8"/>
  <c r="M263" i="8"/>
  <c r="M264" i="8"/>
  <c r="M265" i="8"/>
  <c r="M266" i="8"/>
  <c r="M267" i="8"/>
  <c r="M268" i="8"/>
  <c r="M269" i="8"/>
  <c r="M270" i="8"/>
  <c r="M271" i="8"/>
  <c r="M272" i="8"/>
  <c r="M273" i="8"/>
  <c r="M274" i="8"/>
  <c r="M275" i="8"/>
  <c r="M276" i="8"/>
  <c r="M277" i="8"/>
  <c r="M278" i="8"/>
  <c r="M279" i="8"/>
  <c r="M280" i="8"/>
  <c r="M281" i="8"/>
  <c r="M282" i="8"/>
  <c r="M283" i="8"/>
  <c r="M284" i="8"/>
  <c r="M285" i="8"/>
  <c r="M286" i="8"/>
  <c r="M287" i="8"/>
  <c r="M288" i="8"/>
  <c r="M289" i="8"/>
  <c r="M290" i="8"/>
  <c r="M291" i="8"/>
  <c r="M292" i="8"/>
  <c r="M293" i="8"/>
  <c r="M294" i="8"/>
  <c r="M295" i="8"/>
  <c r="M296" i="8"/>
  <c r="M297" i="8"/>
  <c r="M298" i="8"/>
  <c r="M299" i="8"/>
  <c r="M300" i="8"/>
  <c r="M301" i="8"/>
  <c r="M302" i="8"/>
  <c r="M303" i="8"/>
  <c r="M304" i="8"/>
  <c r="M305" i="8"/>
  <c r="M306" i="8"/>
  <c r="M307" i="8"/>
  <c r="M308" i="8"/>
  <c r="M309" i="8"/>
  <c r="M310" i="8"/>
  <c r="M311" i="8"/>
  <c r="M312" i="8"/>
  <c r="M313" i="8"/>
  <c r="M314" i="8"/>
  <c r="M315" i="8"/>
  <c r="M316" i="8"/>
  <c r="M317" i="8"/>
  <c r="M318" i="8"/>
  <c r="M319" i="8"/>
  <c r="M320" i="8"/>
  <c r="M321" i="8"/>
  <c r="M322" i="8"/>
  <c r="M323" i="8"/>
  <c r="M324" i="8"/>
  <c r="M325" i="8"/>
  <c r="M326" i="8"/>
  <c r="M327" i="8"/>
  <c r="M328" i="8"/>
  <c r="M329" i="8"/>
  <c r="M330" i="8"/>
  <c r="M331" i="8"/>
  <c r="M332" i="8"/>
  <c r="M333" i="8"/>
  <c r="M334" i="8"/>
  <c r="M335" i="8"/>
  <c r="M336" i="8"/>
  <c r="M337" i="8"/>
  <c r="M338" i="8"/>
  <c r="M339" i="8"/>
  <c r="M340" i="8"/>
  <c r="M341" i="8"/>
  <c r="M342" i="8"/>
  <c r="M343" i="8"/>
  <c r="M344" i="8"/>
  <c r="M345" i="8"/>
  <c r="M346" i="8"/>
  <c r="M347" i="8"/>
  <c r="M348" i="8"/>
  <c r="M349" i="8"/>
  <c r="M350" i="8"/>
  <c r="M351" i="8"/>
  <c r="M352" i="8"/>
  <c r="M353" i="8"/>
  <c r="M354" i="8"/>
  <c r="M355" i="8"/>
  <c r="M356" i="8"/>
  <c r="M357" i="8"/>
  <c r="M358" i="8"/>
  <c r="M359" i="8"/>
  <c r="M360" i="8"/>
  <c r="M361" i="8"/>
  <c r="M362" i="8"/>
  <c r="M363" i="8"/>
  <c r="M364" i="8"/>
  <c r="M365" i="8"/>
  <c r="M366" i="8"/>
  <c r="M367" i="8"/>
  <c r="M368" i="8"/>
  <c r="M369" i="8"/>
  <c r="M370" i="8"/>
  <c r="M371" i="8"/>
  <c r="M372" i="8"/>
  <c r="M373" i="8"/>
  <c r="M374" i="8"/>
  <c r="M375" i="8"/>
  <c r="M376" i="8"/>
  <c r="M377" i="8"/>
  <c r="M378" i="8"/>
  <c r="M379" i="8"/>
  <c r="M380" i="8"/>
  <c r="M381" i="8"/>
  <c r="M382" i="8"/>
  <c r="M383" i="8"/>
  <c r="M384" i="8"/>
  <c r="M385" i="8"/>
  <c r="M386" i="8"/>
  <c r="M387" i="8"/>
  <c r="M388" i="8"/>
  <c r="M389" i="8"/>
  <c r="M390" i="8"/>
  <c r="M391" i="8"/>
  <c r="M392" i="8"/>
  <c r="M393" i="8"/>
  <c r="M394" i="8"/>
  <c r="M395" i="8"/>
  <c r="M396" i="8"/>
  <c r="M397" i="8"/>
  <c r="M398" i="8"/>
  <c r="M399" i="8"/>
  <c r="M400" i="8"/>
  <c r="M401" i="8"/>
  <c r="M402" i="8"/>
  <c r="M403" i="8"/>
  <c r="M404" i="8"/>
  <c r="M405" i="8"/>
  <c r="M406" i="8"/>
  <c r="M407" i="8"/>
  <c r="M408" i="8"/>
  <c r="M409" i="8"/>
  <c r="M410" i="8"/>
  <c r="M411" i="8"/>
  <c r="M412" i="8"/>
  <c r="M413" i="8"/>
  <c r="M414" i="8"/>
  <c r="M415" i="8"/>
  <c r="M416" i="8"/>
  <c r="M417" i="8"/>
  <c r="M418" i="8"/>
  <c r="M419" i="8"/>
  <c r="M420" i="8"/>
  <c r="M421" i="8"/>
  <c r="M422" i="8"/>
  <c r="M423" i="8"/>
  <c r="M424" i="8"/>
  <c r="M425" i="8"/>
  <c r="M426" i="8"/>
  <c r="M427" i="8"/>
  <c r="M428" i="8"/>
  <c r="M429" i="8"/>
  <c r="M430" i="8"/>
  <c r="M431" i="8"/>
  <c r="M432" i="8"/>
  <c r="M433" i="8"/>
  <c r="M434" i="8"/>
  <c r="M435" i="8"/>
  <c r="M436" i="8"/>
  <c r="M437" i="8"/>
  <c r="M438" i="8"/>
  <c r="M439" i="8"/>
  <c r="M440" i="8"/>
  <c r="M441" i="8"/>
  <c r="M442" i="8"/>
  <c r="M443" i="8"/>
  <c r="M444" i="8"/>
  <c r="M445" i="8"/>
  <c r="M446" i="8"/>
  <c r="M447" i="8"/>
  <c r="M448" i="8"/>
  <c r="M449" i="8"/>
  <c r="M450" i="8"/>
  <c r="M451" i="8"/>
  <c r="M452" i="8"/>
  <c r="M453" i="8"/>
  <c r="M454" i="8"/>
  <c r="M455" i="8"/>
  <c r="M456" i="8"/>
  <c r="M457" i="8"/>
  <c r="M458" i="8"/>
  <c r="M459" i="8"/>
  <c r="M460" i="8"/>
  <c r="M461" i="8"/>
  <c r="M462" i="8"/>
  <c r="M463" i="8"/>
  <c r="M464" i="8"/>
  <c r="M465" i="8"/>
  <c r="M466" i="8"/>
  <c r="M467" i="8"/>
  <c r="M468" i="8"/>
  <c r="M469" i="8"/>
  <c r="M470" i="8"/>
  <c r="M471" i="8"/>
  <c r="M472" i="8"/>
  <c r="M473" i="8"/>
  <c r="M474" i="8"/>
  <c r="M475" i="8"/>
  <c r="M476" i="8"/>
  <c r="M477" i="8"/>
  <c r="M478" i="8"/>
  <c r="M479" i="8"/>
  <c r="M480" i="8"/>
  <c r="M481" i="8"/>
  <c r="M482" i="8"/>
  <c r="M483" i="8"/>
  <c r="M484" i="8"/>
  <c r="M485" i="8"/>
  <c r="M486" i="8"/>
  <c r="M487" i="8"/>
  <c r="M488" i="8"/>
  <c r="M489" i="8"/>
  <c r="M490" i="8"/>
  <c r="M491" i="8"/>
  <c r="M492" i="8"/>
  <c r="M493" i="8"/>
  <c r="M494" i="8"/>
  <c r="M495" i="8"/>
  <c r="M496" i="8"/>
  <c r="M497" i="8"/>
  <c r="M498" i="8"/>
  <c r="M499" i="8"/>
  <c r="M500" i="8"/>
  <c r="M501" i="8"/>
  <c r="M502" i="8"/>
  <c r="M503" i="8"/>
  <c r="M504" i="8"/>
  <c r="M505" i="8"/>
  <c r="M506" i="8"/>
  <c r="M507" i="8"/>
  <c r="M508" i="8"/>
  <c r="M509" i="8"/>
  <c r="M510" i="8"/>
  <c r="M511" i="8"/>
  <c r="M512" i="8"/>
  <c r="M513" i="8"/>
  <c r="M514" i="8"/>
  <c r="M515" i="8"/>
  <c r="M516" i="8"/>
  <c r="M517" i="8"/>
  <c r="M518" i="8"/>
  <c r="M519" i="8"/>
  <c r="M520" i="8"/>
  <c r="M521" i="8"/>
  <c r="M522" i="8"/>
  <c r="M523" i="8"/>
  <c r="M524" i="8"/>
  <c r="M525" i="8"/>
  <c r="M526" i="8"/>
  <c r="M527" i="8"/>
  <c r="M528" i="8"/>
  <c r="M529" i="8"/>
  <c r="M530" i="8"/>
  <c r="M531" i="8"/>
  <c r="M532" i="8"/>
  <c r="M533" i="8"/>
  <c r="M534" i="8"/>
  <c r="M535" i="8"/>
  <c r="M536" i="8"/>
  <c r="M537" i="8"/>
  <c r="M538" i="8"/>
  <c r="M539" i="8"/>
  <c r="M540" i="8"/>
  <c r="M541" i="8"/>
  <c r="M542" i="8"/>
  <c r="M543" i="8"/>
  <c r="M544" i="8"/>
  <c r="M545" i="8"/>
  <c r="M546" i="8"/>
  <c r="M547" i="8"/>
  <c r="M548" i="8"/>
  <c r="M549" i="8"/>
  <c r="M550" i="8"/>
  <c r="M551" i="8"/>
  <c r="M552" i="8"/>
  <c r="M553" i="8"/>
  <c r="M554" i="8"/>
  <c r="M555" i="8"/>
  <c r="M556" i="8"/>
  <c r="M557" i="8"/>
  <c r="M558" i="8"/>
  <c r="M559" i="8"/>
  <c r="M560" i="8"/>
  <c r="M561" i="8"/>
  <c r="M562" i="8"/>
  <c r="M563" i="8"/>
  <c r="M564" i="8"/>
  <c r="M565" i="8"/>
  <c r="M566" i="8"/>
  <c r="M567" i="8"/>
  <c r="M568" i="8"/>
  <c r="M569" i="8"/>
  <c r="M570" i="8"/>
  <c r="M571" i="8"/>
  <c r="M572" i="8"/>
  <c r="M573" i="8"/>
  <c r="M574" i="8"/>
  <c r="M575" i="8"/>
  <c r="M576" i="8"/>
  <c r="M577" i="8"/>
  <c r="M578" i="8"/>
  <c r="M579" i="8"/>
  <c r="M580" i="8"/>
  <c r="M581" i="8"/>
  <c r="M582" i="8"/>
  <c r="M583" i="8"/>
  <c r="M584" i="8"/>
  <c r="M585" i="8"/>
  <c r="M586" i="8"/>
  <c r="M587" i="8"/>
  <c r="M588" i="8"/>
  <c r="M589" i="8"/>
  <c r="M590" i="8"/>
  <c r="M591" i="8"/>
  <c r="M592" i="8"/>
  <c r="M593" i="8"/>
  <c r="M594" i="8"/>
  <c r="M595" i="8"/>
  <c r="M596" i="8"/>
  <c r="M597" i="8"/>
  <c r="M598" i="8"/>
  <c r="M599" i="8"/>
  <c r="M600" i="8"/>
  <c r="M601" i="8"/>
  <c r="M602" i="8"/>
  <c r="M603" i="8"/>
  <c r="M604" i="8"/>
  <c r="M605" i="8"/>
  <c r="M606" i="8"/>
  <c r="M607" i="8"/>
  <c r="M608" i="8"/>
  <c r="M609" i="8"/>
  <c r="M610" i="8"/>
  <c r="M611" i="8"/>
  <c r="M612" i="8"/>
  <c r="M613" i="8"/>
  <c r="M614" i="8"/>
  <c r="M615" i="8"/>
  <c r="M616" i="8"/>
  <c r="M617" i="8"/>
  <c r="M618" i="8"/>
  <c r="M619" i="8"/>
  <c r="M620" i="8"/>
  <c r="M621" i="8"/>
  <c r="M622" i="8"/>
  <c r="M623" i="8"/>
  <c r="M624" i="8"/>
  <c r="M625" i="8"/>
  <c r="M626" i="8"/>
  <c r="M627" i="8"/>
  <c r="M628" i="8"/>
  <c r="M629" i="8"/>
  <c r="M630" i="8"/>
  <c r="M631" i="8"/>
  <c r="M632" i="8"/>
  <c r="M633" i="8"/>
  <c r="M634" i="8"/>
  <c r="M635" i="8"/>
  <c r="M636" i="8"/>
  <c r="M637" i="8"/>
  <c r="M638" i="8"/>
  <c r="M639" i="8"/>
  <c r="M640" i="8"/>
  <c r="M641" i="8"/>
  <c r="M642" i="8"/>
  <c r="M643" i="8"/>
  <c r="M644" i="8"/>
  <c r="M645" i="8"/>
  <c r="M646" i="8"/>
  <c r="M647" i="8"/>
  <c r="M648" i="8"/>
  <c r="M649" i="8"/>
  <c r="M650" i="8"/>
  <c r="M651" i="8"/>
  <c r="M652" i="8"/>
  <c r="M653" i="8"/>
  <c r="M654" i="8"/>
  <c r="M655" i="8"/>
  <c r="M656" i="8"/>
  <c r="M657" i="8"/>
  <c r="M658" i="8"/>
  <c r="M659" i="8"/>
  <c r="M660" i="8"/>
  <c r="M661" i="8"/>
  <c r="M662" i="8"/>
  <c r="M663" i="8"/>
  <c r="M664" i="8"/>
  <c r="M665" i="8"/>
  <c r="M666" i="8"/>
  <c r="M667" i="8"/>
  <c r="M668" i="8"/>
  <c r="M669" i="8"/>
  <c r="M670" i="8"/>
  <c r="M671" i="8"/>
  <c r="M672" i="8"/>
  <c r="M673" i="8"/>
  <c r="M674" i="8"/>
  <c r="M675" i="8"/>
  <c r="M676" i="8"/>
  <c r="M677" i="8"/>
  <c r="M678" i="8"/>
  <c r="M679" i="8"/>
  <c r="M680" i="8"/>
  <c r="M681" i="8"/>
  <c r="M682" i="8"/>
  <c r="M683" i="8"/>
  <c r="M684" i="8"/>
  <c r="M685" i="8"/>
  <c r="M686" i="8"/>
  <c r="M687" i="8"/>
  <c r="M688" i="8"/>
  <c r="M689" i="8"/>
  <c r="M690" i="8"/>
  <c r="M691" i="8"/>
  <c r="M692" i="8"/>
  <c r="M693" i="8"/>
  <c r="M694" i="8"/>
  <c r="M695" i="8"/>
  <c r="M696" i="8"/>
  <c r="M697" i="8"/>
  <c r="M698" i="8"/>
  <c r="M699" i="8"/>
  <c r="M700" i="8"/>
  <c r="M701" i="8"/>
  <c r="M702" i="8"/>
  <c r="M703" i="8"/>
  <c r="M704" i="8"/>
  <c r="M705" i="8"/>
  <c r="M706" i="8"/>
  <c r="M707" i="8"/>
  <c r="M708" i="8"/>
  <c r="M709" i="8"/>
  <c r="M710" i="8"/>
  <c r="M711" i="8"/>
  <c r="M712" i="8"/>
  <c r="M713" i="8"/>
  <c r="M714" i="8"/>
  <c r="M715" i="8"/>
  <c r="M716" i="8"/>
  <c r="M717" i="8"/>
  <c r="M718" i="8"/>
  <c r="M719" i="8"/>
  <c r="M720" i="8"/>
  <c r="M721" i="8"/>
  <c r="M722" i="8"/>
  <c r="M723" i="8"/>
  <c r="M724" i="8"/>
  <c r="M725" i="8"/>
  <c r="M726" i="8"/>
  <c r="M727" i="8"/>
  <c r="M728" i="8"/>
  <c r="M729" i="8"/>
  <c r="M730" i="8"/>
  <c r="M731" i="8"/>
  <c r="M732" i="8"/>
  <c r="M733" i="8"/>
  <c r="M734" i="8"/>
  <c r="M735" i="8"/>
  <c r="M736" i="8"/>
  <c r="M737" i="8"/>
  <c r="M738" i="8"/>
  <c r="M739" i="8"/>
  <c r="M740" i="8"/>
  <c r="M741" i="8"/>
  <c r="M742" i="8"/>
  <c r="M743" i="8"/>
  <c r="M744" i="8"/>
  <c r="M745" i="8"/>
  <c r="M746" i="8"/>
  <c r="M747" i="8"/>
  <c r="M748" i="8"/>
  <c r="M749" i="8"/>
  <c r="M750" i="8"/>
  <c r="M751" i="8"/>
  <c r="M752" i="8"/>
  <c r="M753" i="8"/>
  <c r="M754" i="8"/>
  <c r="M755" i="8"/>
  <c r="M756" i="8"/>
  <c r="M757" i="8"/>
  <c r="M758" i="8"/>
  <c r="M759" i="8"/>
  <c r="M760" i="8"/>
  <c r="M761" i="8"/>
  <c r="M762" i="8"/>
  <c r="M763" i="8"/>
  <c r="M764" i="8"/>
  <c r="M765" i="8"/>
  <c r="M766" i="8"/>
  <c r="M767" i="8"/>
  <c r="M768" i="8"/>
  <c r="M769" i="8"/>
  <c r="M770" i="8"/>
  <c r="M771" i="8"/>
  <c r="M772" i="8"/>
  <c r="M773" i="8"/>
  <c r="M774" i="8"/>
  <c r="M775" i="8"/>
  <c r="M776" i="8"/>
  <c r="M777" i="8"/>
  <c r="M778" i="8"/>
  <c r="M779" i="8"/>
  <c r="M780" i="8"/>
  <c r="M781" i="8"/>
  <c r="M782" i="8"/>
  <c r="M783" i="8"/>
  <c r="M784" i="8"/>
  <c r="M785" i="8"/>
  <c r="M786" i="8"/>
  <c r="M787" i="8"/>
  <c r="M788" i="8"/>
  <c r="M789" i="8"/>
  <c r="M790" i="8"/>
  <c r="M791" i="8"/>
  <c r="M792" i="8"/>
  <c r="M793" i="8"/>
  <c r="M794" i="8"/>
  <c r="M795" i="8"/>
  <c r="M796" i="8"/>
  <c r="M797" i="8"/>
  <c r="M798" i="8"/>
  <c r="M799" i="8"/>
  <c r="M800" i="8"/>
  <c r="M801" i="8"/>
  <c r="M802" i="8"/>
  <c r="M803" i="8"/>
  <c r="M804" i="8"/>
  <c r="M805" i="8"/>
  <c r="M806" i="8"/>
  <c r="M807" i="8"/>
  <c r="M808" i="8"/>
  <c r="M809" i="8"/>
  <c r="M810" i="8"/>
  <c r="M811" i="8"/>
  <c r="M812" i="8"/>
  <c r="M813" i="8"/>
  <c r="M814" i="8"/>
  <c r="M815" i="8"/>
  <c r="M816" i="8"/>
  <c r="M817" i="8"/>
  <c r="M818" i="8"/>
  <c r="M819" i="8"/>
  <c r="M820" i="8"/>
  <c r="M821" i="8"/>
  <c r="M822" i="8"/>
  <c r="M823" i="8"/>
  <c r="M824" i="8"/>
  <c r="M825" i="8"/>
  <c r="M826" i="8"/>
  <c r="M827" i="8"/>
  <c r="M828" i="8"/>
  <c r="M829" i="8"/>
  <c r="M830" i="8"/>
  <c r="M831" i="8"/>
  <c r="M832" i="8"/>
  <c r="M833" i="8"/>
  <c r="M834" i="8"/>
  <c r="M835" i="8"/>
  <c r="M836" i="8"/>
  <c r="M837" i="8"/>
  <c r="M838" i="8"/>
  <c r="M839" i="8"/>
  <c r="M840" i="8"/>
  <c r="M841" i="8"/>
  <c r="M842" i="8"/>
  <c r="M843" i="8"/>
  <c r="M844" i="8"/>
  <c r="M845" i="8"/>
  <c r="M846" i="8"/>
  <c r="M847" i="8"/>
  <c r="M848" i="8"/>
  <c r="M849" i="8"/>
  <c r="M850" i="8"/>
  <c r="M851" i="8"/>
  <c r="M852" i="8"/>
  <c r="M853" i="8"/>
  <c r="M854" i="8"/>
  <c r="M855" i="8"/>
  <c r="M856" i="8"/>
  <c r="M857" i="8"/>
  <c r="M858" i="8"/>
  <c r="M859" i="8"/>
  <c r="M860" i="8"/>
  <c r="M861" i="8"/>
  <c r="M862" i="8"/>
  <c r="M863" i="8"/>
  <c r="M864" i="8"/>
  <c r="M865" i="8"/>
  <c r="M866" i="8"/>
  <c r="M867" i="8"/>
  <c r="M868" i="8"/>
  <c r="M869" i="8"/>
  <c r="M870" i="8"/>
  <c r="M871" i="8"/>
  <c r="M872" i="8"/>
  <c r="M873" i="8"/>
  <c r="M874" i="8"/>
  <c r="M875" i="8"/>
  <c r="M876" i="8"/>
  <c r="M877" i="8"/>
  <c r="M878" i="8"/>
  <c r="M879" i="8"/>
  <c r="M880" i="8"/>
  <c r="M881" i="8"/>
  <c r="M882" i="8"/>
  <c r="M883" i="8"/>
  <c r="M884" i="8"/>
  <c r="M885" i="8"/>
  <c r="M886" i="8"/>
  <c r="M887" i="8"/>
  <c r="M888" i="8"/>
  <c r="M889" i="8"/>
  <c r="M890" i="8"/>
  <c r="M891" i="8"/>
  <c r="M892" i="8"/>
  <c r="M893" i="8"/>
  <c r="M894" i="8"/>
  <c r="M895" i="8"/>
  <c r="M896" i="8"/>
  <c r="M897" i="8"/>
  <c r="M898" i="8"/>
  <c r="M899" i="8"/>
  <c r="M900" i="8"/>
  <c r="M901" i="8"/>
  <c r="M902" i="8"/>
  <c r="M903" i="8"/>
  <c r="M904" i="8"/>
  <c r="M905" i="8"/>
  <c r="M906" i="8"/>
  <c r="M907" i="8"/>
  <c r="M908" i="8"/>
  <c r="M909" i="8"/>
  <c r="M910" i="8"/>
  <c r="M911" i="8"/>
  <c r="M912" i="8"/>
  <c r="M913" i="8"/>
  <c r="M914" i="8"/>
  <c r="M915" i="8"/>
  <c r="M916" i="8"/>
  <c r="M917" i="8"/>
  <c r="M918" i="8"/>
  <c r="M919" i="8"/>
  <c r="M920" i="8"/>
  <c r="M921" i="8"/>
  <c r="M922" i="8"/>
  <c r="M923" i="8"/>
  <c r="M924" i="8"/>
  <c r="M925" i="8"/>
  <c r="M926" i="8"/>
  <c r="M927" i="8"/>
  <c r="M928" i="8"/>
  <c r="M929" i="8"/>
  <c r="M930" i="8"/>
  <c r="M931" i="8"/>
  <c r="M932" i="8"/>
  <c r="M933" i="8"/>
  <c r="M934" i="8"/>
  <c r="M935" i="8"/>
  <c r="M936" i="8"/>
  <c r="M937" i="8"/>
  <c r="M938" i="8"/>
  <c r="M939" i="8"/>
  <c r="M940" i="8"/>
  <c r="M941" i="8"/>
  <c r="M942" i="8"/>
  <c r="M943" i="8"/>
  <c r="M944" i="8"/>
  <c r="M945" i="8"/>
  <c r="M946" i="8"/>
  <c r="M947" i="8"/>
  <c r="M948" i="8"/>
  <c r="M949" i="8"/>
  <c r="M950" i="8"/>
  <c r="M951" i="8"/>
  <c r="M952" i="8"/>
  <c r="M953" i="8"/>
  <c r="M954" i="8"/>
  <c r="M955" i="8"/>
  <c r="M956" i="8"/>
  <c r="M957" i="8"/>
  <c r="M958" i="8"/>
  <c r="M959" i="8"/>
  <c r="M960" i="8"/>
  <c r="M961" i="8"/>
  <c r="M962" i="8"/>
  <c r="M963" i="8"/>
  <c r="M964" i="8"/>
  <c r="M965" i="8"/>
  <c r="M966" i="8"/>
  <c r="M967" i="8"/>
  <c r="M968" i="8"/>
  <c r="M969" i="8"/>
  <c r="M970" i="8"/>
  <c r="M971" i="8"/>
  <c r="M972" i="8"/>
  <c r="M973" i="8"/>
  <c r="M974" i="8"/>
  <c r="M975" i="8"/>
  <c r="M976" i="8"/>
  <c r="M977" i="8"/>
  <c r="M978" i="8"/>
  <c r="M979" i="8"/>
  <c r="M980" i="8"/>
  <c r="M981" i="8"/>
  <c r="M982" i="8"/>
  <c r="M983" i="8"/>
  <c r="M984" i="8"/>
  <c r="M985" i="8"/>
  <c r="M986" i="8"/>
  <c r="M987" i="8"/>
  <c r="M988" i="8"/>
  <c r="M989" i="8"/>
  <c r="M990" i="8"/>
  <c r="M991" i="8"/>
  <c r="M992" i="8"/>
  <c r="M993" i="8"/>
  <c r="M994" i="8"/>
  <c r="M995" i="8"/>
  <c r="M996" i="8"/>
  <c r="M997" i="8"/>
  <c r="M998" i="8"/>
  <c r="M999" i="8"/>
  <c r="M1000" i="8"/>
  <c r="M1001" i="8"/>
  <c r="M1002" i="8"/>
  <c r="M1003" i="8"/>
  <c r="M1004" i="8"/>
  <c r="M1005" i="8"/>
  <c r="M1006" i="8"/>
  <c r="M1007" i="8"/>
  <c r="M1008" i="8"/>
  <c r="M1009" i="8"/>
  <c r="M1010" i="8"/>
  <c r="M1011" i="8"/>
  <c r="M1012" i="8"/>
  <c r="M1013" i="8"/>
  <c r="M1014" i="8"/>
  <c r="M1015" i="8"/>
  <c r="M1016" i="8"/>
  <c r="M1017" i="8"/>
  <c r="M1018" i="8"/>
  <c r="M1019" i="8"/>
  <c r="M1020" i="8"/>
  <c r="M1021" i="8"/>
  <c r="M1022" i="8"/>
  <c r="M1023" i="8"/>
  <c r="M1024" i="8"/>
  <c r="M1025" i="8"/>
  <c r="M1026" i="8"/>
  <c r="M1027" i="8"/>
  <c r="M1028" i="8"/>
  <c r="M1029" i="8"/>
  <c r="M1030" i="8"/>
  <c r="M1031" i="8"/>
  <c r="M1032" i="8"/>
  <c r="M1033" i="8"/>
  <c r="M1034" i="8"/>
  <c r="M1035" i="8"/>
  <c r="M1036" i="8"/>
  <c r="M1037" i="8"/>
  <c r="M1038" i="8"/>
  <c r="M1039" i="8"/>
  <c r="M1040" i="8"/>
  <c r="M1041" i="8"/>
  <c r="M1042" i="8"/>
  <c r="M1043" i="8"/>
  <c r="M1044" i="8"/>
  <c r="M1045" i="8"/>
  <c r="M1046" i="8"/>
  <c r="M1047" i="8"/>
  <c r="M1048" i="8"/>
  <c r="M1049" i="8"/>
  <c r="M1050" i="8"/>
  <c r="M1051" i="8"/>
  <c r="M1052" i="8"/>
  <c r="M1053" i="8"/>
  <c r="M1054" i="8"/>
  <c r="M1055" i="8"/>
  <c r="M1056" i="8"/>
  <c r="M1057" i="8"/>
  <c r="M1058" i="8"/>
  <c r="M1059" i="8"/>
  <c r="M1060" i="8"/>
  <c r="M1061" i="8"/>
  <c r="M1062" i="8"/>
  <c r="M1063" i="8"/>
  <c r="M1064" i="8"/>
  <c r="M1065" i="8"/>
  <c r="M1066" i="8"/>
  <c r="M1067" i="8"/>
  <c r="M1068" i="8"/>
  <c r="M1069" i="8"/>
  <c r="M1070" i="8"/>
  <c r="M1071" i="8"/>
  <c r="M1072" i="8"/>
  <c r="M1073" i="8"/>
  <c r="M1074" i="8"/>
  <c r="M1075" i="8"/>
  <c r="M1076" i="8"/>
  <c r="M1077" i="8"/>
  <c r="M1078" i="8"/>
  <c r="M1079" i="8"/>
  <c r="M1080" i="8"/>
  <c r="M1081" i="8"/>
  <c r="M1082" i="8"/>
  <c r="M1083" i="8"/>
  <c r="M1084" i="8"/>
  <c r="M1085" i="8"/>
  <c r="M1086" i="8"/>
  <c r="M1087" i="8"/>
  <c r="M1088" i="8"/>
  <c r="M1089" i="8"/>
  <c r="M1090" i="8"/>
  <c r="M1091" i="8"/>
  <c r="M1092" i="8"/>
  <c r="M1093" i="8"/>
  <c r="M1094" i="8"/>
  <c r="M1095" i="8"/>
  <c r="M1096" i="8"/>
  <c r="M1097" i="8"/>
  <c r="M1098" i="8"/>
  <c r="M1099" i="8"/>
  <c r="M1100" i="8"/>
  <c r="M1101" i="8"/>
  <c r="M1102" i="8"/>
  <c r="M1103" i="8"/>
  <c r="M1104" i="8"/>
  <c r="M1105" i="8"/>
  <c r="M1106" i="8"/>
  <c r="M1107" i="8"/>
  <c r="M1108" i="8"/>
  <c r="M1109" i="8"/>
  <c r="M1110" i="8"/>
  <c r="M1111" i="8"/>
  <c r="M1112" i="8"/>
  <c r="M1113" i="8"/>
  <c r="M1114" i="8"/>
  <c r="M1115" i="8"/>
  <c r="M1116" i="8"/>
  <c r="M1117" i="8"/>
  <c r="M1118" i="8"/>
  <c r="M1119" i="8"/>
  <c r="M1120" i="8"/>
  <c r="M1121" i="8"/>
  <c r="M1122" i="8"/>
  <c r="M1123" i="8"/>
  <c r="M1124" i="8"/>
  <c r="M1125" i="8"/>
  <c r="M1126" i="8"/>
  <c r="M1127" i="8"/>
  <c r="M1128" i="8"/>
  <c r="M1129" i="8"/>
  <c r="M1130" i="8"/>
  <c r="M1131" i="8"/>
  <c r="M1132" i="8"/>
  <c r="M1133" i="8"/>
  <c r="M1134" i="8"/>
  <c r="M1135" i="8"/>
  <c r="M1136" i="8"/>
  <c r="M1137" i="8"/>
  <c r="M1138" i="8"/>
  <c r="M1139" i="8"/>
  <c r="M1140" i="8"/>
  <c r="M1141" i="8"/>
  <c r="M1142" i="8"/>
  <c r="M1143" i="8"/>
  <c r="M1144" i="8"/>
  <c r="M1145" i="8"/>
  <c r="M1146" i="8"/>
  <c r="M1147" i="8"/>
  <c r="M1148" i="8"/>
  <c r="M1149" i="8"/>
  <c r="M1150" i="8"/>
  <c r="M1151" i="8"/>
  <c r="M1152" i="8"/>
  <c r="M1153" i="8"/>
  <c r="M1154" i="8"/>
  <c r="M1155" i="8"/>
  <c r="M1156" i="8"/>
  <c r="M1157" i="8"/>
  <c r="M1158" i="8"/>
  <c r="M1159" i="8"/>
  <c r="M1160" i="8"/>
  <c r="M1161" i="8"/>
  <c r="M1162" i="8"/>
  <c r="M1163" i="8"/>
  <c r="M1164" i="8"/>
  <c r="M1165" i="8"/>
  <c r="M1166" i="8"/>
  <c r="M1167" i="8"/>
  <c r="M1168" i="8"/>
  <c r="M1169" i="8"/>
  <c r="M1170" i="8"/>
  <c r="M1171" i="8"/>
  <c r="M1172" i="8"/>
  <c r="M1173" i="8"/>
  <c r="M1174" i="8"/>
  <c r="M1175" i="8"/>
  <c r="M1176" i="8"/>
  <c r="M1177" i="8"/>
  <c r="M1178" i="8"/>
  <c r="M1179" i="8"/>
  <c r="M1180" i="8"/>
  <c r="M1181" i="8"/>
  <c r="M1182" i="8"/>
  <c r="M1183" i="8"/>
  <c r="M1184" i="8"/>
  <c r="M1185" i="8"/>
  <c r="M1186" i="8"/>
  <c r="M1187" i="8"/>
  <c r="M1188" i="8"/>
  <c r="M1189" i="8"/>
  <c r="M1190" i="8"/>
  <c r="M1191" i="8"/>
  <c r="M1192" i="8"/>
  <c r="M1193" i="8"/>
  <c r="M1194" i="8"/>
  <c r="M1195" i="8"/>
  <c r="M1196" i="8"/>
  <c r="M1197" i="8"/>
  <c r="M1198" i="8"/>
  <c r="M1199" i="8"/>
  <c r="M1200" i="8"/>
  <c r="M1201" i="8"/>
  <c r="M1202" i="8"/>
  <c r="M1203" i="8"/>
  <c r="M1204" i="8"/>
  <c r="M1205" i="8"/>
  <c r="M1206" i="8"/>
  <c r="M1207" i="8"/>
  <c r="M1208" i="8"/>
  <c r="M1209" i="8"/>
  <c r="M1210" i="8"/>
  <c r="M1211" i="8"/>
  <c r="M1212" i="8"/>
  <c r="M1213" i="8"/>
  <c r="M1214" i="8"/>
  <c r="M1215" i="8"/>
  <c r="M1216" i="8"/>
  <c r="M1217" i="8"/>
  <c r="M1218" i="8"/>
  <c r="M1219" i="8"/>
  <c r="M1220" i="8"/>
  <c r="M1221" i="8"/>
  <c r="M1222" i="8"/>
  <c r="M1223" i="8"/>
  <c r="M1224" i="8"/>
  <c r="M1225" i="8"/>
  <c r="M1226" i="8"/>
  <c r="M1227" i="8"/>
  <c r="M1228" i="8"/>
  <c r="M1229" i="8"/>
  <c r="M1230" i="8"/>
  <c r="M1231" i="8"/>
  <c r="M1232" i="8"/>
  <c r="M1233" i="8"/>
  <c r="M1234" i="8"/>
  <c r="M1235" i="8"/>
  <c r="M1236" i="8"/>
  <c r="M1237" i="8"/>
  <c r="M1238" i="8"/>
  <c r="M1239" i="8"/>
  <c r="M1240" i="8"/>
  <c r="M1241" i="8"/>
  <c r="M1242" i="8"/>
  <c r="M1243" i="8"/>
  <c r="M1244" i="8"/>
  <c r="M1245" i="8"/>
  <c r="M1246" i="8"/>
  <c r="M1247" i="8"/>
  <c r="M1248" i="8"/>
  <c r="M1249" i="8"/>
  <c r="M1250" i="8"/>
  <c r="M1251" i="8"/>
  <c r="M1252" i="8"/>
  <c r="M1253" i="8"/>
  <c r="M1254" i="8"/>
  <c r="M1255" i="8"/>
  <c r="M1256" i="8"/>
  <c r="M1257" i="8"/>
  <c r="M1258" i="8"/>
  <c r="M1259" i="8"/>
  <c r="M1260" i="8"/>
  <c r="M1261" i="8"/>
  <c r="M1262" i="8"/>
  <c r="M1263" i="8"/>
  <c r="M1264" i="8"/>
  <c r="M1265" i="8"/>
  <c r="M1266" i="8"/>
  <c r="M1267" i="8"/>
  <c r="M1268" i="8"/>
  <c r="M1269" i="8"/>
  <c r="M1270" i="8"/>
  <c r="M1271" i="8"/>
  <c r="M1272" i="8"/>
  <c r="M1273" i="8"/>
  <c r="M1274" i="8"/>
  <c r="M1275" i="8"/>
  <c r="M1276" i="8"/>
  <c r="M1277" i="8"/>
  <c r="M1278" i="8"/>
  <c r="M1279" i="8"/>
  <c r="M1280" i="8"/>
  <c r="M1281" i="8"/>
  <c r="M1282" i="8"/>
  <c r="M1283" i="8"/>
  <c r="M1284" i="8"/>
  <c r="M1285" i="8"/>
  <c r="M1286" i="8"/>
  <c r="M1287" i="8"/>
  <c r="M1288" i="8"/>
  <c r="M1289" i="8"/>
  <c r="M1290" i="8"/>
  <c r="M1291" i="8"/>
  <c r="M1292" i="8"/>
  <c r="M1293" i="8"/>
  <c r="M1294" i="8"/>
  <c r="M1295" i="8"/>
  <c r="M1296" i="8"/>
  <c r="M1297" i="8"/>
  <c r="M1298" i="8"/>
  <c r="M1299" i="8"/>
  <c r="M1300" i="8"/>
  <c r="M1301" i="8"/>
  <c r="M1302" i="8"/>
  <c r="M1303" i="8"/>
  <c r="M1304" i="8"/>
  <c r="M1305" i="8"/>
  <c r="M1306" i="8"/>
  <c r="M1307" i="8"/>
  <c r="M1308" i="8"/>
  <c r="M1309" i="8"/>
  <c r="M1310" i="8"/>
  <c r="M1311" i="8"/>
  <c r="M1312" i="8"/>
  <c r="M1313" i="8"/>
  <c r="M1314" i="8"/>
  <c r="M1315" i="8"/>
  <c r="M1316" i="8"/>
  <c r="M1317" i="8"/>
  <c r="M1318" i="8"/>
  <c r="M1319" i="8"/>
  <c r="M1320" i="8"/>
  <c r="M1321" i="8"/>
  <c r="M1322" i="8"/>
  <c r="M1323" i="8"/>
  <c r="M1324" i="8"/>
  <c r="M1325" i="8"/>
  <c r="M1326" i="8"/>
  <c r="M1327" i="8"/>
  <c r="M1328" i="8"/>
  <c r="M1329" i="8"/>
  <c r="M1330" i="8"/>
  <c r="M1331" i="8"/>
  <c r="M1332" i="8"/>
  <c r="M1333" i="8"/>
  <c r="M1334" i="8"/>
  <c r="M1335" i="8"/>
  <c r="M1336" i="8"/>
  <c r="M1337" i="8"/>
  <c r="M1338" i="8"/>
  <c r="M1339" i="8"/>
  <c r="M1340" i="8"/>
  <c r="M1341" i="8"/>
  <c r="M1342" i="8"/>
  <c r="M1343" i="8"/>
  <c r="M1344" i="8"/>
  <c r="M1345" i="8"/>
  <c r="M1346" i="8"/>
  <c r="M1347" i="8"/>
  <c r="M1348" i="8"/>
  <c r="M1349" i="8"/>
  <c r="M1350" i="8"/>
  <c r="M1351" i="8"/>
  <c r="M1352" i="8"/>
  <c r="M1353" i="8"/>
  <c r="M1354" i="8"/>
  <c r="M1355" i="8"/>
  <c r="M1356" i="8"/>
  <c r="M2" i="8"/>
  <c r="J1358" i="8"/>
  <c r="J1359" i="8"/>
  <c r="J1360" i="8"/>
  <c r="J1361" i="8"/>
  <c r="J1362" i="8"/>
  <c r="J1363" i="8"/>
  <c r="J1364" i="8"/>
  <c r="J1365" i="8"/>
  <c r="J1366" i="8"/>
  <c r="J1367" i="8"/>
  <c r="J1368" i="8"/>
  <c r="J1369" i="8"/>
  <c r="J1370" i="8"/>
  <c r="J1371" i="8"/>
  <c r="J1372" i="8"/>
  <c r="J1373" i="8"/>
  <c r="J1374" i="8"/>
  <c r="J1375" i="8"/>
  <c r="J1376" i="8"/>
  <c r="J1377" i="8"/>
  <c r="J1378" i="8"/>
  <c r="J1379" i="8"/>
  <c r="J1380" i="8"/>
  <c r="J1381" i="8"/>
  <c r="J1382" i="8"/>
  <c r="J1383" i="8"/>
  <c r="J1384" i="8"/>
  <c r="J1385" i="8"/>
  <c r="J1386" i="8"/>
  <c r="J1387" i="8"/>
  <c r="J1388" i="8"/>
  <c r="J1389" i="8"/>
  <c r="J1390" i="8"/>
  <c r="J1391" i="8"/>
  <c r="J1392" i="8"/>
  <c r="J1393" i="8"/>
  <c r="J1394" i="8"/>
  <c r="J1395" i="8"/>
  <c r="J1396" i="8"/>
  <c r="J1397" i="8"/>
  <c r="J1398" i="8"/>
  <c r="J1399" i="8"/>
  <c r="J1400" i="8"/>
  <c r="J1401" i="8"/>
  <c r="J1402" i="8"/>
  <c r="J1403" i="8"/>
  <c r="J1404" i="8"/>
  <c r="J1405" i="8"/>
  <c r="J1406" i="8"/>
  <c r="J1407" i="8"/>
  <c r="J1408" i="8"/>
  <c r="J1409" i="8"/>
  <c r="J1410" i="8"/>
  <c r="J1411" i="8"/>
  <c r="J1412" i="8"/>
  <c r="J1413" i="8"/>
  <c r="J1414" i="8"/>
  <c r="J1415" i="8"/>
  <c r="J1416" i="8"/>
  <c r="J1417" i="8"/>
  <c r="J1418" i="8"/>
  <c r="J1419" i="8"/>
  <c r="J1420" i="8"/>
  <c r="J1421" i="8"/>
  <c r="J1422" i="8"/>
  <c r="J1423" i="8"/>
  <c r="J1424" i="8"/>
  <c r="J1425" i="8"/>
  <c r="J1426" i="8"/>
  <c r="J1427" i="8"/>
  <c r="J1428" i="8"/>
  <c r="J1429" i="8"/>
  <c r="J1430" i="8"/>
  <c r="J1431" i="8"/>
  <c r="J1432" i="8"/>
  <c r="J1433" i="8"/>
  <c r="J1434" i="8"/>
  <c r="J1435" i="8"/>
  <c r="J1436" i="8"/>
  <c r="J1437" i="8"/>
  <c r="J1438" i="8"/>
  <c r="J1439" i="8"/>
  <c r="J1440" i="8"/>
  <c r="J1441" i="8"/>
  <c r="J1442" i="8"/>
  <c r="J1443" i="8"/>
  <c r="J1444" i="8"/>
  <c r="J1445" i="8"/>
  <c r="J1446" i="8"/>
  <c r="J1447" i="8"/>
  <c r="J1448" i="8"/>
  <c r="J1449" i="8"/>
  <c r="J1450" i="8"/>
  <c r="J1451" i="8"/>
  <c r="J1452" i="8"/>
  <c r="J1453" i="8"/>
  <c r="J1454" i="8"/>
  <c r="J1455" i="8"/>
  <c r="J1456" i="8"/>
  <c r="J1457" i="8"/>
  <c r="J1458" i="8"/>
  <c r="J1459" i="8"/>
  <c r="J1460" i="8"/>
  <c r="J1461" i="8"/>
  <c r="J1462" i="8"/>
  <c r="J1463" i="8"/>
  <c r="J1464" i="8"/>
  <c r="J1465" i="8"/>
  <c r="J1466" i="8"/>
  <c r="J1467" i="8"/>
  <c r="J1468" i="8"/>
  <c r="J1469" i="8"/>
  <c r="J1470" i="8"/>
  <c r="J1471" i="8"/>
  <c r="J1472" i="8"/>
  <c r="J1473" i="8"/>
  <c r="J1474" i="8"/>
  <c r="J1475" i="8"/>
  <c r="J1476" i="8"/>
  <c r="J1477" i="8"/>
  <c r="J1478" i="8"/>
  <c r="J1479" i="8"/>
  <c r="J1480" i="8"/>
  <c r="J1481" i="8"/>
  <c r="J1482" i="8"/>
  <c r="J1483" i="8"/>
  <c r="J1484" i="8"/>
  <c r="J1485" i="8"/>
  <c r="J1486" i="8"/>
  <c r="J1487" i="8"/>
  <c r="J1488" i="8"/>
  <c r="J1489" i="8"/>
  <c r="J1490" i="8"/>
  <c r="J1491" i="8"/>
  <c r="J1492" i="8"/>
  <c r="J1493" i="8"/>
  <c r="J1494" i="8"/>
  <c r="J1495" i="8"/>
  <c r="J1496" i="8"/>
  <c r="J1497" i="8"/>
  <c r="J1498" i="8"/>
  <c r="J1499" i="8"/>
  <c r="J1500" i="8"/>
  <c r="J1501" i="8"/>
  <c r="J1502" i="8"/>
  <c r="J1503" i="8"/>
  <c r="J1504" i="8"/>
  <c r="J1505" i="8"/>
  <c r="J1506" i="8"/>
  <c r="J1507" i="8"/>
  <c r="J1508" i="8"/>
  <c r="J1509" i="8"/>
  <c r="J1510" i="8"/>
  <c r="J1511" i="8"/>
  <c r="J1512" i="8"/>
  <c r="J1513" i="8"/>
  <c r="J1514" i="8"/>
  <c r="J1515" i="8"/>
  <c r="J1516" i="8"/>
  <c r="J1517" i="8"/>
  <c r="J1518" i="8"/>
  <c r="J1519" i="8"/>
  <c r="J1520" i="8"/>
  <c r="J1521" i="8"/>
  <c r="J1522" i="8"/>
  <c r="J1523" i="8"/>
  <c r="J1524" i="8"/>
  <c r="J1525" i="8"/>
  <c r="J1526" i="8"/>
  <c r="J1527" i="8"/>
  <c r="J1528" i="8"/>
  <c r="J1529" i="8"/>
  <c r="J1530" i="8"/>
  <c r="J1531" i="8"/>
  <c r="J1532" i="8"/>
  <c r="J1533" i="8"/>
  <c r="J1534" i="8"/>
  <c r="J1535" i="8"/>
  <c r="J1536" i="8"/>
  <c r="J1537" i="8"/>
  <c r="J1538" i="8"/>
  <c r="J1539" i="8"/>
  <c r="J1540" i="8"/>
  <c r="J1541" i="8"/>
  <c r="J1542" i="8"/>
  <c r="J1543" i="8"/>
  <c r="J1544" i="8"/>
  <c r="J1545" i="8"/>
  <c r="J1546" i="8"/>
  <c r="J1547" i="8"/>
  <c r="J1548" i="8"/>
  <c r="J1549" i="8"/>
  <c r="J1550" i="8"/>
  <c r="J1551" i="8"/>
  <c r="J1552" i="8"/>
  <c r="J1553" i="8"/>
  <c r="J1554" i="8"/>
  <c r="J1555" i="8"/>
  <c r="J1556" i="8"/>
  <c r="J1557" i="8"/>
  <c r="J1558" i="8"/>
  <c r="J1559" i="8"/>
  <c r="J1560" i="8"/>
  <c r="J1561" i="8"/>
  <c r="J1562" i="8"/>
  <c r="J1563" i="8"/>
  <c r="J1564" i="8"/>
  <c r="J1565" i="8"/>
  <c r="J1566" i="8"/>
  <c r="J1567" i="8"/>
  <c r="J1568" i="8"/>
  <c r="J1569" i="8"/>
  <c r="J1570" i="8"/>
  <c r="J1571" i="8"/>
  <c r="J1572" i="8"/>
  <c r="J1573" i="8"/>
  <c r="J1574" i="8"/>
  <c r="J1575" i="8"/>
  <c r="J1576" i="8"/>
  <c r="J1577" i="8"/>
  <c r="J1578" i="8"/>
  <c r="J1579" i="8"/>
  <c r="J1580" i="8"/>
  <c r="J1581" i="8"/>
  <c r="J1582" i="8"/>
  <c r="J1583" i="8"/>
  <c r="J1584" i="8"/>
  <c r="J1585" i="8"/>
  <c r="J1586" i="8"/>
  <c r="J1587" i="8"/>
  <c r="J1588" i="8"/>
  <c r="J1589" i="8"/>
  <c r="J1590" i="8"/>
  <c r="J1591" i="8"/>
  <c r="J1592" i="8"/>
  <c r="J1593" i="8"/>
  <c r="J1594" i="8"/>
  <c r="J1595" i="8"/>
  <c r="J1596" i="8"/>
  <c r="J1597" i="8"/>
  <c r="J1598" i="8"/>
  <c r="J1599" i="8"/>
  <c r="J1600" i="8"/>
  <c r="J1601" i="8"/>
  <c r="J1602" i="8"/>
  <c r="J1603" i="8"/>
  <c r="J1604" i="8"/>
  <c r="J1605" i="8"/>
  <c r="J1606" i="8"/>
  <c r="J1607" i="8"/>
  <c r="J1608" i="8"/>
  <c r="J1609" i="8"/>
  <c r="J1610" i="8"/>
  <c r="J1611" i="8"/>
  <c r="J1612" i="8"/>
  <c r="J1613" i="8"/>
  <c r="J1614" i="8"/>
  <c r="J1615" i="8"/>
  <c r="J1616" i="8"/>
  <c r="J1617" i="8"/>
  <c r="J1618" i="8"/>
  <c r="J1619" i="8"/>
  <c r="J1620" i="8"/>
  <c r="J1621" i="8"/>
  <c r="J1622" i="8"/>
  <c r="J1623" i="8"/>
  <c r="J1624" i="8"/>
  <c r="J1625" i="8"/>
  <c r="J1626" i="8"/>
  <c r="J1627" i="8"/>
  <c r="J1628" i="8"/>
  <c r="J1629" i="8"/>
  <c r="J1630" i="8"/>
  <c r="J1631" i="8"/>
  <c r="J1632" i="8"/>
  <c r="J1633" i="8"/>
  <c r="J1634" i="8"/>
  <c r="J1635" i="8"/>
  <c r="J1636" i="8"/>
  <c r="J1637" i="8"/>
  <c r="J1638" i="8"/>
  <c r="J1639" i="8"/>
  <c r="J1640" i="8"/>
  <c r="J1641" i="8"/>
  <c r="J1642" i="8"/>
  <c r="J1643" i="8"/>
  <c r="J1644" i="8"/>
  <c r="J1645" i="8"/>
  <c r="J1646" i="8"/>
  <c r="J1647" i="8"/>
  <c r="J1648" i="8"/>
  <c r="J1649" i="8"/>
  <c r="J1650" i="8"/>
  <c r="J1651" i="8"/>
  <c r="J1652" i="8"/>
  <c r="J1653" i="8"/>
  <c r="J1654" i="8"/>
  <c r="J1655" i="8"/>
  <c r="J1656" i="8"/>
  <c r="J1657" i="8"/>
  <c r="J1658" i="8"/>
  <c r="J1659" i="8"/>
  <c r="J1660" i="8"/>
  <c r="J1661" i="8"/>
  <c r="J1662" i="8"/>
  <c r="J1663" i="8"/>
  <c r="J1664" i="8"/>
  <c r="J1665" i="8"/>
  <c r="J1666" i="8"/>
  <c r="J1667" i="8"/>
  <c r="J1668" i="8"/>
  <c r="J1669" i="8"/>
  <c r="J1670" i="8"/>
  <c r="J1671" i="8"/>
  <c r="J1672" i="8"/>
  <c r="J1673" i="8"/>
  <c r="J1674" i="8"/>
  <c r="J1675" i="8"/>
  <c r="J1676" i="8"/>
  <c r="J1677" i="8"/>
  <c r="J1678" i="8"/>
  <c r="J1679" i="8"/>
  <c r="J1680" i="8"/>
  <c r="J1681" i="8"/>
  <c r="J1682" i="8"/>
  <c r="J1683" i="8"/>
  <c r="J1684" i="8"/>
  <c r="J1685" i="8"/>
  <c r="J1686" i="8"/>
  <c r="J1687" i="8"/>
  <c r="J1688" i="8"/>
  <c r="J1689" i="8"/>
  <c r="J1690" i="8"/>
  <c r="J1691" i="8"/>
  <c r="J1692" i="8"/>
  <c r="J1693" i="8"/>
  <c r="J1694" i="8"/>
  <c r="J1695" i="8"/>
  <c r="J1696" i="8"/>
  <c r="J1697" i="8"/>
  <c r="J1698" i="8"/>
  <c r="J1699" i="8"/>
  <c r="J1700" i="8"/>
  <c r="J1701" i="8"/>
  <c r="J1702" i="8"/>
  <c r="J1703" i="8"/>
  <c r="J1704" i="8"/>
  <c r="J1705" i="8"/>
  <c r="J1706" i="8"/>
  <c r="J1707" i="8"/>
  <c r="J1708" i="8"/>
  <c r="J1709" i="8"/>
  <c r="J1710" i="8"/>
  <c r="J1711" i="8"/>
  <c r="J1712" i="8"/>
  <c r="J1713" i="8"/>
  <c r="J1714" i="8"/>
  <c r="J1715" i="8"/>
  <c r="J1716" i="8"/>
  <c r="J1717" i="8"/>
  <c r="J1718" i="8"/>
  <c r="J1719" i="8"/>
  <c r="J1720" i="8"/>
  <c r="J1721" i="8"/>
  <c r="J1722" i="8"/>
  <c r="J1723" i="8"/>
  <c r="J1724" i="8"/>
  <c r="J1725" i="8"/>
  <c r="J1726" i="8"/>
  <c r="J1727" i="8"/>
  <c r="J1728" i="8"/>
  <c r="J1729" i="8"/>
  <c r="J1730" i="8"/>
  <c r="J1731" i="8"/>
  <c r="J1732" i="8"/>
  <c r="J1733" i="8"/>
  <c r="J1734" i="8"/>
  <c r="J1735" i="8"/>
  <c r="J1736" i="8"/>
  <c r="J1737" i="8"/>
  <c r="J1738" i="8"/>
  <c r="J1739" i="8"/>
  <c r="J1740" i="8"/>
  <c r="J1741" i="8"/>
  <c r="J1742" i="8"/>
  <c r="J1743" i="8"/>
  <c r="J1744" i="8"/>
  <c r="J1745" i="8"/>
  <c r="J1746" i="8"/>
  <c r="J1747" i="8"/>
  <c r="J1748" i="8"/>
  <c r="J1749" i="8"/>
  <c r="J1750" i="8"/>
  <c r="J1751" i="8"/>
  <c r="J1752" i="8"/>
  <c r="J1753" i="8"/>
  <c r="J1754" i="8"/>
  <c r="J1755" i="8"/>
  <c r="J1756" i="8"/>
  <c r="J1757" i="8"/>
  <c r="J1758" i="8"/>
  <c r="J1759" i="8"/>
  <c r="J1760" i="8"/>
  <c r="J1761" i="8"/>
  <c r="J1762" i="8"/>
  <c r="J1763" i="8"/>
  <c r="J1764" i="8"/>
  <c r="J1765" i="8"/>
  <c r="J1766" i="8"/>
  <c r="J1767" i="8"/>
  <c r="J1768" i="8"/>
  <c r="J1769" i="8"/>
  <c r="J1770" i="8"/>
  <c r="J1771" i="8"/>
  <c r="J1772" i="8"/>
  <c r="J1773" i="8"/>
  <c r="J1774" i="8"/>
  <c r="J1775" i="8"/>
  <c r="J1776" i="8"/>
  <c r="J1777" i="8"/>
  <c r="J1778" i="8"/>
  <c r="J1779" i="8"/>
  <c r="J1780" i="8"/>
  <c r="J1781" i="8"/>
  <c r="J1782" i="8"/>
  <c r="J1783" i="8"/>
  <c r="J1784" i="8"/>
  <c r="J1785" i="8"/>
  <c r="J1786" i="8"/>
  <c r="J1787" i="8"/>
  <c r="J1788" i="8"/>
  <c r="J1789" i="8"/>
  <c r="J1790" i="8"/>
  <c r="J1791" i="8"/>
  <c r="J1792" i="8"/>
  <c r="J1793" i="8"/>
  <c r="J1794" i="8"/>
  <c r="J1795" i="8"/>
  <c r="J1796" i="8"/>
  <c r="J1797" i="8"/>
  <c r="J1798" i="8"/>
  <c r="J1799" i="8"/>
  <c r="J1800" i="8"/>
  <c r="J1801" i="8"/>
  <c r="J1802" i="8"/>
  <c r="J1803" i="8"/>
  <c r="J1804" i="8"/>
  <c r="J1805" i="8"/>
  <c r="J1806" i="8"/>
  <c r="J1807" i="8"/>
  <c r="J1808" i="8"/>
  <c r="J1809" i="8"/>
  <c r="J1810" i="8"/>
  <c r="J1811" i="8"/>
  <c r="J1812" i="8"/>
  <c r="J1813" i="8"/>
  <c r="J1814" i="8"/>
  <c r="J1815" i="8"/>
  <c r="J1816" i="8"/>
  <c r="J1817" i="8"/>
  <c r="J1818" i="8"/>
  <c r="J1819" i="8"/>
  <c r="J1820" i="8"/>
  <c r="J1821" i="8"/>
  <c r="J1822" i="8"/>
  <c r="J1823" i="8"/>
  <c r="J1824" i="8"/>
  <c r="J1825" i="8"/>
  <c r="J1826" i="8"/>
  <c r="J1827" i="8"/>
  <c r="J1828" i="8"/>
  <c r="J1829" i="8"/>
  <c r="J1830" i="8"/>
  <c r="J1831" i="8"/>
  <c r="J1832" i="8"/>
  <c r="J1833" i="8"/>
  <c r="J1834" i="8"/>
  <c r="J1835" i="8"/>
  <c r="J1836" i="8"/>
  <c r="J1837" i="8"/>
  <c r="J1838" i="8"/>
  <c r="J1839" i="8"/>
  <c r="J1840" i="8"/>
  <c r="J1841" i="8"/>
  <c r="J1842" i="8"/>
  <c r="J1843" i="8"/>
  <c r="J1844" i="8"/>
  <c r="J1845" i="8"/>
  <c r="J1846" i="8"/>
  <c r="J1847" i="8"/>
  <c r="J1848" i="8"/>
  <c r="J1849" i="8"/>
  <c r="J1850" i="8"/>
  <c r="J1851" i="8"/>
  <c r="J1852" i="8"/>
  <c r="J1853" i="8"/>
  <c r="J1854" i="8"/>
  <c r="J1855" i="8"/>
  <c r="J1856" i="8"/>
  <c r="J1857" i="8"/>
  <c r="J1858" i="8"/>
  <c r="J1859" i="8"/>
  <c r="J1860" i="8"/>
  <c r="J1861" i="8"/>
  <c r="J1862" i="8"/>
  <c r="J1863" i="8"/>
  <c r="J1864" i="8"/>
  <c r="J1865" i="8"/>
  <c r="J1866" i="8"/>
  <c r="J1867" i="8"/>
  <c r="J1868" i="8"/>
  <c r="J1869" i="8"/>
  <c r="J1870" i="8"/>
  <c r="J1871" i="8"/>
  <c r="J1872" i="8"/>
  <c r="J1873" i="8"/>
  <c r="J1874" i="8"/>
  <c r="J1875" i="8"/>
  <c r="J1876" i="8"/>
  <c r="J1877" i="8"/>
  <c r="J1878" i="8"/>
  <c r="J1879" i="8"/>
  <c r="J1880" i="8"/>
  <c r="J1881" i="8"/>
  <c r="J1882" i="8"/>
  <c r="J1883" i="8"/>
  <c r="J1884" i="8"/>
  <c r="J1885" i="8"/>
  <c r="J1886" i="8"/>
  <c r="J1887" i="8"/>
  <c r="J1888" i="8"/>
  <c r="J1889" i="8"/>
  <c r="J1890" i="8"/>
  <c r="J1891" i="8"/>
  <c r="J1892" i="8"/>
  <c r="J1893" i="8"/>
  <c r="J1894" i="8"/>
  <c r="J1895" i="8"/>
  <c r="J1896" i="8"/>
  <c r="J1897" i="8"/>
  <c r="J1898" i="8"/>
  <c r="J1899" i="8"/>
  <c r="J1900" i="8"/>
  <c r="J1901" i="8"/>
  <c r="J1902" i="8"/>
  <c r="J1903" i="8"/>
  <c r="J1904" i="8"/>
  <c r="J1905" i="8"/>
  <c r="J1906" i="8"/>
  <c r="J1907" i="8"/>
  <c r="J1908" i="8"/>
  <c r="J1909" i="8"/>
  <c r="J1910" i="8"/>
  <c r="J1911" i="8"/>
  <c r="J1912" i="8"/>
  <c r="J1913" i="8"/>
  <c r="J1914" i="8"/>
  <c r="J1915" i="8"/>
  <c r="J1916" i="8"/>
  <c r="J1917" i="8"/>
  <c r="J1918" i="8"/>
  <c r="J1919" i="8"/>
  <c r="J1920" i="8"/>
  <c r="J1921" i="8"/>
  <c r="J1922" i="8"/>
  <c r="J1923" i="8"/>
  <c r="J1924" i="8"/>
  <c r="J1925" i="8"/>
  <c r="J1926" i="8"/>
  <c r="J1927" i="8"/>
  <c r="J1928" i="8"/>
  <c r="J1929" i="8"/>
  <c r="J1930" i="8"/>
  <c r="J1931" i="8"/>
  <c r="J1932" i="8"/>
  <c r="J1933" i="8"/>
  <c r="J1934" i="8"/>
  <c r="J1935" i="8"/>
  <c r="J1936" i="8"/>
  <c r="J1937" i="8"/>
  <c r="J1938" i="8"/>
  <c r="J1939" i="8"/>
  <c r="J1940" i="8"/>
  <c r="J1941" i="8"/>
  <c r="J1942" i="8"/>
  <c r="J1943" i="8"/>
  <c r="J1944" i="8"/>
  <c r="J1945" i="8"/>
  <c r="J1946" i="8"/>
  <c r="J1947" i="8"/>
  <c r="J1948" i="8"/>
  <c r="J1949" i="8"/>
  <c r="J1950" i="8"/>
  <c r="J1951" i="8"/>
  <c r="J1952" i="8"/>
  <c r="J1953" i="8"/>
  <c r="J1954" i="8"/>
  <c r="J1955" i="8"/>
  <c r="J1956" i="8"/>
  <c r="J1957" i="8"/>
  <c r="J1958" i="8"/>
  <c r="J1959" i="8"/>
  <c r="J1960" i="8"/>
  <c r="J1961" i="8"/>
  <c r="J1962" i="8"/>
  <c r="J1963" i="8"/>
  <c r="J1964" i="8"/>
  <c r="J1965" i="8"/>
  <c r="J1966" i="8"/>
  <c r="J1967" i="8"/>
  <c r="J1968" i="8"/>
  <c r="J1969" i="8"/>
  <c r="J1970" i="8"/>
  <c r="J1971" i="8"/>
  <c r="J1972" i="8"/>
  <c r="J1973" i="8"/>
  <c r="J1974" i="8"/>
  <c r="J1975" i="8"/>
  <c r="J1976" i="8"/>
  <c r="J1977" i="8"/>
  <c r="J1978" i="8"/>
  <c r="J1979" i="8"/>
  <c r="J1980" i="8"/>
  <c r="J1981" i="8"/>
  <c r="J1982" i="8"/>
  <c r="J1983" i="8"/>
  <c r="J1984" i="8"/>
  <c r="J1985" i="8"/>
  <c r="J1986" i="8"/>
  <c r="J1987" i="8"/>
  <c r="J1988" i="8"/>
  <c r="J1989" i="8"/>
  <c r="J1990" i="8"/>
  <c r="J1991" i="8"/>
  <c r="J1992" i="8"/>
  <c r="J1993" i="8"/>
  <c r="J1994" i="8"/>
  <c r="J1995" i="8"/>
  <c r="J1996" i="8"/>
  <c r="J1997" i="8"/>
  <c r="J1998" i="8"/>
  <c r="J1999" i="8"/>
  <c r="J2000" i="8"/>
  <c r="J2001" i="8"/>
  <c r="J2002" i="8"/>
  <c r="J2003" i="8"/>
  <c r="J2004" i="8"/>
  <c r="J2005" i="8"/>
  <c r="J2006" i="8"/>
  <c r="J2007" i="8"/>
  <c r="J2008" i="8"/>
  <c r="J2009" i="8"/>
  <c r="J2010" i="8"/>
  <c r="J2011" i="8"/>
  <c r="J2012" i="8"/>
  <c r="J2013" i="8"/>
  <c r="J2014" i="8"/>
  <c r="J2015" i="8"/>
  <c r="J2016" i="8"/>
  <c r="J2017" i="8"/>
  <c r="J2018" i="8"/>
  <c r="J2019" i="8"/>
  <c r="J2020" i="8"/>
  <c r="J2021" i="8"/>
  <c r="J2022" i="8"/>
  <c r="J2023" i="8"/>
  <c r="J2024" i="8"/>
  <c r="J2025" i="8"/>
  <c r="J2026" i="8"/>
  <c r="J2027" i="8"/>
  <c r="J2028" i="8"/>
  <c r="J2029" i="8"/>
  <c r="J2030" i="8"/>
  <c r="J2031" i="8"/>
  <c r="J2032" i="8"/>
  <c r="J2033" i="8"/>
  <c r="J2034" i="8"/>
  <c r="J2035" i="8"/>
  <c r="J2036" i="8"/>
  <c r="J2037" i="8"/>
  <c r="J2038" i="8"/>
  <c r="J2039" i="8"/>
  <c r="J2040" i="8"/>
  <c r="J2041" i="8"/>
  <c r="J2042" i="8"/>
  <c r="J2043" i="8"/>
  <c r="J2044" i="8"/>
  <c r="J2045" i="8"/>
  <c r="J2046" i="8"/>
  <c r="J2047" i="8"/>
  <c r="J2048" i="8"/>
  <c r="J2049" i="8"/>
  <c r="J2050" i="8"/>
  <c r="J2051" i="8"/>
  <c r="J2052" i="8"/>
  <c r="J2053" i="8"/>
  <c r="J2054" i="8"/>
  <c r="J2055" i="8"/>
  <c r="J2056" i="8"/>
  <c r="J2057" i="8"/>
  <c r="J2058" i="8"/>
  <c r="J2059" i="8"/>
  <c r="J2060" i="8"/>
  <c r="J2061" i="8"/>
  <c r="J2062" i="8"/>
  <c r="J2063" i="8"/>
  <c r="J2064" i="8"/>
  <c r="J2065" i="8"/>
  <c r="J2066" i="8"/>
  <c r="J2067" i="8"/>
  <c r="J2068" i="8"/>
  <c r="J2069" i="8"/>
  <c r="J2070" i="8"/>
  <c r="J2071" i="8"/>
  <c r="J2072" i="8"/>
  <c r="J2073" i="8"/>
  <c r="J2074" i="8"/>
  <c r="J2075" i="8"/>
  <c r="J2076" i="8"/>
  <c r="J2077" i="8"/>
  <c r="J2078" i="8"/>
  <c r="J2079" i="8"/>
  <c r="J2080" i="8"/>
  <c r="J2081" i="8"/>
  <c r="J2082" i="8"/>
  <c r="J2083" i="8"/>
  <c r="J2084" i="8"/>
  <c r="J2085" i="8"/>
  <c r="J2086" i="8"/>
  <c r="J2087" i="8"/>
  <c r="J2088" i="8"/>
  <c r="J2089" i="8"/>
  <c r="J2090" i="8"/>
  <c r="J2091" i="8"/>
  <c r="J2092" i="8"/>
  <c r="J2093" i="8"/>
  <c r="J2094" i="8"/>
  <c r="J2095" i="8"/>
  <c r="J2096" i="8"/>
  <c r="J2097" i="8"/>
  <c r="J2098" i="8"/>
  <c r="J2099" i="8"/>
  <c r="J2100" i="8"/>
  <c r="J2101" i="8"/>
  <c r="J2102" i="8"/>
  <c r="J2103" i="8"/>
  <c r="J2104" i="8"/>
  <c r="J2105" i="8"/>
  <c r="J2106" i="8"/>
  <c r="J2107" i="8"/>
  <c r="J2108" i="8"/>
  <c r="J2109" i="8"/>
  <c r="J2110" i="8"/>
  <c r="J2111" i="8"/>
  <c r="J2112" i="8"/>
  <c r="J2113" i="8"/>
  <c r="J2114" i="8"/>
  <c r="J2115" i="8"/>
  <c r="J2116" i="8"/>
  <c r="J2117" i="8"/>
  <c r="J2118" i="8"/>
  <c r="J2119" i="8"/>
  <c r="J2120" i="8"/>
  <c r="J2121" i="8"/>
  <c r="J2122" i="8"/>
  <c r="J2123" i="8"/>
  <c r="J2124" i="8"/>
  <c r="J2125" i="8"/>
  <c r="J2126" i="8"/>
  <c r="J2127" i="8"/>
  <c r="J2128" i="8"/>
  <c r="J2129" i="8"/>
  <c r="J2130" i="8"/>
  <c r="J2131" i="8"/>
  <c r="J2132" i="8"/>
  <c r="J2133" i="8"/>
  <c r="J2134" i="8"/>
  <c r="J2135" i="8"/>
  <c r="J2136" i="8"/>
  <c r="J2137" i="8"/>
  <c r="J2138" i="8"/>
  <c r="J2139" i="8"/>
  <c r="J2140" i="8"/>
  <c r="J2141" i="8"/>
  <c r="J2142" i="8"/>
  <c r="J2143" i="8"/>
  <c r="J2144" i="8"/>
  <c r="J2145" i="8"/>
  <c r="J2146" i="8"/>
  <c r="J2147" i="8"/>
  <c r="J2148" i="8"/>
  <c r="J2149" i="8"/>
  <c r="J2150" i="8"/>
  <c r="J2151" i="8"/>
  <c r="J2152" i="8"/>
  <c r="J2153" i="8"/>
  <c r="J2154" i="8"/>
  <c r="J2155" i="8"/>
  <c r="J2156" i="8"/>
  <c r="J2157" i="8"/>
  <c r="J2158" i="8"/>
  <c r="J2159" i="8"/>
  <c r="J2160" i="8"/>
  <c r="J2161" i="8"/>
  <c r="J2162" i="8"/>
  <c r="J2163" i="8"/>
  <c r="J2164" i="8"/>
  <c r="J2165" i="8"/>
  <c r="J2166" i="8"/>
  <c r="J2167" i="8"/>
  <c r="J2168" i="8"/>
  <c r="J2169" i="8"/>
  <c r="J2170" i="8"/>
  <c r="J2171" i="8"/>
  <c r="J2172" i="8"/>
  <c r="J2173" i="8"/>
  <c r="J2174" i="8"/>
  <c r="J2175" i="8"/>
  <c r="J2176" i="8"/>
  <c r="J2177" i="8"/>
  <c r="J2178" i="8"/>
  <c r="J2179" i="8"/>
  <c r="J2180" i="8"/>
  <c r="J2181" i="8"/>
  <c r="J2182" i="8"/>
  <c r="J2183" i="8"/>
  <c r="J2184" i="8"/>
  <c r="J2185" i="8"/>
  <c r="J2186" i="8"/>
  <c r="J2187" i="8"/>
  <c r="J2188" i="8"/>
  <c r="J2189" i="8"/>
  <c r="J2190" i="8"/>
  <c r="J2191" i="8"/>
  <c r="J2192" i="8"/>
  <c r="J2193" i="8"/>
  <c r="J2194" i="8"/>
  <c r="J2195" i="8"/>
  <c r="J2196" i="8"/>
  <c r="J2197" i="8"/>
  <c r="J2198" i="8"/>
  <c r="J2199" i="8"/>
  <c r="J2200" i="8"/>
  <c r="J2201" i="8"/>
  <c r="J2202" i="8"/>
  <c r="J2203" i="8"/>
  <c r="J2204" i="8"/>
  <c r="J2205" i="8"/>
  <c r="J2206" i="8"/>
  <c r="J2207" i="8"/>
  <c r="J2208" i="8"/>
  <c r="J2209" i="8"/>
  <c r="J2210" i="8"/>
  <c r="J2211" i="8"/>
  <c r="J2212" i="8"/>
  <c r="J2213" i="8"/>
  <c r="J2214" i="8"/>
  <c r="J2215" i="8"/>
  <c r="J2216" i="8"/>
  <c r="J2217" i="8"/>
  <c r="J2218" i="8"/>
  <c r="J2219" i="8"/>
  <c r="J2220" i="8"/>
  <c r="J2221" i="8"/>
  <c r="J2222" i="8"/>
  <c r="J2223" i="8"/>
  <c r="J2224" i="8"/>
  <c r="J2225" i="8"/>
  <c r="J2226" i="8"/>
  <c r="J2227" i="8"/>
  <c r="J2228" i="8"/>
  <c r="J2229" i="8"/>
  <c r="J2230" i="8"/>
  <c r="J2231" i="8"/>
  <c r="J2232" i="8"/>
  <c r="J2233" i="8"/>
  <c r="J2234" i="8"/>
  <c r="J2235" i="8"/>
  <c r="J2236" i="8"/>
  <c r="J2237" i="8"/>
  <c r="J2238" i="8"/>
  <c r="J2239" i="8"/>
  <c r="J2240" i="8"/>
  <c r="J2241" i="8"/>
  <c r="J2242" i="8"/>
  <c r="J2243" i="8"/>
  <c r="J2244" i="8"/>
  <c r="J2245" i="8"/>
  <c r="J2246" i="8"/>
  <c r="J2247" i="8"/>
  <c r="J2248" i="8"/>
  <c r="J2249" i="8"/>
  <c r="J2250" i="8"/>
  <c r="J2251" i="8"/>
  <c r="J2252" i="8"/>
  <c r="J2253" i="8"/>
  <c r="J2254" i="8"/>
  <c r="J2255" i="8"/>
  <c r="J2256" i="8"/>
  <c r="J2257" i="8"/>
  <c r="J2258" i="8"/>
  <c r="J2259" i="8"/>
  <c r="J2260" i="8"/>
  <c r="J2261" i="8"/>
  <c r="J2262" i="8"/>
  <c r="J2263" i="8"/>
  <c r="J2264" i="8"/>
  <c r="J2265" i="8"/>
  <c r="J2266" i="8"/>
  <c r="J2267" i="8"/>
  <c r="J2268" i="8"/>
  <c r="J2269" i="8"/>
  <c r="J2270" i="8"/>
  <c r="J2271" i="8"/>
  <c r="J2272" i="8"/>
  <c r="J2273" i="8"/>
  <c r="J2274" i="8"/>
  <c r="J2275" i="8"/>
  <c r="J2276" i="8"/>
  <c r="J2277" i="8"/>
  <c r="J2278" i="8"/>
  <c r="J2279" i="8"/>
  <c r="J2280" i="8"/>
  <c r="J2281" i="8"/>
  <c r="J2282" i="8"/>
  <c r="J2283" i="8"/>
  <c r="J2284" i="8"/>
  <c r="J2285" i="8"/>
  <c r="J2286" i="8"/>
  <c r="J2287" i="8"/>
  <c r="J2288" i="8"/>
  <c r="J2289" i="8"/>
  <c r="J2290" i="8"/>
  <c r="J2291" i="8"/>
  <c r="J2292" i="8"/>
  <c r="J2293" i="8"/>
  <c r="J2294" i="8"/>
  <c r="J2295" i="8"/>
  <c r="J2296" i="8"/>
  <c r="J2297" i="8"/>
  <c r="J2298" i="8"/>
  <c r="J2299" i="8"/>
  <c r="J2300" i="8"/>
  <c r="J2301" i="8"/>
  <c r="J2302" i="8"/>
  <c r="J2303" i="8"/>
  <c r="J2304" i="8"/>
  <c r="J2305" i="8"/>
  <c r="J2306" i="8"/>
  <c r="J2307" i="8"/>
  <c r="J2308" i="8"/>
  <c r="J2309" i="8"/>
  <c r="J2310" i="8"/>
  <c r="J2311" i="8"/>
  <c r="J2312" i="8"/>
  <c r="J2313" i="8"/>
  <c r="J2314" i="8"/>
  <c r="J2315" i="8"/>
  <c r="J2316" i="8"/>
  <c r="J2317" i="8"/>
  <c r="J2318" i="8"/>
  <c r="J2319" i="8"/>
  <c r="J2320" i="8"/>
  <c r="J2321" i="8"/>
  <c r="J2322" i="8"/>
  <c r="J2323" i="8"/>
  <c r="J2324" i="8"/>
  <c r="J2325" i="8"/>
  <c r="J2326" i="8"/>
  <c r="J2327" i="8"/>
  <c r="J2328" i="8"/>
  <c r="J2329" i="8"/>
  <c r="J2330" i="8"/>
  <c r="J2331" i="8"/>
  <c r="J2332" i="8"/>
  <c r="J2333" i="8"/>
  <c r="J2334" i="8"/>
  <c r="J2335" i="8"/>
  <c r="J2336" i="8"/>
  <c r="J2337" i="8"/>
  <c r="J2338" i="8"/>
  <c r="J2339" i="8"/>
  <c r="J2340" i="8"/>
  <c r="J2341" i="8"/>
  <c r="J2342" i="8"/>
  <c r="J2343" i="8"/>
  <c r="J2344" i="8"/>
  <c r="J2345" i="8"/>
  <c r="J2346" i="8"/>
  <c r="J2347" i="8"/>
  <c r="J2348" i="8"/>
  <c r="J2349" i="8"/>
  <c r="J2350" i="8"/>
  <c r="J2351" i="8"/>
  <c r="J2352" i="8"/>
  <c r="J2353" i="8"/>
  <c r="J2354" i="8"/>
  <c r="J2355" i="8"/>
  <c r="J2356" i="8"/>
  <c r="J2357" i="8"/>
  <c r="J2358" i="8"/>
  <c r="J2359" i="8"/>
  <c r="J2360" i="8"/>
  <c r="J2361" i="8"/>
  <c r="J2362" i="8"/>
  <c r="J2363" i="8"/>
  <c r="J2364" i="8"/>
  <c r="J2365" i="8"/>
  <c r="J2366" i="8"/>
  <c r="J2367" i="8"/>
  <c r="J2368" i="8"/>
  <c r="J2369" i="8"/>
  <c r="J2370" i="8"/>
  <c r="J2371" i="8"/>
  <c r="J2372" i="8"/>
  <c r="J2373" i="8"/>
  <c r="J2374" i="8"/>
  <c r="J2375" i="8"/>
  <c r="J2376" i="8"/>
  <c r="J2377" i="8"/>
  <c r="J2378" i="8"/>
  <c r="J2379" i="8"/>
  <c r="J2380" i="8"/>
  <c r="J2381" i="8"/>
  <c r="J2382" i="8"/>
  <c r="J2383" i="8"/>
  <c r="J2384" i="8"/>
  <c r="J2385" i="8"/>
  <c r="J2386" i="8"/>
  <c r="J2387" i="8"/>
  <c r="J2388" i="8"/>
  <c r="J2389" i="8"/>
  <c r="J2390" i="8"/>
  <c r="J2391" i="8"/>
  <c r="J2392" i="8"/>
  <c r="J2393" i="8"/>
  <c r="J2394" i="8"/>
  <c r="J2395" i="8"/>
  <c r="J2396" i="8"/>
  <c r="J2397" i="8"/>
  <c r="J2398" i="8"/>
  <c r="J2399" i="8"/>
  <c r="J2400" i="8"/>
  <c r="J2401" i="8"/>
  <c r="J2402" i="8"/>
  <c r="J2403" i="8"/>
  <c r="J2404" i="8"/>
  <c r="J2405" i="8"/>
  <c r="J2406" i="8"/>
  <c r="J2407" i="8"/>
  <c r="J2408" i="8"/>
  <c r="J2409" i="8"/>
  <c r="J2410" i="8"/>
  <c r="J2411" i="8"/>
  <c r="J2412" i="8"/>
  <c r="J2413" i="8"/>
  <c r="J2414" i="8"/>
  <c r="J2415" i="8"/>
  <c r="J2416" i="8"/>
  <c r="J2417" i="8"/>
  <c r="J2418" i="8"/>
  <c r="J2419" i="8"/>
  <c r="J2420" i="8"/>
  <c r="J2421" i="8"/>
  <c r="J2422" i="8"/>
  <c r="J2423" i="8"/>
  <c r="J2424" i="8"/>
  <c r="J2425" i="8"/>
  <c r="J2426" i="8"/>
  <c r="J2427" i="8"/>
  <c r="J2428" i="8"/>
  <c r="J2429" i="8"/>
  <c r="J2430" i="8"/>
  <c r="J2431" i="8"/>
  <c r="J2432" i="8"/>
  <c r="J2433" i="8"/>
  <c r="J2434" i="8"/>
  <c r="J2435" i="8"/>
  <c r="J2436" i="8"/>
  <c r="J2437" i="8"/>
  <c r="J2438" i="8"/>
  <c r="J2439" i="8"/>
  <c r="J2440" i="8"/>
  <c r="J2441" i="8"/>
  <c r="J2442" i="8"/>
  <c r="J2443" i="8"/>
  <c r="J2444" i="8"/>
  <c r="J2445" i="8"/>
  <c r="J2446" i="8"/>
  <c r="J2447" i="8"/>
  <c r="J2448" i="8"/>
  <c r="J2449" i="8"/>
  <c r="J2450" i="8"/>
  <c r="J2451" i="8"/>
  <c r="J2452" i="8"/>
  <c r="J2453" i="8"/>
  <c r="J2454" i="8"/>
  <c r="J2455" i="8"/>
  <c r="J2456" i="8"/>
  <c r="J2457" i="8"/>
  <c r="J2458" i="8"/>
  <c r="J2459" i="8"/>
  <c r="J2460" i="8"/>
  <c r="J2461" i="8"/>
  <c r="J2462" i="8"/>
  <c r="J2463" i="8"/>
  <c r="J2464" i="8"/>
  <c r="J2465" i="8"/>
  <c r="J2466" i="8"/>
  <c r="J2467" i="8"/>
  <c r="J2468" i="8"/>
  <c r="J2469" i="8"/>
  <c r="J2470" i="8"/>
  <c r="J2471" i="8"/>
  <c r="J2472" i="8"/>
  <c r="J2473" i="8"/>
  <c r="J2474" i="8"/>
  <c r="J2475" i="8"/>
  <c r="J2476" i="8"/>
  <c r="J2477" i="8"/>
  <c r="J2478" i="8"/>
  <c r="J2479" i="8"/>
  <c r="J2480" i="8"/>
  <c r="J2481" i="8"/>
  <c r="J2482" i="8"/>
  <c r="J2483" i="8"/>
  <c r="J2484" i="8"/>
  <c r="J2485" i="8"/>
  <c r="J2486" i="8"/>
  <c r="J2487" i="8"/>
  <c r="J2488" i="8"/>
  <c r="J2489" i="8"/>
  <c r="J2490" i="8"/>
  <c r="J2491" i="8"/>
  <c r="J2492" i="8"/>
  <c r="J2493" i="8"/>
  <c r="J2494" i="8"/>
  <c r="J2495" i="8"/>
  <c r="J2496" i="8"/>
  <c r="J2497" i="8"/>
  <c r="J2498" i="8"/>
  <c r="J2499" i="8"/>
  <c r="J2500" i="8"/>
  <c r="J2501" i="8"/>
  <c r="J2502" i="8"/>
  <c r="J2503" i="8"/>
  <c r="J2504" i="8"/>
  <c r="J2505" i="8"/>
  <c r="J2506" i="8"/>
  <c r="J2507" i="8"/>
  <c r="J2508" i="8"/>
  <c r="J2509" i="8"/>
  <c r="J2510" i="8"/>
  <c r="J2511" i="8"/>
  <c r="J2512" i="8"/>
  <c r="J2513" i="8"/>
  <c r="J2514" i="8"/>
  <c r="J2515" i="8"/>
  <c r="J2516" i="8"/>
  <c r="J2517" i="8"/>
  <c r="J2518" i="8"/>
  <c r="J2519" i="8"/>
  <c r="J2520" i="8"/>
  <c r="J2521" i="8"/>
  <c r="J2522" i="8"/>
  <c r="J2523" i="8"/>
  <c r="J2524" i="8"/>
  <c r="J2525" i="8"/>
  <c r="J2526" i="8"/>
  <c r="J2527" i="8"/>
  <c r="J2528" i="8"/>
  <c r="J2529" i="8"/>
  <c r="J2530" i="8"/>
  <c r="J2531" i="8"/>
  <c r="J2532" i="8"/>
  <c r="J2533" i="8"/>
  <c r="J2534" i="8"/>
  <c r="J2535" i="8"/>
  <c r="J2536" i="8"/>
  <c r="J2537" i="8"/>
  <c r="J2538" i="8"/>
  <c r="J2539" i="8"/>
  <c r="J2540" i="8"/>
  <c r="J2541" i="8"/>
  <c r="J2542" i="8"/>
  <c r="J2543" i="8"/>
  <c r="J2544" i="8"/>
  <c r="J2545" i="8"/>
  <c r="J2546" i="8"/>
  <c r="J2547" i="8"/>
  <c r="J2548" i="8"/>
  <c r="J2549" i="8"/>
  <c r="J2550" i="8"/>
  <c r="J2551" i="8"/>
  <c r="J2552" i="8"/>
  <c r="J2553" i="8"/>
  <c r="J2554" i="8"/>
  <c r="J2555" i="8"/>
  <c r="J2556" i="8"/>
  <c r="J2557" i="8"/>
  <c r="J2558" i="8"/>
  <c r="J2559" i="8"/>
  <c r="J2560" i="8"/>
  <c r="J2561" i="8"/>
  <c r="J2562" i="8"/>
  <c r="J2563" i="8"/>
  <c r="J2564" i="8"/>
  <c r="J2565" i="8"/>
  <c r="J2566" i="8"/>
  <c r="J2567" i="8"/>
  <c r="J2568" i="8"/>
  <c r="J2569" i="8"/>
  <c r="J2570" i="8"/>
  <c r="J2571" i="8"/>
  <c r="J2572" i="8"/>
  <c r="J2573" i="8"/>
  <c r="J2574" i="8"/>
  <c r="J2575" i="8"/>
  <c r="J2576" i="8"/>
  <c r="J2577" i="8"/>
  <c r="J2578" i="8"/>
  <c r="J2579" i="8"/>
  <c r="J2580" i="8"/>
  <c r="J2581" i="8"/>
  <c r="J2582" i="8"/>
  <c r="J2583" i="8"/>
  <c r="J2584" i="8"/>
  <c r="J2585" i="8"/>
  <c r="J2586" i="8"/>
  <c r="J2587" i="8"/>
  <c r="J2588" i="8"/>
  <c r="J2589" i="8"/>
  <c r="J2590" i="8"/>
  <c r="J2591" i="8"/>
  <c r="J2592" i="8"/>
  <c r="J2593" i="8"/>
  <c r="J2594" i="8"/>
  <c r="J2595" i="8"/>
  <c r="J2596" i="8"/>
  <c r="J2597" i="8"/>
  <c r="J2598" i="8"/>
  <c r="J2599" i="8"/>
  <c r="J2600" i="8"/>
  <c r="J2601" i="8"/>
  <c r="J2602" i="8"/>
  <c r="J2603" i="8"/>
  <c r="J2604" i="8"/>
  <c r="J2605" i="8"/>
  <c r="J2606" i="8"/>
  <c r="J2607" i="8"/>
  <c r="J2608" i="8"/>
  <c r="J2609" i="8"/>
  <c r="J2610" i="8"/>
  <c r="J2611" i="8"/>
  <c r="J2612" i="8"/>
  <c r="J2613" i="8"/>
  <c r="J2614" i="8"/>
  <c r="J2615" i="8"/>
  <c r="J2616" i="8"/>
  <c r="J2617" i="8"/>
  <c r="J2618" i="8"/>
  <c r="J2619" i="8"/>
  <c r="J2620" i="8"/>
  <c r="J2621" i="8"/>
  <c r="J2622" i="8"/>
  <c r="J2623" i="8"/>
  <c r="J2624" i="8"/>
  <c r="J2625" i="8"/>
  <c r="J2626" i="8"/>
  <c r="J2627" i="8"/>
  <c r="J2628" i="8"/>
  <c r="J2629" i="8"/>
  <c r="J2630" i="8"/>
  <c r="J2631" i="8"/>
  <c r="J2632" i="8"/>
  <c r="J2633" i="8"/>
  <c r="J2634" i="8"/>
  <c r="J2635" i="8"/>
  <c r="J2636" i="8"/>
  <c r="J2637" i="8"/>
  <c r="J2638" i="8"/>
  <c r="J2639" i="8"/>
  <c r="J2640" i="8"/>
  <c r="J2641" i="8"/>
  <c r="J2642" i="8"/>
  <c r="J2643" i="8"/>
  <c r="J2644" i="8"/>
  <c r="J2645" i="8"/>
  <c r="J2646" i="8"/>
  <c r="J2647" i="8"/>
  <c r="J2648" i="8"/>
  <c r="J2649" i="8"/>
  <c r="J2650" i="8"/>
  <c r="J2651" i="8"/>
  <c r="J2652" i="8"/>
  <c r="J2653" i="8"/>
  <c r="J2654" i="8"/>
  <c r="J2655" i="8"/>
  <c r="J2656" i="8"/>
  <c r="J2657" i="8"/>
  <c r="J2658" i="8"/>
  <c r="J2659" i="8"/>
  <c r="J2660" i="8"/>
  <c r="J2661" i="8"/>
  <c r="J2662" i="8"/>
  <c r="J2663" i="8"/>
  <c r="J2664" i="8"/>
  <c r="J2665" i="8"/>
  <c r="J2666" i="8"/>
  <c r="J2667" i="8"/>
  <c r="J2668" i="8"/>
  <c r="J2669" i="8"/>
  <c r="J2670" i="8"/>
  <c r="J2671" i="8"/>
  <c r="J2672" i="8"/>
  <c r="J2673" i="8"/>
  <c r="J2674" i="8"/>
  <c r="J2675" i="8"/>
  <c r="J2676" i="8"/>
  <c r="J2677" i="8"/>
  <c r="J2678" i="8"/>
  <c r="J2679" i="8"/>
  <c r="J2680" i="8"/>
  <c r="J2681" i="8"/>
  <c r="J2682" i="8"/>
  <c r="J2683" i="8"/>
  <c r="J2684" i="8"/>
  <c r="J2685" i="8"/>
  <c r="J2686" i="8"/>
  <c r="J2687" i="8"/>
  <c r="J2688" i="8"/>
  <c r="J2689" i="8"/>
  <c r="J2690" i="8"/>
  <c r="J2691" i="8"/>
  <c r="J2692" i="8"/>
  <c r="J2693" i="8"/>
  <c r="J2694" i="8"/>
  <c r="J2695" i="8"/>
  <c r="J2696" i="8"/>
  <c r="J2697" i="8"/>
  <c r="J2698" i="8"/>
  <c r="J2699" i="8"/>
  <c r="J2700" i="8"/>
  <c r="J2701" i="8"/>
  <c r="J2702" i="8"/>
  <c r="J2703" i="8"/>
  <c r="J2704" i="8"/>
  <c r="J2705" i="8"/>
  <c r="J2706" i="8"/>
  <c r="J2707" i="8"/>
  <c r="J2708" i="8"/>
  <c r="J2709" i="8"/>
  <c r="J2710" i="8"/>
  <c r="J2711" i="8"/>
  <c r="J2712" i="8"/>
  <c r="J2713" i="8"/>
  <c r="J2714" i="8"/>
  <c r="J2715" i="8"/>
  <c r="J2716" i="8"/>
  <c r="J2717" i="8"/>
  <c r="J2718" i="8"/>
  <c r="J2719" i="8"/>
  <c r="J2720" i="8"/>
  <c r="J2721" i="8"/>
  <c r="J2722" i="8"/>
  <c r="J2723" i="8"/>
  <c r="J2724" i="8"/>
  <c r="J2725" i="8"/>
  <c r="J2726" i="8"/>
  <c r="J2727" i="8"/>
  <c r="J2728" i="8"/>
  <c r="J2729" i="8"/>
  <c r="J2730" i="8"/>
  <c r="J2731" i="8"/>
  <c r="J2732" i="8"/>
  <c r="J2733" i="8"/>
  <c r="J2734" i="8"/>
  <c r="J2735" i="8"/>
  <c r="J2736" i="8"/>
  <c r="J2737" i="8"/>
  <c r="J2738" i="8"/>
  <c r="J2739" i="8"/>
  <c r="J1357" i="8"/>
  <c r="J3" i="8"/>
  <c r="J4" i="8"/>
  <c r="J5" i="8"/>
  <c r="J6" i="8"/>
  <c r="J7" i="8"/>
  <c r="J8" i="8"/>
  <c r="J9" i="8"/>
  <c r="J10" i="8"/>
  <c r="J11" i="8"/>
  <c r="J12" i="8"/>
  <c r="J13" i="8"/>
  <c r="J14" i="8"/>
  <c r="J15" i="8"/>
  <c r="J16" i="8"/>
  <c r="J17" i="8"/>
  <c r="J18" i="8"/>
  <c r="J19" i="8"/>
  <c r="J20" i="8"/>
  <c r="J21" i="8"/>
  <c r="J22" i="8"/>
  <c r="J23" i="8"/>
  <c r="J24" i="8"/>
  <c r="J25" i="8"/>
  <c r="J26" i="8"/>
  <c r="J27" i="8"/>
  <c r="J28" i="8"/>
  <c r="J29" i="8"/>
  <c r="J30" i="8"/>
  <c r="J31" i="8"/>
  <c r="J32" i="8"/>
  <c r="J33" i="8"/>
  <c r="J34" i="8"/>
  <c r="J35" i="8"/>
  <c r="J36" i="8"/>
  <c r="J37" i="8"/>
  <c r="J38" i="8"/>
  <c r="J39" i="8"/>
  <c r="J40" i="8"/>
  <c r="J41" i="8"/>
  <c r="J42" i="8"/>
  <c r="J43" i="8"/>
  <c r="J44" i="8"/>
  <c r="J45" i="8"/>
  <c r="J46" i="8"/>
  <c r="J47" i="8"/>
  <c r="J48" i="8"/>
  <c r="J49" i="8"/>
  <c r="J50" i="8"/>
  <c r="J51" i="8"/>
  <c r="J52" i="8"/>
  <c r="J53" i="8"/>
  <c r="J54" i="8"/>
  <c r="J55" i="8"/>
  <c r="J56" i="8"/>
  <c r="J57" i="8"/>
  <c r="J58" i="8"/>
  <c r="J59" i="8"/>
  <c r="J60" i="8"/>
  <c r="J61" i="8"/>
  <c r="J62" i="8"/>
  <c r="J63" i="8"/>
  <c r="J64" i="8"/>
  <c r="J65" i="8"/>
  <c r="J66" i="8"/>
  <c r="J67" i="8"/>
  <c r="J68" i="8"/>
  <c r="J69" i="8"/>
  <c r="J70" i="8"/>
  <c r="J71" i="8"/>
  <c r="J72" i="8"/>
  <c r="J73" i="8"/>
  <c r="J74" i="8"/>
  <c r="J75" i="8"/>
  <c r="J76" i="8"/>
  <c r="J77" i="8"/>
  <c r="J78" i="8"/>
  <c r="J79" i="8"/>
  <c r="J80" i="8"/>
  <c r="J81" i="8"/>
  <c r="J82" i="8"/>
  <c r="J83" i="8"/>
  <c r="J84" i="8"/>
  <c r="J85" i="8"/>
  <c r="J86" i="8"/>
  <c r="J87" i="8"/>
  <c r="J88" i="8"/>
  <c r="J89" i="8"/>
  <c r="J90" i="8"/>
  <c r="J91" i="8"/>
  <c r="J92" i="8"/>
  <c r="J93" i="8"/>
  <c r="J94" i="8"/>
  <c r="J95" i="8"/>
  <c r="J96" i="8"/>
  <c r="J97" i="8"/>
  <c r="J98" i="8"/>
  <c r="J99" i="8"/>
  <c r="J100" i="8"/>
  <c r="J101" i="8"/>
  <c r="J102" i="8"/>
  <c r="J103" i="8"/>
  <c r="J104" i="8"/>
  <c r="J105" i="8"/>
  <c r="J106" i="8"/>
  <c r="J107" i="8"/>
  <c r="J108" i="8"/>
  <c r="J109" i="8"/>
  <c r="J110" i="8"/>
  <c r="J111" i="8"/>
  <c r="J112" i="8"/>
  <c r="J113" i="8"/>
  <c r="J114" i="8"/>
  <c r="J115" i="8"/>
  <c r="J116" i="8"/>
  <c r="J117" i="8"/>
  <c r="J118" i="8"/>
  <c r="J119" i="8"/>
  <c r="J120" i="8"/>
  <c r="J121" i="8"/>
  <c r="J122" i="8"/>
  <c r="J123" i="8"/>
  <c r="J124" i="8"/>
  <c r="J125" i="8"/>
  <c r="J126" i="8"/>
  <c r="J127" i="8"/>
  <c r="J128" i="8"/>
  <c r="J129" i="8"/>
  <c r="J130" i="8"/>
  <c r="J131" i="8"/>
  <c r="J132" i="8"/>
  <c r="J133" i="8"/>
  <c r="J134" i="8"/>
  <c r="J135" i="8"/>
  <c r="J136" i="8"/>
  <c r="J137" i="8"/>
  <c r="J138" i="8"/>
  <c r="J139" i="8"/>
  <c r="J140" i="8"/>
  <c r="J141" i="8"/>
  <c r="J142" i="8"/>
  <c r="J143" i="8"/>
  <c r="J144" i="8"/>
  <c r="J145" i="8"/>
  <c r="J146" i="8"/>
  <c r="J147" i="8"/>
  <c r="J148" i="8"/>
  <c r="J149" i="8"/>
  <c r="J150" i="8"/>
  <c r="J151" i="8"/>
  <c r="J152" i="8"/>
  <c r="J153" i="8"/>
  <c r="J154" i="8"/>
  <c r="J155" i="8"/>
  <c r="J156" i="8"/>
  <c r="J157" i="8"/>
  <c r="J158" i="8"/>
  <c r="J159" i="8"/>
  <c r="J160" i="8"/>
  <c r="J161" i="8"/>
  <c r="J162" i="8"/>
  <c r="J163" i="8"/>
  <c r="J164" i="8"/>
  <c r="J165" i="8"/>
  <c r="J166" i="8"/>
  <c r="J167" i="8"/>
  <c r="J168" i="8"/>
  <c r="J169" i="8"/>
  <c r="J170" i="8"/>
  <c r="J171" i="8"/>
  <c r="J172" i="8"/>
  <c r="J173" i="8"/>
  <c r="J174" i="8"/>
  <c r="J175" i="8"/>
  <c r="J176" i="8"/>
  <c r="J177" i="8"/>
  <c r="J178" i="8"/>
  <c r="J179" i="8"/>
  <c r="J180" i="8"/>
  <c r="J181" i="8"/>
  <c r="J182" i="8"/>
  <c r="J183" i="8"/>
  <c r="J184" i="8"/>
  <c r="J185" i="8"/>
  <c r="J186" i="8"/>
  <c r="J187" i="8"/>
  <c r="J188" i="8"/>
  <c r="J189" i="8"/>
  <c r="J190" i="8"/>
  <c r="J191" i="8"/>
  <c r="J192" i="8"/>
  <c r="J193" i="8"/>
  <c r="J194" i="8"/>
  <c r="J195" i="8"/>
  <c r="J196" i="8"/>
  <c r="J197" i="8"/>
  <c r="J198" i="8"/>
  <c r="J199" i="8"/>
  <c r="J200" i="8"/>
  <c r="J201" i="8"/>
  <c r="J202" i="8"/>
  <c r="J203" i="8"/>
  <c r="J204" i="8"/>
  <c r="J205" i="8"/>
  <c r="J206" i="8"/>
  <c r="J207" i="8"/>
  <c r="J208" i="8"/>
  <c r="J209" i="8"/>
  <c r="J210" i="8"/>
  <c r="J211" i="8"/>
  <c r="J212" i="8"/>
  <c r="J213" i="8"/>
  <c r="J214" i="8"/>
  <c r="J215" i="8"/>
  <c r="J216" i="8"/>
  <c r="J217" i="8"/>
  <c r="J218" i="8"/>
  <c r="J219" i="8"/>
  <c r="J220" i="8"/>
  <c r="J221" i="8"/>
  <c r="J222" i="8"/>
  <c r="J223" i="8"/>
  <c r="J224" i="8"/>
  <c r="J225" i="8"/>
  <c r="J226" i="8"/>
  <c r="J227" i="8"/>
  <c r="J228" i="8"/>
  <c r="J229" i="8"/>
  <c r="J230" i="8"/>
  <c r="J231" i="8"/>
  <c r="J232" i="8"/>
  <c r="J233" i="8"/>
  <c r="J234" i="8"/>
  <c r="J235" i="8"/>
  <c r="J236" i="8"/>
  <c r="J237" i="8"/>
  <c r="J238" i="8"/>
  <c r="J239" i="8"/>
  <c r="J240" i="8"/>
  <c r="J241" i="8"/>
  <c r="J242" i="8"/>
  <c r="J243" i="8"/>
  <c r="J244" i="8"/>
  <c r="J245" i="8"/>
  <c r="J246" i="8"/>
  <c r="J247" i="8"/>
  <c r="J248" i="8"/>
  <c r="J249" i="8"/>
  <c r="J250" i="8"/>
  <c r="J251" i="8"/>
  <c r="J252" i="8"/>
  <c r="J253" i="8"/>
  <c r="J254" i="8"/>
  <c r="J255" i="8"/>
  <c r="J256" i="8"/>
  <c r="J257" i="8"/>
  <c r="J258" i="8"/>
  <c r="J259" i="8"/>
  <c r="J260" i="8"/>
  <c r="J261" i="8"/>
  <c r="J262" i="8"/>
  <c r="J263" i="8"/>
  <c r="J264" i="8"/>
  <c r="J265" i="8"/>
  <c r="J266" i="8"/>
  <c r="J267" i="8"/>
  <c r="J268" i="8"/>
  <c r="J269" i="8"/>
  <c r="J270" i="8"/>
  <c r="J271" i="8"/>
  <c r="J272" i="8"/>
  <c r="J273" i="8"/>
  <c r="J274" i="8"/>
  <c r="J275" i="8"/>
  <c r="J276" i="8"/>
  <c r="J277" i="8"/>
  <c r="J278" i="8"/>
  <c r="J279" i="8"/>
  <c r="J280" i="8"/>
  <c r="J281" i="8"/>
  <c r="J282" i="8"/>
  <c r="J283" i="8"/>
  <c r="J284" i="8"/>
  <c r="J285" i="8"/>
  <c r="J286" i="8"/>
  <c r="J287" i="8"/>
  <c r="J288" i="8"/>
  <c r="J289" i="8"/>
  <c r="J290" i="8"/>
  <c r="J291" i="8"/>
  <c r="J292" i="8"/>
  <c r="J293" i="8"/>
  <c r="J294" i="8"/>
  <c r="J295" i="8"/>
  <c r="J296" i="8"/>
  <c r="J297" i="8"/>
  <c r="J298" i="8"/>
  <c r="J299" i="8"/>
  <c r="J300" i="8"/>
  <c r="J301" i="8"/>
  <c r="J302" i="8"/>
  <c r="J303" i="8"/>
  <c r="J304" i="8"/>
  <c r="J305" i="8"/>
  <c r="J306" i="8"/>
  <c r="J307" i="8"/>
  <c r="J308" i="8"/>
  <c r="J309" i="8"/>
  <c r="J310" i="8"/>
  <c r="J311" i="8"/>
  <c r="J312" i="8"/>
  <c r="J313" i="8"/>
  <c r="J314" i="8"/>
  <c r="J315" i="8"/>
  <c r="J316" i="8"/>
  <c r="J317" i="8"/>
  <c r="J318" i="8"/>
  <c r="J319" i="8"/>
  <c r="J320" i="8"/>
  <c r="J321" i="8"/>
  <c r="J322" i="8"/>
  <c r="J323" i="8"/>
  <c r="J324" i="8"/>
  <c r="J325" i="8"/>
  <c r="J326" i="8"/>
  <c r="J327" i="8"/>
  <c r="J328" i="8"/>
  <c r="J329" i="8"/>
  <c r="J330" i="8"/>
  <c r="J331" i="8"/>
  <c r="J332" i="8"/>
  <c r="J333" i="8"/>
  <c r="J334" i="8"/>
  <c r="J335" i="8"/>
  <c r="J336" i="8"/>
  <c r="J337" i="8"/>
  <c r="J338" i="8"/>
  <c r="J339" i="8"/>
  <c r="J340" i="8"/>
  <c r="J341" i="8"/>
  <c r="J342" i="8"/>
  <c r="J343" i="8"/>
  <c r="J344" i="8"/>
  <c r="J345" i="8"/>
  <c r="J346" i="8"/>
  <c r="J347" i="8"/>
  <c r="J348" i="8"/>
  <c r="J349" i="8"/>
  <c r="J350" i="8"/>
  <c r="J351" i="8"/>
  <c r="J352" i="8"/>
  <c r="J353" i="8"/>
  <c r="J354" i="8"/>
  <c r="J355" i="8"/>
  <c r="J356" i="8"/>
  <c r="J357" i="8"/>
  <c r="J358" i="8"/>
  <c r="J359" i="8"/>
  <c r="J360" i="8"/>
  <c r="J361" i="8"/>
  <c r="J362" i="8"/>
  <c r="J363" i="8"/>
  <c r="J364" i="8"/>
  <c r="J365" i="8"/>
  <c r="J366" i="8"/>
  <c r="J367" i="8"/>
  <c r="J368" i="8"/>
  <c r="J369" i="8"/>
  <c r="J370" i="8"/>
  <c r="J371" i="8"/>
  <c r="J372" i="8"/>
  <c r="J373" i="8"/>
  <c r="J374" i="8"/>
  <c r="J375" i="8"/>
  <c r="J376" i="8"/>
  <c r="J377" i="8"/>
  <c r="J378" i="8"/>
  <c r="J379" i="8"/>
  <c r="J380" i="8"/>
  <c r="J381" i="8"/>
  <c r="J382" i="8"/>
  <c r="J383" i="8"/>
  <c r="J384" i="8"/>
  <c r="J385" i="8"/>
  <c r="J386" i="8"/>
  <c r="J387" i="8"/>
  <c r="J388" i="8"/>
  <c r="J389" i="8"/>
  <c r="J390" i="8"/>
  <c r="J391" i="8"/>
  <c r="J392" i="8"/>
  <c r="J393" i="8"/>
  <c r="J394" i="8"/>
  <c r="J395" i="8"/>
  <c r="J396" i="8"/>
  <c r="J397" i="8"/>
  <c r="J398" i="8"/>
  <c r="J399" i="8"/>
  <c r="J400" i="8"/>
  <c r="J401" i="8"/>
  <c r="J402" i="8"/>
  <c r="J403" i="8"/>
  <c r="J404" i="8"/>
  <c r="J405" i="8"/>
  <c r="J406" i="8"/>
  <c r="J407" i="8"/>
  <c r="J408" i="8"/>
  <c r="J409" i="8"/>
  <c r="J410" i="8"/>
  <c r="J411" i="8"/>
  <c r="J412" i="8"/>
  <c r="J413" i="8"/>
  <c r="J414" i="8"/>
  <c r="J415" i="8"/>
  <c r="J416" i="8"/>
  <c r="J417" i="8"/>
  <c r="J418" i="8"/>
  <c r="J419" i="8"/>
  <c r="J420" i="8"/>
  <c r="J421" i="8"/>
  <c r="J422" i="8"/>
  <c r="J423" i="8"/>
  <c r="J424" i="8"/>
  <c r="J425" i="8"/>
  <c r="J426" i="8"/>
  <c r="J427" i="8"/>
  <c r="J428" i="8"/>
  <c r="J429" i="8"/>
  <c r="J430" i="8"/>
  <c r="J431" i="8"/>
  <c r="J432" i="8"/>
  <c r="J433" i="8"/>
  <c r="J434" i="8"/>
  <c r="J435" i="8"/>
  <c r="J436" i="8"/>
  <c r="J437" i="8"/>
  <c r="J438" i="8"/>
  <c r="J439" i="8"/>
  <c r="J440" i="8"/>
  <c r="J441" i="8"/>
  <c r="J442" i="8"/>
  <c r="J443" i="8"/>
  <c r="J444" i="8"/>
  <c r="J445" i="8"/>
  <c r="J446" i="8"/>
  <c r="J447" i="8"/>
  <c r="J448" i="8"/>
  <c r="J449" i="8"/>
  <c r="J450" i="8"/>
  <c r="J451" i="8"/>
  <c r="J452" i="8"/>
  <c r="J453" i="8"/>
  <c r="J454" i="8"/>
  <c r="J455" i="8"/>
  <c r="J456" i="8"/>
  <c r="J457" i="8"/>
  <c r="J458" i="8"/>
  <c r="J459" i="8"/>
  <c r="J460" i="8"/>
  <c r="J461" i="8"/>
  <c r="J462" i="8"/>
  <c r="J463" i="8"/>
  <c r="J464" i="8"/>
  <c r="J465" i="8"/>
  <c r="J466" i="8"/>
  <c r="J467" i="8"/>
  <c r="J468" i="8"/>
  <c r="J469" i="8"/>
  <c r="J470" i="8"/>
  <c r="J471" i="8"/>
  <c r="J472" i="8"/>
  <c r="J473" i="8"/>
  <c r="J474" i="8"/>
  <c r="J475" i="8"/>
  <c r="J476" i="8"/>
  <c r="J477" i="8"/>
  <c r="J478" i="8"/>
  <c r="J479" i="8"/>
  <c r="J480" i="8"/>
  <c r="J481" i="8"/>
  <c r="J482" i="8"/>
  <c r="J483" i="8"/>
  <c r="J484" i="8"/>
  <c r="J485" i="8"/>
  <c r="J486" i="8"/>
  <c r="J487" i="8"/>
  <c r="J488" i="8"/>
  <c r="J489" i="8"/>
  <c r="J490" i="8"/>
  <c r="J491" i="8"/>
  <c r="J492" i="8"/>
  <c r="J493" i="8"/>
  <c r="J494" i="8"/>
  <c r="J495" i="8"/>
  <c r="J496" i="8"/>
  <c r="J497" i="8"/>
  <c r="J498" i="8"/>
  <c r="J499" i="8"/>
  <c r="J500" i="8"/>
  <c r="J501" i="8"/>
  <c r="J502" i="8"/>
  <c r="J503" i="8"/>
  <c r="J504" i="8"/>
  <c r="J505" i="8"/>
  <c r="J506" i="8"/>
  <c r="J507" i="8"/>
  <c r="J508" i="8"/>
  <c r="J509" i="8"/>
  <c r="J510" i="8"/>
  <c r="J511" i="8"/>
  <c r="J512" i="8"/>
  <c r="J513" i="8"/>
  <c r="J514" i="8"/>
  <c r="J515" i="8"/>
  <c r="J516" i="8"/>
  <c r="J517" i="8"/>
  <c r="J518" i="8"/>
  <c r="J519" i="8"/>
  <c r="J520" i="8"/>
  <c r="J521" i="8"/>
  <c r="J522" i="8"/>
  <c r="J523" i="8"/>
  <c r="J524" i="8"/>
  <c r="J525" i="8"/>
  <c r="J526" i="8"/>
  <c r="J527" i="8"/>
  <c r="J528" i="8"/>
  <c r="J529" i="8"/>
  <c r="J530" i="8"/>
  <c r="J531" i="8"/>
  <c r="J532" i="8"/>
  <c r="J533" i="8"/>
  <c r="J534" i="8"/>
  <c r="J535" i="8"/>
  <c r="J536" i="8"/>
  <c r="J537" i="8"/>
  <c r="J538" i="8"/>
  <c r="J539" i="8"/>
  <c r="J540" i="8"/>
  <c r="J541" i="8"/>
  <c r="J542" i="8"/>
  <c r="J543" i="8"/>
  <c r="J544" i="8"/>
  <c r="J545" i="8"/>
  <c r="J546" i="8"/>
  <c r="J547" i="8"/>
  <c r="J548" i="8"/>
  <c r="J549" i="8"/>
  <c r="J550" i="8"/>
  <c r="J551" i="8"/>
  <c r="J552" i="8"/>
  <c r="J553" i="8"/>
  <c r="J554" i="8"/>
  <c r="J555" i="8"/>
  <c r="J556" i="8"/>
  <c r="J557" i="8"/>
  <c r="J558" i="8"/>
  <c r="J559" i="8"/>
  <c r="J560" i="8"/>
  <c r="J561" i="8"/>
  <c r="J562" i="8"/>
  <c r="J563" i="8"/>
  <c r="J564" i="8"/>
  <c r="J565" i="8"/>
  <c r="J566" i="8"/>
  <c r="J567" i="8"/>
  <c r="J568" i="8"/>
  <c r="J569" i="8"/>
  <c r="J570" i="8"/>
  <c r="J571" i="8"/>
  <c r="J572" i="8"/>
  <c r="J573" i="8"/>
  <c r="J574" i="8"/>
  <c r="J575" i="8"/>
  <c r="J576" i="8"/>
  <c r="J577" i="8"/>
  <c r="J578" i="8"/>
  <c r="J579" i="8"/>
  <c r="J580" i="8"/>
  <c r="J581" i="8"/>
  <c r="J582" i="8"/>
  <c r="J583" i="8"/>
  <c r="J584" i="8"/>
  <c r="J585" i="8"/>
  <c r="J586" i="8"/>
  <c r="J587" i="8"/>
  <c r="J588" i="8"/>
  <c r="J589" i="8"/>
  <c r="J590" i="8"/>
  <c r="J591" i="8"/>
  <c r="J592" i="8"/>
  <c r="J593" i="8"/>
  <c r="J594" i="8"/>
  <c r="J595" i="8"/>
  <c r="J596" i="8"/>
  <c r="J597" i="8"/>
  <c r="J598" i="8"/>
  <c r="J599" i="8"/>
  <c r="J600" i="8"/>
  <c r="J601" i="8"/>
  <c r="J602" i="8"/>
  <c r="J603" i="8"/>
  <c r="J604" i="8"/>
  <c r="J605" i="8"/>
  <c r="J606" i="8"/>
  <c r="J607" i="8"/>
  <c r="J608" i="8"/>
  <c r="J609" i="8"/>
  <c r="J610" i="8"/>
  <c r="J611" i="8"/>
  <c r="J612" i="8"/>
  <c r="J613" i="8"/>
  <c r="J614" i="8"/>
  <c r="J615" i="8"/>
  <c r="J616" i="8"/>
  <c r="J617" i="8"/>
  <c r="J618" i="8"/>
  <c r="J619" i="8"/>
  <c r="J620" i="8"/>
  <c r="J621" i="8"/>
  <c r="J622" i="8"/>
  <c r="J623" i="8"/>
  <c r="J624" i="8"/>
  <c r="J625" i="8"/>
  <c r="J626" i="8"/>
  <c r="J627" i="8"/>
  <c r="J628" i="8"/>
  <c r="J629" i="8"/>
  <c r="J630" i="8"/>
  <c r="J631" i="8"/>
  <c r="J632" i="8"/>
  <c r="J633" i="8"/>
  <c r="J634" i="8"/>
  <c r="J635" i="8"/>
  <c r="J636" i="8"/>
  <c r="J637" i="8"/>
  <c r="J638" i="8"/>
  <c r="J639" i="8"/>
  <c r="J640" i="8"/>
  <c r="J641" i="8"/>
  <c r="J642" i="8"/>
  <c r="J643" i="8"/>
  <c r="J644" i="8"/>
  <c r="J645" i="8"/>
  <c r="J646" i="8"/>
  <c r="J647" i="8"/>
  <c r="J648" i="8"/>
  <c r="J649" i="8"/>
  <c r="J650" i="8"/>
  <c r="J651" i="8"/>
  <c r="J652" i="8"/>
  <c r="J653" i="8"/>
  <c r="J654" i="8"/>
  <c r="J655" i="8"/>
  <c r="J656" i="8"/>
  <c r="J657" i="8"/>
  <c r="J658" i="8"/>
  <c r="J659" i="8"/>
  <c r="J660" i="8"/>
  <c r="J661" i="8"/>
  <c r="J662" i="8"/>
  <c r="J663" i="8"/>
  <c r="J664" i="8"/>
  <c r="J665" i="8"/>
  <c r="J666" i="8"/>
  <c r="J667" i="8"/>
  <c r="J668" i="8"/>
  <c r="J669" i="8"/>
  <c r="J670" i="8"/>
  <c r="J671" i="8"/>
  <c r="J672" i="8"/>
  <c r="J673" i="8"/>
  <c r="J674" i="8"/>
  <c r="J675" i="8"/>
  <c r="J676" i="8"/>
  <c r="J677" i="8"/>
  <c r="J678" i="8"/>
  <c r="J679" i="8"/>
  <c r="J680" i="8"/>
  <c r="J681" i="8"/>
  <c r="J682" i="8"/>
  <c r="J683" i="8"/>
  <c r="J684" i="8"/>
  <c r="J685" i="8"/>
  <c r="J686" i="8"/>
  <c r="J687" i="8"/>
  <c r="J688" i="8"/>
  <c r="J689" i="8"/>
  <c r="J690" i="8"/>
  <c r="J691" i="8"/>
  <c r="J692" i="8"/>
  <c r="J693" i="8"/>
  <c r="J694" i="8"/>
  <c r="J695" i="8"/>
  <c r="J696" i="8"/>
  <c r="J697" i="8"/>
  <c r="J698" i="8"/>
  <c r="J699" i="8"/>
  <c r="J700" i="8"/>
  <c r="J701" i="8"/>
  <c r="J702" i="8"/>
  <c r="J703" i="8"/>
  <c r="J704" i="8"/>
  <c r="J705" i="8"/>
  <c r="J706" i="8"/>
  <c r="J707" i="8"/>
  <c r="J708" i="8"/>
  <c r="J709" i="8"/>
  <c r="J710" i="8"/>
  <c r="J711" i="8"/>
  <c r="J712" i="8"/>
  <c r="J713" i="8"/>
  <c r="J714" i="8"/>
  <c r="J715" i="8"/>
  <c r="J716" i="8"/>
  <c r="J717" i="8"/>
  <c r="J718" i="8"/>
  <c r="J719" i="8"/>
  <c r="J720" i="8"/>
  <c r="J721" i="8"/>
  <c r="J722" i="8"/>
  <c r="J723" i="8"/>
  <c r="J724" i="8"/>
  <c r="J725" i="8"/>
  <c r="J726" i="8"/>
  <c r="J727" i="8"/>
  <c r="J728" i="8"/>
  <c r="J729" i="8"/>
  <c r="J730" i="8"/>
  <c r="J731" i="8"/>
  <c r="J732" i="8"/>
  <c r="J733" i="8"/>
  <c r="J734" i="8"/>
  <c r="J735" i="8"/>
  <c r="J736" i="8"/>
  <c r="J737" i="8"/>
  <c r="J738" i="8"/>
  <c r="J739" i="8"/>
  <c r="J740" i="8"/>
  <c r="J741" i="8"/>
  <c r="J742" i="8"/>
  <c r="J743" i="8"/>
  <c r="J744" i="8"/>
  <c r="J745" i="8"/>
  <c r="J746" i="8"/>
  <c r="J747" i="8"/>
  <c r="J748" i="8"/>
  <c r="J749" i="8"/>
  <c r="J750" i="8"/>
  <c r="J751" i="8"/>
  <c r="J752" i="8"/>
  <c r="J753" i="8"/>
  <c r="J754" i="8"/>
  <c r="J755" i="8"/>
  <c r="J756" i="8"/>
  <c r="J757" i="8"/>
  <c r="J758" i="8"/>
  <c r="J759" i="8"/>
  <c r="J760" i="8"/>
  <c r="J761" i="8"/>
  <c r="J762" i="8"/>
  <c r="J763" i="8"/>
  <c r="J764" i="8"/>
  <c r="J765" i="8"/>
  <c r="J766" i="8"/>
  <c r="J767" i="8"/>
  <c r="J768" i="8"/>
  <c r="J769" i="8"/>
  <c r="J770" i="8"/>
  <c r="J771" i="8"/>
  <c r="J772" i="8"/>
  <c r="J773" i="8"/>
  <c r="J774" i="8"/>
  <c r="J775" i="8"/>
  <c r="J776" i="8"/>
  <c r="J777" i="8"/>
  <c r="J778" i="8"/>
  <c r="J779" i="8"/>
  <c r="J780" i="8"/>
  <c r="J781" i="8"/>
  <c r="J782" i="8"/>
  <c r="J783" i="8"/>
  <c r="J784" i="8"/>
  <c r="J785" i="8"/>
  <c r="J786" i="8"/>
  <c r="J787" i="8"/>
  <c r="J788" i="8"/>
  <c r="J789" i="8"/>
  <c r="J790" i="8"/>
  <c r="J791" i="8"/>
  <c r="J792" i="8"/>
  <c r="J793" i="8"/>
  <c r="J794" i="8"/>
  <c r="J795" i="8"/>
  <c r="J796" i="8"/>
  <c r="J797" i="8"/>
  <c r="J798" i="8"/>
  <c r="J799" i="8"/>
  <c r="J800" i="8"/>
  <c r="J801" i="8"/>
  <c r="J802" i="8"/>
  <c r="J803" i="8"/>
  <c r="J804" i="8"/>
  <c r="J805" i="8"/>
  <c r="J806" i="8"/>
  <c r="J807" i="8"/>
  <c r="J808" i="8"/>
  <c r="J809" i="8"/>
  <c r="J810" i="8"/>
  <c r="J811" i="8"/>
  <c r="J812" i="8"/>
  <c r="J813" i="8"/>
  <c r="J814" i="8"/>
  <c r="J815" i="8"/>
  <c r="J816" i="8"/>
  <c r="J817" i="8"/>
  <c r="J818" i="8"/>
  <c r="J819" i="8"/>
  <c r="J820" i="8"/>
  <c r="J821" i="8"/>
  <c r="J822" i="8"/>
  <c r="J823" i="8"/>
  <c r="J824" i="8"/>
  <c r="J825" i="8"/>
  <c r="J826" i="8"/>
  <c r="J827" i="8"/>
  <c r="J828" i="8"/>
  <c r="J829" i="8"/>
  <c r="J830" i="8"/>
  <c r="J831" i="8"/>
  <c r="J832" i="8"/>
  <c r="J833" i="8"/>
  <c r="J834" i="8"/>
  <c r="J835" i="8"/>
  <c r="J836" i="8"/>
  <c r="J837" i="8"/>
  <c r="J838" i="8"/>
  <c r="J839" i="8"/>
  <c r="J840" i="8"/>
  <c r="J841" i="8"/>
  <c r="J842" i="8"/>
  <c r="J843" i="8"/>
  <c r="J844" i="8"/>
  <c r="J845" i="8"/>
  <c r="J846" i="8"/>
  <c r="J847" i="8"/>
  <c r="J848" i="8"/>
  <c r="J849" i="8"/>
  <c r="J850" i="8"/>
  <c r="J851" i="8"/>
  <c r="J852" i="8"/>
  <c r="J853" i="8"/>
  <c r="J854" i="8"/>
  <c r="J855" i="8"/>
  <c r="J856" i="8"/>
  <c r="J857" i="8"/>
  <c r="J858" i="8"/>
  <c r="J859" i="8"/>
  <c r="J860" i="8"/>
  <c r="J861" i="8"/>
  <c r="J862" i="8"/>
  <c r="J863" i="8"/>
  <c r="J864" i="8"/>
  <c r="J865" i="8"/>
  <c r="J866" i="8"/>
  <c r="J867" i="8"/>
  <c r="J868" i="8"/>
  <c r="J869" i="8"/>
  <c r="J870" i="8"/>
  <c r="J871" i="8"/>
  <c r="J872" i="8"/>
  <c r="J873" i="8"/>
  <c r="J874" i="8"/>
  <c r="J875" i="8"/>
  <c r="J876" i="8"/>
  <c r="J877" i="8"/>
  <c r="J878" i="8"/>
  <c r="J879" i="8"/>
  <c r="J880" i="8"/>
  <c r="J881" i="8"/>
  <c r="J882" i="8"/>
  <c r="J883" i="8"/>
  <c r="J884" i="8"/>
  <c r="J885" i="8"/>
  <c r="J886" i="8"/>
  <c r="J887" i="8"/>
  <c r="J888" i="8"/>
  <c r="J889" i="8"/>
  <c r="J890" i="8"/>
  <c r="J891" i="8"/>
  <c r="J892" i="8"/>
  <c r="J893" i="8"/>
  <c r="J894" i="8"/>
  <c r="J895" i="8"/>
  <c r="J896" i="8"/>
  <c r="J897" i="8"/>
  <c r="J898" i="8"/>
  <c r="J899" i="8"/>
  <c r="J900" i="8"/>
  <c r="J901" i="8"/>
  <c r="J902" i="8"/>
  <c r="J903" i="8"/>
  <c r="J904" i="8"/>
  <c r="J905" i="8"/>
  <c r="J906" i="8"/>
  <c r="J907" i="8"/>
  <c r="J908" i="8"/>
  <c r="J909" i="8"/>
  <c r="J910" i="8"/>
  <c r="J911" i="8"/>
  <c r="J912" i="8"/>
  <c r="J913" i="8"/>
  <c r="J914" i="8"/>
  <c r="J915" i="8"/>
  <c r="J916" i="8"/>
  <c r="J917" i="8"/>
  <c r="J918" i="8"/>
  <c r="J919" i="8"/>
  <c r="J920" i="8"/>
  <c r="J921" i="8"/>
  <c r="J922" i="8"/>
  <c r="J923" i="8"/>
  <c r="J924" i="8"/>
  <c r="J925" i="8"/>
  <c r="J926" i="8"/>
  <c r="J927" i="8"/>
  <c r="J928" i="8"/>
  <c r="J929" i="8"/>
  <c r="J930" i="8"/>
  <c r="J931" i="8"/>
  <c r="J932" i="8"/>
  <c r="J933" i="8"/>
  <c r="J934" i="8"/>
  <c r="J935" i="8"/>
  <c r="J936" i="8"/>
  <c r="J937" i="8"/>
  <c r="J938" i="8"/>
  <c r="J939" i="8"/>
  <c r="J940" i="8"/>
  <c r="J941" i="8"/>
  <c r="J942" i="8"/>
  <c r="J943" i="8"/>
  <c r="J944" i="8"/>
  <c r="J945" i="8"/>
  <c r="J946" i="8"/>
  <c r="J947" i="8"/>
  <c r="J948" i="8"/>
  <c r="J949" i="8"/>
  <c r="J950" i="8"/>
  <c r="J951" i="8"/>
  <c r="J952" i="8"/>
  <c r="J953" i="8"/>
  <c r="J954" i="8"/>
  <c r="J955" i="8"/>
  <c r="J956" i="8"/>
  <c r="J957" i="8"/>
  <c r="J958" i="8"/>
  <c r="J959" i="8"/>
  <c r="J960" i="8"/>
  <c r="J961" i="8"/>
  <c r="J962" i="8"/>
  <c r="J963" i="8"/>
  <c r="J964" i="8"/>
  <c r="J965" i="8"/>
  <c r="J966" i="8"/>
  <c r="J967" i="8"/>
  <c r="J968" i="8"/>
  <c r="J969" i="8"/>
  <c r="J970" i="8"/>
  <c r="J971" i="8"/>
  <c r="J972" i="8"/>
  <c r="J973" i="8"/>
  <c r="J974" i="8"/>
  <c r="J975" i="8"/>
  <c r="J976" i="8"/>
  <c r="J977" i="8"/>
  <c r="J978" i="8"/>
  <c r="J979" i="8"/>
  <c r="J980" i="8"/>
  <c r="J981" i="8"/>
  <c r="J982" i="8"/>
  <c r="J983" i="8"/>
  <c r="J984" i="8"/>
  <c r="J985" i="8"/>
  <c r="J986" i="8"/>
  <c r="J987" i="8"/>
  <c r="J988" i="8"/>
  <c r="J989" i="8"/>
  <c r="J990" i="8"/>
  <c r="J991" i="8"/>
  <c r="J992" i="8"/>
  <c r="J993" i="8"/>
  <c r="J994" i="8"/>
  <c r="J995" i="8"/>
  <c r="J996" i="8"/>
  <c r="J997" i="8"/>
  <c r="J998" i="8"/>
  <c r="J999" i="8"/>
  <c r="J1000" i="8"/>
  <c r="J1001" i="8"/>
  <c r="J1002" i="8"/>
  <c r="J1003" i="8"/>
  <c r="J1004" i="8"/>
  <c r="J1005" i="8"/>
  <c r="J1006" i="8"/>
  <c r="J1007" i="8"/>
  <c r="J1008" i="8"/>
  <c r="J1009" i="8"/>
  <c r="J1010" i="8"/>
  <c r="J1011" i="8"/>
  <c r="J1012" i="8"/>
  <c r="J1013" i="8"/>
  <c r="J1014" i="8"/>
  <c r="J1015" i="8"/>
  <c r="J1016" i="8"/>
  <c r="J1017" i="8"/>
  <c r="J1018" i="8"/>
  <c r="J1019" i="8"/>
  <c r="J1020" i="8"/>
  <c r="J1021" i="8"/>
  <c r="J1022" i="8"/>
  <c r="J1023" i="8"/>
  <c r="J1024" i="8"/>
  <c r="J1025" i="8"/>
  <c r="J1026" i="8"/>
  <c r="J1027" i="8"/>
  <c r="J1028" i="8"/>
  <c r="J1029" i="8"/>
  <c r="J1030" i="8"/>
  <c r="J1031" i="8"/>
  <c r="J1032" i="8"/>
  <c r="J1033" i="8"/>
  <c r="J1034" i="8"/>
  <c r="J1035" i="8"/>
  <c r="J1036" i="8"/>
  <c r="J1037" i="8"/>
  <c r="J1038" i="8"/>
  <c r="J1039" i="8"/>
  <c r="J1040" i="8"/>
  <c r="J1041" i="8"/>
  <c r="J1042" i="8"/>
  <c r="J1043" i="8"/>
  <c r="J1044" i="8"/>
  <c r="J1045" i="8"/>
  <c r="J1046" i="8"/>
  <c r="J1047" i="8"/>
  <c r="J1048" i="8"/>
  <c r="J1049" i="8"/>
  <c r="J1050" i="8"/>
  <c r="J1051" i="8"/>
  <c r="J1052" i="8"/>
  <c r="J1053" i="8"/>
  <c r="J1054" i="8"/>
  <c r="J1055" i="8"/>
  <c r="J1056" i="8"/>
  <c r="J1057" i="8"/>
  <c r="J1058" i="8"/>
  <c r="J1059" i="8"/>
  <c r="J1060" i="8"/>
  <c r="J1061" i="8"/>
  <c r="J1062" i="8"/>
  <c r="J1063" i="8"/>
  <c r="J1064" i="8"/>
  <c r="J1065" i="8"/>
  <c r="J1066" i="8"/>
  <c r="J1067" i="8"/>
  <c r="J1068" i="8"/>
  <c r="J1069" i="8"/>
  <c r="J1070" i="8"/>
  <c r="J1071" i="8"/>
  <c r="J1072" i="8"/>
  <c r="J1073" i="8"/>
  <c r="J1074" i="8"/>
  <c r="J1075" i="8"/>
  <c r="J1076" i="8"/>
  <c r="J1077" i="8"/>
  <c r="J1078" i="8"/>
  <c r="J1079" i="8"/>
  <c r="J1080" i="8"/>
  <c r="J1081" i="8"/>
  <c r="J1082" i="8"/>
  <c r="J1083" i="8"/>
  <c r="J1084" i="8"/>
  <c r="J1085" i="8"/>
  <c r="J1086" i="8"/>
  <c r="J1087" i="8"/>
  <c r="J1088" i="8"/>
  <c r="J1089" i="8"/>
  <c r="J1090" i="8"/>
  <c r="J1091" i="8"/>
  <c r="J1092" i="8"/>
  <c r="J1093" i="8"/>
  <c r="J1094" i="8"/>
  <c r="J1095" i="8"/>
  <c r="J1096" i="8"/>
  <c r="J1097" i="8"/>
  <c r="J1098" i="8"/>
  <c r="J1099" i="8"/>
  <c r="J1100" i="8"/>
  <c r="J1101" i="8"/>
  <c r="J1102" i="8"/>
  <c r="J1103" i="8"/>
  <c r="J1104" i="8"/>
  <c r="J1105" i="8"/>
  <c r="J1106" i="8"/>
  <c r="J1107" i="8"/>
  <c r="J1108" i="8"/>
  <c r="J1109" i="8"/>
  <c r="J1110" i="8"/>
  <c r="J1111" i="8"/>
  <c r="J1112" i="8"/>
  <c r="J1113" i="8"/>
  <c r="J1114" i="8"/>
  <c r="J1115" i="8"/>
  <c r="J1116" i="8"/>
  <c r="J1117" i="8"/>
  <c r="J1118" i="8"/>
  <c r="J1119" i="8"/>
  <c r="J1120" i="8"/>
  <c r="J1121" i="8"/>
  <c r="J1122" i="8"/>
  <c r="J1123" i="8"/>
  <c r="J1124" i="8"/>
  <c r="J1125" i="8"/>
  <c r="J1126" i="8"/>
  <c r="J1127" i="8"/>
  <c r="J1128" i="8"/>
  <c r="J1129" i="8"/>
  <c r="J1130" i="8"/>
  <c r="J1131" i="8"/>
  <c r="J1132" i="8"/>
  <c r="J1133" i="8"/>
  <c r="J1134" i="8"/>
  <c r="J1135" i="8"/>
  <c r="J1136" i="8"/>
  <c r="J1137" i="8"/>
  <c r="J1138" i="8"/>
  <c r="J1139" i="8"/>
  <c r="J1140" i="8"/>
  <c r="J1141" i="8"/>
  <c r="J1142" i="8"/>
  <c r="J1143" i="8"/>
  <c r="J1144" i="8"/>
  <c r="J1145" i="8"/>
  <c r="J1146" i="8"/>
  <c r="J1147" i="8"/>
  <c r="J1148" i="8"/>
  <c r="J1149" i="8"/>
  <c r="J1150" i="8"/>
  <c r="J1151" i="8"/>
  <c r="J1152" i="8"/>
  <c r="J1153" i="8"/>
  <c r="J1154" i="8"/>
  <c r="J1155" i="8"/>
  <c r="J1156" i="8"/>
  <c r="J1157" i="8"/>
  <c r="J1158" i="8"/>
  <c r="J1159" i="8"/>
  <c r="J1160" i="8"/>
  <c r="J1161" i="8"/>
  <c r="J1162" i="8"/>
  <c r="J1163" i="8"/>
  <c r="J1164" i="8"/>
  <c r="J1165" i="8"/>
  <c r="J1166" i="8"/>
  <c r="J1167" i="8"/>
  <c r="J1168" i="8"/>
  <c r="J1169" i="8"/>
  <c r="J1170" i="8"/>
  <c r="J1171" i="8"/>
  <c r="J1172" i="8"/>
  <c r="J1173" i="8"/>
  <c r="J1174" i="8"/>
  <c r="J1175" i="8"/>
  <c r="J1176" i="8"/>
  <c r="J1177" i="8"/>
  <c r="J1178" i="8"/>
  <c r="J1179" i="8"/>
  <c r="J1180" i="8"/>
  <c r="J1181" i="8"/>
  <c r="J1182" i="8"/>
  <c r="J1183" i="8"/>
  <c r="J1184" i="8"/>
  <c r="J1185" i="8"/>
  <c r="J1186" i="8"/>
  <c r="J1187" i="8"/>
  <c r="J1188" i="8"/>
  <c r="J1189" i="8"/>
  <c r="J1190" i="8"/>
  <c r="J1191" i="8"/>
  <c r="J1192" i="8"/>
  <c r="J1193" i="8"/>
  <c r="J1194" i="8"/>
  <c r="J1195" i="8"/>
  <c r="J1196" i="8"/>
  <c r="J1197" i="8"/>
  <c r="J1198" i="8"/>
  <c r="J1199" i="8"/>
  <c r="J1200" i="8"/>
  <c r="J1201" i="8"/>
  <c r="J1202" i="8"/>
  <c r="J1203" i="8"/>
  <c r="J1204" i="8"/>
  <c r="J1205" i="8"/>
  <c r="J1206" i="8"/>
  <c r="J1207" i="8"/>
  <c r="J1208" i="8"/>
  <c r="J1209" i="8"/>
  <c r="J1210" i="8"/>
  <c r="J1211" i="8"/>
  <c r="J1212" i="8"/>
  <c r="J1213" i="8"/>
  <c r="J1214" i="8"/>
  <c r="J1215" i="8"/>
  <c r="J1216" i="8"/>
  <c r="J1217" i="8"/>
  <c r="J1218" i="8"/>
  <c r="J1219" i="8"/>
  <c r="J1220" i="8"/>
  <c r="J1221" i="8"/>
  <c r="J1222" i="8"/>
  <c r="J1223" i="8"/>
  <c r="J1224" i="8"/>
  <c r="J1225" i="8"/>
  <c r="J1226" i="8"/>
  <c r="J1227" i="8"/>
  <c r="J1228" i="8"/>
  <c r="J1229" i="8"/>
  <c r="J1230" i="8"/>
  <c r="J1231" i="8"/>
  <c r="J1232" i="8"/>
  <c r="J1233" i="8"/>
  <c r="J1234" i="8"/>
  <c r="J1235" i="8"/>
  <c r="J1236" i="8"/>
  <c r="J1237" i="8"/>
  <c r="J1238" i="8"/>
  <c r="J1239" i="8"/>
  <c r="J1240" i="8"/>
  <c r="J1241" i="8"/>
  <c r="J1242" i="8"/>
  <c r="J1243" i="8"/>
  <c r="J1244" i="8"/>
  <c r="J1245" i="8"/>
  <c r="J1246" i="8"/>
  <c r="J1247" i="8"/>
  <c r="J1248" i="8"/>
  <c r="J1249" i="8"/>
  <c r="J1250" i="8"/>
  <c r="J1251" i="8"/>
  <c r="J1252" i="8"/>
  <c r="J1253" i="8"/>
  <c r="J1254" i="8"/>
  <c r="J1255" i="8"/>
  <c r="J1256" i="8"/>
  <c r="J1257" i="8"/>
  <c r="J1258" i="8"/>
  <c r="J1259" i="8"/>
  <c r="J1260" i="8"/>
  <c r="J1261" i="8"/>
  <c r="J1262" i="8"/>
  <c r="J1263" i="8"/>
  <c r="J1264" i="8"/>
  <c r="J1265" i="8"/>
  <c r="J1266" i="8"/>
  <c r="J1267" i="8"/>
  <c r="J1268" i="8"/>
  <c r="J1269" i="8"/>
  <c r="J1270" i="8"/>
  <c r="J1271" i="8"/>
  <c r="J1272" i="8"/>
  <c r="J1273" i="8"/>
  <c r="J1274" i="8"/>
  <c r="J1275" i="8"/>
  <c r="J1276" i="8"/>
  <c r="J1277" i="8"/>
  <c r="J1278" i="8"/>
  <c r="J1279" i="8"/>
  <c r="J1280" i="8"/>
  <c r="J1281" i="8"/>
  <c r="J1282" i="8"/>
  <c r="J1283" i="8"/>
  <c r="J1284" i="8"/>
  <c r="J1285" i="8"/>
  <c r="J1286" i="8"/>
  <c r="J1287" i="8"/>
  <c r="J1288" i="8"/>
  <c r="J1289" i="8"/>
  <c r="J1290" i="8"/>
  <c r="J1291" i="8"/>
  <c r="J1292" i="8"/>
  <c r="J1293" i="8"/>
  <c r="J1294" i="8"/>
  <c r="J1295" i="8"/>
  <c r="J1296" i="8"/>
  <c r="J1297" i="8"/>
  <c r="J1298" i="8"/>
  <c r="J1299" i="8"/>
  <c r="J1300" i="8"/>
  <c r="J1301" i="8"/>
  <c r="J1302" i="8"/>
  <c r="J1303" i="8"/>
  <c r="J1304" i="8"/>
  <c r="J1305" i="8"/>
  <c r="J1306" i="8"/>
  <c r="J1307" i="8"/>
  <c r="J1308" i="8"/>
  <c r="J1309" i="8"/>
  <c r="J1310" i="8"/>
  <c r="J1311" i="8"/>
  <c r="J1312" i="8"/>
  <c r="J1313" i="8"/>
  <c r="J1314" i="8"/>
  <c r="J1315" i="8"/>
  <c r="J1316" i="8"/>
  <c r="J1317" i="8"/>
  <c r="J1318" i="8"/>
  <c r="J1319" i="8"/>
  <c r="J1320" i="8"/>
  <c r="J1321" i="8"/>
  <c r="J1322" i="8"/>
  <c r="J1323" i="8"/>
  <c r="J1324" i="8"/>
  <c r="J1325" i="8"/>
  <c r="J1326" i="8"/>
  <c r="J1327" i="8"/>
  <c r="J1328" i="8"/>
  <c r="J1329" i="8"/>
  <c r="J1330" i="8"/>
  <c r="J1331" i="8"/>
  <c r="J1332" i="8"/>
  <c r="J1333" i="8"/>
  <c r="J1334" i="8"/>
  <c r="J1335" i="8"/>
  <c r="J1336" i="8"/>
  <c r="J1337" i="8"/>
  <c r="J1338" i="8"/>
  <c r="J1339" i="8"/>
  <c r="J1340" i="8"/>
  <c r="J1341" i="8"/>
  <c r="J1342" i="8"/>
  <c r="J1343" i="8"/>
  <c r="J1344" i="8"/>
  <c r="J1345" i="8"/>
  <c r="J1346" i="8"/>
  <c r="J1347" i="8"/>
  <c r="J1348" i="8"/>
  <c r="J1349" i="8"/>
  <c r="J1350" i="8"/>
  <c r="J1351" i="8"/>
  <c r="J1352" i="8"/>
  <c r="J1353" i="8"/>
  <c r="J1354" i="8"/>
  <c r="J1355" i="8"/>
  <c r="J1356" i="8"/>
  <c r="J2" i="8"/>
  <c r="I1358" i="8"/>
  <c r="I1359" i="8"/>
  <c r="I1360" i="8"/>
  <c r="I1361" i="8"/>
  <c r="I1362" i="8"/>
  <c r="I1363" i="8"/>
  <c r="I1364" i="8"/>
  <c r="I1365" i="8"/>
  <c r="I1366" i="8"/>
  <c r="I1367" i="8"/>
  <c r="I1368" i="8"/>
  <c r="I1369" i="8"/>
  <c r="I1370" i="8"/>
  <c r="I1371" i="8"/>
  <c r="I1372" i="8"/>
  <c r="I1373" i="8"/>
  <c r="I1374" i="8"/>
  <c r="I1375" i="8"/>
  <c r="I1376" i="8"/>
  <c r="I1377" i="8"/>
  <c r="I1378" i="8"/>
  <c r="I1379" i="8"/>
  <c r="I1380" i="8"/>
  <c r="I1381" i="8"/>
  <c r="I1382" i="8"/>
  <c r="I1383" i="8"/>
  <c r="I1384" i="8"/>
  <c r="I1385" i="8"/>
  <c r="I1386" i="8"/>
  <c r="I1387" i="8"/>
  <c r="I1388" i="8"/>
  <c r="I1389" i="8"/>
  <c r="I1390" i="8"/>
  <c r="I1391" i="8"/>
  <c r="I1392" i="8"/>
  <c r="I1393" i="8"/>
  <c r="I1394" i="8"/>
  <c r="I1395" i="8"/>
  <c r="I1396" i="8"/>
  <c r="I1397" i="8"/>
  <c r="I1398" i="8"/>
  <c r="I1399" i="8"/>
  <c r="I1400" i="8"/>
  <c r="I1401" i="8"/>
  <c r="I1402" i="8"/>
  <c r="I1403" i="8"/>
  <c r="I1404" i="8"/>
  <c r="I1405" i="8"/>
  <c r="I1406" i="8"/>
  <c r="I1407" i="8"/>
  <c r="I1408" i="8"/>
  <c r="I1409" i="8"/>
  <c r="I1410" i="8"/>
  <c r="I1411" i="8"/>
  <c r="I1412" i="8"/>
  <c r="I1413" i="8"/>
  <c r="I1414" i="8"/>
  <c r="I1415" i="8"/>
  <c r="I1416" i="8"/>
  <c r="I1417" i="8"/>
  <c r="I1418" i="8"/>
  <c r="I1419" i="8"/>
  <c r="I1420" i="8"/>
  <c r="I1421" i="8"/>
  <c r="I1422" i="8"/>
  <c r="I1423" i="8"/>
  <c r="I1424" i="8"/>
  <c r="I1425" i="8"/>
  <c r="I1426" i="8"/>
  <c r="I1427" i="8"/>
  <c r="I1428" i="8"/>
  <c r="I1429" i="8"/>
  <c r="I1430" i="8"/>
  <c r="I1431" i="8"/>
  <c r="I1432" i="8"/>
  <c r="I1433" i="8"/>
  <c r="I1434" i="8"/>
  <c r="I1435" i="8"/>
  <c r="I1436" i="8"/>
  <c r="I1437" i="8"/>
  <c r="I1438" i="8"/>
  <c r="I1439" i="8"/>
  <c r="I1440" i="8"/>
  <c r="I1441" i="8"/>
  <c r="I1442" i="8"/>
  <c r="I1443" i="8"/>
  <c r="I1444" i="8"/>
  <c r="I1445" i="8"/>
  <c r="I1446" i="8"/>
  <c r="I1447" i="8"/>
  <c r="I1448" i="8"/>
  <c r="I1449" i="8"/>
  <c r="I1450" i="8"/>
  <c r="I1451" i="8"/>
  <c r="I1452" i="8"/>
  <c r="I1453" i="8"/>
  <c r="I1454" i="8"/>
  <c r="I1455" i="8"/>
  <c r="I1456" i="8"/>
  <c r="I1457" i="8"/>
  <c r="I1458" i="8"/>
  <c r="I1459" i="8"/>
  <c r="I1460" i="8"/>
  <c r="I1461" i="8"/>
  <c r="I1462" i="8"/>
  <c r="I1463" i="8"/>
  <c r="I1464" i="8"/>
  <c r="I1465" i="8"/>
  <c r="I1466" i="8"/>
  <c r="I1467" i="8"/>
  <c r="I1468" i="8"/>
  <c r="I1469" i="8"/>
  <c r="I1470" i="8"/>
  <c r="I1471" i="8"/>
  <c r="I1472" i="8"/>
  <c r="I1473" i="8"/>
  <c r="I1474" i="8"/>
  <c r="I1475" i="8"/>
  <c r="I1476" i="8"/>
  <c r="I1477" i="8"/>
  <c r="I1478" i="8"/>
  <c r="I1479" i="8"/>
  <c r="I1480" i="8"/>
  <c r="I1481" i="8"/>
  <c r="I1482" i="8"/>
  <c r="I1483" i="8"/>
  <c r="I1484" i="8"/>
  <c r="I1485" i="8"/>
  <c r="I1486" i="8"/>
  <c r="I1487" i="8"/>
  <c r="I1488" i="8"/>
  <c r="I1489" i="8"/>
  <c r="I1490" i="8"/>
  <c r="I1491" i="8"/>
  <c r="I1492" i="8"/>
  <c r="I1493" i="8"/>
  <c r="I1494" i="8"/>
  <c r="I1495" i="8"/>
  <c r="I1496" i="8"/>
  <c r="I1497" i="8"/>
  <c r="I1498" i="8"/>
  <c r="I1499" i="8"/>
  <c r="I1500" i="8"/>
  <c r="I1501" i="8"/>
  <c r="I1502" i="8"/>
  <c r="I1503" i="8"/>
  <c r="I1504" i="8"/>
  <c r="I1505" i="8"/>
  <c r="I1506" i="8"/>
  <c r="I1507" i="8"/>
  <c r="I1508" i="8"/>
  <c r="I1509" i="8"/>
  <c r="I1510" i="8"/>
  <c r="I1511" i="8"/>
  <c r="I1512" i="8"/>
  <c r="I1513" i="8"/>
  <c r="I1514" i="8"/>
  <c r="I1515" i="8"/>
  <c r="I1516" i="8"/>
  <c r="I1517" i="8"/>
  <c r="I1518" i="8"/>
  <c r="I1519" i="8"/>
  <c r="I1520" i="8"/>
  <c r="I1521" i="8"/>
  <c r="I1522" i="8"/>
  <c r="I1523" i="8"/>
  <c r="I1524" i="8"/>
  <c r="I1525" i="8"/>
  <c r="I1526" i="8"/>
  <c r="I1527" i="8"/>
  <c r="I1528" i="8"/>
  <c r="I1529" i="8"/>
  <c r="I1530" i="8"/>
  <c r="I1531" i="8"/>
  <c r="I1532" i="8"/>
  <c r="I1533" i="8"/>
  <c r="I1534" i="8"/>
  <c r="I1535" i="8"/>
  <c r="I1536" i="8"/>
  <c r="I1537" i="8"/>
  <c r="I1538" i="8"/>
  <c r="I1539" i="8"/>
  <c r="I1540" i="8"/>
  <c r="I1541" i="8"/>
  <c r="I1542" i="8"/>
  <c r="I1543" i="8"/>
  <c r="I1544" i="8"/>
  <c r="I1545" i="8"/>
  <c r="I1546" i="8"/>
  <c r="I1547" i="8"/>
  <c r="I1548" i="8"/>
  <c r="I1549" i="8"/>
  <c r="I1550" i="8"/>
  <c r="I1551" i="8"/>
  <c r="I1552" i="8"/>
  <c r="I1553" i="8"/>
  <c r="I1554" i="8"/>
  <c r="I1555" i="8"/>
  <c r="I1556" i="8"/>
  <c r="I1557" i="8"/>
  <c r="I1558" i="8"/>
  <c r="I1559" i="8"/>
  <c r="I1560" i="8"/>
  <c r="I1561" i="8"/>
  <c r="I1562" i="8"/>
  <c r="I1563" i="8"/>
  <c r="I1564" i="8"/>
  <c r="I1565" i="8"/>
  <c r="I1566" i="8"/>
  <c r="I1567" i="8"/>
  <c r="I1568" i="8"/>
  <c r="I1569" i="8"/>
  <c r="I1570" i="8"/>
  <c r="I1571" i="8"/>
  <c r="I1572" i="8"/>
  <c r="I1573" i="8"/>
  <c r="I1574" i="8"/>
  <c r="I1575" i="8"/>
  <c r="I1576" i="8"/>
  <c r="I1577" i="8"/>
  <c r="I1578" i="8"/>
  <c r="I1579" i="8"/>
  <c r="I1580" i="8"/>
  <c r="I1581" i="8"/>
  <c r="I1582" i="8"/>
  <c r="I1583" i="8"/>
  <c r="I1584" i="8"/>
  <c r="I1585" i="8"/>
  <c r="I1586" i="8"/>
  <c r="I1587" i="8"/>
  <c r="I1588" i="8"/>
  <c r="I1589" i="8"/>
  <c r="I1590" i="8"/>
  <c r="I1591" i="8"/>
  <c r="I1592" i="8"/>
  <c r="I1593" i="8"/>
  <c r="I1594" i="8"/>
  <c r="I1595" i="8"/>
  <c r="I1596" i="8"/>
  <c r="I1597" i="8"/>
  <c r="I1598" i="8"/>
  <c r="I1599" i="8"/>
  <c r="I1600" i="8"/>
  <c r="I1601" i="8"/>
  <c r="I1602" i="8"/>
  <c r="I1603" i="8"/>
  <c r="I1604" i="8"/>
  <c r="I1605" i="8"/>
  <c r="I1606" i="8"/>
  <c r="I1607" i="8"/>
  <c r="I1608" i="8"/>
  <c r="I1609" i="8"/>
  <c r="I1610" i="8"/>
  <c r="I1611" i="8"/>
  <c r="I1612" i="8"/>
  <c r="I1613" i="8"/>
  <c r="I1614" i="8"/>
  <c r="I1615" i="8"/>
  <c r="I1616" i="8"/>
  <c r="I1617" i="8"/>
  <c r="I1618" i="8"/>
  <c r="I1619" i="8"/>
  <c r="I1620" i="8"/>
  <c r="I1621" i="8"/>
  <c r="I1622" i="8"/>
  <c r="I1623" i="8"/>
  <c r="I1624" i="8"/>
  <c r="I1625" i="8"/>
  <c r="I1626" i="8"/>
  <c r="I1627" i="8"/>
  <c r="I1628" i="8"/>
  <c r="I1629" i="8"/>
  <c r="I1630" i="8"/>
  <c r="I1631" i="8"/>
  <c r="I1632" i="8"/>
  <c r="I1633" i="8"/>
  <c r="I1634" i="8"/>
  <c r="I1635" i="8"/>
  <c r="I1636" i="8"/>
  <c r="I1637" i="8"/>
  <c r="I1638" i="8"/>
  <c r="I1639" i="8"/>
  <c r="I1640" i="8"/>
  <c r="I1641" i="8"/>
  <c r="I1642" i="8"/>
  <c r="I1643" i="8"/>
  <c r="I1644" i="8"/>
  <c r="I1645" i="8"/>
  <c r="I1646" i="8"/>
  <c r="I1647" i="8"/>
  <c r="I1648" i="8"/>
  <c r="I1649" i="8"/>
  <c r="I1650" i="8"/>
  <c r="I1651" i="8"/>
  <c r="I1652" i="8"/>
  <c r="I1653" i="8"/>
  <c r="I1654" i="8"/>
  <c r="I1655" i="8"/>
  <c r="I1656" i="8"/>
  <c r="I1657" i="8"/>
  <c r="I1658" i="8"/>
  <c r="I1659" i="8"/>
  <c r="I1660" i="8"/>
  <c r="I1661" i="8"/>
  <c r="I1662" i="8"/>
  <c r="I1663" i="8"/>
  <c r="I1664" i="8"/>
  <c r="I1665" i="8"/>
  <c r="I1666" i="8"/>
  <c r="I1667" i="8"/>
  <c r="I1668" i="8"/>
  <c r="I1669" i="8"/>
  <c r="I1670" i="8"/>
  <c r="I1671" i="8"/>
  <c r="I1672" i="8"/>
  <c r="I1673" i="8"/>
  <c r="I1674" i="8"/>
  <c r="I1675" i="8"/>
  <c r="I1676" i="8"/>
  <c r="I1677" i="8"/>
  <c r="I1678" i="8"/>
  <c r="I1679" i="8"/>
  <c r="I1680" i="8"/>
  <c r="I1681" i="8"/>
  <c r="I1682" i="8"/>
  <c r="I1683" i="8"/>
  <c r="I1684" i="8"/>
  <c r="I1685" i="8"/>
  <c r="I1686" i="8"/>
  <c r="I1687" i="8"/>
  <c r="I1688" i="8"/>
  <c r="I1689" i="8"/>
  <c r="I1690" i="8"/>
  <c r="I1691" i="8"/>
  <c r="I1692" i="8"/>
  <c r="I1693" i="8"/>
  <c r="I1694" i="8"/>
  <c r="I1695" i="8"/>
  <c r="I1696" i="8"/>
  <c r="I1697" i="8"/>
  <c r="I1698" i="8"/>
  <c r="I1699" i="8"/>
  <c r="I1700" i="8"/>
  <c r="I1701" i="8"/>
  <c r="I1702" i="8"/>
  <c r="I1703" i="8"/>
  <c r="I1704" i="8"/>
  <c r="I1705" i="8"/>
  <c r="I1706" i="8"/>
  <c r="I1707" i="8"/>
  <c r="I1708" i="8"/>
  <c r="I1709" i="8"/>
  <c r="I1710" i="8"/>
  <c r="I1711" i="8"/>
  <c r="I1712" i="8"/>
  <c r="I1713" i="8"/>
  <c r="I1714" i="8"/>
  <c r="I1715" i="8"/>
  <c r="I1716" i="8"/>
  <c r="I1717" i="8"/>
  <c r="I1718" i="8"/>
  <c r="I1719" i="8"/>
  <c r="I1720" i="8"/>
  <c r="I1721" i="8"/>
  <c r="I1722" i="8"/>
  <c r="I1723" i="8"/>
  <c r="I1724" i="8"/>
  <c r="I1725" i="8"/>
  <c r="I1726" i="8"/>
  <c r="I1727" i="8"/>
  <c r="I1728" i="8"/>
  <c r="I1729" i="8"/>
  <c r="I1730" i="8"/>
  <c r="I1731" i="8"/>
  <c r="I1732" i="8"/>
  <c r="I1733" i="8"/>
  <c r="I1734" i="8"/>
  <c r="I1735" i="8"/>
  <c r="I1736" i="8"/>
  <c r="I1737" i="8"/>
  <c r="I1738" i="8"/>
  <c r="I1739" i="8"/>
  <c r="I1740" i="8"/>
  <c r="I1741" i="8"/>
  <c r="I1742" i="8"/>
  <c r="I1743" i="8"/>
  <c r="I1744" i="8"/>
  <c r="I1745" i="8"/>
  <c r="I1746" i="8"/>
  <c r="I1747" i="8"/>
  <c r="I1748" i="8"/>
  <c r="I1749" i="8"/>
  <c r="I1750" i="8"/>
  <c r="I1751" i="8"/>
  <c r="I1752" i="8"/>
  <c r="I1753" i="8"/>
  <c r="I1754" i="8"/>
  <c r="I1755" i="8"/>
  <c r="I1756" i="8"/>
  <c r="I1757" i="8"/>
  <c r="I1758" i="8"/>
  <c r="I1759" i="8"/>
  <c r="I1760" i="8"/>
  <c r="I1761" i="8"/>
  <c r="I1762" i="8"/>
  <c r="I1763" i="8"/>
  <c r="I1764" i="8"/>
  <c r="I1765" i="8"/>
  <c r="I1766" i="8"/>
  <c r="I1767" i="8"/>
  <c r="I1768" i="8"/>
  <c r="I1769" i="8"/>
  <c r="I1770" i="8"/>
  <c r="I1771" i="8"/>
  <c r="I1772" i="8"/>
  <c r="I1773" i="8"/>
  <c r="I1774" i="8"/>
  <c r="I1775" i="8"/>
  <c r="I1776" i="8"/>
  <c r="I1777" i="8"/>
  <c r="I1778" i="8"/>
  <c r="I1779" i="8"/>
  <c r="I1780" i="8"/>
  <c r="I1781" i="8"/>
  <c r="I1782" i="8"/>
  <c r="I1783" i="8"/>
  <c r="I1784" i="8"/>
  <c r="I1785" i="8"/>
  <c r="I1786" i="8"/>
  <c r="I1787" i="8"/>
  <c r="I1788" i="8"/>
  <c r="I1789" i="8"/>
  <c r="I1790" i="8"/>
  <c r="I1791" i="8"/>
  <c r="I1792" i="8"/>
  <c r="I1793" i="8"/>
  <c r="I1794" i="8"/>
  <c r="I1795" i="8"/>
  <c r="I1796" i="8"/>
  <c r="I1797" i="8"/>
  <c r="I1798" i="8"/>
  <c r="I1799" i="8"/>
  <c r="I1800" i="8"/>
  <c r="I1801" i="8"/>
  <c r="I1802" i="8"/>
  <c r="I1803" i="8"/>
  <c r="I1804" i="8"/>
  <c r="I1805" i="8"/>
  <c r="I1806" i="8"/>
  <c r="I1807" i="8"/>
  <c r="I1808" i="8"/>
  <c r="I1809" i="8"/>
  <c r="I1810" i="8"/>
  <c r="I1811" i="8"/>
  <c r="I1812" i="8"/>
  <c r="I1813" i="8"/>
  <c r="I1814" i="8"/>
  <c r="I1815" i="8"/>
  <c r="I1816" i="8"/>
  <c r="I1817" i="8"/>
  <c r="I1818" i="8"/>
  <c r="I1819" i="8"/>
  <c r="I1820" i="8"/>
  <c r="I1821" i="8"/>
  <c r="I1822" i="8"/>
  <c r="I1823" i="8"/>
  <c r="I1824" i="8"/>
  <c r="I1825" i="8"/>
  <c r="I1826" i="8"/>
  <c r="I1827" i="8"/>
  <c r="I1828" i="8"/>
  <c r="I1829" i="8"/>
  <c r="I1830" i="8"/>
  <c r="I1831" i="8"/>
  <c r="I1832" i="8"/>
  <c r="I1833" i="8"/>
  <c r="I1834" i="8"/>
  <c r="I1835" i="8"/>
  <c r="I1836" i="8"/>
  <c r="I1837" i="8"/>
  <c r="I1838" i="8"/>
  <c r="I1839" i="8"/>
  <c r="I1840" i="8"/>
  <c r="I1841" i="8"/>
  <c r="I1842" i="8"/>
  <c r="I1843" i="8"/>
  <c r="I1844" i="8"/>
  <c r="I1845" i="8"/>
  <c r="I1846" i="8"/>
  <c r="I1847" i="8"/>
  <c r="I1848" i="8"/>
  <c r="I1849" i="8"/>
  <c r="I1850" i="8"/>
  <c r="I1851" i="8"/>
  <c r="I1852" i="8"/>
  <c r="I1853" i="8"/>
  <c r="I1854" i="8"/>
  <c r="I1855" i="8"/>
  <c r="I1856" i="8"/>
  <c r="I1857" i="8"/>
  <c r="I1858" i="8"/>
  <c r="I1859" i="8"/>
  <c r="I1860" i="8"/>
  <c r="I1861" i="8"/>
  <c r="I1862" i="8"/>
  <c r="I1863" i="8"/>
  <c r="I1864" i="8"/>
  <c r="I1865" i="8"/>
  <c r="I1866" i="8"/>
  <c r="I1867" i="8"/>
  <c r="I1868" i="8"/>
  <c r="I1869" i="8"/>
  <c r="I1870" i="8"/>
  <c r="I1871" i="8"/>
  <c r="I1872" i="8"/>
  <c r="I1873" i="8"/>
  <c r="I1874" i="8"/>
  <c r="I1875" i="8"/>
  <c r="I1876" i="8"/>
  <c r="I1877" i="8"/>
  <c r="I1878" i="8"/>
  <c r="I1879" i="8"/>
  <c r="I1880" i="8"/>
  <c r="I1881" i="8"/>
  <c r="I1882" i="8"/>
  <c r="I1883" i="8"/>
  <c r="I1884" i="8"/>
  <c r="I1885" i="8"/>
  <c r="I1886" i="8"/>
  <c r="I1887" i="8"/>
  <c r="I1888" i="8"/>
  <c r="I1889" i="8"/>
  <c r="I1890" i="8"/>
  <c r="I1891" i="8"/>
  <c r="I1892" i="8"/>
  <c r="I1893" i="8"/>
  <c r="I1894" i="8"/>
  <c r="I1895" i="8"/>
  <c r="I1896" i="8"/>
  <c r="I1897" i="8"/>
  <c r="I1898" i="8"/>
  <c r="I1899" i="8"/>
  <c r="I1900" i="8"/>
  <c r="I1901" i="8"/>
  <c r="I1902" i="8"/>
  <c r="I1903" i="8"/>
  <c r="I1904" i="8"/>
  <c r="I1905" i="8"/>
  <c r="I1906" i="8"/>
  <c r="I1907" i="8"/>
  <c r="I1908" i="8"/>
  <c r="I1909" i="8"/>
  <c r="I1910" i="8"/>
  <c r="I1911" i="8"/>
  <c r="I1912" i="8"/>
  <c r="I1913" i="8"/>
  <c r="I1914" i="8"/>
  <c r="I1915" i="8"/>
  <c r="I1916" i="8"/>
  <c r="I1917" i="8"/>
  <c r="I1918" i="8"/>
  <c r="I1919" i="8"/>
  <c r="I1920" i="8"/>
  <c r="I1921" i="8"/>
  <c r="I1922" i="8"/>
  <c r="I1923" i="8"/>
  <c r="I1924" i="8"/>
  <c r="I1925" i="8"/>
  <c r="I1926" i="8"/>
  <c r="I1927" i="8"/>
  <c r="I1928" i="8"/>
  <c r="I1929" i="8"/>
  <c r="I1930" i="8"/>
  <c r="I1931" i="8"/>
  <c r="I1932" i="8"/>
  <c r="I1933" i="8"/>
  <c r="I1934" i="8"/>
  <c r="I1935" i="8"/>
  <c r="I1936" i="8"/>
  <c r="I1937" i="8"/>
  <c r="I1938" i="8"/>
  <c r="I1939" i="8"/>
  <c r="I1940" i="8"/>
  <c r="I1941" i="8"/>
  <c r="I1942" i="8"/>
  <c r="I1943" i="8"/>
  <c r="I1944" i="8"/>
  <c r="I1945" i="8"/>
  <c r="I1946" i="8"/>
  <c r="I1947" i="8"/>
  <c r="I1948" i="8"/>
  <c r="I1949" i="8"/>
  <c r="I1950" i="8"/>
  <c r="I1951" i="8"/>
  <c r="I1952" i="8"/>
  <c r="I1953" i="8"/>
  <c r="I1954" i="8"/>
  <c r="I1955" i="8"/>
  <c r="I1956" i="8"/>
  <c r="I1957" i="8"/>
  <c r="I1958" i="8"/>
  <c r="I1959" i="8"/>
  <c r="I1960" i="8"/>
  <c r="I1961" i="8"/>
  <c r="I1962" i="8"/>
  <c r="I1963" i="8"/>
  <c r="I1964" i="8"/>
  <c r="I1965" i="8"/>
  <c r="I1966" i="8"/>
  <c r="I1967" i="8"/>
  <c r="I1968" i="8"/>
  <c r="I1969" i="8"/>
  <c r="I1970" i="8"/>
  <c r="I1971" i="8"/>
  <c r="I1972" i="8"/>
  <c r="I1973" i="8"/>
  <c r="I1974" i="8"/>
  <c r="I1975" i="8"/>
  <c r="I1976" i="8"/>
  <c r="I1977" i="8"/>
  <c r="I1978" i="8"/>
  <c r="I1979" i="8"/>
  <c r="I1980" i="8"/>
  <c r="I1981" i="8"/>
  <c r="I1982" i="8"/>
  <c r="I1983" i="8"/>
  <c r="I1984" i="8"/>
  <c r="I1985" i="8"/>
  <c r="I1986" i="8"/>
  <c r="I1987" i="8"/>
  <c r="I1988" i="8"/>
  <c r="I1989" i="8"/>
  <c r="I1990" i="8"/>
  <c r="I1991" i="8"/>
  <c r="I1992" i="8"/>
  <c r="I1993" i="8"/>
  <c r="I1994" i="8"/>
  <c r="I1995" i="8"/>
  <c r="I1996" i="8"/>
  <c r="I1997" i="8"/>
  <c r="I1998" i="8"/>
  <c r="I1999" i="8"/>
  <c r="I2000" i="8"/>
  <c r="I2001" i="8"/>
  <c r="I2002" i="8"/>
  <c r="I2003" i="8"/>
  <c r="I2004" i="8"/>
  <c r="I2005" i="8"/>
  <c r="I2006" i="8"/>
  <c r="I2007" i="8"/>
  <c r="I2008" i="8"/>
  <c r="I2009" i="8"/>
  <c r="I2010" i="8"/>
  <c r="I2011" i="8"/>
  <c r="I2012" i="8"/>
  <c r="I2013" i="8"/>
  <c r="I2014" i="8"/>
  <c r="I2015" i="8"/>
  <c r="I2016" i="8"/>
  <c r="I2017" i="8"/>
  <c r="I2018" i="8"/>
  <c r="I2019" i="8"/>
  <c r="I2020" i="8"/>
  <c r="I2021" i="8"/>
  <c r="I2022" i="8"/>
  <c r="I2023" i="8"/>
  <c r="I2024" i="8"/>
  <c r="I2025" i="8"/>
  <c r="I2026" i="8"/>
  <c r="I2027" i="8"/>
  <c r="I2028" i="8"/>
  <c r="I2029" i="8"/>
  <c r="I2030" i="8"/>
  <c r="I2031" i="8"/>
  <c r="I2032" i="8"/>
  <c r="I2033" i="8"/>
  <c r="I2034" i="8"/>
  <c r="I2035" i="8"/>
  <c r="I2036" i="8"/>
  <c r="I2037" i="8"/>
  <c r="I2038" i="8"/>
  <c r="I2039" i="8"/>
  <c r="I2040" i="8"/>
  <c r="I2041" i="8"/>
  <c r="I2042" i="8"/>
  <c r="I2043" i="8"/>
  <c r="I2044" i="8"/>
  <c r="I2045" i="8"/>
  <c r="I2046" i="8"/>
  <c r="I2047" i="8"/>
  <c r="I2048" i="8"/>
  <c r="I2049" i="8"/>
  <c r="I2050" i="8"/>
  <c r="I2051" i="8"/>
  <c r="I2052" i="8"/>
  <c r="I2053" i="8"/>
  <c r="I2054" i="8"/>
  <c r="I2055" i="8"/>
  <c r="I2056" i="8"/>
  <c r="I2057" i="8"/>
  <c r="I2058" i="8"/>
  <c r="I2059" i="8"/>
  <c r="I2060" i="8"/>
  <c r="I2061" i="8"/>
  <c r="I2062" i="8"/>
  <c r="I2063" i="8"/>
  <c r="I2064" i="8"/>
  <c r="I2065" i="8"/>
  <c r="I2066" i="8"/>
  <c r="I2067" i="8"/>
  <c r="I2068" i="8"/>
  <c r="I2069" i="8"/>
  <c r="I2070" i="8"/>
  <c r="I2071" i="8"/>
  <c r="I2072" i="8"/>
  <c r="I2073" i="8"/>
  <c r="I2074" i="8"/>
  <c r="I2075" i="8"/>
  <c r="I2076" i="8"/>
  <c r="I2077" i="8"/>
  <c r="I2078" i="8"/>
  <c r="I2079" i="8"/>
  <c r="I2080" i="8"/>
  <c r="I2081" i="8"/>
  <c r="I2082" i="8"/>
  <c r="I2083" i="8"/>
  <c r="I2084" i="8"/>
  <c r="I2085" i="8"/>
  <c r="I2086" i="8"/>
  <c r="I2087" i="8"/>
  <c r="I2088" i="8"/>
  <c r="I2089" i="8"/>
  <c r="I2090" i="8"/>
  <c r="I2091" i="8"/>
  <c r="I2092" i="8"/>
  <c r="I2093" i="8"/>
  <c r="I2094" i="8"/>
  <c r="I2095" i="8"/>
  <c r="I2096" i="8"/>
  <c r="I2097" i="8"/>
  <c r="I2098" i="8"/>
  <c r="I2099" i="8"/>
  <c r="I2100" i="8"/>
  <c r="I2101" i="8"/>
  <c r="I2102" i="8"/>
  <c r="I2103" i="8"/>
  <c r="I2104" i="8"/>
  <c r="I2105" i="8"/>
  <c r="I2106" i="8"/>
  <c r="I2107" i="8"/>
  <c r="I2108" i="8"/>
  <c r="I2109" i="8"/>
  <c r="I2110" i="8"/>
  <c r="I2111" i="8"/>
  <c r="I2112" i="8"/>
  <c r="I2113" i="8"/>
  <c r="I2114" i="8"/>
  <c r="I2115" i="8"/>
  <c r="I2116" i="8"/>
  <c r="I2117" i="8"/>
  <c r="I2118" i="8"/>
  <c r="I2119" i="8"/>
  <c r="I2120" i="8"/>
  <c r="I2121" i="8"/>
  <c r="I2122" i="8"/>
  <c r="I2123" i="8"/>
  <c r="I2124" i="8"/>
  <c r="I2125" i="8"/>
  <c r="I2126" i="8"/>
  <c r="I2127" i="8"/>
  <c r="I2128" i="8"/>
  <c r="I2129" i="8"/>
  <c r="I2130" i="8"/>
  <c r="I2131" i="8"/>
  <c r="I2132" i="8"/>
  <c r="I2133" i="8"/>
  <c r="I2134" i="8"/>
  <c r="I2135" i="8"/>
  <c r="I2136" i="8"/>
  <c r="I2137" i="8"/>
  <c r="I2138" i="8"/>
  <c r="I2139" i="8"/>
  <c r="I2140" i="8"/>
  <c r="I2141" i="8"/>
  <c r="I2142" i="8"/>
  <c r="I2143" i="8"/>
  <c r="I2144" i="8"/>
  <c r="I2145" i="8"/>
  <c r="I2146" i="8"/>
  <c r="I2147" i="8"/>
  <c r="I2148" i="8"/>
  <c r="I2149" i="8"/>
  <c r="I2150" i="8"/>
  <c r="I2151" i="8"/>
  <c r="I2152" i="8"/>
  <c r="I2153" i="8"/>
  <c r="I2154" i="8"/>
  <c r="I2155" i="8"/>
  <c r="I2156" i="8"/>
  <c r="I2157" i="8"/>
  <c r="I2158" i="8"/>
  <c r="I2159" i="8"/>
  <c r="I2160" i="8"/>
  <c r="I2161" i="8"/>
  <c r="I2162" i="8"/>
  <c r="I2163" i="8"/>
  <c r="I2164" i="8"/>
  <c r="I2165" i="8"/>
  <c r="I2166" i="8"/>
  <c r="I2167" i="8"/>
  <c r="I2168" i="8"/>
  <c r="I2169" i="8"/>
  <c r="I2170" i="8"/>
  <c r="I2171" i="8"/>
  <c r="I2172" i="8"/>
  <c r="I2173" i="8"/>
  <c r="I2174" i="8"/>
  <c r="I2175" i="8"/>
  <c r="I2176" i="8"/>
  <c r="I2177" i="8"/>
  <c r="I2178" i="8"/>
  <c r="I2179" i="8"/>
  <c r="I2180" i="8"/>
  <c r="I2181" i="8"/>
  <c r="I2182" i="8"/>
  <c r="I2183" i="8"/>
  <c r="I2184" i="8"/>
  <c r="I2185" i="8"/>
  <c r="I2186" i="8"/>
  <c r="I2187" i="8"/>
  <c r="I2188" i="8"/>
  <c r="I2189" i="8"/>
  <c r="I2190" i="8"/>
  <c r="I2191" i="8"/>
  <c r="I2192" i="8"/>
  <c r="I2193" i="8"/>
  <c r="I2194" i="8"/>
  <c r="I2195" i="8"/>
  <c r="I2196" i="8"/>
  <c r="I2197" i="8"/>
  <c r="I2198" i="8"/>
  <c r="I2199" i="8"/>
  <c r="I2200" i="8"/>
  <c r="I2201" i="8"/>
  <c r="I2202" i="8"/>
  <c r="I2203" i="8"/>
  <c r="I2204" i="8"/>
  <c r="I2205" i="8"/>
  <c r="I2206" i="8"/>
  <c r="I2207" i="8"/>
  <c r="I2208" i="8"/>
  <c r="I2209" i="8"/>
  <c r="I2210" i="8"/>
  <c r="I2211" i="8"/>
  <c r="I2212" i="8"/>
  <c r="I2213" i="8"/>
  <c r="I2214" i="8"/>
  <c r="I2215" i="8"/>
  <c r="I2216" i="8"/>
  <c r="I2217" i="8"/>
  <c r="I2218" i="8"/>
  <c r="I2219" i="8"/>
  <c r="I2220" i="8"/>
  <c r="I2221" i="8"/>
  <c r="I2222" i="8"/>
  <c r="I2223" i="8"/>
  <c r="I2224" i="8"/>
  <c r="I2225" i="8"/>
  <c r="I2226" i="8"/>
  <c r="I2227" i="8"/>
  <c r="I2228" i="8"/>
  <c r="I2229" i="8"/>
  <c r="I2230" i="8"/>
  <c r="I2231" i="8"/>
  <c r="I2232" i="8"/>
  <c r="I2233" i="8"/>
  <c r="I2234" i="8"/>
  <c r="I2235" i="8"/>
  <c r="I2236" i="8"/>
  <c r="I2237" i="8"/>
  <c r="I2238" i="8"/>
  <c r="I2239" i="8"/>
  <c r="I2240" i="8"/>
  <c r="I2241" i="8"/>
  <c r="I2242" i="8"/>
  <c r="I2243" i="8"/>
  <c r="I2244" i="8"/>
  <c r="I2245" i="8"/>
  <c r="I2246" i="8"/>
  <c r="I2247" i="8"/>
  <c r="I2248" i="8"/>
  <c r="I2249" i="8"/>
  <c r="I2250" i="8"/>
  <c r="I2251" i="8"/>
  <c r="I2252" i="8"/>
  <c r="I2253" i="8"/>
  <c r="I2254" i="8"/>
  <c r="I2255" i="8"/>
  <c r="I2256" i="8"/>
  <c r="I2257" i="8"/>
  <c r="I2258" i="8"/>
  <c r="I2259" i="8"/>
  <c r="I2260" i="8"/>
  <c r="I2261" i="8"/>
  <c r="I2262" i="8"/>
  <c r="I2263" i="8"/>
  <c r="I2264" i="8"/>
  <c r="I2265" i="8"/>
  <c r="I2266" i="8"/>
  <c r="I2267" i="8"/>
  <c r="I2268" i="8"/>
  <c r="I2269" i="8"/>
  <c r="I2270" i="8"/>
  <c r="I2271" i="8"/>
  <c r="I2272" i="8"/>
  <c r="I2273" i="8"/>
  <c r="I2274" i="8"/>
  <c r="I2275" i="8"/>
  <c r="I2276" i="8"/>
  <c r="I2277" i="8"/>
  <c r="I2278" i="8"/>
  <c r="I2279" i="8"/>
  <c r="I2280" i="8"/>
  <c r="I2281" i="8"/>
  <c r="I2282" i="8"/>
  <c r="I2283" i="8"/>
  <c r="I2284" i="8"/>
  <c r="I2285" i="8"/>
  <c r="I2286" i="8"/>
  <c r="I2287" i="8"/>
  <c r="I2288" i="8"/>
  <c r="I2289" i="8"/>
  <c r="I2290" i="8"/>
  <c r="I2291" i="8"/>
  <c r="I2292" i="8"/>
  <c r="I2293" i="8"/>
  <c r="I2294" i="8"/>
  <c r="I2295" i="8"/>
  <c r="I2296" i="8"/>
  <c r="I2297" i="8"/>
  <c r="I2298" i="8"/>
  <c r="I2299" i="8"/>
  <c r="I2300" i="8"/>
  <c r="I2301" i="8"/>
  <c r="I2302" i="8"/>
  <c r="I2303" i="8"/>
  <c r="I2304" i="8"/>
  <c r="I2305" i="8"/>
  <c r="I2306" i="8"/>
  <c r="I2307" i="8"/>
  <c r="I2308" i="8"/>
  <c r="I2309" i="8"/>
  <c r="I2310" i="8"/>
  <c r="I2311" i="8"/>
  <c r="I2312" i="8"/>
  <c r="I2313" i="8"/>
  <c r="I2314" i="8"/>
  <c r="I2315" i="8"/>
  <c r="I2316" i="8"/>
  <c r="I2317" i="8"/>
  <c r="I2318" i="8"/>
  <c r="I2319" i="8"/>
  <c r="I2320" i="8"/>
  <c r="I2321" i="8"/>
  <c r="I2322" i="8"/>
  <c r="I2323" i="8"/>
  <c r="I2324" i="8"/>
  <c r="I2325" i="8"/>
  <c r="I2326" i="8"/>
  <c r="I2327" i="8"/>
  <c r="I2328" i="8"/>
  <c r="I2329" i="8"/>
  <c r="I2330" i="8"/>
  <c r="I2331" i="8"/>
  <c r="I2332" i="8"/>
  <c r="I2333" i="8"/>
  <c r="I2334" i="8"/>
  <c r="I2335" i="8"/>
  <c r="I2336" i="8"/>
  <c r="I2337" i="8"/>
  <c r="I2338" i="8"/>
  <c r="I2339" i="8"/>
  <c r="I2340" i="8"/>
  <c r="I2341" i="8"/>
  <c r="I2342" i="8"/>
  <c r="I2343" i="8"/>
  <c r="I2344" i="8"/>
  <c r="I2345" i="8"/>
  <c r="I2346" i="8"/>
  <c r="I2347" i="8"/>
  <c r="I2348" i="8"/>
  <c r="I2349" i="8"/>
  <c r="I2350" i="8"/>
  <c r="I2351" i="8"/>
  <c r="I2352" i="8"/>
  <c r="I2353" i="8"/>
  <c r="I2354" i="8"/>
  <c r="I2355" i="8"/>
  <c r="I2356" i="8"/>
  <c r="I2357" i="8"/>
  <c r="I2358" i="8"/>
  <c r="I2359" i="8"/>
  <c r="I2360" i="8"/>
  <c r="I2361" i="8"/>
  <c r="I2362" i="8"/>
  <c r="I2363" i="8"/>
  <c r="I2364" i="8"/>
  <c r="I2365" i="8"/>
  <c r="I2366" i="8"/>
  <c r="I2367" i="8"/>
  <c r="I2368" i="8"/>
  <c r="I2369" i="8"/>
  <c r="I2370" i="8"/>
  <c r="I2371" i="8"/>
  <c r="I2372" i="8"/>
  <c r="I2373" i="8"/>
  <c r="I2374" i="8"/>
  <c r="I2375" i="8"/>
  <c r="I2376" i="8"/>
  <c r="I2377" i="8"/>
  <c r="I2378" i="8"/>
  <c r="I2379" i="8"/>
  <c r="I2380" i="8"/>
  <c r="I2381" i="8"/>
  <c r="I2382" i="8"/>
  <c r="I2383" i="8"/>
  <c r="I2384" i="8"/>
  <c r="I2385" i="8"/>
  <c r="I2386" i="8"/>
  <c r="I2387" i="8"/>
  <c r="I2388" i="8"/>
  <c r="I2389" i="8"/>
  <c r="I2390" i="8"/>
  <c r="I2391" i="8"/>
  <c r="I2392" i="8"/>
  <c r="I2393" i="8"/>
  <c r="I2394" i="8"/>
  <c r="I2395" i="8"/>
  <c r="I2396" i="8"/>
  <c r="I2397" i="8"/>
  <c r="I2398" i="8"/>
  <c r="I2399" i="8"/>
  <c r="I2400" i="8"/>
  <c r="I2401" i="8"/>
  <c r="I2402" i="8"/>
  <c r="I2403" i="8"/>
  <c r="I2404" i="8"/>
  <c r="I2405" i="8"/>
  <c r="I2406" i="8"/>
  <c r="I2407" i="8"/>
  <c r="I2408" i="8"/>
  <c r="I2409" i="8"/>
  <c r="I2410" i="8"/>
  <c r="I2411" i="8"/>
  <c r="I2412" i="8"/>
  <c r="I2413" i="8"/>
  <c r="I2414" i="8"/>
  <c r="I2415" i="8"/>
  <c r="I2416" i="8"/>
  <c r="I2417" i="8"/>
  <c r="I2418" i="8"/>
  <c r="I2419" i="8"/>
  <c r="I2420" i="8"/>
  <c r="I2421" i="8"/>
  <c r="I2422" i="8"/>
  <c r="I2423" i="8"/>
  <c r="I2424" i="8"/>
  <c r="I2425" i="8"/>
  <c r="I2426" i="8"/>
  <c r="I2427" i="8"/>
  <c r="I2428" i="8"/>
  <c r="I2429" i="8"/>
  <c r="I2430" i="8"/>
  <c r="I2431" i="8"/>
  <c r="I2432" i="8"/>
  <c r="I2433" i="8"/>
  <c r="I2434" i="8"/>
  <c r="I2435" i="8"/>
  <c r="I2436" i="8"/>
  <c r="I2437" i="8"/>
  <c r="I2438" i="8"/>
  <c r="I2439" i="8"/>
  <c r="I2440" i="8"/>
  <c r="I2441" i="8"/>
  <c r="I2442" i="8"/>
  <c r="I2443" i="8"/>
  <c r="I2444" i="8"/>
  <c r="I2445" i="8"/>
  <c r="I2446" i="8"/>
  <c r="I2447" i="8"/>
  <c r="I2448" i="8"/>
  <c r="I2449" i="8"/>
  <c r="I2450" i="8"/>
  <c r="I2451" i="8"/>
  <c r="I2452" i="8"/>
  <c r="I2453" i="8"/>
  <c r="I2454" i="8"/>
  <c r="I2455" i="8"/>
  <c r="I2456" i="8"/>
  <c r="I2457" i="8"/>
  <c r="I2458" i="8"/>
  <c r="I2459" i="8"/>
  <c r="I2460" i="8"/>
  <c r="I2461" i="8"/>
  <c r="I2462" i="8"/>
  <c r="I2463" i="8"/>
  <c r="I2464" i="8"/>
  <c r="I2465" i="8"/>
  <c r="I2466" i="8"/>
  <c r="I2467" i="8"/>
  <c r="I2468" i="8"/>
  <c r="I2469" i="8"/>
  <c r="I2470" i="8"/>
  <c r="I2471" i="8"/>
  <c r="I2472" i="8"/>
  <c r="I2473" i="8"/>
  <c r="I2474" i="8"/>
  <c r="I2475" i="8"/>
  <c r="I2476" i="8"/>
  <c r="I2477" i="8"/>
  <c r="I2478" i="8"/>
  <c r="I2479" i="8"/>
  <c r="I2480" i="8"/>
  <c r="I2481" i="8"/>
  <c r="I2482" i="8"/>
  <c r="I2483" i="8"/>
  <c r="I2484" i="8"/>
  <c r="I2485" i="8"/>
  <c r="I2486" i="8"/>
  <c r="I2487" i="8"/>
  <c r="I2488" i="8"/>
  <c r="I2489" i="8"/>
  <c r="I2490" i="8"/>
  <c r="I2491" i="8"/>
  <c r="I2492" i="8"/>
  <c r="I2493" i="8"/>
  <c r="I2494" i="8"/>
  <c r="I2495" i="8"/>
  <c r="I2496" i="8"/>
  <c r="I2497" i="8"/>
  <c r="I2498" i="8"/>
  <c r="I2499" i="8"/>
  <c r="I2500" i="8"/>
  <c r="I2501" i="8"/>
  <c r="I2502" i="8"/>
  <c r="I2503" i="8"/>
  <c r="I2504" i="8"/>
  <c r="I2505" i="8"/>
  <c r="I2506" i="8"/>
  <c r="I2507" i="8"/>
  <c r="I2508" i="8"/>
  <c r="I2509" i="8"/>
  <c r="I2510" i="8"/>
  <c r="I2511" i="8"/>
  <c r="I2512" i="8"/>
  <c r="I2513" i="8"/>
  <c r="I2514" i="8"/>
  <c r="I2515" i="8"/>
  <c r="I2516" i="8"/>
  <c r="I2517" i="8"/>
  <c r="I2518" i="8"/>
  <c r="I2519" i="8"/>
  <c r="I2520" i="8"/>
  <c r="I2521" i="8"/>
  <c r="I2522" i="8"/>
  <c r="I2523" i="8"/>
  <c r="I2524" i="8"/>
  <c r="I2525" i="8"/>
  <c r="I2526" i="8"/>
  <c r="I2527" i="8"/>
  <c r="I2528" i="8"/>
  <c r="I2529" i="8"/>
  <c r="I2530" i="8"/>
  <c r="I2531" i="8"/>
  <c r="I2532" i="8"/>
  <c r="I2533" i="8"/>
  <c r="I2534" i="8"/>
  <c r="I2535" i="8"/>
  <c r="I2536" i="8"/>
  <c r="I2537" i="8"/>
  <c r="I2538" i="8"/>
  <c r="I2539" i="8"/>
  <c r="I2540" i="8"/>
  <c r="I2541" i="8"/>
  <c r="I2542" i="8"/>
  <c r="I2543" i="8"/>
  <c r="I2544" i="8"/>
  <c r="I2545" i="8"/>
  <c r="I2546" i="8"/>
  <c r="I2547" i="8"/>
  <c r="I2548" i="8"/>
  <c r="I2549" i="8"/>
  <c r="I2550" i="8"/>
  <c r="I2551" i="8"/>
  <c r="I2552" i="8"/>
  <c r="I2553" i="8"/>
  <c r="I2554" i="8"/>
  <c r="I2555" i="8"/>
  <c r="I2556" i="8"/>
  <c r="I2557" i="8"/>
  <c r="I2558" i="8"/>
  <c r="I2559" i="8"/>
  <c r="I2560" i="8"/>
  <c r="I2561" i="8"/>
  <c r="I2562" i="8"/>
  <c r="I2563" i="8"/>
  <c r="I2564" i="8"/>
  <c r="I2565" i="8"/>
  <c r="I2566" i="8"/>
  <c r="I2567" i="8"/>
  <c r="I2568" i="8"/>
  <c r="I2569" i="8"/>
  <c r="I2570" i="8"/>
  <c r="I2571" i="8"/>
  <c r="I2572" i="8"/>
  <c r="I2573" i="8"/>
  <c r="I2574" i="8"/>
  <c r="I2575" i="8"/>
  <c r="I2576" i="8"/>
  <c r="I2577" i="8"/>
  <c r="I2578" i="8"/>
  <c r="I2579" i="8"/>
  <c r="I2580" i="8"/>
  <c r="I2581" i="8"/>
  <c r="I2582" i="8"/>
  <c r="I2583" i="8"/>
  <c r="I2584" i="8"/>
  <c r="I2585" i="8"/>
  <c r="I2586" i="8"/>
  <c r="I2587" i="8"/>
  <c r="I2588" i="8"/>
  <c r="I2589" i="8"/>
  <c r="I2590" i="8"/>
  <c r="I2591" i="8"/>
  <c r="I2592" i="8"/>
  <c r="I2593" i="8"/>
  <c r="I2594" i="8"/>
  <c r="I2595" i="8"/>
  <c r="I2596" i="8"/>
  <c r="I2597" i="8"/>
  <c r="I2598" i="8"/>
  <c r="I2599" i="8"/>
  <c r="I2600" i="8"/>
  <c r="I2601" i="8"/>
  <c r="I2602" i="8"/>
  <c r="I2603" i="8"/>
  <c r="I2604" i="8"/>
  <c r="I2605" i="8"/>
  <c r="I2606" i="8"/>
  <c r="I2607" i="8"/>
  <c r="I2608" i="8"/>
  <c r="I2609" i="8"/>
  <c r="I2610" i="8"/>
  <c r="I2611" i="8"/>
  <c r="I2612" i="8"/>
  <c r="I2613" i="8"/>
  <c r="I2614" i="8"/>
  <c r="I2615" i="8"/>
  <c r="I2616" i="8"/>
  <c r="I2617" i="8"/>
  <c r="I2618" i="8"/>
  <c r="I2619" i="8"/>
  <c r="I2620" i="8"/>
  <c r="I2621" i="8"/>
  <c r="I2622" i="8"/>
  <c r="I2623" i="8"/>
  <c r="I2624" i="8"/>
  <c r="I2625" i="8"/>
  <c r="I2626" i="8"/>
  <c r="I2627" i="8"/>
  <c r="I2628" i="8"/>
  <c r="I2629" i="8"/>
  <c r="I2630" i="8"/>
  <c r="I2631" i="8"/>
  <c r="I2632" i="8"/>
  <c r="I2633" i="8"/>
  <c r="I2634" i="8"/>
  <c r="I2635" i="8"/>
  <c r="I2636" i="8"/>
  <c r="I2637" i="8"/>
  <c r="I2638" i="8"/>
  <c r="I2639" i="8"/>
  <c r="I2640" i="8"/>
  <c r="I2641" i="8"/>
  <c r="I2642" i="8"/>
  <c r="I2643" i="8"/>
  <c r="I2644" i="8"/>
  <c r="I2645" i="8"/>
  <c r="I2646" i="8"/>
  <c r="I2647" i="8"/>
  <c r="I2648" i="8"/>
  <c r="I2649" i="8"/>
  <c r="I2650" i="8"/>
  <c r="I2651" i="8"/>
  <c r="I2652" i="8"/>
  <c r="I2653" i="8"/>
  <c r="I2654" i="8"/>
  <c r="I2655" i="8"/>
  <c r="I2656" i="8"/>
  <c r="I2657" i="8"/>
  <c r="I2658" i="8"/>
  <c r="I2659" i="8"/>
  <c r="I2660" i="8"/>
  <c r="I2661" i="8"/>
  <c r="I2662" i="8"/>
  <c r="I2663" i="8"/>
  <c r="I2664" i="8"/>
  <c r="I2665" i="8"/>
  <c r="I2666" i="8"/>
  <c r="I2667" i="8"/>
  <c r="I2668" i="8"/>
  <c r="I2669" i="8"/>
  <c r="I2670" i="8"/>
  <c r="I2671" i="8"/>
  <c r="I2672" i="8"/>
  <c r="I2673" i="8"/>
  <c r="I2674" i="8"/>
  <c r="I2675" i="8"/>
  <c r="I2676" i="8"/>
  <c r="I2677" i="8"/>
  <c r="I2678" i="8"/>
  <c r="I2679" i="8"/>
  <c r="I2680" i="8"/>
  <c r="I2681" i="8"/>
  <c r="I2682" i="8"/>
  <c r="I2683" i="8"/>
  <c r="I2684" i="8"/>
  <c r="I2685" i="8"/>
  <c r="I2686" i="8"/>
  <c r="I2687" i="8"/>
  <c r="I2688" i="8"/>
  <c r="I2689" i="8"/>
  <c r="I2690" i="8"/>
  <c r="I2691" i="8"/>
  <c r="I2692" i="8"/>
  <c r="I2693" i="8"/>
  <c r="I2694" i="8"/>
  <c r="I2695" i="8"/>
  <c r="I2696" i="8"/>
  <c r="I2697" i="8"/>
  <c r="I2698" i="8"/>
  <c r="I2699" i="8"/>
  <c r="I2700" i="8"/>
  <c r="I2701" i="8"/>
  <c r="I2702" i="8"/>
  <c r="I2703" i="8"/>
  <c r="I2704" i="8"/>
  <c r="I2705" i="8"/>
  <c r="I2706" i="8"/>
  <c r="I2707" i="8"/>
  <c r="I2708" i="8"/>
  <c r="I2709" i="8"/>
  <c r="I2710" i="8"/>
  <c r="I2711" i="8"/>
  <c r="I2712" i="8"/>
  <c r="I2713" i="8"/>
  <c r="I2714" i="8"/>
  <c r="I2715" i="8"/>
  <c r="I2716" i="8"/>
  <c r="I2717" i="8"/>
  <c r="I2718" i="8"/>
  <c r="I2719" i="8"/>
  <c r="I2720" i="8"/>
  <c r="I2721" i="8"/>
  <c r="I2722" i="8"/>
  <c r="I2723" i="8"/>
  <c r="I2724" i="8"/>
  <c r="I2725" i="8"/>
  <c r="I2726" i="8"/>
  <c r="I2727" i="8"/>
  <c r="I2728" i="8"/>
  <c r="I2729" i="8"/>
  <c r="I2730" i="8"/>
  <c r="I2731" i="8"/>
  <c r="I2732" i="8"/>
  <c r="I2733" i="8"/>
  <c r="I2734" i="8"/>
  <c r="I2735" i="8"/>
  <c r="I2736" i="8"/>
  <c r="I2737" i="8"/>
  <c r="I2738" i="8"/>
  <c r="I2739" i="8"/>
  <c r="I1357" i="8"/>
  <c r="I122" i="8"/>
  <c r="I123" i="8"/>
  <c r="I124" i="8"/>
  <c r="I125" i="8"/>
  <c r="I126" i="8"/>
  <c r="I127" i="8"/>
  <c r="I128" i="8"/>
  <c r="I129" i="8"/>
  <c r="I130" i="8"/>
  <c r="I131" i="8"/>
  <c r="I132" i="8"/>
  <c r="I133" i="8"/>
  <c r="I134" i="8"/>
  <c r="I135" i="8"/>
  <c r="I136" i="8"/>
  <c r="I137" i="8"/>
  <c r="I138" i="8"/>
  <c r="I139" i="8"/>
  <c r="I140" i="8"/>
  <c r="I141" i="8"/>
  <c r="I142" i="8"/>
  <c r="I143" i="8"/>
  <c r="I144" i="8"/>
  <c r="I145" i="8"/>
  <c r="I146" i="8"/>
  <c r="I147" i="8"/>
  <c r="I148" i="8"/>
  <c r="I149" i="8"/>
  <c r="I150" i="8"/>
  <c r="I151" i="8"/>
  <c r="I152" i="8"/>
  <c r="I153" i="8"/>
  <c r="I154" i="8"/>
  <c r="I155" i="8"/>
  <c r="I156" i="8"/>
  <c r="I157" i="8"/>
  <c r="I158" i="8"/>
  <c r="I159" i="8"/>
  <c r="I160" i="8"/>
  <c r="I161" i="8"/>
  <c r="I162" i="8"/>
  <c r="I163" i="8"/>
  <c r="I164" i="8"/>
  <c r="I165" i="8"/>
  <c r="I166" i="8"/>
  <c r="I167" i="8"/>
  <c r="I168" i="8"/>
  <c r="I169" i="8"/>
  <c r="I170" i="8"/>
  <c r="I171" i="8"/>
  <c r="I172" i="8"/>
  <c r="I173" i="8"/>
  <c r="I174" i="8"/>
  <c r="I175" i="8"/>
  <c r="I176" i="8"/>
  <c r="I177" i="8"/>
  <c r="I178" i="8"/>
  <c r="I179" i="8"/>
  <c r="I180" i="8"/>
  <c r="I181" i="8"/>
  <c r="I182" i="8"/>
  <c r="I183" i="8"/>
  <c r="I184" i="8"/>
  <c r="I185" i="8"/>
  <c r="I186" i="8"/>
  <c r="I187" i="8"/>
  <c r="I188" i="8"/>
  <c r="I189" i="8"/>
  <c r="I190" i="8"/>
  <c r="I191" i="8"/>
  <c r="I192" i="8"/>
  <c r="I193" i="8"/>
  <c r="I194" i="8"/>
  <c r="I195" i="8"/>
  <c r="I196" i="8"/>
  <c r="I197" i="8"/>
  <c r="I198" i="8"/>
  <c r="I199" i="8"/>
  <c r="I200" i="8"/>
  <c r="I201" i="8"/>
  <c r="I202" i="8"/>
  <c r="I203" i="8"/>
  <c r="I204" i="8"/>
  <c r="I205" i="8"/>
  <c r="I206" i="8"/>
  <c r="I207" i="8"/>
  <c r="I208" i="8"/>
  <c r="I209" i="8"/>
  <c r="I210" i="8"/>
  <c r="I211" i="8"/>
  <c r="I212" i="8"/>
  <c r="I213" i="8"/>
  <c r="I214" i="8"/>
  <c r="I215" i="8"/>
  <c r="I216" i="8"/>
  <c r="I217" i="8"/>
  <c r="I218" i="8"/>
  <c r="I219" i="8"/>
  <c r="I220" i="8"/>
  <c r="I221" i="8"/>
  <c r="I222" i="8"/>
  <c r="I223" i="8"/>
  <c r="I224" i="8"/>
  <c r="I225" i="8"/>
  <c r="I226" i="8"/>
  <c r="I227" i="8"/>
  <c r="I228" i="8"/>
  <c r="I229" i="8"/>
  <c r="I230" i="8"/>
  <c r="I231" i="8"/>
  <c r="I232" i="8"/>
  <c r="I233" i="8"/>
  <c r="I234" i="8"/>
  <c r="I235" i="8"/>
  <c r="I236" i="8"/>
  <c r="I237" i="8"/>
  <c r="I238" i="8"/>
  <c r="I239" i="8"/>
  <c r="I240" i="8"/>
  <c r="I241" i="8"/>
  <c r="I242" i="8"/>
  <c r="I243" i="8"/>
  <c r="I244" i="8"/>
  <c r="I245" i="8"/>
  <c r="I246" i="8"/>
  <c r="I247" i="8"/>
  <c r="I248" i="8"/>
  <c r="I249" i="8"/>
  <c r="I250" i="8"/>
  <c r="I251" i="8"/>
  <c r="I252" i="8"/>
  <c r="I253" i="8"/>
  <c r="I254" i="8"/>
  <c r="I255" i="8"/>
  <c r="I256" i="8"/>
  <c r="I257" i="8"/>
  <c r="I258" i="8"/>
  <c r="I259" i="8"/>
  <c r="I260" i="8"/>
  <c r="I261" i="8"/>
  <c r="I262" i="8"/>
  <c r="I263" i="8"/>
  <c r="I264" i="8"/>
  <c r="I265" i="8"/>
  <c r="I266" i="8"/>
  <c r="I267" i="8"/>
  <c r="I268" i="8"/>
  <c r="I269" i="8"/>
  <c r="I270" i="8"/>
  <c r="I271" i="8"/>
  <c r="I272" i="8"/>
  <c r="I273" i="8"/>
  <c r="I274" i="8"/>
  <c r="I275" i="8"/>
  <c r="I276" i="8"/>
  <c r="I277" i="8"/>
  <c r="I278" i="8"/>
  <c r="I279" i="8"/>
  <c r="I280" i="8"/>
  <c r="I281" i="8"/>
  <c r="I282" i="8"/>
  <c r="I283" i="8"/>
  <c r="I284" i="8"/>
  <c r="I285" i="8"/>
  <c r="I286" i="8"/>
  <c r="I287" i="8"/>
  <c r="I288" i="8"/>
  <c r="I289" i="8"/>
  <c r="I290" i="8"/>
  <c r="I291" i="8"/>
  <c r="I292" i="8"/>
  <c r="I293" i="8"/>
  <c r="I294" i="8"/>
  <c r="I295" i="8"/>
  <c r="I296" i="8"/>
  <c r="I297" i="8"/>
  <c r="I298" i="8"/>
  <c r="I299" i="8"/>
  <c r="I300" i="8"/>
  <c r="I301" i="8"/>
  <c r="I302" i="8"/>
  <c r="I303" i="8"/>
  <c r="I304" i="8"/>
  <c r="I305" i="8"/>
  <c r="I306" i="8"/>
  <c r="I307" i="8"/>
  <c r="I308" i="8"/>
  <c r="I309" i="8"/>
  <c r="I310" i="8"/>
  <c r="I311" i="8"/>
  <c r="I312" i="8"/>
  <c r="I313" i="8"/>
  <c r="I314" i="8"/>
  <c r="I315" i="8"/>
  <c r="I316" i="8"/>
  <c r="I317" i="8"/>
  <c r="I318" i="8"/>
  <c r="I319" i="8"/>
  <c r="I320" i="8"/>
  <c r="I321" i="8"/>
  <c r="I322" i="8"/>
  <c r="I323" i="8"/>
  <c r="I324" i="8"/>
  <c r="I325" i="8"/>
  <c r="I326" i="8"/>
  <c r="I327" i="8"/>
  <c r="I328" i="8"/>
  <c r="I329" i="8"/>
  <c r="I330" i="8"/>
  <c r="I331" i="8"/>
  <c r="I332" i="8"/>
  <c r="I333" i="8"/>
  <c r="I334" i="8"/>
  <c r="I335" i="8"/>
  <c r="I336" i="8"/>
  <c r="I337" i="8"/>
  <c r="I338" i="8"/>
  <c r="I339" i="8"/>
  <c r="I340" i="8"/>
  <c r="I341" i="8"/>
  <c r="I342" i="8"/>
  <c r="I343" i="8"/>
  <c r="I344" i="8"/>
  <c r="I345" i="8"/>
  <c r="I346" i="8"/>
  <c r="I347" i="8"/>
  <c r="I348" i="8"/>
  <c r="I349" i="8"/>
  <c r="I350" i="8"/>
  <c r="I351" i="8"/>
  <c r="I352" i="8"/>
  <c r="I353" i="8"/>
  <c r="I354" i="8"/>
  <c r="I355" i="8"/>
  <c r="I356" i="8"/>
  <c r="I357" i="8"/>
  <c r="I358" i="8"/>
  <c r="I359" i="8"/>
  <c r="I360" i="8"/>
  <c r="I361" i="8"/>
  <c r="I362" i="8"/>
  <c r="I363" i="8"/>
  <c r="I364" i="8"/>
  <c r="I365" i="8"/>
  <c r="I366" i="8"/>
  <c r="I367" i="8"/>
  <c r="I368" i="8"/>
  <c r="I369" i="8"/>
  <c r="I370" i="8"/>
  <c r="I371" i="8"/>
  <c r="I372" i="8"/>
  <c r="I373" i="8"/>
  <c r="I374" i="8"/>
  <c r="I375" i="8"/>
  <c r="I376" i="8"/>
  <c r="I377" i="8"/>
  <c r="I378" i="8"/>
  <c r="I379" i="8"/>
  <c r="I380" i="8"/>
  <c r="I381" i="8"/>
  <c r="I382" i="8"/>
  <c r="I383" i="8"/>
  <c r="I384" i="8"/>
  <c r="I385" i="8"/>
  <c r="I386" i="8"/>
  <c r="I387" i="8"/>
  <c r="I388" i="8"/>
  <c r="I389" i="8"/>
  <c r="I390" i="8"/>
  <c r="I391" i="8"/>
  <c r="I392" i="8"/>
  <c r="I393" i="8"/>
  <c r="I394" i="8"/>
  <c r="I395" i="8"/>
  <c r="I396" i="8"/>
  <c r="I397" i="8"/>
  <c r="I398" i="8"/>
  <c r="I399" i="8"/>
  <c r="I400" i="8"/>
  <c r="I401" i="8"/>
  <c r="I402" i="8"/>
  <c r="I403" i="8"/>
  <c r="I404" i="8"/>
  <c r="I405" i="8"/>
  <c r="I406" i="8"/>
  <c r="I407" i="8"/>
  <c r="I408" i="8"/>
  <c r="I409" i="8"/>
  <c r="I410" i="8"/>
  <c r="I411" i="8"/>
  <c r="I412" i="8"/>
  <c r="I413" i="8"/>
  <c r="I414" i="8"/>
  <c r="I415" i="8"/>
  <c r="I416" i="8"/>
  <c r="I417" i="8"/>
  <c r="I418" i="8"/>
  <c r="I419" i="8"/>
  <c r="I420" i="8"/>
  <c r="I421" i="8"/>
  <c r="I422" i="8"/>
  <c r="I423" i="8"/>
  <c r="I424" i="8"/>
  <c r="I425" i="8"/>
  <c r="I426" i="8"/>
  <c r="I427" i="8"/>
  <c r="I428" i="8"/>
  <c r="I429" i="8"/>
  <c r="I430" i="8"/>
  <c r="I431" i="8"/>
  <c r="I432" i="8"/>
  <c r="I433" i="8"/>
  <c r="I434" i="8"/>
  <c r="I435" i="8"/>
  <c r="I436" i="8"/>
  <c r="I437" i="8"/>
  <c r="I438" i="8"/>
  <c r="I439" i="8"/>
  <c r="I440" i="8"/>
  <c r="I441" i="8"/>
  <c r="I442" i="8"/>
  <c r="I443" i="8"/>
  <c r="I444" i="8"/>
  <c r="I445" i="8"/>
  <c r="I446" i="8"/>
  <c r="I447" i="8"/>
  <c r="I448" i="8"/>
  <c r="I449" i="8"/>
  <c r="I450" i="8"/>
  <c r="I451" i="8"/>
  <c r="I452" i="8"/>
  <c r="I453" i="8"/>
  <c r="I454" i="8"/>
  <c r="I455" i="8"/>
  <c r="I456" i="8"/>
  <c r="I457" i="8"/>
  <c r="I458" i="8"/>
  <c r="I459" i="8"/>
  <c r="I460" i="8"/>
  <c r="I461" i="8"/>
  <c r="I462" i="8"/>
  <c r="I463" i="8"/>
  <c r="I464" i="8"/>
  <c r="I465" i="8"/>
  <c r="I466" i="8"/>
  <c r="I467" i="8"/>
  <c r="I468" i="8"/>
  <c r="I469" i="8"/>
  <c r="I470" i="8"/>
  <c r="I471" i="8"/>
  <c r="I472" i="8"/>
  <c r="I473" i="8"/>
  <c r="I474" i="8"/>
  <c r="I475" i="8"/>
  <c r="I476" i="8"/>
  <c r="I477" i="8"/>
  <c r="I478" i="8"/>
  <c r="I479" i="8"/>
  <c r="I480" i="8"/>
  <c r="I481" i="8"/>
  <c r="I482" i="8"/>
  <c r="I483" i="8"/>
  <c r="I484" i="8"/>
  <c r="I485" i="8"/>
  <c r="I486" i="8"/>
  <c r="I487" i="8"/>
  <c r="I488" i="8"/>
  <c r="I489" i="8"/>
  <c r="I490" i="8"/>
  <c r="I491" i="8"/>
  <c r="I492" i="8"/>
  <c r="I493" i="8"/>
  <c r="I494" i="8"/>
  <c r="I495" i="8"/>
  <c r="I496" i="8"/>
  <c r="I497" i="8"/>
  <c r="I498" i="8"/>
  <c r="I499" i="8"/>
  <c r="I500" i="8"/>
  <c r="I501" i="8"/>
  <c r="I502" i="8"/>
  <c r="I503" i="8"/>
  <c r="I504" i="8"/>
  <c r="I505" i="8"/>
  <c r="I506" i="8"/>
  <c r="I507" i="8"/>
  <c r="I508" i="8"/>
  <c r="I509" i="8"/>
  <c r="I510" i="8"/>
  <c r="I511" i="8"/>
  <c r="I512" i="8"/>
  <c r="I513" i="8"/>
  <c r="I514" i="8"/>
  <c r="I515" i="8"/>
  <c r="I516" i="8"/>
  <c r="I517" i="8"/>
  <c r="I518" i="8"/>
  <c r="I519" i="8"/>
  <c r="I520" i="8"/>
  <c r="I521" i="8"/>
  <c r="I522" i="8"/>
  <c r="I523" i="8"/>
  <c r="I524" i="8"/>
  <c r="I525" i="8"/>
  <c r="I526" i="8"/>
  <c r="I527" i="8"/>
  <c r="I528" i="8"/>
  <c r="I529" i="8"/>
  <c r="I530" i="8"/>
  <c r="I531" i="8"/>
  <c r="I532" i="8"/>
  <c r="I533" i="8"/>
  <c r="I534" i="8"/>
  <c r="I535" i="8"/>
  <c r="I536" i="8"/>
  <c r="I537" i="8"/>
  <c r="I538" i="8"/>
  <c r="I539" i="8"/>
  <c r="I540" i="8"/>
  <c r="I541" i="8"/>
  <c r="I542" i="8"/>
  <c r="I543" i="8"/>
  <c r="I544" i="8"/>
  <c r="I545" i="8"/>
  <c r="I546" i="8"/>
  <c r="I547" i="8"/>
  <c r="I548" i="8"/>
  <c r="I549" i="8"/>
  <c r="I550" i="8"/>
  <c r="I551" i="8"/>
  <c r="I552" i="8"/>
  <c r="I553" i="8"/>
  <c r="I554" i="8"/>
  <c r="I555" i="8"/>
  <c r="I556" i="8"/>
  <c r="I557" i="8"/>
  <c r="I558" i="8"/>
  <c r="I559" i="8"/>
  <c r="I560" i="8"/>
  <c r="I561" i="8"/>
  <c r="I562" i="8"/>
  <c r="I563" i="8"/>
  <c r="I564" i="8"/>
  <c r="I565" i="8"/>
  <c r="I566" i="8"/>
  <c r="I567" i="8"/>
  <c r="I568" i="8"/>
  <c r="I569" i="8"/>
  <c r="I570" i="8"/>
  <c r="I571" i="8"/>
  <c r="I572" i="8"/>
  <c r="I573" i="8"/>
  <c r="I574" i="8"/>
  <c r="I575" i="8"/>
  <c r="I576" i="8"/>
  <c r="I577" i="8"/>
  <c r="I578" i="8"/>
  <c r="I579" i="8"/>
  <c r="I580" i="8"/>
  <c r="I581" i="8"/>
  <c r="I582" i="8"/>
  <c r="I583" i="8"/>
  <c r="I584" i="8"/>
  <c r="I585" i="8"/>
  <c r="I586" i="8"/>
  <c r="I587" i="8"/>
  <c r="I588" i="8"/>
  <c r="I589" i="8"/>
  <c r="I590" i="8"/>
  <c r="I591" i="8"/>
  <c r="I592" i="8"/>
  <c r="I593" i="8"/>
  <c r="I594" i="8"/>
  <c r="I595" i="8"/>
  <c r="I596" i="8"/>
  <c r="I597" i="8"/>
  <c r="I598" i="8"/>
  <c r="I599" i="8"/>
  <c r="I600" i="8"/>
  <c r="I601" i="8"/>
  <c r="I602" i="8"/>
  <c r="I603" i="8"/>
  <c r="I604" i="8"/>
  <c r="I605" i="8"/>
  <c r="I606" i="8"/>
  <c r="I607" i="8"/>
  <c r="I608" i="8"/>
  <c r="I609" i="8"/>
  <c r="I610" i="8"/>
  <c r="I611" i="8"/>
  <c r="I612" i="8"/>
  <c r="I613" i="8"/>
  <c r="I614" i="8"/>
  <c r="I615" i="8"/>
  <c r="I616" i="8"/>
  <c r="I617" i="8"/>
  <c r="I618" i="8"/>
  <c r="I619" i="8"/>
  <c r="I620" i="8"/>
  <c r="I621" i="8"/>
  <c r="I622" i="8"/>
  <c r="I623" i="8"/>
  <c r="I624" i="8"/>
  <c r="I625" i="8"/>
  <c r="I626" i="8"/>
  <c r="I627" i="8"/>
  <c r="I628" i="8"/>
  <c r="I629" i="8"/>
  <c r="I630" i="8"/>
  <c r="I631" i="8"/>
  <c r="I632" i="8"/>
  <c r="I633" i="8"/>
  <c r="I634" i="8"/>
  <c r="I635" i="8"/>
  <c r="I636" i="8"/>
  <c r="I637" i="8"/>
  <c r="I638" i="8"/>
  <c r="I639" i="8"/>
  <c r="I640" i="8"/>
  <c r="I641" i="8"/>
  <c r="I642" i="8"/>
  <c r="I643" i="8"/>
  <c r="I644" i="8"/>
  <c r="I645" i="8"/>
  <c r="I646" i="8"/>
  <c r="I647" i="8"/>
  <c r="I648" i="8"/>
  <c r="I649" i="8"/>
  <c r="I650" i="8"/>
  <c r="I651" i="8"/>
  <c r="I652" i="8"/>
  <c r="I653" i="8"/>
  <c r="I654" i="8"/>
  <c r="I655" i="8"/>
  <c r="I656" i="8"/>
  <c r="I657" i="8"/>
  <c r="I658" i="8"/>
  <c r="I659" i="8"/>
  <c r="I660" i="8"/>
  <c r="I661" i="8"/>
  <c r="I662" i="8"/>
  <c r="I663" i="8"/>
  <c r="I664" i="8"/>
  <c r="I665" i="8"/>
  <c r="I666" i="8"/>
  <c r="I667" i="8"/>
  <c r="I668" i="8"/>
  <c r="I669" i="8"/>
  <c r="I670" i="8"/>
  <c r="I671" i="8"/>
  <c r="I672" i="8"/>
  <c r="I673" i="8"/>
  <c r="I674" i="8"/>
  <c r="I675" i="8"/>
  <c r="I676" i="8"/>
  <c r="I677" i="8"/>
  <c r="I678" i="8"/>
  <c r="I679" i="8"/>
  <c r="I680" i="8"/>
  <c r="I681" i="8"/>
  <c r="I682" i="8"/>
  <c r="I683" i="8"/>
  <c r="I684" i="8"/>
  <c r="I685" i="8"/>
  <c r="I686" i="8"/>
  <c r="I687" i="8"/>
  <c r="I688" i="8"/>
  <c r="I689" i="8"/>
  <c r="I690" i="8"/>
  <c r="I691" i="8"/>
  <c r="I692" i="8"/>
  <c r="I693" i="8"/>
  <c r="I694" i="8"/>
  <c r="I695" i="8"/>
  <c r="I696" i="8"/>
  <c r="I697" i="8"/>
  <c r="I698" i="8"/>
  <c r="I699" i="8"/>
  <c r="I700" i="8"/>
  <c r="I701" i="8"/>
  <c r="I702" i="8"/>
  <c r="I703" i="8"/>
  <c r="I704" i="8"/>
  <c r="I705" i="8"/>
  <c r="I706" i="8"/>
  <c r="I707" i="8"/>
  <c r="I708" i="8"/>
  <c r="I709" i="8"/>
  <c r="I710" i="8"/>
  <c r="I711" i="8"/>
  <c r="I712" i="8"/>
  <c r="I713" i="8"/>
  <c r="I714" i="8"/>
  <c r="I715" i="8"/>
  <c r="I716" i="8"/>
  <c r="I717" i="8"/>
  <c r="I718" i="8"/>
  <c r="I719" i="8"/>
  <c r="I720" i="8"/>
  <c r="I721" i="8"/>
  <c r="I722" i="8"/>
  <c r="I723" i="8"/>
  <c r="I724" i="8"/>
  <c r="I725" i="8"/>
  <c r="I726" i="8"/>
  <c r="I727" i="8"/>
  <c r="I728" i="8"/>
  <c r="I729" i="8"/>
  <c r="I730" i="8"/>
  <c r="I731" i="8"/>
  <c r="I732" i="8"/>
  <c r="I733" i="8"/>
  <c r="I734" i="8"/>
  <c r="I735" i="8"/>
  <c r="I736" i="8"/>
  <c r="I737" i="8"/>
  <c r="I738" i="8"/>
  <c r="I739" i="8"/>
  <c r="I740" i="8"/>
  <c r="I741" i="8"/>
  <c r="I742" i="8"/>
  <c r="I743" i="8"/>
  <c r="I744" i="8"/>
  <c r="I745" i="8"/>
  <c r="I746" i="8"/>
  <c r="I747" i="8"/>
  <c r="I748" i="8"/>
  <c r="I749" i="8"/>
  <c r="I750" i="8"/>
  <c r="I751" i="8"/>
  <c r="I752" i="8"/>
  <c r="I753" i="8"/>
  <c r="I754" i="8"/>
  <c r="I755" i="8"/>
  <c r="I756" i="8"/>
  <c r="I757" i="8"/>
  <c r="I758" i="8"/>
  <c r="I759" i="8"/>
  <c r="I760" i="8"/>
  <c r="I761" i="8"/>
  <c r="I762" i="8"/>
  <c r="I763" i="8"/>
  <c r="I764" i="8"/>
  <c r="I765" i="8"/>
  <c r="I766" i="8"/>
  <c r="I767" i="8"/>
  <c r="I768" i="8"/>
  <c r="I769" i="8"/>
  <c r="I770" i="8"/>
  <c r="I771" i="8"/>
  <c r="I772" i="8"/>
  <c r="I773" i="8"/>
  <c r="I774" i="8"/>
  <c r="I775" i="8"/>
  <c r="I776" i="8"/>
  <c r="I777" i="8"/>
  <c r="I778" i="8"/>
  <c r="I779" i="8"/>
  <c r="I780" i="8"/>
  <c r="I781" i="8"/>
  <c r="I782" i="8"/>
  <c r="I783" i="8"/>
  <c r="I784" i="8"/>
  <c r="I785" i="8"/>
  <c r="I786" i="8"/>
  <c r="I787" i="8"/>
  <c r="I788" i="8"/>
  <c r="I789" i="8"/>
  <c r="I790" i="8"/>
  <c r="I791" i="8"/>
  <c r="I792" i="8"/>
  <c r="I793" i="8"/>
  <c r="I794" i="8"/>
  <c r="I795" i="8"/>
  <c r="I796" i="8"/>
  <c r="I797" i="8"/>
  <c r="I798" i="8"/>
  <c r="I799" i="8"/>
  <c r="I800" i="8"/>
  <c r="I801" i="8"/>
  <c r="I802" i="8"/>
  <c r="I803" i="8"/>
  <c r="I804" i="8"/>
  <c r="I805" i="8"/>
  <c r="I806" i="8"/>
  <c r="I807" i="8"/>
  <c r="I808" i="8"/>
  <c r="I809" i="8"/>
  <c r="I810" i="8"/>
  <c r="I811" i="8"/>
  <c r="I812" i="8"/>
  <c r="I813" i="8"/>
  <c r="I814" i="8"/>
  <c r="I815" i="8"/>
  <c r="I816" i="8"/>
  <c r="I817" i="8"/>
  <c r="I818" i="8"/>
  <c r="I819" i="8"/>
  <c r="I820" i="8"/>
  <c r="I821" i="8"/>
  <c r="I822" i="8"/>
  <c r="I823" i="8"/>
  <c r="I824" i="8"/>
  <c r="I825" i="8"/>
  <c r="I826" i="8"/>
  <c r="I827" i="8"/>
  <c r="I828" i="8"/>
  <c r="I829" i="8"/>
  <c r="I830" i="8"/>
  <c r="I831" i="8"/>
  <c r="I832" i="8"/>
  <c r="I833" i="8"/>
  <c r="I834" i="8"/>
  <c r="I835" i="8"/>
  <c r="I836" i="8"/>
  <c r="I837" i="8"/>
  <c r="I838" i="8"/>
  <c r="I839" i="8"/>
  <c r="I840" i="8"/>
  <c r="I841" i="8"/>
  <c r="I842" i="8"/>
  <c r="I843" i="8"/>
  <c r="I844" i="8"/>
  <c r="I845" i="8"/>
  <c r="I846" i="8"/>
  <c r="I847" i="8"/>
  <c r="I848" i="8"/>
  <c r="I849" i="8"/>
  <c r="I850" i="8"/>
  <c r="I851" i="8"/>
  <c r="I852" i="8"/>
  <c r="I853" i="8"/>
  <c r="I854" i="8"/>
  <c r="I855" i="8"/>
  <c r="I856" i="8"/>
  <c r="I857" i="8"/>
  <c r="I858" i="8"/>
  <c r="I859" i="8"/>
  <c r="I860" i="8"/>
  <c r="I861" i="8"/>
  <c r="I862" i="8"/>
  <c r="I863" i="8"/>
  <c r="I864" i="8"/>
  <c r="I865" i="8"/>
  <c r="I866" i="8"/>
  <c r="I867" i="8"/>
  <c r="I868" i="8"/>
  <c r="I869" i="8"/>
  <c r="I870" i="8"/>
  <c r="I871" i="8"/>
  <c r="I872" i="8"/>
  <c r="I873" i="8"/>
  <c r="I874" i="8"/>
  <c r="I875" i="8"/>
  <c r="I876" i="8"/>
  <c r="I877" i="8"/>
  <c r="I878" i="8"/>
  <c r="I879" i="8"/>
  <c r="I880" i="8"/>
  <c r="I881" i="8"/>
  <c r="I882" i="8"/>
  <c r="I883" i="8"/>
  <c r="I884" i="8"/>
  <c r="I885" i="8"/>
  <c r="I886" i="8"/>
  <c r="I887" i="8"/>
  <c r="I888" i="8"/>
  <c r="I889" i="8"/>
  <c r="I890" i="8"/>
  <c r="I891" i="8"/>
  <c r="I892" i="8"/>
  <c r="I893" i="8"/>
  <c r="I894" i="8"/>
  <c r="I895" i="8"/>
  <c r="I896" i="8"/>
  <c r="I897" i="8"/>
  <c r="I898" i="8"/>
  <c r="I899" i="8"/>
  <c r="I900" i="8"/>
  <c r="I901" i="8"/>
  <c r="I902" i="8"/>
  <c r="I903" i="8"/>
  <c r="I904" i="8"/>
  <c r="I905" i="8"/>
  <c r="I906" i="8"/>
  <c r="I907" i="8"/>
  <c r="I908" i="8"/>
  <c r="I909" i="8"/>
  <c r="I910" i="8"/>
  <c r="I911" i="8"/>
  <c r="I912" i="8"/>
  <c r="I913" i="8"/>
  <c r="I914" i="8"/>
  <c r="I915" i="8"/>
  <c r="I916" i="8"/>
  <c r="I917" i="8"/>
  <c r="I918" i="8"/>
  <c r="I919" i="8"/>
  <c r="I920" i="8"/>
  <c r="I921" i="8"/>
  <c r="I922" i="8"/>
  <c r="I923" i="8"/>
  <c r="I924" i="8"/>
  <c r="I925" i="8"/>
  <c r="I926" i="8"/>
  <c r="I927" i="8"/>
  <c r="I928" i="8"/>
  <c r="I929" i="8"/>
  <c r="I930" i="8"/>
  <c r="I931" i="8"/>
  <c r="I932" i="8"/>
  <c r="I933" i="8"/>
  <c r="I934" i="8"/>
  <c r="I935" i="8"/>
  <c r="I936" i="8"/>
  <c r="I937" i="8"/>
  <c r="I938" i="8"/>
  <c r="I939" i="8"/>
  <c r="I940" i="8"/>
  <c r="I941" i="8"/>
  <c r="I942" i="8"/>
  <c r="I943" i="8"/>
  <c r="I944" i="8"/>
  <c r="I945" i="8"/>
  <c r="I946" i="8"/>
  <c r="I947" i="8"/>
  <c r="I948" i="8"/>
  <c r="I949" i="8"/>
  <c r="I950" i="8"/>
  <c r="I951" i="8"/>
  <c r="I952" i="8"/>
  <c r="I953" i="8"/>
  <c r="I954" i="8"/>
  <c r="I955" i="8"/>
  <c r="I956" i="8"/>
  <c r="I957" i="8"/>
  <c r="I958" i="8"/>
  <c r="I959" i="8"/>
  <c r="I960" i="8"/>
  <c r="I961" i="8"/>
  <c r="I962" i="8"/>
  <c r="I963" i="8"/>
  <c r="I964" i="8"/>
  <c r="I965" i="8"/>
  <c r="I966" i="8"/>
  <c r="I967" i="8"/>
  <c r="I968" i="8"/>
  <c r="I969" i="8"/>
  <c r="I970" i="8"/>
  <c r="I971" i="8"/>
  <c r="I972" i="8"/>
  <c r="I973" i="8"/>
  <c r="I974" i="8"/>
  <c r="I975" i="8"/>
  <c r="I976" i="8"/>
  <c r="I977" i="8"/>
  <c r="I978" i="8"/>
  <c r="I979" i="8"/>
  <c r="I980" i="8"/>
  <c r="I981" i="8"/>
  <c r="I982" i="8"/>
  <c r="I983" i="8"/>
  <c r="I984" i="8"/>
  <c r="I985" i="8"/>
  <c r="I986" i="8"/>
  <c r="I987" i="8"/>
  <c r="I988" i="8"/>
  <c r="I989" i="8"/>
  <c r="I990" i="8"/>
  <c r="I991" i="8"/>
  <c r="I992" i="8"/>
  <c r="I993" i="8"/>
  <c r="I994" i="8"/>
  <c r="I995" i="8"/>
  <c r="I996" i="8"/>
  <c r="I997" i="8"/>
  <c r="I998" i="8"/>
  <c r="I999" i="8"/>
  <c r="I1000" i="8"/>
  <c r="I1001" i="8"/>
  <c r="I1002" i="8"/>
  <c r="I1003" i="8"/>
  <c r="I1004" i="8"/>
  <c r="I1005" i="8"/>
  <c r="I1006" i="8"/>
  <c r="I1007" i="8"/>
  <c r="I1008" i="8"/>
  <c r="I1009" i="8"/>
  <c r="I1010" i="8"/>
  <c r="I1011" i="8"/>
  <c r="I1012" i="8"/>
  <c r="I1013" i="8"/>
  <c r="I1014" i="8"/>
  <c r="I1015" i="8"/>
  <c r="I1016" i="8"/>
  <c r="I1017" i="8"/>
  <c r="I1018" i="8"/>
  <c r="I1019" i="8"/>
  <c r="I1020" i="8"/>
  <c r="I1021" i="8"/>
  <c r="I1022" i="8"/>
  <c r="I1023" i="8"/>
  <c r="I1024" i="8"/>
  <c r="I1025" i="8"/>
  <c r="I1026" i="8"/>
  <c r="I1027" i="8"/>
  <c r="I1028" i="8"/>
  <c r="I1029" i="8"/>
  <c r="I1030" i="8"/>
  <c r="I1031" i="8"/>
  <c r="I1032" i="8"/>
  <c r="I1033" i="8"/>
  <c r="I1034" i="8"/>
  <c r="I1035" i="8"/>
  <c r="I1036" i="8"/>
  <c r="I1037" i="8"/>
  <c r="I1038" i="8"/>
  <c r="I1039" i="8"/>
  <c r="I1040" i="8"/>
  <c r="I1041" i="8"/>
  <c r="I1042" i="8"/>
  <c r="I1043" i="8"/>
  <c r="I1044" i="8"/>
  <c r="I1045" i="8"/>
  <c r="I1046" i="8"/>
  <c r="I1047" i="8"/>
  <c r="I1048" i="8"/>
  <c r="I1049" i="8"/>
  <c r="I1050" i="8"/>
  <c r="I1051" i="8"/>
  <c r="I1052" i="8"/>
  <c r="I1053" i="8"/>
  <c r="I1054" i="8"/>
  <c r="I1055" i="8"/>
  <c r="I1056" i="8"/>
  <c r="I1057" i="8"/>
  <c r="I1058" i="8"/>
  <c r="I1059" i="8"/>
  <c r="I1060" i="8"/>
  <c r="I1061" i="8"/>
  <c r="I1062" i="8"/>
  <c r="I1063" i="8"/>
  <c r="I1064" i="8"/>
  <c r="I1065" i="8"/>
  <c r="I1066" i="8"/>
  <c r="I1067" i="8"/>
  <c r="I1068" i="8"/>
  <c r="I1069" i="8"/>
  <c r="I1070" i="8"/>
  <c r="I1071" i="8"/>
  <c r="I1072" i="8"/>
  <c r="I1073" i="8"/>
  <c r="I1074" i="8"/>
  <c r="I1075" i="8"/>
  <c r="I1076" i="8"/>
  <c r="I1077" i="8"/>
  <c r="I1078" i="8"/>
  <c r="I1079" i="8"/>
  <c r="I1080" i="8"/>
  <c r="I1081" i="8"/>
  <c r="I1082" i="8"/>
  <c r="I1083" i="8"/>
  <c r="I1084" i="8"/>
  <c r="I1085" i="8"/>
  <c r="I1086" i="8"/>
  <c r="I1087" i="8"/>
  <c r="I1088" i="8"/>
  <c r="I1089" i="8"/>
  <c r="I1090" i="8"/>
  <c r="I1091" i="8"/>
  <c r="I1092" i="8"/>
  <c r="I1093" i="8"/>
  <c r="I1094" i="8"/>
  <c r="I1095" i="8"/>
  <c r="I1096" i="8"/>
  <c r="I1097" i="8"/>
  <c r="I1098" i="8"/>
  <c r="I1099" i="8"/>
  <c r="I1100" i="8"/>
  <c r="I1101" i="8"/>
  <c r="I1102" i="8"/>
  <c r="I1103" i="8"/>
  <c r="I1104" i="8"/>
  <c r="I1105" i="8"/>
  <c r="I1106" i="8"/>
  <c r="I1107" i="8"/>
  <c r="I1108" i="8"/>
  <c r="I1109" i="8"/>
  <c r="I1110" i="8"/>
  <c r="I1111" i="8"/>
  <c r="I1112" i="8"/>
  <c r="I1113" i="8"/>
  <c r="I1114" i="8"/>
  <c r="I1115" i="8"/>
  <c r="I1116" i="8"/>
  <c r="I1117" i="8"/>
  <c r="I1118" i="8"/>
  <c r="I1119" i="8"/>
  <c r="I1120" i="8"/>
  <c r="I1121" i="8"/>
  <c r="I1122" i="8"/>
  <c r="I1123" i="8"/>
  <c r="I1124" i="8"/>
  <c r="I1125" i="8"/>
  <c r="I1126" i="8"/>
  <c r="I1127" i="8"/>
  <c r="I1128" i="8"/>
  <c r="I1129" i="8"/>
  <c r="I1130" i="8"/>
  <c r="I1131" i="8"/>
  <c r="I1132" i="8"/>
  <c r="I1133" i="8"/>
  <c r="I1134" i="8"/>
  <c r="I1135" i="8"/>
  <c r="I1136" i="8"/>
  <c r="I1137" i="8"/>
  <c r="I1138" i="8"/>
  <c r="I1139" i="8"/>
  <c r="I1140" i="8"/>
  <c r="I1141" i="8"/>
  <c r="I1142" i="8"/>
  <c r="I1143" i="8"/>
  <c r="I1144" i="8"/>
  <c r="I1145" i="8"/>
  <c r="I1146" i="8"/>
  <c r="I1147" i="8"/>
  <c r="I1148" i="8"/>
  <c r="I1149" i="8"/>
  <c r="I1150" i="8"/>
  <c r="I1151" i="8"/>
  <c r="I1152" i="8"/>
  <c r="I1153" i="8"/>
  <c r="I1154" i="8"/>
  <c r="I1155" i="8"/>
  <c r="I1156" i="8"/>
  <c r="I1157" i="8"/>
  <c r="I1158" i="8"/>
  <c r="I1159" i="8"/>
  <c r="I1160" i="8"/>
  <c r="I1161" i="8"/>
  <c r="I1162" i="8"/>
  <c r="I1163" i="8"/>
  <c r="I1164" i="8"/>
  <c r="I1165" i="8"/>
  <c r="I1166" i="8"/>
  <c r="I1167" i="8"/>
  <c r="I1168" i="8"/>
  <c r="I1169" i="8"/>
  <c r="I1170" i="8"/>
  <c r="I1171" i="8"/>
  <c r="I1172" i="8"/>
  <c r="I1173" i="8"/>
  <c r="I1174" i="8"/>
  <c r="I1175" i="8"/>
  <c r="I1176" i="8"/>
  <c r="I1177" i="8"/>
  <c r="I1178" i="8"/>
  <c r="I1179" i="8"/>
  <c r="I1180" i="8"/>
  <c r="I1181" i="8"/>
  <c r="I1182" i="8"/>
  <c r="I1183" i="8"/>
  <c r="I1184" i="8"/>
  <c r="I1185" i="8"/>
  <c r="I1186" i="8"/>
  <c r="I1187" i="8"/>
  <c r="I1188" i="8"/>
  <c r="I1189" i="8"/>
  <c r="I1190" i="8"/>
  <c r="I1191" i="8"/>
  <c r="I1192" i="8"/>
  <c r="I1193" i="8"/>
  <c r="I1194" i="8"/>
  <c r="I1195" i="8"/>
  <c r="I1196" i="8"/>
  <c r="I1197" i="8"/>
  <c r="I1198" i="8"/>
  <c r="I1199" i="8"/>
  <c r="I1200" i="8"/>
  <c r="I1201" i="8"/>
  <c r="I1202" i="8"/>
  <c r="I1203" i="8"/>
  <c r="I1204" i="8"/>
  <c r="I1205" i="8"/>
  <c r="I1206" i="8"/>
  <c r="I1207" i="8"/>
  <c r="I1208" i="8"/>
  <c r="I1209" i="8"/>
  <c r="I1210" i="8"/>
  <c r="I1211" i="8"/>
  <c r="I1212" i="8"/>
  <c r="I1213" i="8"/>
  <c r="I1214" i="8"/>
  <c r="I1215" i="8"/>
  <c r="I1216" i="8"/>
  <c r="I1217" i="8"/>
  <c r="I1218" i="8"/>
  <c r="I1219" i="8"/>
  <c r="I1220" i="8"/>
  <c r="I1221" i="8"/>
  <c r="I1222" i="8"/>
  <c r="I1223" i="8"/>
  <c r="I1224" i="8"/>
  <c r="I1225" i="8"/>
  <c r="I1226" i="8"/>
  <c r="I1227" i="8"/>
  <c r="I1228" i="8"/>
  <c r="I1229" i="8"/>
  <c r="I1230" i="8"/>
  <c r="I1231" i="8"/>
  <c r="I1232" i="8"/>
  <c r="I1233" i="8"/>
  <c r="I1234" i="8"/>
  <c r="I1235" i="8"/>
  <c r="I1236" i="8"/>
  <c r="I1237" i="8"/>
  <c r="I1238" i="8"/>
  <c r="I1239" i="8"/>
  <c r="I1240" i="8"/>
  <c r="I1241" i="8"/>
  <c r="I1242" i="8"/>
  <c r="I1243" i="8"/>
  <c r="I1244" i="8"/>
  <c r="I1245" i="8"/>
  <c r="I1246" i="8"/>
  <c r="I1247" i="8"/>
  <c r="I1248" i="8"/>
  <c r="I1249" i="8"/>
  <c r="I1250" i="8"/>
  <c r="I1251" i="8"/>
  <c r="I1252" i="8"/>
  <c r="I1253" i="8"/>
  <c r="I1254" i="8"/>
  <c r="I1255" i="8"/>
  <c r="I1256" i="8"/>
  <c r="I1257" i="8"/>
  <c r="I1258" i="8"/>
  <c r="I1259" i="8"/>
  <c r="I1260" i="8"/>
  <c r="I1261" i="8"/>
  <c r="I1262" i="8"/>
  <c r="I1263" i="8"/>
  <c r="I1264" i="8"/>
  <c r="I1265" i="8"/>
  <c r="I1266" i="8"/>
  <c r="I1267" i="8"/>
  <c r="I1268" i="8"/>
  <c r="I1269" i="8"/>
  <c r="I1270" i="8"/>
  <c r="I1271" i="8"/>
  <c r="I1272" i="8"/>
  <c r="I1273" i="8"/>
  <c r="I1274" i="8"/>
  <c r="I1275" i="8"/>
  <c r="I1276" i="8"/>
  <c r="I1277" i="8"/>
  <c r="I1278" i="8"/>
  <c r="I1279" i="8"/>
  <c r="I1280" i="8"/>
  <c r="I1281" i="8"/>
  <c r="I1282" i="8"/>
  <c r="I1283" i="8"/>
  <c r="I1284" i="8"/>
  <c r="I1285" i="8"/>
  <c r="I1286" i="8"/>
  <c r="I1287" i="8"/>
  <c r="I1288" i="8"/>
  <c r="I1289" i="8"/>
  <c r="I1290" i="8"/>
  <c r="I1291" i="8"/>
  <c r="I1292" i="8"/>
  <c r="I1293" i="8"/>
  <c r="I1294" i="8"/>
  <c r="I1295" i="8"/>
  <c r="I1296" i="8"/>
  <c r="I1297" i="8"/>
  <c r="I1298" i="8"/>
  <c r="I1299" i="8"/>
  <c r="I1300" i="8"/>
  <c r="I1301" i="8"/>
  <c r="I1302" i="8"/>
  <c r="I1303" i="8"/>
  <c r="I1304" i="8"/>
  <c r="I1305" i="8"/>
  <c r="I1306" i="8"/>
  <c r="I1307" i="8"/>
  <c r="I1308" i="8"/>
  <c r="I1309" i="8"/>
  <c r="I1310" i="8"/>
  <c r="I1311" i="8"/>
  <c r="I1312" i="8"/>
  <c r="I1313" i="8"/>
  <c r="I1314" i="8"/>
  <c r="I1315" i="8"/>
  <c r="I1316" i="8"/>
  <c r="I1317" i="8"/>
  <c r="I1318" i="8"/>
  <c r="I1319" i="8"/>
  <c r="I1320" i="8"/>
  <c r="I1321" i="8"/>
  <c r="I1322" i="8"/>
  <c r="I1323" i="8"/>
  <c r="I1324" i="8"/>
  <c r="I1325" i="8"/>
  <c r="I1326" i="8"/>
  <c r="I1327" i="8"/>
  <c r="I1328" i="8"/>
  <c r="I1329" i="8"/>
  <c r="I1330" i="8"/>
  <c r="I1331" i="8"/>
  <c r="I1332" i="8"/>
  <c r="I1333" i="8"/>
  <c r="I1334" i="8"/>
  <c r="I1335" i="8"/>
  <c r="I1336" i="8"/>
  <c r="I1337" i="8"/>
  <c r="I1338" i="8"/>
  <c r="I1339" i="8"/>
  <c r="I1340" i="8"/>
  <c r="I1341" i="8"/>
  <c r="I1342" i="8"/>
  <c r="I1343" i="8"/>
  <c r="I1344" i="8"/>
  <c r="I1345" i="8"/>
  <c r="I1346" i="8"/>
  <c r="I1347" i="8"/>
  <c r="I1348" i="8"/>
  <c r="I1349" i="8"/>
  <c r="I1350" i="8"/>
  <c r="I1351" i="8"/>
  <c r="I1352" i="8"/>
  <c r="I1353" i="8"/>
  <c r="I1354" i="8"/>
  <c r="I1355" i="8"/>
  <c r="I1356" i="8"/>
  <c r="I3" i="8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5" i="8"/>
  <c r="I36" i="8"/>
  <c r="I37" i="8"/>
  <c r="I38" i="8"/>
  <c r="I39" i="8"/>
  <c r="I40" i="8"/>
  <c r="I41" i="8"/>
  <c r="I42" i="8"/>
  <c r="I43" i="8"/>
  <c r="I44" i="8"/>
  <c r="I45" i="8"/>
  <c r="I46" i="8"/>
  <c r="I47" i="8"/>
  <c r="I48" i="8"/>
  <c r="I49" i="8"/>
  <c r="I50" i="8"/>
  <c r="I51" i="8"/>
  <c r="I52" i="8"/>
  <c r="I53" i="8"/>
  <c r="I54" i="8"/>
  <c r="I55" i="8"/>
  <c r="I56" i="8"/>
  <c r="I57" i="8"/>
  <c r="I58" i="8"/>
  <c r="I59" i="8"/>
  <c r="I60" i="8"/>
  <c r="I61" i="8"/>
  <c r="I62" i="8"/>
  <c r="I63" i="8"/>
  <c r="I64" i="8"/>
  <c r="I65" i="8"/>
  <c r="I66" i="8"/>
  <c r="I67" i="8"/>
  <c r="I68" i="8"/>
  <c r="I69" i="8"/>
  <c r="I70" i="8"/>
  <c r="I71" i="8"/>
  <c r="I72" i="8"/>
  <c r="I73" i="8"/>
  <c r="I74" i="8"/>
  <c r="I75" i="8"/>
  <c r="I76" i="8"/>
  <c r="I77" i="8"/>
  <c r="I78" i="8"/>
  <c r="I79" i="8"/>
  <c r="I80" i="8"/>
  <c r="I81" i="8"/>
  <c r="I82" i="8"/>
  <c r="I83" i="8"/>
  <c r="I84" i="8"/>
  <c r="I85" i="8"/>
  <c r="I86" i="8"/>
  <c r="I87" i="8"/>
  <c r="I88" i="8"/>
  <c r="I89" i="8"/>
  <c r="I90" i="8"/>
  <c r="I91" i="8"/>
  <c r="I92" i="8"/>
  <c r="I93" i="8"/>
  <c r="I94" i="8"/>
  <c r="I95" i="8"/>
  <c r="I96" i="8"/>
  <c r="I97" i="8"/>
  <c r="I98" i="8"/>
  <c r="I99" i="8"/>
  <c r="I100" i="8"/>
  <c r="I101" i="8"/>
  <c r="I102" i="8"/>
  <c r="I103" i="8"/>
  <c r="I104" i="8"/>
  <c r="I105" i="8"/>
  <c r="I106" i="8"/>
  <c r="I107" i="8"/>
  <c r="I108" i="8"/>
  <c r="I109" i="8"/>
  <c r="I110" i="8"/>
  <c r="I111" i="8"/>
  <c r="I112" i="8"/>
  <c r="I113" i="8"/>
  <c r="I114" i="8"/>
  <c r="I115" i="8"/>
  <c r="I116" i="8"/>
  <c r="I117" i="8"/>
  <c r="I118" i="8"/>
  <c r="I119" i="8"/>
  <c r="I120" i="8"/>
  <c r="I121" i="8"/>
  <c r="I2" i="8"/>
  <c r="C3" i="7"/>
  <c r="C2" i="7"/>
  <c r="H2635" i="8"/>
  <c r="H2636" i="8"/>
  <c r="H2637" i="8"/>
  <c r="H2638" i="8"/>
  <c r="H2639" i="8"/>
  <c r="H2640" i="8"/>
  <c r="H2641" i="8"/>
  <c r="H2642" i="8"/>
  <c r="H2643" i="8"/>
  <c r="H2644" i="8"/>
  <c r="H2645" i="8"/>
  <c r="H2646" i="8"/>
  <c r="H2647" i="8"/>
  <c r="H2648" i="8"/>
  <c r="H2649" i="8"/>
  <c r="H2650" i="8"/>
  <c r="H2651" i="8"/>
  <c r="H2652" i="8"/>
  <c r="H2653" i="8"/>
  <c r="H2654" i="8"/>
  <c r="H2655" i="8"/>
  <c r="H2656" i="8"/>
  <c r="H2657" i="8"/>
  <c r="H2658" i="8"/>
  <c r="H2659" i="8"/>
  <c r="H2660" i="8"/>
  <c r="H2661" i="8"/>
  <c r="H2662" i="8"/>
  <c r="H2663" i="8"/>
  <c r="H2664" i="8"/>
  <c r="H2665" i="8"/>
  <c r="H2666" i="8"/>
  <c r="H2667" i="8"/>
  <c r="H2668" i="8"/>
  <c r="H2669" i="8"/>
  <c r="H2670" i="8"/>
  <c r="H2671" i="8"/>
  <c r="H2672" i="8"/>
  <c r="H2673" i="8"/>
  <c r="H2674" i="8"/>
  <c r="H2675" i="8"/>
  <c r="H2676" i="8"/>
  <c r="H2677" i="8"/>
  <c r="H2678" i="8"/>
  <c r="H2679" i="8"/>
  <c r="H2680" i="8"/>
  <c r="H2681" i="8"/>
  <c r="H2682" i="8"/>
  <c r="H2683" i="8"/>
  <c r="H2684" i="8"/>
  <c r="H2685" i="8"/>
  <c r="H2686" i="8"/>
  <c r="H2687" i="8"/>
  <c r="H2688" i="8"/>
  <c r="H2689" i="8"/>
  <c r="H2690" i="8"/>
  <c r="H2691" i="8"/>
  <c r="H2692" i="8"/>
  <c r="H2693" i="8"/>
  <c r="H2694" i="8"/>
  <c r="H2695" i="8"/>
  <c r="H2696" i="8"/>
  <c r="H2697" i="8"/>
  <c r="H2698" i="8"/>
  <c r="H2699" i="8"/>
  <c r="H2700" i="8"/>
  <c r="H2701" i="8"/>
  <c r="H2702" i="8"/>
  <c r="H2703" i="8"/>
  <c r="H2704" i="8"/>
  <c r="H2705" i="8"/>
  <c r="H2706" i="8"/>
  <c r="H2707" i="8"/>
  <c r="H2708" i="8"/>
  <c r="H2709" i="8"/>
  <c r="H2710" i="8"/>
  <c r="H2711" i="8"/>
  <c r="H2712" i="8"/>
  <c r="H2713" i="8"/>
  <c r="H2714" i="8"/>
  <c r="H2715" i="8"/>
  <c r="H2716" i="8"/>
  <c r="H2717" i="8"/>
  <c r="H2718" i="8"/>
  <c r="H2719" i="8"/>
  <c r="H2720" i="8"/>
  <c r="H2721" i="8"/>
  <c r="H2722" i="8"/>
  <c r="H2723" i="8"/>
  <c r="H2724" i="8"/>
  <c r="H2725" i="8"/>
  <c r="H2726" i="8"/>
  <c r="H2727" i="8"/>
  <c r="H2728" i="8"/>
  <c r="H2729" i="8"/>
  <c r="H2730" i="8"/>
  <c r="H2731" i="8"/>
  <c r="H2732" i="8"/>
  <c r="H2733" i="8"/>
  <c r="H2734" i="8"/>
  <c r="H2735" i="8"/>
  <c r="H2736" i="8"/>
  <c r="H2737" i="8"/>
  <c r="H2738" i="8"/>
  <c r="H2739" i="8"/>
  <c r="H2634" i="8"/>
  <c r="H2516" i="8"/>
  <c r="H2517" i="8"/>
  <c r="H2518" i="8"/>
  <c r="H2519" i="8"/>
  <c r="H2520" i="8"/>
  <c r="H2521" i="8"/>
  <c r="H2522" i="8"/>
  <c r="H2523" i="8"/>
  <c r="H2524" i="8"/>
  <c r="H2525" i="8"/>
  <c r="H2526" i="8"/>
  <c r="H2527" i="8"/>
  <c r="H2528" i="8"/>
  <c r="H2529" i="8"/>
  <c r="H2530" i="8"/>
  <c r="H2531" i="8"/>
  <c r="H2532" i="8"/>
  <c r="H2533" i="8"/>
  <c r="H2534" i="8"/>
  <c r="H2535" i="8"/>
  <c r="H2536" i="8"/>
  <c r="H2537" i="8"/>
  <c r="H2538" i="8"/>
  <c r="H2539" i="8"/>
  <c r="H2540" i="8"/>
  <c r="H2541" i="8"/>
  <c r="H2542" i="8"/>
  <c r="H2543" i="8"/>
  <c r="H2544" i="8"/>
  <c r="H2545" i="8"/>
  <c r="H2546" i="8"/>
  <c r="H2547" i="8"/>
  <c r="H2548" i="8"/>
  <c r="H2549" i="8"/>
  <c r="H2550" i="8"/>
  <c r="H2551" i="8"/>
  <c r="H2552" i="8"/>
  <c r="H2553" i="8"/>
  <c r="H2554" i="8"/>
  <c r="H2555" i="8"/>
  <c r="H2556" i="8"/>
  <c r="H2557" i="8"/>
  <c r="H2558" i="8"/>
  <c r="H2559" i="8"/>
  <c r="H2560" i="8"/>
  <c r="H2561" i="8"/>
  <c r="H2562" i="8"/>
  <c r="H2563" i="8"/>
  <c r="H2564" i="8"/>
  <c r="H2565" i="8"/>
  <c r="H2566" i="8"/>
  <c r="H2567" i="8"/>
  <c r="H2568" i="8"/>
  <c r="H2569" i="8"/>
  <c r="H2570" i="8"/>
  <c r="H2571" i="8"/>
  <c r="H2572" i="8"/>
  <c r="H2573" i="8"/>
  <c r="H2574" i="8"/>
  <c r="H2575" i="8"/>
  <c r="H2576" i="8"/>
  <c r="H2577" i="8"/>
  <c r="H2578" i="8"/>
  <c r="H2579" i="8"/>
  <c r="H2580" i="8"/>
  <c r="H2581" i="8"/>
  <c r="H2582" i="8"/>
  <c r="H2583" i="8"/>
  <c r="H2584" i="8"/>
  <c r="H2585" i="8"/>
  <c r="H2586" i="8"/>
  <c r="H2587" i="8"/>
  <c r="H2588" i="8"/>
  <c r="H2589" i="8"/>
  <c r="H2590" i="8"/>
  <c r="H2591" i="8"/>
  <c r="H2592" i="8"/>
  <c r="H2593" i="8"/>
  <c r="H2594" i="8"/>
  <c r="H2595" i="8"/>
  <c r="H2596" i="8"/>
  <c r="H2597" i="8"/>
  <c r="H2598" i="8"/>
  <c r="H2599" i="8"/>
  <c r="H2600" i="8"/>
  <c r="H2601" i="8"/>
  <c r="H2602" i="8"/>
  <c r="H2603" i="8"/>
  <c r="H2604" i="8"/>
  <c r="H2605" i="8"/>
  <c r="H2606" i="8"/>
  <c r="H2607" i="8"/>
  <c r="H2608" i="8"/>
  <c r="H2609" i="8"/>
  <c r="H2610" i="8"/>
  <c r="H2611" i="8"/>
  <c r="H2612" i="8"/>
  <c r="H2613" i="8"/>
  <c r="H2614" i="8"/>
  <c r="H2615" i="8"/>
  <c r="H2616" i="8"/>
  <c r="H2617" i="8"/>
  <c r="H2618" i="8"/>
  <c r="H2619" i="8"/>
  <c r="H2620" i="8"/>
  <c r="H2621" i="8"/>
  <c r="H2622" i="8"/>
  <c r="H2623" i="8"/>
  <c r="H2624" i="8"/>
  <c r="H2625" i="8"/>
  <c r="H2626" i="8"/>
  <c r="H2627" i="8"/>
  <c r="H2628" i="8"/>
  <c r="H2629" i="8"/>
  <c r="H2630" i="8"/>
  <c r="H2631" i="8"/>
  <c r="H2632" i="8"/>
  <c r="H2633" i="8"/>
  <c r="H2515" i="8"/>
  <c r="H2410" i="8"/>
  <c r="H2411" i="8"/>
  <c r="H2412" i="8"/>
  <c r="H2413" i="8"/>
  <c r="H2414" i="8"/>
  <c r="H2415" i="8"/>
  <c r="H2416" i="8"/>
  <c r="H2417" i="8"/>
  <c r="H2418" i="8"/>
  <c r="H2419" i="8"/>
  <c r="H2420" i="8"/>
  <c r="H2421" i="8"/>
  <c r="H2422" i="8"/>
  <c r="H2423" i="8"/>
  <c r="H2424" i="8"/>
  <c r="H2425" i="8"/>
  <c r="H2426" i="8"/>
  <c r="H2427" i="8"/>
  <c r="H2428" i="8"/>
  <c r="H2429" i="8"/>
  <c r="H2430" i="8"/>
  <c r="H2431" i="8"/>
  <c r="H2432" i="8"/>
  <c r="H2433" i="8"/>
  <c r="H2434" i="8"/>
  <c r="H2435" i="8"/>
  <c r="H2436" i="8"/>
  <c r="H2437" i="8"/>
  <c r="H2438" i="8"/>
  <c r="H2439" i="8"/>
  <c r="H2440" i="8"/>
  <c r="H2441" i="8"/>
  <c r="H2442" i="8"/>
  <c r="H2443" i="8"/>
  <c r="H2444" i="8"/>
  <c r="H2445" i="8"/>
  <c r="H2446" i="8"/>
  <c r="H2447" i="8"/>
  <c r="H2448" i="8"/>
  <c r="H2449" i="8"/>
  <c r="H2450" i="8"/>
  <c r="H2451" i="8"/>
  <c r="H2452" i="8"/>
  <c r="H2453" i="8"/>
  <c r="H2454" i="8"/>
  <c r="H2455" i="8"/>
  <c r="H2456" i="8"/>
  <c r="H2457" i="8"/>
  <c r="H2458" i="8"/>
  <c r="H2459" i="8"/>
  <c r="H2460" i="8"/>
  <c r="H2461" i="8"/>
  <c r="H2462" i="8"/>
  <c r="H2463" i="8"/>
  <c r="H2464" i="8"/>
  <c r="H2465" i="8"/>
  <c r="H2466" i="8"/>
  <c r="H2467" i="8"/>
  <c r="H2468" i="8"/>
  <c r="H2469" i="8"/>
  <c r="H2470" i="8"/>
  <c r="H2471" i="8"/>
  <c r="H2472" i="8"/>
  <c r="H2473" i="8"/>
  <c r="H2474" i="8"/>
  <c r="H2475" i="8"/>
  <c r="H2476" i="8"/>
  <c r="H2477" i="8"/>
  <c r="H2478" i="8"/>
  <c r="H2479" i="8"/>
  <c r="H2480" i="8"/>
  <c r="H2481" i="8"/>
  <c r="H2482" i="8"/>
  <c r="H2483" i="8"/>
  <c r="H2484" i="8"/>
  <c r="H2485" i="8"/>
  <c r="H2486" i="8"/>
  <c r="H2487" i="8"/>
  <c r="H2488" i="8"/>
  <c r="H2489" i="8"/>
  <c r="H2490" i="8"/>
  <c r="H2491" i="8"/>
  <c r="H2492" i="8"/>
  <c r="H2493" i="8"/>
  <c r="H2494" i="8"/>
  <c r="H2495" i="8"/>
  <c r="H2496" i="8"/>
  <c r="H2497" i="8"/>
  <c r="H2498" i="8"/>
  <c r="H2499" i="8"/>
  <c r="H2500" i="8"/>
  <c r="H2501" i="8"/>
  <c r="H2502" i="8"/>
  <c r="H2503" i="8"/>
  <c r="H2504" i="8"/>
  <c r="H2505" i="8"/>
  <c r="H2506" i="8"/>
  <c r="H2507" i="8"/>
  <c r="H2508" i="8"/>
  <c r="H2509" i="8"/>
  <c r="H2510" i="8"/>
  <c r="H2511" i="8"/>
  <c r="H2512" i="8"/>
  <c r="H2513" i="8"/>
  <c r="H2514" i="8"/>
  <c r="H2409" i="8"/>
  <c r="H2303" i="8"/>
  <c r="H2304" i="8"/>
  <c r="H2305" i="8"/>
  <c r="H2306" i="8"/>
  <c r="H2307" i="8"/>
  <c r="H2308" i="8"/>
  <c r="H2309" i="8"/>
  <c r="H2310" i="8"/>
  <c r="H2311" i="8"/>
  <c r="H2312" i="8"/>
  <c r="H2313" i="8"/>
  <c r="H2314" i="8"/>
  <c r="H2315" i="8"/>
  <c r="H2316" i="8"/>
  <c r="H2317" i="8"/>
  <c r="H2318" i="8"/>
  <c r="H2319" i="8"/>
  <c r="H2320" i="8"/>
  <c r="H2321" i="8"/>
  <c r="H2322" i="8"/>
  <c r="H2323" i="8"/>
  <c r="H2324" i="8"/>
  <c r="H2325" i="8"/>
  <c r="H2326" i="8"/>
  <c r="H2327" i="8"/>
  <c r="H2328" i="8"/>
  <c r="H2329" i="8"/>
  <c r="H2330" i="8"/>
  <c r="H2331" i="8"/>
  <c r="H2332" i="8"/>
  <c r="H2333" i="8"/>
  <c r="H2334" i="8"/>
  <c r="H2335" i="8"/>
  <c r="H2336" i="8"/>
  <c r="H2337" i="8"/>
  <c r="H2338" i="8"/>
  <c r="H2339" i="8"/>
  <c r="H2340" i="8"/>
  <c r="H2341" i="8"/>
  <c r="H2342" i="8"/>
  <c r="H2343" i="8"/>
  <c r="H2344" i="8"/>
  <c r="H2345" i="8"/>
  <c r="H2346" i="8"/>
  <c r="H2347" i="8"/>
  <c r="H2348" i="8"/>
  <c r="H2349" i="8"/>
  <c r="H2350" i="8"/>
  <c r="H2351" i="8"/>
  <c r="H2352" i="8"/>
  <c r="H2353" i="8"/>
  <c r="H2354" i="8"/>
  <c r="H2355" i="8"/>
  <c r="H2356" i="8"/>
  <c r="H2357" i="8"/>
  <c r="H2358" i="8"/>
  <c r="H2359" i="8"/>
  <c r="H2360" i="8"/>
  <c r="H2361" i="8"/>
  <c r="H2362" i="8"/>
  <c r="H2363" i="8"/>
  <c r="H2364" i="8"/>
  <c r="H2365" i="8"/>
  <c r="H2366" i="8"/>
  <c r="H2367" i="8"/>
  <c r="H2368" i="8"/>
  <c r="H2369" i="8"/>
  <c r="H2370" i="8"/>
  <c r="H2371" i="8"/>
  <c r="H2372" i="8"/>
  <c r="H2373" i="8"/>
  <c r="H2374" i="8"/>
  <c r="H2375" i="8"/>
  <c r="H2376" i="8"/>
  <c r="H2377" i="8"/>
  <c r="H2378" i="8"/>
  <c r="H2379" i="8"/>
  <c r="H2380" i="8"/>
  <c r="H2381" i="8"/>
  <c r="H2382" i="8"/>
  <c r="H2383" i="8"/>
  <c r="H2384" i="8"/>
  <c r="H2385" i="8"/>
  <c r="H2386" i="8"/>
  <c r="H2387" i="8"/>
  <c r="H2388" i="8"/>
  <c r="H2389" i="8"/>
  <c r="H2390" i="8"/>
  <c r="H2391" i="8"/>
  <c r="H2392" i="8"/>
  <c r="H2393" i="8"/>
  <c r="H2394" i="8"/>
  <c r="H2395" i="8"/>
  <c r="H2396" i="8"/>
  <c r="H2397" i="8"/>
  <c r="H2398" i="8"/>
  <c r="H2399" i="8"/>
  <c r="H2400" i="8"/>
  <c r="H2401" i="8"/>
  <c r="H2402" i="8"/>
  <c r="H2403" i="8"/>
  <c r="H2404" i="8"/>
  <c r="H2405" i="8"/>
  <c r="H2406" i="8"/>
  <c r="H2407" i="8"/>
  <c r="H2408" i="8"/>
  <c r="H2302" i="8"/>
  <c r="H2188" i="8"/>
  <c r="H2189" i="8"/>
  <c r="H2190" i="8"/>
  <c r="H2191" i="8"/>
  <c r="H2192" i="8"/>
  <c r="H2193" i="8"/>
  <c r="H2194" i="8"/>
  <c r="H2195" i="8"/>
  <c r="H2196" i="8"/>
  <c r="H2197" i="8"/>
  <c r="H2198" i="8"/>
  <c r="H2199" i="8"/>
  <c r="H2200" i="8"/>
  <c r="H2201" i="8"/>
  <c r="H2202" i="8"/>
  <c r="H2203" i="8"/>
  <c r="H2204" i="8"/>
  <c r="H2205" i="8"/>
  <c r="H2206" i="8"/>
  <c r="H2207" i="8"/>
  <c r="H2208" i="8"/>
  <c r="H2209" i="8"/>
  <c r="H2210" i="8"/>
  <c r="H2211" i="8"/>
  <c r="H2212" i="8"/>
  <c r="H2213" i="8"/>
  <c r="H2214" i="8"/>
  <c r="H2215" i="8"/>
  <c r="H2216" i="8"/>
  <c r="H2217" i="8"/>
  <c r="H2218" i="8"/>
  <c r="H2219" i="8"/>
  <c r="H2220" i="8"/>
  <c r="H2221" i="8"/>
  <c r="H2222" i="8"/>
  <c r="H2223" i="8"/>
  <c r="H2224" i="8"/>
  <c r="H2225" i="8"/>
  <c r="H2226" i="8"/>
  <c r="H2227" i="8"/>
  <c r="H2228" i="8"/>
  <c r="H2229" i="8"/>
  <c r="H2230" i="8"/>
  <c r="H2231" i="8"/>
  <c r="H2232" i="8"/>
  <c r="H2233" i="8"/>
  <c r="H2234" i="8"/>
  <c r="H2235" i="8"/>
  <c r="H2236" i="8"/>
  <c r="H2237" i="8"/>
  <c r="H2238" i="8"/>
  <c r="H2239" i="8"/>
  <c r="H2240" i="8"/>
  <c r="H2241" i="8"/>
  <c r="H2242" i="8"/>
  <c r="H2243" i="8"/>
  <c r="H2244" i="8"/>
  <c r="H2245" i="8"/>
  <c r="H2246" i="8"/>
  <c r="H2247" i="8"/>
  <c r="H2248" i="8"/>
  <c r="H2249" i="8"/>
  <c r="H2250" i="8"/>
  <c r="H2251" i="8"/>
  <c r="H2252" i="8"/>
  <c r="H2253" i="8"/>
  <c r="H2254" i="8"/>
  <c r="H2255" i="8"/>
  <c r="H2256" i="8"/>
  <c r="H2257" i="8"/>
  <c r="H2258" i="8"/>
  <c r="H2259" i="8"/>
  <c r="H2260" i="8"/>
  <c r="H2261" i="8"/>
  <c r="H2262" i="8"/>
  <c r="H2263" i="8"/>
  <c r="H2264" i="8"/>
  <c r="H2265" i="8"/>
  <c r="H2266" i="8"/>
  <c r="H2267" i="8"/>
  <c r="H2268" i="8"/>
  <c r="H2269" i="8"/>
  <c r="H2270" i="8"/>
  <c r="H2271" i="8"/>
  <c r="H2272" i="8"/>
  <c r="H2273" i="8"/>
  <c r="H2274" i="8"/>
  <c r="H2275" i="8"/>
  <c r="H2276" i="8"/>
  <c r="H2277" i="8"/>
  <c r="H2278" i="8"/>
  <c r="H2279" i="8"/>
  <c r="H2280" i="8"/>
  <c r="H2281" i="8"/>
  <c r="H2282" i="8"/>
  <c r="H2283" i="8"/>
  <c r="H2284" i="8"/>
  <c r="H2285" i="8"/>
  <c r="H2286" i="8"/>
  <c r="H2287" i="8"/>
  <c r="H2288" i="8"/>
  <c r="H2289" i="8"/>
  <c r="H2290" i="8"/>
  <c r="H2291" i="8"/>
  <c r="H2292" i="8"/>
  <c r="H2293" i="8"/>
  <c r="H2294" i="8"/>
  <c r="H2295" i="8"/>
  <c r="H2296" i="8"/>
  <c r="H2297" i="8"/>
  <c r="H2298" i="8"/>
  <c r="H2299" i="8"/>
  <c r="H2300" i="8"/>
  <c r="H2301" i="8"/>
  <c r="H2187" i="8"/>
  <c r="H2083" i="8"/>
  <c r="H2084" i="8"/>
  <c r="H2085" i="8"/>
  <c r="H2086" i="8"/>
  <c r="H2087" i="8"/>
  <c r="H2088" i="8"/>
  <c r="H2089" i="8"/>
  <c r="H2090" i="8"/>
  <c r="H2091" i="8"/>
  <c r="H2092" i="8"/>
  <c r="H2093" i="8"/>
  <c r="H2094" i="8"/>
  <c r="H2095" i="8"/>
  <c r="H2096" i="8"/>
  <c r="H2097" i="8"/>
  <c r="H2098" i="8"/>
  <c r="H2099" i="8"/>
  <c r="H2100" i="8"/>
  <c r="H2101" i="8"/>
  <c r="H2102" i="8"/>
  <c r="H2103" i="8"/>
  <c r="H2104" i="8"/>
  <c r="H2105" i="8"/>
  <c r="H2106" i="8"/>
  <c r="H2107" i="8"/>
  <c r="H2108" i="8"/>
  <c r="H2109" i="8"/>
  <c r="H2110" i="8"/>
  <c r="H2111" i="8"/>
  <c r="H2112" i="8"/>
  <c r="H2113" i="8"/>
  <c r="H2114" i="8"/>
  <c r="H2115" i="8"/>
  <c r="H2116" i="8"/>
  <c r="H2117" i="8"/>
  <c r="H2118" i="8"/>
  <c r="H2119" i="8"/>
  <c r="H2120" i="8"/>
  <c r="H2121" i="8"/>
  <c r="H2122" i="8"/>
  <c r="H2123" i="8"/>
  <c r="H2124" i="8"/>
  <c r="H2125" i="8"/>
  <c r="H2126" i="8"/>
  <c r="H2127" i="8"/>
  <c r="H2128" i="8"/>
  <c r="H2129" i="8"/>
  <c r="H2130" i="8"/>
  <c r="H2131" i="8"/>
  <c r="H2132" i="8"/>
  <c r="H2133" i="8"/>
  <c r="H2134" i="8"/>
  <c r="H2135" i="8"/>
  <c r="H2136" i="8"/>
  <c r="H2137" i="8"/>
  <c r="H2138" i="8"/>
  <c r="H2139" i="8"/>
  <c r="H2140" i="8"/>
  <c r="H2141" i="8"/>
  <c r="H2142" i="8"/>
  <c r="H2143" i="8"/>
  <c r="H2144" i="8"/>
  <c r="H2145" i="8"/>
  <c r="H2146" i="8"/>
  <c r="H2147" i="8"/>
  <c r="H2148" i="8"/>
  <c r="H2149" i="8"/>
  <c r="H2150" i="8"/>
  <c r="H2151" i="8"/>
  <c r="H2152" i="8"/>
  <c r="H2153" i="8"/>
  <c r="H2154" i="8"/>
  <c r="H2155" i="8"/>
  <c r="H2156" i="8"/>
  <c r="H2157" i="8"/>
  <c r="H2158" i="8"/>
  <c r="H2159" i="8"/>
  <c r="H2160" i="8"/>
  <c r="H2161" i="8"/>
  <c r="H2162" i="8"/>
  <c r="H2163" i="8"/>
  <c r="H2164" i="8"/>
  <c r="H2165" i="8"/>
  <c r="H2166" i="8"/>
  <c r="H2167" i="8"/>
  <c r="H2168" i="8"/>
  <c r="H2169" i="8"/>
  <c r="H2170" i="8"/>
  <c r="H2171" i="8"/>
  <c r="H2172" i="8"/>
  <c r="H2173" i="8"/>
  <c r="H2174" i="8"/>
  <c r="H2175" i="8"/>
  <c r="H2176" i="8"/>
  <c r="H2177" i="8"/>
  <c r="H2178" i="8"/>
  <c r="H2179" i="8"/>
  <c r="H2180" i="8"/>
  <c r="H2181" i="8"/>
  <c r="H2182" i="8"/>
  <c r="H2183" i="8"/>
  <c r="H2184" i="8"/>
  <c r="H2185" i="8"/>
  <c r="H2186" i="8"/>
  <c r="H2082" i="8"/>
  <c r="H1947" i="8"/>
  <c r="H1948" i="8"/>
  <c r="H1949" i="8"/>
  <c r="H1950" i="8"/>
  <c r="H1951" i="8"/>
  <c r="H1952" i="8"/>
  <c r="H1953" i="8"/>
  <c r="H1954" i="8"/>
  <c r="H1955" i="8"/>
  <c r="H1956" i="8"/>
  <c r="H1957" i="8"/>
  <c r="H1958" i="8"/>
  <c r="H1959" i="8"/>
  <c r="H1960" i="8"/>
  <c r="H1961" i="8"/>
  <c r="H1962" i="8"/>
  <c r="H1963" i="8"/>
  <c r="H1964" i="8"/>
  <c r="H1965" i="8"/>
  <c r="H1966" i="8"/>
  <c r="H1967" i="8"/>
  <c r="H1968" i="8"/>
  <c r="H1969" i="8"/>
  <c r="H1970" i="8"/>
  <c r="H1971" i="8"/>
  <c r="H1972" i="8"/>
  <c r="H1973" i="8"/>
  <c r="H1974" i="8"/>
  <c r="H1975" i="8"/>
  <c r="H1976" i="8"/>
  <c r="H1977" i="8"/>
  <c r="H1978" i="8"/>
  <c r="H1979" i="8"/>
  <c r="H1980" i="8"/>
  <c r="H1981" i="8"/>
  <c r="H1982" i="8"/>
  <c r="H1983" i="8"/>
  <c r="H1984" i="8"/>
  <c r="H1985" i="8"/>
  <c r="H1986" i="8"/>
  <c r="H1987" i="8"/>
  <c r="H1988" i="8"/>
  <c r="H1989" i="8"/>
  <c r="H1990" i="8"/>
  <c r="H1991" i="8"/>
  <c r="H1992" i="8"/>
  <c r="H1993" i="8"/>
  <c r="H1994" i="8"/>
  <c r="H1995" i="8"/>
  <c r="H1996" i="8"/>
  <c r="H1997" i="8"/>
  <c r="H1998" i="8"/>
  <c r="H1999" i="8"/>
  <c r="H2000" i="8"/>
  <c r="H2001" i="8"/>
  <c r="H2002" i="8"/>
  <c r="H2003" i="8"/>
  <c r="H2004" i="8"/>
  <c r="H2005" i="8"/>
  <c r="H2006" i="8"/>
  <c r="H2007" i="8"/>
  <c r="H2008" i="8"/>
  <c r="H2009" i="8"/>
  <c r="H2010" i="8"/>
  <c r="H2011" i="8"/>
  <c r="H2012" i="8"/>
  <c r="H2013" i="8"/>
  <c r="H2014" i="8"/>
  <c r="H2015" i="8"/>
  <c r="H2016" i="8"/>
  <c r="H2017" i="8"/>
  <c r="H2018" i="8"/>
  <c r="H2019" i="8"/>
  <c r="H2020" i="8"/>
  <c r="H2021" i="8"/>
  <c r="H2022" i="8"/>
  <c r="H2023" i="8"/>
  <c r="H2024" i="8"/>
  <c r="H2025" i="8"/>
  <c r="H2026" i="8"/>
  <c r="H2027" i="8"/>
  <c r="H2028" i="8"/>
  <c r="H2029" i="8"/>
  <c r="H2030" i="8"/>
  <c r="H2031" i="8"/>
  <c r="H2032" i="8"/>
  <c r="H2033" i="8"/>
  <c r="H2034" i="8"/>
  <c r="H2035" i="8"/>
  <c r="H2036" i="8"/>
  <c r="H2037" i="8"/>
  <c r="H2038" i="8"/>
  <c r="H2039" i="8"/>
  <c r="H2040" i="8"/>
  <c r="H2041" i="8"/>
  <c r="H2042" i="8"/>
  <c r="H2043" i="8"/>
  <c r="H2044" i="8"/>
  <c r="H2045" i="8"/>
  <c r="H2046" i="8"/>
  <c r="H2047" i="8"/>
  <c r="H2048" i="8"/>
  <c r="H2049" i="8"/>
  <c r="H2050" i="8"/>
  <c r="H2051" i="8"/>
  <c r="H2052" i="8"/>
  <c r="H2053" i="8"/>
  <c r="H2054" i="8"/>
  <c r="H2055" i="8"/>
  <c r="H2056" i="8"/>
  <c r="H2057" i="8"/>
  <c r="H2058" i="8"/>
  <c r="H2059" i="8"/>
  <c r="H2060" i="8"/>
  <c r="H2061" i="8"/>
  <c r="H2062" i="8"/>
  <c r="H2063" i="8"/>
  <c r="H2064" i="8"/>
  <c r="H2065" i="8"/>
  <c r="H2066" i="8"/>
  <c r="H2067" i="8"/>
  <c r="H2068" i="8"/>
  <c r="H2069" i="8"/>
  <c r="H2070" i="8"/>
  <c r="H2071" i="8"/>
  <c r="H2072" i="8"/>
  <c r="H2073" i="8"/>
  <c r="H2074" i="8"/>
  <c r="H2075" i="8"/>
  <c r="H2076" i="8"/>
  <c r="H2077" i="8"/>
  <c r="H2078" i="8"/>
  <c r="H2079" i="8"/>
  <c r="H2080" i="8"/>
  <c r="H2081" i="8"/>
  <c r="H1946" i="8"/>
  <c r="H1819" i="8"/>
  <c r="H1820" i="8"/>
  <c r="H1821" i="8"/>
  <c r="H1822" i="8"/>
  <c r="H1823" i="8"/>
  <c r="H1824" i="8"/>
  <c r="H1825" i="8"/>
  <c r="H1826" i="8"/>
  <c r="H1827" i="8"/>
  <c r="H1828" i="8"/>
  <c r="H1829" i="8"/>
  <c r="H1830" i="8"/>
  <c r="H1831" i="8"/>
  <c r="H1832" i="8"/>
  <c r="H1833" i="8"/>
  <c r="H1834" i="8"/>
  <c r="H1835" i="8"/>
  <c r="H1836" i="8"/>
  <c r="H1837" i="8"/>
  <c r="H1838" i="8"/>
  <c r="H1839" i="8"/>
  <c r="H1840" i="8"/>
  <c r="H1841" i="8"/>
  <c r="H1842" i="8"/>
  <c r="H1843" i="8"/>
  <c r="H1844" i="8"/>
  <c r="H1845" i="8"/>
  <c r="H1846" i="8"/>
  <c r="H1847" i="8"/>
  <c r="H1848" i="8"/>
  <c r="H1849" i="8"/>
  <c r="H1850" i="8"/>
  <c r="H1851" i="8"/>
  <c r="H1852" i="8"/>
  <c r="H1853" i="8"/>
  <c r="H1854" i="8"/>
  <c r="H1855" i="8"/>
  <c r="H1856" i="8"/>
  <c r="H1857" i="8"/>
  <c r="H1858" i="8"/>
  <c r="H1859" i="8"/>
  <c r="H1860" i="8"/>
  <c r="H1861" i="8"/>
  <c r="H1862" i="8"/>
  <c r="H1863" i="8"/>
  <c r="H1864" i="8"/>
  <c r="H1865" i="8"/>
  <c r="H1866" i="8"/>
  <c r="H1867" i="8"/>
  <c r="H1868" i="8"/>
  <c r="H1869" i="8"/>
  <c r="H1870" i="8"/>
  <c r="H1871" i="8"/>
  <c r="H1872" i="8"/>
  <c r="H1873" i="8"/>
  <c r="H1874" i="8"/>
  <c r="H1875" i="8"/>
  <c r="H1876" i="8"/>
  <c r="H1877" i="8"/>
  <c r="H1878" i="8"/>
  <c r="H1879" i="8"/>
  <c r="H1880" i="8"/>
  <c r="H1881" i="8"/>
  <c r="H1882" i="8"/>
  <c r="H1883" i="8"/>
  <c r="H1884" i="8"/>
  <c r="H1885" i="8"/>
  <c r="H1886" i="8"/>
  <c r="H1887" i="8"/>
  <c r="H1888" i="8"/>
  <c r="H1889" i="8"/>
  <c r="H1890" i="8"/>
  <c r="H1891" i="8"/>
  <c r="H1892" i="8"/>
  <c r="H1893" i="8"/>
  <c r="H1894" i="8"/>
  <c r="H1895" i="8"/>
  <c r="H1896" i="8"/>
  <c r="H1897" i="8"/>
  <c r="H1898" i="8"/>
  <c r="H1899" i="8"/>
  <c r="H1900" i="8"/>
  <c r="H1901" i="8"/>
  <c r="H1902" i="8"/>
  <c r="H1903" i="8"/>
  <c r="H1904" i="8"/>
  <c r="H1905" i="8"/>
  <c r="H1906" i="8"/>
  <c r="H1907" i="8"/>
  <c r="H1908" i="8"/>
  <c r="H1909" i="8"/>
  <c r="H1910" i="8"/>
  <c r="H1911" i="8"/>
  <c r="H1912" i="8"/>
  <c r="H1913" i="8"/>
  <c r="H1914" i="8"/>
  <c r="H1915" i="8"/>
  <c r="H1916" i="8"/>
  <c r="H1917" i="8"/>
  <c r="H1918" i="8"/>
  <c r="H1919" i="8"/>
  <c r="H1920" i="8"/>
  <c r="H1921" i="8"/>
  <c r="H1922" i="8"/>
  <c r="H1923" i="8"/>
  <c r="H1924" i="8"/>
  <c r="H1925" i="8"/>
  <c r="H1926" i="8"/>
  <c r="H1927" i="8"/>
  <c r="H1928" i="8"/>
  <c r="H1929" i="8"/>
  <c r="H1930" i="8"/>
  <c r="H1931" i="8"/>
  <c r="H1932" i="8"/>
  <c r="H1933" i="8"/>
  <c r="H1934" i="8"/>
  <c r="H1935" i="8"/>
  <c r="H1936" i="8"/>
  <c r="H1937" i="8"/>
  <c r="H1938" i="8"/>
  <c r="H1939" i="8"/>
  <c r="H1940" i="8"/>
  <c r="H1941" i="8"/>
  <c r="H1942" i="8"/>
  <c r="H1943" i="8"/>
  <c r="H1944" i="8"/>
  <c r="H1945" i="8"/>
  <c r="H1818" i="8"/>
  <c r="H1707" i="8"/>
  <c r="H1708" i="8"/>
  <c r="H1709" i="8"/>
  <c r="H1710" i="8"/>
  <c r="H1711" i="8"/>
  <c r="H1712" i="8"/>
  <c r="H1713" i="8"/>
  <c r="H1714" i="8"/>
  <c r="H1715" i="8"/>
  <c r="H1716" i="8"/>
  <c r="H1717" i="8"/>
  <c r="H1718" i="8"/>
  <c r="H1719" i="8"/>
  <c r="H1720" i="8"/>
  <c r="H1721" i="8"/>
  <c r="H1722" i="8"/>
  <c r="H1723" i="8"/>
  <c r="H1724" i="8"/>
  <c r="H1725" i="8"/>
  <c r="H1726" i="8"/>
  <c r="H1727" i="8"/>
  <c r="H1728" i="8"/>
  <c r="H1729" i="8"/>
  <c r="H1730" i="8"/>
  <c r="H1731" i="8"/>
  <c r="H1732" i="8"/>
  <c r="H1733" i="8"/>
  <c r="H1734" i="8"/>
  <c r="H1735" i="8"/>
  <c r="H1736" i="8"/>
  <c r="H1737" i="8"/>
  <c r="H1738" i="8"/>
  <c r="H1739" i="8"/>
  <c r="H1740" i="8"/>
  <c r="H1741" i="8"/>
  <c r="H1742" i="8"/>
  <c r="H1743" i="8"/>
  <c r="H1744" i="8"/>
  <c r="H1745" i="8"/>
  <c r="H1746" i="8"/>
  <c r="H1747" i="8"/>
  <c r="H1748" i="8"/>
  <c r="H1749" i="8"/>
  <c r="H1750" i="8"/>
  <c r="H1751" i="8"/>
  <c r="H1752" i="8"/>
  <c r="H1753" i="8"/>
  <c r="H1754" i="8"/>
  <c r="H1755" i="8"/>
  <c r="H1756" i="8"/>
  <c r="H1757" i="8"/>
  <c r="H1758" i="8"/>
  <c r="H1759" i="8"/>
  <c r="H1760" i="8"/>
  <c r="H1761" i="8"/>
  <c r="H1762" i="8"/>
  <c r="H1763" i="8"/>
  <c r="H1764" i="8"/>
  <c r="H1765" i="8"/>
  <c r="H1766" i="8"/>
  <c r="H1767" i="8"/>
  <c r="H1768" i="8"/>
  <c r="H1769" i="8"/>
  <c r="H1770" i="8"/>
  <c r="H1771" i="8"/>
  <c r="H1772" i="8"/>
  <c r="H1773" i="8"/>
  <c r="H1774" i="8"/>
  <c r="H1775" i="8"/>
  <c r="H1776" i="8"/>
  <c r="H1777" i="8"/>
  <c r="H1778" i="8"/>
  <c r="H1779" i="8"/>
  <c r="H1780" i="8"/>
  <c r="H1781" i="8"/>
  <c r="H1782" i="8"/>
  <c r="H1783" i="8"/>
  <c r="H1784" i="8"/>
  <c r="H1785" i="8"/>
  <c r="H1786" i="8"/>
  <c r="H1787" i="8"/>
  <c r="H1788" i="8"/>
  <c r="H1789" i="8"/>
  <c r="H1790" i="8"/>
  <c r="H1791" i="8"/>
  <c r="H1792" i="8"/>
  <c r="H1793" i="8"/>
  <c r="H1794" i="8"/>
  <c r="H1795" i="8"/>
  <c r="H1796" i="8"/>
  <c r="H1797" i="8"/>
  <c r="H1798" i="8"/>
  <c r="H1799" i="8"/>
  <c r="H1800" i="8"/>
  <c r="H1801" i="8"/>
  <c r="H1802" i="8"/>
  <c r="H1803" i="8"/>
  <c r="H1804" i="8"/>
  <c r="H1805" i="8"/>
  <c r="H1806" i="8"/>
  <c r="H1807" i="8"/>
  <c r="H1808" i="8"/>
  <c r="H1809" i="8"/>
  <c r="H1810" i="8"/>
  <c r="H1811" i="8"/>
  <c r="H1812" i="8"/>
  <c r="H1813" i="8"/>
  <c r="H1814" i="8"/>
  <c r="H1815" i="8"/>
  <c r="H1816" i="8"/>
  <c r="H1817" i="8"/>
  <c r="H1706" i="8"/>
  <c r="H1586" i="8"/>
  <c r="H1587" i="8"/>
  <c r="H1588" i="8"/>
  <c r="H1589" i="8"/>
  <c r="H1590" i="8"/>
  <c r="H1591" i="8"/>
  <c r="H1592" i="8"/>
  <c r="H1593" i="8"/>
  <c r="H1594" i="8"/>
  <c r="H1595" i="8"/>
  <c r="H1596" i="8"/>
  <c r="H1597" i="8"/>
  <c r="H1598" i="8"/>
  <c r="H1599" i="8"/>
  <c r="H1600" i="8"/>
  <c r="H1601" i="8"/>
  <c r="H1602" i="8"/>
  <c r="H1603" i="8"/>
  <c r="H1604" i="8"/>
  <c r="H1605" i="8"/>
  <c r="H1606" i="8"/>
  <c r="H1607" i="8"/>
  <c r="H1608" i="8"/>
  <c r="H1609" i="8"/>
  <c r="H1610" i="8"/>
  <c r="H1611" i="8"/>
  <c r="H1612" i="8"/>
  <c r="H1613" i="8"/>
  <c r="H1614" i="8"/>
  <c r="H1615" i="8"/>
  <c r="H1616" i="8"/>
  <c r="H1617" i="8"/>
  <c r="H1618" i="8"/>
  <c r="H1619" i="8"/>
  <c r="H1620" i="8"/>
  <c r="H1621" i="8"/>
  <c r="H1622" i="8"/>
  <c r="H1623" i="8"/>
  <c r="H1624" i="8"/>
  <c r="H1625" i="8"/>
  <c r="H1626" i="8"/>
  <c r="H1627" i="8"/>
  <c r="H1628" i="8"/>
  <c r="H1629" i="8"/>
  <c r="H1630" i="8"/>
  <c r="H1631" i="8"/>
  <c r="H1632" i="8"/>
  <c r="H1633" i="8"/>
  <c r="H1634" i="8"/>
  <c r="H1635" i="8"/>
  <c r="H1636" i="8"/>
  <c r="H1637" i="8"/>
  <c r="H1638" i="8"/>
  <c r="H1639" i="8"/>
  <c r="H1640" i="8"/>
  <c r="H1641" i="8"/>
  <c r="H1642" i="8"/>
  <c r="H1643" i="8"/>
  <c r="H1644" i="8"/>
  <c r="H1645" i="8"/>
  <c r="H1646" i="8"/>
  <c r="H1647" i="8"/>
  <c r="H1648" i="8"/>
  <c r="H1649" i="8"/>
  <c r="H1650" i="8"/>
  <c r="H1651" i="8"/>
  <c r="H1652" i="8"/>
  <c r="H1653" i="8"/>
  <c r="H1654" i="8"/>
  <c r="H1655" i="8"/>
  <c r="H1656" i="8"/>
  <c r="H1657" i="8"/>
  <c r="H1658" i="8"/>
  <c r="H1659" i="8"/>
  <c r="H1660" i="8"/>
  <c r="H1661" i="8"/>
  <c r="H1662" i="8"/>
  <c r="H1663" i="8"/>
  <c r="H1664" i="8"/>
  <c r="H1665" i="8"/>
  <c r="H1666" i="8"/>
  <c r="H1667" i="8"/>
  <c r="H1668" i="8"/>
  <c r="H1669" i="8"/>
  <c r="H1670" i="8"/>
  <c r="H1671" i="8"/>
  <c r="H1672" i="8"/>
  <c r="H1673" i="8"/>
  <c r="H1674" i="8"/>
  <c r="H1675" i="8"/>
  <c r="H1676" i="8"/>
  <c r="H1677" i="8"/>
  <c r="H1678" i="8"/>
  <c r="H1679" i="8"/>
  <c r="H1680" i="8"/>
  <c r="H1681" i="8"/>
  <c r="H1682" i="8"/>
  <c r="H1683" i="8"/>
  <c r="H1684" i="8"/>
  <c r="H1685" i="8"/>
  <c r="H1686" i="8"/>
  <c r="H1687" i="8"/>
  <c r="H1688" i="8"/>
  <c r="H1689" i="8"/>
  <c r="H1690" i="8"/>
  <c r="H1691" i="8"/>
  <c r="H1692" i="8"/>
  <c r="H1693" i="8"/>
  <c r="H1694" i="8"/>
  <c r="H1695" i="8"/>
  <c r="H1696" i="8"/>
  <c r="H1697" i="8"/>
  <c r="H1698" i="8"/>
  <c r="H1699" i="8"/>
  <c r="H1700" i="8"/>
  <c r="H1701" i="8"/>
  <c r="H1702" i="8"/>
  <c r="H1703" i="8"/>
  <c r="H1704" i="8"/>
  <c r="H1705" i="8"/>
  <c r="H1585" i="8"/>
  <c r="H1584" i="8"/>
  <c r="H1492" i="8"/>
  <c r="H1493" i="8"/>
  <c r="H1494" i="8"/>
  <c r="H1495" i="8"/>
  <c r="H1496" i="8"/>
  <c r="H1497" i="8"/>
  <c r="H1498" i="8"/>
  <c r="H1499" i="8"/>
  <c r="H1500" i="8"/>
  <c r="H1501" i="8"/>
  <c r="H1502" i="8"/>
  <c r="H1503" i="8"/>
  <c r="H1504" i="8"/>
  <c r="H1505" i="8"/>
  <c r="H1506" i="8"/>
  <c r="H1507" i="8"/>
  <c r="H1508" i="8"/>
  <c r="H1509" i="8"/>
  <c r="H1510" i="8"/>
  <c r="H1511" i="8"/>
  <c r="H1512" i="8"/>
  <c r="H1513" i="8"/>
  <c r="H1514" i="8"/>
  <c r="H1515" i="8"/>
  <c r="H1516" i="8"/>
  <c r="H1517" i="8"/>
  <c r="H1518" i="8"/>
  <c r="H1519" i="8"/>
  <c r="H1520" i="8"/>
  <c r="H1521" i="8"/>
  <c r="H1522" i="8"/>
  <c r="H1523" i="8"/>
  <c r="H1524" i="8"/>
  <c r="H1525" i="8"/>
  <c r="H1526" i="8"/>
  <c r="H1527" i="8"/>
  <c r="H1528" i="8"/>
  <c r="H1529" i="8"/>
  <c r="H1530" i="8"/>
  <c r="H1531" i="8"/>
  <c r="H1532" i="8"/>
  <c r="H1533" i="8"/>
  <c r="H1534" i="8"/>
  <c r="H1535" i="8"/>
  <c r="H1536" i="8"/>
  <c r="H1537" i="8"/>
  <c r="H1538" i="8"/>
  <c r="H1539" i="8"/>
  <c r="H1540" i="8"/>
  <c r="H1541" i="8"/>
  <c r="H1542" i="8"/>
  <c r="H1543" i="8"/>
  <c r="H1544" i="8"/>
  <c r="H1545" i="8"/>
  <c r="H1546" i="8"/>
  <c r="H1547" i="8"/>
  <c r="H1548" i="8"/>
  <c r="H1549" i="8"/>
  <c r="H1550" i="8"/>
  <c r="H1551" i="8"/>
  <c r="H1552" i="8"/>
  <c r="H1553" i="8"/>
  <c r="H1554" i="8"/>
  <c r="H1555" i="8"/>
  <c r="H1556" i="8"/>
  <c r="H1557" i="8"/>
  <c r="H1558" i="8"/>
  <c r="H1559" i="8"/>
  <c r="H1560" i="8"/>
  <c r="H1561" i="8"/>
  <c r="H1562" i="8"/>
  <c r="H1563" i="8"/>
  <c r="H1564" i="8"/>
  <c r="H1565" i="8"/>
  <c r="H1566" i="8"/>
  <c r="H1567" i="8"/>
  <c r="H1568" i="8"/>
  <c r="H1569" i="8"/>
  <c r="H1570" i="8"/>
  <c r="H1571" i="8"/>
  <c r="H1572" i="8"/>
  <c r="H1573" i="8"/>
  <c r="H1574" i="8"/>
  <c r="H1575" i="8"/>
  <c r="H1576" i="8"/>
  <c r="H1577" i="8"/>
  <c r="H1578" i="8"/>
  <c r="H1579" i="8"/>
  <c r="H1580" i="8"/>
  <c r="H1581" i="8"/>
  <c r="H1582" i="8"/>
  <c r="H1583" i="8"/>
  <c r="H1491" i="8"/>
  <c r="H1358" i="8"/>
  <c r="H1359" i="8"/>
  <c r="H1360" i="8"/>
  <c r="H1361" i="8"/>
  <c r="H1362" i="8"/>
  <c r="H1363" i="8"/>
  <c r="H1364" i="8"/>
  <c r="H1365" i="8"/>
  <c r="H1366" i="8"/>
  <c r="H1367" i="8"/>
  <c r="H1368" i="8"/>
  <c r="H1369" i="8"/>
  <c r="H1370" i="8"/>
  <c r="H1371" i="8"/>
  <c r="H1372" i="8"/>
  <c r="H1373" i="8"/>
  <c r="H1374" i="8"/>
  <c r="H1375" i="8"/>
  <c r="H1376" i="8"/>
  <c r="H1377" i="8"/>
  <c r="H1378" i="8"/>
  <c r="H1379" i="8"/>
  <c r="H1380" i="8"/>
  <c r="H1381" i="8"/>
  <c r="H1382" i="8"/>
  <c r="H1383" i="8"/>
  <c r="H1384" i="8"/>
  <c r="H1385" i="8"/>
  <c r="H1386" i="8"/>
  <c r="H1387" i="8"/>
  <c r="H1388" i="8"/>
  <c r="H1389" i="8"/>
  <c r="H1390" i="8"/>
  <c r="H1391" i="8"/>
  <c r="H1392" i="8"/>
  <c r="H1393" i="8"/>
  <c r="H1394" i="8"/>
  <c r="H1395" i="8"/>
  <c r="H1396" i="8"/>
  <c r="H1397" i="8"/>
  <c r="H1398" i="8"/>
  <c r="H1399" i="8"/>
  <c r="H1400" i="8"/>
  <c r="H1401" i="8"/>
  <c r="H1402" i="8"/>
  <c r="H1403" i="8"/>
  <c r="H1404" i="8"/>
  <c r="H1405" i="8"/>
  <c r="H1406" i="8"/>
  <c r="H1407" i="8"/>
  <c r="H1408" i="8"/>
  <c r="H1409" i="8"/>
  <c r="H1410" i="8"/>
  <c r="H1411" i="8"/>
  <c r="H1412" i="8"/>
  <c r="H1413" i="8"/>
  <c r="H1414" i="8"/>
  <c r="H1415" i="8"/>
  <c r="H1416" i="8"/>
  <c r="H1417" i="8"/>
  <c r="H1418" i="8"/>
  <c r="H1419" i="8"/>
  <c r="H1420" i="8"/>
  <c r="H1421" i="8"/>
  <c r="H1422" i="8"/>
  <c r="H1423" i="8"/>
  <c r="H1424" i="8"/>
  <c r="H1425" i="8"/>
  <c r="H1426" i="8"/>
  <c r="H1427" i="8"/>
  <c r="H1428" i="8"/>
  <c r="H1429" i="8"/>
  <c r="H1430" i="8"/>
  <c r="H1431" i="8"/>
  <c r="H1432" i="8"/>
  <c r="H1433" i="8"/>
  <c r="H1434" i="8"/>
  <c r="H1435" i="8"/>
  <c r="H1436" i="8"/>
  <c r="H1437" i="8"/>
  <c r="H1438" i="8"/>
  <c r="H1439" i="8"/>
  <c r="H1440" i="8"/>
  <c r="H1441" i="8"/>
  <c r="H1442" i="8"/>
  <c r="H1443" i="8"/>
  <c r="H1444" i="8"/>
  <c r="H1445" i="8"/>
  <c r="H1446" i="8"/>
  <c r="H1447" i="8"/>
  <c r="H1448" i="8"/>
  <c r="H1449" i="8"/>
  <c r="H1450" i="8"/>
  <c r="H1451" i="8"/>
  <c r="H1452" i="8"/>
  <c r="H1453" i="8"/>
  <c r="H1454" i="8"/>
  <c r="H1455" i="8"/>
  <c r="H1456" i="8"/>
  <c r="H1457" i="8"/>
  <c r="H1458" i="8"/>
  <c r="H1459" i="8"/>
  <c r="H1460" i="8"/>
  <c r="H1461" i="8"/>
  <c r="H1462" i="8"/>
  <c r="H1463" i="8"/>
  <c r="H1464" i="8"/>
  <c r="H1465" i="8"/>
  <c r="H1466" i="8"/>
  <c r="H1467" i="8"/>
  <c r="H1468" i="8"/>
  <c r="H1469" i="8"/>
  <c r="H1470" i="8"/>
  <c r="H1471" i="8"/>
  <c r="H1472" i="8"/>
  <c r="H1473" i="8"/>
  <c r="H1474" i="8"/>
  <c r="H1475" i="8"/>
  <c r="H1476" i="8"/>
  <c r="H1477" i="8"/>
  <c r="H1478" i="8"/>
  <c r="H1479" i="8"/>
  <c r="H1480" i="8"/>
  <c r="H1481" i="8"/>
  <c r="H1482" i="8"/>
  <c r="H1483" i="8"/>
  <c r="H1484" i="8"/>
  <c r="H1485" i="8"/>
  <c r="H1486" i="8"/>
  <c r="H1487" i="8"/>
  <c r="H1488" i="8"/>
  <c r="H1489" i="8"/>
  <c r="H1490" i="8"/>
  <c r="H1357" i="8"/>
  <c r="H1242" i="8"/>
  <c r="H1243" i="8"/>
  <c r="H1244" i="8"/>
  <c r="H1245" i="8"/>
  <c r="H1246" i="8"/>
  <c r="H1247" i="8"/>
  <c r="H1248" i="8"/>
  <c r="H1249" i="8"/>
  <c r="H1250" i="8"/>
  <c r="H1251" i="8"/>
  <c r="H1252" i="8"/>
  <c r="H1253" i="8"/>
  <c r="H1254" i="8"/>
  <c r="H1255" i="8"/>
  <c r="H1256" i="8"/>
  <c r="H1257" i="8"/>
  <c r="H1258" i="8"/>
  <c r="H1259" i="8"/>
  <c r="H1260" i="8"/>
  <c r="H1261" i="8"/>
  <c r="H1262" i="8"/>
  <c r="H1263" i="8"/>
  <c r="H1264" i="8"/>
  <c r="H1265" i="8"/>
  <c r="H1266" i="8"/>
  <c r="H1267" i="8"/>
  <c r="H1268" i="8"/>
  <c r="H1269" i="8"/>
  <c r="H1270" i="8"/>
  <c r="H1271" i="8"/>
  <c r="H1272" i="8"/>
  <c r="H1273" i="8"/>
  <c r="H1274" i="8"/>
  <c r="H1275" i="8"/>
  <c r="H1276" i="8"/>
  <c r="H1277" i="8"/>
  <c r="H1278" i="8"/>
  <c r="H1279" i="8"/>
  <c r="H1280" i="8"/>
  <c r="H1281" i="8"/>
  <c r="H1282" i="8"/>
  <c r="H1283" i="8"/>
  <c r="H1284" i="8"/>
  <c r="H1285" i="8"/>
  <c r="H1286" i="8"/>
  <c r="H1287" i="8"/>
  <c r="H1288" i="8"/>
  <c r="H1289" i="8"/>
  <c r="H1290" i="8"/>
  <c r="H1291" i="8"/>
  <c r="H1292" i="8"/>
  <c r="H1293" i="8"/>
  <c r="H1294" i="8"/>
  <c r="H1295" i="8"/>
  <c r="H1296" i="8"/>
  <c r="H1297" i="8"/>
  <c r="H1298" i="8"/>
  <c r="H1299" i="8"/>
  <c r="H1300" i="8"/>
  <c r="H1301" i="8"/>
  <c r="H1302" i="8"/>
  <c r="H1303" i="8"/>
  <c r="H1304" i="8"/>
  <c r="H1305" i="8"/>
  <c r="H1306" i="8"/>
  <c r="H1307" i="8"/>
  <c r="H1308" i="8"/>
  <c r="H1309" i="8"/>
  <c r="H1310" i="8"/>
  <c r="H1311" i="8"/>
  <c r="H1312" i="8"/>
  <c r="H1313" i="8"/>
  <c r="H1314" i="8"/>
  <c r="H1315" i="8"/>
  <c r="H1316" i="8"/>
  <c r="H1317" i="8"/>
  <c r="H1318" i="8"/>
  <c r="H1319" i="8"/>
  <c r="H1320" i="8"/>
  <c r="H1321" i="8"/>
  <c r="H1322" i="8"/>
  <c r="H1323" i="8"/>
  <c r="H1324" i="8"/>
  <c r="H1325" i="8"/>
  <c r="H1326" i="8"/>
  <c r="H1327" i="8"/>
  <c r="H1328" i="8"/>
  <c r="H1329" i="8"/>
  <c r="H1330" i="8"/>
  <c r="H1331" i="8"/>
  <c r="H1332" i="8"/>
  <c r="H1333" i="8"/>
  <c r="H1334" i="8"/>
  <c r="H1335" i="8"/>
  <c r="H1336" i="8"/>
  <c r="H1337" i="8"/>
  <c r="H1338" i="8"/>
  <c r="H1339" i="8"/>
  <c r="H1340" i="8"/>
  <c r="H1341" i="8"/>
  <c r="H1342" i="8"/>
  <c r="H1343" i="8"/>
  <c r="H1344" i="8"/>
  <c r="H1345" i="8"/>
  <c r="H1346" i="8"/>
  <c r="H1347" i="8"/>
  <c r="H1348" i="8"/>
  <c r="H1349" i="8"/>
  <c r="H1350" i="8"/>
  <c r="H1351" i="8"/>
  <c r="H1352" i="8"/>
  <c r="H1353" i="8"/>
  <c r="H1354" i="8"/>
  <c r="H1355" i="8"/>
  <c r="H1356" i="8"/>
  <c r="H1241" i="8"/>
  <c r="H1130" i="8"/>
  <c r="H1131" i="8"/>
  <c r="H1132" i="8"/>
  <c r="H1133" i="8"/>
  <c r="H1134" i="8"/>
  <c r="H1135" i="8"/>
  <c r="H1136" i="8"/>
  <c r="H1137" i="8"/>
  <c r="H1138" i="8"/>
  <c r="H1139" i="8"/>
  <c r="H1140" i="8"/>
  <c r="H1141" i="8"/>
  <c r="H1142" i="8"/>
  <c r="H1143" i="8"/>
  <c r="H1144" i="8"/>
  <c r="H1145" i="8"/>
  <c r="H1146" i="8"/>
  <c r="H1147" i="8"/>
  <c r="H1148" i="8"/>
  <c r="H1149" i="8"/>
  <c r="H1150" i="8"/>
  <c r="H1151" i="8"/>
  <c r="H1152" i="8"/>
  <c r="H1153" i="8"/>
  <c r="H1154" i="8"/>
  <c r="H1155" i="8"/>
  <c r="H1156" i="8"/>
  <c r="H1157" i="8"/>
  <c r="H1158" i="8"/>
  <c r="H1159" i="8"/>
  <c r="H1160" i="8"/>
  <c r="H1161" i="8"/>
  <c r="H1162" i="8"/>
  <c r="H1163" i="8"/>
  <c r="H1164" i="8"/>
  <c r="H1165" i="8"/>
  <c r="H1166" i="8"/>
  <c r="H1167" i="8"/>
  <c r="H1168" i="8"/>
  <c r="H1169" i="8"/>
  <c r="H1170" i="8"/>
  <c r="H1171" i="8"/>
  <c r="H1172" i="8"/>
  <c r="H1173" i="8"/>
  <c r="H1174" i="8"/>
  <c r="H1175" i="8"/>
  <c r="H1176" i="8"/>
  <c r="H1177" i="8"/>
  <c r="H1178" i="8"/>
  <c r="H1179" i="8"/>
  <c r="H1180" i="8"/>
  <c r="H1181" i="8"/>
  <c r="H1182" i="8"/>
  <c r="H1183" i="8"/>
  <c r="H1184" i="8"/>
  <c r="H1185" i="8"/>
  <c r="H1186" i="8"/>
  <c r="H1187" i="8"/>
  <c r="H1188" i="8"/>
  <c r="H1189" i="8"/>
  <c r="H1190" i="8"/>
  <c r="H1191" i="8"/>
  <c r="H1192" i="8"/>
  <c r="H1193" i="8"/>
  <c r="H1194" i="8"/>
  <c r="H1195" i="8"/>
  <c r="H1196" i="8"/>
  <c r="H1197" i="8"/>
  <c r="H1198" i="8"/>
  <c r="H1199" i="8"/>
  <c r="H1200" i="8"/>
  <c r="H1201" i="8"/>
  <c r="H1202" i="8"/>
  <c r="H1203" i="8"/>
  <c r="H1204" i="8"/>
  <c r="H1205" i="8"/>
  <c r="H1206" i="8"/>
  <c r="H1207" i="8"/>
  <c r="H1208" i="8"/>
  <c r="H1209" i="8"/>
  <c r="H1210" i="8"/>
  <c r="H1211" i="8"/>
  <c r="H1212" i="8"/>
  <c r="H1213" i="8"/>
  <c r="H1214" i="8"/>
  <c r="H1215" i="8"/>
  <c r="H1216" i="8"/>
  <c r="H1217" i="8"/>
  <c r="H1218" i="8"/>
  <c r="H1219" i="8"/>
  <c r="H1220" i="8"/>
  <c r="H1221" i="8"/>
  <c r="H1222" i="8"/>
  <c r="H1223" i="8"/>
  <c r="H1224" i="8"/>
  <c r="H1225" i="8"/>
  <c r="H1226" i="8"/>
  <c r="H1227" i="8"/>
  <c r="H1228" i="8"/>
  <c r="H1229" i="8"/>
  <c r="H1230" i="8"/>
  <c r="H1231" i="8"/>
  <c r="H1232" i="8"/>
  <c r="H1233" i="8"/>
  <c r="H1234" i="8"/>
  <c r="H1235" i="8"/>
  <c r="H1236" i="8"/>
  <c r="H1237" i="8"/>
  <c r="H1238" i="8"/>
  <c r="H1239" i="8"/>
  <c r="H1240" i="8"/>
  <c r="H1129" i="8"/>
  <c r="H1019" i="8"/>
  <c r="H1020" i="8"/>
  <c r="H1021" i="8"/>
  <c r="H1022" i="8"/>
  <c r="H1023" i="8"/>
  <c r="H1024" i="8"/>
  <c r="H1025" i="8"/>
  <c r="H1026" i="8"/>
  <c r="H1027" i="8"/>
  <c r="H1028" i="8"/>
  <c r="H1029" i="8"/>
  <c r="H1030" i="8"/>
  <c r="H1031" i="8"/>
  <c r="H1032" i="8"/>
  <c r="H1033" i="8"/>
  <c r="H1034" i="8"/>
  <c r="H1035" i="8"/>
  <c r="H1036" i="8"/>
  <c r="H1037" i="8"/>
  <c r="H1038" i="8"/>
  <c r="H1039" i="8"/>
  <c r="H1040" i="8"/>
  <c r="H1041" i="8"/>
  <c r="H1042" i="8"/>
  <c r="H1043" i="8"/>
  <c r="H1044" i="8"/>
  <c r="H1045" i="8"/>
  <c r="H1046" i="8"/>
  <c r="H1047" i="8"/>
  <c r="H1048" i="8"/>
  <c r="H1049" i="8"/>
  <c r="H1050" i="8"/>
  <c r="H1051" i="8"/>
  <c r="H1052" i="8"/>
  <c r="H1053" i="8"/>
  <c r="H1054" i="8"/>
  <c r="H1055" i="8"/>
  <c r="H1056" i="8"/>
  <c r="H1057" i="8"/>
  <c r="H1058" i="8"/>
  <c r="H1059" i="8"/>
  <c r="H1060" i="8"/>
  <c r="H1061" i="8"/>
  <c r="H1062" i="8"/>
  <c r="H1063" i="8"/>
  <c r="H1064" i="8"/>
  <c r="H1065" i="8"/>
  <c r="H1066" i="8"/>
  <c r="H1067" i="8"/>
  <c r="H1068" i="8"/>
  <c r="H1069" i="8"/>
  <c r="H1070" i="8"/>
  <c r="H1071" i="8"/>
  <c r="H1072" i="8"/>
  <c r="H1073" i="8"/>
  <c r="H1074" i="8"/>
  <c r="H1075" i="8"/>
  <c r="H1076" i="8"/>
  <c r="H1077" i="8"/>
  <c r="H1078" i="8"/>
  <c r="H1079" i="8"/>
  <c r="H1080" i="8"/>
  <c r="H1081" i="8"/>
  <c r="H1082" i="8"/>
  <c r="H1083" i="8"/>
  <c r="H1084" i="8"/>
  <c r="H1085" i="8"/>
  <c r="H1086" i="8"/>
  <c r="H1087" i="8"/>
  <c r="H1088" i="8"/>
  <c r="H1089" i="8"/>
  <c r="H1090" i="8"/>
  <c r="H1091" i="8"/>
  <c r="H1092" i="8"/>
  <c r="H1093" i="8"/>
  <c r="H1094" i="8"/>
  <c r="H1095" i="8"/>
  <c r="H1096" i="8"/>
  <c r="H1097" i="8"/>
  <c r="H1098" i="8"/>
  <c r="H1099" i="8"/>
  <c r="H1100" i="8"/>
  <c r="H1101" i="8"/>
  <c r="H1102" i="8"/>
  <c r="H1103" i="8"/>
  <c r="H1104" i="8"/>
  <c r="H1105" i="8"/>
  <c r="H1106" i="8"/>
  <c r="H1107" i="8"/>
  <c r="H1108" i="8"/>
  <c r="H1109" i="8"/>
  <c r="H1110" i="8"/>
  <c r="H1111" i="8"/>
  <c r="H1112" i="8"/>
  <c r="H1113" i="8"/>
  <c r="H1114" i="8"/>
  <c r="H1115" i="8"/>
  <c r="H1116" i="8"/>
  <c r="H1117" i="8"/>
  <c r="H1118" i="8"/>
  <c r="H1119" i="8"/>
  <c r="H1120" i="8"/>
  <c r="H1121" i="8"/>
  <c r="H1122" i="8"/>
  <c r="H1123" i="8"/>
  <c r="H1124" i="8"/>
  <c r="H1125" i="8"/>
  <c r="H1126" i="8"/>
  <c r="H1127" i="8"/>
  <c r="H1128" i="8"/>
  <c r="H1018" i="8"/>
  <c r="H907" i="8"/>
  <c r="H908" i="8"/>
  <c r="H909" i="8"/>
  <c r="H910" i="8"/>
  <c r="H911" i="8"/>
  <c r="H912" i="8"/>
  <c r="H913" i="8"/>
  <c r="H914" i="8"/>
  <c r="H915" i="8"/>
  <c r="H916" i="8"/>
  <c r="H917" i="8"/>
  <c r="H918" i="8"/>
  <c r="H919" i="8"/>
  <c r="H920" i="8"/>
  <c r="H921" i="8"/>
  <c r="H922" i="8"/>
  <c r="H923" i="8"/>
  <c r="H924" i="8"/>
  <c r="H925" i="8"/>
  <c r="H926" i="8"/>
  <c r="H927" i="8"/>
  <c r="H928" i="8"/>
  <c r="H929" i="8"/>
  <c r="H930" i="8"/>
  <c r="H931" i="8"/>
  <c r="H932" i="8"/>
  <c r="H933" i="8"/>
  <c r="H934" i="8"/>
  <c r="H935" i="8"/>
  <c r="H936" i="8"/>
  <c r="H937" i="8"/>
  <c r="H938" i="8"/>
  <c r="H939" i="8"/>
  <c r="H940" i="8"/>
  <c r="H941" i="8"/>
  <c r="H942" i="8"/>
  <c r="H943" i="8"/>
  <c r="H944" i="8"/>
  <c r="H945" i="8"/>
  <c r="H946" i="8"/>
  <c r="H947" i="8"/>
  <c r="H948" i="8"/>
  <c r="H949" i="8"/>
  <c r="H950" i="8"/>
  <c r="H951" i="8"/>
  <c r="H952" i="8"/>
  <c r="H953" i="8"/>
  <c r="H954" i="8"/>
  <c r="H955" i="8"/>
  <c r="H956" i="8"/>
  <c r="H957" i="8"/>
  <c r="H958" i="8"/>
  <c r="H959" i="8"/>
  <c r="H960" i="8"/>
  <c r="H961" i="8"/>
  <c r="H962" i="8"/>
  <c r="H963" i="8"/>
  <c r="H964" i="8"/>
  <c r="H965" i="8"/>
  <c r="H966" i="8"/>
  <c r="H967" i="8"/>
  <c r="H968" i="8"/>
  <c r="H969" i="8"/>
  <c r="H970" i="8"/>
  <c r="H971" i="8"/>
  <c r="H972" i="8"/>
  <c r="H973" i="8"/>
  <c r="H974" i="8"/>
  <c r="H975" i="8"/>
  <c r="H976" i="8"/>
  <c r="H977" i="8"/>
  <c r="H978" i="8"/>
  <c r="H979" i="8"/>
  <c r="H980" i="8"/>
  <c r="H981" i="8"/>
  <c r="H982" i="8"/>
  <c r="H983" i="8"/>
  <c r="H984" i="8"/>
  <c r="H985" i="8"/>
  <c r="H986" i="8"/>
  <c r="H987" i="8"/>
  <c r="H988" i="8"/>
  <c r="H989" i="8"/>
  <c r="H990" i="8"/>
  <c r="H991" i="8"/>
  <c r="H992" i="8"/>
  <c r="H993" i="8"/>
  <c r="H994" i="8"/>
  <c r="H995" i="8"/>
  <c r="H996" i="8"/>
  <c r="H997" i="8"/>
  <c r="H998" i="8"/>
  <c r="H999" i="8"/>
  <c r="H1000" i="8"/>
  <c r="H1001" i="8"/>
  <c r="H1002" i="8"/>
  <c r="H1003" i="8"/>
  <c r="H1004" i="8"/>
  <c r="H1005" i="8"/>
  <c r="H1006" i="8"/>
  <c r="H1007" i="8"/>
  <c r="H1008" i="8"/>
  <c r="H1009" i="8"/>
  <c r="H1010" i="8"/>
  <c r="H1011" i="8"/>
  <c r="H1012" i="8"/>
  <c r="H1013" i="8"/>
  <c r="H1014" i="8"/>
  <c r="H1015" i="8"/>
  <c r="H1016" i="8"/>
  <c r="H1017" i="8"/>
  <c r="H906" i="8"/>
  <c r="H905" i="8"/>
  <c r="H806" i="8"/>
  <c r="H807" i="8"/>
  <c r="H808" i="8"/>
  <c r="H809" i="8"/>
  <c r="H810" i="8"/>
  <c r="H811" i="8"/>
  <c r="H812" i="8"/>
  <c r="H813" i="8"/>
  <c r="H814" i="8"/>
  <c r="H815" i="8"/>
  <c r="H816" i="8"/>
  <c r="H817" i="8"/>
  <c r="H818" i="8"/>
  <c r="H819" i="8"/>
  <c r="H820" i="8"/>
  <c r="H821" i="8"/>
  <c r="H822" i="8"/>
  <c r="H823" i="8"/>
  <c r="H824" i="8"/>
  <c r="H825" i="8"/>
  <c r="H826" i="8"/>
  <c r="H827" i="8"/>
  <c r="H828" i="8"/>
  <c r="H829" i="8"/>
  <c r="H830" i="8"/>
  <c r="H831" i="8"/>
  <c r="H832" i="8"/>
  <c r="H833" i="8"/>
  <c r="H834" i="8"/>
  <c r="H835" i="8"/>
  <c r="H836" i="8"/>
  <c r="H837" i="8"/>
  <c r="H838" i="8"/>
  <c r="H839" i="8"/>
  <c r="H840" i="8"/>
  <c r="H841" i="8"/>
  <c r="H842" i="8"/>
  <c r="H843" i="8"/>
  <c r="H844" i="8"/>
  <c r="H845" i="8"/>
  <c r="H846" i="8"/>
  <c r="H847" i="8"/>
  <c r="H848" i="8"/>
  <c r="H849" i="8"/>
  <c r="H850" i="8"/>
  <c r="H851" i="8"/>
  <c r="H852" i="8"/>
  <c r="H853" i="8"/>
  <c r="H854" i="8"/>
  <c r="H855" i="8"/>
  <c r="H856" i="8"/>
  <c r="H857" i="8"/>
  <c r="H858" i="8"/>
  <c r="H859" i="8"/>
  <c r="H860" i="8"/>
  <c r="H861" i="8"/>
  <c r="H862" i="8"/>
  <c r="H863" i="8"/>
  <c r="H864" i="8"/>
  <c r="H865" i="8"/>
  <c r="H866" i="8"/>
  <c r="H867" i="8"/>
  <c r="H868" i="8"/>
  <c r="H869" i="8"/>
  <c r="H870" i="8"/>
  <c r="H871" i="8"/>
  <c r="H872" i="8"/>
  <c r="H873" i="8"/>
  <c r="H874" i="8"/>
  <c r="H875" i="8"/>
  <c r="H876" i="8"/>
  <c r="H877" i="8"/>
  <c r="H878" i="8"/>
  <c r="H879" i="8"/>
  <c r="H880" i="8"/>
  <c r="H881" i="8"/>
  <c r="H882" i="8"/>
  <c r="H883" i="8"/>
  <c r="H884" i="8"/>
  <c r="H885" i="8"/>
  <c r="H886" i="8"/>
  <c r="H887" i="8"/>
  <c r="H888" i="8"/>
  <c r="H889" i="8"/>
  <c r="H890" i="8"/>
  <c r="H891" i="8"/>
  <c r="H892" i="8"/>
  <c r="H893" i="8"/>
  <c r="H894" i="8"/>
  <c r="H895" i="8"/>
  <c r="H896" i="8"/>
  <c r="H897" i="8"/>
  <c r="H898" i="8"/>
  <c r="H899" i="8"/>
  <c r="H900" i="8"/>
  <c r="H901" i="8"/>
  <c r="H902" i="8"/>
  <c r="H903" i="8"/>
  <c r="H904" i="8"/>
  <c r="H805" i="8"/>
  <c r="H677" i="8"/>
  <c r="H678" i="8"/>
  <c r="H679" i="8"/>
  <c r="H680" i="8"/>
  <c r="H681" i="8"/>
  <c r="H682" i="8"/>
  <c r="H683" i="8"/>
  <c r="H684" i="8"/>
  <c r="H685" i="8"/>
  <c r="H686" i="8"/>
  <c r="H687" i="8"/>
  <c r="H688" i="8"/>
  <c r="H689" i="8"/>
  <c r="H690" i="8"/>
  <c r="H691" i="8"/>
  <c r="H692" i="8"/>
  <c r="H693" i="8"/>
  <c r="H694" i="8"/>
  <c r="H695" i="8"/>
  <c r="H696" i="8"/>
  <c r="H697" i="8"/>
  <c r="H698" i="8"/>
  <c r="H699" i="8"/>
  <c r="H700" i="8"/>
  <c r="H701" i="8"/>
  <c r="H702" i="8"/>
  <c r="H703" i="8"/>
  <c r="H704" i="8"/>
  <c r="H705" i="8"/>
  <c r="H706" i="8"/>
  <c r="H707" i="8"/>
  <c r="H708" i="8"/>
  <c r="H709" i="8"/>
  <c r="H710" i="8"/>
  <c r="H711" i="8"/>
  <c r="H712" i="8"/>
  <c r="H713" i="8"/>
  <c r="H714" i="8"/>
  <c r="H715" i="8"/>
  <c r="H716" i="8"/>
  <c r="H717" i="8"/>
  <c r="H718" i="8"/>
  <c r="H719" i="8"/>
  <c r="H720" i="8"/>
  <c r="H721" i="8"/>
  <c r="H722" i="8"/>
  <c r="H723" i="8"/>
  <c r="H724" i="8"/>
  <c r="H725" i="8"/>
  <c r="H726" i="8"/>
  <c r="H727" i="8"/>
  <c r="H728" i="8"/>
  <c r="H729" i="8"/>
  <c r="H730" i="8"/>
  <c r="H731" i="8"/>
  <c r="H732" i="8"/>
  <c r="H733" i="8"/>
  <c r="H734" i="8"/>
  <c r="H735" i="8"/>
  <c r="H736" i="8"/>
  <c r="H737" i="8"/>
  <c r="H738" i="8"/>
  <c r="H739" i="8"/>
  <c r="H740" i="8"/>
  <c r="H741" i="8"/>
  <c r="H742" i="8"/>
  <c r="H743" i="8"/>
  <c r="H744" i="8"/>
  <c r="H745" i="8"/>
  <c r="H746" i="8"/>
  <c r="H747" i="8"/>
  <c r="H748" i="8"/>
  <c r="H749" i="8"/>
  <c r="H750" i="8"/>
  <c r="H751" i="8"/>
  <c r="H752" i="8"/>
  <c r="H753" i="8"/>
  <c r="H754" i="8"/>
  <c r="H755" i="8"/>
  <c r="H756" i="8"/>
  <c r="H757" i="8"/>
  <c r="H758" i="8"/>
  <c r="H759" i="8"/>
  <c r="H760" i="8"/>
  <c r="H761" i="8"/>
  <c r="H762" i="8"/>
  <c r="H763" i="8"/>
  <c r="H764" i="8"/>
  <c r="H765" i="8"/>
  <c r="H766" i="8"/>
  <c r="H767" i="8"/>
  <c r="H768" i="8"/>
  <c r="H769" i="8"/>
  <c r="H770" i="8"/>
  <c r="H771" i="8"/>
  <c r="H772" i="8"/>
  <c r="H773" i="8"/>
  <c r="H774" i="8"/>
  <c r="H775" i="8"/>
  <c r="H776" i="8"/>
  <c r="H777" i="8"/>
  <c r="H778" i="8"/>
  <c r="H779" i="8"/>
  <c r="H780" i="8"/>
  <c r="H781" i="8"/>
  <c r="H782" i="8"/>
  <c r="H783" i="8"/>
  <c r="H784" i="8"/>
  <c r="H785" i="8"/>
  <c r="H786" i="8"/>
  <c r="H787" i="8"/>
  <c r="H788" i="8"/>
  <c r="H789" i="8"/>
  <c r="H790" i="8"/>
  <c r="H791" i="8"/>
  <c r="H792" i="8"/>
  <c r="H793" i="8"/>
  <c r="H794" i="8"/>
  <c r="H795" i="8"/>
  <c r="H796" i="8"/>
  <c r="H797" i="8"/>
  <c r="H798" i="8"/>
  <c r="H799" i="8"/>
  <c r="H800" i="8"/>
  <c r="H801" i="8"/>
  <c r="H802" i="8"/>
  <c r="H803" i="8"/>
  <c r="H804" i="8"/>
  <c r="H676" i="8"/>
  <c r="H573" i="8"/>
  <c r="H574" i="8"/>
  <c r="H575" i="8"/>
  <c r="H576" i="8"/>
  <c r="H577" i="8"/>
  <c r="H578" i="8"/>
  <c r="H579" i="8"/>
  <c r="H580" i="8"/>
  <c r="H581" i="8"/>
  <c r="H582" i="8"/>
  <c r="H583" i="8"/>
  <c r="H584" i="8"/>
  <c r="H585" i="8"/>
  <c r="H586" i="8"/>
  <c r="H587" i="8"/>
  <c r="H588" i="8"/>
  <c r="H589" i="8"/>
  <c r="H590" i="8"/>
  <c r="H591" i="8"/>
  <c r="H592" i="8"/>
  <c r="H593" i="8"/>
  <c r="H594" i="8"/>
  <c r="H595" i="8"/>
  <c r="H596" i="8"/>
  <c r="H597" i="8"/>
  <c r="H598" i="8"/>
  <c r="H599" i="8"/>
  <c r="H600" i="8"/>
  <c r="H601" i="8"/>
  <c r="H602" i="8"/>
  <c r="H603" i="8"/>
  <c r="H604" i="8"/>
  <c r="H605" i="8"/>
  <c r="H606" i="8"/>
  <c r="H607" i="8"/>
  <c r="H608" i="8"/>
  <c r="H609" i="8"/>
  <c r="H610" i="8"/>
  <c r="H611" i="8"/>
  <c r="H612" i="8"/>
  <c r="H613" i="8"/>
  <c r="H614" i="8"/>
  <c r="H615" i="8"/>
  <c r="H616" i="8"/>
  <c r="H617" i="8"/>
  <c r="H618" i="8"/>
  <c r="H619" i="8"/>
  <c r="H620" i="8"/>
  <c r="H621" i="8"/>
  <c r="H622" i="8"/>
  <c r="H623" i="8"/>
  <c r="H624" i="8"/>
  <c r="H625" i="8"/>
  <c r="H626" i="8"/>
  <c r="H627" i="8"/>
  <c r="H628" i="8"/>
  <c r="H629" i="8"/>
  <c r="H630" i="8"/>
  <c r="H631" i="8"/>
  <c r="H632" i="8"/>
  <c r="H633" i="8"/>
  <c r="H634" i="8"/>
  <c r="H635" i="8"/>
  <c r="H636" i="8"/>
  <c r="H637" i="8"/>
  <c r="H638" i="8"/>
  <c r="H639" i="8"/>
  <c r="H640" i="8"/>
  <c r="H641" i="8"/>
  <c r="H642" i="8"/>
  <c r="H643" i="8"/>
  <c r="H644" i="8"/>
  <c r="H645" i="8"/>
  <c r="H646" i="8"/>
  <c r="H647" i="8"/>
  <c r="H648" i="8"/>
  <c r="H649" i="8"/>
  <c r="H650" i="8"/>
  <c r="H651" i="8"/>
  <c r="H652" i="8"/>
  <c r="H653" i="8"/>
  <c r="H654" i="8"/>
  <c r="H655" i="8"/>
  <c r="H656" i="8"/>
  <c r="H657" i="8"/>
  <c r="H658" i="8"/>
  <c r="H659" i="8"/>
  <c r="H660" i="8"/>
  <c r="H661" i="8"/>
  <c r="H662" i="8"/>
  <c r="H663" i="8"/>
  <c r="H664" i="8"/>
  <c r="H665" i="8"/>
  <c r="H666" i="8"/>
  <c r="H667" i="8"/>
  <c r="H668" i="8"/>
  <c r="H669" i="8"/>
  <c r="H670" i="8"/>
  <c r="H671" i="8"/>
  <c r="H672" i="8"/>
  <c r="H673" i="8"/>
  <c r="H674" i="8"/>
  <c r="H675" i="8"/>
  <c r="H572" i="8"/>
  <c r="H464" i="8"/>
  <c r="H465" i="8"/>
  <c r="H466" i="8"/>
  <c r="H467" i="8"/>
  <c r="H468" i="8"/>
  <c r="H469" i="8"/>
  <c r="H470" i="8"/>
  <c r="H471" i="8"/>
  <c r="H472" i="8"/>
  <c r="H473" i="8"/>
  <c r="H474" i="8"/>
  <c r="H475" i="8"/>
  <c r="H476" i="8"/>
  <c r="H477" i="8"/>
  <c r="H478" i="8"/>
  <c r="H479" i="8"/>
  <c r="H480" i="8"/>
  <c r="H481" i="8"/>
  <c r="H482" i="8"/>
  <c r="H483" i="8"/>
  <c r="H484" i="8"/>
  <c r="H485" i="8"/>
  <c r="H486" i="8"/>
  <c r="H487" i="8"/>
  <c r="H488" i="8"/>
  <c r="H489" i="8"/>
  <c r="H490" i="8"/>
  <c r="H491" i="8"/>
  <c r="H492" i="8"/>
  <c r="H493" i="8"/>
  <c r="H494" i="8"/>
  <c r="H495" i="8"/>
  <c r="H496" i="8"/>
  <c r="H497" i="8"/>
  <c r="H498" i="8"/>
  <c r="H499" i="8"/>
  <c r="H500" i="8"/>
  <c r="H501" i="8"/>
  <c r="H502" i="8"/>
  <c r="H503" i="8"/>
  <c r="H504" i="8"/>
  <c r="H505" i="8"/>
  <c r="H506" i="8"/>
  <c r="H507" i="8"/>
  <c r="H508" i="8"/>
  <c r="H509" i="8"/>
  <c r="H510" i="8"/>
  <c r="H511" i="8"/>
  <c r="H512" i="8"/>
  <c r="H513" i="8"/>
  <c r="H514" i="8"/>
  <c r="H515" i="8"/>
  <c r="H516" i="8"/>
  <c r="H517" i="8"/>
  <c r="H518" i="8"/>
  <c r="H519" i="8"/>
  <c r="H520" i="8"/>
  <c r="H521" i="8"/>
  <c r="H522" i="8"/>
  <c r="H523" i="8"/>
  <c r="H524" i="8"/>
  <c r="H525" i="8"/>
  <c r="H526" i="8"/>
  <c r="H527" i="8"/>
  <c r="H528" i="8"/>
  <c r="H529" i="8"/>
  <c r="H530" i="8"/>
  <c r="H531" i="8"/>
  <c r="H532" i="8"/>
  <c r="H533" i="8"/>
  <c r="H534" i="8"/>
  <c r="H535" i="8"/>
  <c r="H536" i="8"/>
  <c r="H537" i="8"/>
  <c r="H538" i="8"/>
  <c r="H539" i="8"/>
  <c r="H540" i="8"/>
  <c r="H541" i="8"/>
  <c r="H542" i="8"/>
  <c r="H543" i="8"/>
  <c r="H544" i="8"/>
  <c r="H545" i="8"/>
  <c r="H546" i="8"/>
  <c r="H547" i="8"/>
  <c r="H548" i="8"/>
  <c r="H549" i="8"/>
  <c r="H550" i="8"/>
  <c r="H551" i="8"/>
  <c r="H552" i="8"/>
  <c r="H553" i="8"/>
  <c r="H554" i="8"/>
  <c r="H555" i="8"/>
  <c r="H556" i="8"/>
  <c r="H557" i="8"/>
  <c r="H558" i="8"/>
  <c r="H559" i="8"/>
  <c r="H560" i="8"/>
  <c r="H561" i="8"/>
  <c r="H562" i="8"/>
  <c r="H563" i="8"/>
  <c r="H564" i="8"/>
  <c r="H565" i="8"/>
  <c r="H566" i="8"/>
  <c r="H567" i="8"/>
  <c r="H568" i="8"/>
  <c r="H569" i="8"/>
  <c r="H570" i="8"/>
  <c r="H571" i="8"/>
  <c r="H463" i="8"/>
  <c r="H341" i="8"/>
  <c r="H342" i="8"/>
  <c r="H343" i="8"/>
  <c r="H344" i="8"/>
  <c r="H345" i="8"/>
  <c r="H346" i="8"/>
  <c r="H347" i="8"/>
  <c r="H348" i="8"/>
  <c r="H349" i="8"/>
  <c r="H350" i="8"/>
  <c r="H351" i="8"/>
  <c r="H352" i="8"/>
  <c r="H353" i="8"/>
  <c r="H354" i="8"/>
  <c r="H355" i="8"/>
  <c r="H356" i="8"/>
  <c r="H357" i="8"/>
  <c r="H358" i="8"/>
  <c r="H359" i="8"/>
  <c r="H360" i="8"/>
  <c r="H361" i="8"/>
  <c r="H362" i="8"/>
  <c r="H363" i="8"/>
  <c r="H364" i="8"/>
  <c r="H365" i="8"/>
  <c r="H366" i="8"/>
  <c r="H367" i="8"/>
  <c r="H368" i="8"/>
  <c r="H369" i="8"/>
  <c r="H370" i="8"/>
  <c r="H371" i="8"/>
  <c r="H372" i="8"/>
  <c r="H373" i="8"/>
  <c r="H374" i="8"/>
  <c r="H375" i="8"/>
  <c r="H376" i="8"/>
  <c r="H377" i="8"/>
  <c r="H378" i="8"/>
  <c r="H379" i="8"/>
  <c r="H380" i="8"/>
  <c r="H381" i="8"/>
  <c r="H382" i="8"/>
  <c r="H383" i="8"/>
  <c r="H384" i="8"/>
  <c r="H385" i="8"/>
  <c r="H386" i="8"/>
  <c r="H387" i="8"/>
  <c r="H388" i="8"/>
  <c r="H389" i="8"/>
  <c r="H390" i="8"/>
  <c r="H391" i="8"/>
  <c r="H392" i="8"/>
  <c r="H393" i="8"/>
  <c r="H394" i="8"/>
  <c r="H395" i="8"/>
  <c r="H396" i="8"/>
  <c r="H397" i="8"/>
  <c r="H398" i="8"/>
  <c r="H399" i="8"/>
  <c r="H400" i="8"/>
  <c r="H401" i="8"/>
  <c r="H402" i="8"/>
  <c r="H403" i="8"/>
  <c r="H404" i="8"/>
  <c r="H405" i="8"/>
  <c r="H406" i="8"/>
  <c r="H407" i="8"/>
  <c r="H408" i="8"/>
  <c r="H409" i="8"/>
  <c r="H410" i="8"/>
  <c r="H411" i="8"/>
  <c r="H412" i="8"/>
  <c r="H413" i="8"/>
  <c r="H414" i="8"/>
  <c r="H415" i="8"/>
  <c r="H416" i="8"/>
  <c r="H417" i="8"/>
  <c r="H418" i="8"/>
  <c r="H419" i="8"/>
  <c r="H420" i="8"/>
  <c r="H421" i="8"/>
  <c r="H422" i="8"/>
  <c r="H423" i="8"/>
  <c r="H424" i="8"/>
  <c r="H425" i="8"/>
  <c r="H426" i="8"/>
  <c r="H427" i="8"/>
  <c r="H428" i="8"/>
  <c r="H429" i="8"/>
  <c r="H430" i="8"/>
  <c r="H431" i="8"/>
  <c r="H432" i="8"/>
  <c r="H433" i="8"/>
  <c r="H434" i="8"/>
  <c r="H435" i="8"/>
  <c r="H436" i="8"/>
  <c r="H437" i="8"/>
  <c r="H438" i="8"/>
  <c r="H439" i="8"/>
  <c r="H440" i="8"/>
  <c r="H441" i="8"/>
  <c r="H442" i="8"/>
  <c r="H443" i="8"/>
  <c r="H444" i="8"/>
  <c r="H445" i="8"/>
  <c r="H446" i="8"/>
  <c r="H447" i="8"/>
  <c r="H448" i="8"/>
  <c r="H449" i="8"/>
  <c r="H450" i="8"/>
  <c r="H451" i="8"/>
  <c r="H452" i="8"/>
  <c r="H453" i="8"/>
  <c r="H454" i="8"/>
  <c r="H455" i="8"/>
  <c r="H456" i="8"/>
  <c r="H457" i="8"/>
  <c r="H458" i="8"/>
  <c r="H459" i="8"/>
  <c r="H460" i="8"/>
  <c r="H461" i="8"/>
  <c r="H462" i="8"/>
  <c r="H340" i="8"/>
  <c r="H243" i="8"/>
  <c r="H244" i="8"/>
  <c r="H245" i="8"/>
  <c r="H246" i="8"/>
  <c r="H247" i="8"/>
  <c r="H248" i="8"/>
  <c r="H249" i="8"/>
  <c r="H250" i="8"/>
  <c r="H251" i="8"/>
  <c r="H252" i="8"/>
  <c r="H253" i="8"/>
  <c r="H254" i="8"/>
  <c r="H255" i="8"/>
  <c r="H256" i="8"/>
  <c r="H257" i="8"/>
  <c r="H258" i="8"/>
  <c r="H259" i="8"/>
  <c r="H260" i="8"/>
  <c r="H261" i="8"/>
  <c r="H262" i="8"/>
  <c r="H263" i="8"/>
  <c r="H264" i="8"/>
  <c r="H265" i="8"/>
  <c r="H266" i="8"/>
  <c r="H267" i="8"/>
  <c r="H268" i="8"/>
  <c r="H269" i="8"/>
  <c r="H270" i="8"/>
  <c r="H271" i="8"/>
  <c r="H272" i="8"/>
  <c r="H273" i="8"/>
  <c r="H274" i="8"/>
  <c r="H275" i="8"/>
  <c r="H276" i="8"/>
  <c r="H277" i="8"/>
  <c r="H278" i="8"/>
  <c r="H279" i="8"/>
  <c r="H280" i="8"/>
  <c r="H281" i="8"/>
  <c r="H282" i="8"/>
  <c r="H283" i="8"/>
  <c r="H284" i="8"/>
  <c r="H285" i="8"/>
  <c r="H286" i="8"/>
  <c r="H287" i="8"/>
  <c r="H288" i="8"/>
  <c r="H289" i="8"/>
  <c r="H290" i="8"/>
  <c r="H291" i="8"/>
  <c r="H292" i="8"/>
  <c r="H293" i="8"/>
  <c r="H294" i="8"/>
  <c r="H295" i="8"/>
  <c r="H296" i="8"/>
  <c r="H297" i="8"/>
  <c r="H298" i="8"/>
  <c r="H299" i="8"/>
  <c r="H300" i="8"/>
  <c r="H301" i="8"/>
  <c r="H302" i="8"/>
  <c r="H303" i="8"/>
  <c r="H304" i="8"/>
  <c r="H305" i="8"/>
  <c r="H306" i="8"/>
  <c r="H307" i="8"/>
  <c r="H308" i="8"/>
  <c r="H309" i="8"/>
  <c r="H310" i="8"/>
  <c r="H311" i="8"/>
  <c r="H312" i="8"/>
  <c r="H313" i="8"/>
  <c r="H314" i="8"/>
  <c r="H315" i="8"/>
  <c r="H316" i="8"/>
  <c r="H317" i="8"/>
  <c r="H318" i="8"/>
  <c r="H319" i="8"/>
  <c r="H320" i="8"/>
  <c r="H321" i="8"/>
  <c r="H322" i="8"/>
  <c r="H323" i="8"/>
  <c r="H324" i="8"/>
  <c r="H325" i="8"/>
  <c r="H326" i="8"/>
  <c r="H327" i="8"/>
  <c r="H328" i="8"/>
  <c r="H329" i="8"/>
  <c r="H330" i="8"/>
  <c r="H331" i="8"/>
  <c r="H332" i="8"/>
  <c r="H333" i="8"/>
  <c r="H334" i="8"/>
  <c r="H335" i="8"/>
  <c r="H336" i="8"/>
  <c r="H337" i="8"/>
  <c r="H338" i="8"/>
  <c r="H339" i="8"/>
  <c r="H242" i="8"/>
  <c r="H122" i="8"/>
  <c r="H123" i="8"/>
  <c r="H124" i="8"/>
  <c r="H125" i="8"/>
  <c r="H126" i="8"/>
  <c r="H127" i="8"/>
  <c r="H128" i="8"/>
  <c r="H129" i="8"/>
  <c r="H130" i="8"/>
  <c r="H131" i="8"/>
  <c r="H132" i="8"/>
  <c r="H133" i="8"/>
  <c r="H134" i="8"/>
  <c r="H135" i="8"/>
  <c r="H136" i="8"/>
  <c r="H137" i="8"/>
  <c r="H138" i="8"/>
  <c r="H139" i="8"/>
  <c r="H140" i="8"/>
  <c r="H141" i="8"/>
  <c r="H142" i="8"/>
  <c r="H143" i="8"/>
  <c r="H144" i="8"/>
  <c r="H145" i="8"/>
  <c r="H146" i="8"/>
  <c r="H147" i="8"/>
  <c r="H148" i="8"/>
  <c r="H149" i="8"/>
  <c r="H150" i="8"/>
  <c r="H151" i="8"/>
  <c r="H152" i="8"/>
  <c r="H153" i="8"/>
  <c r="H154" i="8"/>
  <c r="H155" i="8"/>
  <c r="H156" i="8"/>
  <c r="H157" i="8"/>
  <c r="H158" i="8"/>
  <c r="H159" i="8"/>
  <c r="H160" i="8"/>
  <c r="H161" i="8"/>
  <c r="H162" i="8"/>
  <c r="H163" i="8"/>
  <c r="H164" i="8"/>
  <c r="H165" i="8"/>
  <c r="H166" i="8"/>
  <c r="H167" i="8"/>
  <c r="H168" i="8"/>
  <c r="H169" i="8"/>
  <c r="H170" i="8"/>
  <c r="H171" i="8"/>
  <c r="H172" i="8"/>
  <c r="H173" i="8"/>
  <c r="H174" i="8"/>
  <c r="H175" i="8"/>
  <c r="H176" i="8"/>
  <c r="H177" i="8"/>
  <c r="H178" i="8"/>
  <c r="H179" i="8"/>
  <c r="H180" i="8"/>
  <c r="H181" i="8"/>
  <c r="H182" i="8"/>
  <c r="H183" i="8"/>
  <c r="H184" i="8"/>
  <c r="H185" i="8"/>
  <c r="H186" i="8"/>
  <c r="H187" i="8"/>
  <c r="H188" i="8"/>
  <c r="H189" i="8"/>
  <c r="H190" i="8"/>
  <c r="H191" i="8"/>
  <c r="H192" i="8"/>
  <c r="H193" i="8"/>
  <c r="H194" i="8"/>
  <c r="H195" i="8"/>
  <c r="H196" i="8"/>
  <c r="H197" i="8"/>
  <c r="H198" i="8"/>
  <c r="H199" i="8"/>
  <c r="H200" i="8"/>
  <c r="H201" i="8"/>
  <c r="H202" i="8"/>
  <c r="H203" i="8"/>
  <c r="H204" i="8"/>
  <c r="H205" i="8"/>
  <c r="H206" i="8"/>
  <c r="H207" i="8"/>
  <c r="H208" i="8"/>
  <c r="H209" i="8"/>
  <c r="H210" i="8"/>
  <c r="H211" i="8"/>
  <c r="H212" i="8"/>
  <c r="H213" i="8"/>
  <c r="H214" i="8"/>
  <c r="H215" i="8"/>
  <c r="H216" i="8"/>
  <c r="H217" i="8"/>
  <c r="H218" i="8"/>
  <c r="H219" i="8"/>
  <c r="H220" i="8"/>
  <c r="H221" i="8"/>
  <c r="H222" i="8"/>
  <c r="H223" i="8"/>
  <c r="H224" i="8"/>
  <c r="H225" i="8"/>
  <c r="H226" i="8"/>
  <c r="H227" i="8"/>
  <c r="H228" i="8"/>
  <c r="H229" i="8"/>
  <c r="H230" i="8"/>
  <c r="H231" i="8"/>
  <c r="H232" i="8"/>
  <c r="H233" i="8"/>
  <c r="H234" i="8"/>
  <c r="H235" i="8"/>
  <c r="H236" i="8"/>
  <c r="H237" i="8"/>
  <c r="H238" i="8"/>
  <c r="H239" i="8"/>
  <c r="H240" i="8"/>
  <c r="H241" i="8"/>
  <c r="H121" i="8"/>
  <c r="H4" i="8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87" i="8"/>
  <c r="H88" i="8"/>
  <c r="H89" i="8"/>
  <c r="H90" i="8"/>
  <c r="H91" i="8"/>
  <c r="H92" i="8"/>
  <c r="H93" i="8"/>
  <c r="H94" i="8"/>
  <c r="H95" i="8"/>
  <c r="H96" i="8"/>
  <c r="H97" i="8"/>
  <c r="H98" i="8"/>
  <c r="H99" i="8"/>
  <c r="H100" i="8"/>
  <c r="H101" i="8"/>
  <c r="H102" i="8"/>
  <c r="H103" i="8"/>
  <c r="H104" i="8"/>
  <c r="H105" i="8"/>
  <c r="H106" i="8"/>
  <c r="H107" i="8"/>
  <c r="H108" i="8"/>
  <c r="H109" i="8"/>
  <c r="H110" i="8"/>
  <c r="H111" i="8"/>
  <c r="H112" i="8"/>
  <c r="H113" i="8"/>
  <c r="H114" i="8"/>
  <c r="H115" i="8"/>
  <c r="H116" i="8"/>
  <c r="H117" i="8"/>
  <c r="H118" i="8"/>
  <c r="H119" i="8"/>
  <c r="H120" i="8"/>
  <c r="H3" i="8"/>
  <c r="H2" i="8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4" i="4"/>
  <c r="D3" i="4"/>
  <c r="D2" i="4"/>
  <c r="C2" i="8" a="1"/>
  <c r="C2" i="8" s="1"/>
  <c r="B3" i="8"/>
  <c r="B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2" i="8"/>
  <c r="B53" i="8"/>
  <c r="B54" i="8"/>
  <c r="B55" i="8"/>
  <c r="B56" i="8"/>
  <c r="B57" i="8"/>
  <c r="B58" i="8"/>
  <c r="B59" i="8"/>
  <c r="B60" i="8"/>
  <c r="B61" i="8"/>
  <c r="B62" i="8"/>
  <c r="B63" i="8"/>
  <c r="B64" i="8"/>
  <c r="B65" i="8"/>
  <c r="B66" i="8"/>
  <c r="B67" i="8"/>
  <c r="B68" i="8"/>
  <c r="B69" i="8"/>
  <c r="B70" i="8"/>
  <c r="B71" i="8"/>
  <c r="B72" i="8"/>
  <c r="B73" i="8"/>
  <c r="B74" i="8"/>
  <c r="B75" i="8"/>
  <c r="B76" i="8"/>
  <c r="B77" i="8"/>
  <c r="B78" i="8"/>
  <c r="B79" i="8"/>
  <c r="B80" i="8"/>
  <c r="B81" i="8"/>
  <c r="B82" i="8"/>
  <c r="B83" i="8"/>
  <c r="B84" i="8"/>
  <c r="B85" i="8"/>
  <c r="B86" i="8"/>
  <c r="B87" i="8"/>
  <c r="B88" i="8"/>
  <c r="B89" i="8"/>
  <c r="B90" i="8"/>
  <c r="B91" i="8"/>
  <c r="B92" i="8"/>
  <c r="B93" i="8"/>
  <c r="B94" i="8"/>
  <c r="B95" i="8"/>
  <c r="B96" i="8"/>
  <c r="B97" i="8"/>
  <c r="B98" i="8"/>
  <c r="B99" i="8"/>
  <c r="B100" i="8"/>
  <c r="B101" i="8"/>
  <c r="B102" i="8"/>
  <c r="B103" i="8"/>
  <c r="B104" i="8"/>
  <c r="B105" i="8"/>
  <c r="B106" i="8"/>
  <c r="B107" i="8"/>
  <c r="B108" i="8"/>
  <c r="B109" i="8"/>
  <c r="B110" i="8"/>
  <c r="B111" i="8"/>
  <c r="B112" i="8"/>
  <c r="B113" i="8"/>
  <c r="B114" i="8"/>
  <c r="B115" i="8"/>
  <c r="B116" i="8"/>
  <c r="B117" i="8"/>
  <c r="B118" i="8"/>
  <c r="B119" i="8"/>
  <c r="B120" i="8"/>
  <c r="B121" i="8"/>
  <c r="B122" i="8"/>
  <c r="B123" i="8"/>
  <c r="B124" i="8"/>
  <c r="B125" i="8"/>
  <c r="B126" i="8"/>
  <c r="B127" i="8"/>
  <c r="B128" i="8"/>
  <c r="B129" i="8"/>
  <c r="B130" i="8"/>
  <c r="B131" i="8"/>
  <c r="B132" i="8"/>
  <c r="B133" i="8"/>
  <c r="B134" i="8"/>
  <c r="B135" i="8"/>
  <c r="B136" i="8"/>
  <c r="B137" i="8"/>
  <c r="B138" i="8"/>
  <c r="B139" i="8"/>
  <c r="B140" i="8"/>
  <c r="B141" i="8"/>
  <c r="B142" i="8"/>
  <c r="B143" i="8"/>
  <c r="B144" i="8"/>
  <c r="B145" i="8"/>
  <c r="B146" i="8"/>
  <c r="B147" i="8"/>
  <c r="B148" i="8"/>
  <c r="B149" i="8"/>
  <c r="B150" i="8"/>
  <c r="B151" i="8"/>
  <c r="B152" i="8"/>
  <c r="B153" i="8"/>
  <c r="B154" i="8"/>
  <c r="B155" i="8"/>
  <c r="B156" i="8"/>
  <c r="B157" i="8"/>
  <c r="B158" i="8"/>
  <c r="B159" i="8"/>
  <c r="B160" i="8"/>
  <c r="B161" i="8"/>
  <c r="B162" i="8"/>
  <c r="B163" i="8"/>
  <c r="B164" i="8"/>
  <c r="B165" i="8"/>
  <c r="B166" i="8"/>
  <c r="B167" i="8"/>
  <c r="B168" i="8"/>
  <c r="B169" i="8"/>
  <c r="B170" i="8"/>
  <c r="B171" i="8"/>
  <c r="B172" i="8"/>
  <c r="B173" i="8"/>
  <c r="B174" i="8"/>
  <c r="B175" i="8"/>
  <c r="B176" i="8"/>
  <c r="B177" i="8"/>
  <c r="B178" i="8"/>
  <c r="B179" i="8"/>
  <c r="B180" i="8"/>
  <c r="B181" i="8"/>
  <c r="B182" i="8"/>
  <c r="B183" i="8"/>
  <c r="B184" i="8"/>
  <c r="B185" i="8"/>
  <c r="B186" i="8"/>
  <c r="B187" i="8"/>
  <c r="B188" i="8"/>
  <c r="B189" i="8"/>
  <c r="B190" i="8"/>
  <c r="B191" i="8"/>
  <c r="B192" i="8"/>
  <c r="B193" i="8"/>
  <c r="B194" i="8"/>
  <c r="B195" i="8"/>
  <c r="B196" i="8"/>
  <c r="B197" i="8"/>
  <c r="B198" i="8"/>
  <c r="B199" i="8"/>
  <c r="B200" i="8"/>
  <c r="B201" i="8"/>
  <c r="B202" i="8"/>
  <c r="B203" i="8"/>
  <c r="B204" i="8"/>
  <c r="B205" i="8"/>
  <c r="B206" i="8"/>
  <c r="B207" i="8"/>
  <c r="B208" i="8"/>
  <c r="B209" i="8"/>
  <c r="B210" i="8"/>
  <c r="B211" i="8"/>
  <c r="B212" i="8"/>
  <c r="B213" i="8"/>
  <c r="B214" i="8"/>
  <c r="B215" i="8"/>
  <c r="B216" i="8"/>
  <c r="B217" i="8"/>
  <c r="B218" i="8"/>
  <c r="B219" i="8"/>
  <c r="B220" i="8"/>
  <c r="B221" i="8"/>
  <c r="B222" i="8"/>
  <c r="B223" i="8"/>
  <c r="B224" i="8"/>
  <c r="B225" i="8"/>
  <c r="B226" i="8"/>
  <c r="B227" i="8"/>
  <c r="B228" i="8"/>
  <c r="B229" i="8"/>
  <c r="B230" i="8"/>
  <c r="B231" i="8"/>
  <c r="B232" i="8"/>
  <c r="B233" i="8"/>
  <c r="B234" i="8"/>
  <c r="B235" i="8"/>
  <c r="B236" i="8"/>
  <c r="B237" i="8"/>
  <c r="B238" i="8"/>
  <c r="B239" i="8"/>
  <c r="B240" i="8"/>
  <c r="B241" i="8"/>
  <c r="B242" i="8"/>
  <c r="B243" i="8"/>
  <c r="B244" i="8"/>
  <c r="B245" i="8"/>
  <c r="B246" i="8"/>
  <c r="B247" i="8"/>
  <c r="B248" i="8"/>
  <c r="B249" i="8"/>
  <c r="B250" i="8"/>
  <c r="B251" i="8"/>
  <c r="B252" i="8"/>
  <c r="B253" i="8"/>
  <c r="B254" i="8"/>
  <c r="B255" i="8"/>
  <c r="B256" i="8"/>
  <c r="B257" i="8"/>
  <c r="B258" i="8"/>
  <c r="B259" i="8"/>
  <c r="B260" i="8"/>
  <c r="B261" i="8"/>
  <c r="B262" i="8"/>
  <c r="B263" i="8"/>
  <c r="B264" i="8"/>
  <c r="B265" i="8"/>
  <c r="B266" i="8"/>
  <c r="B267" i="8"/>
  <c r="B268" i="8"/>
  <c r="B269" i="8"/>
  <c r="B270" i="8"/>
  <c r="B271" i="8"/>
  <c r="B272" i="8"/>
  <c r="B273" i="8"/>
  <c r="B274" i="8"/>
  <c r="B275" i="8"/>
  <c r="B276" i="8"/>
  <c r="B277" i="8"/>
  <c r="B278" i="8"/>
  <c r="B279" i="8"/>
  <c r="B280" i="8"/>
  <c r="B281" i="8"/>
  <c r="B282" i="8"/>
  <c r="B283" i="8"/>
  <c r="B284" i="8"/>
  <c r="B285" i="8"/>
  <c r="B286" i="8"/>
  <c r="B287" i="8"/>
  <c r="B288" i="8"/>
  <c r="B289" i="8"/>
  <c r="B290" i="8"/>
  <c r="B291" i="8"/>
  <c r="B292" i="8"/>
  <c r="B293" i="8"/>
  <c r="B294" i="8"/>
  <c r="B295" i="8"/>
  <c r="B296" i="8"/>
  <c r="B297" i="8"/>
  <c r="B298" i="8"/>
  <c r="B299" i="8"/>
  <c r="B300" i="8"/>
  <c r="B301" i="8"/>
  <c r="B302" i="8"/>
  <c r="B303" i="8"/>
  <c r="B304" i="8"/>
  <c r="B305" i="8"/>
  <c r="B306" i="8"/>
  <c r="B307" i="8"/>
  <c r="B308" i="8"/>
  <c r="B309" i="8"/>
  <c r="B310" i="8"/>
  <c r="B311" i="8"/>
  <c r="B312" i="8"/>
  <c r="B313" i="8"/>
  <c r="B314" i="8"/>
  <c r="B315" i="8"/>
  <c r="B316" i="8"/>
  <c r="B317" i="8"/>
  <c r="B318" i="8"/>
  <c r="B319" i="8"/>
  <c r="B320" i="8"/>
  <c r="B321" i="8"/>
  <c r="B322" i="8"/>
  <c r="B323" i="8"/>
  <c r="B324" i="8"/>
  <c r="B325" i="8"/>
  <c r="B326" i="8"/>
  <c r="B327" i="8"/>
  <c r="B328" i="8"/>
  <c r="B329" i="8"/>
  <c r="B330" i="8"/>
  <c r="B331" i="8"/>
  <c r="B332" i="8"/>
  <c r="B333" i="8"/>
  <c r="B334" i="8"/>
  <c r="B335" i="8"/>
  <c r="B336" i="8"/>
  <c r="B337" i="8"/>
  <c r="B338" i="8"/>
  <c r="B339" i="8"/>
  <c r="B340" i="8"/>
  <c r="B341" i="8"/>
  <c r="B342" i="8"/>
  <c r="B343" i="8"/>
  <c r="B344" i="8"/>
  <c r="B345" i="8"/>
  <c r="B346" i="8"/>
  <c r="B347" i="8"/>
  <c r="B348" i="8"/>
  <c r="B349" i="8"/>
  <c r="B350" i="8"/>
  <c r="B351" i="8"/>
  <c r="B352" i="8"/>
  <c r="B353" i="8"/>
  <c r="B354" i="8"/>
  <c r="B355" i="8"/>
  <c r="B356" i="8"/>
  <c r="B357" i="8"/>
  <c r="B358" i="8"/>
  <c r="B359" i="8"/>
  <c r="B360" i="8"/>
  <c r="B361" i="8"/>
  <c r="B362" i="8"/>
  <c r="B363" i="8"/>
  <c r="B364" i="8"/>
  <c r="B365" i="8"/>
  <c r="B366" i="8"/>
  <c r="B367" i="8"/>
  <c r="B368" i="8"/>
  <c r="B369" i="8"/>
  <c r="B370" i="8"/>
  <c r="B371" i="8"/>
  <c r="B372" i="8"/>
  <c r="B373" i="8"/>
  <c r="B374" i="8"/>
  <c r="B375" i="8"/>
  <c r="B376" i="8"/>
  <c r="B377" i="8"/>
  <c r="B378" i="8"/>
  <c r="B379" i="8"/>
  <c r="B380" i="8"/>
  <c r="B381" i="8"/>
  <c r="B382" i="8"/>
  <c r="B383" i="8"/>
  <c r="B384" i="8"/>
  <c r="B385" i="8"/>
  <c r="B386" i="8"/>
  <c r="B387" i="8"/>
  <c r="B388" i="8"/>
  <c r="B389" i="8"/>
  <c r="B390" i="8"/>
  <c r="B391" i="8"/>
  <c r="B392" i="8"/>
  <c r="B393" i="8"/>
  <c r="B394" i="8"/>
  <c r="B395" i="8"/>
  <c r="B396" i="8"/>
  <c r="B397" i="8"/>
  <c r="B398" i="8"/>
  <c r="B399" i="8"/>
  <c r="B400" i="8"/>
  <c r="B401" i="8"/>
  <c r="B402" i="8"/>
  <c r="B403" i="8"/>
  <c r="B404" i="8"/>
  <c r="B405" i="8"/>
  <c r="B406" i="8"/>
  <c r="B407" i="8"/>
  <c r="B408" i="8"/>
  <c r="B409" i="8"/>
  <c r="B410" i="8"/>
  <c r="B411" i="8"/>
  <c r="B412" i="8"/>
  <c r="B413" i="8"/>
  <c r="B414" i="8"/>
  <c r="B415" i="8"/>
  <c r="B416" i="8"/>
  <c r="B417" i="8"/>
  <c r="B418" i="8"/>
  <c r="B419" i="8"/>
  <c r="B420" i="8"/>
  <c r="B421" i="8"/>
  <c r="B422" i="8"/>
  <c r="B423" i="8"/>
  <c r="B424" i="8"/>
  <c r="B425" i="8"/>
  <c r="B426" i="8"/>
  <c r="B427" i="8"/>
  <c r="B428" i="8"/>
  <c r="B429" i="8"/>
  <c r="B430" i="8"/>
  <c r="B431" i="8"/>
  <c r="B432" i="8"/>
  <c r="B433" i="8"/>
  <c r="B434" i="8"/>
  <c r="B435" i="8"/>
  <c r="B436" i="8"/>
  <c r="B437" i="8"/>
  <c r="B438" i="8"/>
  <c r="B439" i="8"/>
  <c r="B440" i="8"/>
  <c r="B441" i="8"/>
  <c r="B442" i="8"/>
  <c r="B443" i="8"/>
  <c r="B444" i="8"/>
  <c r="B445" i="8"/>
  <c r="B446" i="8"/>
  <c r="B447" i="8"/>
  <c r="B448" i="8"/>
  <c r="B449" i="8"/>
  <c r="B450" i="8"/>
  <c r="B451" i="8"/>
  <c r="B452" i="8"/>
  <c r="B453" i="8"/>
  <c r="B454" i="8"/>
  <c r="B455" i="8"/>
  <c r="B456" i="8"/>
  <c r="B457" i="8"/>
  <c r="B458" i="8"/>
  <c r="B459" i="8"/>
  <c r="B460" i="8"/>
  <c r="B461" i="8"/>
  <c r="B462" i="8"/>
  <c r="B463" i="8"/>
  <c r="B464" i="8"/>
  <c r="B465" i="8"/>
  <c r="B466" i="8"/>
  <c r="B467" i="8"/>
  <c r="B468" i="8"/>
  <c r="B469" i="8"/>
  <c r="B470" i="8"/>
  <c r="B471" i="8"/>
  <c r="B472" i="8"/>
  <c r="B473" i="8"/>
  <c r="B474" i="8"/>
  <c r="B475" i="8"/>
  <c r="B476" i="8"/>
  <c r="B477" i="8"/>
  <c r="B478" i="8"/>
  <c r="B479" i="8"/>
  <c r="B480" i="8"/>
  <c r="B481" i="8"/>
  <c r="B482" i="8"/>
  <c r="B483" i="8"/>
  <c r="B484" i="8"/>
  <c r="B485" i="8"/>
  <c r="B486" i="8"/>
  <c r="B487" i="8"/>
  <c r="B488" i="8"/>
  <c r="B489" i="8"/>
  <c r="B490" i="8"/>
  <c r="B491" i="8"/>
  <c r="B492" i="8"/>
  <c r="B493" i="8"/>
  <c r="B494" i="8"/>
  <c r="B495" i="8"/>
  <c r="B496" i="8"/>
  <c r="B497" i="8"/>
  <c r="B498" i="8"/>
  <c r="B499" i="8"/>
  <c r="B500" i="8"/>
  <c r="B501" i="8"/>
  <c r="B502" i="8"/>
  <c r="B503" i="8"/>
  <c r="B504" i="8"/>
  <c r="B505" i="8"/>
  <c r="B506" i="8"/>
  <c r="B507" i="8"/>
  <c r="B508" i="8"/>
  <c r="B509" i="8"/>
  <c r="B510" i="8"/>
  <c r="B511" i="8"/>
  <c r="B512" i="8"/>
  <c r="B513" i="8"/>
  <c r="B514" i="8"/>
  <c r="B515" i="8"/>
  <c r="B516" i="8"/>
  <c r="B517" i="8"/>
  <c r="B518" i="8"/>
  <c r="B519" i="8"/>
  <c r="B520" i="8"/>
  <c r="B521" i="8"/>
  <c r="B522" i="8"/>
  <c r="B523" i="8"/>
  <c r="B524" i="8"/>
  <c r="B525" i="8"/>
  <c r="B526" i="8"/>
  <c r="B527" i="8"/>
  <c r="B528" i="8"/>
  <c r="B529" i="8"/>
  <c r="B530" i="8"/>
  <c r="B531" i="8"/>
  <c r="B532" i="8"/>
  <c r="B533" i="8"/>
  <c r="B534" i="8"/>
  <c r="B535" i="8"/>
  <c r="B536" i="8"/>
  <c r="B537" i="8"/>
  <c r="B538" i="8"/>
  <c r="B539" i="8"/>
  <c r="B540" i="8"/>
  <c r="B541" i="8"/>
  <c r="B542" i="8"/>
  <c r="B543" i="8"/>
  <c r="B544" i="8"/>
  <c r="B545" i="8"/>
  <c r="B546" i="8"/>
  <c r="B547" i="8"/>
  <c r="B548" i="8"/>
  <c r="B549" i="8"/>
  <c r="B550" i="8"/>
  <c r="B551" i="8"/>
  <c r="B552" i="8"/>
  <c r="B553" i="8"/>
  <c r="B554" i="8"/>
  <c r="B555" i="8"/>
  <c r="B556" i="8"/>
  <c r="B557" i="8"/>
  <c r="B558" i="8"/>
  <c r="B559" i="8"/>
  <c r="B560" i="8"/>
  <c r="B561" i="8"/>
  <c r="B562" i="8"/>
  <c r="B563" i="8"/>
  <c r="B564" i="8"/>
  <c r="B565" i="8"/>
  <c r="B566" i="8"/>
  <c r="B567" i="8"/>
  <c r="B568" i="8"/>
  <c r="B569" i="8"/>
  <c r="B570" i="8"/>
  <c r="B571" i="8"/>
  <c r="B572" i="8"/>
  <c r="B573" i="8"/>
  <c r="B574" i="8"/>
  <c r="B575" i="8"/>
  <c r="B576" i="8"/>
  <c r="B577" i="8"/>
  <c r="B578" i="8"/>
  <c r="B579" i="8"/>
  <c r="B580" i="8"/>
  <c r="B581" i="8"/>
  <c r="B582" i="8"/>
  <c r="B583" i="8"/>
  <c r="B584" i="8"/>
  <c r="B585" i="8"/>
  <c r="B586" i="8"/>
  <c r="B587" i="8"/>
  <c r="B588" i="8"/>
  <c r="B589" i="8"/>
  <c r="B590" i="8"/>
  <c r="B591" i="8"/>
  <c r="B592" i="8"/>
  <c r="B593" i="8"/>
  <c r="B594" i="8"/>
  <c r="B595" i="8"/>
  <c r="B596" i="8"/>
  <c r="B597" i="8"/>
  <c r="B598" i="8"/>
  <c r="B599" i="8"/>
  <c r="B600" i="8"/>
  <c r="B601" i="8"/>
  <c r="B602" i="8"/>
  <c r="B603" i="8"/>
  <c r="B604" i="8"/>
  <c r="B605" i="8"/>
  <c r="B606" i="8"/>
  <c r="B607" i="8"/>
  <c r="B608" i="8"/>
  <c r="B609" i="8"/>
  <c r="B610" i="8"/>
  <c r="B611" i="8"/>
  <c r="B612" i="8"/>
  <c r="B613" i="8"/>
  <c r="B614" i="8"/>
  <c r="B615" i="8"/>
  <c r="B616" i="8"/>
  <c r="B617" i="8"/>
  <c r="B618" i="8"/>
  <c r="B619" i="8"/>
  <c r="B620" i="8"/>
  <c r="B621" i="8"/>
  <c r="B622" i="8"/>
  <c r="B623" i="8"/>
  <c r="B624" i="8"/>
  <c r="B625" i="8"/>
  <c r="B626" i="8"/>
  <c r="B627" i="8"/>
  <c r="B628" i="8"/>
  <c r="B629" i="8"/>
  <c r="B630" i="8"/>
  <c r="B631" i="8"/>
  <c r="B632" i="8"/>
  <c r="B633" i="8"/>
  <c r="B634" i="8"/>
  <c r="B635" i="8"/>
  <c r="B636" i="8"/>
  <c r="B637" i="8"/>
  <c r="B638" i="8"/>
  <c r="B639" i="8"/>
  <c r="B640" i="8"/>
  <c r="B641" i="8"/>
  <c r="B642" i="8"/>
  <c r="B643" i="8"/>
  <c r="B644" i="8"/>
  <c r="B645" i="8"/>
  <c r="B646" i="8"/>
  <c r="B647" i="8"/>
  <c r="B648" i="8"/>
  <c r="B649" i="8"/>
  <c r="B650" i="8"/>
  <c r="B651" i="8"/>
  <c r="B652" i="8"/>
  <c r="B653" i="8"/>
  <c r="B654" i="8"/>
  <c r="B655" i="8"/>
  <c r="B656" i="8"/>
  <c r="B657" i="8"/>
  <c r="B658" i="8"/>
  <c r="B659" i="8"/>
  <c r="B660" i="8"/>
  <c r="B661" i="8"/>
  <c r="B662" i="8"/>
  <c r="B663" i="8"/>
  <c r="B664" i="8"/>
  <c r="B665" i="8"/>
  <c r="B666" i="8"/>
  <c r="B667" i="8"/>
  <c r="B668" i="8"/>
  <c r="B669" i="8"/>
  <c r="B670" i="8"/>
  <c r="B671" i="8"/>
  <c r="B672" i="8"/>
  <c r="B673" i="8"/>
  <c r="B674" i="8"/>
  <c r="B675" i="8"/>
  <c r="B676" i="8"/>
  <c r="B677" i="8"/>
  <c r="B678" i="8"/>
  <c r="B679" i="8"/>
  <c r="B680" i="8"/>
  <c r="B681" i="8"/>
  <c r="B682" i="8"/>
  <c r="B683" i="8"/>
  <c r="B684" i="8"/>
  <c r="B685" i="8"/>
  <c r="B686" i="8"/>
  <c r="B687" i="8"/>
  <c r="B688" i="8"/>
  <c r="B689" i="8"/>
  <c r="B690" i="8"/>
  <c r="B691" i="8"/>
  <c r="B692" i="8"/>
  <c r="B693" i="8"/>
  <c r="B694" i="8"/>
  <c r="B695" i="8"/>
  <c r="B696" i="8"/>
  <c r="B697" i="8"/>
  <c r="B698" i="8"/>
  <c r="B699" i="8"/>
  <c r="B700" i="8"/>
  <c r="B701" i="8"/>
  <c r="B702" i="8"/>
  <c r="B703" i="8"/>
  <c r="B704" i="8"/>
  <c r="B705" i="8"/>
  <c r="B706" i="8"/>
  <c r="B707" i="8"/>
  <c r="B708" i="8"/>
  <c r="B709" i="8"/>
  <c r="B710" i="8"/>
  <c r="B711" i="8"/>
  <c r="B712" i="8"/>
  <c r="B713" i="8"/>
  <c r="B714" i="8"/>
  <c r="B715" i="8"/>
  <c r="B716" i="8"/>
  <c r="B717" i="8"/>
  <c r="B718" i="8"/>
  <c r="B719" i="8"/>
  <c r="B720" i="8"/>
  <c r="B721" i="8"/>
  <c r="B722" i="8"/>
  <c r="B723" i="8"/>
  <c r="B724" i="8"/>
  <c r="B725" i="8"/>
  <c r="B726" i="8"/>
  <c r="B727" i="8"/>
  <c r="B728" i="8"/>
  <c r="B729" i="8"/>
  <c r="B730" i="8"/>
  <c r="B731" i="8"/>
  <c r="B732" i="8"/>
  <c r="B733" i="8"/>
  <c r="B734" i="8"/>
  <c r="B735" i="8"/>
  <c r="B736" i="8"/>
  <c r="B737" i="8"/>
  <c r="B738" i="8"/>
  <c r="B739" i="8"/>
  <c r="B740" i="8"/>
  <c r="B741" i="8"/>
  <c r="B742" i="8"/>
  <c r="B743" i="8"/>
  <c r="B744" i="8"/>
  <c r="B745" i="8"/>
  <c r="B746" i="8"/>
  <c r="B747" i="8"/>
  <c r="B748" i="8"/>
  <c r="B749" i="8"/>
  <c r="B750" i="8"/>
  <c r="B751" i="8"/>
  <c r="B752" i="8"/>
  <c r="B753" i="8"/>
  <c r="B754" i="8"/>
  <c r="B755" i="8"/>
  <c r="B756" i="8"/>
  <c r="B757" i="8"/>
  <c r="B758" i="8"/>
  <c r="B759" i="8"/>
  <c r="B760" i="8"/>
  <c r="B761" i="8"/>
  <c r="B762" i="8"/>
  <c r="B763" i="8"/>
  <c r="B764" i="8"/>
  <c r="B765" i="8"/>
  <c r="B766" i="8"/>
  <c r="B767" i="8"/>
  <c r="B768" i="8"/>
  <c r="B769" i="8"/>
  <c r="B770" i="8"/>
  <c r="B771" i="8"/>
  <c r="B772" i="8"/>
  <c r="B773" i="8"/>
  <c r="B774" i="8"/>
  <c r="B775" i="8"/>
  <c r="B776" i="8"/>
  <c r="B777" i="8"/>
  <c r="B778" i="8"/>
  <c r="B779" i="8"/>
  <c r="B780" i="8"/>
  <c r="B781" i="8"/>
  <c r="B782" i="8"/>
  <c r="B783" i="8"/>
  <c r="B784" i="8"/>
  <c r="B785" i="8"/>
  <c r="B786" i="8"/>
  <c r="B787" i="8"/>
  <c r="B788" i="8"/>
  <c r="B789" i="8"/>
  <c r="B790" i="8"/>
  <c r="B791" i="8"/>
  <c r="B792" i="8"/>
  <c r="B793" i="8"/>
  <c r="B794" i="8"/>
  <c r="B795" i="8"/>
  <c r="B796" i="8"/>
  <c r="B797" i="8"/>
  <c r="B798" i="8"/>
  <c r="B799" i="8"/>
  <c r="B800" i="8"/>
  <c r="B801" i="8"/>
  <c r="B802" i="8"/>
  <c r="B803" i="8"/>
  <c r="B804" i="8"/>
  <c r="B805" i="8"/>
  <c r="B806" i="8"/>
  <c r="B807" i="8"/>
  <c r="B808" i="8"/>
  <c r="B809" i="8"/>
  <c r="B810" i="8"/>
  <c r="B811" i="8"/>
  <c r="B812" i="8"/>
  <c r="B813" i="8"/>
  <c r="B814" i="8"/>
  <c r="B815" i="8"/>
  <c r="B816" i="8"/>
  <c r="B817" i="8"/>
  <c r="B818" i="8"/>
  <c r="B819" i="8"/>
  <c r="B820" i="8"/>
  <c r="B821" i="8"/>
  <c r="B822" i="8"/>
  <c r="B823" i="8"/>
  <c r="B824" i="8"/>
  <c r="B825" i="8"/>
  <c r="B826" i="8"/>
  <c r="B827" i="8"/>
  <c r="B828" i="8"/>
  <c r="B829" i="8"/>
  <c r="B830" i="8"/>
  <c r="B831" i="8"/>
  <c r="B832" i="8"/>
  <c r="B833" i="8"/>
  <c r="B834" i="8"/>
  <c r="B835" i="8"/>
  <c r="B836" i="8"/>
  <c r="B837" i="8"/>
  <c r="B838" i="8"/>
  <c r="B839" i="8"/>
  <c r="B840" i="8"/>
  <c r="B841" i="8"/>
  <c r="B842" i="8"/>
  <c r="B843" i="8"/>
  <c r="B844" i="8"/>
  <c r="B845" i="8"/>
  <c r="B846" i="8"/>
  <c r="B847" i="8"/>
  <c r="B848" i="8"/>
  <c r="B849" i="8"/>
  <c r="B850" i="8"/>
  <c r="B851" i="8"/>
  <c r="B852" i="8"/>
  <c r="B853" i="8"/>
  <c r="B854" i="8"/>
  <c r="B855" i="8"/>
  <c r="B856" i="8"/>
  <c r="B857" i="8"/>
  <c r="B858" i="8"/>
  <c r="B859" i="8"/>
  <c r="B860" i="8"/>
  <c r="B861" i="8"/>
  <c r="B862" i="8"/>
  <c r="B863" i="8"/>
  <c r="B864" i="8"/>
  <c r="B865" i="8"/>
  <c r="B866" i="8"/>
  <c r="B867" i="8"/>
  <c r="B868" i="8"/>
  <c r="B869" i="8"/>
  <c r="B870" i="8"/>
  <c r="B871" i="8"/>
  <c r="B872" i="8"/>
  <c r="B873" i="8"/>
  <c r="B874" i="8"/>
  <c r="B875" i="8"/>
  <c r="B876" i="8"/>
  <c r="B877" i="8"/>
  <c r="B878" i="8"/>
  <c r="B879" i="8"/>
  <c r="B880" i="8"/>
  <c r="B881" i="8"/>
  <c r="B882" i="8"/>
  <c r="B883" i="8"/>
  <c r="B884" i="8"/>
  <c r="B885" i="8"/>
  <c r="B886" i="8"/>
  <c r="B887" i="8"/>
  <c r="B888" i="8"/>
  <c r="B889" i="8"/>
  <c r="B890" i="8"/>
  <c r="B891" i="8"/>
  <c r="B892" i="8"/>
  <c r="B893" i="8"/>
  <c r="B894" i="8"/>
  <c r="B895" i="8"/>
  <c r="B896" i="8"/>
  <c r="B897" i="8"/>
  <c r="B898" i="8"/>
  <c r="B899" i="8"/>
  <c r="B900" i="8"/>
  <c r="B901" i="8"/>
  <c r="B902" i="8"/>
  <c r="B903" i="8"/>
  <c r="B904" i="8"/>
  <c r="B905" i="8"/>
  <c r="B906" i="8"/>
  <c r="B907" i="8"/>
  <c r="B908" i="8"/>
  <c r="B909" i="8"/>
  <c r="B910" i="8"/>
  <c r="B911" i="8"/>
  <c r="B912" i="8"/>
  <c r="B913" i="8"/>
  <c r="B914" i="8"/>
  <c r="B915" i="8"/>
  <c r="B916" i="8"/>
  <c r="B917" i="8"/>
  <c r="B918" i="8"/>
  <c r="B919" i="8"/>
  <c r="B920" i="8"/>
  <c r="B921" i="8"/>
  <c r="B922" i="8"/>
  <c r="B923" i="8"/>
  <c r="B924" i="8"/>
  <c r="B925" i="8"/>
  <c r="B926" i="8"/>
  <c r="B927" i="8"/>
  <c r="B928" i="8"/>
  <c r="B929" i="8"/>
  <c r="B930" i="8"/>
  <c r="B931" i="8"/>
  <c r="B932" i="8"/>
  <c r="B933" i="8"/>
  <c r="B934" i="8"/>
  <c r="B935" i="8"/>
  <c r="B936" i="8"/>
  <c r="B937" i="8"/>
  <c r="B938" i="8"/>
  <c r="B939" i="8"/>
  <c r="B940" i="8"/>
  <c r="B941" i="8"/>
  <c r="B942" i="8"/>
  <c r="B943" i="8"/>
  <c r="B944" i="8"/>
  <c r="B945" i="8"/>
  <c r="B946" i="8"/>
  <c r="B947" i="8"/>
  <c r="B948" i="8"/>
  <c r="B949" i="8"/>
  <c r="B950" i="8"/>
  <c r="B951" i="8"/>
  <c r="B952" i="8"/>
  <c r="B953" i="8"/>
  <c r="B954" i="8"/>
  <c r="B955" i="8"/>
  <c r="B956" i="8"/>
  <c r="B957" i="8"/>
  <c r="B958" i="8"/>
  <c r="B959" i="8"/>
  <c r="B960" i="8"/>
  <c r="B961" i="8"/>
  <c r="B962" i="8"/>
  <c r="B963" i="8"/>
  <c r="B964" i="8"/>
  <c r="B965" i="8"/>
  <c r="B966" i="8"/>
  <c r="B967" i="8"/>
  <c r="B968" i="8"/>
  <c r="B969" i="8"/>
  <c r="B970" i="8"/>
  <c r="B971" i="8"/>
  <c r="B972" i="8"/>
  <c r="B973" i="8"/>
  <c r="B974" i="8"/>
  <c r="B975" i="8"/>
  <c r="B976" i="8"/>
  <c r="B977" i="8"/>
  <c r="B978" i="8"/>
  <c r="B979" i="8"/>
  <c r="B980" i="8"/>
  <c r="B981" i="8"/>
  <c r="B982" i="8"/>
  <c r="B983" i="8"/>
  <c r="B984" i="8"/>
  <c r="B985" i="8"/>
  <c r="B986" i="8"/>
  <c r="B987" i="8"/>
  <c r="B988" i="8"/>
  <c r="B989" i="8"/>
  <c r="B990" i="8"/>
  <c r="B991" i="8"/>
  <c r="B992" i="8"/>
  <c r="B993" i="8"/>
  <c r="B994" i="8"/>
  <c r="B995" i="8"/>
  <c r="B996" i="8"/>
  <c r="B997" i="8"/>
  <c r="B998" i="8"/>
  <c r="B999" i="8"/>
  <c r="B1000" i="8"/>
  <c r="B1001" i="8"/>
  <c r="B1002" i="8"/>
  <c r="B1003" i="8"/>
  <c r="B1004" i="8"/>
  <c r="B1005" i="8"/>
  <c r="B1006" i="8"/>
  <c r="B1007" i="8"/>
  <c r="B1008" i="8"/>
  <c r="B1009" i="8"/>
  <c r="B1010" i="8"/>
  <c r="B1011" i="8"/>
  <c r="B1012" i="8"/>
  <c r="B1013" i="8"/>
  <c r="B1014" i="8"/>
  <c r="B1015" i="8"/>
  <c r="B1016" i="8"/>
  <c r="B1017" i="8"/>
  <c r="B1018" i="8"/>
  <c r="B1019" i="8"/>
  <c r="B1020" i="8"/>
  <c r="B1021" i="8"/>
  <c r="B1022" i="8"/>
  <c r="B1023" i="8"/>
  <c r="B1024" i="8"/>
  <c r="B1025" i="8"/>
  <c r="B1026" i="8"/>
  <c r="B1027" i="8"/>
  <c r="B1028" i="8"/>
  <c r="B1029" i="8"/>
  <c r="B1030" i="8"/>
  <c r="B1031" i="8"/>
  <c r="B1032" i="8"/>
  <c r="B1033" i="8"/>
  <c r="B1034" i="8"/>
  <c r="B1035" i="8"/>
  <c r="B1036" i="8"/>
  <c r="B1037" i="8"/>
  <c r="B1038" i="8"/>
  <c r="B1039" i="8"/>
  <c r="B1040" i="8"/>
  <c r="B1041" i="8"/>
  <c r="B1042" i="8"/>
  <c r="B1043" i="8"/>
  <c r="B1044" i="8"/>
  <c r="B1045" i="8"/>
  <c r="B1046" i="8"/>
  <c r="B1047" i="8"/>
  <c r="B1048" i="8"/>
  <c r="B1049" i="8"/>
  <c r="B1050" i="8"/>
  <c r="B1051" i="8"/>
  <c r="B1052" i="8"/>
  <c r="B1053" i="8"/>
  <c r="B1054" i="8"/>
  <c r="B1055" i="8"/>
  <c r="B1056" i="8"/>
  <c r="B1057" i="8"/>
  <c r="B1058" i="8"/>
  <c r="B1059" i="8"/>
  <c r="B1060" i="8"/>
  <c r="B1061" i="8"/>
  <c r="B1062" i="8"/>
  <c r="B1063" i="8"/>
  <c r="B1064" i="8"/>
  <c r="B1065" i="8"/>
  <c r="B1066" i="8"/>
  <c r="B1067" i="8"/>
  <c r="B1068" i="8"/>
  <c r="B1069" i="8"/>
  <c r="B1070" i="8"/>
  <c r="B1071" i="8"/>
  <c r="B1072" i="8"/>
  <c r="B1073" i="8"/>
  <c r="B1074" i="8"/>
  <c r="B1075" i="8"/>
  <c r="B1076" i="8"/>
  <c r="B1077" i="8"/>
  <c r="B1078" i="8"/>
  <c r="B1079" i="8"/>
  <c r="B1080" i="8"/>
  <c r="B1081" i="8"/>
  <c r="B1082" i="8"/>
  <c r="B1083" i="8"/>
  <c r="B1084" i="8"/>
  <c r="B1085" i="8"/>
  <c r="B1086" i="8"/>
  <c r="B1087" i="8"/>
  <c r="B1088" i="8"/>
  <c r="B1089" i="8"/>
  <c r="B1090" i="8"/>
  <c r="B1091" i="8"/>
  <c r="B1092" i="8"/>
  <c r="B1093" i="8"/>
  <c r="B1094" i="8"/>
  <c r="B1095" i="8"/>
  <c r="B1096" i="8"/>
  <c r="B1097" i="8"/>
  <c r="B1098" i="8"/>
  <c r="B1099" i="8"/>
  <c r="B1100" i="8"/>
  <c r="B1101" i="8"/>
  <c r="B1102" i="8"/>
  <c r="B1103" i="8"/>
  <c r="B1104" i="8"/>
  <c r="B1105" i="8"/>
  <c r="B1106" i="8"/>
  <c r="B1107" i="8"/>
  <c r="B1108" i="8"/>
  <c r="B1109" i="8"/>
  <c r="B1110" i="8"/>
  <c r="B1111" i="8"/>
  <c r="B1112" i="8"/>
  <c r="B1113" i="8"/>
  <c r="B1114" i="8"/>
  <c r="B1115" i="8"/>
  <c r="B1116" i="8"/>
  <c r="B1117" i="8"/>
  <c r="B1118" i="8"/>
  <c r="B1119" i="8"/>
  <c r="B1120" i="8"/>
  <c r="B1121" i="8"/>
  <c r="B1122" i="8"/>
  <c r="B1123" i="8"/>
  <c r="B1124" i="8"/>
  <c r="B1125" i="8"/>
  <c r="B1126" i="8"/>
  <c r="B1127" i="8"/>
  <c r="B1128" i="8"/>
  <c r="B1129" i="8"/>
  <c r="B1130" i="8"/>
  <c r="B1131" i="8"/>
  <c r="B1132" i="8"/>
  <c r="B1133" i="8"/>
  <c r="B1134" i="8"/>
  <c r="B1135" i="8"/>
  <c r="B1136" i="8"/>
  <c r="B1137" i="8"/>
  <c r="B1138" i="8"/>
  <c r="B1139" i="8"/>
  <c r="B1140" i="8"/>
  <c r="B1141" i="8"/>
  <c r="B1142" i="8"/>
  <c r="B1143" i="8"/>
  <c r="B1144" i="8"/>
  <c r="B1145" i="8"/>
  <c r="B1146" i="8"/>
  <c r="B1147" i="8"/>
  <c r="B1148" i="8"/>
  <c r="B1149" i="8"/>
  <c r="B1150" i="8"/>
  <c r="B1151" i="8"/>
  <c r="B1152" i="8"/>
  <c r="B1153" i="8"/>
  <c r="B1154" i="8"/>
  <c r="B1155" i="8"/>
  <c r="B1156" i="8"/>
  <c r="B1157" i="8"/>
  <c r="B1158" i="8"/>
  <c r="B1159" i="8"/>
  <c r="B1160" i="8"/>
  <c r="B1161" i="8"/>
  <c r="B1162" i="8"/>
  <c r="B1163" i="8"/>
  <c r="B1164" i="8"/>
  <c r="B1165" i="8"/>
  <c r="B1166" i="8"/>
  <c r="B1167" i="8"/>
  <c r="B1168" i="8"/>
  <c r="B1169" i="8"/>
  <c r="B1170" i="8"/>
  <c r="B1171" i="8"/>
  <c r="B1172" i="8"/>
  <c r="B1173" i="8"/>
  <c r="B1174" i="8"/>
  <c r="B1175" i="8"/>
  <c r="B1176" i="8"/>
  <c r="B1177" i="8"/>
  <c r="B1178" i="8"/>
  <c r="B1179" i="8"/>
  <c r="B1180" i="8"/>
  <c r="B1181" i="8"/>
  <c r="B1182" i="8"/>
  <c r="B1183" i="8"/>
  <c r="B1184" i="8"/>
  <c r="B1185" i="8"/>
  <c r="B1186" i="8"/>
  <c r="B1187" i="8"/>
  <c r="B1188" i="8"/>
  <c r="B1189" i="8"/>
  <c r="B1190" i="8"/>
  <c r="B1191" i="8"/>
  <c r="B1192" i="8"/>
  <c r="B1193" i="8"/>
  <c r="B1194" i="8"/>
  <c r="B1195" i="8"/>
  <c r="B1196" i="8"/>
  <c r="B1197" i="8"/>
  <c r="B1198" i="8"/>
  <c r="B1199" i="8"/>
  <c r="B1200" i="8"/>
  <c r="B1201" i="8"/>
  <c r="B1202" i="8"/>
  <c r="B1203" i="8"/>
  <c r="B1204" i="8"/>
  <c r="B1205" i="8"/>
  <c r="B1206" i="8"/>
  <c r="B1207" i="8"/>
  <c r="B1208" i="8"/>
  <c r="B1209" i="8"/>
  <c r="B1210" i="8"/>
  <c r="B1211" i="8"/>
  <c r="B1212" i="8"/>
  <c r="B1213" i="8"/>
  <c r="B1214" i="8"/>
  <c r="B1215" i="8"/>
  <c r="B1216" i="8"/>
  <c r="B1217" i="8"/>
  <c r="B1218" i="8"/>
  <c r="B1219" i="8"/>
  <c r="B1220" i="8"/>
  <c r="B1221" i="8"/>
  <c r="B1222" i="8"/>
  <c r="B1223" i="8"/>
  <c r="B1224" i="8"/>
  <c r="B1225" i="8"/>
  <c r="B1226" i="8"/>
  <c r="B1227" i="8"/>
  <c r="B1228" i="8"/>
  <c r="B1229" i="8"/>
  <c r="B1230" i="8"/>
  <c r="B1231" i="8"/>
  <c r="B1232" i="8"/>
  <c r="B1233" i="8"/>
  <c r="B1234" i="8"/>
  <c r="B1235" i="8"/>
  <c r="B1236" i="8"/>
  <c r="B1237" i="8"/>
  <c r="B1238" i="8"/>
  <c r="B1239" i="8"/>
  <c r="B1240" i="8"/>
  <c r="B1241" i="8"/>
  <c r="B1242" i="8"/>
  <c r="B1243" i="8"/>
  <c r="B1244" i="8"/>
  <c r="B1245" i="8"/>
  <c r="B1246" i="8"/>
  <c r="B1247" i="8"/>
  <c r="B1248" i="8"/>
  <c r="B1249" i="8"/>
  <c r="B1250" i="8"/>
  <c r="B1251" i="8"/>
  <c r="B1252" i="8"/>
  <c r="B1253" i="8"/>
  <c r="B1254" i="8"/>
  <c r="B1255" i="8"/>
  <c r="B1256" i="8"/>
  <c r="B1257" i="8"/>
  <c r="B1258" i="8"/>
  <c r="B1259" i="8"/>
  <c r="B1260" i="8"/>
  <c r="B1261" i="8"/>
  <c r="B1262" i="8"/>
  <c r="B1263" i="8"/>
  <c r="B1264" i="8"/>
  <c r="B1265" i="8"/>
  <c r="B1266" i="8"/>
  <c r="B1267" i="8"/>
  <c r="B1268" i="8"/>
  <c r="B1269" i="8"/>
  <c r="B1270" i="8"/>
  <c r="B1271" i="8"/>
  <c r="B1272" i="8"/>
  <c r="B1273" i="8"/>
  <c r="B1274" i="8"/>
  <c r="B1275" i="8"/>
  <c r="B1276" i="8"/>
  <c r="B1277" i="8"/>
  <c r="B1278" i="8"/>
  <c r="B1279" i="8"/>
  <c r="B1280" i="8"/>
  <c r="B1281" i="8"/>
  <c r="B1282" i="8"/>
  <c r="B1283" i="8"/>
  <c r="B1284" i="8"/>
  <c r="B1285" i="8"/>
  <c r="B1286" i="8"/>
  <c r="B1287" i="8"/>
  <c r="B1288" i="8"/>
  <c r="B1289" i="8"/>
  <c r="B1290" i="8"/>
  <c r="B1291" i="8"/>
  <c r="B1292" i="8"/>
  <c r="B1293" i="8"/>
  <c r="B1294" i="8"/>
  <c r="B1295" i="8"/>
  <c r="B1296" i="8"/>
  <c r="B1297" i="8"/>
  <c r="B1298" i="8"/>
  <c r="B1299" i="8"/>
  <c r="B1300" i="8"/>
  <c r="B1301" i="8"/>
  <c r="B1302" i="8"/>
  <c r="B1303" i="8"/>
  <c r="B1304" i="8"/>
  <c r="B1305" i="8"/>
  <c r="B1306" i="8"/>
  <c r="B1307" i="8"/>
  <c r="B1308" i="8"/>
  <c r="B1309" i="8"/>
  <c r="B1310" i="8"/>
  <c r="B1311" i="8"/>
  <c r="B1312" i="8"/>
  <c r="B1313" i="8"/>
  <c r="B1314" i="8"/>
  <c r="B1315" i="8"/>
  <c r="B1316" i="8"/>
  <c r="B1317" i="8"/>
  <c r="B1318" i="8"/>
  <c r="B1319" i="8"/>
  <c r="B1320" i="8"/>
  <c r="B1321" i="8"/>
  <c r="B1322" i="8"/>
  <c r="B1323" i="8"/>
  <c r="B1324" i="8"/>
  <c r="B1325" i="8"/>
  <c r="B1326" i="8"/>
  <c r="B1327" i="8"/>
  <c r="B1328" i="8"/>
  <c r="B1329" i="8"/>
  <c r="B1330" i="8"/>
  <c r="B1331" i="8"/>
  <c r="B1332" i="8"/>
  <c r="B1333" i="8"/>
  <c r="B1334" i="8"/>
  <c r="B1335" i="8"/>
  <c r="B1336" i="8"/>
  <c r="B1337" i="8"/>
  <c r="B1338" i="8"/>
  <c r="B1339" i="8"/>
  <c r="B1340" i="8"/>
  <c r="B1341" i="8"/>
  <c r="B1342" i="8"/>
  <c r="B1343" i="8"/>
  <c r="B1344" i="8"/>
  <c r="B1345" i="8"/>
  <c r="B1346" i="8"/>
  <c r="B1347" i="8"/>
  <c r="B1348" i="8"/>
  <c r="B1349" i="8"/>
  <c r="B1350" i="8"/>
  <c r="B1351" i="8"/>
  <c r="B1352" i="8"/>
  <c r="B1353" i="8"/>
  <c r="B1354" i="8"/>
  <c r="B1355" i="8"/>
  <c r="B1356" i="8"/>
  <c r="B1357" i="8"/>
  <c r="B1358" i="8"/>
  <c r="B1359" i="8"/>
  <c r="B1360" i="8"/>
  <c r="B1361" i="8"/>
  <c r="B1362" i="8"/>
  <c r="B1363" i="8"/>
  <c r="B1364" i="8"/>
  <c r="B1365" i="8"/>
  <c r="B1366" i="8"/>
  <c r="B1367" i="8"/>
  <c r="B1368" i="8"/>
  <c r="B1369" i="8"/>
  <c r="B1370" i="8"/>
  <c r="B1371" i="8"/>
  <c r="B1372" i="8"/>
  <c r="B1373" i="8"/>
  <c r="B1374" i="8"/>
  <c r="B1375" i="8"/>
  <c r="B1376" i="8"/>
  <c r="B1377" i="8"/>
  <c r="B1378" i="8"/>
  <c r="B1379" i="8"/>
  <c r="B1380" i="8"/>
  <c r="B1381" i="8"/>
  <c r="B1382" i="8"/>
  <c r="B1383" i="8"/>
  <c r="B1384" i="8"/>
  <c r="B1385" i="8"/>
  <c r="B1386" i="8"/>
  <c r="B1387" i="8"/>
  <c r="B1388" i="8"/>
  <c r="B1389" i="8"/>
  <c r="B1390" i="8"/>
  <c r="B1391" i="8"/>
  <c r="B1392" i="8"/>
  <c r="B1393" i="8"/>
  <c r="B1394" i="8"/>
  <c r="B1395" i="8"/>
  <c r="B1396" i="8"/>
  <c r="B1397" i="8"/>
  <c r="B1398" i="8"/>
  <c r="B1399" i="8"/>
  <c r="B1400" i="8"/>
  <c r="B1401" i="8"/>
  <c r="B1402" i="8"/>
  <c r="B1403" i="8"/>
  <c r="B1404" i="8"/>
  <c r="B1405" i="8"/>
  <c r="B1406" i="8"/>
  <c r="B1407" i="8"/>
  <c r="B1408" i="8"/>
  <c r="B1409" i="8"/>
  <c r="B1410" i="8"/>
  <c r="B1411" i="8"/>
  <c r="B1412" i="8"/>
  <c r="B1413" i="8"/>
  <c r="B1414" i="8"/>
  <c r="B1415" i="8"/>
  <c r="B1416" i="8"/>
  <c r="B1417" i="8"/>
  <c r="B1418" i="8"/>
  <c r="B1419" i="8"/>
  <c r="B1420" i="8"/>
  <c r="B1421" i="8"/>
  <c r="B1422" i="8"/>
  <c r="B1423" i="8"/>
  <c r="B1424" i="8"/>
  <c r="B1425" i="8"/>
  <c r="B1426" i="8"/>
  <c r="B1427" i="8"/>
  <c r="B1428" i="8"/>
  <c r="B1429" i="8"/>
  <c r="B1430" i="8"/>
  <c r="B1431" i="8"/>
  <c r="B1432" i="8"/>
  <c r="B1433" i="8"/>
  <c r="B1434" i="8"/>
  <c r="B1435" i="8"/>
  <c r="B1436" i="8"/>
  <c r="B1437" i="8"/>
  <c r="B1438" i="8"/>
  <c r="B1439" i="8"/>
  <c r="B1440" i="8"/>
  <c r="B1441" i="8"/>
  <c r="B1442" i="8"/>
  <c r="B1443" i="8"/>
  <c r="B1444" i="8"/>
  <c r="B1445" i="8"/>
  <c r="B1446" i="8"/>
  <c r="B1447" i="8"/>
  <c r="B1448" i="8"/>
  <c r="B1449" i="8"/>
  <c r="B1450" i="8"/>
  <c r="B1451" i="8"/>
  <c r="B1452" i="8"/>
  <c r="B1453" i="8"/>
  <c r="B1454" i="8"/>
  <c r="B1455" i="8"/>
  <c r="B1456" i="8"/>
  <c r="B1457" i="8"/>
  <c r="B1458" i="8"/>
  <c r="B1459" i="8"/>
  <c r="B1460" i="8"/>
  <c r="B1461" i="8"/>
  <c r="B1462" i="8"/>
  <c r="B1463" i="8"/>
  <c r="B1464" i="8"/>
  <c r="B1465" i="8"/>
  <c r="B1466" i="8"/>
  <c r="B1467" i="8"/>
  <c r="B1468" i="8"/>
  <c r="B1469" i="8"/>
  <c r="B1470" i="8"/>
  <c r="B1471" i="8"/>
  <c r="B1472" i="8"/>
  <c r="B1473" i="8"/>
  <c r="B1474" i="8"/>
  <c r="B1475" i="8"/>
  <c r="B1476" i="8"/>
  <c r="B1477" i="8"/>
  <c r="B1478" i="8"/>
  <c r="B1479" i="8"/>
  <c r="B1480" i="8"/>
  <c r="B1481" i="8"/>
  <c r="B1482" i="8"/>
  <c r="B1483" i="8"/>
  <c r="B1484" i="8"/>
  <c r="B1485" i="8"/>
  <c r="B1486" i="8"/>
  <c r="B1487" i="8"/>
  <c r="B1488" i="8"/>
  <c r="B1489" i="8"/>
  <c r="B1490" i="8"/>
  <c r="B1491" i="8"/>
  <c r="B1492" i="8"/>
  <c r="B1493" i="8"/>
  <c r="B1494" i="8"/>
  <c r="B1495" i="8"/>
  <c r="B1496" i="8"/>
  <c r="B1497" i="8"/>
  <c r="B1498" i="8"/>
  <c r="B1499" i="8"/>
  <c r="B1500" i="8"/>
  <c r="B1501" i="8"/>
  <c r="B1502" i="8"/>
  <c r="B1503" i="8"/>
  <c r="B1504" i="8"/>
  <c r="B1505" i="8"/>
  <c r="B1506" i="8"/>
  <c r="B1507" i="8"/>
  <c r="B1508" i="8"/>
  <c r="B1509" i="8"/>
  <c r="B1510" i="8"/>
  <c r="B1511" i="8"/>
  <c r="B1512" i="8"/>
  <c r="B1513" i="8"/>
  <c r="B1514" i="8"/>
  <c r="B1515" i="8"/>
  <c r="B1516" i="8"/>
  <c r="B1517" i="8"/>
  <c r="B1518" i="8"/>
  <c r="B1519" i="8"/>
  <c r="B1520" i="8"/>
  <c r="B1521" i="8"/>
  <c r="B1522" i="8"/>
  <c r="B1523" i="8"/>
  <c r="B1524" i="8"/>
  <c r="B1525" i="8"/>
  <c r="B1526" i="8"/>
  <c r="B1527" i="8"/>
  <c r="B1528" i="8"/>
  <c r="B1529" i="8"/>
  <c r="B1530" i="8"/>
  <c r="B1531" i="8"/>
  <c r="B1532" i="8"/>
  <c r="B1533" i="8"/>
  <c r="B1534" i="8"/>
  <c r="B1535" i="8"/>
  <c r="B1536" i="8"/>
  <c r="B1537" i="8"/>
  <c r="B1538" i="8"/>
  <c r="B1539" i="8"/>
  <c r="B1540" i="8"/>
  <c r="B1541" i="8"/>
  <c r="B1542" i="8"/>
  <c r="B1543" i="8"/>
  <c r="B1544" i="8"/>
  <c r="B1545" i="8"/>
  <c r="B1546" i="8"/>
  <c r="B1547" i="8"/>
  <c r="B1548" i="8"/>
  <c r="B1549" i="8"/>
  <c r="B1550" i="8"/>
  <c r="B1551" i="8"/>
  <c r="B1552" i="8"/>
  <c r="B1553" i="8"/>
  <c r="B1554" i="8"/>
  <c r="B1555" i="8"/>
  <c r="B1556" i="8"/>
  <c r="B1557" i="8"/>
  <c r="B1558" i="8"/>
  <c r="B1559" i="8"/>
  <c r="B1560" i="8"/>
  <c r="B1561" i="8"/>
  <c r="B1562" i="8"/>
  <c r="B1563" i="8"/>
  <c r="B1564" i="8"/>
  <c r="B1565" i="8"/>
  <c r="B1566" i="8"/>
  <c r="B1567" i="8"/>
  <c r="B1568" i="8"/>
  <c r="B1569" i="8"/>
  <c r="B1570" i="8"/>
  <c r="B1571" i="8"/>
  <c r="B1572" i="8"/>
  <c r="B1573" i="8"/>
  <c r="B1574" i="8"/>
  <c r="B1575" i="8"/>
  <c r="B1576" i="8"/>
  <c r="B1577" i="8"/>
  <c r="B1578" i="8"/>
  <c r="B1579" i="8"/>
  <c r="B1580" i="8"/>
  <c r="B1581" i="8"/>
  <c r="B1582" i="8"/>
  <c r="B1583" i="8"/>
  <c r="B1584" i="8"/>
  <c r="B1585" i="8"/>
  <c r="B1586" i="8"/>
  <c r="B1587" i="8"/>
  <c r="B1588" i="8"/>
  <c r="B1589" i="8"/>
  <c r="B1590" i="8"/>
  <c r="B1591" i="8"/>
  <c r="B1592" i="8"/>
  <c r="B1593" i="8"/>
  <c r="B1594" i="8"/>
  <c r="B1595" i="8"/>
  <c r="B1596" i="8"/>
  <c r="B1597" i="8"/>
  <c r="B1598" i="8"/>
  <c r="B1599" i="8"/>
  <c r="B1600" i="8"/>
  <c r="B1601" i="8"/>
  <c r="B1602" i="8"/>
  <c r="B1603" i="8"/>
  <c r="B1604" i="8"/>
  <c r="B1605" i="8"/>
  <c r="B1606" i="8"/>
  <c r="B1607" i="8"/>
  <c r="B1608" i="8"/>
  <c r="B1609" i="8"/>
  <c r="B1610" i="8"/>
  <c r="B1611" i="8"/>
  <c r="B1612" i="8"/>
  <c r="B1613" i="8"/>
  <c r="B1614" i="8"/>
  <c r="B1615" i="8"/>
  <c r="B1616" i="8"/>
  <c r="B1617" i="8"/>
  <c r="B1618" i="8"/>
  <c r="B1619" i="8"/>
  <c r="B1620" i="8"/>
  <c r="B1621" i="8"/>
  <c r="B1622" i="8"/>
  <c r="B1623" i="8"/>
  <c r="B1624" i="8"/>
  <c r="B1625" i="8"/>
  <c r="B1626" i="8"/>
  <c r="B1627" i="8"/>
  <c r="B1628" i="8"/>
  <c r="B1629" i="8"/>
  <c r="B1630" i="8"/>
  <c r="B1631" i="8"/>
  <c r="B1632" i="8"/>
  <c r="B1633" i="8"/>
  <c r="B1634" i="8"/>
  <c r="B1635" i="8"/>
  <c r="B1636" i="8"/>
  <c r="B1637" i="8"/>
  <c r="B1638" i="8"/>
  <c r="B1639" i="8"/>
  <c r="B1640" i="8"/>
  <c r="B1641" i="8"/>
  <c r="B1642" i="8"/>
  <c r="B1643" i="8"/>
  <c r="B1644" i="8"/>
  <c r="B1645" i="8"/>
  <c r="B1646" i="8"/>
  <c r="B1647" i="8"/>
  <c r="B1648" i="8"/>
  <c r="B1649" i="8"/>
  <c r="B1650" i="8"/>
  <c r="B1651" i="8"/>
  <c r="B1652" i="8"/>
  <c r="B1653" i="8"/>
  <c r="B1654" i="8"/>
  <c r="B1655" i="8"/>
  <c r="B1656" i="8"/>
  <c r="B1657" i="8"/>
  <c r="B1658" i="8"/>
  <c r="B1659" i="8"/>
  <c r="B1660" i="8"/>
  <c r="B1661" i="8"/>
  <c r="B1662" i="8"/>
  <c r="B1663" i="8"/>
  <c r="B1664" i="8"/>
  <c r="B1665" i="8"/>
  <c r="B1666" i="8"/>
  <c r="B1667" i="8"/>
  <c r="B1668" i="8"/>
  <c r="B1669" i="8"/>
  <c r="B1670" i="8"/>
  <c r="B1671" i="8"/>
  <c r="B1672" i="8"/>
  <c r="B1673" i="8"/>
  <c r="B1674" i="8"/>
  <c r="B1675" i="8"/>
  <c r="B1676" i="8"/>
  <c r="B1677" i="8"/>
  <c r="B1678" i="8"/>
  <c r="B1679" i="8"/>
  <c r="B1680" i="8"/>
  <c r="B1681" i="8"/>
  <c r="B1682" i="8"/>
  <c r="B1683" i="8"/>
  <c r="B1684" i="8"/>
  <c r="B1685" i="8"/>
  <c r="B1686" i="8"/>
  <c r="B1687" i="8"/>
  <c r="B1688" i="8"/>
  <c r="B1689" i="8"/>
  <c r="B1690" i="8"/>
  <c r="B1691" i="8"/>
  <c r="B1692" i="8"/>
  <c r="B1693" i="8"/>
  <c r="B1694" i="8"/>
  <c r="B1695" i="8"/>
  <c r="B1696" i="8"/>
  <c r="B1697" i="8"/>
  <c r="B1698" i="8"/>
  <c r="B1699" i="8"/>
  <c r="B1700" i="8"/>
  <c r="B1701" i="8"/>
  <c r="B1702" i="8"/>
  <c r="B1703" i="8"/>
  <c r="B1704" i="8"/>
  <c r="B1705" i="8"/>
  <c r="B1706" i="8"/>
  <c r="B1707" i="8"/>
  <c r="B1708" i="8"/>
  <c r="B1709" i="8"/>
  <c r="B1710" i="8"/>
  <c r="B1711" i="8"/>
  <c r="B1712" i="8"/>
  <c r="B1713" i="8"/>
  <c r="B1714" i="8"/>
  <c r="B1715" i="8"/>
  <c r="B1716" i="8"/>
  <c r="B1717" i="8"/>
  <c r="B1718" i="8"/>
  <c r="B1719" i="8"/>
  <c r="B1720" i="8"/>
  <c r="B1721" i="8"/>
  <c r="B1722" i="8"/>
  <c r="B1723" i="8"/>
  <c r="B1724" i="8"/>
  <c r="B1725" i="8"/>
  <c r="B1726" i="8"/>
  <c r="B1727" i="8"/>
  <c r="B1728" i="8"/>
  <c r="B1729" i="8"/>
  <c r="B1730" i="8"/>
  <c r="B1731" i="8"/>
  <c r="B1732" i="8"/>
  <c r="B1733" i="8"/>
  <c r="B1734" i="8"/>
  <c r="B1735" i="8"/>
  <c r="B1736" i="8"/>
  <c r="B1737" i="8"/>
  <c r="B1738" i="8"/>
  <c r="B1739" i="8"/>
  <c r="B1740" i="8"/>
  <c r="B1741" i="8"/>
  <c r="B1742" i="8"/>
  <c r="B1743" i="8"/>
  <c r="B1744" i="8"/>
  <c r="B1745" i="8"/>
  <c r="B1746" i="8"/>
  <c r="B1747" i="8"/>
  <c r="B1748" i="8"/>
  <c r="B1749" i="8"/>
  <c r="B1750" i="8"/>
  <c r="B1751" i="8"/>
  <c r="B1752" i="8"/>
  <c r="B1753" i="8"/>
  <c r="B1754" i="8"/>
  <c r="B1755" i="8"/>
  <c r="B1756" i="8"/>
  <c r="B1757" i="8"/>
  <c r="B1758" i="8"/>
  <c r="B1759" i="8"/>
  <c r="B1760" i="8"/>
  <c r="B1761" i="8"/>
  <c r="B1762" i="8"/>
  <c r="B1763" i="8"/>
  <c r="B1764" i="8"/>
  <c r="B1765" i="8"/>
  <c r="B1766" i="8"/>
  <c r="B1767" i="8"/>
  <c r="B1768" i="8"/>
  <c r="B1769" i="8"/>
  <c r="B1770" i="8"/>
  <c r="B1771" i="8"/>
  <c r="B1772" i="8"/>
  <c r="B1773" i="8"/>
  <c r="B1774" i="8"/>
  <c r="B1775" i="8"/>
  <c r="B1776" i="8"/>
  <c r="B1777" i="8"/>
  <c r="B1778" i="8"/>
  <c r="B1779" i="8"/>
  <c r="B1780" i="8"/>
  <c r="B1781" i="8"/>
  <c r="B1782" i="8"/>
  <c r="B1783" i="8"/>
  <c r="B1784" i="8"/>
  <c r="B1785" i="8"/>
  <c r="B1786" i="8"/>
  <c r="B1787" i="8"/>
  <c r="B1788" i="8"/>
  <c r="B1789" i="8"/>
  <c r="B1790" i="8"/>
  <c r="B1791" i="8"/>
  <c r="B1792" i="8"/>
  <c r="B1793" i="8"/>
  <c r="B1794" i="8"/>
  <c r="B1795" i="8"/>
  <c r="B1796" i="8"/>
  <c r="B1797" i="8"/>
  <c r="B1798" i="8"/>
  <c r="B1799" i="8"/>
  <c r="B1800" i="8"/>
  <c r="B1801" i="8"/>
  <c r="B1802" i="8"/>
  <c r="B1803" i="8"/>
  <c r="B1804" i="8"/>
  <c r="B1805" i="8"/>
  <c r="B1806" i="8"/>
  <c r="B1807" i="8"/>
  <c r="B1808" i="8"/>
  <c r="B1809" i="8"/>
  <c r="B1810" i="8"/>
  <c r="B1811" i="8"/>
  <c r="B1812" i="8"/>
  <c r="B1813" i="8"/>
  <c r="B1814" i="8"/>
  <c r="B1815" i="8"/>
  <c r="B1816" i="8"/>
  <c r="B1817" i="8"/>
  <c r="B1818" i="8"/>
  <c r="B1819" i="8"/>
  <c r="B1820" i="8"/>
  <c r="B1821" i="8"/>
  <c r="B1822" i="8"/>
  <c r="B1823" i="8"/>
  <c r="B1824" i="8"/>
  <c r="B1825" i="8"/>
  <c r="B1826" i="8"/>
  <c r="B1827" i="8"/>
  <c r="B1828" i="8"/>
  <c r="B1829" i="8"/>
  <c r="B1830" i="8"/>
  <c r="B1831" i="8"/>
  <c r="B1832" i="8"/>
  <c r="B1833" i="8"/>
  <c r="B1834" i="8"/>
  <c r="B1835" i="8"/>
  <c r="B1836" i="8"/>
  <c r="B1837" i="8"/>
  <c r="B1838" i="8"/>
  <c r="B1839" i="8"/>
  <c r="B1840" i="8"/>
  <c r="B1841" i="8"/>
  <c r="B1842" i="8"/>
  <c r="B1843" i="8"/>
  <c r="B1844" i="8"/>
  <c r="B1845" i="8"/>
  <c r="B1846" i="8"/>
  <c r="B1847" i="8"/>
  <c r="B1848" i="8"/>
  <c r="B1849" i="8"/>
  <c r="B1850" i="8"/>
  <c r="B1851" i="8"/>
  <c r="B1852" i="8"/>
  <c r="B1853" i="8"/>
  <c r="B1854" i="8"/>
  <c r="B1855" i="8"/>
  <c r="B1856" i="8"/>
  <c r="B1857" i="8"/>
  <c r="B1858" i="8"/>
  <c r="B1859" i="8"/>
  <c r="B1860" i="8"/>
  <c r="B1861" i="8"/>
  <c r="B1862" i="8"/>
  <c r="B1863" i="8"/>
  <c r="B1864" i="8"/>
  <c r="B1865" i="8"/>
  <c r="B1866" i="8"/>
  <c r="B1867" i="8"/>
  <c r="B1868" i="8"/>
  <c r="B1869" i="8"/>
  <c r="B1870" i="8"/>
  <c r="B1871" i="8"/>
  <c r="B1872" i="8"/>
  <c r="B1873" i="8"/>
  <c r="B1874" i="8"/>
  <c r="B1875" i="8"/>
  <c r="B1876" i="8"/>
  <c r="B1877" i="8"/>
  <c r="B1878" i="8"/>
  <c r="B1879" i="8"/>
  <c r="B1880" i="8"/>
  <c r="B1881" i="8"/>
  <c r="B1882" i="8"/>
  <c r="B1883" i="8"/>
  <c r="B1884" i="8"/>
  <c r="B1885" i="8"/>
  <c r="B1886" i="8"/>
  <c r="B1887" i="8"/>
  <c r="B1888" i="8"/>
  <c r="B1889" i="8"/>
  <c r="B1890" i="8"/>
  <c r="B1891" i="8"/>
  <c r="B1892" i="8"/>
  <c r="B1893" i="8"/>
  <c r="B1894" i="8"/>
  <c r="B1895" i="8"/>
  <c r="B1896" i="8"/>
  <c r="B1897" i="8"/>
  <c r="B1898" i="8"/>
  <c r="B1899" i="8"/>
  <c r="B1900" i="8"/>
  <c r="B1901" i="8"/>
  <c r="B1902" i="8"/>
  <c r="B1903" i="8"/>
  <c r="B1904" i="8"/>
  <c r="B1905" i="8"/>
  <c r="B1906" i="8"/>
  <c r="B1907" i="8"/>
  <c r="B1908" i="8"/>
  <c r="B1909" i="8"/>
  <c r="B1910" i="8"/>
  <c r="B1911" i="8"/>
  <c r="B1912" i="8"/>
  <c r="B1913" i="8"/>
  <c r="B1914" i="8"/>
  <c r="B1915" i="8"/>
  <c r="B1916" i="8"/>
  <c r="B1917" i="8"/>
  <c r="B1918" i="8"/>
  <c r="B1919" i="8"/>
  <c r="B1920" i="8"/>
  <c r="B1921" i="8"/>
  <c r="B1922" i="8"/>
  <c r="B1923" i="8"/>
  <c r="B1924" i="8"/>
  <c r="B1925" i="8"/>
  <c r="B1926" i="8"/>
  <c r="B1927" i="8"/>
  <c r="B1928" i="8"/>
  <c r="B1929" i="8"/>
  <c r="B1930" i="8"/>
  <c r="B1931" i="8"/>
  <c r="B1932" i="8"/>
  <c r="B1933" i="8"/>
  <c r="B1934" i="8"/>
  <c r="B1935" i="8"/>
  <c r="B1936" i="8"/>
  <c r="B1937" i="8"/>
  <c r="B1938" i="8"/>
  <c r="B1939" i="8"/>
  <c r="B1940" i="8"/>
  <c r="B1941" i="8"/>
  <c r="B1942" i="8"/>
  <c r="B1943" i="8"/>
  <c r="B1944" i="8"/>
  <c r="B1945" i="8"/>
  <c r="B1946" i="8"/>
  <c r="B1947" i="8"/>
  <c r="B1948" i="8"/>
  <c r="B1949" i="8"/>
  <c r="B1950" i="8"/>
  <c r="B1951" i="8"/>
  <c r="B1952" i="8"/>
  <c r="B1953" i="8"/>
  <c r="B1954" i="8"/>
  <c r="B1955" i="8"/>
  <c r="B1956" i="8"/>
  <c r="B1957" i="8"/>
  <c r="B1958" i="8"/>
  <c r="B1959" i="8"/>
  <c r="B1960" i="8"/>
  <c r="B1961" i="8"/>
  <c r="B1962" i="8"/>
  <c r="B1963" i="8"/>
  <c r="B1964" i="8"/>
  <c r="B1965" i="8"/>
  <c r="B1966" i="8"/>
  <c r="B1967" i="8"/>
  <c r="B1968" i="8"/>
  <c r="B1969" i="8"/>
  <c r="B1970" i="8"/>
  <c r="B1971" i="8"/>
  <c r="B1972" i="8"/>
  <c r="B1973" i="8"/>
  <c r="B1974" i="8"/>
  <c r="B1975" i="8"/>
  <c r="B1976" i="8"/>
  <c r="B1977" i="8"/>
  <c r="B1978" i="8"/>
  <c r="B1979" i="8"/>
  <c r="B1980" i="8"/>
  <c r="B1981" i="8"/>
  <c r="B1982" i="8"/>
  <c r="B1983" i="8"/>
  <c r="B1984" i="8"/>
  <c r="B1985" i="8"/>
  <c r="B1986" i="8"/>
  <c r="B1987" i="8"/>
  <c r="B1988" i="8"/>
  <c r="B1989" i="8"/>
  <c r="B1990" i="8"/>
  <c r="B1991" i="8"/>
  <c r="B1992" i="8"/>
  <c r="B1993" i="8"/>
  <c r="B1994" i="8"/>
  <c r="B1995" i="8"/>
  <c r="B1996" i="8"/>
  <c r="B1997" i="8"/>
  <c r="B1998" i="8"/>
  <c r="B1999" i="8"/>
  <c r="B2000" i="8"/>
  <c r="B2001" i="8"/>
  <c r="B2002" i="8"/>
  <c r="B2003" i="8"/>
  <c r="B2004" i="8"/>
  <c r="B2005" i="8"/>
  <c r="B2006" i="8"/>
  <c r="B2007" i="8"/>
  <c r="B2008" i="8"/>
  <c r="B2009" i="8"/>
  <c r="B2010" i="8"/>
  <c r="B2011" i="8"/>
  <c r="B2012" i="8"/>
  <c r="B2013" i="8"/>
  <c r="B2014" i="8"/>
  <c r="B2015" i="8"/>
  <c r="B2016" i="8"/>
  <c r="B2017" i="8"/>
  <c r="B2018" i="8"/>
  <c r="B2019" i="8"/>
  <c r="B2020" i="8"/>
  <c r="B2021" i="8"/>
  <c r="B2022" i="8"/>
  <c r="B2023" i="8"/>
  <c r="B2024" i="8"/>
  <c r="B2025" i="8"/>
  <c r="B2026" i="8"/>
  <c r="B2027" i="8"/>
  <c r="B2028" i="8"/>
  <c r="B2029" i="8"/>
  <c r="B2030" i="8"/>
  <c r="B2031" i="8"/>
  <c r="B2032" i="8"/>
  <c r="B2033" i="8"/>
  <c r="B2034" i="8"/>
  <c r="B2035" i="8"/>
  <c r="B2036" i="8"/>
  <c r="B2037" i="8"/>
  <c r="B2038" i="8"/>
  <c r="B2039" i="8"/>
  <c r="B2040" i="8"/>
  <c r="B2041" i="8"/>
  <c r="B2042" i="8"/>
  <c r="B2043" i="8"/>
  <c r="B2044" i="8"/>
  <c r="B2045" i="8"/>
  <c r="B2046" i="8"/>
  <c r="B2047" i="8"/>
  <c r="B2048" i="8"/>
  <c r="B2049" i="8"/>
  <c r="B2050" i="8"/>
  <c r="B2051" i="8"/>
  <c r="B2052" i="8"/>
  <c r="B2053" i="8"/>
  <c r="B2054" i="8"/>
  <c r="B2055" i="8"/>
  <c r="B2056" i="8"/>
  <c r="B2057" i="8"/>
  <c r="B2058" i="8"/>
  <c r="B2059" i="8"/>
  <c r="B2060" i="8"/>
  <c r="B2061" i="8"/>
  <c r="B2062" i="8"/>
  <c r="B2063" i="8"/>
  <c r="B2064" i="8"/>
  <c r="B2065" i="8"/>
  <c r="B2066" i="8"/>
  <c r="B2067" i="8"/>
  <c r="B2068" i="8"/>
  <c r="B2069" i="8"/>
  <c r="B2070" i="8"/>
  <c r="B2071" i="8"/>
  <c r="B2072" i="8"/>
  <c r="B2073" i="8"/>
  <c r="B2074" i="8"/>
  <c r="B2075" i="8"/>
  <c r="B2076" i="8"/>
  <c r="B2077" i="8"/>
  <c r="B2078" i="8"/>
  <c r="B2079" i="8"/>
  <c r="B2080" i="8"/>
  <c r="B2081" i="8"/>
  <c r="B2082" i="8"/>
  <c r="B2083" i="8"/>
  <c r="B2084" i="8"/>
  <c r="B2085" i="8"/>
  <c r="B2086" i="8"/>
  <c r="B2087" i="8"/>
  <c r="B2088" i="8"/>
  <c r="B2089" i="8"/>
  <c r="B2090" i="8"/>
  <c r="B2091" i="8"/>
  <c r="B2092" i="8"/>
  <c r="B2093" i="8"/>
  <c r="B2094" i="8"/>
  <c r="B2095" i="8"/>
  <c r="B2096" i="8"/>
  <c r="B2097" i="8"/>
  <c r="B2098" i="8"/>
  <c r="B2099" i="8"/>
  <c r="B2100" i="8"/>
  <c r="B2101" i="8"/>
  <c r="B2102" i="8"/>
  <c r="B2103" i="8"/>
  <c r="B2104" i="8"/>
  <c r="B2105" i="8"/>
  <c r="B2106" i="8"/>
  <c r="B2107" i="8"/>
  <c r="B2108" i="8"/>
  <c r="B2109" i="8"/>
  <c r="B2110" i="8"/>
  <c r="B2111" i="8"/>
  <c r="B2112" i="8"/>
  <c r="B2113" i="8"/>
  <c r="B2114" i="8"/>
  <c r="B2115" i="8"/>
  <c r="B2116" i="8"/>
  <c r="B2117" i="8"/>
  <c r="B2118" i="8"/>
  <c r="B2119" i="8"/>
  <c r="B2120" i="8"/>
  <c r="B2121" i="8"/>
  <c r="B2122" i="8"/>
  <c r="B2123" i="8"/>
  <c r="B2124" i="8"/>
  <c r="B2125" i="8"/>
  <c r="B2126" i="8"/>
  <c r="B2127" i="8"/>
  <c r="B2128" i="8"/>
  <c r="B2129" i="8"/>
  <c r="B2130" i="8"/>
  <c r="B2131" i="8"/>
  <c r="B2132" i="8"/>
  <c r="B2133" i="8"/>
  <c r="B2134" i="8"/>
  <c r="B2135" i="8"/>
  <c r="B2136" i="8"/>
  <c r="B2137" i="8"/>
  <c r="B2138" i="8"/>
  <c r="B2139" i="8"/>
  <c r="B2140" i="8"/>
  <c r="B2141" i="8"/>
  <c r="B2142" i="8"/>
  <c r="B2143" i="8"/>
  <c r="B2144" i="8"/>
  <c r="B2145" i="8"/>
  <c r="B2146" i="8"/>
  <c r="B2147" i="8"/>
  <c r="B2148" i="8"/>
  <c r="B2149" i="8"/>
  <c r="B2150" i="8"/>
  <c r="B2151" i="8"/>
  <c r="B2152" i="8"/>
  <c r="B2153" i="8"/>
  <c r="B2154" i="8"/>
  <c r="B2155" i="8"/>
  <c r="B2156" i="8"/>
  <c r="B2157" i="8"/>
  <c r="B2158" i="8"/>
  <c r="B2159" i="8"/>
  <c r="B2160" i="8"/>
  <c r="B2161" i="8"/>
  <c r="B2162" i="8"/>
  <c r="B2163" i="8"/>
  <c r="B2164" i="8"/>
  <c r="B2165" i="8"/>
  <c r="B2166" i="8"/>
  <c r="B2167" i="8"/>
  <c r="B2168" i="8"/>
  <c r="B2169" i="8"/>
  <c r="B2170" i="8"/>
  <c r="B2171" i="8"/>
  <c r="B2172" i="8"/>
  <c r="B2173" i="8"/>
  <c r="B2174" i="8"/>
  <c r="B2175" i="8"/>
  <c r="B2176" i="8"/>
  <c r="B2177" i="8"/>
  <c r="B2178" i="8"/>
  <c r="B2179" i="8"/>
  <c r="B2180" i="8"/>
  <c r="B2181" i="8"/>
  <c r="B2182" i="8"/>
  <c r="B2183" i="8"/>
  <c r="B2184" i="8"/>
  <c r="B2185" i="8"/>
  <c r="B2186" i="8"/>
  <c r="B2187" i="8"/>
  <c r="B2188" i="8"/>
  <c r="B2189" i="8"/>
  <c r="B2190" i="8"/>
  <c r="B2191" i="8"/>
  <c r="B2192" i="8"/>
  <c r="B2193" i="8"/>
  <c r="B2194" i="8"/>
  <c r="B2195" i="8"/>
  <c r="B2196" i="8"/>
  <c r="B2197" i="8"/>
  <c r="B2198" i="8"/>
  <c r="B2199" i="8"/>
  <c r="B2200" i="8"/>
  <c r="B2201" i="8"/>
  <c r="B2202" i="8"/>
  <c r="B2203" i="8"/>
  <c r="B2204" i="8"/>
  <c r="B2205" i="8"/>
  <c r="B2206" i="8"/>
  <c r="B2207" i="8"/>
  <c r="B2208" i="8"/>
  <c r="B2209" i="8"/>
  <c r="B2210" i="8"/>
  <c r="B2211" i="8"/>
  <c r="B2212" i="8"/>
  <c r="B2213" i="8"/>
  <c r="B2214" i="8"/>
  <c r="B2215" i="8"/>
  <c r="B2216" i="8"/>
  <c r="B2217" i="8"/>
  <c r="B2218" i="8"/>
  <c r="B2219" i="8"/>
  <c r="B2220" i="8"/>
  <c r="B2221" i="8"/>
  <c r="B2222" i="8"/>
  <c r="B2223" i="8"/>
  <c r="B2224" i="8"/>
  <c r="B2225" i="8"/>
  <c r="B2226" i="8"/>
  <c r="B2227" i="8"/>
  <c r="B2228" i="8"/>
  <c r="B2229" i="8"/>
  <c r="B2230" i="8"/>
  <c r="B2231" i="8"/>
  <c r="B2232" i="8"/>
  <c r="B2233" i="8"/>
  <c r="B2234" i="8"/>
  <c r="B2235" i="8"/>
  <c r="B2236" i="8"/>
  <c r="B2237" i="8"/>
  <c r="B2238" i="8"/>
  <c r="B2239" i="8"/>
  <c r="B2240" i="8"/>
  <c r="B2241" i="8"/>
  <c r="B2242" i="8"/>
  <c r="B2243" i="8"/>
  <c r="B2244" i="8"/>
  <c r="B2245" i="8"/>
  <c r="B2246" i="8"/>
  <c r="B2247" i="8"/>
  <c r="B2248" i="8"/>
  <c r="B2249" i="8"/>
  <c r="B2250" i="8"/>
  <c r="B2251" i="8"/>
  <c r="B2252" i="8"/>
  <c r="B2253" i="8"/>
  <c r="B2254" i="8"/>
  <c r="B2255" i="8"/>
  <c r="B2256" i="8"/>
  <c r="B2257" i="8"/>
  <c r="B2258" i="8"/>
  <c r="B2259" i="8"/>
  <c r="B2260" i="8"/>
  <c r="B2261" i="8"/>
  <c r="B2262" i="8"/>
  <c r="B2263" i="8"/>
  <c r="B2264" i="8"/>
  <c r="B2265" i="8"/>
  <c r="B2266" i="8"/>
  <c r="B2267" i="8"/>
  <c r="B2268" i="8"/>
  <c r="B2269" i="8"/>
  <c r="B2270" i="8"/>
  <c r="B2271" i="8"/>
  <c r="B2272" i="8"/>
  <c r="B2273" i="8"/>
  <c r="B2274" i="8"/>
  <c r="B2275" i="8"/>
  <c r="B2276" i="8"/>
  <c r="B2277" i="8"/>
  <c r="B2278" i="8"/>
  <c r="B2279" i="8"/>
  <c r="B2280" i="8"/>
  <c r="B2281" i="8"/>
  <c r="B2282" i="8"/>
  <c r="B2283" i="8"/>
  <c r="B2284" i="8"/>
  <c r="B2285" i="8"/>
  <c r="B2286" i="8"/>
  <c r="B2287" i="8"/>
  <c r="B2288" i="8"/>
  <c r="B2289" i="8"/>
  <c r="B2290" i="8"/>
  <c r="B2291" i="8"/>
  <c r="B2292" i="8"/>
  <c r="B2293" i="8"/>
  <c r="B2294" i="8"/>
  <c r="B2295" i="8"/>
  <c r="B2296" i="8"/>
  <c r="B2297" i="8"/>
  <c r="B2298" i="8"/>
  <c r="B2299" i="8"/>
  <c r="B2300" i="8"/>
  <c r="B2301" i="8"/>
  <c r="B2302" i="8"/>
  <c r="B2303" i="8"/>
  <c r="B2304" i="8"/>
  <c r="B2305" i="8"/>
  <c r="B2306" i="8"/>
  <c r="B2307" i="8"/>
  <c r="B2308" i="8"/>
  <c r="B2309" i="8"/>
  <c r="B2310" i="8"/>
  <c r="B2311" i="8"/>
  <c r="B2312" i="8"/>
  <c r="B2313" i="8"/>
  <c r="B2314" i="8"/>
  <c r="B2315" i="8"/>
  <c r="B2316" i="8"/>
  <c r="B2317" i="8"/>
  <c r="B2318" i="8"/>
  <c r="B2319" i="8"/>
  <c r="B2320" i="8"/>
  <c r="B2321" i="8"/>
  <c r="B2322" i="8"/>
  <c r="B2323" i="8"/>
  <c r="B2324" i="8"/>
  <c r="B2325" i="8"/>
  <c r="B2326" i="8"/>
  <c r="B2327" i="8"/>
  <c r="B2328" i="8"/>
  <c r="B2329" i="8"/>
  <c r="B2330" i="8"/>
  <c r="B2331" i="8"/>
  <c r="B2332" i="8"/>
  <c r="B2333" i="8"/>
  <c r="B2334" i="8"/>
  <c r="B2335" i="8"/>
  <c r="B2336" i="8"/>
  <c r="B2337" i="8"/>
  <c r="B2338" i="8"/>
  <c r="B2339" i="8"/>
  <c r="B2340" i="8"/>
  <c r="B2341" i="8"/>
  <c r="B2342" i="8"/>
  <c r="B2343" i="8"/>
  <c r="B2344" i="8"/>
  <c r="B2345" i="8"/>
  <c r="B2346" i="8"/>
  <c r="B2347" i="8"/>
  <c r="B2348" i="8"/>
  <c r="B2349" i="8"/>
  <c r="B2350" i="8"/>
  <c r="B2351" i="8"/>
  <c r="B2352" i="8"/>
  <c r="B2353" i="8"/>
  <c r="B2354" i="8"/>
  <c r="B2355" i="8"/>
  <c r="B2356" i="8"/>
  <c r="B2357" i="8"/>
  <c r="B2358" i="8"/>
  <c r="B2359" i="8"/>
  <c r="B2360" i="8"/>
  <c r="B2361" i="8"/>
  <c r="B2362" i="8"/>
  <c r="B2363" i="8"/>
  <c r="B2364" i="8"/>
  <c r="B2365" i="8"/>
  <c r="B2366" i="8"/>
  <c r="B2367" i="8"/>
  <c r="B2368" i="8"/>
  <c r="B2369" i="8"/>
  <c r="B2370" i="8"/>
  <c r="B2371" i="8"/>
  <c r="B2372" i="8"/>
  <c r="B2373" i="8"/>
  <c r="B2374" i="8"/>
  <c r="B2375" i="8"/>
  <c r="B2376" i="8"/>
  <c r="B2377" i="8"/>
  <c r="B2378" i="8"/>
  <c r="B2379" i="8"/>
  <c r="B2380" i="8"/>
  <c r="B2381" i="8"/>
  <c r="B2382" i="8"/>
  <c r="B2383" i="8"/>
  <c r="B2384" i="8"/>
  <c r="B2385" i="8"/>
  <c r="B2386" i="8"/>
  <c r="B2387" i="8"/>
  <c r="B2388" i="8"/>
  <c r="B2389" i="8"/>
  <c r="B2390" i="8"/>
  <c r="B2391" i="8"/>
  <c r="B2392" i="8"/>
  <c r="B2393" i="8"/>
  <c r="B2394" i="8"/>
  <c r="B2395" i="8"/>
  <c r="B2396" i="8"/>
  <c r="B2397" i="8"/>
  <c r="B2398" i="8"/>
  <c r="B2399" i="8"/>
  <c r="B2400" i="8"/>
  <c r="B2401" i="8"/>
  <c r="B2402" i="8"/>
  <c r="B2403" i="8"/>
  <c r="B2404" i="8"/>
  <c r="B2405" i="8"/>
  <c r="B2406" i="8"/>
  <c r="B2407" i="8"/>
  <c r="B2408" i="8"/>
  <c r="B2409" i="8"/>
  <c r="B2410" i="8"/>
  <c r="B2411" i="8"/>
  <c r="B2412" i="8"/>
  <c r="B2413" i="8"/>
  <c r="B2414" i="8"/>
  <c r="B2415" i="8"/>
  <c r="B2416" i="8"/>
  <c r="B2417" i="8"/>
  <c r="B2418" i="8"/>
  <c r="B2419" i="8"/>
  <c r="B2420" i="8"/>
  <c r="B2421" i="8"/>
  <c r="B2422" i="8"/>
  <c r="B2423" i="8"/>
  <c r="B2424" i="8"/>
  <c r="B2425" i="8"/>
  <c r="B2426" i="8"/>
  <c r="B2427" i="8"/>
  <c r="B2428" i="8"/>
  <c r="B2429" i="8"/>
  <c r="B2430" i="8"/>
  <c r="B2431" i="8"/>
  <c r="B2432" i="8"/>
  <c r="B2433" i="8"/>
  <c r="B2434" i="8"/>
  <c r="B2435" i="8"/>
  <c r="B2436" i="8"/>
  <c r="B2437" i="8"/>
  <c r="B2438" i="8"/>
  <c r="B2439" i="8"/>
  <c r="B2440" i="8"/>
  <c r="B2441" i="8"/>
  <c r="B2442" i="8"/>
  <c r="B2443" i="8"/>
  <c r="B2444" i="8"/>
  <c r="B2445" i="8"/>
  <c r="B2446" i="8"/>
  <c r="B2447" i="8"/>
  <c r="B2448" i="8"/>
  <c r="B2449" i="8"/>
  <c r="B2450" i="8"/>
  <c r="B2451" i="8"/>
  <c r="B2452" i="8"/>
  <c r="B2453" i="8"/>
  <c r="B2454" i="8"/>
  <c r="B2455" i="8"/>
  <c r="B2456" i="8"/>
  <c r="B2457" i="8"/>
  <c r="B2458" i="8"/>
  <c r="B2459" i="8"/>
  <c r="B2460" i="8"/>
  <c r="B2461" i="8"/>
  <c r="B2462" i="8"/>
  <c r="B2463" i="8"/>
  <c r="B2464" i="8"/>
  <c r="B2465" i="8"/>
  <c r="B2466" i="8"/>
  <c r="B2467" i="8"/>
  <c r="B2468" i="8"/>
  <c r="B2469" i="8"/>
  <c r="B2470" i="8"/>
  <c r="B2471" i="8"/>
  <c r="B2472" i="8"/>
  <c r="B2473" i="8"/>
  <c r="B2474" i="8"/>
  <c r="B2475" i="8"/>
  <c r="B2476" i="8"/>
  <c r="B2477" i="8"/>
  <c r="B2478" i="8"/>
  <c r="B2479" i="8"/>
  <c r="B2480" i="8"/>
  <c r="B2481" i="8"/>
  <c r="B2482" i="8"/>
  <c r="B2483" i="8"/>
  <c r="B2484" i="8"/>
  <c r="B2485" i="8"/>
  <c r="B2486" i="8"/>
  <c r="B2487" i="8"/>
  <c r="B2488" i="8"/>
  <c r="B2489" i="8"/>
  <c r="B2490" i="8"/>
  <c r="B2491" i="8"/>
  <c r="B2492" i="8"/>
  <c r="B2493" i="8"/>
  <c r="B2494" i="8"/>
  <c r="B2495" i="8"/>
  <c r="B2496" i="8"/>
  <c r="B2497" i="8"/>
  <c r="B2498" i="8"/>
  <c r="B2499" i="8"/>
  <c r="B2500" i="8"/>
  <c r="B2501" i="8"/>
  <c r="B2502" i="8"/>
  <c r="B2503" i="8"/>
  <c r="B2504" i="8"/>
  <c r="B2505" i="8"/>
  <c r="B2506" i="8"/>
  <c r="B2507" i="8"/>
  <c r="B2508" i="8"/>
  <c r="B2509" i="8"/>
  <c r="B2510" i="8"/>
  <c r="B2511" i="8"/>
  <c r="B2512" i="8"/>
  <c r="B2513" i="8"/>
  <c r="B2514" i="8"/>
  <c r="B2515" i="8"/>
  <c r="B2516" i="8"/>
  <c r="B2517" i="8"/>
  <c r="B2518" i="8"/>
  <c r="B2519" i="8"/>
  <c r="B2520" i="8"/>
  <c r="B2521" i="8"/>
  <c r="B2522" i="8"/>
  <c r="B2523" i="8"/>
  <c r="B2524" i="8"/>
  <c r="B2525" i="8"/>
  <c r="B2526" i="8"/>
  <c r="B2527" i="8"/>
  <c r="B2528" i="8"/>
  <c r="B2529" i="8"/>
  <c r="B2530" i="8"/>
  <c r="B2531" i="8"/>
  <c r="B2532" i="8"/>
  <c r="B2533" i="8"/>
  <c r="B2534" i="8"/>
  <c r="B2535" i="8"/>
  <c r="B2536" i="8"/>
  <c r="B2537" i="8"/>
  <c r="B2538" i="8"/>
  <c r="B2539" i="8"/>
  <c r="B2540" i="8"/>
  <c r="B2541" i="8"/>
  <c r="B2542" i="8"/>
  <c r="B2543" i="8"/>
  <c r="B2544" i="8"/>
  <c r="B2545" i="8"/>
  <c r="B2546" i="8"/>
  <c r="B2547" i="8"/>
  <c r="B2548" i="8"/>
  <c r="B2549" i="8"/>
  <c r="B2550" i="8"/>
  <c r="B2551" i="8"/>
  <c r="B2552" i="8"/>
  <c r="B2553" i="8"/>
  <c r="B2554" i="8"/>
  <c r="B2555" i="8"/>
  <c r="B2556" i="8"/>
  <c r="B2557" i="8"/>
  <c r="B2558" i="8"/>
  <c r="B2559" i="8"/>
  <c r="B2560" i="8"/>
  <c r="B2561" i="8"/>
  <c r="B2562" i="8"/>
  <c r="B2563" i="8"/>
  <c r="B2564" i="8"/>
  <c r="B2565" i="8"/>
  <c r="B2566" i="8"/>
  <c r="B2567" i="8"/>
  <c r="B2568" i="8"/>
  <c r="B2569" i="8"/>
  <c r="B2570" i="8"/>
  <c r="B2571" i="8"/>
  <c r="B2572" i="8"/>
  <c r="B2573" i="8"/>
  <c r="B2574" i="8"/>
  <c r="B2575" i="8"/>
  <c r="B2576" i="8"/>
  <c r="B2577" i="8"/>
  <c r="B2578" i="8"/>
  <c r="B2579" i="8"/>
  <c r="B2580" i="8"/>
  <c r="B2581" i="8"/>
  <c r="B2582" i="8"/>
  <c r="B2583" i="8"/>
  <c r="B2584" i="8"/>
  <c r="B2585" i="8"/>
  <c r="B2586" i="8"/>
  <c r="B2587" i="8"/>
  <c r="B2588" i="8"/>
  <c r="B2589" i="8"/>
  <c r="B2590" i="8"/>
  <c r="B2591" i="8"/>
  <c r="B2592" i="8"/>
  <c r="B2593" i="8"/>
  <c r="B2594" i="8"/>
  <c r="B2595" i="8"/>
  <c r="B2596" i="8"/>
  <c r="B2597" i="8"/>
  <c r="B2598" i="8"/>
  <c r="B2599" i="8"/>
  <c r="B2600" i="8"/>
  <c r="B2601" i="8"/>
  <c r="B2602" i="8"/>
  <c r="B2603" i="8"/>
  <c r="B2604" i="8"/>
  <c r="B2605" i="8"/>
  <c r="B2606" i="8"/>
  <c r="B2607" i="8"/>
  <c r="B2608" i="8"/>
  <c r="B2609" i="8"/>
  <c r="B2610" i="8"/>
  <c r="B2611" i="8"/>
  <c r="B2612" i="8"/>
  <c r="B2613" i="8"/>
  <c r="B2614" i="8"/>
  <c r="B2615" i="8"/>
  <c r="B2616" i="8"/>
  <c r="B2617" i="8"/>
  <c r="B2618" i="8"/>
  <c r="B2619" i="8"/>
  <c r="B2620" i="8"/>
  <c r="B2621" i="8"/>
  <c r="B2622" i="8"/>
  <c r="B2623" i="8"/>
  <c r="B2624" i="8"/>
  <c r="B2625" i="8"/>
  <c r="B2626" i="8"/>
  <c r="B2627" i="8"/>
  <c r="B2628" i="8"/>
  <c r="B2629" i="8"/>
  <c r="B2630" i="8"/>
  <c r="B2631" i="8"/>
  <c r="B2632" i="8"/>
  <c r="B2633" i="8"/>
  <c r="B2634" i="8"/>
  <c r="B2635" i="8"/>
  <c r="B2636" i="8"/>
  <c r="B2637" i="8"/>
  <c r="B2638" i="8"/>
  <c r="B2639" i="8"/>
  <c r="B2640" i="8"/>
  <c r="B2641" i="8"/>
  <c r="B2642" i="8"/>
  <c r="B2643" i="8"/>
  <c r="B2644" i="8"/>
  <c r="B2645" i="8"/>
  <c r="B2646" i="8"/>
  <c r="B2647" i="8"/>
  <c r="B2648" i="8"/>
  <c r="B2649" i="8"/>
  <c r="B2650" i="8"/>
  <c r="B2651" i="8"/>
  <c r="B2652" i="8"/>
  <c r="B2653" i="8"/>
  <c r="B2654" i="8"/>
  <c r="B2655" i="8"/>
  <c r="B2656" i="8"/>
  <c r="B2657" i="8"/>
  <c r="B2658" i="8"/>
  <c r="B2659" i="8"/>
  <c r="B2660" i="8"/>
  <c r="B2661" i="8"/>
  <c r="B2662" i="8"/>
  <c r="B2663" i="8"/>
  <c r="B2664" i="8"/>
  <c r="B2665" i="8"/>
  <c r="B2666" i="8"/>
  <c r="B2667" i="8"/>
  <c r="B2668" i="8"/>
  <c r="B2669" i="8"/>
  <c r="B2670" i="8"/>
  <c r="B2671" i="8"/>
  <c r="B2672" i="8"/>
  <c r="B2673" i="8"/>
  <c r="B2674" i="8"/>
  <c r="B2675" i="8"/>
  <c r="B2676" i="8"/>
  <c r="B2677" i="8"/>
  <c r="B2678" i="8"/>
  <c r="B2679" i="8"/>
  <c r="B2680" i="8"/>
  <c r="B2681" i="8"/>
  <c r="B2682" i="8"/>
  <c r="B2683" i="8"/>
  <c r="B2684" i="8"/>
  <c r="B2685" i="8"/>
  <c r="B2686" i="8"/>
  <c r="B2687" i="8"/>
  <c r="B2688" i="8"/>
  <c r="B2689" i="8"/>
  <c r="B2690" i="8"/>
  <c r="B2691" i="8"/>
  <c r="B2692" i="8"/>
  <c r="B2693" i="8"/>
  <c r="B2694" i="8"/>
  <c r="B2695" i="8"/>
  <c r="B2696" i="8"/>
  <c r="B2697" i="8"/>
  <c r="B2698" i="8"/>
  <c r="B2699" i="8"/>
  <c r="B2700" i="8"/>
  <c r="B2701" i="8"/>
  <c r="B2702" i="8"/>
  <c r="B2703" i="8"/>
  <c r="B2704" i="8"/>
  <c r="B2705" i="8"/>
  <c r="B2706" i="8"/>
  <c r="B2707" i="8"/>
  <c r="B2708" i="8"/>
  <c r="B2709" i="8"/>
  <c r="B2710" i="8"/>
  <c r="B2711" i="8"/>
  <c r="B2712" i="8"/>
  <c r="B2713" i="8"/>
  <c r="B2714" i="8"/>
  <c r="B2715" i="8"/>
  <c r="B2716" i="8"/>
  <c r="B2717" i="8"/>
  <c r="B2718" i="8"/>
  <c r="B2719" i="8"/>
  <c r="B2720" i="8"/>
  <c r="B2721" i="8"/>
  <c r="B2722" i="8"/>
  <c r="B2723" i="8"/>
  <c r="B2724" i="8"/>
  <c r="B2725" i="8"/>
  <c r="B2726" i="8"/>
  <c r="B2727" i="8"/>
  <c r="B2728" i="8"/>
  <c r="B2729" i="8"/>
  <c r="B2730" i="8"/>
  <c r="B2731" i="8"/>
  <c r="B2732" i="8"/>
  <c r="B2733" i="8"/>
  <c r="B2734" i="8"/>
  <c r="B2735" i="8"/>
  <c r="B2736" i="8"/>
  <c r="B2737" i="8"/>
  <c r="B2738" i="8"/>
  <c r="B2739" i="8"/>
  <c r="B2" i="8"/>
  <c r="A17" i="5" a="1"/>
  <c r="A17" i="5" s="1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52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266" i="2"/>
  <c r="A267" i="2"/>
  <c r="A268" i="2"/>
  <c r="A269" i="2"/>
  <c r="A270" i="2"/>
  <c r="A271" i="2"/>
  <c r="A272" i="2"/>
  <c r="A273" i="2"/>
  <c r="A274" i="2"/>
  <c r="A275" i="2"/>
  <c r="A276" i="2"/>
  <c r="A277" i="2"/>
  <c r="A278" i="2"/>
  <c r="A279" i="2"/>
  <c r="A280" i="2"/>
  <c r="A281" i="2"/>
  <c r="A282" i="2"/>
  <c r="A283" i="2"/>
  <c r="A284" i="2"/>
  <c r="A285" i="2"/>
  <c r="A286" i="2"/>
  <c r="A287" i="2"/>
  <c r="A288" i="2"/>
  <c r="A289" i="2"/>
  <c r="A290" i="2"/>
  <c r="A291" i="2"/>
  <c r="A292" i="2"/>
  <c r="A293" i="2"/>
  <c r="A294" i="2"/>
  <c r="A295" i="2"/>
  <c r="A296" i="2"/>
  <c r="A297" i="2"/>
  <c r="A298" i="2"/>
  <c r="A299" i="2"/>
  <c r="A300" i="2"/>
  <c r="A301" i="2"/>
  <c r="A302" i="2"/>
  <c r="A303" i="2"/>
  <c r="A304" i="2"/>
  <c r="A305" i="2"/>
  <c r="A306" i="2"/>
  <c r="A307" i="2"/>
  <c r="A308" i="2"/>
  <c r="A309" i="2"/>
  <c r="A310" i="2"/>
  <c r="A311" i="2"/>
  <c r="A312" i="2"/>
  <c r="A313" i="2"/>
  <c r="A314" i="2"/>
  <c r="A315" i="2"/>
  <c r="A316" i="2"/>
  <c r="A317" i="2"/>
  <c r="A318" i="2"/>
  <c r="A319" i="2"/>
  <c r="A320" i="2"/>
  <c r="A321" i="2"/>
  <c r="A322" i="2"/>
  <c r="A323" i="2"/>
  <c r="A324" i="2"/>
  <c r="A325" i="2"/>
  <c r="A326" i="2"/>
  <c r="A327" i="2"/>
  <c r="A328" i="2"/>
  <c r="A329" i="2"/>
  <c r="A330" i="2"/>
  <c r="A331" i="2"/>
  <c r="A332" i="2"/>
  <c r="A333" i="2"/>
  <c r="A334" i="2"/>
  <c r="A335" i="2"/>
  <c r="A336" i="2"/>
  <c r="A337" i="2"/>
  <c r="A338" i="2"/>
  <c r="A339" i="2"/>
  <c r="A340" i="2"/>
  <c r="A341" i="2"/>
  <c r="A342" i="2"/>
  <c r="A343" i="2"/>
  <c r="A344" i="2"/>
  <c r="A345" i="2"/>
  <c r="A346" i="2"/>
  <c r="A347" i="2"/>
  <c r="A348" i="2"/>
  <c r="A349" i="2"/>
  <c r="A350" i="2"/>
  <c r="A351" i="2"/>
  <c r="A352" i="2"/>
  <c r="A353" i="2"/>
  <c r="A354" i="2"/>
  <c r="A355" i="2"/>
  <c r="A356" i="2"/>
  <c r="A357" i="2"/>
  <c r="A358" i="2"/>
  <c r="A359" i="2"/>
  <c r="A360" i="2"/>
  <c r="A361" i="2"/>
  <c r="A362" i="2"/>
  <c r="A363" i="2"/>
  <c r="A364" i="2"/>
  <c r="A365" i="2"/>
  <c r="A366" i="2"/>
  <c r="A367" i="2"/>
  <c r="A368" i="2"/>
  <c r="A369" i="2"/>
  <c r="A370" i="2"/>
  <c r="A371" i="2"/>
  <c r="A372" i="2"/>
  <c r="A373" i="2"/>
  <c r="A374" i="2"/>
  <c r="A375" i="2"/>
  <c r="A376" i="2"/>
  <c r="A377" i="2"/>
  <c r="A378" i="2"/>
  <c r="A379" i="2"/>
  <c r="A380" i="2"/>
  <c r="A381" i="2"/>
  <c r="A382" i="2"/>
  <c r="A383" i="2"/>
  <c r="A384" i="2"/>
  <c r="A385" i="2"/>
  <c r="A386" i="2"/>
  <c r="A387" i="2"/>
  <c r="A388" i="2"/>
  <c r="A389" i="2"/>
  <c r="A390" i="2"/>
  <c r="A391" i="2"/>
  <c r="A392" i="2"/>
  <c r="A393" i="2"/>
  <c r="A394" i="2"/>
  <c r="A395" i="2"/>
  <c r="A396" i="2"/>
  <c r="A397" i="2"/>
  <c r="A398" i="2"/>
  <c r="A399" i="2"/>
  <c r="A400" i="2"/>
  <c r="A401" i="2"/>
  <c r="A402" i="2"/>
  <c r="A403" i="2"/>
  <c r="A404" i="2"/>
  <c r="A405" i="2"/>
  <c r="A406" i="2"/>
  <c r="A407" i="2"/>
  <c r="A408" i="2"/>
  <c r="A409" i="2"/>
  <c r="A410" i="2"/>
  <c r="A411" i="2"/>
  <c r="A412" i="2"/>
  <c r="A413" i="2"/>
  <c r="A414" i="2"/>
  <c r="A415" i="2"/>
  <c r="A416" i="2"/>
  <c r="A417" i="2"/>
  <c r="A418" i="2"/>
  <c r="A419" i="2"/>
  <c r="A420" i="2"/>
  <c r="A421" i="2"/>
  <c r="A422" i="2"/>
  <c r="A423" i="2"/>
  <c r="A424" i="2"/>
  <c r="A425" i="2"/>
  <c r="A426" i="2"/>
  <c r="A427" i="2"/>
  <c r="A428" i="2"/>
  <c r="A429" i="2"/>
  <c r="A430" i="2"/>
  <c r="A431" i="2"/>
  <c r="A432" i="2"/>
  <c r="A433" i="2"/>
  <c r="A434" i="2"/>
  <c r="A435" i="2"/>
  <c r="A436" i="2"/>
  <c r="A437" i="2"/>
  <c r="A438" i="2"/>
  <c r="A439" i="2"/>
  <c r="A440" i="2"/>
  <c r="A441" i="2"/>
  <c r="A442" i="2"/>
  <c r="A443" i="2"/>
  <c r="A444" i="2"/>
  <c r="A445" i="2"/>
  <c r="A446" i="2"/>
  <c r="A447" i="2"/>
  <c r="A448" i="2"/>
  <c r="A449" i="2"/>
  <c r="A450" i="2"/>
  <c r="A451" i="2"/>
  <c r="A452" i="2"/>
  <c r="A453" i="2"/>
  <c r="A454" i="2"/>
  <c r="A455" i="2"/>
  <c r="A456" i="2"/>
  <c r="A457" i="2"/>
  <c r="A458" i="2"/>
  <c r="A459" i="2"/>
  <c r="A460" i="2"/>
  <c r="A461" i="2"/>
  <c r="A462" i="2"/>
  <c r="A463" i="2"/>
  <c r="A464" i="2"/>
  <c r="A465" i="2"/>
  <c r="A466" i="2"/>
  <c r="A467" i="2"/>
  <c r="A468" i="2"/>
  <c r="A469" i="2"/>
  <c r="A470" i="2"/>
  <c r="A471" i="2"/>
  <c r="A472" i="2"/>
  <c r="A473" i="2"/>
  <c r="A474" i="2"/>
  <c r="A475" i="2"/>
  <c r="A476" i="2"/>
  <c r="A477" i="2"/>
  <c r="A478" i="2"/>
  <c r="A479" i="2"/>
  <c r="A480" i="2"/>
  <c r="A481" i="2"/>
  <c r="A482" i="2"/>
  <c r="A483" i="2"/>
  <c r="A484" i="2"/>
  <c r="A485" i="2"/>
  <c r="A486" i="2"/>
  <c r="A487" i="2"/>
  <c r="A488" i="2"/>
  <c r="A489" i="2"/>
  <c r="A490" i="2"/>
  <c r="A491" i="2"/>
  <c r="A492" i="2"/>
  <c r="A493" i="2"/>
  <c r="A494" i="2"/>
  <c r="A495" i="2"/>
  <c r="A496" i="2"/>
  <c r="A497" i="2"/>
  <c r="A498" i="2"/>
  <c r="A499" i="2"/>
  <c r="A500" i="2"/>
  <c r="A501" i="2"/>
  <c r="A502" i="2"/>
  <c r="A503" i="2"/>
  <c r="A504" i="2"/>
  <c r="A505" i="2"/>
  <c r="A506" i="2"/>
  <c r="A507" i="2"/>
  <c r="A508" i="2"/>
  <c r="A509" i="2"/>
  <c r="A510" i="2"/>
  <c r="A511" i="2"/>
  <c r="A512" i="2"/>
  <c r="A513" i="2"/>
  <c r="A514" i="2"/>
  <c r="A515" i="2"/>
  <c r="A516" i="2"/>
  <c r="A517" i="2"/>
  <c r="A518" i="2"/>
  <c r="A519" i="2"/>
  <c r="A520" i="2"/>
  <c r="A521" i="2"/>
  <c r="A522" i="2"/>
  <c r="A523" i="2"/>
  <c r="A524" i="2"/>
  <c r="A525" i="2"/>
  <c r="A526" i="2"/>
  <c r="A527" i="2"/>
  <c r="A528" i="2"/>
  <c r="A529" i="2"/>
  <c r="A530" i="2"/>
  <c r="A531" i="2"/>
  <c r="A532" i="2"/>
  <c r="A533" i="2"/>
  <c r="A534" i="2"/>
  <c r="A535" i="2"/>
  <c r="A536" i="2"/>
  <c r="A537" i="2"/>
  <c r="A538" i="2"/>
  <c r="A539" i="2"/>
  <c r="A540" i="2"/>
  <c r="A541" i="2"/>
  <c r="A542" i="2"/>
  <c r="A543" i="2"/>
  <c r="A544" i="2"/>
  <c r="A545" i="2"/>
  <c r="A546" i="2"/>
  <c r="A547" i="2"/>
  <c r="A548" i="2"/>
  <c r="A549" i="2"/>
  <c r="A550" i="2"/>
  <c r="A551" i="2"/>
  <c r="A552" i="2"/>
  <c r="A553" i="2"/>
  <c r="A554" i="2"/>
  <c r="A555" i="2"/>
  <c r="A556" i="2"/>
  <c r="A557" i="2"/>
  <c r="A558" i="2"/>
  <c r="A559" i="2"/>
  <c r="A560" i="2"/>
  <c r="A561" i="2"/>
  <c r="A562" i="2"/>
  <c r="A563" i="2"/>
  <c r="A564" i="2"/>
  <c r="A565" i="2"/>
  <c r="A566" i="2"/>
  <c r="A567" i="2"/>
  <c r="A568" i="2"/>
  <c r="A569" i="2"/>
  <c r="A570" i="2"/>
  <c r="A571" i="2"/>
  <c r="A572" i="2"/>
  <c r="A573" i="2"/>
  <c r="A574" i="2"/>
  <c r="A575" i="2"/>
  <c r="A576" i="2"/>
  <c r="A577" i="2"/>
  <c r="A578" i="2"/>
  <c r="A579" i="2"/>
  <c r="A580" i="2"/>
  <c r="A581" i="2"/>
  <c r="A582" i="2"/>
  <c r="A583" i="2"/>
  <c r="A584" i="2"/>
  <c r="A585" i="2"/>
  <c r="A586" i="2"/>
  <c r="A587" i="2"/>
  <c r="A588" i="2"/>
  <c r="A589" i="2"/>
  <c r="A590" i="2"/>
  <c r="A591" i="2"/>
  <c r="A592" i="2"/>
  <c r="A593" i="2"/>
  <c r="A594" i="2"/>
  <c r="A595" i="2"/>
  <c r="A596" i="2"/>
  <c r="A597" i="2"/>
  <c r="A598" i="2"/>
  <c r="A599" i="2"/>
  <c r="A600" i="2"/>
  <c r="A601" i="2"/>
  <c r="A602" i="2"/>
  <c r="A603" i="2"/>
  <c r="A604" i="2"/>
  <c r="A605" i="2"/>
  <c r="A606" i="2"/>
  <c r="A607" i="2"/>
  <c r="A608" i="2"/>
  <c r="A609" i="2"/>
  <c r="A610" i="2"/>
  <c r="A611" i="2"/>
  <c r="A612" i="2"/>
  <c r="A613" i="2"/>
  <c r="A614" i="2"/>
  <c r="A615" i="2"/>
  <c r="A616" i="2"/>
  <c r="A617" i="2"/>
  <c r="A618" i="2"/>
  <c r="A619" i="2"/>
  <c r="A620" i="2"/>
  <c r="A621" i="2"/>
  <c r="A622" i="2"/>
  <c r="A623" i="2"/>
  <c r="A624" i="2"/>
  <c r="A625" i="2"/>
  <c r="A626" i="2"/>
  <c r="A627" i="2"/>
  <c r="A628" i="2"/>
  <c r="A629" i="2"/>
  <c r="A630" i="2"/>
  <c r="A631" i="2"/>
  <c r="A632" i="2"/>
  <c r="A633" i="2"/>
  <c r="A634" i="2"/>
  <c r="A635" i="2"/>
  <c r="A636" i="2"/>
  <c r="A637" i="2"/>
  <c r="A638" i="2"/>
  <c r="A639" i="2"/>
  <c r="A640" i="2"/>
  <c r="A641" i="2"/>
  <c r="A642" i="2"/>
  <c r="A643" i="2"/>
  <c r="A644" i="2"/>
  <c r="A645" i="2"/>
  <c r="A646" i="2"/>
  <c r="A647" i="2"/>
  <c r="A648" i="2"/>
  <c r="A649" i="2"/>
  <c r="A650" i="2"/>
  <c r="A651" i="2"/>
  <c r="A652" i="2"/>
  <c r="A653" i="2"/>
  <c r="A654" i="2"/>
  <c r="A655" i="2"/>
  <c r="A656" i="2"/>
  <c r="A657" i="2"/>
  <c r="A658" i="2"/>
  <c r="A659" i="2"/>
  <c r="A660" i="2"/>
  <c r="A661" i="2"/>
  <c r="A662" i="2"/>
  <c r="A663" i="2"/>
  <c r="A664" i="2"/>
  <c r="A665" i="2"/>
  <c r="A666" i="2"/>
  <c r="A667" i="2"/>
  <c r="A668" i="2"/>
  <c r="A669" i="2"/>
  <c r="A670" i="2"/>
  <c r="A671" i="2"/>
  <c r="A672" i="2"/>
  <c r="A673" i="2"/>
  <c r="A674" i="2"/>
  <c r="A675" i="2"/>
  <c r="A676" i="2"/>
  <c r="A677" i="2"/>
  <c r="A678" i="2"/>
  <c r="A679" i="2"/>
  <c r="A680" i="2"/>
  <c r="A681" i="2"/>
  <c r="A682" i="2"/>
  <c r="A683" i="2"/>
  <c r="A684" i="2"/>
  <c r="A685" i="2"/>
  <c r="A686" i="2"/>
  <c r="A687" i="2"/>
  <c r="A688" i="2"/>
  <c r="A689" i="2"/>
  <c r="A690" i="2"/>
  <c r="A691" i="2"/>
  <c r="A692" i="2"/>
  <c r="A693" i="2"/>
  <c r="A694" i="2"/>
  <c r="A695" i="2"/>
  <c r="A696" i="2"/>
  <c r="A697" i="2"/>
  <c r="A698" i="2"/>
  <c r="A699" i="2"/>
  <c r="A700" i="2"/>
  <c r="A701" i="2"/>
  <c r="A702" i="2"/>
  <c r="A703" i="2"/>
  <c r="A704" i="2"/>
  <c r="A705" i="2"/>
  <c r="A706" i="2"/>
  <c r="A707" i="2"/>
  <c r="A708" i="2"/>
  <c r="A709" i="2"/>
  <c r="A710" i="2"/>
  <c r="A711" i="2"/>
  <c r="A712" i="2"/>
  <c r="A713" i="2"/>
  <c r="A714" i="2"/>
  <c r="A715" i="2"/>
  <c r="A716" i="2"/>
  <c r="A717" i="2"/>
  <c r="A2" i="2"/>
  <c r="A2" i="5" a="1"/>
  <c r="B2" i="2" a="1"/>
  <c r="A2" i="5" l="1"/>
  <c r="C18" i="5"/>
  <c r="C20" i="5"/>
  <c r="C21" i="5"/>
  <c r="C22" i="5"/>
  <c r="C23" i="5"/>
  <c r="C25" i="5"/>
  <c r="C27" i="5"/>
  <c r="C28" i="5"/>
  <c r="C30" i="5"/>
  <c r="C4" i="5"/>
  <c r="C6" i="5"/>
  <c r="C8" i="5"/>
  <c r="C9" i="5"/>
  <c r="C11" i="5"/>
  <c r="C13" i="5"/>
  <c r="C15" i="5"/>
  <c r="C19" i="5"/>
  <c r="C24" i="5"/>
  <c r="C26" i="5"/>
  <c r="C29" i="5"/>
  <c r="C31" i="5"/>
  <c r="C3" i="5"/>
  <c r="C5" i="5"/>
  <c r="C7" i="5"/>
  <c r="C10" i="5"/>
  <c r="C12" i="5"/>
  <c r="C14" i="5"/>
  <c r="C16" i="5"/>
  <c r="B2" i="2"/>
  <c r="D98" i="2"/>
  <c r="E98" i="2" s="1"/>
  <c r="D100" i="2"/>
  <c r="E100" i="2" s="1"/>
  <c r="D102" i="2"/>
  <c r="E102" i="2" s="1"/>
  <c r="D105" i="2"/>
  <c r="E105" i="2" s="1"/>
  <c r="D107" i="2"/>
  <c r="E107" i="2" s="1"/>
  <c r="D109" i="2"/>
  <c r="E109" i="2" s="1"/>
  <c r="D111" i="2"/>
  <c r="E111" i="2" s="1"/>
  <c r="D113" i="2"/>
  <c r="E113" i="2" s="1"/>
  <c r="D115" i="2"/>
  <c r="E115" i="2" s="1"/>
  <c r="D117" i="2"/>
  <c r="E117" i="2" s="1"/>
  <c r="D119" i="2"/>
  <c r="E119" i="2" s="1"/>
  <c r="D121" i="2"/>
  <c r="E121" i="2" s="1"/>
  <c r="D123" i="2"/>
  <c r="E123" i="2" s="1"/>
  <c r="D125" i="2"/>
  <c r="E125" i="2" s="1"/>
  <c r="D127" i="2"/>
  <c r="E127" i="2" s="1"/>
  <c r="D129" i="2"/>
  <c r="E129" i="2" s="1"/>
  <c r="D131" i="2"/>
  <c r="E131" i="2" s="1"/>
  <c r="D133" i="2"/>
  <c r="E133" i="2" s="1"/>
  <c r="D135" i="2"/>
  <c r="E135" i="2" s="1"/>
  <c r="D136" i="2"/>
  <c r="E136" i="2" s="1"/>
  <c r="D138" i="2"/>
  <c r="E138" i="2" s="1"/>
  <c r="D140" i="2"/>
  <c r="E140" i="2" s="1"/>
  <c r="D142" i="2"/>
  <c r="E142" i="2" s="1"/>
  <c r="D144" i="2"/>
  <c r="E144" i="2" s="1"/>
  <c r="D146" i="2"/>
  <c r="E146" i="2" s="1"/>
  <c r="D147" i="2"/>
  <c r="E147" i="2" s="1"/>
  <c r="D149" i="2"/>
  <c r="E149" i="2" s="1"/>
  <c r="D151" i="2"/>
  <c r="E151" i="2" s="1"/>
  <c r="D153" i="2"/>
  <c r="E153" i="2" s="1"/>
  <c r="D155" i="2"/>
  <c r="E155" i="2" s="1"/>
  <c r="D157" i="2"/>
  <c r="E157" i="2" s="1"/>
  <c r="D159" i="2"/>
  <c r="E159" i="2" s="1"/>
  <c r="D161" i="2"/>
  <c r="E161" i="2" s="1"/>
  <c r="D163" i="2"/>
  <c r="E163" i="2" s="1"/>
  <c r="D166" i="2"/>
  <c r="E166" i="2" s="1"/>
  <c r="D168" i="2"/>
  <c r="E168" i="2" s="1"/>
  <c r="D170" i="2"/>
  <c r="E170" i="2" s="1"/>
  <c r="D172" i="2"/>
  <c r="E172" i="2" s="1"/>
  <c r="D174" i="2"/>
  <c r="E174" i="2" s="1"/>
  <c r="D176" i="2"/>
  <c r="E176" i="2" s="1"/>
  <c r="D178" i="2"/>
  <c r="E178" i="2" s="1"/>
  <c r="D181" i="2"/>
  <c r="E181" i="2" s="1"/>
  <c r="D183" i="2"/>
  <c r="E183" i="2" s="1"/>
  <c r="D185" i="2"/>
  <c r="E185" i="2" s="1"/>
  <c r="D186" i="2"/>
  <c r="E186" i="2" s="1"/>
  <c r="D188" i="2"/>
  <c r="E188" i="2" s="1"/>
  <c r="D191" i="2"/>
  <c r="E191" i="2" s="1"/>
  <c r="D192" i="2"/>
  <c r="E192" i="2" s="1"/>
  <c r="D195" i="2"/>
  <c r="E195" i="2" s="1"/>
  <c r="D197" i="2"/>
  <c r="E197" i="2" s="1"/>
  <c r="D199" i="2"/>
  <c r="E199" i="2" s="1"/>
  <c r="D201" i="2"/>
  <c r="E201" i="2" s="1"/>
  <c r="D204" i="2"/>
  <c r="E204" i="2" s="1"/>
  <c r="D206" i="2"/>
  <c r="E206" i="2" s="1"/>
  <c r="D208" i="2"/>
  <c r="E208" i="2" s="1"/>
  <c r="D209" i="2"/>
  <c r="E209" i="2" s="1"/>
  <c r="D210" i="2"/>
  <c r="E210" i="2" s="1"/>
  <c r="D211" i="2"/>
  <c r="E211" i="2" s="1"/>
  <c r="D212" i="2"/>
  <c r="E212" i="2" s="1"/>
  <c r="D213" i="2"/>
  <c r="E213" i="2" s="1"/>
  <c r="D214" i="2"/>
  <c r="E214" i="2" s="1"/>
  <c r="D215" i="2"/>
  <c r="E215" i="2" s="1"/>
  <c r="D216" i="2"/>
  <c r="E216" i="2" s="1"/>
  <c r="D217" i="2"/>
  <c r="E217" i="2" s="1"/>
  <c r="D218" i="2"/>
  <c r="E218" i="2" s="1"/>
  <c r="D219" i="2"/>
  <c r="E219" i="2" s="1"/>
  <c r="D224" i="2"/>
  <c r="E224" i="2" s="1"/>
  <c r="D225" i="2"/>
  <c r="E225" i="2" s="1"/>
  <c r="D226" i="2"/>
  <c r="E226" i="2" s="1"/>
  <c r="D227" i="2"/>
  <c r="E227" i="2" s="1"/>
  <c r="D228" i="2"/>
  <c r="E228" i="2" s="1"/>
  <c r="D229" i="2"/>
  <c r="E229" i="2" s="1"/>
  <c r="D230" i="2"/>
  <c r="E230" i="2" s="1"/>
  <c r="D231" i="2"/>
  <c r="E231" i="2" s="1"/>
  <c r="D232" i="2"/>
  <c r="E232" i="2" s="1"/>
  <c r="D233" i="2"/>
  <c r="E233" i="2" s="1"/>
  <c r="D234" i="2"/>
  <c r="E234" i="2" s="1"/>
  <c r="D235" i="2"/>
  <c r="E235" i="2" s="1"/>
  <c r="D236" i="2"/>
  <c r="E236" i="2" s="1"/>
  <c r="D237" i="2"/>
  <c r="E237" i="2" s="1"/>
  <c r="D238" i="2"/>
  <c r="E238" i="2" s="1"/>
  <c r="D239" i="2"/>
  <c r="E239" i="2" s="1"/>
  <c r="D240" i="2"/>
  <c r="E240" i="2" s="1"/>
  <c r="D241" i="2"/>
  <c r="E241" i="2" s="1"/>
  <c r="D242" i="2"/>
  <c r="E242" i="2" s="1"/>
  <c r="D243" i="2"/>
  <c r="E243" i="2" s="1"/>
  <c r="D244" i="2"/>
  <c r="E244" i="2" s="1"/>
  <c r="D245" i="2"/>
  <c r="E245" i="2" s="1"/>
  <c r="D246" i="2"/>
  <c r="E246" i="2" s="1"/>
  <c r="D247" i="2"/>
  <c r="E247" i="2" s="1"/>
  <c r="D248" i="2"/>
  <c r="E248" i="2" s="1"/>
  <c r="D249" i="2"/>
  <c r="E249" i="2" s="1"/>
  <c r="D250" i="2"/>
  <c r="E250" i="2" s="1"/>
  <c r="D251" i="2"/>
  <c r="E251" i="2" s="1"/>
  <c r="D252" i="2"/>
  <c r="E252" i="2" s="1"/>
  <c r="D253" i="2"/>
  <c r="E253" i="2" s="1"/>
  <c r="D254" i="2"/>
  <c r="E254" i="2" s="1"/>
  <c r="D255" i="2"/>
  <c r="E255" i="2" s="1"/>
  <c r="D256" i="2"/>
  <c r="E256" i="2" s="1"/>
  <c r="D257" i="2"/>
  <c r="E257" i="2" s="1"/>
  <c r="D258" i="2"/>
  <c r="E258" i="2" s="1"/>
  <c r="D259" i="2"/>
  <c r="E259" i="2" s="1"/>
  <c r="D260" i="2"/>
  <c r="E260" i="2" s="1"/>
  <c r="D261" i="2"/>
  <c r="E261" i="2" s="1"/>
  <c r="D262" i="2"/>
  <c r="E262" i="2" s="1"/>
  <c r="D263" i="2"/>
  <c r="E263" i="2" s="1"/>
  <c r="D264" i="2"/>
  <c r="E264" i="2" s="1"/>
  <c r="D265" i="2"/>
  <c r="E265" i="2" s="1"/>
  <c r="D266" i="2"/>
  <c r="E266" i="2" s="1"/>
  <c r="D267" i="2"/>
  <c r="E267" i="2" s="1"/>
  <c r="D268" i="2"/>
  <c r="E268" i="2" s="1"/>
  <c r="D269" i="2"/>
  <c r="E269" i="2" s="1"/>
  <c r="D270" i="2"/>
  <c r="E270" i="2" s="1"/>
  <c r="D271" i="2"/>
  <c r="E271" i="2" s="1"/>
  <c r="D272" i="2"/>
  <c r="E272" i="2" s="1"/>
  <c r="D273" i="2"/>
  <c r="E273" i="2" s="1"/>
  <c r="D274" i="2"/>
  <c r="E274" i="2" s="1"/>
  <c r="D275" i="2"/>
  <c r="E275" i="2" s="1"/>
  <c r="D276" i="2"/>
  <c r="E276" i="2" s="1"/>
  <c r="D277" i="2"/>
  <c r="E277" i="2" s="1"/>
  <c r="D278" i="2"/>
  <c r="E278" i="2" s="1"/>
  <c r="D279" i="2"/>
  <c r="E279" i="2" s="1"/>
  <c r="D280" i="2"/>
  <c r="E280" i="2" s="1"/>
  <c r="D281" i="2"/>
  <c r="E281" i="2" s="1"/>
  <c r="D282" i="2"/>
  <c r="E282" i="2" s="1"/>
  <c r="D283" i="2"/>
  <c r="E283" i="2" s="1"/>
  <c r="D284" i="2"/>
  <c r="E284" i="2" s="1"/>
  <c r="D285" i="2"/>
  <c r="E285" i="2" s="1"/>
  <c r="D286" i="2"/>
  <c r="E286" i="2" s="1"/>
  <c r="D287" i="2"/>
  <c r="E287" i="2" s="1"/>
  <c r="D288" i="2"/>
  <c r="E288" i="2" s="1"/>
  <c r="D289" i="2"/>
  <c r="E289" i="2" s="1"/>
  <c r="D290" i="2"/>
  <c r="E290" i="2" s="1"/>
  <c r="D291" i="2"/>
  <c r="E291" i="2" s="1"/>
  <c r="D292" i="2"/>
  <c r="E292" i="2" s="1"/>
  <c r="D293" i="2"/>
  <c r="E293" i="2" s="1"/>
  <c r="D294" i="2"/>
  <c r="E294" i="2" s="1"/>
  <c r="D295" i="2"/>
  <c r="E295" i="2" s="1"/>
  <c r="D297" i="2"/>
  <c r="E297" i="2" s="1"/>
  <c r="D298" i="2"/>
  <c r="E298" i="2" s="1"/>
  <c r="D299" i="2"/>
  <c r="E299" i="2" s="1"/>
  <c r="D300" i="2"/>
  <c r="E300" i="2" s="1"/>
  <c r="D301" i="2"/>
  <c r="E301" i="2" s="1"/>
  <c r="D302" i="2"/>
  <c r="E302" i="2" s="1"/>
  <c r="D303" i="2"/>
  <c r="E303" i="2" s="1"/>
  <c r="D304" i="2"/>
  <c r="E304" i="2" s="1"/>
  <c r="D305" i="2"/>
  <c r="E305" i="2" s="1"/>
  <c r="D306" i="2"/>
  <c r="E306" i="2" s="1"/>
  <c r="D307" i="2"/>
  <c r="E307" i="2" s="1"/>
  <c r="D308" i="2"/>
  <c r="E308" i="2" s="1"/>
  <c r="D309" i="2"/>
  <c r="E309" i="2" s="1"/>
  <c r="D310" i="2"/>
  <c r="E310" i="2" s="1"/>
  <c r="D311" i="2"/>
  <c r="E311" i="2" s="1"/>
  <c r="D312" i="2"/>
  <c r="E312" i="2" s="1"/>
  <c r="D313" i="2"/>
  <c r="E313" i="2" s="1"/>
  <c r="D314" i="2"/>
  <c r="E314" i="2" s="1"/>
  <c r="D315" i="2"/>
  <c r="E315" i="2" s="1"/>
  <c r="D316" i="2"/>
  <c r="E316" i="2" s="1"/>
  <c r="D317" i="2"/>
  <c r="E317" i="2" s="1"/>
  <c r="D318" i="2"/>
  <c r="E318" i="2" s="1"/>
  <c r="D319" i="2"/>
  <c r="E319" i="2" s="1"/>
  <c r="D320" i="2"/>
  <c r="E320" i="2" s="1"/>
  <c r="D321" i="2"/>
  <c r="E321" i="2" s="1"/>
  <c r="D322" i="2"/>
  <c r="E322" i="2" s="1"/>
  <c r="D323" i="2"/>
  <c r="E323" i="2" s="1"/>
  <c r="D324" i="2"/>
  <c r="E324" i="2" s="1"/>
  <c r="D325" i="2"/>
  <c r="E325" i="2" s="1"/>
  <c r="D326" i="2"/>
  <c r="E326" i="2" s="1"/>
  <c r="D327" i="2"/>
  <c r="E327" i="2" s="1"/>
  <c r="D328" i="2"/>
  <c r="E328" i="2" s="1"/>
  <c r="D329" i="2"/>
  <c r="E329" i="2" s="1"/>
  <c r="D330" i="2"/>
  <c r="E330" i="2" s="1"/>
  <c r="D331" i="2"/>
  <c r="E331" i="2" s="1"/>
  <c r="D332" i="2"/>
  <c r="E332" i="2" s="1"/>
  <c r="D333" i="2"/>
  <c r="E333" i="2" s="1"/>
  <c r="D334" i="2"/>
  <c r="E334" i="2" s="1"/>
  <c r="D335" i="2"/>
  <c r="E335" i="2" s="1"/>
  <c r="D336" i="2"/>
  <c r="E336" i="2" s="1"/>
  <c r="D337" i="2"/>
  <c r="E337" i="2" s="1"/>
  <c r="D338" i="2"/>
  <c r="E338" i="2" s="1"/>
  <c r="D339" i="2"/>
  <c r="E339" i="2" s="1"/>
  <c r="D340" i="2"/>
  <c r="E340" i="2" s="1"/>
  <c r="D341" i="2"/>
  <c r="E341" i="2" s="1"/>
  <c r="D342" i="2"/>
  <c r="E342" i="2" s="1"/>
  <c r="D343" i="2"/>
  <c r="E343" i="2" s="1"/>
  <c r="D345" i="2"/>
  <c r="E345" i="2" s="1"/>
  <c r="D348" i="2"/>
  <c r="E348" i="2" s="1"/>
  <c r="D351" i="2"/>
  <c r="E351" i="2" s="1"/>
  <c r="D353" i="2"/>
  <c r="E353" i="2" s="1"/>
  <c r="D355" i="2"/>
  <c r="E355" i="2" s="1"/>
  <c r="D356" i="2"/>
  <c r="E356" i="2" s="1"/>
  <c r="D14" i="2"/>
  <c r="E14" i="2" s="1"/>
  <c r="D16" i="2"/>
  <c r="E16" i="2" s="1"/>
  <c r="D17" i="2"/>
  <c r="E17" i="2" s="1"/>
  <c r="D18" i="2"/>
  <c r="E18" i="2" s="1"/>
  <c r="D19" i="2"/>
  <c r="E19" i="2" s="1"/>
  <c r="D20" i="2"/>
  <c r="E20" i="2" s="1"/>
  <c r="D21" i="2"/>
  <c r="E21" i="2" s="1"/>
  <c r="D22" i="2"/>
  <c r="E22" i="2" s="1"/>
  <c r="D25" i="2"/>
  <c r="E25" i="2" s="1"/>
  <c r="D29" i="2"/>
  <c r="E29" i="2" s="1"/>
  <c r="D32" i="2"/>
  <c r="E32" i="2" s="1"/>
  <c r="D34" i="2"/>
  <c r="E34" i="2" s="1"/>
  <c r="D36" i="2"/>
  <c r="E36" i="2" s="1"/>
  <c r="D38" i="2"/>
  <c r="E38" i="2" s="1"/>
  <c r="D39" i="2"/>
  <c r="E39" i="2" s="1"/>
  <c r="D42" i="2"/>
  <c r="E42" i="2" s="1"/>
  <c r="D4" i="2"/>
  <c r="E4" i="2" s="1"/>
  <c r="D5" i="2"/>
  <c r="E5" i="2" s="1"/>
  <c r="D7" i="2"/>
  <c r="E7" i="2" s="1"/>
  <c r="D9" i="2"/>
  <c r="E9" i="2" s="1"/>
  <c r="D11" i="2"/>
  <c r="E11" i="2" s="1"/>
  <c r="D13" i="2"/>
  <c r="E13" i="2" s="1"/>
  <c r="C717" i="2"/>
  <c r="C4" i="2"/>
  <c r="C5" i="2"/>
  <c r="C6" i="2"/>
  <c r="C9" i="2"/>
  <c r="C11" i="2"/>
  <c r="C14" i="2"/>
  <c r="C15" i="2"/>
  <c r="C18" i="2"/>
  <c r="C20" i="2"/>
  <c r="C23" i="2"/>
  <c r="C25" i="2"/>
  <c r="C27" i="2"/>
  <c r="C29" i="2"/>
  <c r="C32" i="2"/>
  <c r="C34" i="2"/>
  <c r="C35" i="2"/>
  <c r="C37" i="2"/>
  <c r="C39" i="2"/>
  <c r="C41" i="2"/>
  <c r="C43" i="2"/>
  <c r="C45" i="2"/>
  <c r="C48" i="2"/>
  <c r="C49" i="2"/>
  <c r="C52" i="2"/>
  <c r="C53" i="2"/>
  <c r="C55" i="2"/>
  <c r="C58" i="2"/>
  <c r="C60" i="2"/>
  <c r="C62" i="2"/>
  <c r="C64" i="2"/>
  <c r="C66" i="2"/>
  <c r="C68" i="2"/>
  <c r="C70" i="2"/>
  <c r="C73" i="2"/>
  <c r="C75" i="2"/>
  <c r="C77" i="2"/>
  <c r="C79" i="2"/>
  <c r="C81" i="2"/>
  <c r="C83" i="2"/>
  <c r="C85" i="2"/>
  <c r="C87" i="2"/>
  <c r="C89" i="2"/>
  <c r="C90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70" i="2"/>
  <c r="C171" i="2"/>
  <c r="C172" i="2"/>
  <c r="C173" i="2"/>
  <c r="C174" i="2"/>
  <c r="C176" i="2"/>
  <c r="C177" i="2"/>
  <c r="C179" i="2"/>
  <c r="C181" i="2"/>
  <c r="C183" i="2"/>
  <c r="C185" i="2"/>
  <c r="C187" i="2"/>
  <c r="C189" i="2"/>
  <c r="C192" i="2"/>
  <c r="C193" i="2"/>
  <c r="C195" i="2"/>
  <c r="C197" i="2"/>
  <c r="C199" i="2"/>
  <c r="C201" i="2"/>
  <c r="C203" i="2"/>
  <c r="C205" i="2"/>
  <c r="C207" i="2"/>
  <c r="C209" i="2"/>
  <c r="C211" i="2"/>
  <c r="C213" i="2"/>
  <c r="C215" i="2"/>
  <c r="C217" i="2"/>
  <c r="C219" i="2"/>
  <c r="C220" i="2"/>
  <c r="C222" i="2"/>
  <c r="C223" i="2"/>
  <c r="C225" i="2"/>
  <c r="C227" i="2"/>
  <c r="C229" i="2"/>
  <c r="C231" i="2"/>
  <c r="C233" i="2"/>
  <c r="C236" i="2"/>
  <c r="C238" i="2"/>
  <c r="C240" i="2"/>
  <c r="C242" i="2"/>
  <c r="C244" i="2"/>
  <c r="C246" i="2"/>
  <c r="C248" i="2"/>
  <c r="C250" i="2"/>
  <c r="C252" i="2"/>
  <c r="C254" i="2"/>
  <c r="C255" i="2"/>
  <c r="C257" i="2"/>
  <c r="C259" i="2"/>
  <c r="C261" i="2"/>
  <c r="C263" i="2"/>
  <c r="C265" i="2"/>
  <c r="C267" i="2"/>
  <c r="C269" i="2"/>
  <c r="C271" i="2"/>
  <c r="C273" i="2"/>
  <c r="C275" i="2"/>
  <c r="C277" i="2"/>
  <c r="C279" i="2"/>
  <c r="C281" i="2"/>
  <c r="C283" i="2"/>
  <c r="C285" i="2"/>
  <c r="C288" i="2"/>
  <c r="C290" i="2"/>
  <c r="C292" i="2"/>
  <c r="C295" i="2"/>
  <c r="C296" i="2"/>
  <c r="C298" i="2"/>
  <c r="C300" i="2"/>
  <c r="C302" i="2"/>
  <c r="C305" i="2"/>
  <c r="C307" i="2"/>
  <c r="C309" i="2"/>
  <c r="C365" i="2"/>
  <c r="C367" i="2"/>
  <c r="C369" i="2"/>
  <c r="C371" i="2"/>
  <c r="C373" i="2"/>
  <c r="C375" i="2"/>
  <c r="C378" i="2"/>
  <c r="C380" i="2"/>
  <c r="C381" i="2"/>
  <c r="C383" i="2"/>
  <c r="C385" i="2"/>
  <c r="C387" i="2"/>
  <c r="C389" i="2"/>
  <c r="C391" i="2"/>
  <c r="C393" i="2"/>
  <c r="C395" i="2"/>
  <c r="C397" i="2"/>
  <c r="C400" i="2"/>
  <c r="C402" i="2"/>
  <c r="C404" i="2"/>
  <c r="C406" i="2"/>
  <c r="C407" i="2"/>
  <c r="C410" i="2"/>
  <c r="C411" i="2"/>
  <c r="C413" i="2"/>
  <c r="C415" i="2"/>
  <c r="C417" i="2"/>
  <c r="C419" i="2"/>
  <c r="C421" i="2"/>
  <c r="C424" i="2"/>
  <c r="C425" i="2"/>
  <c r="C427" i="2"/>
  <c r="C429" i="2"/>
  <c r="C431" i="2"/>
  <c r="C433" i="2"/>
  <c r="C435" i="2"/>
  <c r="C437" i="2"/>
  <c r="C440" i="2"/>
  <c r="C444" i="2"/>
  <c r="D359" i="2"/>
  <c r="E359" i="2" s="1"/>
  <c r="D360" i="2"/>
  <c r="E360" i="2" s="1"/>
  <c r="D361" i="2"/>
  <c r="E361" i="2" s="1"/>
  <c r="D362" i="2"/>
  <c r="E362" i="2" s="1"/>
  <c r="D363" i="2"/>
  <c r="E363" i="2" s="1"/>
  <c r="D364" i="2"/>
  <c r="E364" i="2" s="1"/>
  <c r="D365" i="2"/>
  <c r="E365" i="2" s="1"/>
  <c r="D366" i="2"/>
  <c r="E366" i="2" s="1"/>
  <c r="D367" i="2"/>
  <c r="E367" i="2" s="1"/>
  <c r="D368" i="2"/>
  <c r="E368" i="2" s="1"/>
  <c r="D369" i="2"/>
  <c r="E369" i="2" s="1"/>
  <c r="D370" i="2"/>
  <c r="E370" i="2" s="1"/>
  <c r="D371" i="2"/>
  <c r="E371" i="2" s="1"/>
  <c r="D372" i="2"/>
  <c r="E372" i="2" s="1"/>
  <c r="D373" i="2"/>
  <c r="E373" i="2" s="1"/>
  <c r="D374" i="2"/>
  <c r="E374" i="2" s="1"/>
  <c r="D375" i="2"/>
  <c r="E375" i="2" s="1"/>
  <c r="D376" i="2"/>
  <c r="E376" i="2" s="1"/>
  <c r="D377" i="2"/>
  <c r="E377" i="2" s="1"/>
  <c r="D378" i="2"/>
  <c r="E378" i="2" s="1"/>
  <c r="D379" i="2"/>
  <c r="E379" i="2" s="1"/>
  <c r="D380" i="2"/>
  <c r="E380" i="2" s="1"/>
  <c r="D381" i="2"/>
  <c r="E381" i="2" s="1"/>
  <c r="D382" i="2"/>
  <c r="E382" i="2" s="1"/>
  <c r="D383" i="2"/>
  <c r="E383" i="2" s="1"/>
  <c r="D384" i="2"/>
  <c r="E384" i="2" s="1"/>
  <c r="D385" i="2"/>
  <c r="E385" i="2" s="1"/>
  <c r="D386" i="2"/>
  <c r="E386" i="2" s="1"/>
  <c r="D387" i="2"/>
  <c r="E387" i="2" s="1"/>
  <c r="D388" i="2"/>
  <c r="E388" i="2" s="1"/>
  <c r="D389" i="2"/>
  <c r="E389" i="2" s="1"/>
  <c r="D390" i="2"/>
  <c r="E390" i="2" s="1"/>
  <c r="D391" i="2"/>
  <c r="E391" i="2" s="1"/>
  <c r="D392" i="2"/>
  <c r="E392" i="2" s="1"/>
  <c r="D393" i="2"/>
  <c r="E393" i="2" s="1"/>
  <c r="D394" i="2"/>
  <c r="E394" i="2" s="1"/>
  <c r="D395" i="2"/>
  <c r="E395" i="2" s="1"/>
  <c r="D396" i="2"/>
  <c r="E396" i="2" s="1"/>
  <c r="D397" i="2"/>
  <c r="E397" i="2" s="1"/>
  <c r="D398" i="2"/>
  <c r="E398" i="2" s="1"/>
  <c r="D399" i="2"/>
  <c r="E399" i="2" s="1"/>
  <c r="D400" i="2"/>
  <c r="E400" i="2" s="1"/>
  <c r="D401" i="2"/>
  <c r="E401" i="2" s="1"/>
  <c r="D402" i="2"/>
  <c r="E402" i="2" s="1"/>
  <c r="D403" i="2"/>
  <c r="E403" i="2" s="1"/>
  <c r="D404" i="2"/>
  <c r="E404" i="2" s="1"/>
  <c r="D405" i="2"/>
  <c r="E405" i="2" s="1"/>
  <c r="D406" i="2"/>
  <c r="E406" i="2" s="1"/>
  <c r="D407" i="2"/>
  <c r="E407" i="2" s="1"/>
  <c r="D408" i="2"/>
  <c r="E408" i="2" s="1"/>
  <c r="D409" i="2"/>
  <c r="E409" i="2" s="1"/>
  <c r="D410" i="2"/>
  <c r="E410" i="2" s="1"/>
  <c r="D411" i="2"/>
  <c r="E411" i="2" s="1"/>
  <c r="D412" i="2"/>
  <c r="E412" i="2" s="1"/>
  <c r="D413" i="2"/>
  <c r="E413" i="2" s="1"/>
  <c r="D414" i="2"/>
  <c r="E414" i="2" s="1"/>
  <c r="D415" i="2"/>
  <c r="E415" i="2" s="1"/>
  <c r="D416" i="2"/>
  <c r="E416" i="2" s="1"/>
  <c r="D417" i="2"/>
  <c r="E417" i="2" s="1"/>
  <c r="D418" i="2"/>
  <c r="E418" i="2" s="1"/>
  <c r="D420" i="2"/>
  <c r="E420" i="2" s="1"/>
  <c r="D421" i="2"/>
  <c r="E421" i="2" s="1"/>
  <c r="D422" i="2"/>
  <c r="E422" i="2" s="1"/>
  <c r="D423" i="2"/>
  <c r="E423" i="2" s="1"/>
  <c r="D424" i="2"/>
  <c r="E424" i="2" s="1"/>
  <c r="D425" i="2"/>
  <c r="E425" i="2" s="1"/>
  <c r="D426" i="2"/>
  <c r="E426" i="2" s="1"/>
  <c r="D427" i="2"/>
  <c r="E427" i="2" s="1"/>
  <c r="D428" i="2"/>
  <c r="E428" i="2" s="1"/>
  <c r="D429" i="2"/>
  <c r="E429" i="2" s="1"/>
  <c r="D430" i="2"/>
  <c r="E430" i="2" s="1"/>
  <c r="D431" i="2"/>
  <c r="E431" i="2" s="1"/>
  <c r="D432" i="2"/>
  <c r="E432" i="2" s="1"/>
  <c r="D433" i="2"/>
  <c r="E433" i="2" s="1"/>
  <c r="D434" i="2"/>
  <c r="E434" i="2" s="1"/>
  <c r="D435" i="2"/>
  <c r="E435" i="2" s="1"/>
  <c r="D436" i="2"/>
  <c r="E436" i="2" s="1"/>
  <c r="D437" i="2"/>
  <c r="E437" i="2" s="1"/>
  <c r="D438" i="2"/>
  <c r="E438" i="2" s="1"/>
  <c r="D439" i="2"/>
  <c r="E439" i="2" s="1"/>
  <c r="D440" i="2"/>
  <c r="E440" i="2" s="1"/>
  <c r="D441" i="2"/>
  <c r="E441" i="2" s="1"/>
  <c r="D442" i="2"/>
  <c r="E442" i="2" s="1"/>
  <c r="D443" i="2"/>
  <c r="E443" i="2" s="1"/>
  <c r="D444" i="2"/>
  <c r="E444" i="2" s="1"/>
  <c r="D445" i="2"/>
  <c r="E445" i="2" s="1"/>
  <c r="D446" i="2"/>
  <c r="E446" i="2" s="1"/>
  <c r="D447" i="2"/>
  <c r="E447" i="2" s="1"/>
  <c r="D448" i="2"/>
  <c r="E448" i="2" s="1"/>
  <c r="D449" i="2"/>
  <c r="E449" i="2" s="1"/>
  <c r="D450" i="2"/>
  <c r="E450" i="2" s="1"/>
  <c r="D451" i="2"/>
  <c r="E451" i="2" s="1"/>
  <c r="D452" i="2"/>
  <c r="E452" i="2" s="1"/>
  <c r="D453" i="2"/>
  <c r="E453" i="2" s="1"/>
  <c r="D454" i="2"/>
  <c r="E454" i="2" s="1"/>
  <c r="D455" i="2"/>
  <c r="E455" i="2" s="1"/>
  <c r="D456" i="2"/>
  <c r="E456" i="2" s="1"/>
  <c r="D457" i="2"/>
  <c r="E457" i="2" s="1"/>
  <c r="D458" i="2"/>
  <c r="E458" i="2" s="1"/>
  <c r="D459" i="2"/>
  <c r="E459" i="2" s="1"/>
  <c r="D460" i="2"/>
  <c r="E460" i="2" s="1"/>
  <c r="D461" i="2"/>
  <c r="E461" i="2" s="1"/>
  <c r="D462" i="2"/>
  <c r="E462" i="2" s="1"/>
  <c r="D463" i="2"/>
  <c r="E463" i="2" s="1"/>
  <c r="D464" i="2"/>
  <c r="E464" i="2" s="1"/>
  <c r="D465" i="2"/>
  <c r="E465" i="2" s="1"/>
  <c r="D466" i="2"/>
  <c r="E466" i="2" s="1"/>
  <c r="D467" i="2"/>
  <c r="E467" i="2" s="1"/>
  <c r="D468" i="2"/>
  <c r="E468" i="2" s="1"/>
  <c r="D469" i="2"/>
  <c r="E469" i="2" s="1"/>
  <c r="D470" i="2"/>
  <c r="E470" i="2" s="1"/>
  <c r="D471" i="2"/>
  <c r="E471" i="2" s="1"/>
  <c r="D472" i="2"/>
  <c r="E472" i="2" s="1"/>
  <c r="D473" i="2"/>
  <c r="E473" i="2" s="1"/>
  <c r="D474" i="2"/>
  <c r="E474" i="2" s="1"/>
  <c r="D475" i="2"/>
  <c r="E475" i="2" s="1"/>
  <c r="D476" i="2"/>
  <c r="E476" i="2" s="1"/>
  <c r="D477" i="2"/>
  <c r="E477" i="2" s="1"/>
  <c r="D478" i="2"/>
  <c r="E478" i="2" s="1"/>
  <c r="D479" i="2"/>
  <c r="E479" i="2" s="1"/>
  <c r="D480" i="2"/>
  <c r="E480" i="2" s="1"/>
  <c r="D481" i="2"/>
  <c r="E481" i="2" s="1"/>
  <c r="D482" i="2"/>
  <c r="E482" i="2" s="1"/>
  <c r="D483" i="2"/>
  <c r="E483" i="2" s="1"/>
  <c r="D484" i="2"/>
  <c r="E484" i="2" s="1"/>
  <c r="D485" i="2"/>
  <c r="E485" i="2" s="1"/>
  <c r="D486" i="2"/>
  <c r="E486" i="2" s="1"/>
  <c r="D487" i="2"/>
  <c r="E487" i="2" s="1"/>
  <c r="D488" i="2"/>
  <c r="E488" i="2" s="1"/>
  <c r="D489" i="2"/>
  <c r="E489" i="2" s="1"/>
  <c r="D490" i="2"/>
  <c r="E490" i="2" s="1"/>
  <c r="D491" i="2"/>
  <c r="E491" i="2" s="1"/>
  <c r="D492" i="2"/>
  <c r="E492" i="2" s="1"/>
  <c r="D493" i="2"/>
  <c r="E493" i="2" s="1"/>
  <c r="D494" i="2"/>
  <c r="E494" i="2" s="1"/>
  <c r="D495" i="2"/>
  <c r="E495" i="2" s="1"/>
  <c r="D496" i="2"/>
  <c r="E496" i="2" s="1"/>
  <c r="D497" i="2"/>
  <c r="E497" i="2" s="1"/>
  <c r="D498" i="2"/>
  <c r="E498" i="2" s="1"/>
  <c r="D499" i="2"/>
  <c r="E499" i="2" s="1"/>
  <c r="D500" i="2"/>
  <c r="E500" i="2" s="1"/>
  <c r="D501" i="2"/>
  <c r="E501" i="2" s="1"/>
  <c r="D502" i="2"/>
  <c r="E502" i="2" s="1"/>
  <c r="D503" i="2"/>
  <c r="E503" i="2" s="1"/>
  <c r="D504" i="2"/>
  <c r="E504" i="2" s="1"/>
  <c r="D505" i="2"/>
  <c r="E505" i="2" s="1"/>
  <c r="D506" i="2"/>
  <c r="E506" i="2" s="1"/>
  <c r="D507" i="2"/>
  <c r="E507" i="2" s="1"/>
  <c r="D508" i="2"/>
  <c r="E508" i="2" s="1"/>
  <c r="D509" i="2"/>
  <c r="E509" i="2" s="1"/>
  <c r="D510" i="2"/>
  <c r="E510" i="2" s="1"/>
  <c r="D511" i="2"/>
  <c r="E511" i="2" s="1"/>
  <c r="D512" i="2"/>
  <c r="E512" i="2" s="1"/>
  <c r="D513" i="2"/>
  <c r="E513" i="2" s="1"/>
  <c r="D514" i="2"/>
  <c r="E514" i="2" s="1"/>
  <c r="D515" i="2"/>
  <c r="E515" i="2" s="1"/>
  <c r="D516" i="2"/>
  <c r="E516" i="2" s="1"/>
  <c r="D517" i="2"/>
  <c r="E517" i="2" s="1"/>
  <c r="D518" i="2"/>
  <c r="E518" i="2" s="1"/>
  <c r="D519" i="2"/>
  <c r="E519" i="2" s="1"/>
  <c r="D520" i="2"/>
  <c r="E520" i="2" s="1"/>
  <c r="D521" i="2"/>
  <c r="E521" i="2" s="1"/>
  <c r="D522" i="2"/>
  <c r="E522" i="2" s="1"/>
  <c r="D523" i="2"/>
  <c r="E523" i="2" s="1"/>
  <c r="D524" i="2"/>
  <c r="E524" i="2" s="1"/>
  <c r="D525" i="2"/>
  <c r="E525" i="2" s="1"/>
  <c r="D526" i="2"/>
  <c r="E526" i="2" s="1"/>
  <c r="D527" i="2"/>
  <c r="E527" i="2" s="1"/>
  <c r="D528" i="2"/>
  <c r="E528" i="2" s="1"/>
  <c r="D529" i="2"/>
  <c r="E529" i="2" s="1"/>
  <c r="D530" i="2"/>
  <c r="E530" i="2" s="1"/>
  <c r="D531" i="2"/>
  <c r="E531" i="2" s="1"/>
  <c r="D532" i="2"/>
  <c r="E532" i="2" s="1"/>
  <c r="D533" i="2"/>
  <c r="E533" i="2" s="1"/>
  <c r="D534" i="2"/>
  <c r="E534" i="2" s="1"/>
  <c r="D535" i="2"/>
  <c r="E535" i="2" s="1"/>
  <c r="D536" i="2"/>
  <c r="E536" i="2" s="1"/>
  <c r="D537" i="2"/>
  <c r="E537" i="2" s="1"/>
  <c r="D538" i="2"/>
  <c r="E538" i="2" s="1"/>
  <c r="D539" i="2"/>
  <c r="E539" i="2" s="1"/>
  <c r="D540" i="2"/>
  <c r="E540" i="2" s="1"/>
  <c r="D541" i="2"/>
  <c r="E541" i="2" s="1"/>
  <c r="D542" i="2"/>
  <c r="E542" i="2" s="1"/>
  <c r="D543" i="2"/>
  <c r="E543" i="2" s="1"/>
  <c r="D544" i="2"/>
  <c r="E544" i="2" s="1"/>
  <c r="D545" i="2"/>
  <c r="E545" i="2" s="1"/>
  <c r="D546" i="2"/>
  <c r="E546" i="2" s="1"/>
  <c r="D547" i="2"/>
  <c r="E547" i="2" s="1"/>
  <c r="D548" i="2"/>
  <c r="E548" i="2" s="1"/>
  <c r="D549" i="2"/>
  <c r="E549" i="2" s="1"/>
  <c r="D550" i="2"/>
  <c r="E550" i="2" s="1"/>
  <c r="D551" i="2"/>
  <c r="E551" i="2" s="1"/>
  <c r="D552" i="2"/>
  <c r="E552" i="2" s="1"/>
  <c r="D553" i="2"/>
  <c r="E553" i="2" s="1"/>
  <c r="D554" i="2"/>
  <c r="E554" i="2" s="1"/>
  <c r="D555" i="2"/>
  <c r="E555" i="2" s="1"/>
  <c r="D556" i="2"/>
  <c r="E556" i="2" s="1"/>
  <c r="D557" i="2"/>
  <c r="E557" i="2" s="1"/>
  <c r="D558" i="2"/>
  <c r="E558" i="2" s="1"/>
  <c r="D559" i="2"/>
  <c r="E559" i="2" s="1"/>
  <c r="D560" i="2"/>
  <c r="E560" i="2" s="1"/>
  <c r="D561" i="2"/>
  <c r="E561" i="2" s="1"/>
  <c r="D562" i="2"/>
  <c r="E562" i="2" s="1"/>
  <c r="D563" i="2"/>
  <c r="E563" i="2" s="1"/>
  <c r="D564" i="2"/>
  <c r="E564" i="2" s="1"/>
  <c r="D565" i="2"/>
  <c r="E565" i="2" s="1"/>
  <c r="D566" i="2"/>
  <c r="E566" i="2" s="1"/>
  <c r="D567" i="2"/>
  <c r="E567" i="2" s="1"/>
  <c r="D568" i="2"/>
  <c r="E568" i="2" s="1"/>
  <c r="D569" i="2"/>
  <c r="E569" i="2" s="1"/>
  <c r="D570" i="2"/>
  <c r="E570" i="2" s="1"/>
  <c r="D571" i="2"/>
  <c r="E571" i="2" s="1"/>
  <c r="D572" i="2"/>
  <c r="E572" i="2" s="1"/>
  <c r="D573" i="2"/>
  <c r="E573" i="2" s="1"/>
  <c r="D574" i="2"/>
  <c r="E574" i="2" s="1"/>
  <c r="D575" i="2"/>
  <c r="E575" i="2" s="1"/>
  <c r="D576" i="2"/>
  <c r="E576" i="2" s="1"/>
  <c r="D577" i="2"/>
  <c r="E577" i="2" s="1"/>
  <c r="D578" i="2"/>
  <c r="E578" i="2" s="1"/>
  <c r="D579" i="2"/>
  <c r="E579" i="2" s="1"/>
  <c r="D580" i="2"/>
  <c r="E580" i="2" s="1"/>
  <c r="D581" i="2"/>
  <c r="E581" i="2" s="1"/>
  <c r="D582" i="2"/>
  <c r="E582" i="2" s="1"/>
  <c r="D583" i="2"/>
  <c r="E583" i="2" s="1"/>
  <c r="D584" i="2"/>
  <c r="E584" i="2" s="1"/>
  <c r="D585" i="2"/>
  <c r="E585" i="2" s="1"/>
  <c r="D586" i="2"/>
  <c r="E586" i="2" s="1"/>
  <c r="D587" i="2"/>
  <c r="E587" i="2" s="1"/>
  <c r="D588" i="2"/>
  <c r="E588" i="2" s="1"/>
  <c r="D589" i="2"/>
  <c r="E589" i="2" s="1"/>
  <c r="D590" i="2"/>
  <c r="E590" i="2" s="1"/>
  <c r="D591" i="2"/>
  <c r="E591" i="2" s="1"/>
  <c r="D592" i="2"/>
  <c r="E592" i="2" s="1"/>
  <c r="D593" i="2"/>
  <c r="E593" i="2" s="1"/>
  <c r="D594" i="2"/>
  <c r="E594" i="2" s="1"/>
  <c r="D595" i="2"/>
  <c r="E595" i="2" s="1"/>
  <c r="D596" i="2"/>
  <c r="E596" i="2" s="1"/>
  <c r="D597" i="2"/>
  <c r="E597" i="2" s="1"/>
  <c r="D598" i="2"/>
  <c r="E598" i="2" s="1"/>
  <c r="D599" i="2"/>
  <c r="E599" i="2" s="1"/>
  <c r="D600" i="2"/>
  <c r="E600" i="2" s="1"/>
  <c r="D601" i="2"/>
  <c r="E601" i="2" s="1"/>
  <c r="D602" i="2"/>
  <c r="E602" i="2" s="1"/>
  <c r="D603" i="2"/>
  <c r="E603" i="2" s="1"/>
  <c r="D604" i="2"/>
  <c r="E604" i="2" s="1"/>
  <c r="D605" i="2"/>
  <c r="E605" i="2" s="1"/>
  <c r="D606" i="2"/>
  <c r="E606" i="2" s="1"/>
  <c r="D607" i="2"/>
  <c r="E607" i="2" s="1"/>
  <c r="D608" i="2"/>
  <c r="E608" i="2" s="1"/>
  <c r="D609" i="2"/>
  <c r="E609" i="2" s="1"/>
  <c r="D610" i="2"/>
  <c r="E610" i="2" s="1"/>
  <c r="D611" i="2"/>
  <c r="E611" i="2" s="1"/>
  <c r="D612" i="2"/>
  <c r="E612" i="2" s="1"/>
  <c r="D613" i="2"/>
  <c r="E613" i="2" s="1"/>
  <c r="D614" i="2"/>
  <c r="E614" i="2" s="1"/>
  <c r="D615" i="2"/>
  <c r="E615" i="2" s="1"/>
  <c r="D616" i="2"/>
  <c r="E616" i="2" s="1"/>
  <c r="D617" i="2"/>
  <c r="E617" i="2" s="1"/>
  <c r="D618" i="2"/>
  <c r="E618" i="2" s="1"/>
  <c r="D619" i="2"/>
  <c r="E619" i="2" s="1"/>
  <c r="D620" i="2"/>
  <c r="E620" i="2" s="1"/>
  <c r="D621" i="2"/>
  <c r="E621" i="2" s="1"/>
  <c r="D622" i="2"/>
  <c r="E622" i="2" s="1"/>
  <c r="D623" i="2"/>
  <c r="E623" i="2" s="1"/>
  <c r="D624" i="2"/>
  <c r="E624" i="2" s="1"/>
  <c r="D625" i="2"/>
  <c r="E625" i="2" s="1"/>
  <c r="D626" i="2"/>
  <c r="E626" i="2" s="1"/>
  <c r="D627" i="2"/>
  <c r="E627" i="2" s="1"/>
  <c r="D628" i="2"/>
  <c r="E628" i="2" s="1"/>
  <c r="D629" i="2"/>
  <c r="E629" i="2" s="1"/>
  <c r="D630" i="2"/>
  <c r="E630" i="2" s="1"/>
  <c r="D631" i="2"/>
  <c r="E631" i="2" s="1"/>
  <c r="D632" i="2"/>
  <c r="E632" i="2" s="1"/>
  <c r="D633" i="2"/>
  <c r="E633" i="2" s="1"/>
  <c r="D634" i="2"/>
  <c r="E634" i="2" s="1"/>
  <c r="D635" i="2"/>
  <c r="E635" i="2" s="1"/>
  <c r="D636" i="2"/>
  <c r="E636" i="2" s="1"/>
  <c r="D637" i="2"/>
  <c r="E637" i="2" s="1"/>
  <c r="D638" i="2"/>
  <c r="E638" i="2" s="1"/>
  <c r="D639" i="2"/>
  <c r="E639" i="2" s="1"/>
  <c r="D640" i="2"/>
  <c r="E640" i="2" s="1"/>
  <c r="D641" i="2"/>
  <c r="E641" i="2" s="1"/>
  <c r="D642" i="2"/>
  <c r="E642" i="2" s="1"/>
  <c r="D643" i="2"/>
  <c r="E643" i="2" s="1"/>
  <c r="D644" i="2"/>
  <c r="E644" i="2" s="1"/>
  <c r="D645" i="2"/>
  <c r="E645" i="2" s="1"/>
  <c r="D646" i="2"/>
  <c r="E646" i="2" s="1"/>
  <c r="D647" i="2"/>
  <c r="E647" i="2" s="1"/>
  <c r="D648" i="2"/>
  <c r="E648" i="2" s="1"/>
  <c r="D649" i="2"/>
  <c r="E649" i="2" s="1"/>
  <c r="D650" i="2"/>
  <c r="E650" i="2" s="1"/>
  <c r="D651" i="2"/>
  <c r="E651" i="2" s="1"/>
  <c r="D652" i="2"/>
  <c r="E652" i="2" s="1"/>
  <c r="D653" i="2"/>
  <c r="E653" i="2" s="1"/>
  <c r="D654" i="2"/>
  <c r="E654" i="2" s="1"/>
  <c r="D655" i="2"/>
  <c r="E655" i="2" s="1"/>
  <c r="D656" i="2"/>
  <c r="E656" i="2" s="1"/>
  <c r="D657" i="2"/>
  <c r="E657" i="2" s="1"/>
  <c r="D658" i="2"/>
  <c r="E658" i="2" s="1"/>
  <c r="D659" i="2"/>
  <c r="E659" i="2" s="1"/>
  <c r="D660" i="2"/>
  <c r="E660" i="2" s="1"/>
  <c r="D661" i="2"/>
  <c r="E661" i="2" s="1"/>
  <c r="D662" i="2"/>
  <c r="E662" i="2" s="1"/>
  <c r="D663" i="2"/>
  <c r="E663" i="2" s="1"/>
  <c r="D664" i="2"/>
  <c r="E664" i="2" s="1"/>
  <c r="D665" i="2"/>
  <c r="E665" i="2" s="1"/>
  <c r="D666" i="2"/>
  <c r="E666" i="2" s="1"/>
  <c r="D667" i="2"/>
  <c r="E667" i="2" s="1"/>
  <c r="D668" i="2"/>
  <c r="E668" i="2" s="1"/>
  <c r="D669" i="2"/>
  <c r="E669" i="2" s="1"/>
  <c r="D670" i="2"/>
  <c r="E670" i="2" s="1"/>
  <c r="D671" i="2"/>
  <c r="E671" i="2" s="1"/>
  <c r="D672" i="2"/>
  <c r="E672" i="2" s="1"/>
  <c r="D673" i="2"/>
  <c r="E673" i="2" s="1"/>
  <c r="D674" i="2"/>
  <c r="E674" i="2" s="1"/>
  <c r="D675" i="2"/>
  <c r="E675" i="2" s="1"/>
  <c r="D676" i="2"/>
  <c r="E676" i="2" s="1"/>
  <c r="D677" i="2"/>
  <c r="E677" i="2" s="1"/>
  <c r="D678" i="2"/>
  <c r="E678" i="2" s="1"/>
  <c r="D679" i="2"/>
  <c r="E679" i="2" s="1"/>
  <c r="D680" i="2"/>
  <c r="E680" i="2" s="1"/>
  <c r="D681" i="2"/>
  <c r="E681" i="2" s="1"/>
  <c r="D682" i="2"/>
  <c r="E682" i="2" s="1"/>
  <c r="D683" i="2"/>
  <c r="E683" i="2" s="1"/>
  <c r="D684" i="2"/>
  <c r="E684" i="2" s="1"/>
  <c r="D685" i="2"/>
  <c r="E685" i="2" s="1"/>
  <c r="D686" i="2"/>
  <c r="E686" i="2" s="1"/>
  <c r="D687" i="2"/>
  <c r="E687" i="2" s="1"/>
  <c r="D688" i="2"/>
  <c r="E688" i="2" s="1"/>
  <c r="D689" i="2"/>
  <c r="E689" i="2" s="1"/>
  <c r="D690" i="2"/>
  <c r="E690" i="2" s="1"/>
  <c r="D691" i="2"/>
  <c r="E691" i="2" s="1"/>
  <c r="D692" i="2"/>
  <c r="E692" i="2" s="1"/>
  <c r="D693" i="2"/>
  <c r="E693" i="2" s="1"/>
  <c r="D694" i="2"/>
  <c r="E694" i="2" s="1"/>
  <c r="D696" i="2"/>
  <c r="E696" i="2" s="1"/>
  <c r="D697" i="2"/>
  <c r="E697" i="2" s="1"/>
  <c r="D698" i="2"/>
  <c r="E698" i="2" s="1"/>
  <c r="D699" i="2"/>
  <c r="E699" i="2" s="1"/>
  <c r="D700" i="2"/>
  <c r="E700" i="2" s="1"/>
  <c r="D701" i="2"/>
  <c r="E701" i="2" s="1"/>
  <c r="D702" i="2"/>
  <c r="E702" i="2" s="1"/>
  <c r="D703" i="2"/>
  <c r="E703" i="2" s="1"/>
  <c r="D704" i="2"/>
  <c r="E704" i="2" s="1"/>
  <c r="D705" i="2"/>
  <c r="E705" i="2" s="1"/>
  <c r="D706" i="2"/>
  <c r="E706" i="2" s="1"/>
  <c r="D707" i="2"/>
  <c r="E707" i="2" s="1"/>
  <c r="D708" i="2"/>
  <c r="E708" i="2" s="1"/>
  <c r="D709" i="2"/>
  <c r="E709" i="2" s="1"/>
  <c r="D710" i="2"/>
  <c r="E710" i="2" s="1"/>
  <c r="D711" i="2"/>
  <c r="E711" i="2" s="1"/>
  <c r="D712" i="2"/>
  <c r="E712" i="2" s="1"/>
  <c r="D713" i="2"/>
  <c r="E713" i="2" s="1"/>
  <c r="D714" i="2"/>
  <c r="E714" i="2" s="1"/>
  <c r="D715" i="2"/>
  <c r="E715" i="2" s="1"/>
  <c r="D716" i="2"/>
  <c r="E716" i="2" s="1"/>
  <c r="D717" i="2"/>
  <c r="E717" i="2" s="1"/>
  <c r="D43" i="2"/>
  <c r="E43" i="2" s="1"/>
  <c r="D44" i="2"/>
  <c r="E44" i="2" s="1"/>
  <c r="D45" i="2"/>
  <c r="E45" i="2" s="1"/>
  <c r="D46" i="2"/>
  <c r="E46" i="2" s="1"/>
  <c r="D47" i="2"/>
  <c r="E47" i="2" s="1"/>
  <c r="D48" i="2"/>
  <c r="E48" i="2" s="1"/>
  <c r="D49" i="2"/>
  <c r="E49" i="2" s="1"/>
  <c r="D50" i="2"/>
  <c r="E50" i="2" s="1"/>
  <c r="D51" i="2"/>
  <c r="E51" i="2" s="1"/>
  <c r="D52" i="2"/>
  <c r="E52" i="2" s="1"/>
  <c r="D53" i="2"/>
  <c r="E53" i="2" s="1"/>
  <c r="D54" i="2"/>
  <c r="E54" i="2" s="1"/>
  <c r="D55" i="2"/>
  <c r="E55" i="2" s="1"/>
  <c r="D56" i="2"/>
  <c r="E56" i="2" s="1"/>
  <c r="D57" i="2"/>
  <c r="E57" i="2" s="1"/>
  <c r="D58" i="2"/>
  <c r="E58" i="2" s="1"/>
  <c r="D59" i="2"/>
  <c r="E59" i="2" s="1"/>
  <c r="D60" i="2"/>
  <c r="E60" i="2" s="1"/>
  <c r="D61" i="2"/>
  <c r="E61" i="2" s="1"/>
  <c r="D62" i="2"/>
  <c r="E62" i="2" s="1"/>
  <c r="D63" i="2"/>
  <c r="E63" i="2" s="1"/>
  <c r="D64" i="2"/>
  <c r="E64" i="2" s="1"/>
  <c r="D65" i="2"/>
  <c r="E65" i="2" s="1"/>
  <c r="D66" i="2"/>
  <c r="E66" i="2" s="1"/>
  <c r="D67" i="2"/>
  <c r="E67" i="2" s="1"/>
  <c r="D68" i="2"/>
  <c r="E68" i="2" s="1"/>
  <c r="D69" i="2"/>
  <c r="E69" i="2" s="1"/>
  <c r="D70" i="2"/>
  <c r="E70" i="2" s="1"/>
  <c r="D71" i="2"/>
  <c r="E71" i="2" s="1"/>
  <c r="D72" i="2"/>
  <c r="E72" i="2" s="1"/>
  <c r="D73" i="2"/>
  <c r="E73" i="2" s="1"/>
  <c r="D74" i="2"/>
  <c r="E74" i="2" s="1"/>
  <c r="D75" i="2"/>
  <c r="E75" i="2" s="1"/>
  <c r="D76" i="2"/>
  <c r="E76" i="2" s="1"/>
  <c r="D77" i="2"/>
  <c r="E77" i="2" s="1"/>
  <c r="D78" i="2"/>
  <c r="E78" i="2" s="1"/>
  <c r="D79" i="2"/>
  <c r="E79" i="2" s="1"/>
  <c r="D80" i="2"/>
  <c r="E80" i="2" s="1"/>
  <c r="D81" i="2"/>
  <c r="E81" i="2" s="1"/>
  <c r="D82" i="2"/>
  <c r="E82" i="2" s="1"/>
  <c r="D83" i="2"/>
  <c r="E83" i="2" s="1"/>
  <c r="D84" i="2"/>
  <c r="E84" i="2" s="1"/>
  <c r="D85" i="2"/>
  <c r="E85" i="2" s="1"/>
  <c r="D86" i="2"/>
  <c r="E86" i="2" s="1"/>
  <c r="D87" i="2"/>
  <c r="E87" i="2" s="1"/>
  <c r="D88" i="2"/>
  <c r="E88" i="2" s="1"/>
  <c r="D89" i="2"/>
  <c r="E89" i="2" s="1"/>
  <c r="D90" i="2"/>
  <c r="E90" i="2" s="1"/>
  <c r="D91" i="2"/>
  <c r="E91" i="2" s="1"/>
  <c r="D92" i="2"/>
  <c r="E92" i="2" s="1"/>
  <c r="D93" i="2"/>
  <c r="E93" i="2" s="1"/>
  <c r="D94" i="2"/>
  <c r="E94" i="2" s="1"/>
  <c r="D95" i="2"/>
  <c r="E95" i="2" s="1"/>
  <c r="D96" i="2"/>
  <c r="E96" i="2" s="1"/>
  <c r="D97" i="2"/>
  <c r="E97" i="2" s="1"/>
  <c r="D99" i="2"/>
  <c r="E99" i="2" s="1"/>
  <c r="D101" i="2"/>
  <c r="E101" i="2" s="1"/>
  <c r="D103" i="2"/>
  <c r="E103" i="2" s="1"/>
  <c r="D104" i="2"/>
  <c r="E104" i="2" s="1"/>
  <c r="D106" i="2"/>
  <c r="E106" i="2" s="1"/>
  <c r="D108" i="2"/>
  <c r="E108" i="2" s="1"/>
  <c r="D110" i="2"/>
  <c r="E110" i="2" s="1"/>
  <c r="D112" i="2"/>
  <c r="E112" i="2" s="1"/>
  <c r="D114" i="2"/>
  <c r="E114" i="2" s="1"/>
  <c r="D116" i="2"/>
  <c r="E116" i="2" s="1"/>
  <c r="D118" i="2"/>
  <c r="E118" i="2" s="1"/>
  <c r="D120" i="2"/>
  <c r="E120" i="2" s="1"/>
  <c r="D122" i="2"/>
  <c r="E122" i="2" s="1"/>
  <c r="D124" i="2"/>
  <c r="E124" i="2" s="1"/>
  <c r="D126" i="2"/>
  <c r="E126" i="2" s="1"/>
  <c r="D128" i="2"/>
  <c r="E128" i="2" s="1"/>
  <c r="D130" i="2"/>
  <c r="E130" i="2" s="1"/>
  <c r="D132" i="2"/>
  <c r="E132" i="2" s="1"/>
  <c r="D134" i="2"/>
  <c r="E134" i="2" s="1"/>
  <c r="D137" i="2"/>
  <c r="E137" i="2" s="1"/>
  <c r="D139" i="2"/>
  <c r="E139" i="2" s="1"/>
  <c r="D141" i="2"/>
  <c r="E141" i="2" s="1"/>
  <c r="D143" i="2"/>
  <c r="E143" i="2" s="1"/>
  <c r="D145" i="2"/>
  <c r="E145" i="2" s="1"/>
  <c r="D148" i="2"/>
  <c r="E148" i="2" s="1"/>
  <c r="D150" i="2"/>
  <c r="E150" i="2" s="1"/>
  <c r="D152" i="2"/>
  <c r="E152" i="2" s="1"/>
  <c r="D154" i="2"/>
  <c r="E154" i="2" s="1"/>
  <c r="D156" i="2"/>
  <c r="E156" i="2" s="1"/>
  <c r="D158" i="2"/>
  <c r="E158" i="2" s="1"/>
  <c r="D160" i="2"/>
  <c r="E160" i="2" s="1"/>
  <c r="D162" i="2"/>
  <c r="E162" i="2" s="1"/>
  <c r="D164" i="2"/>
  <c r="E164" i="2" s="1"/>
  <c r="D165" i="2"/>
  <c r="E165" i="2" s="1"/>
  <c r="D167" i="2"/>
  <c r="E167" i="2" s="1"/>
  <c r="D169" i="2"/>
  <c r="E169" i="2" s="1"/>
  <c r="D171" i="2"/>
  <c r="E171" i="2" s="1"/>
  <c r="D173" i="2"/>
  <c r="E173" i="2" s="1"/>
  <c r="D175" i="2"/>
  <c r="E175" i="2" s="1"/>
  <c r="D177" i="2"/>
  <c r="E177" i="2" s="1"/>
  <c r="D179" i="2"/>
  <c r="E179" i="2" s="1"/>
  <c r="D180" i="2"/>
  <c r="E180" i="2" s="1"/>
  <c r="D182" i="2"/>
  <c r="E182" i="2" s="1"/>
  <c r="D184" i="2"/>
  <c r="E184" i="2" s="1"/>
  <c r="D187" i="2"/>
  <c r="E187" i="2" s="1"/>
  <c r="D189" i="2"/>
  <c r="E189" i="2" s="1"/>
  <c r="D190" i="2"/>
  <c r="E190" i="2" s="1"/>
  <c r="D193" i="2"/>
  <c r="E193" i="2" s="1"/>
  <c r="D194" i="2"/>
  <c r="E194" i="2" s="1"/>
  <c r="D196" i="2"/>
  <c r="E196" i="2" s="1"/>
  <c r="D198" i="2"/>
  <c r="E198" i="2" s="1"/>
  <c r="D200" i="2"/>
  <c r="E200" i="2" s="1"/>
  <c r="D202" i="2"/>
  <c r="E202" i="2" s="1"/>
  <c r="D203" i="2"/>
  <c r="E203" i="2" s="1"/>
  <c r="D205" i="2"/>
  <c r="E205" i="2" s="1"/>
  <c r="D207" i="2"/>
  <c r="E207" i="2" s="1"/>
  <c r="D344" i="2"/>
  <c r="E344" i="2" s="1"/>
  <c r="D346" i="2"/>
  <c r="E346" i="2" s="1"/>
  <c r="D347" i="2"/>
  <c r="E347" i="2" s="1"/>
  <c r="D349" i="2"/>
  <c r="E349" i="2" s="1"/>
  <c r="D350" i="2"/>
  <c r="E350" i="2" s="1"/>
  <c r="D352" i="2"/>
  <c r="E352" i="2" s="1"/>
  <c r="D354" i="2"/>
  <c r="E354" i="2" s="1"/>
  <c r="D357" i="2"/>
  <c r="E357" i="2" s="1"/>
  <c r="D358" i="2"/>
  <c r="E358" i="2" s="1"/>
  <c r="D15" i="2"/>
  <c r="E15" i="2" s="1"/>
  <c r="D23" i="2"/>
  <c r="E23" i="2" s="1"/>
  <c r="D24" i="2"/>
  <c r="E24" i="2" s="1"/>
  <c r="D26" i="2"/>
  <c r="E26" i="2" s="1"/>
  <c r="D27" i="2"/>
  <c r="E27" i="2" s="1"/>
  <c r="D28" i="2"/>
  <c r="E28" i="2" s="1"/>
  <c r="D30" i="2"/>
  <c r="E30" i="2" s="1"/>
  <c r="D31" i="2"/>
  <c r="E31" i="2" s="1"/>
  <c r="D33" i="2"/>
  <c r="E33" i="2" s="1"/>
  <c r="D35" i="2"/>
  <c r="E35" i="2" s="1"/>
  <c r="D37" i="2"/>
  <c r="E37" i="2" s="1"/>
  <c r="D40" i="2"/>
  <c r="E40" i="2" s="1"/>
  <c r="D41" i="2"/>
  <c r="E41" i="2" s="1"/>
  <c r="D3" i="2"/>
  <c r="E3" i="2" s="1"/>
  <c r="D6" i="2"/>
  <c r="E6" i="2" s="1"/>
  <c r="D8" i="2"/>
  <c r="E8" i="2" s="1"/>
  <c r="D10" i="2"/>
  <c r="E10" i="2" s="1"/>
  <c r="D12" i="2"/>
  <c r="E12" i="2" s="1"/>
  <c r="C3" i="2"/>
  <c r="C7" i="2"/>
  <c r="C8" i="2"/>
  <c r="C10" i="2"/>
  <c r="C12" i="2"/>
  <c r="C13" i="2"/>
  <c r="C16" i="2"/>
  <c r="C17" i="2"/>
  <c r="C19" i="2"/>
  <c r="C21" i="2"/>
  <c r="C22" i="2"/>
  <c r="C24" i="2"/>
  <c r="C26" i="2"/>
  <c r="C28" i="2"/>
  <c r="C30" i="2"/>
  <c r="C31" i="2"/>
  <c r="C33" i="2"/>
  <c r="C36" i="2"/>
  <c r="C38" i="2"/>
  <c r="C40" i="2"/>
  <c r="C42" i="2"/>
  <c r="C44" i="2"/>
  <c r="C46" i="2"/>
  <c r="C47" i="2"/>
  <c r="C50" i="2"/>
  <c r="C51" i="2"/>
  <c r="C54" i="2"/>
  <c r="C56" i="2"/>
  <c r="C57" i="2"/>
  <c r="C59" i="2"/>
  <c r="C61" i="2"/>
  <c r="C63" i="2"/>
  <c r="C65" i="2"/>
  <c r="C67" i="2"/>
  <c r="C69" i="2"/>
  <c r="C71" i="2"/>
  <c r="C72" i="2"/>
  <c r="C74" i="2"/>
  <c r="C76" i="2"/>
  <c r="C78" i="2"/>
  <c r="C80" i="2"/>
  <c r="C82" i="2"/>
  <c r="C84" i="2"/>
  <c r="C86" i="2"/>
  <c r="C88" i="2"/>
  <c r="C91" i="2"/>
  <c r="C175" i="2"/>
  <c r="C178" i="2"/>
  <c r="C180" i="2"/>
  <c r="C182" i="2"/>
  <c r="C184" i="2"/>
  <c r="C186" i="2"/>
  <c r="C188" i="2"/>
  <c r="C190" i="2"/>
  <c r="C191" i="2"/>
  <c r="C194" i="2"/>
  <c r="C196" i="2"/>
  <c r="C198" i="2"/>
  <c r="C200" i="2"/>
  <c r="C202" i="2"/>
  <c r="C204" i="2"/>
  <c r="C206" i="2"/>
  <c r="C208" i="2"/>
  <c r="C210" i="2"/>
  <c r="C212" i="2"/>
  <c r="C214" i="2"/>
  <c r="C216" i="2"/>
  <c r="C218" i="2"/>
  <c r="C221" i="2"/>
  <c r="C224" i="2"/>
  <c r="C226" i="2"/>
  <c r="C228" i="2"/>
  <c r="C230" i="2"/>
  <c r="C232" i="2"/>
  <c r="C234" i="2"/>
  <c r="C235" i="2"/>
  <c r="C237" i="2"/>
  <c r="C239" i="2"/>
  <c r="C241" i="2"/>
  <c r="C243" i="2"/>
  <c r="C245" i="2"/>
  <c r="C247" i="2"/>
  <c r="C249" i="2"/>
  <c r="C251" i="2"/>
  <c r="C253" i="2"/>
  <c r="C256" i="2"/>
  <c r="C258" i="2"/>
  <c r="C260" i="2"/>
  <c r="C262" i="2"/>
  <c r="C264" i="2"/>
  <c r="C266" i="2"/>
  <c r="C268" i="2"/>
  <c r="C270" i="2"/>
  <c r="C272" i="2"/>
  <c r="C274" i="2"/>
  <c r="C276" i="2"/>
  <c r="C278" i="2"/>
  <c r="C280" i="2"/>
  <c r="C282" i="2"/>
  <c r="C284" i="2"/>
  <c r="C286" i="2"/>
  <c r="C287" i="2"/>
  <c r="C289" i="2"/>
  <c r="C291" i="2"/>
  <c r="C293" i="2"/>
  <c r="C294" i="2"/>
  <c r="C297" i="2"/>
  <c r="C299" i="2"/>
  <c r="C301" i="2"/>
  <c r="C303" i="2"/>
  <c r="C304" i="2"/>
  <c r="C306" i="2"/>
  <c r="C308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6" i="2"/>
  <c r="C368" i="2"/>
  <c r="C370" i="2"/>
  <c r="C372" i="2"/>
  <c r="C374" i="2"/>
  <c r="C376" i="2"/>
  <c r="C377" i="2"/>
  <c r="C379" i="2"/>
  <c r="C382" i="2"/>
  <c r="C384" i="2"/>
  <c r="C386" i="2"/>
  <c r="C388" i="2"/>
  <c r="C390" i="2"/>
  <c r="C392" i="2"/>
  <c r="C394" i="2"/>
  <c r="C396" i="2"/>
  <c r="C398" i="2"/>
  <c r="C399" i="2"/>
  <c r="C401" i="2"/>
  <c r="C403" i="2"/>
  <c r="C405" i="2"/>
  <c r="C408" i="2"/>
  <c r="C409" i="2"/>
  <c r="C412" i="2"/>
  <c r="C414" i="2"/>
  <c r="C416" i="2"/>
  <c r="C418" i="2"/>
  <c r="C422" i="2"/>
  <c r="C423" i="2"/>
  <c r="C426" i="2"/>
  <c r="C428" i="2"/>
  <c r="C430" i="2"/>
  <c r="C432" i="2"/>
  <c r="C434" i="2"/>
  <c r="C436" i="2"/>
  <c r="C439" i="2"/>
  <c r="C442" i="2"/>
  <c r="C443" i="2"/>
  <c r="D419" i="2"/>
  <c r="E419" i="2" s="1"/>
  <c r="C420" i="2"/>
  <c r="C438" i="2"/>
  <c r="C441" i="2"/>
  <c r="D695" i="2"/>
  <c r="E695" i="2" s="1"/>
  <c r="D220" i="2"/>
  <c r="E220" i="2" s="1"/>
  <c r="D221" i="2"/>
  <c r="E221" i="2" s="1"/>
  <c r="D222" i="2"/>
  <c r="E222" i="2" s="1"/>
  <c r="D223" i="2"/>
  <c r="E223" i="2" s="1"/>
  <c r="D296" i="2"/>
  <c r="E296" i="2" s="1"/>
  <c r="C169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698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K2016" i="8" l="1"/>
  <c r="K2101" i="8"/>
  <c r="K2062" i="8"/>
  <c r="K2050" i="8"/>
  <c r="K2030" i="8"/>
  <c r="K2019" i="8"/>
  <c r="K2479" i="8"/>
  <c r="K1973" i="8"/>
  <c r="K1959" i="8"/>
  <c r="K1917" i="8"/>
  <c r="K1888" i="8"/>
  <c r="K1859" i="8"/>
  <c r="K1846" i="8"/>
  <c r="K1826" i="8"/>
  <c r="K1805" i="8"/>
  <c r="K1770" i="8"/>
  <c r="K1751" i="8"/>
  <c r="K1728" i="8"/>
  <c r="K1698" i="8"/>
  <c r="K1690" i="8"/>
  <c r="K1676" i="8"/>
  <c r="K1620" i="8"/>
  <c r="K1542" i="8"/>
  <c r="K1517" i="8"/>
  <c r="K1484" i="8"/>
  <c r="K1479" i="8"/>
  <c r="K1454" i="8"/>
  <c r="K1412" i="8"/>
  <c r="K1407" i="8"/>
  <c r="K1394" i="8"/>
  <c r="K1385" i="8"/>
  <c r="K2352" i="8"/>
  <c r="K2330" i="8"/>
  <c r="K2318" i="8"/>
  <c r="K2303" i="8"/>
  <c r="K2205" i="8"/>
  <c r="K2138" i="8"/>
  <c r="K2137" i="8"/>
  <c r="K2118" i="8"/>
  <c r="K2738" i="8"/>
  <c r="K2728" i="8"/>
  <c r="K2727" i="8"/>
  <c r="K2704" i="8"/>
  <c r="K2702" i="8"/>
  <c r="K2682" i="8"/>
  <c r="K2676" i="8"/>
  <c r="K2673" i="8"/>
  <c r="K2667" i="8"/>
  <c r="K2638" i="8"/>
  <c r="K2613" i="8"/>
  <c r="K2572" i="8"/>
  <c r="K2567" i="8"/>
  <c r="K2531" i="8"/>
  <c r="K2517" i="8"/>
  <c r="K2513" i="8"/>
  <c r="K2512" i="8"/>
  <c r="K2509" i="8"/>
  <c r="K2485" i="8"/>
  <c r="K2470" i="8"/>
  <c r="K2465" i="8"/>
  <c r="K2454" i="8"/>
  <c r="K2440" i="8"/>
  <c r="K2371" i="8"/>
  <c r="K2337" i="8"/>
  <c r="K2334" i="8"/>
  <c r="K2328" i="8"/>
  <c r="K2306" i="8"/>
  <c r="K2262" i="8"/>
  <c r="K2154" i="8"/>
  <c r="K2122" i="8"/>
  <c r="K2114" i="8"/>
  <c r="K2072" i="8"/>
  <c r="K2060" i="8"/>
  <c r="K2038" i="8"/>
  <c r="K2025" i="8"/>
  <c r="K1987" i="8"/>
  <c r="K1944" i="8"/>
  <c r="K1925" i="8"/>
  <c r="K1880" i="8"/>
  <c r="K1848" i="8"/>
  <c r="K1830" i="8"/>
  <c r="K1812" i="8"/>
  <c r="K1795" i="8"/>
  <c r="K1769" i="8"/>
  <c r="K1737" i="8"/>
  <c r="K1710" i="8"/>
  <c r="K1696" i="8"/>
  <c r="K1678" i="8"/>
  <c r="K1635" i="8"/>
  <c r="K1582" i="8"/>
  <c r="K1535" i="8"/>
  <c r="K1516" i="8"/>
  <c r="K1481" i="8"/>
  <c r="K1472" i="8"/>
  <c r="K1421" i="8"/>
  <c r="K1419" i="8"/>
  <c r="K1402" i="8"/>
  <c r="K1388" i="8"/>
  <c r="K1358" i="8"/>
  <c r="K733" i="8"/>
  <c r="K708" i="8"/>
  <c r="K660" i="8"/>
  <c r="K994" i="8"/>
  <c r="K908" i="8"/>
  <c r="K430" i="8"/>
  <c r="K414" i="8"/>
  <c r="K413" i="8"/>
  <c r="K396" i="8"/>
  <c r="K355" i="8"/>
  <c r="K347" i="8"/>
  <c r="K328" i="8"/>
  <c r="K324" i="8"/>
  <c r="K322" i="8"/>
  <c r="K141" i="8"/>
  <c r="K309" i="8"/>
  <c r="K307" i="8"/>
  <c r="K1344" i="8"/>
  <c r="K252" i="8"/>
  <c r="K250" i="8"/>
  <c r="K239" i="8"/>
  <c r="K214" i="8"/>
  <c r="K161" i="8"/>
  <c r="K120" i="8"/>
  <c r="K71" i="8"/>
  <c r="K1340" i="8"/>
  <c r="K291" i="8"/>
  <c r="K962" i="8"/>
  <c r="K914" i="8"/>
  <c r="K909" i="8"/>
  <c r="K251" i="8"/>
  <c r="K249" i="8"/>
  <c r="K221" i="8"/>
  <c r="K171" i="8"/>
  <c r="K145" i="8"/>
  <c r="K102" i="8"/>
  <c r="K24" i="8"/>
  <c r="K1328" i="8"/>
  <c r="K648" i="8"/>
  <c r="K610" i="8"/>
  <c r="K567" i="8"/>
  <c r="K497" i="8"/>
  <c r="K485" i="8"/>
  <c r="K442" i="8"/>
  <c r="K432" i="8"/>
  <c r="K1055" i="8"/>
  <c r="K937" i="8"/>
  <c r="K162" i="8"/>
  <c r="K1012" i="8"/>
  <c r="K101" i="8"/>
  <c r="K19" i="8"/>
  <c r="K904" i="8"/>
  <c r="K878" i="8"/>
  <c r="K868" i="8"/>
  <c r="K843" i="8"/>
  <c r="K805" i="8"/>
  <c r="K1304" i="8"/>
  <c r="K1303" i="8"/>
  <c r="K1296" i="8"/>
  <c r="K1263" i="8"/>
  <c r="K1252" i="8"/>
  <c r="K1247" i="8"/>
  <c r="K1239" i="8"/>
  <c r="K1210" i="8"/>
  <c r="K1209" i="8"/>
  <c r="K1120" i="8"/>
  <c r="K1119" i="8"/>
  <c r="K1082" i="8"/>
  <c r="K1069" i="8"/>
  <c r="K951" i="8"/>
  <c r="K828" i="8"/>
  <c r="K827" i="8"/>
  <c r="K784" i="8"/>
  <c r="K721" i="8"/>
  <c r="K674" i="8"/>
  <c r="K667" i="8"/>
  <c r="K655" i="8"/>
  <c r="K654" i="8"/>
  <c r="K628" i="8"/>
  <c r="K623" i="8"/>
  <c r="K577" i="8"/>
  <c r="K547" i="8"/>
  <c r="K496" i="8"/>
  <c r="K476" i="8"/>
  <c r="K2712" i="8"/>
  <c r="K2691" i="8"/>
  <c r="K2677" i="8"/>
  <c r="K2663" i="8"/>
  <c r="K2620" i="8"/>
  <c r="K2614" i="8"/>
  <c r="K2600" i="8"/>
  <c r="K2576" i="8"/>
  <c r="K2565" i="8"/>
  <c r="K2543" i="8"/>
  <c r="K2526" i="8"/>
  <c r="K2521" i="8"/>
  <c r="K2519" i="8"/>
  <c r="K2503" i="8"/>
  <c r="K2484" i="8"/>
  <c r="K2439" i="8"/>
  <c r="K2434" i="8"/>
  <c r="K2410" i="8"/>
  <c r="K2408" i="8"/>
  <c r="K2391" i="8"/>
  <c r="K2386" i="8"/>
  <c r="K2384" i="8"/>
  <c r="K2378" i="8"/>
  <c r="K2362" i="8"/>
  <c r="K2331" i="8"/>
  <c r="K2308" i="8"/>
  <c r="K2284" i="8"/>
  <c r="K2273" i="8"/>
  <c r="K2255" i="8"/>
  <c r="K2237" i="8"/>
  <c r="K2230" i="8"/>
  <c r="K2225" i="8"/>
  <c r="K2224" i="8"/>
  <c r="K2217" i="8"/>
  <c r="K2204" i="8"/>
  <c r="K2197" i="8"/>
  <c r="K2186" i="8"/>
  <c r="K2169" i="8"/>
  <c r="K2166" i="8"/>
  <c r="K2107" i="8"/>
  <c r="K2065" i="8"/>
  <c r="K2061" i="8"/>
  <c r="K2057" i="8"/>
  <c r="K2053" i="8"/>
  <c r="K2032" i="8"/>
  <c r="K2027" i="8"/>
  <c r="K2024" i="8"/>
  <c r="K2007" i="8"/>
  <c r="K1999" i="8"/>
  <c r="K1991" i="8"/>
  <c r="K1978" i="8"/>
  <c r="K1942" i="8"/>
  <c r="K1929" i="8"/>
  <c r="K1911" i="8"/>
  <c r="K1908" i="8"/>
  <c r="K1843" i="8"/>
  <c r="K1839" i="8"/>
  <c r="K1838" i="8"/>
  <c r="K1835" i="8"/>
  <c r="K1833" i="8"/>
  <c r="K1823" i="8"/>
  <c r="K1813" i="8"/>
  <c r="K1794" i="8"/>
  <c r="K1767" i="8"/>
  <c r="K1761" i="8"/>
  <c r="K1738" i="8"/>
  <c r="K1717" i="8"/>
  <c r="K1715" i="8"/>
  <c r="K1663" i="8"/>
  <c r="K1661" i="8"/>
  <c r="K1654" i="8"/>
  <c r="K1638" i="8"/>
  <c r="K1636" i="8"/>
  <c r="K1631" i="8"/>
  <c r="K1595" i="8"/>
  <c r="K1577" i="8"/>
  <c r="K1552" i="8"/>
  <c r="K1544" i="8"/>
  <c r="K1505" i="8"/>
  <c r="K1483" i="8"/>
  <c r="K1467" i="8"/>
  <c r="K1463" i="8"/>
  <c r="K1437" i="8"/>
  <c r="K1432" i="8"/>
  <c r="K1431" i="8"/>
  <c r="K1422" i="8"/>
  <c r="K1373" i="8"/>
  <c r="K1376" i="8"/>
  <c r="K1199" i="8"/>
  <c r="K1198" i="8"/>
  <c r="K1191" i="8"/>
  <c r="K1188" i="8"/>
  <c r="K1166" i="8"/>
  <c r="K1146" i="8"/>
  <c r="K1115" i="8"/>
  <c r="K1079" i="8"/>
  <c r="K1037" i="8"/>
  <c r="K972" i="8"/>
  <c r="K887" i="8"/>
  <c r="K858" i="8"/>
  <c r="K727" i="8"/>
  <c r="K644" i="8"/>
  <c r="K583" i="8"/>
  <c r="K524" i="8"/>
  <c r="K429" i="8"/>
  <c r="K363" i="8"/>
  <c r="K237" i="8"/>
  <c r="K139" i="8"/>
  <c r="K1305" i="8"/>
  <c r="K1070" i="8"/>
  <c r="K967" i="8"/>
  <c r="K876" i="8"/>
  <c r="K813" i="8"/>
  <c r="K772" i="8"/>
  <c r="K700" i="8"/>
  <c r="K596" i="8"/>
  <c r="K533" i="8"/>
  <c r="K516" i="8"/>
  <c r="K395" i="8"/>
  <c r="K247" i="8"/>
  <c r="K175" i="8"/>
  <c r="K134" i="8"/>
  <c r="K20" i="8"/>
  <c r="K1256" i="8"/>
  <c r="K1158" i="8"/>
  <c r="K1051" i="8"/>
  <c r="K973" i="8"/>
  <c r="K921" i="8"/>
  <c r="K846" i="8"/>
  <c r="K793" i="8"/>
  <c r="K725" i="8"/>
  <c r="K698" i="8"/>
  <c r="K568" i="8"/>
  <c r="K477" i="8"/>
  <c r="K348" i="8"/>
  <c r="K206" i="8"/>
  <c r="K153" i="8"/>
  <c r="K111" i="8"/>
  <c r="K10" i="8"/>
  <c r="K1354" i="8"/>
  <c r="K939" i="8"/>
  <c r="K870" i="8"/>
  <c r="K807" i="8"/>
  <c r="K711" i="8"/>
  <c r="K642" i="8"/>
  <c r="K593" i="8"/>
  <c r="K535" i="8"/>
  <c r="K519" i="8"/>
  <c r="K444" i="8"/>
  <c r="K366" i="8"/>
  <c r="K289" i="8"/>
  <c r="K196" i="8"/>
  <c r="K135" i="8"/>
  <c r="K77" i="8"/>
  <c r="K1310" i="8"/>
  <c r="K1106" i="8"/>
  <c r="K992" i="8"/>
  <c r="K928" i="8"/>
  <c r="K850" i="8"/>
  <c r="K778" i="8"/>
  <c r="K709" i="8"/>
  <c r="K616" i="8"/>
  <c r="K542" i="8"/>
  <c r="K458" i="8"/>
  <c r="K424" i="8"/>
  <c r="K315" i="8"/>
  <c r="K185" i="8"/>
  <c r="K131" i="8"/>
  <c r="K9" i="8"/>
  <c r="K1317" i="8"/>
  <c r="K989" i="8"/>
  <c r="K917" i="8"/>
  <c r="K866" i="8"/>
  <c r="K799" i="8"/>
  <c r="K722" i="8"/>
  <c r="K569" i="8"/>
  <c r="K520" i="8"/>
  <c r="K447" i="8"/>
  <c r="K370" i="8"/>
  <c r="K308" i="8"/>
  <c r="K194" i="8"/>
  <c r="K147" i="8"/>
  <c r="K118" i="8"/>
  <c r="K41" i="8"/>
  <c r="K2281" i="8"/>
  <c r="K1424" i="8"/>
  <c r="K1406" i="8"/>
  <c r="K2161" i="8"/>
  <c r="K2085" i="8"/>
  <c r="K2701" i="8"/>
  <c r="K2612" i="8"/>
  <c r="K2508" i="8"/>
  <c r="K2420" i="8"/>
  <c r="K2327" i="8"/>
  <c r="K2726" i="8"/>
  <c r="K2685" i="8"/>
  <c r="K2555" i="8"/>
  <c r="K2445" i="8"/>
  <c r="K2403" i="8"/>
  <c r="K2316" i="8"/>
  <c r="K2192" i="8"/>
  <c r="K2136" i="8"/>
  <c r="K2011" i="8"/>
  <c r="K1992" i="8"/>
  <c r="K1949" i="8"/>
  <c r="K1922" i="8"/>
  <c r="K1872" i="8"/>
  <c r="K1788" i="8"/>
  <c r="K1750" i="8"/>
  <c r="K1741" i="8"/>
  <c r="K1702" i="8"/>
  <c r="K1613" i="8"/>
  <c r="K1581" i="8"/>
  <c r="K1569" i="8"/>
  <c r="K1528" i="8"/>
  <c r="K2695" i="8"/>
  <c r="K2466" i="8"/>
  <c r="K2382" i="8"/>
  <c r="K2296" i="8"/>
  <c r="K2179" i="8"/>
  <c r="K2164" i="8"/>
  <c r="K2063" i="8"/>
  <c r="K2005" i="8"/>
  <c r="K1970" i="8"/>
  <c r="K1933" i="8"/>
  <c r="K1864" i="8"/>
  <c r="K1763" i="8"/>
  <c r="K1733" i="8"/>
  <c r="K1689" i="8"/>
  <c r="K1585" i="8"/>
  <c r="K1570" i="8"/>
  <c r="K1553" i="8"/>
  <c r="K1482" i="8"/>
  <c r="K1439" i="8"/>
  <c r="K1401" i="8"/>
  <c r="K2724" i="8"/>
  <c r="K2581" i="8"/>
  <c r="K2433" i="8"/>
  <c r="K2369" i="8"/>
  <c r="K2288" i="8"/>
  <c r="K2070" i="8"/>
  <c r="K2008" i="8"/>
  <c r="K1979" i="8"/>
  <c r="K1934" i="8"/>
  <c r="K1904" i="8"/>
  <c r="K1749" i="8"/>
  <c r="K1725" i="8"/>
  <c r="K1634" i="8"/>
  <c r="K1566" i="8"/>
  <c r="K1514" i="8"/>
  <c r="K1441" i="8"/>
  <c r="K2723" i="8"/>
  <c r="K2688" i="8"/>
  <c r="K2578" i="8"/>
  <c r="K2435" i="8"/>
  <c r="K2361" i="8"/>
  <c r="K2246" i="8"/>
  <c r="K2150" i="8"/>
  <c r="K2052" i="8"/>
  <c r="K1984" i="8"/>
  <c r="K1967" i="8"/>
  <c r="K1913" i="8"/>
  <c r="K1845" i="8"/>
  <c r="K1775" i="8"/>
  <c r="K1744" i="8"/>
  <c r="K1719" i="8"/>
  <c r="K1640" i="8"/>
  <c r="K1584" i="8"/>
  <c r="K1559" i="8"/>
  <c r="K1545" i="8"/>
  <c r="K1461" i="8"/>
  <c r="K140" i="8"/>
  <c r="K63" i="8"/>
  <c r="K1073" i="8"/>
  <c r="K1349" i="8"/>
  <c r="K1311" i="8"/>
  <c r="K1307" i="8"/>
  <c r="K1279" i="8"/>
  <c r="K1276" i="8"/>
  <c r="K1267" i="8"/>
  <c r="K1259" i="8"/>
  <c r="K1254" i="8"/>
  <c r="K1249" i="8"/>
  <c r="K1246" i="8"/>
  <c r="K1238" i="8"/>
  <c r="K1219" i="8"/>
  <c r="K1211" i="8"/>
  <c r="K1168" i="8"/>
  <c r="K1164" i="8"/>
  <c r="K1160" i="8"/>
  <c r="K1154" i="8"/>
  <c r="K1143" i="8"/>
  <c r="K1124" i="8"/>
  <c r="K1117" i="8"/>
  <c r="K1107" i="8"/>
  <c r="K22" i="8"/>
  <c r="K460" i="8"/>
  <c r="K1100" i="8"/>
  <c r="K1064" i="8"/>
  <c r="K1060" i="8"/>
  <c r="K1047" i="8"/>
  <c r="K1033" i="8"/>
  <c r="K1018" i="8"/>
  <c r="K997" i="8"/>
  <c r="K995" i="8"/>
  <c r="K990" i="8"/>
  <c r="K958" i="8"/>
  <c r="K952" i="8"/>
  <c r="K942" i="8"/>
  <c r="K923" i="8"/>
  <c r="K910" i="8"/>
  <c r="K865" i="8"/>
  <c r="K861" i="8"/>
  <c r="K845" i="8"/>
  <c r="K835" i="8"/>
  <c r="K833" i="8"/>
  <c r="K831" i="8"/>
  <c r="K369" i="8"/>
  <c r="K802" i="8"/>
  <c r="K768" i="8"/>
  <c r="K761" i="8"/>
  <c r="K743" i="8"/>
  <c r="K734" i="8"/>
  <c r="K719" i="8"/>
  <c r="K713" i="8"/>
  <c r="K699" i="8"/>
  <c r="K695" i="8"/>
  <c r="K694" i="8"/>
  <c r="K678" i="8"/>
  <c r="K656" i="8"/>
  <c r="K643" i="8"/>
  <c r="K633" i="8"/>
  <c r="K626" i="8"/>
  <c r="K624" i="8"/>
  <c r="K658" i="8"/>
  <c r="K316" i="8"/>
  <c r="K234" i="8"/>
  <c r="K201" i="8"/>
  <c r="K155" i="8"/>
  <c r="K142" i="8"/>
  <c r="K419" i="8"/>
  <c r="K17" i="8"/>
  <c r="K605" i="8"/>
  <c r="K592" i="8"/>
  <c r="K589" i="8"/>
  <c r="K553" i="8"/>
  <c r="K518" i="8"/>
  <c r="K502" i="8"/>
  <c r="K480" i="8"/>
  <c r="K464" i="8"/>
  <c r="K454" i="8"/>
  <c r="K356" i="8"/>
  <c r="K345" i="8"/>
  <c r="K321" i="8"/>
  <c r="K300" i="8"/>
  <c r="K213" i="8"/>
  <c r="K156" i="8"/>
  <c r="K152" i="8"/>
  <c r="K116" i="8"/>
  <c r="K58" i="8"/>
  <c r="K18" i="8"/>
  <c r="K625" i="8"/>
  <c r="K91" i="8"/>
  <c r="K2736" i="8"/>
  <c r="K2735" i="8"/>
  <c r="K2732" i="8"/>
  <c r="K2729" i="8"/>
  <c r="K2720" i="8"/>
  <c r="K2711" i="8"/>
  <c r="K2683" i="8"/>
  <c r="K2649" i="8"/>
  <c r="K2640" i="8"/>
  <c r="K2636" i="8"/>
  <c r="K2587" i="8"/>
  <c r="K2579" i="8"/>
  <c r="K2568" i="8"/>
  <c r="K2559" i="8"/>
  <c r="K2483" i="8"/>
  <c r="K2468" i="8"/>
  <c r="K2453" i="8"/>
  <c r="K2450" i="8"/>
  <c r="K2421" i="8"/>
  <c r="K2395" i="8"/>
  <c r="K2393" i="8"/>
  <c r="K2353" i="8"/>
  <c r="K2325" i="8"/>
  <c r="K2266" i="8"/>
  <c r="K2226" i="8"/>
  <c r="K2223" i="8"/>
  <c r="K2194" i="8"/>
  <c r="K2180" i="8"/>
  <c r="K2171" i="8"/>
  <c r="K2168" i="8"/>
  <c r="K2165" i="8"/>
  <c r="K2143" i="8"/>
  <c r="K2130" i="8"/>
  <c r="K2127" i="8"/>
  <c r="K2126" i="8"/>
  <c r="K2119" i="8"/>
  <c r="K2089" i="8"/>
  <c r="K2059" i="8"/>
  <c r="K2045" i="8"/>
  <c r="K2006" i="8"/>
  <c r="K2000" i="8"/>
  <c r="K1995" i="8"/>
  <c r="K1994" i="8"/>
  <c r="K1980" i="8"/>
  <c r="K1930" i="8"/>
  <c r="K1905" i="8"/>
  <c r="K1896" i="8"/>
  <c r="K1841" i="8"/>
  <c r="K1825" i="8"/>
  <c r="K1810" i="8"/>
  <c r="K1789" i="8"/>
  <c r="K1753" i="8"/>
  <c r="K1701" i="8"/>
  <c r="K1600" i="8"/>
  <c r="K1531" i="8"/>
  <c r="K1456" i="8"/>
  <c r="K1391" i="8"/>
  <c r="K1429" i="8"/>
  <c r="K1386" i="8"/>
  <c r="K1673" i="8"/>
  <c r="K1885" i="8"/>
  <c r="K2092" i="8"/>
  <c r="K1757" i="8"/>
  <c r="K1716" i="8"/>
  <c r="K1587" i="8"/>
  <c r="K1522" i="8"/>
  <c r="K1445" i="8"/>
  <c r="K1417" i="8"/>
  <c r="K2034" i="8"/>
  <c r="K1726" i="8"/>
  <c r="K1650" i="8"/>
  <c r="K2108" i="8"/>
  <c r="K1791" i="8"/>
  <c r="K1754" i="8"/>
  <c r="K1718" i="8"/>
  <c r="K1692" i="8"/>
  <c r="K1625" i="8"/>
  <c r="K1536" i="8"/>
  <c r="K1489" i="8"/>
  <c r="K1433" i="8"/>
  <c r="K1363" i="8"/>
  <c r="K1590" i="8"/>
  <c r="K1524" i="8"/>
  <c r="K1435" i="8"/>
  <c r="K1405" i="8"/>
  <c r="K1362" i="8"/>
  <c r="K2035" i="8"/>
  <c r="K1721" i="8"/>
  <c r="K1666" i="8"/>
  <c r="K1567" i="8"/>
  <c r="K1512" i="8"/>
  <c r="K1480" i="8"/>
  <c r="K1262" i="8"/>
  <c r="K1218" i="8"/>
  <c r="K1148" i="8"/>
  <c r="K1026" i="8"/>
  <c r="K857" i="8"/>
  <c r="K673" i="8"/>
  <c r="K581" i="8"/>
  <c r="K513" i="8"/>
  <c r="K448" i="8"/>
  <c r="K385" i="8"/>
  <c r="K282" i="8"/>
  <c r="K212" i="8"/>
  <c r="K113" i="8"/>
  <c r="K73" i="8"/>
  <c r="K1277" i="8"/>
  <c r="K1187" i="8"/>
  <c r="K1159" i="8"/>
  <c r="K1114" i="8"/>
  <c r="K1049" i="8"/>
  <c r="K1009" i="8"/>
  <c r="K906" i="8"/>
  <c r="K776" i="8"/>
  <c r="K760" i="8"/>
  <c r="K653" i="8"/>
  <c r="K595" i="8"/>
  <c r="K543" i="8"/>
  <c r="K492" i="8"/>
  <c r="K38" i="8"/>
  <c r="K386" i="8"/>
  <c r="K1228" i="8"/>
  <c r="K1291" i="8"/>
  <c r="K1223" i="8"/>
  <c r="K1185" i="8"/>
  <c r="K1085" i="8"/>
  <c r="K1022" i="8"/>
  <c r="K949" i="8"/>
  <c r="K848" i="8"/>
  <c r="K763" i="8"/>
  <c r="K683" i="8"/>
  <c r="K570" i="8"/>
  <c r="K503" i="8"/>
  <c r="K475" i="8"/>
  <c r="K422" i="8"/>
  <c r="K377" i="8"/>
  <c r="K314" i="8"/>
  <c r="K259" i="8"/>
  <c r="K200" i="8"/>
  <c r="K97" i="8"/>
  <c r="K1193" i="8"/>
  <c r="K1136" i="8"/>
  <c r="K1019" i="8"/>
  <c r="K809" i="8"/>
  <c r="K639" i="8"/>
  <c r="K532" i="8"/>
  <c r="K423" i="8"/>
  <c r="K376" i="8"/>
  <c r="K1245" i="8"/>
  <c r="K1163" i="8"/>
  <c r="K1118" i="8"/>
  <c r="K1065" i="8"/>
  <c r="K980" i="8"/>
  <c r="K860" i="8"/>
  <c r="K769" i="8"/>
  <c r="K657" i="8"/>
  <c r="K579" i="8"/>
  <c r="K508" i="8"/>
  <c r="K403" i="8"/>
  <c r="K380" i="8"/>
  <c r="K350" i="8"/>
  <c r="K230" i="8"/>
  <c r="K117" i="8"/>
  <c r="K53" i="8"/>
  <c r="K284" i="8"/>
  <c r="K114" i="8"/>
  <c r="K55" i="8"/>
  <c r="K323" i="8"/>
  <c r="K253" i="8"/>
  <c r="K172" i="8"/>
  <c r="K439" i="8"/>
  <c r="K75" i="8"/>
  <c r="K1278" i="8"/>
  <c r="K1161" i="8"/>
  <c r="K1071" i="8"/>
  <c r="K993" i="8"/>
  <c r="K943" i="8"/>
  <c r="K796" i="8"/>
  <c r="K744" i="8"/>
  <c r="K545" i="8"/>
  <c r="K483" i="8"/>
  <c r="K411" i="8"/>
  <c r="K368" i="8"/>
  <c r="K295" i="8"/>
  <c r="K243" i="8"/>
  <c r="K150" i="8"/>
  <c r="K51" i="8"/>
  <c r="K23" i="8"/>
  <c r="K2731" i="8"/>
  <c r="K2680" i="8"/>
  <c r="K2670" i="8"/>
  <c r="K2656" i="8"/>
  <c r="K2639" i="8"/>
  <c r="K2627" i="8"/>
  <c r="K2618" i="8"/>
  <c r="K2616" i="8"/>
  <c r="K2580" i="8"/>
  <c r="K2571" i="8"/>
  <c r="K2564" i="8"/>
  <c r="K2546" i="8"/>
  <c r="K2540" i="8"/>
  <c r="K2506" i="8"/>
  <c r="K2501" i="8"/>
  <c r="K2481" i="8"/>
  <c r="K2475" i="8"/>
  <c r="K2473" i="8"/>
  <c r="K2436" i="8"/>
  <c r="K2430" i="8"/>
  <c r="K2424" i="8"/>
  <c r="K2422" i="8"/>
  <c r="K2406" i="8"/>
  <c r="K2405" i="8"/>
  <c r="K2373" i="8"/>
  <c r="K2360" i="8"/>
  <c r="K2351" i="8"/>
  <c r="K2348" i="8"/>
  <c r="K2346" i="8"/>
  <c r="K2344" i="8"/>
  <c r="K2338" i="8"/>
  <c r="K2300" i="8"/>
  <c r="K2298" i="8"/>
  <c r="K2291" i="8"/>
  <c r="K2269" i="8"/>
  <c r="K2222" i="8"/>
  <c r="K2220" i="8"/>
  <c r="K2216" i="8"/>
  <c r="K2195" i="8"/>
  <c r="K2184" i="8"/>
  <c r="K2181" i="8"/>
  <c r="K2162" i="8"/>
  <c r="K2152" i="8"/>
  <c r="K2142" i="8"/>
  <c r="K2139" i="8"/>
  <c r="K2133" i="8"/>
  <c r="K2097" i="8"/>
  <c r="K2084" i="8"/>
  <c r="K2083" i="8"/>
  <c r="K1981" i="8"/>
  <c r="K1968" i="8"/>
  <c r="K1958" i="8"/>
  <c r="K1900" i="8"/>
  <c r="K1890" i="8"/>
  <c r="K1870" i="8"/>
  <c r="K1840" i="8"/>
  <c r="K1821" i="8"/>
  <c r="K1818" i="8"/>
  <c r="K1816" i="8"/>
  <c r="K1811" i="8"/>
  <c r="K1802" i="8"/>
  <c r="K1798" i="8"/>
  <c r="K1790" i="8"/>
  <c r="K1787" i="8"/>
  <c r="K1776" i="8"/>
  <c r="K1774" i="8"/>
  <c r="K1756" i="8"/>
  <c r="K1742" i="8"/>
  <c r="K1732" i="8"/>
  <c r="K1704" i="8"/>
  <c r="K1700" i="8"/>
  <c r="K1680" i="8"/>
  <c r="K1668" i="8"/>
  <c r="K1637" i="8"/>
  <c r="K1614" i="8"/>
  <c r="K1610" i="8"/>
  <c r="K1609" i="8"/>
  <c r="K1575" i="8"/>
  <c r="K1571" i="8"/>
  <c r="K1560" i="8"/>
  <c r="K1530" i="8"/>
  <c r="K1520" i="8"/>
  <c r="K1510" i="8"/>
  <c r="K1506" i="8"/>
  <c r="K1485" i="8"/>
  <c r="K1475" i="8"/>
  <c r="K1438" i="8"/>
  <c r="K1414" i="8"/>
  <c r="K1404" i="8"/>
  <c r="K1387" i="8"/>
  <c r="K1365" i="8"/>
  <c r="K1440" i="8"/>
  <c r="K1370" i="8"/>
  <c r="K1474" i="8"/>
  <c r="K1413" i="8"/>
  <c r="K1395" i="8"/>
  <c r="K1380" i="8"/>
  <c r="K487" i="8"/>
  <c r="K449" i="8"/>
  <c r="K387" i="8"/>
  <c r="K359" i="8"/>
  <c r="K325" i="8"/>
  <c r="K219" i="8"/>
  <c r="K128" i="8"/>
  <c r="K62" i="8"/>
  <c r="K30" i="8"/>
  <c r="K1289" i="8"/>
  <c r="K1216" i="8"/>
  <c r="K1169" i="8"/>
  <c r="K1141" i="8"/>
  <c r="K1098" i="8"/>
  <c r="K1285" i="8"/>
  <c r="K1242" i="8"/>
  <c r="K1172" i="8"/>
  <c r="K1151" i="8"/>
  <c r="K1094" i="8"/>
  <c r="K1038" i="8"/>
  <c r="K899" i="8"/>
  <c r="K794" i="8"/>
  <c r="K714" i="8"/>
  <c r="K622" i="8"/>
  <c r="K486" i="8"/>
  <c r="K427" i="8"/>
  <c r="K389" i="8"/>
  <c r="K358" i="8"/>
  <c r="K299" i="8"/>
  <c r="K170" i="8"/>
  <c r="K87" i="8"/>
  <c r="K44" i="8"/>
  <c r="K1044" i="8"/>
  <c r="K1332" i="8"/>
  <c r="K1217" i="8"/>
  <c r="K1181" i="8"/>
  <c r="K1152" i="8"/>
  <c r="K915" i="8"/>
  <c r="K1078" i="8"/>
  <c r="K1034" i="8"/>
  <c r="K892" i="8"/>
  <c r="K823" i="8"/>
  <c r="K767" i="8"/>
  <c r="K676" i="8"/>
  <c r="K556" i="8"/>
  <c r="K494" i="8"/>
  <c r="K463" i="8"/>
  <c r="K416" i="8"/>
  <c r="K373" i="8"/>
  <c r="K340" i="8"/>
  <c r="K278" i="8"/>
  <c r="K254" i="8"/>
  <c r="K124" i="8"/>
  <c r="K43" i="8"/>
  <c r="K686" i="8"/>
  <c r="K885" i="8"/>
  <c r="K819" i="8"/>
  <c r="K735" i="8"/>
  <c r="K554" i="8"/>
  <c r="K1129" i="8"/>
  <c r="K1301" i="8"/>
  <c r="K1236" i="8"/>
  <c r="K1192" i="8"/>
  <c r="K1162" i="8"/>
  <c r="K1140" i="8"/>
  <c r="K1121" i="8"/>
  <c r="K1040" i="8"/>
  <c r="K944" i="8"/>
  <c r="K853" i="8"/>
  <c r="K817" i="8"/>
  <c r="K755" i="8"/>
  <c r="K645" i="8"/>
  <c r="K499" i="8"/>
  <c r="K469" i="8"/>
  <c r="K425" i="8"/>
  <c r="K404" i="8"/>
  <c r="K349" i="8"/>
  <c r="K270" i="8"/>
  <c r="K268" i="8"/>
  <c r="K80" i="8"/>
  <c r="K76" i="8"/>
  <c r="K12" i="8"/>
  <c r="K1339" i="8"/>
  <c r="K1319" i="8"/>
  <c r="K1261" i="8"/>
  <c r="K1234" i="8"/>
  <c r="K1232" i="8"/>
  <c r="K1227" i="8"/>
  <c r="K1222" i="8"/>
  <c r="K1205" i="8"/>
  <c r="K1197" i="8"/>
  <c r="K1165" i="8"/>
  <c r="K1139" i="8"/>
  <c r="K1138" i="8"/>
  <c r="K1095" i="8"/>
  <c r="K1042" i="8"/>
  <c r="K1013" i="8"/>
  <c r="K1010" i="8"/>
  <c r="K959" i="8"/>
  <c r="K911" i="8"/>
  <c r="K886" i="8"/>
  <c r="K859" i="8"/>
  <c r="K803" i="8"/>
  <c r="K762" i="8"/>
  <c r="K745" i="8"/>
  <c r="K649" i="8"/>
  <c r="K618" i="8"/>
  <c r="K590" i="8"/>
  <c r="K563" i="8"/>
  <c r="K521" i="8"/>
  <c r="K473" i="8"/>
  <c r="K405" i="8"/>
  <c r="K400" i="8"/>
  <c r="K352" i="8"/>
  <c r="K310" i="8"/>
  <c r="K209" i="8"/>
  <c r="K98" i="8"/>
  <c r="K48" i="8"/>
  <c r="K95" i="8"/>
  <c r="K50" i="8"/>
  <c r="K26" i="8"/>
  <c r="K207" i="8"/>
  <c r="K707" i="8"/>
  <c r="K163" i="8"/>
  <c r="K82" i="8"/>
  <c r="K5" i="8"/>
  <c r="K837" i="8"/>
  <c r="K223" i="8"/>
  <c r="K103" i="8"/>
  <c r="K37" i="8"/>
  <c r="K847" i="8"/>
  <c r="K431" i="8"/>
  <c r="K402" i="8"/>
  <c r="K382" i="8"/>
  <c r="K334" i="8"/>
  <c r="K257" i="8"/>
  <c r="K218" i="8"/>
  <c r="K186" i="8"/>
  <c r="K125" i="8"/>
  <c r="K90" i="8"/>
  <c r="K81" i="8"/>
  <c r="K32" i="8"/>
  <c r="K1298" i="8"/>
  <c r="K1053" i="8"/>
  <c r="K1015" i="8"/>
  <c r="K1011" i="8"/>
  <c r="K983" i="8"/>
  <c r="K940" i="8"/>
  <c r="K896" i="8"/>
  <c r="K849" i="8"/>
  <c r="K821" i="8"/>
  <c r="K815" i="8"/>
  <c r="K786" i="8"/>
  <c r="K749" i="8"/>
  <c r="K680" i="8"/>
  <c r="K619" i="8"/>
  <c r="K600" i="8"/>
  <c r="K586" i="8"/>
  <c r="K580" i="8"/>
  <c r="K558" i="8"/>
  <c r="K527" i="8"/>
  <c r="K490" i="8"/>
  <c r="K472" i="8"/>
  <c r="K406" i="8"/>
  <c r="K834" i="8"/>
  <c r="K401" i="8"/>
  <c r="K342" i="8"/>
  <c r="K264" i="8"/>
  <c r="K169" i="8"/>
  <c r="K69" i="8"/>
  <c r="K14" i="8"/>
  <c r="K374" i="8"/>
  <c r="K330" i="8"/>
  <c r="K248" i="8"/>
  <c r="K159" i="8"/>
  <c r="K2719" i="8"/>
  <c r="K2585" i="8"/>
  <c r="K2452" i="8"/>
  <c r="K2326" i="8"/>
  <c r="K2203" i="8"/>
  <c r="K2125" i="8"/>
  <c r="K1974" i="8"/>
  <c r="K1918" i="8"/>
  <c r="K1758" i="8"/>
  <c r="K1660" i="8"/>
  <c r="K1513" i="8"/>
  <c r="K1416" i="8"/>
  <c r="K2713" i="8"/>
  <c r="K2687" i="8"/>
  <c r="K2583" i="8"/>
  <c r="K2464" i="8"/>
  <c r="K2442" i="8"/>
  <c r="K2323" i="8"/>
  <c r="K2263" i="8"/>
  <c r="K2240" i="8"/>
  <c r="K2190" i="8"/>
  <c r="K2110" i="8"/>
  <c r="K1957" i="8"/>
  <c r="K1914" i="8"/>
  <c r="K1856" i="8"/>
  <c r="K1771" i="8"/>
  <c r="K1745" i="8"/>
  <c r="K1670" i="8"/>
  <c r="K1644" i="8"/>
  <c r="K1605" i="8"/>
  <c r="K1574" i="8"/>
  <c r="K1515" i="8"/>
  <c r="K1466" i="8"/>
  <c r="K1426" i="8"/>
  <c r="K2700" i="8"/>
  <c r="K2605" i="8"/>
  <c r="K2477" i="8"/>
  <c r="K2404" i="8"/>
  <c r="K2272" i="8"/>
  <c r="K2229" i="8"/>
  <c r="K2178" i="8"/>
  <c r="K1985" i="8"/>
  <c r="K1932" i="8"/>
  <c r="K1831" i="8"/>
  <c r="K1720" i="8"/>
  <c r="K1591" i="8"/>
  <c r="K1539" i="8"/>
  <c r="K1469" i="8"/>
  <c r="K1392" i="8"/>
  <c r="K1360" i="8"/>
  <c r="K1941" i="8"/>
  <c r="K1898" i="8"/>
  <c r="K1804" i="8"/>
  <c r="K1711" i="8"/>
  <c r="K2698" i="8"/>
  <c r="K2634" i="8"/>
  <c r="K2542" i="8"/>
  <c r="K2438" i="8"/>
  <c r="K2289" i="8"/>
  <c r="K2234" i="8"/>
  <c r="K2183" i="8"/>
  <c r="K2109" i="8"/>
  <c r="K1947" i="8"/>
  <c r="K1902" i="8"/>
  <c r="K1694" i="8"/>
  <c r="K1641" i="8"/>
  <c r="K1568" i="8"/>
  <c r="K1504" i="8"/>
  <c r="K1651" i="8"/>
  <c r="K1572" i="8"/>
  <c r="K1534" i="8"/>
  <c r="K1464" i="8"/>
  <c r="K2715" i="8"/>
  <c r="K2525" i="8"/>
  <c r="K1997" i="8"/>
  <c r="K2372" i="8"/>
  <c r="K2258" i="8"/>
  <c r="K2227" i="8"/>
  <c r="K2129" i="8"/>
  <c r="K2703" i="8"/>
  <c r="K2659" i="8"/>
  <c r="K2544" i="8"/>
  <c r="K2444" i="8"/>
  <c r="K2349" i="8"/>
  <c r="K2319" i="8"/>
  <c r="K2249" i="8"/>
  <c r="K2206" i="8"/>
  <c r="K2160" i="8"/>
  <c r="K2064" i="8"/>
  <c r="K1948" i="8"/>
  <c r="K1931" i="8"/>
  <c r="K1869" i="8"/>
  <c r="K1773" i="8"/>
  <c r="K1681" i="8"/>
  <c r="K1627" i="8"/>
  <c r="K1589" i="8"/>
  <c r="K1554" i="8"/>
  <c r="K1503" i="8"/>
  <c r="K1442" i="8"/>
  <c r="K2722" i="8"/>
  <c r="K2721" i="8"/>
  <c r="K2709" i="8"/>
  <c r="K2675" i="8"/>
  <c r="K2668" i="8"/>
  <c r="K2629" i="8"/>
  <c r="K2622" i="8"/>
  <c r="K2611" i="8"/>
  <c r="K2610" i="8"/>
  <c r="K2590" i="8"/>
  <c r="K2584" i="8"/>
  <c r="K2560" i="8"/>
  <c r="K2558" i="8"/>
  <c r="K2557" i="8"/>
  <c r="K2553" i="8"/>
  <c r="K2551" i="8"/>
  <c r="K2550" i="8"/>
  <c r="K2534" i="8"/>
  <c r="K2515" i="8"/>
  <c r="K2514" i="8"/>
  <c r="K2502" i="8"/>
  <c r="K2500" i="8"/>
  <c r="K2493" i="8"/>
  <c r="K2482" i="8"/>
  <c r="K2461" i="8"/>
  <c r="K2447" i="8"/>
  <c r="K2446" i="8"/>
  <c r="K2432" i="8"/>
  <c r="K2425" i="8"/>
  <c r="K2389" i="8"/>
  <c r="K2375" i="8"/>
  <c r="K2350" i="8"/>
  <c r="K2336" i="8"/>
  <c r="K2332" i="8"/>
  <c r="K2321" i="8"/>
  <c r="K2315" i="8"/>
  <c r="K2313" i="8"/>
  <c r="K2297" i="8"/>
  <c r="K2275" i="8"/>
  <c r="K2271" i="8"/>
  <c r="K2244" i="8"/>
  <c r="K2243" i="8"/>
  <c r="K2241" i="8"/>
  <c r="K2212" i="8"/>
  <c r="K2200" i="8"/>
  <c r="K2191" i="8"/>
  <c r="K2177" i="8"/>
  <c r="K2159" i="8"/>
  <c r="K2155" i="8"/>
  <c r="K2144" i="8"/>
  <c r="K2140" i="8"/>
  <c r="K2103" i="8"/>
  <c r="K2100" i="8"/>
  <c r="K2076" i="8"/>
  <c r="K2071" i="8"/>
  <c r="K2067" i="8"/>
  <c r="K2048" i="8"/>
  <c r="K2036" i="8"/>
  <c r="K2021" i="8"/>
  <c r="K2018" i="8"/>
  <c r="K2002" i="8"/>
  <c r="K1993" i="8"/>
  <c r="K1971" i="8"/>
  <c r="K1921" i="8"/>
  <c r="K1906" i="8"/>
  <c r="K1874" i="8"/>
  <c r="K1873" i="8"/>
  <c r="K1849" i="8"/>
  <c r="K1817" i="8"/>
  <c r="K1814" i="8"/>
  <c r="K1800" i="8"/>
  <c r="K1797" i="8"/>
  <c r="K1764" i="8"/>
  <c r="K1739" i="8"/>
  <c r="K1736" i="8"/>
  <c r="K1734" i="8"/>
  <c r="K1731" i="8"/>
  <c r="K1724" i="8"/>
  <c r="K1709" i="8"/>
  <c r="K1693" i="8"/>
  <c r="K1671" i="8"/>
  <c r="K1652" i="8"/>
  <c r="K1612" i="8"/>
  <c r="K1550" i="8"/>
  <c r="K1502" i="8"/>
  <c r="K1458" i="8"/>
  <c r="K1796" i="8"/>
  <c r="K1752" i="8"/>
  <c r="K1759" i="8"/>
  <c r="K1834" i="8"/>
  <c r="K1630" i="8"/>
  <c r="K1557" i="8"/>
  <c r="K1529" i="8"/>
  <c r="K1497" i="8"/>
  <c r="K1452" i="8"/>
  <c r="K1361" i="8"/>
  <c r="K1586" i="8"/>
  <c r="K1686" i="8"/>
  <c r="K1923" i="8"/>
  <c r="K1662" i="8"/>
  <c r="K1546" i="8"/>
  <c r="K1523" i="8"/>
  <c r="K1465" i="8"/>
  <c r="K1450" i="8"/>
  <c r="K1427" i="8"/>
  <c r="K1357" i="8"/>
  <c r="K1056" i="8"/>
  <c r="K1014" i="8"/>
  <c r="K930" i="8"/>
  <c r="K881" i="8"/>
  <c r="K740" i="8"/>
  <c r="K638" i="8"/>
  <c r="K574" i="8"/>
  <c r="K339" i="8"/>
  <c r="K195" i="8"/>
  <c r="K74" i="8"/>
  <c r="K318" i="8"/>
  <c r="K1337" i="8"/>
  <c r="K1255" i="8"/>
  <c r="K1147" i="8"/>
  <c r="K1083" i="8"/>
  <c r="K1016" i="8"/>
  <c r="K957" i="8"/>
  <c r="K900" i="8"/>
  <c r="K785" i="8"/>
  <c r="K750" i="8"/>
  <c r="K726" i="8"/>
  <c r="K631" i="8"/>
  <c r="K512" i="8"/>
  <c r="K451" i="8"/>
  <c r="K301" i="8"/>
  <c r="K245" i="8"/>
  <c r="K204" i="8"/>
  <c r="K121" i="8"/>
  <c r="K16" i="8"/>
  <c r="K197" i="8"/>
  <c r="K100" i="8"/>
  <c r="K3" i="8"/>
  <c r="K1156" i="8"/>
  <c r="K1066" i="8"/>
  <c r="K936" i="8"/>
  <c r="K804" i="8"/>
  <c r="K1318" i="8"/>
  <c r="K1230" i="8"/>
  <c r="K1145" i="8"/>
  <c r="K1112" i="8"/>
  <c r="K1081" i="8"/>
  <c r="K1031" i="8"/>
  <c r="K969" i="8"/>
  <c r="K929" i="8"/>
  <c r="K787" i="8"/>
  <c r="K747" i="8"/>
  <c r="K659" i="8"/>
  <c r="K621" i="8"/>
  <c r="K523" i="8"/>
  <c r="K357" i="8"/>
  <c r="K263" i="8"/>
  <c r="K244" i="8"/>
  <c r="K215" i="8"/>
  <c r="K105" i="8"/>
  <c r="K47" i="8"/>
  <c r="K701" i="8"/>
  <c r="K1102" i="8"/>
  <c r="K984" i="8"/>
  <c r="K891" i="8"/>
  <c r="K770" i="8"/>
  <c r="K724" i="8"/>
  <c r="K668" i="8"/>
  <c r="K599" i="8"/>
  <c r="K379" i="8"/>
  <c r="K261" i="8"/>
  <c r="K216" i="8"/>
  <c r="K122" i="8"/>
  <c r="K57" i="8"/>
  <c r="K602" i="8"/>
  <c r="K383" i="8"/>
  <c r="K716" i="8"/>
  <c r="K238" i="8"/>
  <c r="K94" i="8"/>
  <c r="K426" i="8"/>
  <c r="K1309" i="8"/>
  <c r="K1195" i="8"/>
  <c r="K1130" i="8"/>
  <c r="K1257" i="8"/>
  <c r="K1175" i="8"/>
  <c r="K1133" i="8"/>
  <c r="K1059" i="8"/>
  <c r="K987" i="8"/>
  <c r="K922" i="8"/>
  <c r="K867" i="8"/>
  <c r="K780" i="8"/>
  <c r="K690" i="8"/>
  <c r="K637" i="8"/>
  <c r="K461" i="8"/>
  <c r="K450" i="8"/>
  <c r="K372" i="8"/>
  <c r="K296" i="8"/>
  <c r="K246" i="8"/>
  <c r="K208" i="8"/>
  <c r="K188" i="8"/>
  <c r="K68" i="8"/>
  <c r="K34" i="8"/>
  <c r="K132" i="8"/>
  <c r="K509" i="8"/>
  <c r="K1345" i="8"/>
  <c r="K1342" i="8"/>
  <c r="K179" i="8"/>
  <c r="K1338" i="8"/>
  <c r="K1290" i="8"/>
  <c r="K1178" i="8"/>
  <c r="K1028" i="8"/>
  <c r="K1004" i="8"/>
  <c r="K970" i="8"/>
  <c r="K964" i="8"/>
  <c r="K920" i="8"/>
  <c r="K812" i="8"/>
  <c r="K738" i="8"/>
  <c r="K687" i="8"/>
  <c r="K612" i="8"/>
  <c r="K584" i="8"/>
  <c r="K468" i="8"/>
  <c r="K438" i="8"/>
  <c r="K281" i="8"/>
  <c r="K182" i="8"/>
  <c r="K39" i="8"/>
  <c r="K1341" i="8"/>
  <c r="K86" i="8"/>
  <c r="K1347" i="8"/>
  <c r="K998" i="8"/>
  <c r="K961" i="8"/>
  <c r="K883" i="8"/>
  <c r="K844" i="8"/>
  <c r="K732" i="8"/>
  <c r="K662" i="8"/>
  <c r="K611" i="8"/>
  <c r="K561" i="8"/>
  <c r="K500" i="8"/>
  <c r="K455" i="8"/>
  <c r="K306" i="8"/>
  <c r="K240" i="8"/>
  <c r="K174" i="8"/>
  <c r="K11" i="8"/>
  <c r="K1325" i="8"/>
  <c r="K1248" i="8"/>
  <c r="K1113" i="8"/>
  <c r="K1008" i="8"/>
  <c r="K981" i="8"/>
  <c r="K935" i="8"/>
  <c r="K872" i="8"/>
  <c r="K758" i="8"/>
  <c r="K731" i="8"/>
  <c r="K641" i="8"/>
  <c r="K572" i="8"/>
  <c r="K471" i="8"/>
  <c r="K443" i="8"/>
  <c r="K258" i="8"/>
  <c r="K154" i="8"/>
  <c r="K40" i="8"/>
  <c r="K1286" i="8"/>
  <c r="K1323" i="8"/>
  <c r="K1281" i="8"/>
  <c r="K1176" i="8"/>
  <c r="K1025" i="8"/>
  <c r="K1001" i="8"/>
  <c r="K968" i="8"/>
  <c r="K888" i="8"/>
  <c r="K869" i="8"/>
  <c r="K779" i="8"/>
  <c r="K705" i="8"/>
  <c r="K604" i="8"/>
  <c r="K549" i="8"/>
  <c r="K465" i="8"/>
  <c r="K331" i="8"/>
  <c r="K297" i="8"/>
  <c r="K255" i="8"/>
  <c r="K177" i="8"/>
  <c r="K96" i="8"/>
  <c r="K28" i="8"/>
  <c r="K1525" i="8"/>
  <c r="K1491" i="8"/>
  <c r="K1471" i="8"/>
  <c r="K1468" i="8"/>
  <c r="K1403" i="8"/>
  <c r="K2359" i="8"/>
  <c r="K1384" i="8"/>
  <c r="K1369" i="8"/>
  <c r="K2660" i="8"/>
  <c r="K2648" i="8"/>
  <c r="K2641" i="8"/>
  <c r="K1583" i="8"/>
  <c r="K2633" i="8"/>
  <c r="K2617" i="8"/>
  <c r="K2607" i="8"/>
  <c r="K2606" i="8"/>
  <c r="K2599" i="8"/>
  <c r="K2595" i="8"/>
  <c r="K2594" i="8"/>
  <c r="K2516" i="8"/>
  <c r="K2504" i="8"/>
  <c r="K2490" i="8"/>
  <c r="K2488" i="8"/>
  <c r="K2480" i="8"/>
  <c r="K2463" i="8"/>
  <c r="K1399" i="8"/>
  <c r="K2400" i="8"/>
  <c r="K2396" i="8"/>
  <c r="K2385" i="8"/>
  <c r="K2381" i="8"/>
  <c r="K2314" i="8"/>
  <c r="K2301" i="8"/>
  <c r="K2299" i="8"/>
  <c r="K2285" i="8"/>
  <c r="K2257" i="8"/>
  <c r="K2253" i="8"/>
  <c r="K2221" i="8"/>
  <c r="K2210" i="8"/>
  <c r="K2189" i="8"/>
  <c r="K2188" i="8"/>
  <c r="K2170" i="8"/>
  <c r="K2146" i="8"/>
  <c r="K2115" i="8"/>
  <c r="K2112" i="8"/>
  <c r="K2106" i="8"/>
  <c r="K2104" i="8"/>
  <c r="K2098" i="8"/>
  <c r="K2095" i="8"/>
  <c r="K1555" i="8"/>
  <c r="K2093" i="8"/>
  <c r="K2091" i="8"/>
  <c r="K2066" i="8"/>
  <c r="K2056" i="8"/>
  <c r="K2041" i="8"/>
  <c r="K2040" i="8"/>
  <c r="K2039" i="8"/>
  <c r="K2028" i="8"/>
  <c r="K2003" i="8"/>
  <c r="K1998" i="8"/>
  <c r="K1996" i="8"/>
  <c r="K1977" i="8"/>
  <c r="K1975" i="8"/>
  <c r="K1956" i="8"/>
  <c r="K1952" i="8"/>
  <c r="K1951" i="8"/>
  <c r="K1927" i="8"/>
  <c r="K1857" i="8"/>
  <c r="K1418" i="8"/>
  <c r="K1924" i="8"/>
  <c r="K1920" i="8"/>
  <c r="K1903" i="8"/>
  <c r="K1889" i="8"/>
  <c r="K1882" i="8"/>
  <c r="K1847" i="8"/>
  <c r="K1783" i="8"/>
  <c r="K1779" i="8"/>
  <c r="K1772" i="8"/>
  <c r="K1727" i="8"/>
  <c r="K1714" i="8"/>
  <c r="K1697" i="8"/>
  <c r="K1691" i="8"/>
  <c r="K1648" i="8"/>
  <c r="K1643" i="8"/>
  <c r="K1606" i="8"/>
  <c r="K1579" i="8"/>
  <c r="K1576" i="8"/>
  <c r="K1561" i="8"/>
  <c r="K2379" i="8"/>
  <c r="K1712" i="8"/>
  <c r="K2678" i="8"/>
  <c r="K2674" i="8"/>
  <c r="K2672" i="8"/>
  <c r="K2662" i="8"/>
  <c r="K2657" i="8"/>
  <c r="K2626" i="8"/>
  <c r="K2604" i="8"/>
  <c r="K2601" i="8"/>
  <c r="K2597" i="8"/>
  <c r="K2574" i="8"/>
  <c r="K2554" i="8"/>
  <c r="K2549" i="8"/>
  <c r="K2535" i="8"/>
  <c r="K2527" i="8"/>
  <c r="K2507" i="8"/>
  <c r="K2426" i="8"/>
  <c r="K2418" i="8"/>
  <c r="K2411" i="8"/>
  <c r="K2374" i="8"/>
  <c r="K2365" i="8"/>
  <c r="K2341" i="8"/>
  <c r="K2324" i="8"/>
  <c r="K2302" i="8"/>
  <c r="K2295" i="8"/>
  <c r="K2292" i="8"/>
  <c r="K2282" i="8"/>
  <c r="K2279" i="8"/>
  <c r="K2268" i="8"/>
  <c r="K2267" i="8"/>
  <c r="K2254" i="8"/>
  <c r="K2242" i="8"/>
  <c r="K2235" i="8"/>
  <c r="K2232" i="8"/>
  <c r="K2219" i="8"/>
  <c r="K2218" i="8"/>
  <c r="K2208" i="8"/>
  <c r="K2207" i="8"/>
  <c r="K2199" i="8"/>
  <c r="K2198" i="8"/>
  <c r="K2196" i="8"/>
  <c r="K2156" i="8"/>
  <c r="K2124" i="8"/>
  <c r="K2111" i="8"/>
  <c r="K2087" i="8"/>
  <c r="K2055" i="8"/>
  <c r="K2049" i="8"/>
  <c r="K2022" i="8"/>
  <c r="K2010" i="8"/>
  <c r="K1988" i="8"/>
  <c r="K1960" i="8"/>
  <c r="K1937" i="8"/>
  <c r="K1928" i="8"/>
  <c r="K1916" i="8"/>
  <c r="K1892" i="8"/>
  <c r="K1887" i="8"/>
  <c r="K1881" i="8"/>
  <c r="K1862" i="8"/>
  <c r="K1851" i="8"/>
  <c r="K1850" i="8"/>
  <c r="K1844" i="8"/>
  <c r="K1822" i="8"/>
  <c r="K1820" i="8"/>
  <c r="K1819" i="8"/>
  <c r="K1806" i="8"/>
  <c r="K1792" i="8"/>
  <c r="K1713" i="8"/>
  <c r="K1708" i="8"/>
  <c r="K1705" i="8"/>
  <c r="K1684" i="8"/>
  <c r="K1664" i="8"/>
  <c r="K1622" i="8"/>
  <c r="K1607" i="8"/>
  <c r="K1602" i="8"/>
  <c r="K1526" i="8"/>
  <c r="K1509" i="8"/>
  <c r="K1507" i="8"/>
  <c r="K1498" i="8"/>
  <c r="K1495" i="8"/>
  <c r="K1486" i="8"/>
  <c r="K1457" i="8"/>
  <c r="K1434" i="8"/>
  <c r="K1410" i="8"/>
  <c r="K1396" i="8"/>
  <c r="K1382" i="8"/>
  <c r="K1381" i="8"/>
  <c r="K1374" i="8"/>
  <c r="K1371" i="8"/>
  <c r="K1601" i="8"/>
  <c r="K1597" i="8"/>
  <c r="K104" i="8"/>
  <c r="K99" i="8"/>
  <c r="K93" i="8"/>
  <c r="K79" i="8"/>
  <c r="K1103" i="8"/>
  <c r="K54" i="8"/>
  <c r="K46" i="8"/>
  <c r="K42" i="8"/>
  <c r="K6" i="8"/>
  <c r="K1350" i="8"/>
  <c r="K1331" i="8"/>
  <c r="K1327" i="8"/>
  <c r="K1316" i="8"/>
  <c r="K1299" i="8"/>
  <c r="K1287" i="8"/>
  <c r="K1284" i="8"/>
  <c r="K1282" i="8"/>
  <c r="K1269" i="8"/>
  <c r="K1268" i="8"/>
  <c r="K1243" i="8"/>
  <c r="K1215" i="8"/>
  <c r="K1208" i="8"/>
  <c r="K1207" i="8"/>
  <c r="K1206" i="8"/>
  <c r="K1204" i="8"/>
  <c r="K1202" i="8"/>
  <c r="K1189" i="8"/>
  <c r="K61" i="8"/>
  <c r="K1186" i="8"/>
  <c r="K1173" i="8"/>
  <c r="K1153" i="8"/>
  <c r="K1142" i="8"/>
  <c r="K1131" i="8"/>
  <c r="K1096" i="8"/>
  <c r="K1075" i="8"/>
  <c r="K1063" i="8"/>
  <c r="K1041" i="8"/>
  <c r="K999" i="8"/>
  <c r="K986" i="8"/>
  <c r="K982" i="8"/>
  <c r="K977" i="8"/>
  <c r="K956" i="8"/>
  <c r="K933" i="8"/>
  <c r="K925" i="8"/>
  <c r="K903" i="8"/>
  <c r="K901" i="8"/>
  <c r="K884" i="8"/>
  <c r="K874" i="8"/>
  <c r="K820" i="8"/>
  <c r="K782" i="8"/>
  <c r="K777" i="8"/>
  <c r="K771" i="8"/>
  <c r="K765" i="8"/>
  <c r="K759" i="8"/>
  <c r="K748" i="8"/>
  <c r="K730" i="8"/>
  <c r="K723" i="8"/>
  <c r="K718" i="8"/>
  <c r="K712" i="8"/>
  <c r="K703" i="8"/>
  <c r="K692" i="8"/>
  <c r="K684" i="8"/>
  <c r="K679" i="8"/>
  <c r="K672" i="8"/>
  <c r="K646" i="8"/>
  <c r="K601" i="8"/>
  <c r="K585" i="8"/>
  <c r="K582" i="8"/>
  <c r="K565" i="8"/>
  <c r="K559" i="8"/>
  <c r="K530" i="8"/>
  <c r="K505" i="8"/>
  <c r="K501" i="8"/>
  <c r="K498" i="8"/>
  <c r="K489" i="8"/>
  <c r="K479" i="8"/>
  <c r="K390" i="8"/>
  <c r="K470" i="8"/>
  <c r="K428" i="8"/>
  <c r="K418" i="8"/>
  <c r="K410" i="8"/>
  <c r="K397" i="8"/>
  <c r="K388" i="8"/>
  <c r="K378" i="8"/>
  <c r="K362" i="8"/>
  <c r="K346" i="8"/>
  <c r="K343" i="8"/>
  <c r="K327" i="8"/>
  <c r="K319" i="8"/>
  <c r="K302" i="8"/>
  <c r="K298" i="8"/>
  <c r="K276" i="8"/>
  <c r="K225" i="8"/>
  <c r="K203" i="8"/>
  <c r="K198" i="8"/>
  <c r="K184" i="8"/>
  <c r="K180" i="8"/>
  <c r="K165" i="8"/>
  <c r="K144" i="8"/>
  <c r="K107" i="8"/>
  <c r="K2737" i="8"/>
  <c r="K2734" i="8"/>
  <c r="K2717" i="8"/>
  <c r="K2705" i="8"/>
  <c r="K2697" i="8"/>
  <c r="K2684" i="8"/>
  <c r="K2666" i="8"/>
  <c r="K2664" i="8"/>
  <c r="K2655" i="8"/>
  <c r="K2653" i="8"/>
  <c r="K2647" i="8"/>
  <c r="K2635" i="8"/>
  <c r="K2628" i="8"/>
  <c r="K2608" i="8"/>
  <c r="K2593" i="8"/>
  <c r="K2569" i="8"/>
  <c r="K2563" i="8"/>
  <c r="K2562" i="8"/>
  <c r="K2561" i="8"/>
  <c r="K2530" i="8"/>
  <c r="K2495" i="8"/>
  <c r="K2469" i="8"/>
  <c r="K2457" i="8"/>
  <c r="K2455" i="8"/>
  <c r="K2448" i="8"/>
  <c r="K2431" i="8"/>
  <c r="K2423" i="8"/>
  <c r="K2407" i="8"/>
  <c r="K2394" i="8"/>
  <c r="K2392" i="8"/>
  <c r="K2390" i="8"/>
  <c r="K2377" i="8"/>
  <c r="K2370" i="8"/>
  <c r="K2368" i="8"/>
  <c r="K2355" i="8"/>
  <c r="K2354" i="8"/>
  <c r="K2343" i="8"/>
  <c r="K2322" i="8"/>
  <c r="K2305" i="8"/>
  <c r="K2278" i="8"/>
  <c r="K2277" i="8"/>
  <c r="K2231" i="8"/>
  <c r="K2201" i="8"/>
  <c r="K2175" i="8"/>
  <c r="K2167" i="8"/>
  <c r="K2157" i="8"/>
  <c r="K2134" i="8"/>
  <c r="K2132" i="8"/>
  <c r="K2131" i="8"/>
  <c r="K2094" i="8"/>
  <c r="K2086" i="8"/>
  <c r="K2074" i="8"/>
  <c r="K2069" i="8"/>
  <c r="K2015" i="8"/>
  <c r="K1983" i="8"/>
  <c r="K1976" i="8"/>
  <c r="K1950" i="8"/>
  <c r="K1938" i="8"/>
  <c r="K1878" i="8"/>
  <c r="K1876" i="8"/>
  <c r="K1871" i="8"/>
  <c r="K1837" i="8"/>
  <c r="K1829" i="8"/>
  <c r="K1815" i="8"/>
  <c r="K1808" i="8"/>
  <c r="K1803" i="8"/>
  <c r="K1799" i="8"/>
  <c r="K1777" i="8"/>
  <c r="K1743" i="8"/>
  <c r="K1679" i="8"/>
  <c r="K1677" i="8"/>
  <c r="K1672" i="8"/>
  <c r="K1618" i="8"/>
  <c r="K1564" i="8"/>
  <c r="K1532" i="8"/>
  <c r="K1478" i="8"/>
  <c r="K1390" i="8"/>
  <c r="K1398" i="8"/>
  <c r="K1894" i="8"/>
  <c r="K1603" i="8"/>
  <c r="K1499" i="8"/>
  <c r="K1852" i="8"/>
  <c r="K2043" i="8"/>
  <c r="K1540" i="8"/>
  <c r="K1409" i="8"/>
  <c r="K1368" i="8"/>
  <c r="K1611" i="8"/>
  <c r="K1655" i="8"/>
  <c r="K2120" i="8"/>
  <c r="K1695" i="8"/>
  <c r="K1675" i="8"/>
  <c r="K1533" i="8"/>
  <c r="K1446" i="8"/>
  <c r="K1170" i="8"/>
  <c r="K1108" i="8"/>
  <c r="K1039" i="8"/>
  <c r="K976" i="8"/>
  <c r="K889" i="8"/>
  <c r="K788" i="8"/>
  <c r="K691" i="8"/>
  <c r="K540" i="8"/>
  <c r="K504" i="8"/>
  <c r="K452" i="8"/>
  <c r="K344" i="8"/>
  <c r="K287" i="8"/>
  <c r="K231" i="8"/>
  <c r="K217" i="8"/>
  <c r="K143" i="8"/>
  <c r="K92" i="8"/>
  <c r="K52" i="8"/>
  <c r="K1334" i="8"/>
  <c r="K1077" i="8"/>
  <c r="K841" i="8"/>
  <c r="K715" i="8"/>
  <c r="K550" i="8"/>
  <c r="K481" i="8"/>
  <c r="K360" i="8"/>
  <c r="K293" i="8"/>
  <c r="K228" i="8"/>
  <c r="K138" i="8"/>
  <c r="K56" i="8"/>
  <c r="K1312" i="8"/>
  <c r="K1288" i="8"/>
  <c r="K1240" i="8"/>
  <c r="K1221" i="8"/>
  <c r="K1314" i="8"/>
  <c r="K1302" i="8"/>
  <c r="K1272" i="8"/>
  <c r="K1226" i="8"/>
  <c r="K1184" i="8"/>
  <c r="K1134" i="8"/>
  <c r="K1074" i="8"/>
  <c r="K1029" i="8"/>
  <c r="K978" i="8"/>
  <c r="K919" i="8"/>
  <c r="K818" i="8"/>
  <c r="K775" i="8"/>
  <c r="K681" i="8"/>
  <c r="K627" i="8"/>
  <c r="K1149" i="8"/>
  <c r="K459" i="8"/>
  <c r="K337" i="8"/>
  <c r="K311" i="8"/>
  <c r="K285" i="8"/>
  <c r="K235" i="8"/>
  <c r="K224" i="8"/>
  <c r="K176" i="8"/>
  <c r="K137" i="8"/>
  <c r="K72" i="8"/>
  <c r="K1125" i="8"/>
  <c r="K996" i="8"/>
  <c r="K808" i="8"/>
  <c r="K635" i="8"/>
  <c r="K491" i="8"/>
  <c r="K441" i="8"/>
  <c r="K326" i="8"/>
  <c r="K241" i="8"/>
  <c r="K226" i="8"/>
  <c r="K108" i="8"/>
  <c r="K1003" i="8"/>
  <c r="K971" i="8"/>
  <c r="K1355" i="8"/>
  <c r="K510" i="8"/>
  <c r="K1297" i="8"/>
  <c r="K1266" i="8"/>
  <c r="K1346" i="8"/>
  <c r="K1292" i="8"/>
  <c r="K1250" i="8"/>
  <c r="K1174" i="8"/>
  <c r="K1132" i="8"/>
  <c r="K1050" i="8"/>
  <c r="K985" i="8"/>
  <c r="K947" i="8"/>
  <c r="K814" i="8"/>
  <c r="K650" i="8"/>
  <c r="K597" i="8"/>
  <c r="K507" i="8"/>
  <c r="K462" i="8"/>
  <c r="K399" i="8"/>
  <c r="K312" i="8"/>
  <c r="K274" i="8"/>
  <c r="K229" i="8"/>
  <c r="K199" i="8"/>
  <c r="K160" i="8"/>
  <c r="K129" i="8"/>
  <c r="K59" i="8"/>
  <c r="K2603" i="8"/>
  <c r="K2547" i="8"/>
  <c r="K2441" i="8"/>
  <c r="K2397" i="8"/>
  <c r="K2340" i="8"/>
  <c r="K2312" i="8"/>
  <c r="K2264" i="8"/>
  <c r="K2251" i="8"/>
  <c r="K2158" i="8"/>
  <c r="K2128" i="8"/>
  <c r="K2079" i="8"/>
  <c r="K2014" i="8"/>
  <c r="K1961" i="8"/>
  <c r="K1807" i="8"/>
  <c r="K1748" i="8"/>
  <c r="K1633" i="8"/>
  <c r="K1562" i="8"/>
  <c r="K1493" i="8"/>
  <c r="K1455" i="8"/>
  <c r="K1443" i="8"/>
  <c r="K1415" i="8"/>
  <c r="K2708" i="8"/>
  <c r="K2690" i="8"/>
  <c r="K2642" i="8"/>
  <c r="K1883" i="8"/>
  <c r="K2582" i="8"/>
  <c r="K2460" i="8"/>
  <c r="K2415" i="8"/>
  <c r="K2364" i="8"/>
  <c r="K2329" i="8"/>
  <c r="K2311" i="8"/>
  <c r="K2261" i="8"/>
  <c r="K2193" i="8"/>
  <c r="K2141" i="8"/>
  <c r="K2082" i="8"/>
  <c r="K2033" i="8"/>
  <c r="K1962" i="8"/>
  <c r="K1915" i="8"/>
  <c r="K1855" i="8"/>
  <c r="K1778" i="8"/>
  <c r="K1667" i="8"/>
  <c r="K1621" i="8"/>
  <c r="K1549" i="8"/>
  <c r="K1473" i="8"/>
  <c r="K1451" i="8"/>
  <c r="K1423" i="8"/>
  <c r="K2304" i="8"/>
  <c r="K2147" i="8"/>
  <c r="K2081" i="8"/>
  <c r="K1990" i="8"/>
  <c r="K1901" i="8"/>
  <c r="K1768" i="8"/>
  <c r="K1665" i="8"/>
  <c r="K1476" i="8"/>
  <c r="K1430" i="8"/>
  <c r="K2714" i="8"/>
  <c r="K2665" i="8"/>
  <c r="K2609" i="8"/>
  <c r="K2472" i="8"/>
  <c r="K2401" i="8"/>
  <c r="K2363" i="8"/>
  <c r="K2320" i="8"/>
  <c r="K2265" i="8"/>
  <c r="K2187" i="8"/>
  <c r="K2117" i="8"/>
  <c r="K2004" i="8"/>
  <c r="K1836" i="8"/>
  <c r="K1735" i="8"/>
  <c r="K1616" i="8"/>
  <c r="K1477" i="8"/>
  <c r="K1447" i="8"/>
  <c r="K1389" i="8"/>
  <c r="K2696" i="8"/>
  <c r="K2686" i="8"/>
  <c r="K2652" i="8"/>
  <c r="K2596" i="8"/>
  <c r="K2471" i="8"/>
  <c r="K2416" i="8"/>
  <c r="K2383" i="8"/>
  <c r="K2342" i="8"/>
  <c r="K2317" i="8"/>
  <c r="K2290" i="8"/>
  <c r="K2256" i="8"/>
  <c r="K2228" i="8"/>
  <c r="K2182" i="8"/>
  <c r="K2123" i="8"/>
  <c r="K2077" i="8"/>
  <c r="K1972" i="8"/>
  <c r="K1935" i="8"/>
  <c r="K1877" i="8"/>
  <c r="K1828" i="8"/>
  <c r="K1780" i="8"/>
  <c r="K1682" i="8"/>
  <c r="K1623" i="8"/>
  <c r="K1615" i="8"/>
  <c r="K1519" i="8"/>
  <c r="K1460" i="8"/>
  <c r="K1428" i="8"/>
  <c r="K1547" i="8"/>
  <c r="K2694" i="8"/>
  <c r="K2669" i="8"/>
  <c r="K1352" i="8"/>
  <c r="K1351" i="8"/>
  <c r="K1348" i="8"/>
  <c r="K1265" i="8"/>
  <c r="K1251" i="8"/>
  <c r="K1244" i="8"/>
  <c r="K1229" i="8"/>
  <c r="K1225" i="8"/>
  <c r="K1201" i="8"/>
  <c r="K1180" i="8"/>
  <c r="K1155" i="8"/>
  <c r="K1135" i="8"/>
  <c r="K1127" i="8"/>
  <c r="K1116" i="8"/>
  <c r="K1111" i="8"/>
  <c r="K1101" i="8"/>
  <c r="K1093" i="8"/>
  <c r="K1086" i="8"/>
  <c r="K1048" i="8"/>
  <c r="K1036" i="8"/>
  <c r="K1035" i="8"/>
  <c r="K1027" i="8"/>
  <c r="K1006" i="8"/>
  <c r="K1000" i="8"/>
  <c r="K941" i="8"/>
  <c r="K932" i="8"/>
  <c r="K931" i="8"/>
  <c r="K926" i="8"/>
  <c r="K918" i="8"/>
  <c r="K916" i="8"/>
  <c r="K913" i="8"/>
  <c r="K895" i="8"/>
  <c r="K882" i="8"/>
  <c r="K880" i="8"/>
  <c r="K875" i="8"/>
  <c r="K863" i="8"/>
  <c r="K855" i="8"/>
  <c r="K839" i="8"/>
  <c r="K822" i="8"/>
  <c r="K810" i="8"/>
  <c r="K801" i="8"/>
  <c r="K789" i="8"/>
  <c r="K773" i="8"/>
  <c r="K739" i="8"/>
  <c r="K737" i="8"/>
  <c r="K728" i="8"/>
  <c r="K697" i="8"/>
  <c r="K689" i="8"/>
  <c r="K685" i="8"/>
  <c r="K651" i="8"/>
  <c r="K640" i="8"/>
  <c r="K632" i="8"/>
  <c r="K629" i="8"/>
  <c r="K614" i="8"/>
  <c r="K594" i="8"/>
  <c r="K587" i="8"/>
  <c r="K576" i="8"/>
  <c r="K566" i="8"/>
  <c r="K557" i="8"/>
  <c r="K536" i="8"/>
  <c r="K534" i="8"/>
  <c r="K526" i="8"/>
  <c r="K506" i="8"/>
  <c r="K407" i="8"/>
  <c r="K351" i="8"/>
  <c r="K288" i="8"/>
  <c r="K286" i="8"/>
  <c r="K232" i="8"/>
  <c r="K149" i="8"/>
  <c r="K130" i="8"/>
  <c r="K78" i="8"/>
  <c r="K220" i="8"/>
  <c r="K146" i="8"/>
  <c r="K517" i="8"/>
  <c r="K332" i="8"/>
  <c r="K277" i="8"/>
  <c r="K205" i="8"/>
  <c r="K136" i="8"/>
  <c r="K106" i="8"/>
  <c r="K495" i="8"/>
  <c r="K36" i="8"/>
  <c r="K415" i="8"/>
  <c r="K367" i="8"/>
  <c r="K336" i="8"/>
  <c r="K290" i="8"/>
  <c r="K242" i="8"/>
  <c r="K233" i="8"/>
  <c r="K181" i="8"/>
  <c r="K119" i="8"/>
  <c r="K437" i="8"/>
  <c r="K381" i="8"/>
  <c r="K354" i="8"/>
  <c r="K304" i="8"/>
  <c r="K269" i="8"/>
  <c r="K991" i="8"/>
  <c r="K2733" i="8"/>
  <c r="K2710" i="8"/>
  <c r="K2707" i="8"/>
  <c r="K2699" i="8"/>
  <c r="K2658" i="8"/>
  <c r="K2646" i="8"/>
  <c r="K2645" i="8"/>
  <c r="K2643" i="8"/>
  <c r="K2623" i="8"/>
  <c r="K2621" i="8"/>
  <c r="K2615" i="8"/>
  <c r="K2602" i="8"/>
  <c r="K2598" i="8"/>
  <c r="K2575" i="8"/>
  <c r="K2573" i="8"/>
  <c r="K2536" i="8"/>
  <c r="K2533" i="8"/>
  <c r="K2523" i="8"/>
  <c r="K2451" i="8"/>
  <c r="K2429" i="8"/>
  <c r="K2417" i="8"/>
  <c r="K2414" i="8"/>
  <c r="K2413" i="8"/>
  <c r="K2412" i="8"/>
  <c r="K2387" i="8"/>
  <c r="K2366" i="8"/>
  <c r="K2339" i="8"/>
  <c r="K2335" i="8"/>
  <c r="K2307" i="8"/>
  <c r="K2294" i="8"/>
  <c r="K2293" i="8"/>
  <c r="K2286" i="8"/>
  <c r="K2276" i="8"/>
  <c r="K2274" i="8"/>
  <c r="K2260" i="8"/>
  <c r="K2252" i="8"/>
  <c r="K2250" i="8"/>
  <c r="K2214" i="8"/>
  <c r="K2174" i="8"/>
  <c r="K2090" i="8"/>
  <c r="K2088" i="8"/>
  <c r="K2080" i="8"/>
  <c r="K2075" i="8"/>
  <c r="K2073" i="8"/>
  <c r="K2068" i="8"/>
  <c r="K2047" i="8"/>
  <c r="K2044" i="8"/>
  <c r="K2042" i="8"/>
  <c r="K2037" i="8"/>
  <c r="K2031" i="8"/>
  <c r="K2026" i="8"/>
  <c r="K2023" i="8"/>
  <c r="K2020" i="8"/>
  <c r="K2013" i="8"/>
  <c r="K1989" i="8"/>
  <c r="K1986" i="8"/>
  <c r="K1946" i="8"/>
  <c r="K1940" i="8"/>
  <c r="K1936" i="8"/>
  <c r="K1907" i="8"/>
  <c r="K1895" i="8"/>
  <c r="K1893" i="8"/>
  <c r="K1891" i="8"/>
  <c r="K1875" i="8"/>
  <c r="K1860" i="8"/>
  <c r="K1853" i="8"/>
  <c r="K1827" i="8"/>
  <c r="K1824" i="8"/>
  <c r="K1785" i="8"/>
  <c r="K1729" i="8"/>
  <c r="K1688" i="8"/>
  <c r="K1685" i="8"/>
  <c r="K1683" i="8"/>
  <c r="K1659" i="8"/>
  <c r="K1657" i="8"/>
  <c r="K1646" i="8"/>
  <c r="K1639" i="8"/>
  <c r="K1632" i="8"/>
  <c r="K1628" i="8"/>
  <c r="K1626" i="8"/>
  <c r="K1619" i="8"/>
  <c r="K1593" i="8"/>
  <c r="K1548" i="8"/>
  <c r="K1543" i="8"/>
  <c r="K1518" i="8"/>
  <c r="K1490" i="8"/>
  <c r="K1383" i="8"/>
  <c r="K1379" i="8"/>
  <c r="K1378" i="8"/>
  <c r="K1364" i="8"/>
  <c r="K1393" i="8"/>
  <c r="K1436" i="8"/>
  <c r="K1326" i="8"/>
  <c r="K1280" i="8"/>
  <c r="K1260" i="8"/>
  <c r="K1258" i="8"/>
  <c r="K1231" i="8"/>
  <c r="K1179" i="8"/>
  <c r="K1122" i="8"/>
  <c r="K1105" i="8"/>
  <c r="K1099" i="8"/>
  <c r="K1057" i="8"/>
  <c r="K1046" i="8"/>
  <c r="K974" i="8"/>
  <c r="K955" i="8"/>
  <c r="K945" i="8"/>
  <c r="K871" i="8"/>
  <c r="K816" i="8"/>
  <c r="K797" i="8"/>
  <c r="K781" i="8"/>
  <c r="K742" i="8"/>
  <c r="K706" i="8"/>
  <c r="K702" i="8"/>
  <c r="K636" i="8"/>
  <c r="K564" i="8"/>
  <c r="K529" i="8"/>
  <c r="K457" i="8"/>
  <c r="K453" i="8"/>
  <c r="K409" i="8"/>
  <c r="K392" i="8"/>
  <c r="K375" i="8"/>
  <c r="K353" i="8"/>
  <c r="K333" i="8"/>
  <c r="K313" i="8"/>
  <c r="K267" i="8"/>
  <c r="K202" i="8"/>
  <c r="K115" i="8"/>
  <c r="K65" i="8"/>
  <c r="K7" i="8"/>
  <c r="K1321" i="8"/>
  <c r="K1224" i="8"/>
  <c r="K1167" i="8"/>
  <c r="K1109" i="8"/>
  <c r="K1097" i="8"/>
  <c r="K1067" i="8"/>
  <c r="K1023" i="8"/>
  <c r="K966" i="8"/>
  <c r="K954" i="8"/>
  <c r="K907" i="8"/>
  <c r="K862" i="8"/>
  <c r="K806" i="8"/>
  <c r="K795" i="8"/>
  <c r="K746" i="8"/>
  <c r="K710" i="8"/>
  <c r="K704" i="8"/>
  <c r="K688" i="8"/>
  <c r="K608" i="8"/>
  <c r="K575" i="8"/>
  <c r="K548" i="8"/>
  <c r="K488" i="8"/>
  <c r="K446" i="8"/>
  <c r="K394" i="8"/>
  <c r="K384" i="8"/>
  <c r="K335" i="8"/>
  <c r="K317" i="8"/>
  <c r="K279" i="8"/>
  <c r="K273" i="8"/>
  <c r="K266" i="8"/>
  <c r="K173" i="8"/>
  <c r="K70" i="8"/>
  <c r="K64" i="8"/>
  <c r="K1336" i="8"/>
  <c r="K1343" i="8"/>
  <c r="K1293" i="8"/>
  <c r="K1264" i="8"/>
  <c r="K1235" i="8"/>
  <c r="K1183" i="8"/>
  <c r="K1177" i="8"/>
  <c r="K1110" i="8"/>
  <c r="K1104" i="8"/>
  <c r="K1090" i="8"/>
  <c r="K1054" i="8"/>
  <c r="K988" i="8"/>
  <c r="K963" i="8"/>
  <c r="K950" i="8"/>
  <c r="K897" i="8"/>
  <c r="K842" i="8"/>
  <c r="K800" i="8"/>
  <c r="K764" i="8"/>
  <c r="K720" i="8"/>
  <c r="K647" i="8"/>
  <c r="K591" i="8"/>
  <c r="K525" i="8"/>
  <c r="K456" i="8"/>
  <c r="K408" i="8"/>
  <c r="K391" i="8"/>
  <c r="K371" i="8"/>
  <c r="K320" i="8"/>
  <c r="K303" i="8"/>
  <c r="K271" i="8"/>
  <c r="K222" i="8"/>
  <c r="K166" i="8"/>
  <c r="K67" i="8"/>
  <c r="K60" i="8"/>
  <c r="K2730" i="8"/>
  <c r="K2718" i="8"/>
  <c r="K2716" i="8"/>
  <c r="K2693" i="8"/>
  <c r="K2681" i="8"/>
  <c r="K2671" i="8"/>
  <c r="K2650" i="8"/>
  <c r="K2637" i="8"/>
  <c r="K2632" i="8"/>
  <c r="K2631" i="8"/>
  <c r="K2630" i="8"/>
  <c r="K2624" i="8"/>
  <c r="K2619" i="8"/>
  <c r="K2591" i="8"/>
  <c r="K2589" i="8"/>
  <c r="K2588" i="8"/>
  <c r="K2548" i="8"/>
  <c r="K2528" i="8"/>
  <c r="K2520" i="8"/>
  <c r="K2511" i="8"/>
  <c r="K2499" i="8"/>
  <c r="K2497" i="8"/>
  <c r="K2496" i="8"/>
  <c r="K2491" i="8"/>
  <c r="K2489" i="8"/>
  <c r="K2487" i="8"/>
  <c r="K2486" i="8"/>
  <c r="K2476" i="8"/>
  <c r="K2458" i="8"/>
  <c r="K2419" i="8"/>
  <c r="K2409" i="8"/>
  <c r="K2398" i="8"/>
  <c r="K2356" i="8"/>
  <c r="K2310" i="8"/>
  <c r="K2283" i="8"/>
  <c r="K2270" i="8"/>
  <c r="K2215" i="8"/>
  <c r="K2213" i="8"/>
  <c r="K2172" i="8"/>
  <c r="K2149" i="8"/>
  <c r="K2148" i="8"/>
  <c r="K2145" i="8"/>
  <c r="K2135" i="8"/>
  <c r="K2121" i="8"/>
  <c r="K2116" i="8"/>
  <c r="K2058" i="8"/>
  <c r="K2054" i="8"/>
  <c r="K2017" i="8"/>
  <c r="K1965" i="8"/>
  <c r="K1964" i="8"/>
  <c r="K1963" i="8"/>
  <c r="K1955" i="8"/>
  <c r="K1954" i="8"/>
  <c r="K1945" i="8"/>
  <c r="K1939" i="8"/>
  <c r="K1910" i="8"/>
  <c r="K1909" i="8"/>
  <c r="K1886" i="8"/>
  <c r="K1868" i="8"/>
  <c r="K1866" i="8"/>
  <c r="K1861" i="8"/>
  <c r="K1832" i="8"/>
  <c r="K1809" i="8"/>
  <c r="K1781" i="8"/>
  <c r="K1765" i="8"/>
  <c r="K1760" i="8"/>
  <c r="K1747" i="8"/>
  <c r="K1746" i="8"/>
  <c r="K1740" i="8"/>
  <c r="K1723" i="8"/>
  <c r="K1703" i="8"/>
  <c r="K1687" i="8"/>
  <c r="K1674" i="8"/>
  <c r="K1658" i="8"/>
  <c r="K1647" i="8"/>
  <c r="K1645" i="8"/>
  <c r="K1624" i="8"/>
  <c r="K1608" i="8"/>
  <c r="K1604" i="8"/>
  <c r="K1599" i="8"/>
  <c r="K1578" i="8"/>
  <c r="K1565" i="8"/>
  <c r="K1541" i="8"/>
  <c r="K1538" i="8"/>
  <c r="K1537" i="8"/>
  <c r="K1527" i="8"/>
  <c r="K1377" i="8"/>
  <c r="K1366" i="8"/>
  <c r="K1563" i="8"/>
  <c r="K1500" i="8"/>
  <c r="K1459" i="8"/>
  <c r="K1453" i="8"/>
  <c r="K1420" i="8"/>
  <c r="K1411" i="8"/>
  <c r="K1375" i="8"/>
  <c r="K1196" i="8"/>
  <c r="K1123" i="8"/>
  <c r="K1089" i="8"/>
  <c r="K1088" i="8"/>
  <c r="K1062" i="8"/>
  <c r="K1045" i="8"/>
  <c r="K1032" i="8"/>
  <c r="K1021" i="8"/>
  <c r="K979" i="8"/>
  <c r="K912" i="8"/>
  <c r="K893" i="8"/>
  <c r="K927" i="8"/>
  <c r="K294" i="8"/>
  <c r="K191" i="8"/>
  <c r="K112" i="8"/>
  <c r="K66" i="8"/>
  <c r="K1024" i="8"/>
  <c r="K256" i="8"/>
  <c r="K109" i="8"/>
  <c r="K1068" i="8"/>
  <c r="K791" i="8"/>
  <c r="K754" i="8"/>
  <c r="K696" i="8"/>
  <c r="K634" i="8"/>
  <c r="K613" i="8"/>
  <c r="K598" i="8"/>
  <c r="K528" i="8"/>
  <c r="K435" i="8"/>
  <c r="K398" i="8"/>
  <c r="K364" i="8"/>
  <c r="K305" i="8"/>
  <c r="K168" i="8"/>
  <c r="K157" i="8"/>
  <c r="K85" i="8"/>
  <c r="K35" i="8"/>
  <c r="K1190" i="8"/>
  <c r="K751" i="8"/>
  <c r="K677" i="8"/>
  <c r="K617" i="8"/>
  <c r="K606" i="8"/>
  <c r="K560" i="8"/>
  <c r="K482" i="8"/>
  <c r="K433" i="8"/>
  <c r="K393" i="8"/>
  <c r="K283" i="8"/>
  <c r="K192" i="8"/>
  <c r="K89" i="8"/>
  <c r="K1356" i="8"/>
  <c r="K1322" i="8"/>
  <c r="K1313" i="8"/>
  <c r="K1300" i="8"/>
  <c r="K1274" i="8"/>
  <c r="K1237" i="8"/>
  <c r="K1203" i="8"/>
  <c r="K1335" i="8"/>
  <c r="K1324" i="8"/>
  <c r="K1320" i="8"/>
  <c r="K1306" i="8"/>
  <c r="K1294" i="8"/>
  <c r="K1273" i="8"/>
  <c r="K1212" i="8"/>
  <c r="K1200" i="8"/>
  <c r="K1157" i="8"/>
  <c r="K1092" i="8"/>
  <c r="K1080" i="8"/>
  <c r="K1061" i="8"/>
  <c r="K1043" i="8"/>
  <c r="K1030" i="8"/>
  <c r="K1020" i="8"/>
  <c r="K946" i="8"/>
  <c r="K898" i="8"/>
  <c r="K864" i="8"/>
  <c r="K838" i="8"/>
  <c r="K836" i="8"/>
  <c r="K832" i="8"/>
  <c r="K824" i="8"/>
  <c r="K766" i="8"/>
  <c r="K756" i="8"/>
  <c r="K753" i="8"/>
  <c r="K752" i="8"/>
  <c r="K729" i="8"/>
  <c r="K693" i="8"/>
  <c r="K675" i="8"/>
  <c r="K615" i="8"/>
  <c r="K603" i="8"/>
  <c r="K555" i="8"/>
  <c r="K514" i="8"/>
  <c r="K445" i="8"/>
  <c r="K412" i="8"/>
  <c r="K365" i="8"/>
  <c r="K272" i="8"/>
  <c r="K167" i="8"/>
  <c r="K158" i="8"/>
  <c r="K88" i="8"/>
  <c r="K8" i="8"/>
  <c r="K1330" i="8"/>
  <c r="K953" i="8"/>
  <c r="K329" i="8"/>
  <c r="K1315" i="8"/>
  <c r="K1275" i="8"/>
  <c r="K1270" i="8"/>
  <c r="K1253" i="8"/>
  <c r="K1241" i="8"/>
  <c r="K1144" i="8"/>
  <c r="K1087" i="8"/>
  <c r="K1084" i="8"/>
  <c r="K1072" i="8"/>
  <c r="K1058" i="8"/>
  <c r="K1052" i="8"/>
  <c r="K1005" i="8"/>
  <c r="K975" i="8"/>
  <c r="K960" i="8"/>
  <c r="K948" i="8"/>
  <c r="K934" i="8"/>
  <c r="K894" i="8"/>
  <c r="K879" i="8"/>
  <c r="K873" i="8"/>
  <c r="K854" i="8"/>
  <c r="K852" i="8"/>
  <c r="K851" i="8"/>
  <c r="K830" i="8"/>
  <c r="K829" i="8"/>
  <c r="K783" i="8"/>
  <c r="K757" i="8"/>
  <c r="K717" i="8"/>
  <c r="K682" i="8"/>
  <c r="K671" i="8"/>
  <c r="K669" i="8"/>
  <c r="K666" i="8"/>
  <c r="K607" i="8"/>
  <c r="K588" i="8"/>
  <c r="K578" i="8"/>
  <c r="K573" i="8"/>
  <c r="K571" i="8"/>
  <c r="K551" i="8"/>
  <c r="K541" i="8"/>
  <c r="K539" i="8"/>
  <c r="K522" i="8"/>
  <c r="K515" i="8"/>
  <c r="K511" i="8"/>
  <c r="K440" i="8"/>
  <c r="K436" i="8"/>
  <c r="K434" i="8"/>
  <c r="K421" i="8"/>
  <c r="K417" i="8"/>
  <c r="K361" i="8"/>
  <c r="K265" i="8"/>
  <c r="K227" i="8"/>
  <c r="K193" i="8"/>
  <c r="K189" i="8"/>
  <c r="K183" i="8"/>
  <c r="K164" i="8"/>
  <c r="K148" i="8"/>
  <c r="K127" i="8"/>
  <c r="K123" i="8"/>
  <c r="K83" i="8"/>
  <c r="K49" i="8"/>
  <c r="K45" i="8"/>
  <c r="K31" i="8"/>
  <c r="K1233" i="8"/>
  <c r="K15" i="8"/>
  <c r="K1462" i="8"/>
  <c r="K1449" i="8"/>
  <c r="K1408" i="8"/>
  <c r="K2096" i="8"/>
  <c r="K1359" i="8"/>
  <c r="K2449" i="8"/>
  <c r="K2625" i="8"/>
  <c r="K2586" i="8"/>
  <c r="K2577" i="8"/>
  <c r="K2566" i="8"/>
  <c r="K2556" i="8"/>
  <c r="K2552" i="8"/>
  <c r="K2541" i="8"/>
  <c r="K2538" i="8"/>
  <c r="K2532" i="8"/>
  <c r="K2524" i="8"/>
  <c r="K2522" i="8"/>
  <c r="K2518" i="8"/>
  <c r="K2505" i="8"/>
  <c r="K1400" i="8"/>
  <c r="K2498" i="8"/>
  <c r="K2492" i="8"/>
  <c r="K2459" i="8"/>
  <c r="K2443" i="8"/>
  <c r="K2437" i="8"/>
  <c r="K2427" i="8"/>
  <c r="K2380" i="8"/>
  <c r="K2376" i="8"/>
  <c r="K2333" i="8"/>
  <c r="K2287" i="8"/>
  <c r="K2248" i="8"/>
  <c r="K2245" i="8"/>
  <c r="K2239" i="8"/>
  <c r="K2209" i="8"/>
  <c r="K2185" i="8"/>
  <c r="K2173" i="8"/>
  <c r="K2153" i="8"/>
  <c r="K2102" i="8"/>
  <c r="K2099" i="8"/>
  <c r="K2051" i="8"/>
  <c r="K2046" i="8"/>
  <c r="K2012" i="8"/>
  <c r="K2009" i="8"/>
  <c r="K2001" i="8"/>
  <c r="K1982" i="8"/>
  <c r="K1969" i="8"/>
  <c r="K1899" i="8"/>
  <c r="K1867" i="8"/>
  <c r="K1854" i="8"/>
  <c r="K1842" i="8"/>
  <c r="K1801" i="8"/>
  <c r="K2706" i="8"/>
  <c r="K2692" i="8"/>
  <c r="K2725" i="8"/>
  <c r="K1707" i="8"/>
  <c r="K1730" i="8"/>
  <c r="K1722" i="8"/>
  <c r="K1656" i="8"/>
  <c r="K1649" i="8"/>
  <c r="K1642" i="8"/>
  <c r="K1629" i="8"/>
  <c r="K1617" i="8"/>
  <c r="K1596" i="8"/>
  <c r="K1594" i="8"/>
  <c r="K1592" i="8"/>
  <c r="K1588" i="8"/>
  <c r="K1558" i="8"/>
  <c r="K1551" i="8"/>
  <c r="K2309" i="8"/>
  <c r="K1793" i="8"/>
  <c r="K1521" i="8"/>
  <c r="K1470" i="8"/>
  <c r="C2" i="5"/>
  <c r="C17" i="5"/>
  <c r="C2" i="2"/>
  <c r="I30" i="2" s="1"/>
  <c r="M30" i="2" s="1"/>
  <c r="D2" i="2"/>
  <c r="E2" i="2" s="1"/>
  <c r="K32" i="2"/>
  <c r="K30" i="2"/>
  <c r="L30" i="2"/>
  <c r="M34" i="2" s="1"/>
  <c r="B2" i="6" l="1"/>
  <c r="K1353" i="8"/>
  <c r="K1333" i="8"/>
  <c r="K1329" i="8"/>
  <c r="K1308" i="8"/>
  <c r="K1295" i="8"/>
  <c r="K1283" i="8"/>
  <c r="K1271" i="8"/>
  <c r="K1220" i="8"/>
  <c r="K1214" i="8"/>
  <c r="K1213" i="8"/>
  <c r="K1194" i="8"/>
  <c r="K1182" i="8"/>
  <c r="K1171" i="8"/>
  <c r="K1150" i="8"/>
  <c r="K1137" i="8"/>
  <c r="K1128" i="8"/>
  <c r="K1126" i="8"/>
  <c r="K1091" i="8"/>
  <c r="K1076" i="8"/>
  <c r="K1017" i="8"/>
  <c r="K1007" i="8"/>
  <c r="K1002" i="8"/>
  <c r="K965" i="8"/>
  <c r="K938" i="8"/>
  <c r="K924" i="8"/>
  <c r="K905" i="8"/>
  <c r="K902" i="8"/>
  <c r="K890" i="8"/>
  <c r="K877" i="8"/>
  <c r="K856" i="8"/>
  <c r="K840" i="8"/>
  <c r="K826" i="8"/>
  <c r="K825" i="8"/>
  <c r="K811" i="8"/>
  <c r="K798" i="8"/>
  <c r="K792" i="8"/>
  <c r="K790" i="8"/>
  <c r="K774" i="8"/>
  <c r="K741" i="8"/>
  <c r="K736" i="8"/>
  <c r="K670" i="8"/>
  <c r="K665" i="8"/>
  <c r="K664" i="8"/>
  <c r="K663" i="8"/>
  <c r="K661" i="8"/>
  <c r="K652" i="8"/>
  <c r="K630" i="8"/>
  <c r="K620" i="8"/>
  <c r="K609" i="8"/>
  <c r="K562" i="8"/>
  <c r="K552" i="8"/>
  <c r="K546" i="8"/>
  <c r="K544" i="8"/>
  <c r="K538" i="8"/>
  <c r="K537" i="8"/>
  <c r="K531" i="8"/>
  <c r="K493" i="8"/>
  <c r="K484" i="8"/>
  <c r="K478" i="8"/>
  <c r="K474" i="8"/>
  <c r="K467" i="8"/>
  <c r="K466" i="8"/>
  <c r="K420" i="8"/>
  <c r="K341" i="8"/>
  <c r="K338" i="8"/>
  <c r="K292" i="8"/>
  <c r="K280" i="8"/>
  <c r="K275" i="8"/>
  <c r="K262" i="8"/>
  <c r="K260" i="8"/>
  <c r="K236" i="8"/>
  <c r="K211" i="8"/>
  <c r="K210" i="8"/>
  <c r="K190" i="8"/>
  <c r="K187" i="8"/>
  <c r="K178" i="8"/>
  <c r="K151" i="8"/>
  <c r="K133" i="8"/>
  <c r="K126" i="8"/>
  <c r="K110" i="8"/>
  <c r="K84" i="8"/>
  <c r="K29" i="8"/>
  <c r="K27" i="8"/>
  <c r="K25" i="8"/>
  <c r="K13" i="8"/>
  <c r="K4" i="8"/>
  <c r="K33" i="8"/>
  <c r="K21" i="8"/>
  <c r="K2" i="8"/>
  <c r="B3" i="6"/>
  <c r="K2358" i="8"/>
  <c r="K2280" i="8"/>
  <c r="K2202" i="8"/>
  <c r="K2113" i="8"/>
  <c r="K1953" i="8"/>
  <c r="K1926" i="8"/>
  <c r="K1879" i="8"/>
  <c r="K1782" i="8"/>
  <c r="K1706" i="8"/>
  <c r="K1598" i="8"/>
  <c r="K1511" i="8"/>
  <c r="K1492" i="8"/>
  <c r="K1372" i="8"/>
  <c r="K1367" i="8"/>
  <c r="K2739" i="8"/>
  <c r="K2236" i="8"/>
  <c r="K2105" i="8"/>
  <c r="K1919" i="8"/>
  <c r="K1863" i="8"/>
  <c r="K1766" i="8"/>
  <c r="K1580" i="8"/>
  <c r="K1501" i="8"/>
  <c r="K1448" i="8"/>
  <c r="K2537" i="8"/>
  <c r="K2689" i="8"/>
  <c r="K2679" i="8"/>
  <c r="K2661" i="8"/>
  <c r="K2651" i="8"/>
  <c r="K2644" i="8"/>
  <c r="K2545" i="8"/>
  <c r="K2510" i="8"/>
  <c r="K2467" i="8"/>
  <c r="K2402" i="8"/>
  <c r="K2357" i="8"/>
  <c r="K2259" i="8"/>
  <c r="K2233" i="8"/>
  <c r="K2151" i="8"/>
  <c r="K2029" i="8"/>
  <c r="K1912" i="8"/>
  <c r="K1865" i="8"/>
  <c r="K1786" i="8"/>
  <c r="K1699" i="8"/>
  <c r="K1653" i="8"/>
  <c r="K1494" i="8"/>
  <c r="K1397" i="8"/>
  <c r="K2474" i="8"/>
  <c r="K2654" i="8"/>
  <c r="K2570" i="8"/>
  <c r="K2539" i="8"/>
  <c r="K2494" i="8"/>
  <c r="K2462" i="8"/>
  <c r="K2399" i="8"/>
  <c r="K2367" i="8"/>
  <c r="K2345" i="8"/>
  <c r="K2247" i="8"/>
  <c r="K2211" i="8"/>
  <c r="K2163" i="8"/>
  <c r="K1966" i="8"/>
  <c r="K1943" i="8"/>
  <c r="K1884" i="8"/>
  <c r="K1858" i="8"/>
  <c r="K1755" i="8"/>
  <c r="K1556" i="8"/>
  <c r="K1496" i="8"/>
  <c r="K1487" i="8"/>
  <c r="K1425" i="8"/>
  <c r="K2428" i="8"/>
  <c r="K2592" i="8"/>
  <c r="K2529" i="8"/>
  <c r="K2478" i="8"/>
  <c r="K2456" i="8"/>
  <c r="K2388" i="8"/>
  <c r="K2347" i="8"/>
  <c r="K2238" i="8"/>
  <c r="K2176" i="8"/>
  <c r="K2078" i="8"/>
  <c r="K1897" i="8"/>
  <c r="K1784" i="8"/>
  <c r="K1762" i="8"/>
  <c r="K1669" i="8"/>
  <c r="K1573" i="8"/>
  <c r="K1508" i="8"/>
  <c r="K1488" i="8"/>
  <c r="K1444" i="8"/>
  <c r="C22" i="4"/>
  <c r="B2" i="4" a="1"/>
  <c r="C2" i="4"/>
  <c r="C3" i="4"/>
  <c r="C4" i="4"/>
  <c r="C5" i="4"/>
  <c r="C6" i="4"/>
  <c r="C7" i="4"/>
  <c r="C8" i="4"/>
  <c r="C9" i="4"/>
  <c r="C11" i="4"/>
  <c r="C13" i="4"/>
  <c r="C15" i="4"/>
  <c r="C17" i="4"/>
  <c r="C25" i="4"/>
  <c r="C10" i="4"/>
  <c r="C12" i="4"/>
  <c r="C14" i="4"/>
  <c r="C16" i="4"/>
  <c r="C18" i="4"/>
  <c r="C19" i="4"/>
  <c r="C20" i="4"/>
  <c r="C21" i="4"/>
  <c r="C24" i="4"/>
  <c r="C23" i="4"/>
  <c r="K34" i="2"/>
  <c r="K36" i="2" s="1"/>
  <c r="L93" i="8" l="1"/>
  <c r="L94" i="8"/>
  <c r="L95" i="8"/>
  <c r="L96" i="8"/>
  <c r="L97" i="8"/>
  <c r="L99" i="8"/>
  <c r="L101" i="8"/>
  <c r="L103" i="8"/>
  <c r="L105" i="8"/>
  <c r="L107" i="8"/>
  <c r="L108" i="8"/>
  <c r="L109" i="8"/>
  <c r="L111" i="8"/>
  <c r="L114" i="8"/>
  <c r="L116" i="8"/>
  <c r="L120" i="8"/>
  <c r="L122" i="8"/>
  <c r="L123" i="8"/>
  <c r="L125" i="8"/>
  <c r="L127" i="8"/>
  <c r="L129" i="8"/>
  <c r="L131" i="8"/>
  <c r="L133" i="8"/>
  <c r="L134" i="8"/>
  <c r="L135" i="8"/>
  <c r="L136" i="8"/>
  <c r="L138" i="8"/>
  <c r="L140" i="8"/>
  <c r="L142" i="8"/>
  <c r="L144" i="8"/>
  <c r="L145" i="8"/>
  <c r="L147" i="8"/>
  <c r="L149" i="8"/>
  <c r="L150" i="8"/>
  <c r="L159" i="8"/>
  <c r="L160" i="8"/>
  <c r="L161" i="8"/>
  <c r="L163" i="8"/>
  <c r="L165" i="8"/>
  <c r="L167" i="8"/>
  <c r="L169" i="8"/>
  <c r="L171" i="8"/>
  <c r="L173" i="8"/>
  <c r="L175" i="8"/>
  <c r="L177" i="8"/>
  <c r="L179" i="8"/>
  <c r="L181" i="8"/>
  <c r="L182" i="8"/>
  <c r="L185" i="8"/>
  <c r="L188" i="8"/>
  <c r="L192" i="8"/>
  <c r="L194" i="8"/>
  <c r="L198" i="8"/>
  <c r="L200" i="8"/>
  <c r="L203" i="8"/>
  <c r="L207" i="8"/>
  <c r="L211" i="8"/>
  <c r="L215" i="8"/>
  <c r="L219" i="8"/>
  <c r="L223" i="8"/>
  <c r="L227" i="8"/>
  <c r="L230" i="8"/>
  <c r="L235" i="8"/>
  <c r="L239" i="8"/>
  <c r="L241" i="8"/>
  <c r="L248" i="8"/>
  <c r="L253" i="8"/>
  <c r="L257" i="8"/>
  <c r="L261" i="8"/>
  <c r="L265" i="8"/>
  <c r="L1196" i="8"/>
  <c r="L1200" i="8"/>
  <c r="L1203" i="8"/>
  <c r="L1206" i="8"/>
  <c r="L1209" i="8"/>
  <c r="L1212" i="8"/>
  <c r="L1216" i="8"/>
  <c r="L1219" i="8"/>
  <c r="L1222" i="8"/>
  <c r="L1225" i="8"/>
  <c r="L1230" i="8"/>
  <c r="L1233" i="8"/>
  <c r="L1236" i="8"/>
  <c r="L1238" i="8"/>
  <c r="L1242" i="8"/>
  <c r="L1245" i="8"/>
  <c r="L1248" i="8"/>
  <c r="L1250" i="8"/>
  <c r="L1255" i="8"/>
  <c r="L1259" i="8"/>
  <c r="L1262" i="8"/>
  <c r="L1266" i="8"/>
  <c r="L1269" i="8"/>
  <c r="L1271" i="8"/>
  <c r="L1273" i="8"/>
  <c r="L1275" i="8"/>
  <c r="L1278" i="8"/>
  <c r="L1280" i="8"/>
  <c r="L1282" i="8"/>
  <c r="L1283" i="8"/>
  <c r="L1284" i="8"/>
  <c r="L1285" i="8"/>
  <c r="L1286" i="8"/>
  <c r="L1287" i="8"/>
  <c r="L1288" i="8"/>
  <c r="L680" i="8"/>
  <c r="L681" i="8"/>
  <c r="L682" i="8"/>
  <c r="L683" i="8"/>
  <c r="L684" i="8"/>
  <c r="L685" i="8"/>
  <c r="L686" i="8"/>
  <c r="L687" i="8"/>
  <c r="L688" i="8"/>
  <c r="L689" i="8"/>
  <c r="L690" i="8"/>
  <c r="L691" i="8"/>
  <c r="L692" i="8"/>
  <c r="L693" i="8"/>
  <c r="L694" i="8"/>
  <c r="L695" i="8"/>
  <c r="L696" i="8"/>
  <c r="L697" i="8"/>
  <c r="L698" i="8"/>
  <c r="L699" i="8"/>
  <c r="L700" i="8"/>
  <c r="L701" i="8"/>
  <c r="L702" i="8"/>
  <c r="L703" i="8"/>
  <c r="L704" i="8"/>
  <c r="L705" i="8"/>
  <c r="L706" i="8"/>
  <c r="L707" i="8"/>
  <c r="L708" i="8"/>
  <c r="L709" i="8"/>
  <c r="L710" i="8"/>
  <c r="L711" i="8"/>
  <c r="L712" i="8"/>
  <c r="L713" i="8"/>
  <c r="L714" i="8"/>
  <c r="L715" i="8"/>
  <c r="L716" i="8"/>
  <c r="L717" i="8"/>
  <c r="L718" i="8"/>
  <c r="L719" i="8"/>
  <c r="L720" i="8"/>
  <c r="L721" i="8"/>
  <c r="L722" i="8"/>
  <c r="L723" i="8"/>
  <c r="L724" i="8"/>
  <c r="L725" i="8"/>
  <c r="L726" i="8"/>
  <c r="L727" i="8"/>
  <c r="L728" i="8"/>
  <c r="L729" i="8"/>
  <c r="L730" i="8"/>
  <c r="L731" i="8"/>
  <c r="L732" i="8"/>
  <c r="L733" i="8"/>
  <c r="L734" i="8"/>
  <c r="L735" i="8"/>
  <c r="L736" i="8"/>
  <c r="L737" i="8"/>
  <c r="L738" i="8"/>
  <c r="L739" i="8"/>
  <c r="L740" i="8"/>
  <c r="L741" i="8"/>
  <c r="L742" i="8"/>
  <c r="L743" i="8"/>
  <c r="L744" i="8"/>
  <c r="L745" i="8"/>
  <c r="L1144" i="8"/>
  <c r="L1150" i="8"/>
  <c r="L1153" i="8"/>
  <c r="L1160" i="8"/>
  <c r="L1164" i="8"/>
  <c r="L1167" i="8"/>
  <c r="L746" i="8"/>
  <c r="L747" i="8"/>
  <c r="L748" i="8"/>
  <c r="L749" i="8"/>
  <c r="L750" i="8"/>
  <c r="L751" i="8"/>
  <c r="L752" i="8"/>
  <c r="L753" i="8"/>
  <c r="L754" i="8"/>
  <c r="L755" i="8"/>
  <c r="L756" i="8"/>
  <c r="L757" i="8"/>
  <c r="L758" i="8"/>
  <c r="L759" i="8"/>
  <c r="L760" i="8"/>
  <c r="L761" i="8"/>
  <c r="L762" i="8"/>
  <c r="L763" i="8"/>
  <c r="L764" i="8"/>
  <c r="L765" i="8"/>
  <c r="L766" i="8"/>
  <c r="L767" i="8"/>
  <c r="L768" i="8"/>
  <c r="L769" i="8"/>
  <c r="L770" i="8"/>
  <c r="L771" i="8"/>
  <c r="L772" i="8"/>
  <c r="L773" i="8"/>
  <c r="L774" i="8"/>
  <c r="L775" i="8"/>
  <c r="L776" i="8"/>
  <c r="L777" i="8"/>
  <c r="L778" i="8"/>
  <c r="L779" i="8"/>
  <c r="L780" i="8"/>
  <c r="L781" i="8"/>
  <c r="L782" i="8"/>
  <c r="L783" i="8"/>
  <c r="L784" i="8"/>
  <c r="L785" i="8"/>
  <c r="L786" i="8"/>
  <c r="L787" i="8"/>
  <c r="L788" i="8"/>
  <c r="L789" i="8"/>
  <c r="L790" i="8"/>
  <c r="L791" i="8"/>
  <c r="L792" i="8"/>
  <c r="L793" i="8"/>
  <c r="L794" i="8"/>
  <c r="L795" i="8"/>
  <c r="L796" i="8"/>
  <c r="L797" i="8"/>
  <c r="L798" i="8"/>
  <c r="L799" i="8"/>
  <c r="L800" i="8"/>
  <c r="L801" i="8"/>
  <c r="L802" i="8"/>
  <c r="L803" i="8"/>
  <c r="L804" i="8"/>
  <c r="L805" i="8"/>
  <c r="L806" i="8"/>
  <c r="L807" i="8"/>
  <c r="L808" i="8"/>
  <c r="L809" i="8"/>
  <c r="L810" i="8"/>
  <c r="L811" i="8"/>
  <c r="L812" i="8"/>
  <c r="L813" i="8"/>
  <c r="L814" i="8"/>
  <c r="L815" i="8"/>
  <c r="L816" i="8"/>
  <c r="L817" i="8"/>
  <c r="L818" i="8"/>
  <c r="L819" i="8"/>
  <c r="L820" i="8"/>
  <c r="L821" i="8"/>
  <c r="L822" i="8"/>
  <c r="L823" i="8"/>
  <c r="L824" i="8"/>
  <c r="L825" i="8"/>
  <c r="L826" i="8"/>
  <c r="L827" i="8"/>
  <c r="L828" i="8"/>
  <c r="L829" i="8"/>
  <c r="L830" i="8"/>
  <c r="L831" i="8"/>
  <c r="L832" i="8"/>
  <c r="L833" i="8"/>
  <c r="L834" i="8"/>
  <c r="L835" i="8"/>
  <c r="L836" i="8"/>
  <c r="L837" i="8"/>
  <c r="L838" i="8"/>
  <c r="L839" i="8"/>
  <c r="L840" i="8"/>
  <c r="L841" i="8"/>
  <c r="L842" i="8"/>
  <c r="L843" i="8"/>
  <c r="L844" i="8"/>
  <c r="L845" i="8"/>
  <c r="L846" i="8"/>
  <c r="L847" i="8"/>
  <c r="L848" i="8"/>
  <c r="L849" i="8"/>
  <c r="L850" i="8"/>
  <c r="L1292" i="8"/>
  <c r="L1293" i="8"/>
  <c r="L1295" i="8"/>
  <c r="L1296" i="8"/>
  <c r="L1298" i="8"/>
  <c r="L1301" i="8"/>
  <c r="L1304" i="8"/>
  <c r="L1307" i="8"/>
  <c r="L1309" i="8"/>
  <c r="L1312" i="8"/>
  <c r="L1314" i="8"/>
  <c r="L1317" i="8"/>
  <c r="L1321" i="8"/>
  <c r="L1324" i="8"/>
  <c r="L1327" i="8"/>
  <c r="L1332" i="8"/>
  <c r="L1334" i="8"/>
  <c r="L1336" i="8"/>
  <c r="L1338" i="8"/>
  <c r="L1341" i="8"/>
  <c r="L1343" i="8"/>
  <c r="L1348" i="8"/>
  <c r="L82" i="8"/>
  <c r="L83" i="8"/>
  <c r="L156" i="8"/>
  <c r="L374" i="8"/>
  <c r="L381" i="8"/>
  <c r="L385" i="8"/>
  <c r="L389" i="8"/>
  <c r="L393" i="8"/>
  <c r="L398" i="8"/>
  <c r="L401" i="8"/>
  <c r="L404" i="8"/>
  <c r="L408" i="8"/>
  <c r="L412" i="8"/>
  <c r="L414" i="8"/>
  <c r="L415" i="8"/>
  <c r="L420" i="8"/>
  <c r="L423" i="8"/>
  <c r="L428" i="8"/>
  <c r="L432" i="8"/>
  <c r="L436" i="8"/>
  <c r="L441" i="8"/>
  <c r="L449" i="8"/>
  <c r="L455" i="8"/>
  <c r="L458" i="8"/>
  <c r="L461" i="8"/>
  <c r="L464" i="8"/>
  <c r="L466" i="8"/>
  <c r="L468" i="8"/>
  <c r="L470" i="8"/>
  <c r="L473" i="8"/>
  <c r="L476" i="8"/>
  <c r="L479" i="8"/>
  <c r="L482" i="8"/>
  <c r="L486" i="8"/>
  <c r="L490" i="8"/>
  <c r="L494" i="8"/>
  <c r="L498" i="8"/>
  <c r="L501" i="8"/>
  <c r="L1145" i="8"/>
  <c r="L507" i="8"/>
  <c r="L511" i="8"/>
  <c r="L515" i="8"/>
  <c r="L519" i="8"/>
  <c r="L523" i="8"/>
  <c r="L527" i="8"/>
  <c r="L530" i="8"/>
  <c r="L532" i="8"/>
  <c r="L534" i="8"/>
  <c r="L536" i="8"/>
  <c r="L538" i="8"/>
  <c r="L540" i="8"/>
  <c r="L544" i="8"/>
  <c r="L548" i="8"/>
  <c r="L552" i="8"/>
  <c r="L556" i="8"/>
  <c r="L560" i="8"/>
  <c r="L564" i="8"/>
  <c r="L567" i="8"/>
  <c r="L572" i="8"/>
  <c r="L578" i="8"/>
  <c r="L581" i="8"/>
  <c r="L587" i="8"/>
  <c r="L591" i="8"/>
  <c r="L597" i="8"/>
  <c r="L602" i="8"/>
  <c r="L607" i="8"/>
  <c r="L613" i="8"/>
  <c r="L618" i="8"/>
  <c r="L623" i="8"/>
  <c r="L626" i="8"/>
  <c r="L632" i="8"/>
  <c r="L636" i="8"/>
  <c r="L639" i="8"/>
  <c r="L939" i="8"/>
  <c r="L943" i="8"/>
  <c r="L948" i="8"/>
  <c r="L952" i="8"/>
  <c r="L956" i="8"/>
  <c r="L959" i="8"/>
  <c r="L971" i="8"/>
  <c r="L974" i="8"/>
  <c r="L976" i="8"/>
  <c r="L979" i="8"/>
  <c r="L982" i="8"/>
  <c r="L985" i="8"/>
  <c r="L988" i="8"/>
  <c r="L991" i="8"/>
  <c r="L994" i="8"/>
  <c r="L999" i="8"/>
  <c r="L1002" i="8"/>
  <c r="L1005" i="8"/>
  <c r="L1008" i="8"/>
  <c r="L1012" i="8"/>
  <c r="L1015" i="8"/>
  <c r="L1018" i="8"/>
  <c r="L1021" i="8"/>
  <c r="L1025" i="8"/>
  <c r="L1029" i="8"/>
  <c r="L1032" i="8"/>
  <c r="L1036" i="8"/>
  <c r="L1040" i="8"/>
  <c r="L1043" i="8"/>
  <c r="L1047" i="8"/>
  <c r="L1052" i="8"/>
  <c r="L1054" i="8"/>
  <c r="L1056" i="8"/>
  <c r="L1058" i="8"/>
  <c r="L1060" i="8"/>
  <c r="L1062" i="8"/>
  <c r="L1064" i="8"/>
  <c r="L1066" i="8"/>
  <c r="L1067" i="8"/>
  <c r="L1068" i="8"/>
  <c r="L1069" i="8"/>
  <c r="L1070" i="8"/>
  <c r="L1071" i="8"/>
  <c r="L1072" i="8"/>
  <c r="L1073" i="8"/>
  <c r="L1075" i="8"/>
  <c r="L1077" i="8"/>
  <c r="L1079" i="8"/>
  <c r="L1082" i="8"/>
  <c r="L1083" i="8"/>
  <c r="L1084" i="8"/>
  <c r="L1086" i="8"/>
  <c r="L1089" i="8"/>
  <c r="L1090" i="8"/>
  <c r="L1091" i="8"/>
  <c r="L1094" i="8"/>
  <c r="L1096" i="8"/>
  <c r="L1098" i="8"/>
  <c r="L1100" i="8"/>
  <c r="L1102" i="8"/>
  <c r="L1104" i="8"/>
  <c r="L1106" i="8"/>
  <c r="L1108" i="8"/>
  <c r="L1109" i="8"/>
  <c r="L1111" i="8"/>
  <c r="L1113" i="8"/>
  <c r="L1115" i="8"/>
  <c r="L1117" i="8"/>
  <c r="L1119" i="8"/>
  <c r="L1121" i="8"/>
  <c r="L1123" i="8"/>
  <c r="L1125" i="8"/>
  <c r="L1127" i="8"/>
  <c r="L1129" i="8"/>
  <c r="L1131" i="8"/>
  <c r="L1133" i="8"/>
  <c r="L1135" i="8"/>
  <c r="L1137" i="8"/>
  <c r="L1138" i="8"/>
  <c r="L1140" i="8"/>
  <c r="L1143" i="8"/>
  <c r="L1146" i="8"/>
  <c r="L1148" i="8"/>
  <c r="L1151" i="8"/>
  <c r="L1155" i="8"/>
  <c r="L1158" i="8"/>
  <c r="L1162" i="8"/>
  <c r="L1168" i="8"/>
  <c r="L1172" i="8"/>
  <c r="L1174" i="8"/>
  <c r="L1177" i="8"/>
  <c r="L1289" i="8"/>
  <c r="L1290" i="8"/>
  <c r="L1291" i="8"/>
  <c r="L1342" i="8"/>
  <c r="L1346" i="8"/>
  <c r="L1350" i="8"/>
  <c r="L1355" i="8"/>
  <c r="L34" i="8"/>
  <c r="L54" i="8"/>
  <c r="L56" i="8"/>
  <c r="L58" i="8"/>
  <c r="L59" i="8"/>
  <c r="L61" i="8"/>
  <c r="L63" i="8"/>
  <c r="L66" i="8"/>
  <c r="L67" i="8"/>
  <c r="L70" i="8"/>
  <c r="L88" i="8"/>
  <c r="L89" i="8"/>
  <c r="L90" i="8"/>
  <c r="L91" i="8"/>
  <c r="L92" i="8"/>
  <c r="L3" i="8"/>
  <c r="L4" i="8"/>
  <c r="L5" i="8"/>
  <c r="L6" i="8"/>
  <c r="L7" i="8"/>
  <c r="L8" i="8"/>
  <c r="L9" i="8"/>
  <c r="L10" i="8"/>
  <c r="L11" i="8"/>
  <c r="L12" i="8"/>
  <c r="L13" i="8"/>
  <c r="L14" i="8"/>
  <c r="L15" i="8"/>
  <c r="L16" i="8"/>
  <c r="L17" i="8"/>
  <c r="L18" i="8"/>
  <c r="L19" i="8"/>
  <c r="L20" i="8"/>
  <c r="L21" i="8"/>
  <c r="L22" i="8"/>
  <c r="L23" i="8"/>
  <c r="L24" i="8"/>
  <c r="L25" i="8"/>
  <c r="L26" i="8"/>
  <c r="L27" i="8"/>
  <c r="L28" i="8"/>
  <c r="L29" i="8"/>
  <c r="L30" i="8"/>
  <c r="L31" i="8"/>
  <c r="L32" i="8"/>
  <c r="L33" i="8"/>
  <c r="L35" i="8"/>
  <c r="L36" i="8"/>
  <c r="L37" i="8"/>
  <c r="L38" i="8"/>
  <c r="L39" i="8"/>
  <c r="L40" i="8"/>
  <c r="L41" i="8"/>
  <c r="L42" i="8"/>
  <c r="L43" i="8"/>
  <c r="L44" i="8"/>
  <c r="L45" i="8"/>
  <c r="L46" i="8"/>
  <c r="L47" i="8"/>
  <c r="L48" i="8"/>
  <c r="L49" i="8"/>
  <c r="L50" i="8"/>
  <c r="L51" i="8"/>
  <c r="L52" i="8"/>
  <c r="L53" i="8"/>
  <c r="L55" i="8"/>
  <c r="L57" i="8"/>
  <c r="L60" i="8"/>
  <c r="L62" i="8"/>
  <c r="L64" i="8"/>
  <c r="L65" i="8"/>
  <c r="L68" i="8"/>
  <c r="L69" i="8"/>
  <c r="L71" i="8"/>
  <c r="L72" i="8"/>
  <c r="L73" i="8"/>
  <c r="L74" i="8"/>
  <c r="L75" i="8"/>
  <c r="L76" i="8"/>
  <c r="L77" i="8"/>
  <c r="L78" i="8"/>
  <c r="L79" i="8"/>
  <c r="L80" i="8"/>
  <c r="L81" i="8"/>
  <c r="L98" i="8"/>
  <c r="L100" i="8"/>
  <c r="L102" i="8"/>
  <c r="L104" i="8"/>
  <c r="L106" i="8"/>
  <c r="L110" i="8"/>
  <c r="L112" i="8"/>
  <c r="L113" i="8"/>
  <c r="L115" i="8"/>
  <c r="L118" i="8"/>
  <c r="L119" i="8"/>
  <c r="L121" i="8"/>
  <c r="L124" i="8"/>
  <c r="L126" i="8"/>
  <c r="L128" i="8"/>
  <c r="L130" i="8"/>
  <c r="L132" i="8"/>
  <c r="L157" i="8"/>
  <c r="L205" i="8"/>
  <c r="L210" i="8"/>
  <c r="L214" i="8"/>
  <c r="L218" i="8"/>
  <c r="L222" i="8"/>
  <c r="L224" i="8"/>
  <c r="L228" i="8"/>
  <c r="L231" i="8"/>
  <c r="L234" i="8"/>
  <c r="L237" i="8"/>
  <c r="L242" i="8"/>
  <c r="L245" i="8"/>
  <c r="L249" i="8"/>
  <c r="L252" i="8"/>
  <c r="L256" i="8"/>
  <c r="L260" i="8"/>
  <c r="L264" i="8"/>
  <c r="L268" i="8"/>
  <c r="L271" i="8"/>
  <c r="L275" i="8"/>
  <c r="L278" i="8"/>
  <c r="L281" i="8"/>
  <c r="L284" i="8"/>
  <c r="L287" i="8"/>
  <c r="L290" i="8"/>
  <c r="L291" i="8"/>
  <c r="L294" i="8"/>
  <c r="L297" i="8"/>
  <c r="L301" i="8"/>
  <c r="L304" i="8"/>
  <c r="L306" i="8"/>
  <c r="L308" i="8"/>
  <c r="L311" i="8"/>
  <c r="L312" i="8"/>
  <c r="L315" i="8"/>
  <c r="L318" i="8"/>
  <c r="L321" i="8"/>
  <c r="L325" i="8"/>
  <c r="L328" i="8"/>
  <c r="L331" i="8"/>
  <c r="L335" i="8"/>
  <c r="L338" i="8"/>
  <c r="L342" i="8"/>
  <c r="L345" i="8"/>
  <c r="L347" i="8"/>
  <c r="L350" i="8"/>
  <c r="L353" i="8"/>
  <c r="L356" i="8"/>
  <c r="L359" i="8"/>
  <c r="L361" i="8"/>
  <c r="L364" i="8"/>
  <c r="L367" i="8"/>
  <c r="L369" i="8"/>
  <c r="L372" i="8"/>
  <c r="L377" i="8"/>
  <c r="L380" i="8"/>
  <c r="L384" i="8"/>
  <c r="L388" i="8"/>
  <c r="L392" i="8"/>
  <c r="L396" i="8"/>
  <c r="L402" i="8"/>
  <c r="L407" i="8"/>
  <c r="L410" i="8"/>
  <c r="L417" i="8"/>
  <c r="L419" i="8"/>
  <c r="L424" i="8"/>
  <c r="L429" i="8"/>
  <c r="L435" i="8"/>
  <c r="L439" i="8"/>
  <c r="L445" i="8"/>
  <c r="L451" i="8"/>
  <c r="L454" i="8"/>
  <c r="L459" i="8"/>
  <c r="L462" i="8"/>
  <c r="L475" i="8"/>
  <c r="L477" i="8"/>
  <c r="L480" i="8"/>
  <c r="L483" i="8"/>
  <c r="L485" i="8"/>
  <c r="L488" i="8"/>
  <c r="L493" i="8"/>
  <c r="L497" i="8"/>
  <c r="L503" i="8"/>
  <c r="L506" i="8"/>
  <c r="L510" i="8"/>
  <c r="L514" i="8"/>
  <c r="L518" i="8"/>
  <c r="L521" i="8"/>
  <c r="L526" i="8"/>
  <c r="L545" i="8"/>
  <c r="L547" i="8"/>
  <c r="L551" i="8"/>
  <c r="L555" i="8"/>
  <c r="L559" i="8"/>
  <c r="L561" i="8"/>
  <c r="L568" i="8"/>
  <c r="L571" i="8"/>
  <c r="L575" i="8"/>
  <c r="L582" i="8"/>
  <c r="L584" i="8"/>
  <c r="L585" i="8"/>
  <c r="L588" i="8"/>
  <c r="L594" i="8"/>
  <c r="L598" i="8"/>
  <c r="L604" i="8"/>
  <c r="L611" i="8"/>
  <c r="L616" i="8"/>
  <c r="L619" i="8"/>
  <c r="L624" i="8"/>
  <c r="L630" i="8"/>
  <c r="L635" i="8"/>
  <c r="L642" i="8"/>
  <c r="L646" i="8"/>
  <c r="L649" i="8"/>
  <c r="L653" i="8"/>
  <c r="L658" i="8"/>
  <c r="L662" i="8"/>
  <c r="L666" i="8"/>
  <c r="L669" i="8"/>
  <c r="L673" i="8"/>
  <c r="L678" i="8"/>
  <c r="L853" i="8"/>
  <c r="L856" i="8"/>
  <c r="L859" i="8"/>
  <c r="L863" i="8"/>
  <c r="L866" i="8"/>
  <c r="L869" i="8"/>
  <c r="L872" i="8"/>
  <c r="L876" i="8"/>
  <c r="L879" i="8"/>
  <c r="L882" i="8"/>
  <c r="L885" i="8"/>
  <c r="L890" i="8"/>
  <c r="L895" i="8"/>
  <c r="L897" i="8"/>
  <c r="L900" i="8"/>
  <c r="L903" i="8"/>
  <c r="L906" i="8"/>
  <c r="L910" i="8"/>
  <c r="L913" i="8"/>
  <c r="L916" i="8"/>
  <c r="L919" i="8"/>
  <c r="L921" i="8"/>
  <c r="L924" i="8"/>
  <c r="L928" i="8"/>
  <c r="L931" i="8"/>
  <c r="L933" i="8"/>
  <c r="L936" i="8"/>
  <c r="L940" i="8"/>
  <c r="L944" i="8"/>
  <c r="L947" i="8"/>
  <c r="L951" i="8"/>
  <c r="L957" i="8"/>
  <c r="L960" i="8"/>
  <c r="L962" i="8"/>
  <c r="L964" i="8"/>
  <c r="L965" i="8"/>
  <c r="L966" i="8"/>
  <c r="L967" i="8"/>
  <c r="L968" i="8"/>
  <c r="L970" i="8"/>
  <c r="L973" i="8"/>
  <c r="L978" i="8"/>
  <c r="L981" i="8"/>
  <c r="L984" i="8"/>
  <c r="L987" i="8"/>
  <c r="L990" i="8"/>
  <c r="L993" i="8"/>
  <c r="L996" i="8"/>
  <c r="L997" i="8"/>
  <c r="L1000" i="8"/>
  <c r="L1004" i="8"/>
  <c r="L1007" i="8"/>
  <c r="L1010" i="8"/>
  <c r="L1013" i="8"/>
  <c r="L1016" i="8"/>
  <c r="L1020" i="8"/>
  <c r="L1023" i="8"/>
  <c r="L1026" i="8"/>
  <c r="L1031" i="8"/>
  <c r="L1034" i="8"/>
  <c r="L1037" i="8"/>
  <c r="L1039" i="8"/>
  <c r="L1042" i="8"/>
  <c r="L1045" i="8"/>
  <c r="L1048" i="8"/>
  <c r="L1050" i="8"/>
  <c r="L1053" i="8"/>
  <c r="L1055" i="8"/>
  <c r="L1057" i="8"/>
  <c r="L1059" i="8"/>
  <c r="L1061" i="8"/>
  <c r="L1063" i="8"/>
  <c r="L1065" i="8"/>
  <c r="L1181" i="8"/>
  <c r="L1184" i="8"/>
  <c r="L1186" i="8"/>
  <c r="L1189" i="8"/>
  <c r="L1191" i="8"/>
  <c r="L1193" i="8"/>
  <c r="L1197" i="8"/>
  <c r="L1199" i="8"/>
  <c r="L1202" i="8"/>
  <c r="L1205" i="8"/>
  <c r="L1208" i="8"/>
  <c r="L1211" i="8"/>
  <c r="L1213" i="8"/>
  <c r="L1215" i="8"/>
  <c r="L1218" i="8"/>
  <c r="L1221" i="8"/>
  <c r="L1223" i="8"/>
  <c r="L1226" i="8"/>
  <c r="L1229" i="8"/>
  <c r="L1232" i="8"/>
  <c r="L1235" i="8"/>
  <c r="L1239" i="8"/>
  <c r="L1241" i="8"/>
  <c r="L1244" i="8"/>
  <c r="L1246" i="8"/>
  <c r="L1249" i="8"/>
  <c r="L1252" i="8"/>
  <c r="L1254" i="8"/>
  <c r="L1257" i="8"/>
  <c r="L1261" i="8"/>
  <c r="L1264" i="8"/>
  <c r="L1267" i="8"/>
  <c r="L1268" i="8"/>
  <c r="L1270" i="8"/>
  <c r="L1272" i="8"/>
  <c r="L1274" i="8"/>
  <c r="L1276" i="8"/>
  <c r="L1277" i="8"/>
  <c r="L1279" i="8"/>
  <c r="L1281" i="8"/>
  <c r="L158" i="8"/>
  <c r="L162" i="8"/>
  <c r="L164" i="8"/>
  <c r="L166" i="8"/>
  <c r="L168" i="8"/>
  <c r="L170" i="8"/>
  <c r="L172" i="8"/>
  <c r="L174" i="8"/>
  <c r="L176" i="8"/>
  <c r="L178" i="8"/>
  <c r="L180" i="8"/>
  <c r="L183" i="8"/>
  <c r="L186" i="8"/>
  <c r="L189" i="8"/>
  <c r="L191" i="8"/>
  <c r="L195" i="8"/>
  <c r="L197" i="8"/>
  <c r="L202" i="8"/>
  <c r="L208" i="8"/>
  <c r="L212" i="8"/>
  <c r="L216" i="8"/>
  <c r="L221" i="8"/>
  <c r="L226" i="8"/>
  <c r="L232" i="8"/>
  <c r="L238" i="8"/>
  <c r="L243" i="8"/>
  <c r="L246" i="8"/>
  <c r="L250" i="8"/>
  <c r="L255" i="8"/>
  <c r="L259" i="8"/>
  <c r="L263" i="8"/>
  <c r="L267" i="8"/>
  <c r="L270" i="8"/>
  <c r="L273" i="8"/>
  <c r="L277" i="8"/>
  <c r="L280" i="8"/>
  <c r="L282" i="8"/>
  <c r="L285" i="8"/>
  <c r="L288" i="8"/>
  <c r="L292" i="8"/>
  <c r="L295" i="8"/>
  <c r="L298" i="8"/>
  <c r="L300" i="8"/>
  <c r="L303" i="8"/>
  <c r="L307" i="8"/>
  <c r="L310" i="8"/>
  <c r="L313" i="8"/>
  <c r="L316" i="8"/>
  <c r="L319" i="8"/>
  <c r="L322" i="8"/>
  <c r="L324" i="8"/>
  <c r="L327" i="8"/>
  <c r="L330" i="8"/>
  <c r="L333" i="8"/>
  <c r="L336" i="8"/>
  <c r="L339" i="8"/>
  <c r="L341" i="8"/>
  <c r="L343" i="8"/>
  <c r="L348" i="8"/>
  <c r="L351" i="8"/>
  <c r="L354" i="8"/>
  <c r="L357" i="8"/>
  <c r="L360" i="8"/>
  <c r="L363" i="8"/>
  <c r="L366" i="8"/>
  <c r="L371" i="8"/>
  <c r="L375" i="8"/>
  <c r="L379" i="8"/>
  <c r="L383" i="8"/>
  <c r="L387" i="8"/>
  <c r="L391" i="8"/>
  <c r="L395" i="8"/>
  <c r="L399" i="8"/>
  <c r="L403" i="8"/>
  <c r="L406" i="8"/>
  <c r="L411" i="8"/>
  <c r="L416" i="8"/>
  <c r="L421" i="8"/>
  <c r="L426" i="8"/>
  <c r="L430" i="8"/>
  <c r="L434" i="8"/>
  <c r="L442" i="8"/>
  <c r="L446" i="8"/>
  <c r="L452" i="8"/>
  <c r="L456" i="8"/>
  <c r="L592" i="8"/>
  <c r="L596" i="8"/>
  <c r="L601" i="8"/>
  <c r="L606" i="8"/>
  <c r="L610" i="8"/>
  <c r="L614" i="8"/>
  <c r="L617" i="8"/>
  <c r="L622" i="8"/>
  <c r="L625" i="8"/>
  <c r="L629" i="8"/>
  <c r="L633" i="8"/>
  <c r="L637" i="8"/>
  <c r="L641" i="8"/>
  <c r="L647" i="8"/>
  <c r="L651" i="8"/>
  <c r="L654" i="8"/>
  <c r="L655" i="8"/>
  <c r="L659" i="8"/>
  <c r="L661" i="8"/>
  <c r="L665" i="8"/>
  <c r="L667" i="8"/>
  <c r="L671" i="8"/>
  <c r="L676" i="8"/>
  <c r="L679" i="8"/>
  <c r="L854" i="8"/>
  <c r="L857" i="8"/>
  <c r="L861" i="8"/>
  <c r="L864" i="8"/>
  <c r="L870" i="8"/>
  <c r="L874" i="8"/>
  <c r="L878" i="8"/>
  <c r="L883" i="8"/>
  <c r="L887" i="8"/>
  <c r="L891" i="8"/>
  <c r="L894" i="8"/>
  <c r="L898" i="8"/>
  <c r="L901" i="8"/>
  <c r="L904" i="8"/>
  <c r="L908" i="8"/>
  <c r="L912" i="8"/>
  <c r="L914" i="8"/>
  <c r="L918" i="8"/>
  <c r="L920" i="8"/>
  <c r="L923" i="8"/>
  <c r="L926" i="8"/>
  <c r="L929" i="8"/>
  <c r="L932" i="8"/>
  <c r="L935" i="8"/>
  <c r="L938" i="8"/>
  <c r="L942" i="8"/>
  <c r="L946" i="8"/>
  <c r="L950" i="8"/>
  <c r="L954" i="8"/>
  <c r="L969" i="8"/>
  <c r="L972" i="8"/>
  <c r="L975" i="8"/>
  <c r="L977" i="8"/>
  <c r="L980" i="8"/>
  <c r="L983" i="8"/>
  <c r="L986" i="8"/>
  <c r="L989" i="8"/>
  <c r="L992" i="8"/>
  <c r="L995" i="8"/>
  <c r="L998" i="8"/>
  <c r="L1001" i="8"/>
  <c r="L1003" i="8"/>
  <c r="L1006" i="8"/>
  <c r="L1009" i="8"/>
  <c r="L1011" i="8"/>
  <c r="L1014" i="8"/>
  <c r="L1017" i="8"/>
  <c r="L1019" i="8"/>
  <c r="L1022" i="8"/>
  <c r="L1024" i="8"/>
  <c r="L1027" i="8"/>
  <c r="L1028" i="8"/>
  <c r="L1030" i="8"/>
  <c r="L1033" i="8"/>
  <c r="L1035" i="8"/>
  <c r="L1038" i="8"/>
  <c r="L1041" i="8"/>
  <c r="L1044" i="8"/>
  <c r="L1046" i="8"/>
  <c r="L1049" i="8"/>
  <c r="L1051" i="8"/>
  <c r="L1074" i="8"/>
  <c r="L1076" i="8"/>
  <c r="L1078" i="8"/>
  <c r="L1080" i="8"/>
  <c r="L1081" i="8"/>
  <c r="L1085" i="8"/>
  <c r="L1087" i="8"/>
  <c r="L1088" i="8"/>
  <c r="L1092" i="8"/>
  <c r="L1093" i="8"/>
  <c r="L1095" i="8"/>
  <c r="L1097" i="8"/>
  <c r="L1099" i="8"/>
  <c r="L1101" i="8"/>
  <c r="L1103" i="8"/>
  <c r="L1105" i="8"/>
  <c r="L1107" i="8"/>
  <c r="L1110" i="8"/>
  <c r="L1112" i="8"/>
  <c r="L1114" i="8"/>
  <c r="L1116" i="8"/>
  <c r="L1118" i="8"/>
  <c r="L1120" i="8"/>
  <c r="L1122" i="8"/>
  <c r="L1124" i="8"/>
  <c r="L1126" i="8"/>
  <c r="L1128" i="8"/>
  <c r="L1130" i="8"/>
  <c r="L1132" i="8"/>
  <c r="L1134" i="8"/>
  <c r="L1136" i="8"/>
  <c r="L1139" i="8"/>
  <c r="L1141" i="8"/>
  <c r="L1142" i="8"/>
  <c r="L1147" i="8"/>
  <c r="L1149" i="8"/>
  <c r="L1152" i="8"/>
  <c r="L1154" i="8"/>
  <c r="L1156" i="8"/>
  <c r="L1159" i="8"/>
  <c r="L1163" i="8"/>
  <c r="L1166" i="8"/>
  <c r="L1170" i="8"/>
  <c r="L1173" i="8"/>
  <c r="L1178" i="8"/>
  <c r="L1179" i="8"/>
  <c r="L1180" i="8"/>
  <c r="L1182" i="8"/>
  <c r="L1183" i="8"/>
  <c r="L1185" i="8"/>
  <c r="L1187" i="8"/>
  <c r="L1188" i="8"/>
  <c r="L1190" i="8"/>
  <c r="L1192" i="8"/>
  <c r="L1194" i="8"/>
  <c r="L1195" i="8"/>
  <c r="L1198" i="8"/>
  <c r="L1201" i="8"/>
  <c r="L1204" i="8"/>
  <c r="L1207" i="8"/>
  <c r="L1210" i="8"/>
  <c r="L1214" i="8"/>
  <c r="L1217" i="8"/>
  <c r="L1220" i="8"/>
  <c r="L1224" i="8"/>
  <c r="L1227" i="8"/>
  <c r="L1228" i="8"/>
  <c r="L1231" i="8"/>
  <c r="L1234" i="8"/>
  <c r="L1237" i="8"/>
  <c r="L1240" i="8"/>
  <c r="L1243" i="8"/>
  <c r="L1247" i="8"/>
  <c r="L1251" i="8"/>
  <c r="L1253" i="8"/>
  <c r="L1256" i="8"/>
  <c r="L1258" i="8"/>
  <c r="L1260" i="8"/>
  <c r="L1263" i="8"/>
  <c r="L1265" i="8"/>
  <c r="L1300" i="8"/>
  <c r="L1303" i="8"/>
  <c r="L1306" i="8"/>
  <c r="L1310" i="8"/>
  <c r="L1313" i="8"/>
  <c r="L1316" i="8"/>
  <c r="L1318" i="8"/>
  <c r="L1322" i="8"/>
  <c r="L1326" i="8"/>
  <c r="L1329" i="8"/>
  <c r="L1330" i="8"/>
  <c r="L1339" i="8"/>
  <c r="L1344" i="8"/>
  <c r="L1349" i="8"/>
  <c r="L1352" i="8"/>
  <c r="L117" i="8"/>
  <c r="L137" i="8"/>
  <c r="L139" i="8"/>
  <c r="L141" i="8"/>
  <c r="L143" i="8"/>
  <c r="L146" i="8"/>
  <c r="L148" i="8"/>
  <c r="L151" i="8"/>
  <c r="L152" i="8"/>
  <c r="L153" i="8"/>
  <c r="L154" i="8"/>
  <c r="L431" i="8"/>
  <c r="L438" i="8"/>
  <c r="L443" i="8"/>
  <c r="L447" i="8"/>
  <c r="L450" i="8"/>
  <c r="L453" i="8"/>
  <c r="L457" i="8"/>
  <c r="L460" i="8"/>
  <c r="L463" i="8"/>
  <c r="L465" i="8"/>
  <c r="L467" i="8"/>
  <c r="L469" i="8"/>
  <c r="L471" i="8"/>
  <c r="L472" i="8"/>
  <c r="L474" i="8"/>
  <c r="L478" i="8"/>
  <c r="L481" i="8"/>
  <c r="L484" i="8"/>
  <c r="L487" i="8"/>
  <c r="L489" i="8"/>
  <c r="L492" i="8"/>
  <c r="L496" i="8"/>
  <c r="L500" i="8"/>
  <c r="L504" i="8"/>
  <c r="L508" i="8"/>
  <c r="L512" i="8"/>
  <c r="L517" i="8"/>
  <c r="L522" i="8"/>
  <c r="L525" i="8"/>
  <c r="L542" i="8"/>
  <c r="L549" i="8"/>
  <c r="L553" i="8"/>
  <c r="L557" i="8"/>
  <c r="L563" i="8"/>
  <c r="L566" i="8"/>
  <c r="L570" i="8"/>
  <c r="L573" i="8"/>
  <c r="L576" i="8"/>
  <c r="L579" i="8"/>
  <c r="L590" i="8"/>
  <c r="L593" i="8"/>
  <c r="L599" i="8"/>
  <c r="L603" i="8"/>
  <c r="L609" i="8"/>
  <c r="L615" i="8"/>
  <c r="L620" i="8"/>
  <c r="L628" i="8"/>
  <c r="L634" i="8"/>
  <c r="L644" i="8"/>
  <c r="L648" i="8"/>
  <c r="L652" i="8"/>
  <c r="L656" i="8"/>
  <c r="L660" i="8"/>
  <c r="L663" i="8"/>
  <c r="L670" i="8"/>
  <c r="L674" i="8"/>
  <c r="L852" i="8"/>
  <c r="L858" i="8"/>
  <c r="L862" i="8"/>
  <c r="L867" i="8"/>
  <c r="L871" i="8"/>
  <c r="L875" i="8"/>
  <c r="L880" i="8"/>
  <c r="L884" i="8"/>
  <c r="L888" i="8"/>
  <c r="L892" i="8"/>
  <c r="L1320" i="8"/>
  <c r="L1333" i="8"/>
  <c r="L1335" i="8"/>
  <c r="L1337" i="8"/>
  <c r="L1345" i="8"/>
  <c r="L1351" i="8"/>
  <c r="L1354" i="8"/>
  <c r="L2" i="8"/>
  <c r="L84" i="8"/>
  <c r="L85" i="8"/>
  <c r="L86" i="8"/>
  <c r="L87" i="8"/>
  <c r="L155" i="8"/>
  <c r="L184" i="8"/>
  <c r="L187" i="8"/>
  <c r="L190" i="8"/>
  <c r="L193" i="8"/>
  <c r="L196" i="8"/>
  <c r="L199" i="8"/>
  <c r="L201" i="8"/>
  <c r="L204" i="8"/>
  <c r="L206" i="8"/>
  <c r="L209" i="8"/>
  <c r="L213" i="8"/>
  <c r="L217" i="8"/>
  <c r="L220" i="8"/>
  <c r="L225" i="8"/>
  <c r="L229" i="8"/>
  <c r="L233" i="8"/>
  <c r="L236" i="8"/>
  <c r="L240" i="8"/>
  <c r="L244" i="8"/>
  <c r="L247" i="8"/>
  <c r="L251" i="8"/>
  <c r="L254" i="8"/>
  <c r="L258" i="8"/>
  <c r="L262" i="8"/>
  <c r="L266" i="8"/>
  <c r="L269" i="8"/>
  <c r="L272" i="8"/>
  <c r="L274" i="8"/>
  <c r="L276" i="8"/>
  <c r="L279" i="8"/>
  <c r="L283" i="8"/>
  <c r="L286" i="8"/>
  <c r="L289" i="8"/>
  <c r="L293" i="8"/>
  <c r="L296" i="8"/>
  <c r="L299" i="8"/>
  <c r="L302" i="8"/>
  <c r="L305" i="8"/>
  <c r="L309" i="8"/>
  <c r="L314" i="8"/>
  <c r="L317" i="8"/>
  <c r="L320" i="8"/>
  <c r="L323" i="8"/>
  <c r="L326" i="8"/>
  <c r="L329" i="8"/>
  <c r="L332" i="8"/>
  <c r="L334" i="8"/>
  <c r="L337" i="8"/>
  <c r="L340" i="8"/>
  <c r="L344" i="8"/>
  <c r="L346" i="8"/>
  <c r="L349" i="8"/>
  <c r="L352" i="8"/>
  <c r="L355" i="8"/>
  <c r="L358" i="8"/>
  <c r="L362" i="8"/>
  <c r="L365" i="8"/>
  <c r="L368" i="8"/>
  <c r="L370" i="8"/>
  <c r="L373" i="8"/>
  <c r="L376" i="8"/>
  <c r="L378" i="8"/>
  <c r="L382" i="8"/>
  <c r="L386" i="8"/>
  <c r="L390" i="8"/>
  <c r="L394" i="8"/>
  <c r="L397" i="8"/>
  <c r="L400" i="8"/>
  <c r="L405" i="8"/>
  <c r="L409" i="8"/>
  <c r="L413" i="8"/>
  <c r="L418" i="8"/>
  <c r="L422" i="8"/>
  <c r="L425" i="8"/>
  <c r="L427" i="8"/>
  <c r="L433" i="8"/>
  <c r="L437" i="8"/>
  <c r="L440" i="8"/>
  <c r="L444" i="8"/>
  <c r="L448" i="8"/>
  <c r="L491" i="8"/>
  <c r="L495" i="8"/>
  <c r="L499" i="8"/>
  <c r="L502" i="8"/>
  <c r="L505" i="8"/>
  <c r="L509" i="8"/>
  <c r="L513" i="8"/>
  <c r="L516" i="8"/>
  <c r="L520" i="8"/>
  <c r="L524" i="8"/>
  <c r="L528" i="8"/>
  <c r="L529" i="8"/>
  <c r="L531" i="8"/>
  <c r="L533" i="8"/>
  <c r="L535" i="8"/>
  <c r="L537" i="8"/>
  <c r="L539" i="8"/>
  <c r="L541" i="8"/>
  <c r="L543" i="8"/>
  <c r="L546" i="8"/>
  <c r="L550" i="8"/>
  <c r="L554" i="8"/>
  <c r="L558" i="8"/>
  <c r="L562" i="8"/>
  <c r="L565" i="8"/>
  <c r="L569" i="8"/>
  <c r="L574" i="8"/>
  <c r="L577" i="8"/>
  <c r="L580" i="8"/>
  <c r="L583" i="8"/>
  <c r="L586" i="8"/>
  <c r="L589" i="8"/>
  <c r="L595" i="8"/>
  <c r="L600" i="8"/>
  <c r="L605" i="8"/>
  <c r="L608" i="8"/>
  <c r="L612" i="8"/>
  <c r="L621" i="8"/>
  <c r="L627" i="8"/>
  <c r="L631" i="8"/>
  <c r="L638" i="8"/>
  <c r="L640" i="8"/>
  <c r="L643" i="8"/>
  <c r="L645" i="8"/>
  <c r="L650" i="8"/>
  <c r="L657" i="8"/>
  <c r="L664" i="8"/>
  <c r="L668" i="8"/>
  <c r="L672" i="8"/>
  <c r="L675" i="8"/>
  <c r="L677" i="8"/>
  <c r="L851" i="8"/>
  <c r="L855" i="8"/>
  <c r="L860" i="8"/>
  <c r="L865" i="8"/>
  <c r="L868" i="8"/>
  <c r="L873" i="8"/>
  <c r="L877" i="8"/>
  <c r="L881" i="8"/>
  <c r="L886" i="8"/>
  <c r="L889" i="8"/>
  <c r="L893" i="8"/>
  <c r="L896" i="8"/>
  <c r="L899" i="8"/>
  <c r="L902" i="8"/>
  <c r="L905" i="8"/>
  <c r="L907" i="8"/>
  <c r="L909" i="8"/>
  <c r="L911" i="8"/>
  <c r="L915" i="8"/>
  <c r="L917" i="8"/>
  <c r="L922" i="8"/>
  <c r="L925" i="8"/>
  <c r="L927" i="8"/>
  <c r="L930" i="8"/>
  <c r="L934" i="8"/>
  <c r="L937" i="8"/>
  <c r="L941" i="8"/>
  <c r="L945" i="8"/>
  <c r="L949" i="8"/>
  <c r="L953" i="8"/>
  <c r="L955" i="8"/>
  <c r="L958" i="8"/>
  <c r="L961" i="8"/>
  <c r="L963" i="8"/>
  <c r="L1157" i="8"/>
  <c r="L1161" i="8"/>
  <c r="L1165" i="8"/>
  <c r="L1169" i="8"/>
  <c r="L1171" i="8"/>
  <c r="L1175" i="8"/>
  <c r="L1176" i="8"/>
  <c r="L1294" i="8"/>
  <c r="L1297" i="8"/>
  <c r="L1299" i="8"/>
  <c r="L1302" i="8"/>
  <c r="L1305" i="8"/>
  <c r="L1308" i="8"/>
  <c r="L1311" i="8"/>
  <c r="L1315" i="8"/>
  <c r="L1319" i="8"/>
  <c r="L1323" i="8"/>
  <c r="L1325" i="8"/>
  <c r="L1328" i="8"/>
  <c r="L1331" i="8"/>
  <c r="L1340" i="8"/>
  <c r="L1347" i="8"/>
  <c r="L1353" i="8"/>
  <c r="L1356" i="8"/>
  <c r="L1634" i="8"/>
  <c r="L1635" i="8"/>
  <c r="L1637" i="8"/>
  <c r="L1717" i="8"/>
  <c r="L1718" i="8"/>
  <c r="L1719" i="8"/>
  <c r="L1738" i="8"/>
  <c r="L1741" i="8"/>
  <c r="L1744" i="8"/>
  <c r="L1746" i="8"/>
  <c r="L1748" i="8"/>
  <c r="L1750" i="8"/>
  <c r="L1752" i="8"/>
  <c r="L1753" i="8"/>
  <c r="L1594" i="8"/>
  <c r="L1757" i="8"/>
  <c r="L1760" i="8"/>
  <c r="L1762" i="8"/>
  <c r="L1764" i="8"/>
  <c r="L1766" i="8"/>
  <c r="L1768" i="8"/>
  <c r="L1770" i="8"/>
  <c r="L1772" i="8"/>
  <c r="L1774" i="8"/>
  <c r="L1776" i="8"/>
  <c r="L1778" i="8"/>
  <c r="L1781" i="8"/>
  <c r="L1784" i="8"/>
  <c r="L1787" i="8"/>
  <c r="L1789" i="8"/>
  <c r="L1792" i="8"/>
  <c r="L1796" i="8"/>
  <c r="L1799" i="8"/>
  <c r="L1801" i="8"/>
  <c r="L1804" i="8"/>
  <c r="L1807" i="8"/>
  <c r="L1810" i="8"/>
  <c r="L1814" i="8"/>
  <c r="L1817" i="8"/>
  <c r="L1819" i="8"/>
  <c r="L1821" i="8"/>
  <c r="L1824" i="8"/>
  <c r="L1828" i="8"/>
  <c r="L1831" i="8"/>
  <c r="L1834" i="8"/>
  <c r="L1836" i="8"/>
  <c r="L1840" i="8"/>
  <c r="L1844" i="8"/>
  <c r="L1847" i="8"/>
  <c r="L1849" i="8"/>
  <c r="L1852" i="8"/>
  <c r="L1856" i="8"/>
  <c r="L1859" i="8"/>
  <c r="L1861" i="8"/>
  <c r="L1864" i="8"/>
  <c r="L1867" i="8"/>
  <c r="L1870" i="8"/>
  <c r="L1873" i="8"/>
  <c r="L1875" i="8"/>
  <c r="L1877" i="8"/>
  <c r="L1882" i="8"/>
  <c r="L1884" i="8"/>
  <c r="L1886" i="8"/>
  <c r="L1889" i="8"/>
  <c r="L1892" i="8"/>
  <c r="L1895" i="8"/>
  <c r="L1897" i="8"/>
  <c r="L1900" i="8"/>
  <c r="L1903" i="8"/>
  <c r="L1906" i="8"/>
  <c r="L1909" i="8"/>
  <c r="L1912" i="8"/>
  <c r="L1915" i="8"/>
  <c r="L1918" i="8"/>
  <c r="L1922" i="8"/>
  <c r="L1925" i="8"/>
  <c r="L1927" i="8"/>
  <c r="L1930" i="8"/>
  <c r="L1933" i="8"/>
  <c r="L1936" i="8"/>
  <c r="L1939" i="8"/>
  <c r="L1943" i="8"/>
  <c r="L1946" i="8"/>
  <c r="L1949" i="8"/>
  <c r="L1952" i="8"/>
  <c r="L1955" i="8"/>
  <c r="L1958" i="8"/>
  <c r="L1961" i="8"/>
  <c r="L1999" i="8"/>
  <c r="L2002" i="8"/>
  <c r="L2004" i="8"/>
  <c r="L2007" i="8"/>
  <c r="L2010" i="8"/>
  <c r="L2012" i="8"/>
  <c r="L2015" i="8"/>
  <c r="L2018" i="8"/>
  <c r="L2020" i="8"/>
  <c r="L2023" i="8"/>
  <c r="L2026" i="8"/>
  <c r="L2029" i="8"/>
  <c r="L2032" i="8"/>
  <c r="L2034" i="8"/>
  <c r="L2037" i="8"/>
  <c r="L2040" i="8"/>
  <c r="L2043" i="8"/>
  <c r="L2045" i="8"/>
  <c r="L2048" i="8"/>
  <c r="L2051" i="8"/>
  <c r="L2053" i="8"/>
  <c r="L2055" i="8"/>
  <c r="L2057" i="8"/>
  <c r="L2059" i="8"/>
  <c r="L2061" i="8"/>
  <c r="L2063" i="8"/>
  <c r="L2065" i="8"/>
  <c r="L2068" i="8"/>
  <c r="L2070" i="8"/>
  <c r="L2072" i="8"/>
  <c r="L2074" i="8"/>
  <c r="L2076" i="8"/>
  <c r="L2078" i="8"/>
  <c r="L2079" i="8"/>
  <c r="L2080" i="8"/>
  <c r="L2081" i="8"/>
  <c r="L2082" i="8"/>
  <c r="L2083" i="8"/>
  <c r="L2084" i="8"/>
  <c r="L2085" i="8"/>
  <c r="L2086" i="8"/>
  <c r="L2087" i="8"/>
  <c r="L2088" i="8"/>
  <c r="L2089" i="8"/>
  <c r="L2090" i="8"/>
  <c r="L2091" i="8"/>
  <c r="L2092" i="8"/>
  <c r="L2093" i="8"/>
  <c r="L2094" i="8"/>
  <c r="L2095" i="8"/>
  <c r="L2096" i="8"/>
  <c r="L2097" i="8"/>
  <c r="L2098" i="8"/>
  <c r="L2099" i="8"/>
  <c r="L2100" i="8"/>
  <c r="L2101" i="8"/>
  <c r="L2103" i="8"/>
  <c r="L2105" i="8"/>
  <c r="L2108" i="8"/>
  <c r="L2110" i="8"/>
  <c r="L2112" i="8"/>
  <c r="L2115" i="8"/>
  <c r="L2117" i="8"/>
  <c r="L2119" i="8"/>
  <c r="L2122" i="8"/>
  <c r="L2124" i="8"/>
  <c r="L2126" i="8"/>
  <c r="L2128" i="8"/>
  <c r="L2132" i="8"/>
  <c r="L2134" i="8"/>
  <c r="L2136" i="8"/>
  <c r="L2138" i="8"/>
  <c r="L2140" i="8"/>
  <c r="L2142" i="8"/>
  <c r="L2144" i="8"/>
  <c r="L2146" i="8"/>
  <c r="L2149" i="8"/>
  <c r="L2151" i="8"/>
  <c r="L2153" i="8"/>
  <c r="L2155" i="8"/>
  <c r="L2158" i="8"/>
  <c r="L2160" i="8"/>
  <c r="L2162" i="8"/>
  <c r="L2165" i="8"/>
  <c r="L2167" i="8"/>
  <c r="L2169" i="8"/>
  <c r="L2171" i="8"/>
  <c r="L2173" i="8"/>
  <c r="L2175" i="8"/>
  <c r="L2177" i="8"/>
  <c r="L2179" i="8"/>
  <c r="L2181" i="8"/>
  <c r="L2183" i="8"/>
  <c r="L2185" i="8"/>
  <c r="L2188" i="8"/>
  <c r="L2190" i="8"/>
  <c r="L2192" i="8"/>
  <c r="L2194" i="8"/>
  <c r="L2197" i="8"/>
  <c r="L2198" i="8"/>
  <c r="L2201" i="8"/>
  <c r="L2203" i="8"/>
  <c r="L2206" i="8"/>
  <c r="L2208" i="8"/>
  <c r="L2211" i="8"/>
  <c r="L2212" i="8"/>
  <c r="L2213" i="8"/>
  <c r="L2216" i="8"/>
  <c r="L2218" i="8"/>
  <c r="L2220" i="8"/>
  <c r="L2222" i="8"/>
  <c r="L2224" i="8"/>
  <c r="L2225" i="8"/>
  <c r="L2227" i="8"/>
  <c r="L2229" i="8"/>
  <c r="L2230" i="8"/>
  <c r="L2232" i="8"/>
  <c r="L2234" i="8"/>
  <c r="L2236" i="8"/>
  <c r="L2237" i="8"/>
  <c r="L2238" i="8"/>
  <c r="L2240" i="8"/>
  <c r="L2242" i="8"/>
  <c r="L2243" i="8"/>
  <c r="L2245" i="8"/>
  <c r="L2247" i="8"/>
  <c r="L2249" i="8"/>
  <c r="L2251" i="8"/>
  <c r="L2253" i="8"/>
  <c r="L2254" i="8"/>
  <c r="L2256" i="8"/>
  <c r="L2258" i="8"/>
  <c r="L2260" i="8"/>
  <c r="L2262" i="8"/>
  <c r="L2264" i="8"/>
  <c r="L2266" i="8"/>
  <c r="L2268" i="8"/>
  <c r="L2270" i="8"/>
  <c r="L2271" i="8"/>
  <c r="L2272" i="8"/>
  <c r="L2273" i="8"/>
  <c r="L2274" i="8"/>
  <c r="L2275" i="8"/>
  <c r="L2276" i="8"/>
  <c r="L2277" i="8"/>
  <c r="L2278" i="8"/>
  <c r="L2279" i="8"/>
  <c r="L2280" i="8"/>
  <c r="L2281" i="8"/>
  <c r="L2282" i="8"/>
  <c r="L2283" i="8"/>
  <c r="L2284" i="8"/>
  <c r="L2287" i="8"/>
  <c r="L2288" i="8"/>
  <c r="L2290" i="8"/>
  <c r="L2292" i="8"/>
  <c r="L2294" i="8"/>
  <c r="L2296" i="8"/>
  <c r="L2298" i="8"/>
  <c r="L2300" i="8"/>
  <c r="L2302" i="8"/>
  <c r="L2304" i="8"/>
  <c r="L2306" i="8"/>
  <c r="L2308" i="8"/>
  <c r="L2310" i="8"/>
  <c r="L2312" i="8"/>
  <c r="L2314" i="8"/>
  <c r="L2316" i="8"/>
  <c r="L2318" i="8"/>
  <c r="L2320" i="8"/>
  <c r="L2322" i="8"/>
  <c r="L2358" i="8"/>
  <c r="L2360" i="8"/>
  <c r="L2362" i="8"/>
  <c r="L2364" i="8"/>
  <c r="L2366" i="8"/>
  <c r="L2368" i="8"/>
  <c r="L2370" i="8"/>
  <c r="L2372" i="8"/>
  <c r="L2374" i="8"/>
  <c r="L2376" i="8"/>
  <c r="L2378" i="8"/>
  <c r="L2380" i="8"/>
  <c r="L2382" i="8"/>
  <c r="L2384" i="8"/>
  <c r="L2387" i="8"/>
  <c r="L2389" i="8"/>
  <c r="L2394" i="8"/>
  <c r="L2396" i="8"/>
  <c r="L2398" i="8"/>
  <c r="L2400" i="8"/>
  <c r="L2402" i="8"/>
  <c r="L2403" i="8"/>
  <c r="L2404" i="8"/>
  <c r="L2405" i="8"/>
  <c r="L2406" i="8"/>
  <c r="L2407" i="8"/>
  <c r="L2408" i="8"/>
  <c r="L2409" i="8"/>
  <c r="L2413" i="8"/>
  <c r="L2415" i="8"/>
  <c r="L2417" i="8"/>
  <c r="L2420" i="8"/>
  <c r="L2422" i="8"/>
  <c r="L2425" i="8"/>
  <c r="L2428" i="8"/>
  <c r="L2430" i="8"/>
  <c r="L2432" i="8"/>
  <c r="L2433" i="8"/>
  <c r="L2436" i="8"/>
  <c r="L2438" i="8"/>
  <c r="L2440" i="8"/>
  <c r="L2443" i="8"/>
  <c r="L2445" i="8"/>
  <c r="L2447" i="8"/>
  <c r="L2450" i="8"/>
  <c r="L2454" i="8"/>
  <c r="L2456" i="8"/>
  <c r="L2459" i="8"/>
  <c r="L2462" i="8"/>
  <c r="L2464" i="8"/>
  <c r="L2467" i="8"/>
  <c r="L2469" i="8"/>
  <c r="L2471" i="8"/>
  <c r="L2473" i="8"/>
  <c r="L2477" i="8"/>
  <c r="L2479" i="8"/>
  <c r="L2481" i="8"/>
  <c r="L2483" i="8"/>
  <c r="L2484" i="8"/>
  <c r="L2487" i="8"/>
  <c r="L2490" i="8"/>
  <c r="L2494" i="8"/>
  <c r="L2496" i="8"/>
  <c r="L2498" i="8"/>
  <c r="L2501" i="8"/>
  <c r="L2504" i="8"/>
  <c r="L2506" i="8"/>
  <c r="L2507" i="8"/>
  <c r="L2509" i="8"/>
  <c r="L2511" i="8"/>
  <c r="L2513" i="8"/>
  <c r="L2515" i="8"/>
  <c r="L2517" i="8"/>
  <c r="L2519" i="8"/>
  <c r="L2521" i="8"/>
  <c r="L2523" i="8"/>
  <c r="L2527" i="8"/>
  <c r="L2530" i="8"/>
  <c r="L2532" i="8"/>
  <c r="L2535" i="8"/>
  <c r="L2538" i="8"/>
  <c r="L2541" i="8"/>
  <c r="L2543" i="8"/>
  <c r="L2545" i="8"/>
  <c r="L2547" i="8"/>
  <c r="L2553" i="8"/>
  <c r="L2555" i="8"/>
  <c r="L2558" i="8"/>
  <c r="L2560" i="8"/>
  <c r="L2562" i="8"/>
  <c r="L2564" i="8"/>
  <c r="L2566" i="8"/>
  <c r="L2568" i="8"/>
  <c r="L2570" i="8"/>
  <c r="L2573" i="8"/>
  <c r="L2579" i="8"/>
  <c r="L2580" i="8"/>
  <c r="L2581" i="8"/>
  <c r="L2582" i="8"/>
  <c r="L2583" i="8"/>
  <c r="L2584" i="8"/>
  <c r="L2585" i="8"/>
  <c r="L2586" i="8"/>
  <c r="L2587" i="8"/>
  <c r="L2588" i="8"/>
  <c r="L2589" i="8"/>
  <c r="L2590" i="8"/>
  <c r="L2591" i="8"/>
  <c r="L2592" i="8"/>
  <c r="L2593" i="8"/>
  <c r="L2594" i="8"/>
  <c r="L2595" i="8"/>
  <c r="L2596" i="8"/>
  <c r="L2597" i="8"/>
  <c r="L2598" i="8"/>
  <c r="L2599" i="8"/>
  <c r="L2600" i="8"/>
  <c r="L2601" i="8"/>
  <c r="L2602" i="8"/>
  <c r="L2603" i="8"/>
  <c r="L2604" i="8"/>
  <c r="L2605" i="8"/>
  <c r="L2606" i="8"/>
  <c r="L2607" i="8"/>
  <c r="L2608" i="8"/>
  <c r="L2609" i="8"/>
  <c r="L2610" i="8"/>
  <c r="L2611" i="8"/>
  <c r="L2612" i="8"/>
  <c r="L2613" i="8"/>
  <c r="L2614" i="8"/>
  <c r="L2615" i="8"/>
  <c r="L2616" i="8"/>
  <c r="L2617" i="8"/>
  <c r="L2618" i="8"/>
  <c r="L2619" i="8"/>
  <c r="L2620" i="8"/>
  <c r="L2621" i="8"/>
  <c r="L2622" i="8"/>
  <c r="L2623" i="8"/>
  <c r="L2624" i="8"/>
  <c r="L2625" i="8"/>
  <c r="L2626" i="8"/>
  <c r="L2627" i="8"/>
  <c r="L2628" i="8"/>
  <c r="L2629" i="8"/>
  <c r="L2630" i="8"/>
  <c r="L2631" i="8"/>
  <c r="L2632" i="8"/>
  <c r="L2633" i="8"/>
  <c r="L2634" i="8"/>
  <c r="L2635" i="8"/>
  <c r="L2636" i="8"/>
  <c r="L2637" i="8"/>
  <c r="L2638" i="8"/>
  <c r="L2639" i="8"/>
  <c r="L2640" i="8"/>
  <c r="L2641" i="8"/>
  <c r="L2642" i="8"/>
  <c r="L2643" i="8"/>
  <c r="L2644" i="8"/>
  <c r="L2645" i="8"/>
  <c r="L2646" i="8"/>
  <c r="L2647" i="8"/>
  <c r="L2648" i="8"/>
  <c r="L2649" i="8"/>
  <c r="L2650" i="8"/>
  <c r="L2651" i="8"/>
  <c r="L2652" i="8"/>
  <c r="L2653" i="8"/>
  <c r="L2654" i="8"/>
  <c r="L2655" i="8"/>
  <c r="L2656" i="8"/>
  <c r="L2657" i="8"/>
  <c r="L2658" i="8"/>
  <c r="L2659" i="8"/>
  <c r="L2660" i="8"/>
  <c r="L2661" i="8"/>
  <c r="L2662" i="8"/>
  <c r="L2663" i="8"/>
  <c r="L2664" i="8"/>
  <c r="L2665" i="8"/>
  <c r="L2666" i="8"/>
  <c r="L2667" i="8"/>
  <c r="L2668" i="8"/>
  <c r="L2669" i="8"/>
  <c r="L2670" i="8"/>
  <c r="L2671" i="8"/>
  <c r="L2672" i="8"/>
  <c r="L2673" i="8"/>
  <c r="L2674" i="8"/>
  <c r="L2675" i="8"/>
  <c r="L2676" i="8"/>
  <c r="L2677" i="8"/>
  <c r="L2678" i="8"/>
  <c r="L2679" i="8"/>
  <c r="L2680" i="8"/>
  <c r="L2681" i="8"/>
  <c r="L2682" i="8"/>
  <c r="L2683" i="8"/>
  <c r="L2684" i="8"/>
  <c r="L2685" i="8"/>
  <c r="L2686" i="8"/>
  <c r="L2687" i="8"/>
  <c r="L2688" i="8"/>
  <c r="L2689" i="8"/>
  <c r="L2690" i="8"/>
  <c r="L2691" i="8"/>
  <c r="L2692" i="8"/>
  <c r="L2693" i="8"/>
  <c r="L2694" i="8"/>
  <c r="L2695" i="8"/>
  <c r="L2696" i="8"/>
  <c r="L2697" i="8"/>
  <c r="L2698" i="8"/>
  <c r="L2699" i="8"/>
  <c r="L2700" i="8"/>
  <c r="L2701" i="8"/>
  <c r="L2702" i="8"/>
  <c r="L2703" i="8"/>
  <c r="L2704" i="8"/>
  <c r="L2705" i="8"/>
  <c r="L2706" i="8"/>
  <c r="L2707" i="8"/>
  <c r="L2708" i="8"/>
  <c r="L2709" i="8"/>
  <c r="L2710" i="8"/>
  <c r="L2711" i="8"/>
  <c r="L2712" i="8"/>
  <c r="L2713" i="8"/>
  <c r="L2714" i="8"/>
  <c r="L2715" i="8"/>
  <c r="L2716" i="8"/>
  <c r="L2717" i="8"/>
  <c r="L2718" i="8"/>
  <c r="L2719" i="8"/>
  <c r="L2720" i="8"/>
  <c r="L2721" i="8"/>
  <c r="L2722" i="8"/>
  <c r="L2724" i="8"/>
  <c r="L2725" i="8"/>
  <c r="L2727" i="8"/>
  <c r="L2728" i="8"/>
  <c r="L2729" i="8"/>
  <c r="L2730" i="8"/>
  <c r="L2731" i="8"/>
  <c r="L2732" i="8"/>
  <c r="L2733" i="8"/>
  <c r="L2734" i="8"/>
  <c r="L2735" i="8"/>
  <c r="L2736" i="8"/>
  <c r="L2737" i="8"/>
  <c r="L2738" i="8"/>
  <c r="L2739" i="8"/>
  <c r="L1357" i="8"/>
  <c r="L1360" i="8"/>
  <c r="L1615" i="8"/>
  <c r="L1616" i="8"/>
  <c r="L1617" i="8"/>
  <c r="L1618" i="8"/>
  <c r="L1619" i="8"/>
  <c r="L1620" i="8"/>
  <c r="L1621" i="8"/>
  <c r="L1622" i="8"/>
  <c r="L1623" i="8"/>
  <c r="L1625" i="8"/>
  <c r="L1627" i="8"/>
  <c r="L1629" i="8"/>
  <c r="L1631" i="8"/>
  <c r="L1633" i="8"/>
  <c r="L1636" i="8"/>
  <c r="L1638" i="8"/>
  <c r="L1639" i="8"/>
  <c r="L1640" i="8"/>
  <c r="L1641" i="8"/>
  <c r="L1642" i="8"/>
  <c r="L1643" i="8"/>
  <c r="L1644" i="8"/>
  <c r="L1645" i="8"/>
  <c r="L1646" i="8"/>
  <c r="L1647" i="8"/>
  <c r="L1648" i="8"/>
  <c r="L1649" i="8"/>
  <c r="L1650" i="8"/>
  <c r="L1651" i="8"/>
  <c r="L1652" i="8"/>
  <c r="L1653" i="8"/>
  <c r="L1654" i="8"/>
  <c r="L1655" i="8"/>
  <c r="L1656" i="8"/>
  <c r="L1657" i="8"/>
  <c r="L1658" i="8"/>
  <c r="L1659" i="8"/>
  <c r="L1660" i="8"/>
  <c r="L1661" i="8"/>
  <c r="L1662" i="8"/>
  <c r="L1663" i="8"/>
  <c r="L1664" i="8"/>
  <c r="L1665" i="8"/>
  <c r="L1666" i="8"/>
  <c r="L1667" i="8"/>
  <c r="L1668" i="8"/>
  <c r="L1669" i="8"/>
  <c r="L1670" i="8"/>
  <c r="L1671" i="8"/>
  <c r="L1672" i="8"/>
  <c r="L1673" i="8"/>
  <c r="L1674" i="8"/>
  <c r="L1675" i="8"/>
  <c r="L1676" i="8"/>
  <c r="L1677" i="8"/>
  <c r="L1678" i="8"/>
  <c r="L1679" i="8"/>
  <c r="L1680" i="8"/>
  <c r="L1681" i="8"/>
  <c r="L1682" i="8"/>
  <c r="L1683" i="8"/>
  <c r="L1684" i="8"/>
  <c r="L1685" i="8"/>
  <c r="L1686" i="8"/>
  <c r="L1687" i="8"/>
  <c r="L1688" i="8"/>
  <c r="L1689" i="8"/>
  <c r="L1690" i="8"/>
  <c r="L1691" i="8"/>
  <c r="L1692" i="8"/>
  <c r="L1693" i="8"/>
  <c r="L1695" i="8"/>
  <c r="L1696" i="8"/>
  <c r="L1698" i="8"/>
  <c r="L1700" i="8"/>
  <c r="L1702" i="8"/>
  <c r="L1705" i="8"/>
  <c r="L1707" i="8"/>
  <c r="L1709" i="8"/>
  <c r="L1712" i="8"/>
  <c r="L1714" i="8"/>
  <c r="L1720" i="8"/>
  <c r="L1721" i="8"/>
  <c r="L1722" i="8"/>
  <c r="L1723" i="8"/>
  <c r="L1779" i="8"/>
  <c r="L1783" i="8"/>
  <c r="L1786" i="8"/>
  <c r="L1790" i="8"/>
  <c r="L1793" i="8"/>
  <c r="L1797" i="8"/>
  <c r="L1800" i="8"/>
  <c r="L1803" i="8"/>
  <c r="L1806" i="8"/>
  <c r="L1809" i="8"/>
  <c r="L1812" i="8"/>
  <c r="L1815" i="8"/>
  <c r="L1820" i="8"/>
  <c r="L1823" i="8"/>
  <c r="L1826" i="8"/>
  <c r="L1830" i="8"/>
  <c r="L1833" i="8"/>
  <c r="L1837" i="8"/>
  <c r="L1839" i="8"/>
  <c r="L1842" i="8"/>
  <c r="L1845" i="8"/>
  <c r="L1848" i="8"/>
  <c r="L1851" i="8"/>
  <c r="L1854" i="8"/>
  <c r="L1858" i="8"/>
  <c r="L1862" i="8"/>
  <c r="L1865" i="8"/>
  <c r="L1868" i="8"/>
  <c r="L1871" i="8"/>
  <c r="L1878" i="8"/>
  <c r="L1881" i="8"/>
  <c r="L1883" i="8"/>
  <c r="L1887" i="8"/>
  <c r="L1891" i="8"/>
  <c r="L1894" i="8"/>
  <c r="L1898" i="8"/>
  <c r="L1901" i="8"/>
  <c r="L1905" i="8"/>
  <c r="L1908" i="8"/>
  <c r="L1911" i="8"/>
  <c r="L1914" i="8"/>
  <c r="L1917" i="8"/>
  <c r="L1920" i="8"/>
  <c r="L1923" i="8"/>
  <c r="L1928" i="8"/>
  <c r="L1931" i="8"/>
  <c r="L1934" i="8"/>
  <c r="L1937" i="8"/>
  <c r="L1941" i="8"/>
  <c r="L1944" i="8"/>
  <c r="L1947" i="8"/>
  <c r="L1950" i="8"/>
  <c r="L1954" i="8"/>
  <c r="L1957" i="8"/>
  <c r="L1960" i="8"/>
  <c r="L1963" i="8"/>
  <c r="L1965" i="8"/>
  <c r="L1968" i="8"/>
  <c r="L1970" i="8"/>
  <c r="L1972" i="8"/>
  <c r="L1975" i="8"/>
  <c r="L1977" i="8"/>
  <c r="L1979" i="8"/>
  <c r="L1981" i="8"/>
  <c r="L1984" i="8"/>
  <c r="L1986" i="8"/>
  <c r="L1988" i="8"/>
  <c r="L1990" i="8"/>
  <c r="L1993" i="8"/>
  <c r="L1995" i="8"/>
  <c r="L1997" i="8"/>
  <c r="L2000" i="8"/>
  <c r="L2005" i="8"/>
  <c r="L2008" i="8"/>
  <c r="L2013" i="8"/>
  <c r="L2017" i="8"/>
  <c r="L2022" i="8"/>
  <c r="L2025" i="8"/>
  <c r="L2028" i="8"/>
  <c r="L2031" i="8"/>
  <c r="L2036" i="8"/>
  <c r="L2039" i="8"/>
  <c r="L2042" i="8"/>
  <c r="L2046" i="8"/>
  <c r="L2049" i="8"/>
  <c r="L1359" i="8"/>
  <c r="L1395" i="8"/>
  <c r="L1408" i="8"/>
  <c r="L1410" i="8"/>
  <c r="L1412" i="8"/>
  <c r="L1415" i="8"/>
  <c r="L1417" i="8"/>
  <c r="L1420" i="8"/>
  <c r="L1422" i="8"/>
  <c r="L1424" i="8"/>
  <c r="L1426" i="8"/>
  <c r="L1428" i="8"/>
  <c r="L1429" i="8"/>
  <c r="L1431" i="8"/>
  <c r="L1433" i="8"/>
  <c r="L1435" i="8"/>
  <c r="L1438" i="8"/>
  <c r="L1440" i="8"/>
  <c r="L1442" i="8"/>
  <c r="L1444" i="8"/>
  <c r="L1446" i="8"/>
  <c r="L1448" i="8"/>
  <c r="L1451" i="8"/>
  <c r="L1452" i="8"/>
  <c r="L1453" i="8"/>
  <c r="L1454" i="8"/>
  <c r="L1455" i="8"/>
  <c r="L1456" i="8"/>
  <c r="L1457" i="8"/>
  <c r="L1458" i="8"/>
  <c r="L1459" i="8"/>
  <c r="L1460" i="8"/>
  <c r="L1461" i="8"/>
  <c r="L1462" i="8"/>
  <c r="L1463" i="8"/>
  <c r="L1464" i="8"/>
  <c r="L1465" i="8"/>
  <c r="L1466" i="8"/>
  <c r="L1467" i="8"/>
  <c r="L1468" i="8"/>
  <c r="L1469" i="8"/>
  <c r="L1470" i="8"/>
  <c r="L1471" i="8"/>
  <c r="L1472" i="8"/>
  <c r="L1473" i="8"/>
  <c r="L1474" i="8"/>
  <c r="L1475" i="8"/>
  <c r="L1476" i="8"/>
  <c r="L1477" i="8"/>
  <c r="L1478" i="8"/>
  <c r="L1479" i="8"/>
  <c r="L1480" i="8"/>
  <c r="L1481" i="8"/>
  <c r="L1482" i="8"/>
  <c r="L1483" i="8"/>
  <c r="L1484" i="8"/>
  <c r="L1485" i="8"/>
  <c r="L1486" i="8"/>
  <c r="L1487" i="8"/>
  <c r="L1488" i="8"/>
  <c r="L1489" i="8"/>
  <c r="L1490" i="8"/>
  <c r="L1491" i="8"/>
  <c r="L1492" i="8"/>
  <c r="L1493" i="8"/>
  <c r="L1494" i="8"/>
  <c r="L1495" i="8"/>
  <c r="L1496" i="8"/>
  <c r="L1497" i="8"/>
  <c r="L1498" i="8"/>
  <c r="L1499" i="8"/>
  <c r="L1500" i="8"/>
  <c r="L1501" i="8"/>
  <c r="L1502" i="8"/>
  <c r="L1503" i="8"/>
  <c r="L1504" i="8"/>
  <c r="L1505" i="8"/>
  <c r="L1506" i="8"/>
  <c r="L1507" i="8"/>
  <c r="L1508" i="8"/>
  <c r="L1509" i="8"/>
  <c r="L1510" i="8"/>
  <c r="L1511" i="8"/>
  <c r="L1512" i="8"/>
  <c r="L1513" i="8"/>
  <c r="L1514" i="8"/>
  <c r="L1515" i="8"/>
  <c r="L1516" i="8"/>
  <c r="L1517" i="8"/>
  <c r="L1518" i="8"/>
  <c r="L1519" i="8"/>
  <c r="L1520" i="8"/>
  <c r="L1521" i="8"/>
  <c r="L1522" i="8"/>
  <c r="L1523" i="8"/>
  <c r="L1524" i="8"/>
  <c r="L1525" i="8"/>
  <c r="L1526" i="8"/>
  <c r="L1527" i="8"/>
  <c r="L1528" i="8"/>
  <c r="L1529" i="8"/>
  <c r="L1530" i="8"/>
  <c r="L1531" i="8"/>
  <c r="L1532" i="8"/>
  <c r="L1533" i="8"/>
  <c r="L1534" i="8"/>
  <c r="L1535" i="8"/>
  <c r="L1536" i="8"/>
  <c r="L1537" i="8"/>
  <c r="L1538" i="8"/>
  <c r="L1539" i="8"/>
  <c r="L1540" i="8"/>
  <c r="L1541" i="8"/>
  <c r="L1542" i="8"/>
  <c r="L1543" i="8"/>
  <c r="L1544" i="8"/>
  <c r="L1545" i="8"/>
  <c r="L1546" i="8"/>
  <c r="L1547" i="8"/>
  <c r="L1548" i="8"/>
  <c r="L1549" i="8"/>
  <c r="L1550" i="8"/>
  <c r="L1551" i="8"/>
  <c r="L1552" i="8"/>
  <c r="L1553" i="8"/>
  <c r="L1554" i="8"/>
  <c r="L1555" i="8"/>
  <c r="L1556" i="8"/>
  <c r="L1557" i="8"/>
  <c r="L1558" i="8"/>
  <c r="L1559" i="8"/>
  <c r="L1560" i="8"/>
  <c r="L1561" i="8"/>
  <c r="L1562" i="8"/>
  <c r="L1563" i="8"/>
  <c r="L1564" i="8"/>
  <c r="L1565" i="8"/>
  <c r="L1566" i="8"/>
  <c r="L1567" i="8"/>
  <c r="L1568" i="8"/>
  <c r="L1569" i="8"/>
  <c r="L1570" i="8"/>
  <c r="L1571" i="8"/>
  <c r="L1572" i="8"/>
  <c r="L1573" i="8"/>
  <c r="L1574" i="8"/>
  <c r="L1575" i="8"/>
  <c r="L1576" i="8"/>
  <c r="L1577" i="8"/>
  <c r="L1578" i="8"/>
  <c r="L1363" i="8"/>
  <c r="L1579" i="8"/>
  <c r="L1580" i="8"/>
  <c r="L1581" i="8"/>
  <c r="L1582" i="8"/>
  <c r="L1583" i="8"/>
  <c r="L1584" i="8"/>
  <c r="L1585" i="8"/>
  <c r="L1586" i="8"/>
  <c r="L1587" i="8"/>
  <c r="L1588" i="8"/>
  <c r="L1589" i="8"/>
  <c r="L1590" i="8"/>
  <c r="L1591" i="8"/>
  <c r="L1592" i="8"/>
  <c r="L1593" i="8"/>
  <c r="L1595" i="8"/>
  <c r="L1596" i="8"/>
  <c r="L1597" i="8"/>
  <c r="L1598" i="8"/>
  <c r="L1599" i="8"/>
  <c r="L1612" i="8"/>
  <c r="L1613" i="8"/>
  <c r="L1614" i="8"/>
  <c r="L1694" i="8"/>
  <c r="L1697" i="8"/>
  <c r="L1699" i="8"/>
  <c r="L1701" i="8"/>
  <c r="L1703" i="8"/>
  <c r="L1704" i="8"/>
  <c r="L1706" i="8"/>
  <c r="L1708" i="8"/>
  <c r="L1710" i="8"/>
  <c r="L1711" i="8"/>
  <c r="L1713" i="8"/>
  <c r="L1715" i="8"/>
  <c r="L1716" i="8"/>
  <c r="L1724" i="8"/>
  <c r="L1725" i="8"/>
  <c r="L1726" i="8"/>
  <c r="L1727" i="8"/>
  <c r="L1728" i="8"/>
  <c r="L1729" i="8"/>
  <c r="L1730" i="8"/>
  <c r="L1731" i="8"/>
  <c r="L1732" i="8"/>
  <c r="L1733" i="8"/>
  <c r="L1734" i="8"/>
  <c r="L1735" i="8"/>
  <c r="L1736" i="8"/>
  <c r="L1737" i="8"/>
  <c r="L1739" i="8"/>
  <c r="L1740" i="8"/>
  <c r="L1742" i="8"/>
  <c r="L1743" i="8"/>
  <c r="L1745" i="8"/>
  <c r="L1747" i="8"/>
  <c r="L1749" i="8"/>
  <c r="L1751" i="8"/>
  <c r="L1754" i="8"/>
  <c r="L1756" i="8"/>
  <c r="L1758" i="8"/>
  <c r="L1759" i="8"/>
  <c r="L1761" i="8"/>
  <c r="L1763" i="8"/>
  <c r="L1765" i="8"/>
  <c r="L1767" i="8"/>
  <c r="L1769" i="8"/>
  <c r="L1771" i="8"/>
  <c r="L1773" i="8"/>
  <c r="L1775" i="8"/>
  <c r="L1777" i="8"/>
  <c r="L1780" i="8"/>
  <c r="L1782" i="8"/>
  <c r="L1785" i="8"/>
  <c r="L1788" i="8"/>
  <c r="L1791" i="8"/>
  <c r="L1794" i="8"/>
  <c r="L1795" i="8"/>
  <c r="L1798" i="8"/>
  <c r="L1802" i="8"/>
  <c r="L1805" i="8"/>
  <c r="L1808" i="8"/>
  <c r="L1811" i="8"/>
  <c r="L1813" i="8"/>
  <c r="L1816" i="8"/>
  <c r="L1818" i="8"/>
  <c r="L1822" i="8"/>
  <c r="L1825" i="8"/>
  <c r="L1827" i="8"/>
  <c r="L1829" i="8"/>
  <c r="L1832" i="8"/>
  <c r="L1835" i="8"/>
  <c r="L1838" i="8"/>
  <c r="L1841" i="8"/>
  <c r="L1843" i="8"/>
  <c r="L1846" i="8"/>
  <c r="L1850" i="8"/>
  <c r="L1853" i="8"/>
  <c r="L1855" i="8"/>
  <c r="L1857" i="8"/>
  <c r="L1860" i="8"/>
  <c r="L1863" i="8"/>
  <c r="L1866" i="8"/>
  <c r="L1869" i="8"/>
  <c r="L1872" i="8"/>
  <c r="L1874" i="8"/>
  <c r="L1876" i="8"/>
  <c r="L1879" i="8"/>
  <c r="L1880" i="8"/>
  <c r="L1885" i="8"/>
  <c r="L1888" i="8"/>
  <c r="L1890" i="8"/>
  <c r="L1893" i="8"/>
  <c r="L1896" i="8"/>
  <c r="L1899" i="8"/>
  <c r="L1902" i="8"/>
  <c r="L1904" i="8"/>
  <c r="L1907" i="8"/>
  <c r="L1910" i="8"/>
  <c r="L1913" i="8"/>
  <c r="L1916" i="8"/>
  <c r="L1919" i="8"/>
  <c r="L1921" i="8"/>
  <c r="L1924" i="8"/>
  <c r="L1926" i="8"/>
  <c r="L1929" i="8"/>
  <c r="L1932" i="8"/>
  <c r="L1935" i="8"/>
  <c r="L1938" i="8"/>
  <c r="L1940" i="8"/>
  <c r="L1942" i="8"/>
  <c r="L1945" i="8"/>
  <c r="L1948" i="8"/>
  <c r="L1951" i="8"/>
  <c r="L1953" i="8"/>
  <c r="L1956" i="8"/>
  <c r="L1959" i="8"/>
  <c r="L1962" i="8"/>
  <c r="L1964" i="8"/>
  <c r="L1966" i="8"/>
  <c r="L1967" i="8"/>
  <c r="L1969" i="8"/>
  <c r="L1971" i="8"/>
  <c r="L1973" i="8"/>
  <c r="L1974" i="8"/>
  <c r="L1976" i="8"/>
  <c r="L1978" i="8"/>
  <c r="L1980" i="8"/>
  <c r="L1982" i="8"/>
  <c r="L1983" i="8"/>
  <c r="L1985" i="8"/>
  <c r="L1987" i="8"/>
  <c r="L1989" i="8"/>
  <c r="L1991" i="8"/>
  <c r="L1992" i="8"/>
  <c r="L1994" i="8"/>
  <c r="L1996" i="8"/>
  <c r="L1998" i="8"/>
  <c r="L2001" i="8"/>
  <c r="L2003" i="8"/>
  <c r="L2006" i="8"/>
  <c r="L2009" i="8"/>
  <c r="L2011" i="8"/>
  <c r="L2014" i="8"/>
  <c r="L2016" i="8"/>
  <c r="L2019" i="8"/>
  <c r="L2021" i="8"/>
  <c r="L2024" i="8"/>
  <c r="L2027" i="8"/>
  <c r="L2030" i="8"/>
  <c r="L2033" i="8"/>
  <c r="L2035" i="8"/>
  <c r="L2038" i="8"/>
  <c r="L2041" i="8"/>
  <c r="L2044" i="8"/>
  <c r="L2047" i="8"/>
  <c r="L2050" i="8"/>
  <c r="L2052" i="8"/>
  <c r="L2054" i="8"/>
  <c r="L2056" i="8"/>
  <c r="L2058" i="8"/>
  <c r="L2060" i="8"/>
  <c r="L2062" i="8"/>
  <c r="L2064" i="8"/>
  <c r="L2066" i="8"/>
  <c r="L2067" i="8"/>
  <c r="L2069" i="8"/>
  <c r="L2071" i="8"/>
  <c r="L2073" i="8"/>
  <c r="L2075" i="8"/>
  <c r="L2077" i="8"/>
  <c r="L2102" i="8"/>
  <c r="L2104" i="8"/>
  <c r="L2106" i="8"/>
  <c r="L2107" i="8"/>
  <c r="L2109" i="8"/>
  <c r="L2111" i="8"/>
  <c r="L2113" i="8"/>
  <c r="L2114" i="8"/>
  <c r="L2116" i="8"/>
  <c r="L2118" i="8"/>
  <c r="L2120" i="8"/>
  <c r="L2121" i="8"/>
  <c r="L2123" i="8"/>
  <c r="L1755" i="8"/>
  <c r="L2125" i="8"/>
  <c r="L2127" i="8"/>
  <c r="L2129" i="8"/>
  <c r="L2130" i="8"/>
  <c r="L2131" i="8"/>
  <c r="L2133" i="8"/>
  <c r="L2135" i="8"/>
  <c r="L2137" i="8"/>
  <c r="L2139" i="8"/>
  <c r="L2141" i="8"/>
  <c r="L2143" i="8"/>
  <c r="L2145" i="8"/>
  <c r="L2147" i="8"/>
  <c r="L2148" i="8"/>
  <c r="L2150" i="8"/>
  <c r="L2152" i="8"/>
  <c r="L2154" i="8"/>
  <c r="L2156" i="8"/>
  <c r="L2157" i="8"/>
  <c r="L2159" i="8"/>
  <c r="L2161" i="8"/>
  <c r="L2163" i="8"/>
  <c r="L2164" i="8"/>
  <c r="L2166" i="8"/>
  <c r="L2168" i="8"/>
  <c r="L2170" i="8"/>
  <c r="L2172" i="8"/>
  <c r="L2174" i="8"/>
  <c r="L2176" i="8"/>
  <c r="L2178" i="8"/>
  <c r="L2180" i="8"/>
  <c r="L2182" i="8"/>
  <c r="L2184" i="8"/>
  <c r="L2186" i="8"/>
  <c r="L2187" i="8"/>
  <c r="L2189" i="8"/>
  <c r="L2191" i="8"/>
  <c r="L2193" i="8"/>
  <c r="L2195" i="8"/>
  <c r="L2196" i="8"/>
  <c r="L2199" i="8"/>
  <c r="L2200" i="8"/>
  <c r="L2202" i="8"/>
  <c r="L2204" i="8"/>
  <c r="L2205" i="8"/>
  <c r="L2207" i="8"/>
  <c r="L2209" i="8"/>
  <c r="L2210" i="8"/>
  <c r="L2214" i="8"/>
  <c r="L2215" i="8"/>
  <c r="L2217" i="8"/>
  <c r="L2219" i="8"/>
  <c r="L2221" i="8"/>
  <c r="L2223" i="8"/>
  <c r="L2226" i="8"/>
  <c r="L2228" i="8"/>
  <c r="L2231" i="8"/>
  <c r="L2233" i="8"/>
  <c r="L2235" i="8"/>
  <c r="L2239" i="8"/>
  <c r="L2241" i="8"/>
  <c r="L1362" i="8"/>
  <c r="L2244" i="8"/>
  <c r="L2246" i="8"/>
  <c r="L2248" i="8"/>
  <c r="L2250" i="8"/>
  <c r="L2252" i="8"/>
  <c r="L2255" i="8"/>
  <c r="L2257" i="8"/>
  <c r="L2259" i="8"/>
  <c r="L2261" i="8"/>
  <c r="L2263" i="8"/>
  <c r="L2265" i="8"/>
  <c r="L2267" i="8"/>
  <c r="L2269" i="8"/>
  <c r="L2285" i="8"/>
  <c r="L2286" i="8"/>
  <c r="L2289" i="8"/>
  <c r="L2291" i="8"/>
  <c r="L2293" i="8"/>
  <c r="L2295" i="8"/>
  <c r="L2297" i="8"/>
  <c r="L2299" i="8"/>
  <c r="L2301" i="8"/>
  <c r="L2303" i="8"/>
  <c r="L2305" i="8"/>
  <c r="L2307" i="8"/>
  <c r="L2309" i="8"/>
  <c r="L2311" i="8"/>
  <c r="L2313" i="8"/>
  <c r="L2315" i="8"/>
  <c r="L2317" i="8"/>
  <c r="L2319" i="8"/>
  <c r="L2321" i="8"/>
  <c r="L2323" i="8"/>
  <c r="L2324" i="8"/>
  <c r="L2325" i="8"/>
  <c r="L2326" i="8"/>
  <c r="L2327" i="8"/>
  <c r="L2328" i="8"/>
  <c r="L2329" i="8"/>
  <c r="L2330" i="8"/>
  <c r="L2331" i="8"/>
  <c r="L2332" i="8"/>
  <c r="L2333" i="8"/>
  <c r="L2334" i="8"/>
  <c r="L2335" i="8"/>
  <c r="L2336" i="8"/>
  <c r="L2337" i="8"/>
  <c r="L2338" i="8"/>
  <c r="L2339" i="8"/>
  <c r="L2340" i="8"/>
  <c r="L2341" i="8"/>
  <c r="L2342" i="8"/>
  <c r="L2343" i="8"/>
  <c r="L2344" i="8"/>
  <c r="L2345" i="8"/>
  <c r="L2346" i="8"/>
  <c r="L2347" i="8"/>
  <c r="L2348" i="8"/>
  <c r="L2349" i="8"/>
  <c r="L2350" i="8"/>
  <c r="L2351" i="8"/>
  <c r="L2352" i="8"/>
  <c r="L2353" i="8"/>
  <c r="L2354" i="8"/>
  <c r="L2355" i="8"/>
  <c r="L2356" i="8"/>
  <c r="L2357" i="8"/>
  <c r="L2359" i="8"/>
  <c r="L2361" i="8"/>
  <c r="L2363" i="8"/>
  <c r="L2365" i="8"/>
  <c r="L2367" i="8"/>
  <c r="L2369" i="8"/>
  <c r="L2371" i="8"/>
  <c r="L2373" i="8"/>
  <c r="L2375" i="8"/>
  <c r="L2377" i="8"/>
  <c r="L2379" i="8"/>
  <c r="L2381" i="8"/>
  <c r="L2383" i="8"/>
  <c r="L2385" i="8"/>
  <c r="L2386" i="8"/>
  <c r="L2388" i="8"/>
  <c r="L2390" i="8"/>
  <c r="L2391" i="8"/>
  <c r="L1361" i="8"/>
  <c r="L2392" i="8"/>
  <c r="L2393" i="8"/>
  <c r="L2395" i="8"/>
  <c r="L2397" i="8"/>
  <c r="L2399" i="8"/>
  <c r="L2401" i="8"/>
  <c r="L2410" i="8"/>
  <c r="L2411" i="8"/>
  <c r="L2412" i="8"/>
  <c r="L2414" i="8"/>
  <c r="L2416" i="8"/>
  <c r="L2418" i="8"/>
  <c r="L2419" i="8"/>
  <c r="L2421" i="8"/>
  <c r="L2423" i="8"/>
  <c r="L2424" i="8"/>
  <c r="L2426" i="8"/>
  <c r="L2427" i="8"/>
  <c r="L2429" i="8"/>
  <c r="L2431" i="8"/>
  <c r="L2434" i="8"/>
  <c r="L2435" i="8"/>
  <c r="L2437" i="8"/>
  <c r="L2439" i="8"/>
  <c r="L2441" i="8"/>
  <c r="L2442" i="8"/>
  <c r="L2444" i="8"/>
  <c r="L2446" i="8"/>
  <c r="L2448" i="8"/>
  <c r="L2449" i="8"/>
  <c r="L2451" i="8"/>
  <c r="L2452" i="8"/>
  <c r="L2453" i="8"/>
  <c r="L2455" i="8"/>
  <c r="L2457" i="8"/>
  <c r="L2458" i="8"/>
  <c r="L2460" i="8"/>
  <c r="L2461" i="8"/>
  <c r="L2463" i="8"/>
  <c r="L2465" i="8"/>
  <c r="L2466" i="8"/>
  <c r="L2468" i="8"/>
  <c r="L2470" i="8"/>
  <c r="L2472" i="8"/>
  <c r="L2474" i="8"/>
  <c r="L2475" i="8"/>
  <c r="L2476" i="8"/>
  <c r="L2478" i="8"/>
  <c r="L2480" i="8"/>
  <c r="L2482" i="8"/>
  <c r="L2485" i="8"/>
  <c r="L2486" i="8"/>
  <c r="L2488" i="8"/>
  <c r="L2489" i="8"/>
  <c r="L2491" i="8"/>
  <c r="L2492" i="8"/>
  <c r="L2493" i="8"/>
  <c r="L2495" i="8"/>
  <c r="L2497" i="8"/>
  <c r="L2499" i="8"/>
  <c r="L2500" i="8"/>
  <c r="L2502" i="8"/>
  <c r="L2503" i="8"/>
  <c r="L2505" i="8"/>
  <c r="L2508" i="8"/>
  <c r="L2510" i="8"/>
  <c r="L2512" i="8"/>
  <c r="L2514" i="8"/>
  <c r="L2516" i="8"/>
  <c r="L2518" i="8"/>
  <c r="L2520" i="8"/>
  <c r="L2522" i="8"/>
  <c r="L2524" i="8"/>
  <c r="L2525" i="8"/>
  <c r="L2526" i="8"/>
  <c r="L2528" i="8"/>
  <c r="L2529" i="8"/>
  <c r="L2531" i="8"/>
  <c r="L2533" i="8"/>
  <c r="L2534" i="8"/>
  <c r="L2536" i="8"/>
  <c r="L2537" i="8"/>
  <c r="L2539" i="8"/>
  <c r="L2540" i="8"/>
  <c r="L2542" i="8"/>
  <c r="L2544" i="8"/>
  <c r="L2546" i="8"/>
  <c r="L2548" i="8"/>
  <c r="L2549" i="8"/>
  <c r="L2550" i="8"/>
  <c r="L2551" i="8"/>
  <c r="L2552" i="8"/>
  <c r="L2554" i="8"/>
  <c r="L2556" i="8"/>
  <c r="L2557" i="8"/>
  <c r="L2559" i="8"/>
  <c r="L2561" i="8"/>
  <c r="L2563" i="8"/>
  <c r="L2565" i="8"/>
  <c r="L2567" i="8"/>
  <c r="L2569" i="8"/>
  <c r="L2571" i="8"/>
  <c r="L2572" i="8"/>
  <c r="L2574" i="8"/>
  <c r="L2575" i="8"/>
  <c r="L2576" i="8"/>
  <c r="L2577" i="8"/>
  <c r="L2578" i="8"/>
  <c r="L2723" i="8"/>
  <c r="L2726" i="8"/>
  <c r="L1358" i="8"/>
  <c r="L1364" i="8"/>
  <c r="L1365" i="8"/>
  <c r="L1366" i="8"/>
  <c r="L1367" i="8"/>
  <c r="L1368" i="8"/>
  <c r="L1369" i="8"/>
  <c r="L1370" i="8"/>
  <c r="L1371" i="8"/>
  <c r="L1372" i="8"/>
  <c r="L1373" i="8"/>
  <c r="L1374" i="8"/>
  <c r="L1375" i="8"/>
  <c r="L1376" i="8"/>
  <c r="L1377" i="8"/>
  <c r="L1378" i="8"/>
  <c r="L1379" i="8"/>
  <c r="L1380" i="8"/>
  <c r="L1381" i="8"/>
  <c r="L1382" i="8"/>
  <c r="L1383" i="8"/>
  <c r="L1384" i="8"/>
  <c r="L1385" i="8"/>
  <c r="L1386" i="8"/>
  <c r="L1387" i="8"/>
  <c r="L1388" i="8"/>
  <c r="L1389" i="8"/>
  <c r="L1390" i="8"/>
  <c r="L1391" i="8"/>
  <c r="L1392" i="8"/>
  <c r="L1393" i="8"/>
  <c r="L1394" i="8"/>
  <c r="L1396" i="8"/>
  <c r="L1397" i="8"/>
  <c r="L1398" i="8"/>
  <c r="L1399" i="8"/>
  <c r="L1400" i="8"/>
  <c r="L1401" i="8"/>
  <c r="L1402" i="8"/>
  <c r="L1403" i="8"/>
  <c r="L1404" i="8"/>
  <c r="L1405" i="8"/>
  <c r="L1406" i="8"/>
  <c r="L1407" i="8"/>
  <c r="L1409" i="8"/>
  <c r="L1411" i="8"/>
  <c r="L1413" i="8"/>
  <c r="L1414" i="8"/>
  <c r="L1416" i="8"/>
  <c r="L1418" i="8"/>
  <c r="L1419" i="8"/>
  <c r="L1421" i="8"/>
  <c r="L1423" i="8"/>
  <c r="L1425" i="8"/>
  <c r="L1427" i="8"/>
  <c r="L1430" i="8"/>
  <c r="L1432" i="8"/>
  <c r="L1434" i="8"/>
  <c r="L1436" i="8"/>
  <c r="L1437" i="8"/>
  <c r="L1439" i="8"/>
  <c r="L1441" i="8"/>
  <c r="L1443" i="8"/>
  <c r="L1445" i="8"/>
  <c r="L1447" i="8"/>
  <c r="L1449" i="8"/>
  <c r="L1450" i="8"/>
  <c r="L1600" i="8"/>
  <c r="L1601" i="8"/>
  <c r="L1602" i="8"/>
  <c r="L1603" i="8"/>
  <c r="L1604" i="8"/>
  <c r="L1605" i="8"/>
  <c r="L1606" i="8"/>
  <c r="L1607" i="8"/>
  <c r="L1608" i="8"/>
  <c r="L1609" i="8"/>
  <c r="L1610" i="8"/>
  <c r="L1611" i="8"/>
  <c r="L1624" i="8"/>
  <c r="L1626" i="8"/>
  <c r="L1628" i="8"/>
  <c r="L1630" i="8"/>
  <c r="L1632" i="8"/>
  <c r="B3" i="7"/>
  <c r="B2" i="4"/>
  <c r="A2" i="4" s="1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B2" i="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<sst xmlns="http://schemas.openxmlformats.org/spreadsheetml/2006/main" count="13749" uniqueCount="63">
  <si>
    <t>Sales Person</t>
  </si>
  <si>
    <t>Country</t>
  </si>
  <si>
    <t>Product</t>
  </si>
  <si>
    <t>Date</t>
  </si>
  <si>
    <t>Amount</t>
  </si>
  <si>
    <t>Marney O'Breem</t>
  </si>
  <si>
    <t>UK</t>
  </si>
  <si>
    <t>Human Immunodeficiency Detection Machine</t>
  </si>
  <si>
    <t>Curtice Advani</t>
  </si>
  <si>
    <t>China</t>
  </si>
  <si>
    <t>Mallorie Waber</t>
  </si>
  <si>
    <t>USA</t>
  </si>
  <si>
    <t>Topical Corticosteroids Cream</t>
  </si>
  <si>
    <t>Canada</t>
  </si>
  <si>
    <t>Anticoagulation Care Device</t>
  </si>
  <si>
    <t>Rafaela Blaksland</t>
  </si>
  <si>
    <t>Germany</t>
  </si>
  <si>
    <t>Seasonal Influenza Vaccine</t>
  </si>
  <si>
    <t>Jan Morforth</t>
  </si>
  <si>
    <t>Asthma Inhaler</t>
  </si>
  <si>
    <t>Oby Sorrel</t>
  </si>
  <si>
    <t>Switzerland</t>
  </si>
  <si>
    <t>Roddy Speechley</t>
  </si>
  <si>
    <t>Hepatitis Vaccine</t>
  </si>
  <si>
    <t>Jehu Rudeforth</t>
  </si>
  <si>
    <t>HIV Medicine</t>
  </si>
  <si>
    <t>Gigi Bohling</t>
  </si>
  <si>
    <t>Gunar Cockshoot</t>
  </si>
  <si>
    <t>Meningitis B Vaccine</t>
  </si>
  <si>
    <t>Van Tuxwell</t>
  </si>
  <si>
    <t>Beverie Moffet</t>
  </si>
  <si>
    <t>Brien Boise</t>
  </si>
  <si>
    <t>Karlen McCaffrey</t>
  </si>
  <si>
    <t>Barr Faughny</t>
  </si>
  <si>
    <t>Total Rev Jan</t>
  </si>
  <si>
    <t>Total Rev Feb</t>
  </si>
  <si>
    <t>Growth from Jan to Feb</t>
  </si>
  <si>
    <t>Row Labels</t>
  </si>
  <si>
    <t>Grand Total</t>
  </si>
  <si>
    <t>(blank)</t>
  </si>
  <si>
    <t>Rev Mar</t>
  </si>
  <si>
    <t>Total Amount</t>
  </si>
  <si>
    <t>Month</t>
  </si>
  <si>
    <t>Month_List</t>
  </si>
  <si>
    <t>Total_Monthly_Amount</t>
  </si>
  <si>
    <t>Unique_Month</t>
  </si>
  <si>
    <t>Monthly Percentage Change</t>
  </si>
  <si>
    <t>Sales_Person</t>
  </si>
  <si>
    <t>Year</t>
  </si>
  <si>
    <t>Target</t>
  </si>
  <si>
    <t>Actual</t>
  </si>
  <si>
    <t>Total_Sales</t>
  </si>
  <si>
    <t>Growth_Rate_Actual</t>
  </si>
  <si>
    <t>Growth_Rate_Target</t>
  </si>
  <si>
    <t>Total Sales Amount</t>
  </si>
  <si>
    <t>Daily_Sales</t>
  </si>
  <si>
    <t>Monthly_Sales_Growth</t>
  </si>
  <si>
    <t>Yearly_Sales_Growth</t>
  </si>
  <si>
    <t>Yearly_Sales_Growth_Target</t>
  </si>
  <si>
    <t>Totals_Sales_Amount_of_Sales_Person</t>
  </si>
  <si>
    <t>Yearly_Actual_Sales_per_Representative</t>
  </si>
  <si>
    <t>Target_Actual_Sales_per_Representative</t>
  </si>
  <si>
    <t>Monthly_Sales_Amount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</si>
</sst>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6" formatCode="&quot;£&quot;#,##0;[Red]\-&quot;£&quot;#,##0"/>
    <numFmt numFmtId="44" formatCode="_-&quot;£&quot;* #,##0.00_-;\-&quot;£&quot;* #,##0.00_-;_-&quot;£&quot;* &quot;-&quot;??_-;_-@_-"/>
    <numFmt numFmtId="164" formatCode="&quot;£&quot;#,##0.00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9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6">
    <xf numFmtId="0" fontId="0" fillId="0" borderId="0" xfId="0"/>
    <xf numFmtId="0" fontId="1" fillId="0" borderId="1" xfId="0" applyFont="1" applyBorder="1" applyAlignment="1">
      <alignment horizontal="center" vertical="top"/>
    </xf>
    <xf numFmtId="6" fontId="0" fillId="0" borderId="0" xfId="0" applyNumberFormat="1"/>
    <xf numFmtId="14" fontId="0" fillId="0" borderId="0" xfId="0" applyNumberFormat="1"/>
    <xf numFmtId="164" fontId="0" fillId="0" borderId="0" xfId="0" applyNumberFormat="1"/>
    <xf numFmtId="9" fontId="0" fillId="0" borderId="0" xfId="1" applyFont="1"/>
    <xf numFmtId="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0" fontId="0" fillId="0" borderId="0" xfId="1" applyNumberFormat="1" applyFont="1"/>
    <xf numFmtId="1" fontId="0" fillId="0" borderId="0" xfId="1" applyNumberFormat="1" applyFont="1"/>
    <xf numFmtId="1" fontId="0" fillId="0" borderId="0" xfId="0" applyNumberFormat="1"/>
    <xf numFmtId="2" fontId="0" fillId="0" borderId="0" xfId="0" applyNumberFormat="1"/>
    <xf numFmtId="44" fontId="0" fillId="0" borderId="0" xfId="2" applyFont="1"/>
    <xf numFmtId="10" fontId="0" fillId="0" borderId="0" xfId="0" applyNumberFormat="1"/>
  </cellXfs>
  <cellStyles count="3">
    <cellStyle name="Currency" xfId="2" builtinId="4"/>
    <cellStyle name="Normal" xfId="0" builtinId="0"/>
    <cellStyle name="Per cent" xfId="1" builtinId="5"/>
  </cellStyles>
  <dxfs count="4">
    <dxf>
      <numFmt numFmtId="10" formatCode="&quot;£&quot;#,##0;[Red]\-&quot;£&quot;#,##0"/>
    </dxf>
    <dxf>
      <numFmt numFmtId="19" formatCode="dd/mm/yyyy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microsoft.com/office/2011/relationships/timelineCache" Target="timelineCaches/timelineCach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220980</xdr:colOff>
      <xdr:row>13</xdr:row>
      <xdr:rowOff>0</xdr:rowOff>
    </xdr:from>
    <xdr:to>
      <xdr:col>10</xdr:col>
      <xdr:colOff>129540</xdr:colOff>
      <xdr:row>21</xdr:row>
      <xdr:rowOff>106680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2" name="Date">
              <a:extLst>
                <a:ext uri="{FF2B5EF4-FFF2-40B4-BE49-F238E27FC236}">
                  <a16:creationId xmlns:a16="http://schemas.microsoft.com/office/drawing/2014/main" id="{87266651-66CF-13E6-EEFD-AD2C79E9EC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22420" y="2377440"/>
              <a:ext cx="4785360" cy="15697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Timeline: Works in Excel 2013 or higher. Do not move or resize.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ylan butterfield" refreshedDate="46031.73651840278" createdVersion="8" refreshedVersion="8" minRefreshableVersion="3" recordCount="2738" xr:uid="{38F2543D-CA63-4B23-A86B-72C067A4ECB7}">
  <cacheSource type="worksheet">
    <worksheetSource name="Table1"/>
  </cacheSource>
  <cacheFields count="9">
    <cacheField name="Sales Person" numFmtId="0">
      <sharedItems/>
    </cacheField>
    <cacheField name="Country" numFmtId="0">
      <sharedItems/>
    </cacheField>
    <cacheField name="Product" numFmtId="0">
      <sharedItems count="8">
        <s v="Anticoagulation Care Device"/>
        <s v="HIV Medicine"/>
        <s v="Meningitis B Vaccine"/>
        <s v="Topical Corticosteroids Cream"/>
        <s v="Asthma Inhaler"/>
        <s v="Hepatitis Vaccine"/>
        <s v="Seasonal Influenza Vaccine"/>
        <s v="Human Immunodeficiency Detection Machine"/>
      </sharedItems>
    </cacheField>
    <cacheField name="Date" numFmtId="14">
      <sharedItems containsSemiMixedTypes="0" containsNonDate="0" containsDate="1" containsString="0" minDate="2023-01-01T00:00:00" maxDate="2025-01-01T00:00:00" count="716">
        <d v="2023-01-01T00:00:00"/>
        <d v="2023-01-02T00:00:00"/>
        <d v="2023-01-03T00:00:00"/>
        <d v="2023-01-04T00:00:00"/>
        <d v="2023-01-05T00:00:00"/>
        <d v="2023-01-06T00:00:00"/>
        <d v="2023-01-07T00:00:00"/>
        <d v="2023-01-08T00:00:00"/>
        <d v="2023-01-09T00:00:00"/>
        <d v="2023-01-10T00:00:00"/>
        <d v="2023-01-11T00:00:00"/>
        <d v="2023-01-12T00:00:00"/>
        <d v="2023-01-13T00:00:00"/>
        <d v="2023-01-14T00:00:00"/>
        <d v="2023-01-15T00:00:00"/>
        <d v="2023-01-16T00:00:00"/>
        <d v="2023-01-17T00:00:00"/>
        <d v="2023-01-18T00:00:00"/>
        <d v="2023-01-19T00:00:00"/>
        <d v="2023-01-20T00:00:00"/>
        <d v="2023-01-21T00:00:00"/>
        <d v="2023-01-22T00:00:00"/>
        <d v="2023-01-23T00:00:00"/>
        <d v="2023-01-24T00:00:00"/>
        <d v="2023-01-25T00:00:00"/>
        <d v="2023-01-26T00:00:00"/>
        <d v="2023-01-27T00:00:00"/>
        <d v="2023-01-28T00:00:00"/>
        <d v="2023-01-29T00:00:00"/>
        <d v="2023-01-30T00:00:00"/>
        <d v="2023-01-31T00:00:00"/>
        <d v="2023-02-01T00:00:00"/>
        <d v="2023-02-02T00:00:00"/>
        <d v="2023-02-03T00:00:00"/>
        <d v="2023-02-04T00:00:00"/>
        <d v="2023-02-05T00:00:00"/>
        <d v="2023-02-06T00:00:00"/>
        <d v="2023-02-07T00:00:00"/>
        <d v="2023-02-08T00:00:00"/>
        <d v="2023-02-09T00:00:00"/>
        <d v="2023-02-10T00:00:00"/>
        <d v="2023-02-11T00:00:00"/>
        <d v="2023-02-12T00:00:00"/>
        <d v="2023-02-13T00:00:00"/>
        <d v="2023-02-14T00:00:00"/>
        <d v="2023-02-15T00:00:00"/>
        <d v="2023-02-16T00:00:00"/>
        <d v="2023-02-17T00:00:00"/>
        <d v="2023-02-18T00:00:00"/>
        <d v="2023-02-19T00:00:00"/>
        <d v="2023-02-20T00:00:00"/>
        <d v="2023-02-21T00:00:00"/>
        <d v="2023-02-22T00:00:00"/>
        <d v="2023-02-23T00:00:00"/>
        <d v="2023-02-24T00:00:00"/>
        <d v="2023-02-25T00:00:00"/>
        <d v="2023-02-26T00:00:00"/>
        <d v="2023-02-27T00:00:00"/>
        <d v="2023-02-28T00:00:00"/>
        <d v="2023-03-01T00:00:00"/>
        <d v="2023-03-02T00:00:00"/>
        <d v="2023-03-03T00:00:00"/>
        <d v="2023-03-04T00:00:00"/>
        <d v="2023-03-05T00:00:00"/>
        <d v="2023-03-06T00:00:00"/>
        <d v="2023-03-07T00:00:00"/>
        <d v="2023-03-08T00:00:00"/>
        <d v="2023-03-09T00:00:00"/>
        <d v="2023-03-10T00:00:00"/>
        <d v="2023-03-11T00:00:00"/>
        <d v="2023-03-12T00:00:00"/>
        <d v="2023-03-13T00:00:00"/>
        <d v="2023-03-14T00:00:00"/>
        <d v="2023-03-15T00:00:00"/>
        <d v="2023-03-16T00:00:00"/>
        <d v="2023-03-17T00:00:00"/>
        <d v="2023-03-18T00:00:00"/>
        <d v="2023-03-19T00:00:00"/>
        <d v="2023-03-20T00:00:00"/>
        <d v="2023-03-21T00:00:00"/>
        <d v="2023-03-22T00:00:00"/>
        <d v="2023-03-23T00:00:00"/>
        <d v="2023-03-24T00:00:00"/>
        <d v="2023-03-25T00:00:00"/>
        <d v="2023-03-26T00:00:00"/>
        <d v="2023-03-27T00:00:00"/>
        <d v="2023-03-28T00:00:00"/>
        <d v="2023-03-29T00:00:00"/>
        <d v="2023-03-30T00:00:00"/>
        <d v="2023-03-31T00:00:00"/>
        <d v="2023-04-01T00:00:00"/>
        <d v="2023-04-02T00:00:00"/>
        <d v="2023-04-03T00:00:00"/>
        <d v="2023-04-04T00:00:00"/>
        <d v="2023-04-05T00:00:00"/>
        <d v="2023-04-06T00:00:00"/>
        <d v="2023-04-07T00:00:00"/>
        <d v="2023-04-08T00:00:00"/>
        <d v="2023-04-09T00:00:00"/>
        <d v="2023-04-10T00:00:00"/>
        <d v="2023-04-11T00:00:00"/>
        <d v="2023-04-12T00:00:00"/>
        <d v="2023-04-13T00:00:00"/>
        <d v="2023-04-14T00:00:00"/>
        <d v="2023-04-15T00:00:00"/>
        <d v="2023-04-16T00:00:00"/>
        <d v="2023-04-17T00:00:00"/>
        <d v="2023-04-18T00:00:00"/>
        <d v="2023-04-19T00:00:00"/>
        <d v="2023-04-20T00:00:00"/>
        <d v="2023-04-21T00:00:00"/>
        <d v="2023-04-22T00:00:00"/>
        <d v="2023-04-23T00:00:00"/>
        <d v="2023-04-24T00:00:00"/>
        <d v="2023-04-25T00:00:00"/>
        <d v="2023-04-26T00:00:00"/>
        <d v="2023-04-27T00:00:00"/>
        <d v="2023-04-28T00:00:00"/>
        <d v="2023-04-29T00:00:00"/>
        <d v="2023-04-30T00:00:00"/>
        <d v="2023-05-01T00:00:00"/>
        <d v="2023-05-02T00:00:00"/>
        <d v="2023-05-03T00:00:00"/>
        <d v="2023-05-04T00:00:00"/>
        <d v="2023-05-05T00:00:00"/>
        <d v="2023-05-06T00:00:00"/>
        <d v="2023-05-07T00:00:00"/>
        <d v="2023-05-08T00:00:00"/>
        <d v="2023-05-09T00:00:00"/>
        <d v="2023-05-10T00:00:00"/>
        <d v="2023-05-11T00:00:00"/>
        <d v="2023-05-12T00:00:00"/>
        <d v="2023-05-13T00:00:00"/>
        <d v="2023-05-14T00:00:00"/>
        <d v="2023-05-15T00:00:00"/>
        <d v="2023-05-16T00:00:00"/>
        <d v="2023-05-17T00:00:00"/>
        <d v="2023-05-18T00:00:00"/>
        <d v="2023-05-19T00:00:00"/>
        <d v="2023-05-20T00:00:00"/>
        <d v="2023-05-21T00:00:00"/>
        <d v="2023-05-22T00:00:00"/>
        <d v="2023-05-23T00:00:00"/>
        <d v="2023-05-24T00:00:00"/>
        <d v="2023-05-25T00:00:00"/>
        <d v="2023-05-26T00:00:00"/>
        <d v="2023-05-27T00:00:00"/>
        <d v="2023-05-28T00:00:00"/>
        <d v="2023-05-29T00:00:00"/>
        <d v="2023-05-30T00:00:00"/>
        <d v="2023-05-31T00:00:00"/>
        <d v="2023-06-02T00:00:00"/>
        <d v="2023-06-03T00:00:00"/>
        <d v="2023-06-04T00:00:00"/>
        <d v="2023-06-05T00:00:00"/>
        <d v="2023-06-06T00:00:00"/>
        <d v="2023-06-07T00:00:00"/>
        <d v="2023-06-08T00:00:00"/>
        <d v="2023-06-09T00:00:00"/>
        <d v="2023-06-10T00:00:00"/>
        <d v="2023-06-11T00:00:00"/>
        <d v="2023-06-12T00:00:00"/>
        <d v="2023-06-13T00:00:00"/>
        <d v="2023-06-14T00:00:00"/>
        <d v="2023-06-15T00:00:00"/>
        <d v="2023-06-16T00:00:00"/>
        <d v="2023-06-17T00:00:00"/>
        <d v="2023-06-18T00:00:00"/>
        <d v="2023-06-19T00:00:00"/>
        <d v="2023-06-20T00:00:00"/>
        <d v="2023-06-21T00:00:00"/>
        <d v="2023-06-22T00:00:00"/>
        <d v="2023-06-23T00:00:00"/>
        <d v="2023-06-24T00:00:00"/>
        <d v="2023-06-25T00:00:00"/>
        <d v="2023-06-27T00:00:00"/>
        <d v="2023-06-28T00:00:00"/>
        <d v="2023-06-29T00:00:00"/>
        <d v="2023-06-30T00:00:00"/>
        <d v="2023-07-01T00:00:00"/>
        <d v="2023-07-02T00:00:00"/>
        <d v="2023-07-03T00:00:00"/>
        <d v="2023-07-04T00:00:00"/>
        <d v="2023-07-05T00:00:00"/>
        <d v="2023-07-06T00:00:00"/>
        <d v="2023-07-08T00:00:00"/>
        <d v="2023-07-09T00:00:00"/>
        <d v="2023-07-10T00:00:00"/>
        <d v="2023-07-11T00:00:00"/>
        <d v="2023-07-12T00:00:00"/>
        <d v="2023-07-13T00:00:00"/>
        <d v="2023-07-14T00:00:00"/>
        <d v="2023-07-15T00:00:00"/>
        <d v="2023-07-16T00:00:00"/>
        <d v="2023-07-17T00:00:00"/>
        <d v="2023-07-18T00:00:00"/>
        <d v="2023-07-19T00:00:00"/>
        <d v="2023-07-20T00:00:00"/>
        <d v="2023-07-21T00:00:00"/>
        <d v="2023-07-22T00:00:00"/>
        <d v="2023-07-23T00:00:00"/>
        <d v="2023-07-24T00:00:00"/>
        <d v="2023-07-25T00:00:00"/>
        <d v="2023-07-26T00:00:00"/>
        <d v="2023-07-27T00:00:00"/>
        <d v="2023-07-28T00:00:00"/>
        <d v="2023-07-29T00:00:00"/>
        <d v="2023-07-30T00:00:00"/>
        <d v="2023-07-31T00:00:00"/>
        <d v="2023-08-01T00:00:00"/>
        <d v="2023-08-02T00:00:00"/>
        <d v="2023-08-03T00:00:00"/>
        <d v="2023-08-04T00:00:00"/>
        <d v="2023-08-05T00:00:00"/>
        <d v="2023-08-06T00:00:00"/>
        <d v="2023-08-07T00:00:00"/>
        <d v="2023-08-08T00:00:00"/>
        <d v="2023-08-09T00:00:00"/>
        <d v="2023-08-10T00:00:00"/>
        <d v="2023-08-12T00:00:00"/>
        <d v="2023-08-14T00:00:00"/>
        <d v="2023-08-15T00:00:00"/>
        <d v="2023-08-16T00:00:00"/>
        <d v="2023-08-17T00:00:00"/>
        <d v="2023-08-18T00:00:00"/>
        <d v="2023-08-19T00:00:00"/>
        <d v="2023-08-20T00:00:00"/>
        <d v="2023-08-21T00:00:00"/>
        <d v="2023-08-22T00:00:00"/>
        <d v="2023-08-23T00:00:00"/>
        <d v="2023-08-24T00:00:00"/>
        <d v="2023-08-25T00:00:00"/>
        <d v="2023-08-26T00:00:00"/>
        <d v="2023-08-27T00:00:00"/>
        <d v="2023-08-28T00:00:00"/>
        <d v="2023-08-29T00:00:00"/>
        <d v="2023-08-30T00:00:00"/>
        <d v="2023-08-31T00:00:00"/>
        <d v="2023-09-01T00:00:00"/>
        <d v="2023-09-02T00:00:00"/>
        <d v="2023-09-03T00:00:00"/>
        <d v="2023-09-04T00:00:00"/>
        <d v="2023-09-05T00:00:00"/>
        <d v="2023-09-06T00:00:00"/>
        <d v="2023-09-07T00:00:00"/>
        <d v="2023-09-08T00:00:00"/>
        <d v="2023-09-09T00:00:00"/>
        <d v="2023-09-10T00:00:00"/>
        <d v="2023-09-11T00:00:00"/>
        <d v="2023-09-12T00:00:00"/>
        <d v="2023-09-13T00:00:00"/>
        <d v="2023-09-14T00:00:00"/>
        <d v="2023-09-15T00:00:00"/>
        <d v="2023-09-16T00:00:00"/>
        <d v="2023-09-17T00:00:00"/>
        <d v="2023-09-18T00:00:00"/>
        <d v="2023-09-19T00:00:00"/>
        <d v="2023-09-20T00:00:00"/>
        <d v="2023-09-21T00:00:00"/>
        <d v="2023-09-22T00:00:00"/>
        <d v="2023-09-23T00:00:00"/>
        <d v="2023-09-24T00:00:00"/>
        <d v="2023-09-25T00:00:00"/>
        <d v="2023-09-26T00:00:00"/>
        <d v="2023-09-27T00:00:00"/>
        <d v="2023-09-28T00:00:00"/>
        <d v="2023-09-29T00:00:00"/>
        <d v="2023-09-30T00:00:00"/>
        <d v="2023-10-01T00:00:00"/>
        <d v="2023-10-03T00:00:00"/>
        <d v="2023-10-04T00:00:00"/>
        <d v="2023-10-05T00:00:00"/>
        <d v="2023-10-06T00:00:00"/>
        <d v="2023-10-07T00:00:00"/>
        <d v="2023-10-08T00:00:00"/>
        <d v="2023-10-09T00:00:00"/>
        <d v="2023-10-10T00:00:00"/>
        <d v="2023-10-11T00:00:00"/>
        <d v="2023-10-12T00:00:00"/>
        <d v="2023-10-13T00:00:00"/>
        <d v="2023-10-14T00:00:00"/>
        <d v="2023-10-15T00:00:00"/>
        <d v="2023-10-16T00:00:00"/>
        <d v="2023-10-17T00:00:00"/>
        <d v="2023-10-18T00:00:00"/>
        <d v="2023-10-19T00:00:00"/>
        <d v="2023-10-20T00:00:00"/>
        <d v="2023-10-21T00:00:00"/>
        <d v="2023-10-22T00:00:00"/>
        <d v="2023-10-23T00:00:00"/>
        <d v="2023-10-24T00:00:00"/>
        <d v="2023-10-25T00:00:00"/>
        <d v="2023-10-26T00:00:00"/>
        <d v="2023-10-27T00:00:00"/>
        <d v="2023-10-28T00:00:00"/>
        <d v="2023-10-29T00:00:00"/>
        <d v="2023-10-30T00:00:00"/>
        <d v="2023-10-31T00:00:00"/>
        <d v="2023-11-02T00:00:00"/>
        <d v="2023-11-03T00:00:00"/>
        <d v="2023-11-04T00:00:00"/>
        <d v="2023-11-05T00:00:00"/>
        <d v="2023-11-06T00:00:00"/>
        <d v="2023-11-07T00:00:00"/>
        <d v="2023-11-08T00:00:00"/>
        <d v="2023-11-09T00:00:00"/>
        <d v="2023-11-10T00:00:00"/>
        <d v="2023-11-11T00:00:00"/>
        <d v="2023-11-12T00:00:00"/>
        <d v="2023-11-13T00:00:00"/>
        <d v="2023-11-14T00:00:00"/>
        <d v="2023-11-15T00:00:00"/>
        <d v="2023-11-16T00:00:00"/>
        <d v="2023-11-18T00:00:00"/>
        <d v="2023-11-19T00:00:00"/>
        <d v="2023-11-20T00:00:00"/>
        <d v="2023-11-21T00:00:00"/>
        <d v="2023-11-22T00:00:00"/>
        <d v="2023-11-23T00:00:00"/>
        <d v="2023-11-24T00:00:00"/>
        <d v="2023-11-25T00:00:00"/>
        <d v="2023-11-26T00:00:00"/>
        <d v="2023-11-27T00:00:00"/>
        <d v="2023-11-28T00:00:00"/>
        <d v="2023-11-29T00:00:00"/>
        <d v="2023-11-30T00:00:00"/>
        <d v="2023-12-01T00:00:00"/>
        <d v="2023-12-02T00:00:00"/>
        <d v="2023-12-03T00:00:00"/>
        <d v="2023-12-04T00:00:00"/>
        <d v="2023-12-05T00:00:00"/>
        <d v="2023-12-06T00:00:00"/>
        <d v="2023-12-07T00:00:00"/>
        <d v="2023-12-08T00:00:00"/>
        <d v="2023-12-09T00:00:00"/>
        <d v="2023-12-10T00:00:00"/>
        <d v="2023-12-11T00:00:00"/>
        <d v="2023-12-12T00:00:00"/>
        <d v="2023-12-13T00:00:00"/>
        <d v="2023-12-14T00:00:00"/>
        <d v="2023-12-15T00:00:00"/>
        <d v="2023-12-16T00:00:00"/>
        <d v="2023-12-17T00:00:00"/>
        <d v="2023-12-18T00:00:00"/>
        <d v="2023-12-19T00:00:00"/>
        <d v="2023-12-20T00:00:00"/>
        <d v="2023-12-21T00:00:00"/>
        <d v="2023-12-22T00:00:00"/>
        <d v="2023-12-23T00:00:00"/>
        <d v="2023-12-24T00:00:00"/>
        <d v="2023-12-25T00:00:00"/>
        <d v="2023-12-26T00:00:00"/>
        <d v="2023-12-27T00:00:00"/>
        <d v="2023-12-28T00:00:00"/>
        <d v="2023-12-29T00:00:00"/>
        <d v="2023-12-30T00:00:00"/>
        <d v="2023-12-31T00:00:00"/>
        <d v="2024-01-01T00:00:00"/>
        <d v="2024-01-02T00:00:00"/>
        <d v="2024-01-03T00:00:00"/>
        <d v="2024-01-04T00:00:00"/>
        <d v="2024-01-05T00:00:00"/>
        <d v="2024-01-06T00:00:00"/>
        <d v="2024-01-07T00:00:00"/>
        <d v="2024-01-08T00:00:00"/>
        <d v="2024-01-09T00:00:00"/>
        <d v="2024-01-10T00:00:00"/>
        <d v="2024-01-11T00:00:00"/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  <d v="2024-02-20T00:00:00"/>
        <d v="2024-02-21T00:00:00"/>
        <d v="2024-02-22T00:00:00"/>
        <d v="2024-02-23T00:00:00"/>
        <d v="2024-02-24T00:00:00"/>
        <d v="2024-02-25T00:00:00"/>
        <d v="2024-02-26T00:00:00"/>
        <d v="2024-02-27T00:00:00"/>
        <d v="2024-02-28T00:00:00"/>
        <d v="2024-02-29T00:00:00"/>
        <d v="2024-03-01T00:00:00"/>
        <d v="2024-03-02T00:00:00"/>
        <d v="2024-03-03T00:00:00"/>
        <d v="2024-03-04T00:00:00"/>
        <d v="2024-03-05T00:00:00"/>
        <d v="2024-03-06T00:00:00"/>
        <d v="2024-03-07T00:00:00"/>
        <d v="2024-03-08T00:00:00"/>
        <d v="2024-03-09T00:00:00"/>
        <d v="2024-03-10T00:00:00"/>
        <d v="2024-03-11T00:00:00"/>
        <d v="2024-03-12T00:00:00"/>
        <d v="2024-03-13T00:00:00"/>
        <d v="2024-03-14T00:00:00"/>
        <d v="2024-03-15T00:00:00"/>
        <d v="2024-03-16T00:00:00"/>
        <d v="2024-03-17T00:00:00"/>
        <d v="2024-03-18T00:00:00"/>
        <d v="2024-03-19T00:00:00"/>
        <d v="2024-03-20T00:00:00"/>
        <d v="2024-03-21T00:00:00"/>
        <d v="2024-03-22T00:00:00"/>
        <d v="2024-03-23T00:00:00"/>
        <d v="2024-03-24T00:00:00"/>
        <d v="2024-03-25T00:00:00"/>
        <d v="2024-03-26T00:00:00"/>
        <d v="2024-03-27T00:00:00"/>
        <d v="2024-03-28T00:00:00"/>
        <d v="2024-03-29T00:00:00"/>
        <d v="2024-03-30T00:00:00"/>
        <d v="2024-03-31T00:00:00"/>
        <d v="2024-04-01T00:00:00"/>
        <d v="2024-04-02T00:00:00"/>
        <d v="2024-04-03T00:00:00"/>
        <d v="2024-04-04T00:00:00"/>
        <d v="2024-04-05T00:00:00"/>
        <d v="2024-04-06T00:00:00"/>
        <d v="2024-04-07T00:00:00"/>
        <d v="2024-04-08T00:00:00"/>
        <d v="2024-04-09T00:00:00"/>
        <d v="2024-04-10T00:00:00"/>
        <d v="2024-04-12T00:00:00"/>
        <d v="2024-04-13T00:00:00"/>
        <d v="2024-04-14T00:00:00"/>
        <d v="2024-04-15T00:00:00"/>
        <d v="2024-04-16T00:00:00"/>
        <d v="2024-04-17T00:00:00"/>
        <d v="2024-04-18T00:00:00"/>
        <d v="2024-04-19T00:00:00"/>
        <d v="2024-04-20T00:00:00"/>
        <d v="2024-04-21T00:00:00"/>
        <d v="2024-04-22T00:00:00"/>
        <d v="2024-04-23T00:00:00"/>
        <d v="2024-04-24T00:00:00"/>
        <d v="2024-04-25T00:00:00"/>
        <d v="2024-04-26T00:00:00"/>
        <d v="2024-04-27T00:00:00"/>
        <d v="2024-04-28T00:00:00"/>
        <d v="2024-04-29T00:00:00"/>
        <d v="2024-04-30T00:00:00"/>
        <d v="2024-05-01T00:00:00"/>
        <d v="2024-05-02T00:00:00"/>
        <d v="2024-05-03T00:00:00"/>
        <d v="2024-05-04T00:00:00"/>
        <d v="2024-05-05T00:00:00"/>
        <d v="2024-05-06T00:00:00"/>
        <d v="2024-05-07T00:00:00"/>
        <d v="2024-05-08T00:00:00"/>
        <d v="2024-05-09T00:00:00"/>
        <d v="2024-05-10T00:00:00"/>
        <d v="2024-05-11T00:00:00"/>
        <d v="2024-05-12T00:00:00"/>
        <d v="2024-05-13T00:00:00"/>
        <d v="2024-05-14T00:00:00"/>
        <d v="2024-05-15T00:00:00"/>
        <d v="2024-05-16T00:00:00"/>
        <d v="2024-05-17T00:00:00"/>
        <d v="2024-05-18T00:00:00"/>
        <d v="2024-05-19T00:00:00"/>
        <d v="2024-05-20T00:00:00"/>
        <d v="2024-05-21T00:00:00"/>
        <d v="2024-05-22T00:00:00"/>
        <d v="2024-05-23T00:00:00"/>
        <d v="2024-05-24T00:00:00"/>
        <d v="2024-05-26T00:00:00"/>
        <d v="2024-05-27T00:00:00"/>
        <d v="2024-05-28T00:00:00"/>
        <d v="2024-05-29T00:00:00"/>
        <d v="2024-05-30T00:00:00"/>
        <d v="2024-05-31T00:00:00"/>
        <d v="2024-06-01T00:00:00"/>
        <d v="2024-06-02T00:00:00"/>
        <d v="2024-06-03T00:00:00"/>
        <d v="2024-06-04T00:00:00"/>
        <d v="2024-06-05T00:00:00"/>
        <d v="2024-06-06T00:00:00"/>
        <d v="2024-06-07T00:00:00"/>
        <d v="2024-06-08T00:00:00"/>
        <d v="2024-06-09T00:00:00"/>
        <d v="2024-06-10T00:00:00"/>
        <d v="2024-06-11T00:00:00"/>
        <d v="2024-06-13T00:00:00"/>
        <d v="2024-06-14T00:00:00"/>
        <d v="2024-06-15T00:00:00"/>
        <d v="2024-06-16T00:00:00"/>
        <d v="2024-06-17T00:00:00"/>
        <d v="2024-06-18T00:00:00"/>
        <d v="2024-06-19T00:00:00"/>
        <d v="2024-06-20T00:00:00"/>
        <d v="2024-06-21T00:00:00"/>
        <d v="2024-06-22T00:00:00"/>
        <d v="2024-06-23T00:00:00"/>
        <d v="2024-06-24T00:00:00"/>
        <d v="2024-06-25T00:00:00"/>
        <d v="2024-06-26T00:00:00"/>
        <d v="2024-06-27T00:00:00"/>
        <d v="2024-06-28T00:00:00"/>
        <d v="2024-06-29T00:00:00"/>
        <d v="2024-06-30T00:00:00"/>
        <d v="2024-07-01T00:00:00"/>
        <d v="2024-07-02T00:00:00"/>
        <d v="2024-07-03T00:00:00"/>
        <d v="2024-07-04T00:00:00"/>
        <d v="2024-07-05T00:00:00"/>
        <d v="2024-07-06T00:00:00"/>
        <d v="2024-07-07T00:00:00"/>
        <d v="2024-07-08T00:00:00"/>
        <d v="2024-07-09T00:00:00"/>
        <d v="2024-07-10T00:00:00"/>
        <d v="2024-07-11T00:00:00"/>
        <d v="2024-07-12T00:00:00"/>
        <d v="2024-07-13T00:00:00"/>
        <d v="2024-07-14T00:00:00"/>
        <d v="2024-07-15T00:00:00"/>
        <d v="2024-07-16T00:00:00"/>
        <d v="2024-07-17T00:00:00"/>
        <d v="2024-07-18T00:00:00"/>
        <d v="2024-07-19T00:00:00"/>
        <d v="2024-07-20T00:00:00"/>
        <d v="2024-07-21T00:00:00"/>
        <d v="2024-07-23T00:00:00"/>
        <d v="2024-07-24T00:00:00"/>
        <d v="2024-07-25T00:00:00"/>
        <d v="2024-07-26T00:00:00"/>
        <d v="2024-07-27T00:00:00"/>
        <d v="2024-07-28T00:00:00"/>
        <d v="2024-07-29T00:00:00"/>
        <d v="2024-07-30T00:00:00"/>
        <d v="2024-07-31T00:00:00"/>
        <d v="2024-08-01T00:00:00"/>
        <d v="2024-08-02T00:00:00"/>
        <d v="2024-08-03T00:00:00"/>
        <d v="2024-08-04T00:00:00"/>
        <d v="2024-08-05T00:00:00"/>
        <d v="2024-08-06T00:00:00"/>
        <d v="2024-08-07T00:00:00"/>
        <d v="2024-08-08T00:00:00"/>
        <d v="2024-08-09T00:00:00"/>
        <d v="2024-08-10T00:00:00"/>
        <d v="2024-08-11T00:00:00"/>
        <d v="2024-08-12T00:00:00"/>
        <d v="2024-08-13T00:00:00"/>
        <d v="2024-08-14T00:00:00"/>
        <d v="2024-08-15T00:00:00"/>
        <d v="2024-08-16T00:00:00"/>
        <d v="2024-08-17T00:00:00"/>
        <d v="2024-08-18T00:00:00"/>
        <d v="2024-08-19T00:00:00"/>
        <d v="2024-08-20T00:00:00"/>
        <d v="2024-08-21T00:00:00"/>
        <d v="2024-08-22T00:00:00"/>
        <d v="2024-08-23T00:00:00"/>
        <d v="2024-08-24T00:00:00"/>
        <d v="2024-08-25T00:00:00"/>
        <d v="2024-08-26T00:00:00"/>
        <d v="2024-08-27T00:00:00"/>
        <d v="2024-08-28T00:00:00"/>
        <d v="2024-08-29T00:00:00"/>
        <d v="2024-08-30T00:00:00"/>
        <d v="2024-08-31T00:00:00"/>
        <d v="2024-09-01T00:00:00"/>
        <d v="2024-09-02T00:00:00"/>
        <d v="2024-09-03T00:00:00"/>
        <d v="2024-09-04T00:00:00"/>
        <d v="2024-09-05T00:00:00"/>
        <d v="2024-09-06T00:00:00"/>
        <d v="2024-09-07T00:00:00"/>
        <d v="2024-09-08T00:00:00"/>
        <d v="2024-09-09T00:00:00"/>
        <d v="2024-09-10T00:00:00"/>
        <d v="2024-09-11T00:00:00"/>
        <d v="2024-09-12T00:00:00"/>
        <d v="2024-09-13T00:00:00"/>
        <d v="2024-09-14T00:00:00"/>
        <d v="2024-09-15T00:00:00"/>
        <d v="2024-09-17T00:00:00"/>
        <d v="2024-09-18T00:00:00"/>
        <d v="2024-09-19T00:00:00"/>
        <d v="2024-09-20T00:00:00"/>
        <d v="2024-09-21T00:00:00"/>
        <d v="2024-09-22T00:00:00"/>
        <d v="2024-09-23T00:00:00"/>
        <d v="2024-09-24T00:00:00"/>
        <d v="2024-09-25T00:00:00"/>
        <d v="2024-09-26T00:00:00"/>
        <d v="2024-09-27T00:00:00"/>
        <d v="2024-09-28T00:00:00"/>
        <d v="2024-09-29T00:00:00"/>
        <d v="2024-09-30T00:00:00"/>
        <d v="2024-10-01T00:00:00"/>
        <d v="2024-10-02T00:00:00"/>
        <d v="2024-10-03T00:00:00"/>
        <d v="2024-10-04T00:00:00"/>
        <d v="2024-10-05T00:00:00"/>
        <d v="2024-10-06T00:00:00"/>
        <d v="2024-10-07T00:00:00"/>
        <d v="2024-10-08T00:00:00"/>
        <d v="2024-10-09T00:00:00"/>
        <d v="2024-10-10T00:00:00"/>
        <d v="2024-10-11T00:00:00"/>
        <d v="2024-10-12T00:00:00"/>
        <d v="2024-10-13T00:00:00"/>
        <d v="2024-10-14T00:00:00"/>
        <d v="2024-10-15T00:00:00"/>
        <d v="2024-10-16T00:00:00"/>
        <d v="2024-10-17T00:00:00"/>
        <d v="2024-10-18T00:00:00"/>
        <d v="2024-10-19T00:00:00"/>
        <d v="2024-10-20T00:00:00"/>
        <d v="2024-10-21T00:00:00"/>
        <d v="2024-10-22T00:00:00"/>
        <d v="2024-10-23T00:00:00"/>
        <d v="2024-10-24T00:00:00"/>
        <d v="2024-10-25T00:00:00"/>
        <d v="2024-10-26T00:00:00"/>
        <d v="2024-10-27T00:00:00"/>
        <d v="2024-10-28T00:00:00"/>
        <d v="2024-10-29T00:00:00"/>
        <d v="2024-10-30T00:00:00"/>
        <d v="2024-10-31T00:00:00"/>
        <d v="2024-11-01T00:00:00"/>
        <d v="2024-11-02T00:00:00"/>
        <d v="2024-11-03T00:00:00"/>
        <d v="2024-11-04T00:00:00"/>
        <d v="2024-11-05T00:00:00"/>
        <d v="2024-11-06T00:00:00"/>
        <d v="2024-11-07T00:00:00"/>
        <d v="2024-11-08T00:00:00"/>
        <d v="2024-11-09T00:00:00"/>
        <d v="2024-11-10T00:00:00"/>
        <d v="2024-11-11T00:00:00"/>
        <d v="2024-11-12T00:00:00"/>
        <d v="2024-11-13T00:00:00"/>
        <d v="2024-11-14T00:00:00"/>
        <d v="2024-11-15T00:00:00"/>
        <d v="2024-11-16T00:00:00"/>
        <d v="2024-11-17T00:00:00"/>
        <d v="2024-11-18T00:00:00"/>
        <d v="2024-11-19T00:00:00"/>
        <d v="2024-11-20T00:00:00"/>
        <d v="2024-11-21T00:00:00"/>
        <d v="2024-11-22T00:00:00"/>
        <d v="2024-11-23T00:00:00"/>
        <d v="2024-11-24T00:00:00"/>
        <d v="2024-11-25T00:00:00"/>
        <d v="2024-11-26T00:00:00"/>
        <d v="2024-11-27T00:00:00"/>
        <d v="2024-11-28T00:00:00"/>
        <d v="2024-11-30T00:00:00"/>
        <d v="2024-12-01T00:00:00"/>
        <d v="2024-12-02T00:00:00"/>
        <d v="2024-12-03T00:00:00"/>
        <d v="2024-12-04T00:00:00"/>
        <d v="2024-12-05T00:00:00"/>
        <d v="2024-12-06T00:00:00"/>
        <d v="2024-12-07T00:00:00"/>
        <d v="2024-12-08T00:00:00"/>
        <d v="2024-12-09T00:00:00"/>
        <d v="2024-12-10T00:00:00"/>
        <d v="2024-12-11T00:00:00"/>
        <d v="2024-12-12T00:00:00"/>
        <d v="2024-12-13T00:00:00"/>
        <d v="2024-12-14T00:00:00"/>
        <d v="2024-12-15T00:00:00"/>
        <d v="2024-12-16T00:00:00"/>
        <d v="2024-12-17T00:00:00"/>
        <d v="2024-12-18T00:00:00"/>
        <d v="2024-12-19T00:00:00"/>
        <d v="2024-12-20T00:00:00"/>
        <d v="2024-12-21T00:00:00"/>
        <d v="2024-12-22T00:00:00"/>
        <d v="2024-12-23T00:00:00"/>
        <d v="2024-12-24T00:00:00"/>
        <d v="2024-12-25T00:00:00"/>
        <d v="2024-12-26T00:00:00"/>
        <d v="2024-12-27T00:00:00"/>
        <d v="2024-12-29T00:00:00"/>
        <d v="2024-12-30T00:00:00"/>
        <d v="2024-12-31T00:00:00"/>
      </sharedItems>
      <fieldGroup par="8"/>
    </cacheField>
    <cacheField name="Amount" numFmtId="6">
      <sharedItems containsSemiMixedTypes="0" containsString="0" containsNumber="1" containsInteger="1" minValue="1007" maxValue="13996"/>
    </cacheField>
    <cacheField name="Sales Growth %" numFmtId="0">
      <sharedItems containsNonDate="0" containsString="0" containsBlank="1" count="1">
        <m/>
      </sharedItems>
    </cacheField>
    <cacheField name="Months (Date)" numFmtId="0" databaseField="0">
      <fieldGroup base="3">
        <rangePr groupBy="months" startDate="2023-01-01T00:00:00" endDate="2025-01-01T00:00:00"/>
        <groupItems count="14">
          <s v="&lt;01/01/2023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01/01/2025"/>
        </groupItems>
      </fieldGroup>
    </cacheField>
    <cacheField name="Quarters (Date)" numFmtId="0" databaseField="0">
      <fieldGroup base="3">
        <rangePr groupBy="quarters" startDate="2023-01-01T00:00:00" endDate="2025-01-01T00:00:00"/>
        <groupItems count="6">
          <s v="&lt;01/01/2023"/>
          <s v="Qtr1"/>
          <s v="Qtr2"/>
          <s v="Qtr3"/>
          <s v="Qtr4"/>
          <s v="&gt;01/01/2025"/>
        </groupItems>
      </fieldGroup>
    </cacheField>
    <cacheField name="Years (Date)" numFmtId="0" databaseField="0">
      <fieldGroup base="3">
        <rangePr groupBy="years" startDate="2023-01-01T00:00:00" endDate="2025-01-01T00:00:00"/>
        <groupItems count="5">
          <s v="&lt;01/01/2023"/>
          <s v="2023"/>
          <s v="2024"/>
          <s v="2025"/>
          <s v="&gt;01/01/2025"/>
        </groupItems>
      </fieldGroup>
    </cacheField>
  </cacheFields>
  <extLst>
    <ext xmlns:x14="http://schemas.microsoft.com/office/spreadsheetml/2009/9/main" uri="{725AE2AE-9491-48be-B2B4-4EB974FC3084}">
      <x14:pivotCacheDefinition pivotCacheId="118005085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38">
  <r>
    <s v="Jehu Rudeforth"/>
    <s v="Canada"/>
    <x v="0"/>
    <x v="0"/>
    <n v="5216"/>
    <x v="0"/>
  </r>
  <r>
    <s v="Karlen McCaffrey"/>
    <s v="UK"/>
    <x v="0"/>
    <x v="0"/>
    <n v="7972"/>
    <x v="0"/>
  </r>
  <r>
    <s v="Jehu Rudeforth"/>
    <s v="Germany"/>
    <x v="1"/>
    <x v="0"/>
    <n v="7297"/>
    <x v="0"/>
  </r>
  <r>
    <s v="Mallorie Waber"/>
    <s v="China"/>
    <x v="1"/>
    <x v="0"/>
    <n v="13823"/>
    <x v="0"/>
  </r>
  <r>
    <s v="Gunar Cockshoot"/>
    <s v="Germany"/>
    <x v="2"/>
    <x v="1"/>
    <n v="12694"/>
    <x v="0"/>
  </r>
  <r>
    <s v="Brien Boise"/>
    <s v="China"/>
    <x v="2"/>
    <x v="2"/>
    <n v="6224"/>
    <x v="0"/>
  </r>
  <r>
    <s v="Beverie Moffet"/>
    <s v="USA"/>
    <x v="3"/>
    <x v="2"/>
    <n v="2218"/>
    <x v="0"/>
  </r>
  <r>
    <s v="Roddy Speechley"/>
    <s v="UK"/>
    <x v="0"/>
    <x v="3"/>
    <n v="6455"/>
    <x v="0"/>
  </r>
  <r>
    <s v="Roddy Speechley"/>
    <s v="USA"/>
    <x v="4"/>
    <x v="3"/>
    <n v="12070"/>
    <x v="0"/>
  </r>
  <r>
    <s v="Jan Morforth"/>
    <s v="Germany"/>
    <x v="4"/>
    <x v="3"/>
    <n v="5435"/>
    <x v="0"/>
  </r>
  <r>
    <s v="Marney O'Breem"/>
    <s v="China"/>
    <x v="5"/>
    <x v="3"/>
    <n v="4786"/>
    <x v="0"/>
  </r>
  <r>
    <s v="Jehu Rudeforth"/>
    <s v="Canada"/>
    <x v="1"/>
    <x v="3"/>
    <n v="7816"/>
    <x v="0"/>
  </r>
  <r>
    <s v="Mallorie Waber"/>
    <s v="UK"/>
    <x v="6"/>
    <x v="3"/>
    <n v="1519"/>
    <x v="0"/>
  </r>
  <r>
    <s v="Barr Faughny"/>
    <s v="China"/>
    <x v="0"/>
    <x v="4"/>
    <n v="10472"/>
    <x v="0"/>
  </r>
  <r>
    <s v="Karlen McCaffrey"/>
    <s v="Germany"/>
    <x v="0"/>
    <x v="4"/>
    <n v="9682"/>
    <x v="0"/>
  </r>
  <r>
    <s v="Rafaela Blaksland"/>
    <s v="UK"/>
    <x v="4"/>
    <x v="4"/>
    <n v="12833"/>
    <x v="0"/>
  </r>
  <r>
    <s v="Rafaela Blaksland"/>
    <s v="UK"/>
    <x v="1"/>
    <x v="4"/>
    <n v="5795"/>
    <x v="0"/>
  </r>
  <r>
    <s v="Van Tuxwell"/>
    <s v="USA"/>
    <x v="1"/>
    <x v="4"/>
    <n v="2010"/>
    <x v="0"/>
  </r>
  <r>
    <s v="Roddy Speechley"/>
    <s v="Switzerland"/>
    <x v="7"/>
    <x v="4"/>
    <n v="2597"/>
    <x v="0"/>
  </r>
  <r>
    <s v="Jehu Rudeforth"/>
    <s v="Germany"/>
    <x v="0"/>
    <x v="5"/>
    <n v="2600"/>
    <x v="0"/>
  </r>
  <r>
    <s v="Rafaela Blaksland"/>
    <s v="UK"/>
    <x v="0"/>
    <x v="5"/>
    <n v="11100"/>
    <x v="0"/>
  </r>
  <r>
    <s v="Oby Sorrel"/>
    <s v="Switzerland"/>
    <x v="0"/>
    <x v="5"/>
    <n v="6777"/>
    <x v="0"/>
  </r>
  <r>
    <s v="Van Tuxwell"/>
    <s v="Canada"/>
    <x v="4"/>
    <x v="5"/>
    <n v="4350"/>
    <x v="0"/>
  </r>
  <r>
    <s v="Jehu Rudeforth"/>
    <s v="USA"/>
    <x v="1"/>
    <x v="5"/>
    <n v="2161"/>
    <x v="0"/>
  </r>
  <r>
    <s v="Mallorie Waber"/>
    <s v="USA"/>
    <x v="2"/>
    <x v="5"/>
    <n v="11470"/>
    <x v="0"/>
  </r>
  <r>
    <s v="Jehu Rudeforth"/>
    <s v="UK"/>
    <x v="4"/>
    <x v="6"/>
    <n v="7805"/>
    <x v="0"/>
  </r>
  <r>
    <s v="Jan Morforth"/>
    <s v="China"/>
    <x v="1"/>
    <x v="6"/>
    <n v="7763"/>
    <x v="0"/>
  </r>
  <r>
    <s v="Jehu Rudeforth"/>
    <s v="UK"/>
    <x v="7"/>
    <x v="6"/>
    <n v="11071"/>
    <x v="0"/>
  </r>
  <r>
    <s v="Marney O'Breem"/>
    <s v="China"/>
    <x v="3"/>
    <x v="6"/>
    <n v="11682"/>
    <x v="0"/>
  </r>
  <r>
    <s v="Barr Faughny"/>
    <s v="Germany"/>
    <x v="3"/>
    <x v="6"/>
    <n v="4574"/>
    <x v="0"/>
  </r>
  <r>
    <s v="Mallorie Waber"/>
    <s v="Switzerland"/>
    <x v="0"/>
    <x v="7"/>
    <n v="13903"/>
    <x v="0"/>
  </r>
  <r>
    <s v="Jehu Rudeforth"/>
    <s v="Switzerland"/>
    <x v="0"/>
    <x v="7"/>
    <n v="12689"/>
    <x v="0"/>
  </r>
  <r>
    <s v="Karlen McCaffrey"/>
    <s v="Switzerland"/>
    <x v="4"/>
    <x v="7"/>
    <n v="12726"/>
    <x v="0"/>
  </r>
  <r>
    <s v="Beverie Moffet"/>
    <s v="USA"/>
    <x v="3"/>
    <x v="7"/>
    <n v="10112"/>
    <x v="0"/>
  </r>
  <r>
    <s v="Curtice Advani"/>
    <s v="USA"/>
    <x v="4"/>
    <x v="8"/>
    <n v="6012"/>
    <x v="0"/>
  </r>
  <r>
    <s v="Mallorie Waber"/>
    <s v="Canada"/>
    <x v="6"/>
    <x v="8"/>
    <n v="5996"/>
    <x v="0"/>
  </r>
  <r>
    <s v="Oby Sorrel"/>
    <s v="Canada"/>
    <x v="6"/>
    <x v="9"/>
    <n v="13562"/>
    <x v="0"/>
  </r>
  <r>
    <s v="Jan Morforth"/>
    <s v="Canada"/>
    <x v="5"/>
    <x v="10"/>
    <n v="10399"/>
    <x v="0"/>
  </r>
  <r>
    <s v="Jan Morforth"/>
    <s v="Switzerland"/>
    <x v="5"/>
    <x v="10"/>
    <n v="10355"/>
    <x v="0"/>
  </r>
  <r>
    <s v="Roddy Speechley"/>
    <s v="USA"/>
    <x v="7"/>
    <x v="10"/>
    <n v="3088"/>
    <x v="0"/>
  </r>
  <r>
    <s v="Gunar Cockshoot"/>
    <s v="USA"/>
    <x v="5"/>
    <x v="11"/>
    <n v="8860"/>
    <x v="0"/>
  </r>
  <r>
    <s v="Marney O'Breem"/>
    <s v="USA"/>
    <x v="3"/>
    <x v="11"/>
    <n v="10887"/>
    <x v="0"/>
  </r>
  <r>
    <s v="Marney O'Breem"/>
    <s v="Switzerland"/>
    <x v="4"/>
    <x v="12"/>
    <n v="3760"/>
    <x v="0"/>
  </r>
  <r>
    <s v="Barr Faughny"/>
    <s v="Switzerland"/>
    <x v="3"/>
    <x v="12"/>
    <n v="12338"/>
    <x v="0"/>
  </r>
  <r>
    <s v="Gunar Cockshoot"/>
    <s v="UK"/>
    <x v="7"/>
    <x v="13"/>
    <n v="6529"/>
    <x v="0"/>
  </r>
  <r>
    <s v="Karlen McCaffrey"/>
    <s v="China"/>
    <x v="2"/>
    <x v="13"/>
    <n v="8320"/>
    <x v="0"/>
  </r>
  <r>
    <s v="Mallorie Waber"/>
    <s v="UK"/>
    <x v="2"/>
    <x v="13"/>
    <n v="7620"/>
    <x v="0"/>
  </r>
  <r>
    <s v="Barr Faughny"/>
    <s v="Switzerland"/>
    <x v="0"/>
    <x v="14"/>
    <n v="1369"/>
    <x v="0"/>
  </r>
  <r>
    <s v="Mallorie Waber"/>
    <s v="Switzerland"/>
    <x v="4"/>
    <x v="14"/>
    <n v="2364"/>
    <x v="0"/>
  </r>
  <r>
    <s v="Oby Sorrel"/>
    <s v="USA"/>
    <x v="1"/>
    <x v="14"/>
    <n v="1421"/>
    <x v="0"/>
  </r>
  <r>
    <s v="Gigi Bohling"/>
    <s v="UK"/>
    <x v="7"/>
    <x v="14"/>
    <n v="1824"/>
    <x v="0"/>
  </r>
  <r>
    <s v="Oby Sorrel"/>
    <s v="UK"/>
    <x v="2"/>
    <x v="14"/>
    <n v="10269"/>
    <x v="0"/>
  </r>
  <r>
    <s v="Gunar Cockshoot"/>
    <s v="USA"/>
    <x v="6"/>
    <x v="14"/>
    <n v="7597"/>
    <x v="0"/>
  </r>
  <r>
    <s v="Oby Sorrel"/>
    <s v="UK"/>
    <x v="3"/>
    <x v="14"/>
    <n v="2810"/>
    <x v="0"/>
  </r>
  <r>
    <s v="Gigi Bohling"/>
    <s v="USA"/>
    <x v="3"/>
    <x v="14"/>
    <n v="7440"/>
    <x v="0"/>
  </r>
  <r>
    <s v="Karlen McCaffrey"/>
    <s v="Canada"/>
    <x v="3"/>
    <x v="14"/>
    <n v="7260"/>
    <x v="0"/>
  </r>
  <r>
    <s v="Rafaela Blaksland"/>
    <s v="UK"/>
    <x v="1"/>
    <x v="15"/>
    <n v="8624"/>
    <x v="0"/>
  </r>
  <r>
    <s v="Gigi Bohling"/>
    <s v="Germany"/>
    <x v="1"/>
    <x v="15"/>
    <n v="5437"/>
    <x v="0"/>
  </r>
  <r>
    <s v="Brien Boise"/>
    <s v="Switzerland"/>
    <x v="7"/>
    <x v="15"/>
    <n v="4910"/>
    <x v="0"/>
  </r>
  <r>
    <s v="Gunar Cockshoot"/>
    <s v="UK"/>
    <x v="6"/>
    <x v="15"/>
    <n v="4113"/>
    <x v="0"/>
  </r>
  <r>
    <s v="Marney O'Breem"/>
    <s v="Switzerland"/>
    <x v="6"/>
    <x v="15"/>
    <n v="13452"/>
    <x v="0"/>
  </r>
  <r>
    <s v="Rafaela Blaksland"/>
    <s v="Switzerland"/>
    <x v="1"/>
    <x v="16"/>
    <n v="13540"/>
    <x v="0"/>
  </r>
  <r>
    <s v="Brien Boise"/>
    <s v="Germany"/>
    <x v="7"/>
    <x v="16"/>
    <n v="9053"/>
    <x v="0"/>
  </r>
  <r>
    <s v="Brien Boise"/>
    <s v="UK"/>
    <x v="6"/>
    <x v="17"/>
    <n v="9456"/>
    <x v="0"/>
  </r>
  <r>
    <s v="Beverie Moffet"/>
    <s v="Germany"/>
    <x v="3"/>
    <x v="17"/>
    <n v="9138"/>
    <x v="0"/>
  </r>
  <r>
    <s v="Brien Boise"/>
    <s v="China"/>
    <x v="3"/>
    <x v="17"/>
    <n v="6853"/>
    <x v="0"/>
  </r>
  <r>
    <s v="Karlen McCaffrey"/>
    <s v="Canada"/>
    <x v="0"/>
    <x v="18"/>
    <n v="2781"/>
    <x v="0"/>
  </r>
  <r>
    <s v="Mallorie Waber"/>
    <s v="China"/>
    <x v="0"/>
    <x v="18"/>
    <n v="9217"/>
    <x v="0"/>
  </r>
  <r>
    <s v="Brien Boise"/>
    <s v="USA"/>
    <x v="4"/>
    <x v="18"/>
    <n v="6679"/>
    <x v="0"/>
  </r>
  <r>
    <s v="Van Tuxwell"/>
    <s v="USA"/>
    <x v="1"/>
    <x v="18"/>
    <n v="10174"/>
    <x v="0"/>
  </r>
  <r>
    <s v="Gigi Bohling"/>
    <s v="Switzerland"/>
    <x v="6"/>
    <x v="18"/>
    <n v="11108"/>
    <x v="0"/>
  </r>
  <r>
    <s v="Oby Sorrel"/>
    <s v="USA"/>
    <x v="6"/>
    <x v="18"/>
    <n v="4794"/>
    <x v="0"/>
  </r>
  <r>
    <s v="Karlen McCaffrey"/>
    <s v="Switzerland"/>
    <x v="3"/>
    <x v="18"/>
    <n v="3132"/>
    <x v="0"/>
  </r>
  <r>
    <s v="Oby Sorrel"/>
    <s v="UK"/>
    <x v="5"/>
    <x v="19"/>
    <n v="11752"/>
    <x v="0"/>
  </r>
  <r>
    <s v="Marney O'Breem"/>
    <s v="China"/>
    <x v="5"/>
    <x v="19"/>
    <n v="6444"/>
    <x v="0"/>
  </r>
  <r>
    <s v="Roddy Speechley"/>
    <s v="Canada"/>
    <x v="4"/>
    <x v="20"/>
    <n v="6648"/>
    <x v="0"/>
  </r>
  <r>
    <s v="Curtice Advani"/>
    <s v="China"/>
    <x v="5"/>
    <x v="20"/>
    <n v="13386"/>
    <x v="0"/>
  </r>
  <r>
    <s v="Gunar Cockshoot"/>
    <s v="USA"/>
    <x v="1"/>
    <x v="20"/>
    <n v="9254"/>
    <x v="0"/>
  </r>
  <r>
    <s v="Marney O'Breem"/>
    <s v="China"/>
    <x v="6"/>
    <x v="20"/>
    <n v="13000"/>
    <x v="0"/>
  </r>
  <r>
    <s v="Mallorie Waber"/>
    <s v="Switzerland"/>
    <x v="3"/>
    <x v="20"/>
    <n v="8302"/>
    <x v="0"/>
  </r>
  <r>
    <s v="Mallorie Waber"/>
    <s v="USA"/>
    <x v="3"/>
    <x v="20"/>
    <n v="12667"/>
    <x v="0"/>
  </r>
  <r>
    <s v="Barr Faughny"/>
    <s v="USA"/>
    <x v="0"/>
    <x v="21"/>
    <n v="8888"/>
    <x v="0"/>
  </r>
  <r>
    <s v="Jehu Rudeforth"/>
    <s v="Switzerland"/>
    <x v="0"/>
    <x v="21"/>
    <n v="2836"/>
    <x v="0"/>
  </r>
  <r>
    <s v="Beverie Moffet"/>
    <s v="UK"/>
    <x v="0"/>
    <x v="21"/>
    <n v="2335"/>
    <x v="0"/>
  </r>
  <r>
    <s v="Jan Morforth"/>
    <s v="Canada"/>
    <x v="1"/>
    <x v="21"/>
    <n v="10927"/>
    <x v="0"/>
  </r>
  <r>
    <s v="Marney O'Breem"/>
    <s v="UK"/>
    <x v="7"/>
    <x v="21"/>
    <n v="13111"/>
    <x v="0"/>
  </r>
  <r>
    <s v="Beverie Moffet"/>
    <s v="USA"/>
    <x v="7"/>
    <x v="21"/>
    <n v="13335"/>
    <x v="0"/>
  </r>
  <r>
    <s v="Beverie Moffet"/>
    <s v="China"/>
    <x v="4"/>
    <x v="22"/>
    <n v="1400"/>
    <x v="0"/>
  </r>
  <r>
    <s v="Mallorie Waber"/>
    <s v="Canada"/>
    <x v="4"/>
    <x v="22"/>
    <n v="8878"/>
    <x v="0"/>
  </r>
  <r>
    <s v="Rafaela Blaksland"/>
    <s v="Switzerland"/>
    <x v="2"/>
    <x v="22"/>
    <n v="3357"/>
    <x v="0"/>
  </r>
  <r>
    <s v="Gigi Bohling"/>
    <s v="USA"/>
    <x v="4"/>
    <x v="23"/>
    <n v="9167"/>
    <x v="0"/>
  </r>
  <r>
    <s v="Gunar Cockshoot"/>
    <s v="China"/>
    <x v="7"/>
    <x v="23"/>
    <n v="11645"/>
    <x v="0"/>
  </r>
  <r>
    <s v="Karlen McCaffrey"/>
    <s v="USA"/>
    <x v="7"/>
    <x v="23"/>
    <n v="8727"/>
    <x v="0"/>
  </r>
  <r>
    <s v="Mallorie Waber"/>
    <s v="UK"/>
    <x v="4"/>
    <x v="24"/>
    <n v="12815"/>
    <x v="0"/>
  </r>
  <r>
    <s v="Jan Morforth"/>
    <s v="China"/>
    <x v="4"/>
    <x v="24"/>
    <n v="8386"/>
    <x v="0"/>
  </r>
  <r>
    <s v="Oby Sorrel"/>
    <s v="China"/>
    <x v="5"/>
    <x v="24"/>
    <n v="2703"/>
    <x v="0"/>
  </r>
  <r>
    <s v="Mallorie Waber"/>
    <s v="Switzerland"/>
    <x v="1"/>
    <x v="24"/>
    <n v="1631"/>
    <x v="0"/>
  </r>
  <r>
    <s v="Gunar Cockshoot"/>
    <s v="Canada"/>
    <x v="7"/>
    <x v="24"/>
    <n v="13093"/>
    <x v="0"/>
  </r>
  <r>
    <s v="Karlen McCaffrey"/>
    <s v="Germany"/>
    <x v="3"/>
    <x v="24"/>
    <n v="2887"/>
    <x v="0"/>
  </r>
  <r>
    <s v="Van Tuxwell"/>
    <s v="China"/>
    <x v="4"/>
    <x v="25"/>
    <n v="2970"/>
    <x v="0"/>
  </r>
  <r>
    <s v="Van Tuxwell"/>
    <s v="UK"/>
    <x v="7"/>
    <x v="25"/>
    <n v="3862"/>
    <x v="0"/>
  </r>
  <r>
    <s v="Mallorie Waber"/>
    <s v="Switzerland"/>
    <x v="7"/>
    <x v="25"/>
    <n v="9957"/>
    <x v="0"/>
  </r>
  <r>
    <s v="Gunar Cockshoot"/>
    <s v="Germany"/>
    <x v="5"/>
    <x v="26"/>
    <n v="3829"/>
    <x v="0"/>
  </r>
  <r>
    <s v="Karlen McCaffrey"/>
    <s v="USA"/>
    <x v="1"/>
    <x v="26"/>
    <n v="7847"/>
    <x v="0"/>
  </r>
  <r>
    <s v="Curtice Advani"/>
    <s v="Germany"/>
    <x v="3"/>
    <x v="26"/>
    <n v="12830"/>
    <x v="0"/>
  </r>
  <r>
    <s v="Gunar Cockshoot"/>
    <s v="Switzerland"/>
    <x v="0"/>
    <x v="27"/>
    <n v="7831"/>
    <x v="0"/>
  </r>
  <r>
    <s v="Gigi Bohling"/>
    <s v="Germany"/>
    <x v="0"/>
    <x v="27"/>
    <n v="4652"/>
    <x v="0"/>
  </r>
  <r>
    <s v="Beverie Moffet"/>
    <s v="UK"/>
    <x v="1"/>
    <x v="27"/>
    <n v="7627"/>
    <x v="0"/>
  </r>
  <r>
    <s v="Jehu Rudeforth"/>
    <s v="China"/>
    <x v="2"/>
    <x v="27"/>
    <n v="3474"/>
    <x v="0"/>
  </r>
  <r>
    <s v="Roddy Speechley"/>
    <s v="USA"/>
    <x v="4"/>
    <x v="28"/>
    <n v="8144"/>
    <x v="0"/>
  </r>
  <r>
    <s v="Beverie Moffet"/>
    <s v="Germany"/>
    <x v="7"/>
    <x v="28"/>
    <n v="8762"/>
    <x v="0"/>
  </r>
  <r>
    <s v="Oby Sorrel"/>
    <s v="Switzerland"/>
    <x v="3"/>
    <x v="28"/>
    <n v="1465"/>
    <x v="0"/>
  </r>
  <r>
    <s v="Oby Sorrel"/>
    <s v="UK"/>
    <x v="5"/>
    <x v="29"/>
    <n v="6131"/>
    <x v="0"/>
  </r>
  <r>
    <s v="Brien Boise"/>
    <s v="Germany"/>
    <x v="5"/>
    <x v="29"/>
    <n v="9880"/>
    <x v="0"/>
  </r>
  <r>
    <s v="Rafaela Blaksland"/>
    <s v="Germany"/>
    <x v="6"/>
    <x v="29"/>
    <n v="9728"/>
    <x v="0"/>
  </r>
  <r>
    <s v="Oby Sorrel"/>
    <s v="USA"/>
    <x v="6"/>
    <x v="29"/>
    <n v="4058"/>
    <x v="0"/>
  </r>
  <r>
    <s v="Roddy Speechley"/>
    <s v="China"/>
    <x v="6"/>
    <x v="30"/>
    <n v="10802"/>
    <x v="0"/>
  </r>
  <r>
    <s v="Curtice Advani"/>
    <s v="USA"/>
    <x v="3"/>
    <x v="30"/>
    <n v="2008"/>
    <x v="0"/>
  </r>
  <r>
    <s v="Van Tuxwell"/>
    <s v="Switzerland"/>
    <x v="3"/>
    <x v="30"/>
    <n v="10440"/>
    <x v="0"/>
  </r>
  <r>
    <s v="Karlen McCaffrey"/>
    <s v="USA"/>
    <x v="4"/>
    <x v="31"/>
    <n v="8049"/>
    <x v="0"/>
  </r>
  <r>
    <s v="Karlen McCaffrey"/>
    <s v="UK"/>
    <x v="5"/>
    <x v="31"/>
    <n v="5906"/>
    <x v="0"/>
  </r>
  <r>
    <s v="Barr Faughny"/>
    <s v="USA"/>
    <x v="7"/>
    <x v="31"/>
    <n v="10509"/>
    <x v="0"/>
  </r>
  <r>
    <s v="Marney O'Breem"/>
    <s v="China"/>
    <x v="5"/>
    <x v="32"/>
    <n v="10492"/>
    <x v="0"/>
  </r>
  <r>
    <s v="Mallorie Waber"/>
    <s v="Germany"/>
    <x v="2"/>
    <x v="32"/>
    <n v="11126"/>
    <x v="0"/>
  </r>
  <r>
    <s v="Jehu Rudeforth"/>
    <s v="UK"/>
    <x v="6"/>
    <x v="32"/>
    <n v="13791"/>
    <x v="0"/>
  </r>
  <r>
    <s v="Barr Faughny"/>
    <s v="UK"/>
    <x v="0"/>
    <x v="33"/>
    <n v="2117"/>
    <x v="0"/>
  </r>
  <r>
    <s v="Marney O'Breem"/>
    <s v="Switzerland"/>
    <x v="0"/>
    <x v="33"/>
    <n v="8031"/>
    <x v="0"/>
  </r>
  <r>
    <s v="Gigi Bohling"/>
    <s v="Germany"/>
    <x v="6"/>
    <x v="33"/>
    <n v="13912"/>
    <x v="0"/>
  </r>
  <r>
    <s v="Curtice Advani"/>
    <s v="USA"/>
    <x v="6"/>
    <x v="33"/>
    <n v="12974"/>
    <x v="0"/>
  </r>
  <r>
    <s v="Roddy Speechley"/>
    <s v="Switzerland"/>
    <x v="0"/>
    <x v="34"/>
    <n v="13486"/>
    <x v="0"/>
  </r>
  <r>
    <s v="Jan Morforth"/>
    <s v="Germany"/>
    <x v="5"/>
    <x v="34"/>
    <n v="12309"/>
    <x v="0"/>
  </r>
  <r>
    <s v="Jehu Rudeforth"/>
    <s v="China"/>
    <x v="1"/>
    <x v="34"/>
    <n v="10110"/>
    <x v="0"/>
  </r>
  <r>
    <s v="Roddy Speechley"/>
    <s v="Germany"/>
    <x v="7"/>
    <x v="34"/>
    <n v="9014"/>
    <x v="0"/>
  </r>
  <r>
    <s v="Roddy Speechley"/>
    <s v="UK"/>
    <x v="7"/>
    <x v="34"/>
    <n v="11082"/>
    <x v="0"/>
  </r>
  <r>
    <s v="Curtice Advani"/>
    <s v="China"/>
    <x v="7"/>
    <x v="34"/>
    <n v="6334"/>
    <x v="0"/>
  </r>
  <r>
    <s v="Gigi Bohling"/>
    <s v="Switzerland"/>
    <x v="2"/>
    <x v="34"/>
    <n v="13996"/>
    <x v="0"/>
  </r>
  <r>
    <s v="Gigi Bohling"/>
    <s v="Germany"/>
    <x v="6"/>
    <x v="34"/>
    <n v="4675"/>
    <x v="0"/>
  </r>
  <r>
    <s v="Roddy Speechley"/>
    <s v="USA"/>
    <x v="4"/>
    <x v="35"/>
    <n v="13775"/>
    <x v="0"/>
  </r>
  <r>
    <s v="Rafaela Blaksland"/>
    <s v="Switzerland"/>
    <x v="5"/>
    <x v="35"/>
    <n v="5803"/>
    <x v="0"/>
  </r>
  <r>
    <s v="Van Tuxwell"/>
    <s v="Canada"/>
    <x v="1"/>
    <x v="35"/>
    <n v="1637"/>
    <x v="0"/>
  </r>
  <r>
    <s v="Rafaela Blaksland"/>
    <s v="Germany"/>
    <x v="2"/>
    <x v="35"/>
    <n v="1865"/>
    <x v="0"/>
  </r>
  <r>
    <s v="Gigi Bohling"/>
    <s v="China"/>
    <x v="2"/>
    <x v="35"/>
    <n v="3711"/>
    <x v="0"/>
  </r>
  <r>
    <s v="Gunar Cockshoot"/>
    <s v="Switzerland"/>
    <x v="6"/>
    <x v="35"/>
    <n v="13128"/>
    <x v="0"/>
  </r>
  <r>
    <s v="Van Tuxwell"/>
    <s v="Germany"/>
    <x v="4"/>
    <x v="36"/>
    <n v="1157"/>
    <x v="0"/>
  </r>
  <r>
    <s v="Curtice Advani"/>
    <s v="Canada"/>
    <x v="6"/>
    <x v="36"/>
    <n v="12766"/>
    <x v="0"/>
  </r>
  <r>
    <s v="Roddy Speechley"/>
    <s v="China"/>
    <x v="0"/>
    <x v="37"/>
    <n v="4057"/>
    <x v="0"/>
  </r>
  <r>
    <s v="Barr Faughny"/>
    <s v="Germany"/>
    <x v="4"/>
    <x v="37"/>
    <n v="7518"/>
    <x v="0"/>
  </r>
  <r>
    <s v="Curtice Advani"/>
    <s v="Germany"/>
    <x v="1"/>
    <x v="37"/>
    <n v="1531"/>
    <x v="0"/>
  </r>
  <r>
    <s v="Oby Sorrel"/>
    <s v="Germany"/>
    <x v="1"/>
    <x v="37"/>
    <n v="7400"/>
    <x v="0"/>
  </r>
  <r>
    <s v="Jehu Rudeforth"/>
    <s v="UK"/>
    <x v="1"/>
    <x v="37"/>
    <n v="1720"/>
    <x v="0"/>
  </r>
  <r>
    <s v="Rafaela Blaksland"/>
    <s v="Switzerland"/>
    <x v="6"/>
    <x v="37"/>
    <n v="13636"/>
    <x v="0"/>
  </r>
  <r>
    <s v="Roddy Speechley"/>
    <s v="China"/>
    <x v="3"/>
    <x v="37"/>
    <n v="4129"/>
    <x v="0"/>
  </r>
  <r>
    <s v="Jan Morforth"/>
    <s v="Switzerland"/>
    <x v="0"/>
    <x v="38"/>
    <n v="11480"/>
    <x v="0"/>
  </r>
  <r>
    <s v="Rafaela Blaksland"/>
    <s v="Switzerland"/>
    <x v="4"/>
    <x v="38"/>
    <n v="12023"/>
    <x v="0"/>
  </r>
  <r>
    <s v="Rafaela Blaksland"/>
    <s v="USA"/>
    <x v="4"/>
    <x v="38"/>
    <n v="10552"/>
    <x v="0"/>
  </r>
  <r>
    <s v="Beverie Moffet"/>
    <s v="China"/>
    <x v="5"/>
    <x v="38"/>
    <n v="10607"/>
    <x v="0"/>
  </r>
  <r>
    <s v="Beverie Moffet"/>
    <s v="China"/>
    <x v="2"/>
    <x v="38"/>
    <n v="9584"/>
    <x v="0"/>
  </r>
  <r>
    <s v="Mallorie Waber"/>
    <s v="Switzerland"/>
    <x v="2"/>
    <x v="38"/>
    <n v="9302"/>
    <x v="0"/>
  </r>
  <r>
    <s v="Gigi Bohling"/>
    <s v="Germany"/>
    <x v="6"/>
    <x v="38"/>
    <n v="5925"/>
    <x v="0"/>
  </r>
  <r>
    <s v="Van Tuxwell"/>
    <s v="China"/>
    <x v="4"/>
    <x v="39"/>
    <n v="1679"/>
    <x v="0"/>
  </r>
  <r>
    <s v="Van Tuxwell"/>
    <s v="Switzerland"/>
    <x v="1"/>
    <x v="39"/>
    <n v="1618"/>
    <x v="0"/>
  </r>
  <r>
    <s v="Mallorie Waber"/>
    <s v="USA"/>
    <x v="7"/>
    <x v="39"/>
    <n v="8925"/>
    <x v="0"/>
  </r>
  <r>
    <s v="Barr Faughny"/>
    <s v="Switzerland"/>
    <x v="6"/>
    <x v="39"/>
    <n v="5852"/>
    <x v="0"/>
  </r>
  <r>
    <s v="Gunar Cockshoot"/>
    <s v="UK"/>
    <x v="1"/>
    <x v="40"/>
    <n v="13078"/>
    <x v="0"/>
  </r>
  <r>
    <s v="Brien Boise"/>
    <s v="Canada"/>
    <x v="1"/>
    <x v="40"/>
    <n v="4231"/>
    <x v="0"/>
  </r>
  <r>
    <s v="Beverie Moffet"/>
    <s v="UK"/>
    <x v="2"/>
    <x v="40"/>
    <n v="4531"/>
    <x v="0"/>
  </r>
  <r>
    <s v="Beverie Moffet"/>
    <s v="Switzerland"/>
    <x v="6"/>
    <x v="40"/>
    <n v="2247"/>
    <x v="0"/>
  </r>
  <r>
    <s v="Mallorie Waber"/>
    <s v="UK"/>
    <x v="4"/>
    <x v="41"/>
    <n v="4300"/>
    <x v="0"/>
  </r>
  <r>
    <s v="Marney O'Breem"/>
    <s v="Canada"/>
    <x v="1"/>
    <x v="41"/>
    <n v="11304"/>
    <x v="0"/>
  </r>
  <r>
    <s v="Van Tuxwell"/>
    <s v="USA"/>
    <x v="6"/>
    <x v="41"/>
    <n v="11396"/>
    <x v="0"/>
  </r>
  <r>
    <s v="Oby Sorrel"/>
    <s v="China"/>
    <x v="3"/>
    <x v="41"/>
    <n v="9489"/>
    <x v="0"/>
  </r>
  <r>
    <s v="Brien Boise"/>
    <s v="Germany"/>
    <x v="5"/>
    <x v="42"/>
    <n v="2574"/>
    <x v="0"/>
  </r>
  <r>
    <s v="Jan Morforth"/>
    <s v="USA"/>
    <x v="1"/>
    <x v="42"/>
    <n v="10632"/>
    <x v="0"/>
  </r>
  <r>
    <s v="Roddy Speechley"/>
    <s v="China"/>
    <x v="2"/>
    <x v="42"/>
    <n v="9798"/>
    <x v="0"/>
  </r>
  <r>
    <s v="Gigi Bohling"/>
    <s v="UK"/>
    <x v="6"/>
    <x v="42"/>
    <n v="10098"/>
    <x v="0"/>
  </r>
  <r>
    <s v="Jan Morforth"/>
    <s v="China"/>
    <x v="0"/>
    <x v="43"/>
    <n v="4863"/>
    <x v="0"/>
  </r>
  <r>
    <s v="Jehu Rudeforth"/>
    <s v="Switzerland"/>
    <x v="0"/>
    <x v="43"/>
    <n v="3867"/>
    <x v="0"/>
  </r>
  <r>
    <s v="Jan Morforth"/>
    <s v="Switzerland"/>
    <x v="4"/>
    <x v="43"/>
    <n v="9785"/>
    <x v="0"/>
  </r>
  <r>
    <s v="Gunar Cockshoot"/>
    <s v="Germany"/>
    <x v="1"/>
    <x v="43"/>
    <n v="4955"/>
    <x v="0"/>
  </r>
  <r>
    <s v="Curtice Advani"/>
    <s v="Canada"/>
    <x v="1"/>
    <x v="43"/>
    <n v="11466"/>
    <x v="0"/>
  </r>
  <r>
    <s v="Jan Morforth"/>
    <s v="USA"/>
    <x v="6"/>
    <x v="43"/>
    <n v="1310"/>
    <x v="0"/>
  </r>
  <r>
    <s v="Barr Faughny"/>
    <s v="China"/>
    <x v="3"/>
    <x v="43"/>
    <n v="8213"/>
    <x v="0"/>
  </r>
  <r>
    <s v="Gunar Cockshoot"/>
    <s v="Germany"/>
    <x v="5"/>
    <x v="44"/>
    <n v="8787"/>
    <x v="0"/>
  </r>
  <r>
    <s v="Roddy Speechley"/>
    <s v="Germany"/>
    <x v="5"/>
    <x v="44"/>
    <n v="2220"/>
    <x v="0"/>
  </r>
  <r>
    <s v="Mallorie Waber"/>
    <s v="China"/>
    <x v="1"/>
    <x v="44"/>
    <n v="9351"/>
    <x v="0"/>
  </r>
  <r>
    <s v="Jehu Rudeforth"/>
    <s v="Germany"/>
    <x v="1"/>
    <x v="44"/>
    <n v="3112"/>
    <x v="0"/>
  </r>
  <r>
    <s v="Karlen McCaffrey"/>
    <s v="USA"/>
    <x v="4"/>
    <x v="45"/>
    <n v="6398"/>
    <x v="0"/>
  </r>
  <r>
    <s v="Barr Faughny"/>
    <s v="Switzerland"/>
    <x v="4"/>
    <x v="45"/>
    <n v="4971"/>
    <x v="0"/>
  </r>
  <r>
    <s v="Jehu Rudeforth"/>
    <s v="Canada"/>
    <x v="5"/>
    <x v="45"/>
    <n v="9276"/>
    <x v="0"/>
  </r>
  <r>
    <s v="Beverie Moffet"/>
    <s v="Canada"/>
    <x v="1"/>
    <x v="45"/>
    <n v="4009"/>
    <x v="0"/>
  </r>
  <r>
    <s v="Beverie Moffet"/>
    <s v="China"/>
    <x v="0"/>
    <x v="46"/>
    <n v="4086"/>
    <x v="0"/>
  </r>
  <r>
    <s v="Barr Faughny"/>
    <s v="Canada"/>
    <x v="1"/>
    <x v="46"/>
    <n v="6241"/>
    <x v="0"/>
  </r>
  <r>
    <s v="Roddy Speechley"/>
    <s v="Germany"/>
    <x v="6"/>
    <x v="46"/>
    <n v="8805"/>
    <x v="0"/>
  </r>
  <r>
    <s v="Karlen McCaffrey"/>
    <s v="China"/>
    <x v="6"/>
    <x v="46"/>
    <n v="9621"/>
    <x v="0"/>
  </r>
  <r>
    <s v="Roddy Speechley"/>
    <s v="Canada"/>
    <x v="3"/>
    <x v="46"/>
    <n v="8282"/>
    <x v="0"/>
  </r>
  <r>
    <s v="Karlen McCaffrey"/>
    <s v="USA"/>
    <x v="1"/>
    <x v="47"/>
    <n v="1516"/>
    <x v="0"/>
  </r>
  <r>
    <s v="Gunar Cockshoot"/>
    <s v="USA"/>
    <x v="6"/>
    <x v="47"/>
    <n v="12805"/>
    <x v="0"/>
  </r>
  <r>
    <s v="Gigi Bohling"/>
    <s v="Switzerland"/>
    <x v="0"/>
    <x v="48"/>
    <n v="8109"/>
    <x v="0"/>
  </r>
  <r>
    <s v="Oby Sorrel"/>
    <s v="China"/>
    <x v="0"/>
    <x v="48"/>
    <n v="2392"/>
    <x v="0"/>
  </r>
  <r>
    <s v="Rafaela Blaksland"/>
    <s v="Germany"/>
    <x v="1"/>
    <x v="48"/>
    <n v="4938"/>
    <x v="0"/>
  </r>
  <r>
    <s v="Brien Boise"/>
    <s v="Canada"/>
    <x v="1"/>
    <x v="48"/>
    <n v="3125"/>
    <x v="0"/>
  </r>
  <r>
    <s v="Gunar Cockshoot"/>
    <s v="USA"/>
    <x v="1"/>
    <x v="48"/>
    <n v="7513"/>
    <x v="0"/>
  </r>
  <r>
    <s v="Karlen McCaffrey"/>
    <s v="Canada"/>
    <x v="7"/>
    <x v="48"/>
    <n v="9785"/>
    <x v="0"/>
  </r>
  <r>
    <s v="Curtice Advani"/>
    <s v="Canada"/>
    <x v="7"/>
    <x v="48"/>
    <n v="10024"/>
    <x v="0"/>
  </r>
  <r>
    <s v="Roddy Speechley"/>
    <s v="Canada"/>
    <x v="6"/>
    <x v="48"/>
    <n v="1451"/>
    <x v="0"/>
  </r>
  <r>
    <s v="Mallorie Waber"/>
    <s v="Germany"/>
    <x v="3"/>
    <x v="48"/>
    <n v="1633"/>
    <x v="0"/>
  </r>
  <r>
    <s v="Karlen McCaffrey"/>
    <s v="Germany"/>
    <x v="1"/>
    <x v="49"/>
    <n v="8722"/>
    <x v="0"/>
  </r>
  <r>
    <s v="Mallorie Waber"/>
    <s v="Canada"/>
    <x v="0"/>
    <x v="50"/>
    <n v="13358"/>
    <x v="0"/>
  </r>
  <r>
    <s v="Jehu Rudeforth"/>
    <s v="UK"/>
    <x v="7"/>
    <x v="50"/>
    <n v="1180"/>
    <x v="0"/>
  </r>
  <r>
    <s v="Jehu Rudeforth"/>
    <s v="Switzerland"/>
    <x v="2"/>
    <x v="50"/>
    <n v="3973"/>
    <x v="0"/>
  </r>
  <r>
    <s v="Oby Sorrel"/>
    <s v="USA"/>
    <x v="2"/>
    <x v="50"/>
    <n v="10762"/>
    <x v="0"/>
  </r>
  <r>
    <s v="Rafaela Blaksland"/>
    <s v="Canada"/>
    <x v="4"/>
    <x v="51"/>
    <n v="2207"/>
    <x v="0"/>
  </r>
  <r>
    <s v="Van Tuxwell"/>
    <s v="UK"/>
    <x v="5"/>
    <x v="51"/>
    <n v="6279"/>
    <x v="0"/>
  </r>
  <r>
    <s v="Karlen McCaffrey"/>
    <s v="Germany"/>
    <x v="5"/>
    <x v="51"/>
    <n v="10701"/>
    <x v="0"/>
  </r>
  <r>
    <s v="Karlen McCaffrey"/>
    <s v="USA"/>
    <x v="1"/>
    <x v="51"/>
    <n v="2073"/>
    <x v="0"/>
  </r>
  <r>
    <s v="Gigi Bohling"/>
    <s v="Germany"/>
    <x v="0"/>
    <x v="52"/>
    <n v="8366"/>
    <x v="0"/>
  </r>
  <r>
    <s v="Mallorie Waber"/>
    <s v="UK"/>
    <x v="1"/>
    <x v="52"/>
    <n v="10058"/>
    <x v="0"/>
  </r>
  <r>
    <s v="Marney O'Breem"/>
    <s v="UK"/>
    <x v="1"/>
    <x v="52"/>
    <n v="7459"/>
    <x v="0"/>
  </r>
  <r>
    <s v="Curtice Advani"/>
    <s v="UK"/>
    <x v="7"/>
    <x v="52"/>
    <n v="12953"/>
    <x v="0"/>
  </r>
  <r>
    <s v="Van Tuxwell"/>
    <s v="China"/>
    <x v="2"/>
    <x v="52"/>
    <n v="1235"/>
    <x v="0"/>
  </r>
  <r>
    <s v="Brien Boise"/>
    <s v="China"/>
    <x v="0"/>
    <x v="53"/>
    <n v="1128"/>
    <x v="0"/>
  </r>
  <r>
    <s v="Mallorie Waber"/>
    <s v="USA"/>
    <x v="1"/>
    <x v="53"/>
    <n v="3222"/>
    <x v="0"/>
  </r>
  <r>
    <s v="Gigi Bohling"/>
    <s v="USA"/>
    <x v="7"/>
    <x v="53"/>
    <n v="9075"/>
    <x v="0"/>
  </r>
  <r>
    <s v="Gunar Cockshoot"/>
    <s v="Canada"/>
    <x v="1"/>
    <x v="54"/>
    <n v="3627"/>
    <x v="0"/>
  </r>
  <r>
    <s v="Gigi Bohling"/>
    <s v="Canada"/>
    <x v="2"/>
    <x v="54"/>
    <n v="6431"/>
    <x v="0"/>
  </r>
  <r>
    <s v="Barr Faughny"/>
    <s v="Germany"/>
    <x v="0"/>
    <x v="55"/>
    <n v="5153"/>
    <x v="0"/>
  </r>
  <r>
    <s v="Gigi Bohling"/>
    <s v="Canada"/>
    <x v="1"/>
    <x v="55"/>
    <n v="3759"/>
    <x v="0"/>
  </r>
  <r>
    <s v="Gigi Bohling"/>
    <s v="Germany"/>
    <x v="1"/>
    <x v="55"/>
    <n v="10578"/>
    <x v="0"/>
  </r>
  <r>
    <s v="Oby Sorrel"/>
    <s v="UK"/>
    <x v="1"/>
    <x v="55"/>
    <n v="12622"/>
    <x v="0"/>
  </r>
  <r>
    <s v="Gigi Bohling"/>
    <s v="Switzerland"/>
    <x v="4"/>
    <x v="56"/>
    <n v="10074"/>
    <x v="0"/>
  </r>
  <r>
    <s v="Curtice Advani"/>
    <s v="Germany"/>
    <x v="4"/>
    <x v="56"/>
    <n v="3274"/>
    <x v="0"/>
  </r>
  <r>
    <s v="Curtice Advani"/>
    <s v="Switzerland"/>
    <x v="1"/>
    <x v="56"/>
    <n v="13157"/>
    <x v="0"/>
  </r>
  <r>
    <s v="Rafaela Blaksland"/>
    <s v="Switzerland"/>
    <x v="7"/>
    <x v="56"/>
    <n v="10767"/>
    <x v="0"/>
  </r>
  <r>
    <s v="Gigi Bohling"/>
    <s v="USA"/>
    <x v="2"/>
    <x v="56"/>
    <n v="6721"/>
    <x v="0"/>
  </r>
  <r>
    <s v="Jehu Rudeforth"/>
    <s v="USA"/>
    <x v="4"/>
    <x v="57"/>
    <n v="6885"/>
    <x v="0"/>
  </r>
  <r>
    <s v="Roddy Speechley"/>
    <s v="Germany"/>
    <x v="5"/>
    <x v="57"/>
    <n v="8091"/>
    <x v="0"/>
  </r>
  <r>
    <s v="Karlen McCaffrey"/>
    <s v="UK"/>
    <x v="2"/>
    <x v="57"/>
    <n v="6385"/>
    <x v="0"/>
  </r>
  <r>
    <s v="Van Tuxwell"/>
    <s v="China"/>
    <x v="6"/>
    <x v="57"/>
    <n v="6707"/>
    <x v="0"/>
  </r>
  <r>
    <s v="Jan Morforth"/>
    <s v="China"/>
    <x v="4"/>
    <x v="58"/>
    <n v="2112"/>
    <x v="0"/>
  </r>
  <r>
    <s v="Gigi Bohling"/>
    <s v="UK"/>
    <x v="7"/>
    <x v="58"/>
    <n v="1798"/>
    <x v="0"/>
  </r>
  <r>
    <s v="Curtice Advani"/>
    <s v="UK"/>
    <x v="0"/>
    <x v="59"/>
    <n v="3296"/>
    <x v="0"/>
  </r>
  <r>
    <s v="Oby Sorrel"/>
    <s v="Canada"/>
    <x v="4"/>
    <x v="59"/>
    <n v="2439"/>
    <x v="0"/>
  </r>
  <r>
    <s v="Karlen McCaffrey"/>
    <s v="USA"/>
    <x v="4"/>
    <x v="59"/>
    <n v="6520"/>
    <x v="0"/>
  </r>
  <r>
    <s v="Karlen McCaffrey"/>
    <s v="Canada"/>
    <x v="4"/>
    <x v="59"/>
    <n v="10370"/>
    <x v="0"/>
  </r>
  <r>
    <s v="Karlen McCaffrey"/>
    <s v="Switzerland"/>
    <x v="2"/>
    <x v="59"/>
    <n v="7577"/>
    <x v="0"/>
  </r>
  <r>
    <s v="Roddy Speechley"/>
    <s v="Switzerland"/>
    <x v="6"/>
    <x v="59"/>
    <n v="2948"/>
    <x v="0"/>
  </r>
  <r>
    <s v="Mallorie Waber"/>
    <s v="Germany"/>
    <x v="6"/>
    <x v="59"/>
    <n v="8339"/>
    <x v="0"/>
  </r>
  <r>
    <s v="Van Tuxwell"/>
    <s v="China"/>
    <x v="6"/>
    <x v="59"/>
    <n v="12340"/>
    <x v="0"/>
  </r>
  <r>
    <s v="Van Tuxwell"/>
    <s v="Germany"/>
    <x v="5"/>
    <x v="60"/>
    <n v="8503"/>
    <x v="0"/>
  </r>
  <r>
    <s v="Van Tuxwell"/>
    <s v="Germany"/>
    <x v="5"/>
    <x v="60"/>
    <n v="9110"/>
    <x v="0"/>
  </r>
  <r>
    <s v="Van Tuxwell"/>
    <s v="Canada"/>
    <x v="3"/>
    <x v="60"/>
    <n v="8588"/>
    <x v="0"/>
  </r>
  <r>
    <s v="Oby Sorrel"/>
    <s v="UK"/>
    <x v="4"/>
    <x v="61"/>
    <n v="2955"/>
    <x v="0"/>
  </r>
  <r>
    <s v="Marney O'Breem"/>
    <s v="Canada"/>
    <x v="7"/>
    <x v="61"/>
    <n v="6403"/>
    <x v="0"/>
  </r>
  <r>
    <s v="Jan Morforth"/>
    <s v="Germany"/>
    <x v="2"/>
    <x v="61"/>
    <n v="5031"/>
    <x v="0"/>
  </r>
  <r>
    <s v="Beverie Moffet"/>
    <s v="USA"/>
    <x v="0"/>
    <x v="62"/>
    <n v="1025"/>
    <x v="0"/>
  </r>
  <r>
    <s v="Mallorie Waber"/>
    <s v="UK"/>
    <x v="5"/>
    <x v="62"/>
    <n v="3193"/>
    <x v="0"/>
  </r>
  <r>
    <s v="Jan Morforth"/>
    <s v="Canada"/>
    <x v="7"/>
    <x v="62"/>
    <n v="11405"/>
    <x v="0"/>
  </r>
  <r>
    <s v="Oby Sorrel"/>
    <s v="Canada"/>
    <x v="0"/>
    <x v="63"/>
    <n v="9831"/>
    <x v="0"/>
  </r>
  <r>
    <s v="Jehu Rudeforth"/>
    <s v="UK"/>
    <x v="5"/>
    <x v="63"/>
    <n v="11032"/>
    <x v="0"/>
  </r>
  <r>
    <s v="Karlen McCaffrey"/>
    <s v="Germany"/>
    <x v="5"/>
    <x v="63"/>
    <n v="4959"/>
    <x v="0"/>
  </r>
  <r>
    <s v="Jehu Rudeforth"/>
    <s v="UK"/>
    <x v="7"/>
    <x v="64"/>
    <n v="3044"/>
    <x v="0"/>
  </r>
  <r>
    <s v="Karlen McCaffrey"/>
    <s v="Switzerland"/>
    <x v="2"/>
    <x v="64"/>
    <n v="4934"/>
    <x v="0"/>
  </r>
  <r>
    <s v="Mallorie Waber"/>
    <s v="UK"/>
    <x v="3"/>
    <x v="64"/>
    <n v="1168"/>
    <x v="0"/>
  </r>
  <r>
    <s v="Barr Faughny"/>
    <s v="UK"/>
    <x v="1"/>
    <x v="65"/>
    <n v="11408"/>
    <x v="0"/>
  </r>
  <r>
    <s v="Brien Boise"/>
    <s v="Canada"/>
    <x v="7"/>
    <x v="65"/>
    <n v="3444"/>
    <x v="0"/>
  </r>
  <r>
    <s v="Brien Boise"/>
    <s v="UK"/>
    <x v="6"/>
    <x v="65"/>
    <n v="9448"/>
    <x v="0"/>
  </r>
  <r>
    <s v="Marney O'Breem"/>
    <s v="UK"/>
    <x v="6"/>
    <x v="65"/>
    <n v="4399"/>
    <x v="0"/>
  </r>
  <r>
    <s v="Curtice Advani"/>
    <s v="UK"/>
    <x v="3"/>
    <x v="65"/>
    <n v="1195"/>
    <x v="0"/>
  </r>
  <r>
    <s v="Marney O'Breem"/>
    <s v="China"/>
    <x v="4"/>
    <x v="66"/>
    <n v="8213"/>
    <x v="0"/>
  </r>
  <r>
    <s v="Brien Boise"/>
    <s v="China"/>
    <x v="4"/>
    <x v="66"/>
    <n v="11302"/>
    <x v="0"/>
  </r>
  <r>
    <s v="Beverie Moffet"/>
    <s v="Switzerland"/>
    <x v="7"/>
    <x v="66"/>
    <n v="2818"/>
    <x v="0"/>
  </r>
  <r>
    <s v="Brien Boise"/>
    <s v="Canada"/>
    <x v="3"/>
    <x v="66"/>
    <n v="6538"/>
    <x v="0"/>
  </r>
  <r>
    <s v="Gigi Bohling"/>
    <s v="UK"/>
    <x v="0"/>
    <x v="67"/>
    <n v="3180"/>
    <x v="0"/>
  </r>
  <r>
    <s v="Jehu Rudeforth"/>
    <s v="UK"/>
    <x v="5"/>
    <x v="67"/>
    <n v="8735"/>
    <x v="0"/>
  </r>
  <r>
    <s v="Gunar Cockshoot"/>
    <s v="China"/>
    <x v="1"/>
    <x v="67"/>
    <n v="6474"/>
    <x v="0"/>
  </r>
  <r>
    <s v="Curtice Advani"/>
    <s v="Canada"/>
    <x v="1"/>
    <x v="67"/>
    <n v="7136"/>
    <x v="0"/>
  </r>
  <r>
    <s v="Marney O'Breem"/>
    <s v="USA"/>
    <x v="7"/>
    <x v="67"/>
    <n v="13830"/>
    <x v="0"/>
  </r>
  <r>
    <s v="Brien Boise"/>
    <s v="USA"/>
    <x v="3"/>
    <x v="68"/>
    <n v="5185"/>
    <x v="0"/>
  </r>
  <r>
    <s v="Jehu Rudeforth"/>
    <s v="Canada"/>
    <x v="5"/>
    <x v="69"/>
    <n v="6343"/>
    <x v="0"/>
  </r>
  <r>
    <s v="Jan Morforth"/>
    <s v="Germany"/>
    <x v="7"/>
    <x v="69"/>
    <n v="5462"/>
    <x v="0"/>
  </r>
  <r>
    <s v="Oby Sorrel"/>
    <s v="China"/>
    <x v="2"/>
    <x v="69"/>
    <n v="10643"/>
    <x v="0"/>
  </r>
  <r>
    <s v="Beverie Moffet"/>
    <s v="USA"/>
    <x v="6"/>
    <x v="69"/>
    <n v="8520"/>
    <x v="0"/>
  </r>
  <r>
    <s v="Oby Sorrel"/>
    <s v="Canada"/>
    <x v="0"/>
    <x v="70"/>
    <n v="10599"/>
    <x v="0"/>
  </r>
  <r>
    <s v="Gigi Bohling"/>
    <s v="Germany"/>
    <x v="4"/>
    <x v="70"/>
    <n v="5078"/>
    <x v="0"/>
  </r>
  <r>
    <s v="Curtice Advani"/>
    <s v="UK"/>
    <x v="4"/>
    <x v="70"/>
    <n v="10598"/>
    <x v="0"/>
  </r>
  <r>
    <s v="Gigi Bohling"/>
    <s v="Switzerland"/>
    <x v="2"/>
    <x v="70"/>
    <n v="1745"/>
    <x v="0"/>
  </r>
  <r>
    <s v="Curtice Advani"/>
    <s v="Canada"/>
    <x v="6"/>
    <x v="70"/>
    <n v="13593"/>
    <x v="0"/>
  </r>
  <r>
    <s v="Roddy Speechley"/>
    <s v="Canada"/>
    <x v="1"/>
    <x v="71"/>
    <n v="2994"/>
    <x v="0"/>
  </r>
  <r>
    <s v="Curtice Advani"/>
    <s v="Germany"/>
    <x v="0"/>
    <x v="72"/>
    <n v="4626"/>
    <x v="0"/>
  </r>
  <r>
    <s v="Van Tuxwell"/>
    <s v="Switzerland"/>
    <x v="1"/>
    <x v="72"/>
    <n v="12369"/>
    <x v="0"/>
  </r>
  <r>
    <s v="Jehu Rudeforth"/>
    <s v="USA"/>
    <x v="2"/>
    <x v="72"/>
    <n v="7062"/>
    <x v="0"/>
  </r>
  <r>
    <s v="Gigi Bohling"/>
    <s v="China"/>
    <x v="3"/>
    <x v="72"/>
    <n v="2455"/>
    <x v="0"/>
  </r>
  <r>
    <s v="Beverie Moffet"/>
    <s v="China"/>
    <x v="7"/>
    <x v="73"/>
    <n v="13230"/>
    <x v="0"/>
  </r>
  <r>
    <s v="Oby Sorrel"/>
    <s v="Germany"/>
    <x v="2"/>
    <x v="73"/>
    <n v="9206"/>
    <x v="0"/>
  </r>
  <r>
    <s v="Karlen McCaffrey"/>
    <s v="Germany"/>
    <x v="3"/>
    <x v="73"/>
    <n v="13584"/>
    <x v="0"/>
  </r>
  <r>
    <s v="Jan Morforth"/>
    <s v="Canada"/>
    <x v="4"/>
    <x v="74"/>
    <n v="4565"/>
    <x v="0"/>
  </r>
  <r>
    <s v="Gunar Cockshoot"/>
    <s v="China"/>
    <x v="7"/>
    <x v="75"/>
    <n v="4790"/>
    <x v="0"/>
  </r>
  <r>
    <s v="Marney O'Breem"/>
    <s v="China"/>
    <x v="5"/>
    <x v="76"/>
    <n v="11758"/>
    <x v="0"/>
  </r>
  <r>
    <s v="Rafaela Blaksland"/>
    <s v="China"/>
    <x v="2"/>
    <x v="76"/>
    <n v="2079"/>
    <x v="0"/>
  </r>
  <r>
    <s v="Karlen McCaffrey"/>
    <s v="Canada"/>
    <x v="3"/>
    <x v="76"/>
    <n v="10684"/>
    <x v="0"/>
  </r>
  <r>
    <s v="Gunar Cockshoot"/>
    <s v="USA"/>
    <x v="3"/>
    <x v="76"/>
    <n v="10114"/>
    <x v="0"/>
  </r>
  <r>
    <s v="Brien Boise"/>
    <s v="China"/>
    <x v="4"/>
    <x v="77"/>
    <n v="4756"/>
    <x v="0"/>
  </r>
  <r>
    <s v="Curtice Advani"/>
    <s v="Canada"/>
    <x v="5"/>
    <x v="77"/>
    <n v="12188"/>
    <x v="0"/>
  </r>
  <r>
    <s v="Beverie Moffet"/>
    <s v="Germany"/>
    <x v="3"/>
    <x v="77"/>
    <n v="2628"/>
    <x v="0"/>
  </r>
  <r>
    <s v="Jan Morforth"/>
    <s v="Canada"/>
    <x v="4"/>
    <x v="78"/>
    <n v="2704"/>
    <x v="0"/>
  </r>
  <r>
    <s v="Van Tuxwell"/>
    <s v="UK"/>
    <x v="3"/>
    <x v="78"/>
    <n v="3973"/>
    <x v="0"/>
  </r>
  <r>
    <s v="Roddy Speechley"/>
    <s v="Switzerland"/>
    <x v="5"/>
    <x v="79"/>
    <n v="6131"/>
    <x v="0"/>
  </r>
  <r>
    <s v="Van Tuxwell"/>
    <s v="Canada"/>
    <x v="6"/>
    <x v="79"/>
    <n v="4268"/>
    <x v="0"/>
  </r>
  <r>
    <s v="Mallorie Waber"/>
    <s v="China"/>
    <x v="2"/>
    <x v="80"/>
    <n v="8106"/>
    <x v="0"/>
  </r>
  <r>
    <s v="Gigi Bohling"/>
    <s v="Canada"/>
    <x v="7"/>
    <x v="81"/>
    <n v="10516"/>
    <x v="0"/>
  </r>
  <r>
    <s v="Gigi Bohling"/>
    <s v="Germany"/>
    <x v="3"/>
    <x v="81"/>
    <n v="6303"/>
    <x v="0"/>
  </r>
  <r>
    <s v="Brien Boise"/>
    <s v="Switzerland"/>
    <x v="0"/>
    <x v="82"/>
    <n v="8085"/>
    <x v="0"/>
  </r>
  <r>
    <s v="Oby Sorrel"/>
    <s v="China"/>
    <x v="4"/>
    <x v="82"/>
    <n v="2967"/>
    <x v="0"/>
  </r>
  <r>
    <s v="Roddy Speechley"/>
    <s v="Germany"/>
    <x v="7"/>
    <x v="82"/>
    <n v="8185"/>
    <x v="0"/>
  </r>
  <r>
    <s v="Rafaela Blaksland"/>
    <s v="Switzerland"/>
    <x v="7"/>
    <x v="82"/>
    <n v="5081"/>
    <x v="0"/>
  </r>
  <r>
    <s v="Brien Boise"/>
    <s v="USA"/>
    <x v="6"/>
    <x v="82"/>
    <n v="4367"/>
    <x v="0"/>
  </r>
  <r>
    <s v="Karlen McCaffrey"/>
    <s v="Canada"/>
    <x v="3"/>
    <x v="82"/>
    <n v="10595"/>
    <x v="0"/>
  </r>
  <r>
    <s v="Gunar Cockshoot"/>
    <s v="UK"/>
    <x v="4"/>
    <x v="83"/>
    <n v="1689"/>
    <x v="0"/>
  </r>
  <r>
    <s v="Brien Boise"/>
    <s v="China"/>
    <x v="0"/>
    <x v="84"/>
    <n v="6659"/>
    <x v="0"/>
  </r>
  <r>
    <s v="Rafaela Blaksland"/>
    <s v="UK"/>
    <x v="0"/>
    <x v="85"/>
    <n v="4202"/>
    <x v="0"/>
  </r>
  <r>
    <s v="Van Tuxwell"/>
    <s v="UK"/>
    <x v="4"/>
    <x v="85"/>
    <n v="12340"/>
    <x v="0"/>
  </r>
  <r>
    <s v="Oby Sorrel"/>
    <s v="USA"/>
    <x v="2"/>
    <x v="86"/>
    <n v="1501"/>
    <x v="0"/>
  </r>
  <r>
    <s v="Van Tuxwell"/>
    <s v="USA"/>
    <x v="3"/>
    <x v="86"/>
    <n v="4574"/>
    <x v="0"/>
  </r>
  <r>
    <s v="Marney O'Breem"/>
    <s v="Switzerland"/>
    <x v="4"/>
    <x v="87"/>
    <n v="2966"/>
    <x v="0"/>
  </r>
  <r>
    <s v="Gigi Bohling"/>
    <s v="Canada"/>
    <x v="4"/>
    <x v="87"/>
    <n v="5618"/>
    <x v="0"/>
  </r>
  <r>
    <s v="Gunar Cockshoot"/>
    <s v="UK"/>
    <x v="6"/>
    <x v="87"/>
    <n v="2409"/>
    <x v="0"/>
  </r>
  <r>
    <s v="Van Tuxwell"/>
    <s v="Canada"/>
    <x v="5"/>
    <x v="88"/>
    <n v="10046"/>
    <x v="0"/>
  </r>
  <r>
    <s v="Barr Faughny"/>
    <s v="Canada"/>
    <x v="5"/>
    <x v="88"/>
    <n v="2055"/>
    <x v="0"/>
  </r>
  <r>
    <s v="Mallorie Waber"/>
    <s v="Canada"/>
    <x v="7"/>
    <x v="88"/>
    <n v="10826"/>
    <x v="0"/>
  </r>
  <r>
    <s v="Jan Morforth"/>
    <s v="USA"/>
    <x v="7"/>
    <x v="88"/>
    <n v="10852"/>
    <x v="0"/>
  </r>
  <r>
    <s v="Curtice Advani"/>
    <s v="UK"/>
    <x v="7"/>
    <x v="88"/>
    <n v="1847"/>
    <x v="0"/>
  </r>
  <r>
    <s v="Brien Boise"/>
    <s v="Switzerland"/>
    <x v="6"/>
    <x v="88"/>
    <n v="9599"/>
    <x v="0"/>
  </r>
  <r>
    <s v="Mallorie Waber"/>
    <s v="UK"/>
    <x v="5"/>
    <x v="89"/>
    <n v="4690"/>
    <x v="0"/>
  </r>
  <r>
    <s v="Brien Boise"/>
    <s v="USA"/>
    <x v="5"/>
    <x v="89"/>
    <n v="7047"/>
    <x v="0"/>
  </r>
  <r>
    <s v="Curtice Advani"/>
    <s v="USA"/>
    <x v="2"/>
    <x v="89"/>
    <n v="9889"/>
    <x v="0"/>
  </r>
  <r>
    <s v="Gigi Bohling"/>
    <s v="Switzerland"/>
    <x v="6"/>
    <x v="89"/>
    <n v="4386"/>
    <x v="0"/>
  </r>
  <r>
    <s v="Jehu Rudeforth"/>
    <s v="UK"/>
    <x v="6"/>
    <x v="89"/>
    <n v="10938"/>
    <x v="0"/>
  </r>
  <r>
    <s v="Karlen McCaffrey"/>
    <s v="Germany"/>
    <x v="3"/>
    <x v="89"/>
    <n v="10800"/>
    <x v="0"/>
  </r>
  <r>
    <s v="Marney O'Breem"/>
    <s v="UK"/>
    <x v="5"/>
    <x v="90"/>
    <n v="10452"/>
    <x v="0"/>
  </r>
  <r>
    <s v="Jehu Rudeforth"/>
    <s v="Germany"/>
    <x v="1"/>
    <x v="90"/>
    <n v="3049"/>
    <x v="0"/>
  </r>
  <r>
    <s v="Mallorie Waber"/>
    <s v="Germany"/>
    <x v="7"/>
    <x v="90"/>
    <n v="13005"/>
    <x v="0"/>
  </r>
  <r>
    <s v="Gunar Cockshoot"/>
    <s v="USA"/>
    <x v="7"/>
    <x v="90"/>
    <n v="11130"/>
    <x v="0"/>
  </r>
  <r>
    <s v="Gigi Bohling"/>
    <s v="Germany"/>
    <x v="6"/>
    <x v="90"/>
    <n v="1473"/>
    <x v="0"/>
  </r>
  <r>
    <s v="Rafaela Blaksland"/>
    <s v="UK"/>
    <x v="6"/>
    <x v="90"/>
    <n v="6328"/>
    <x v="0"/>
  </r>
  <r>
    <s v="Gunar Cockshoot"/>
    <s v="China"/>
    <x v="0"/>
    <x v="91"/>
    <n v="7726"/>
    <x v="0"/>
  </r>
  <r>
    <s v="Van Tuxwell"/>
    <s v="UK"/>
    <x v="0"/>
    <x v="91"/>
    <n v="7553"/>
    <x v="0"/>
  </r>
  <r>
    <s v="Roddy Speechley"/>
    <s v="Switzerland"/>
    <x v="4"/>
    <x v="91"/>
    <n v="3447"/>
    <x v="0"/>
  </r>
  <r>
    <s v="Marney O'Breem"/>
    <s v="Canada"/>
    <x v="1"/>
    <x v="91"/>
    <n v="10900"/>
    <x v="0"/>
  </r>
  <r>
    <s v="Oby Sorrel"/>
    <s v="Canada"/>
    <x v="2"/>
    <x v="91"/>
    <n v="3734"/>
    <x v="0"/>
  </r>
  <r>
    <s v="Curtice Advani"/>
    <s v="Switzerland"/>
    <x v="3"/>
    <x v="91"/>
    <n v="2033"/>
    <x v="0"/>
  </r>
  <r>
    <s v="Mallorie Waber"/>
    <s v="Switzerland"/>
    <x v="3"/>
    <x v="91"/>
    <n v="5098"/>
    <x v="0"/>
  </r>
  <r>
    <s v="Brien Boise"/>
    <s v="Canada"/>
    <x v="3"/>
    <x v="91"/>
    <n v="1437"/>
    <x v="0"/>
  </r>
  <r>
    <s v="Curtice Advani"/>
    <s v="USA"/>
    <x v="5"/>
    <x v="92"/>
    <n v="11562"/>
    <x v="0"/>
  </r>
  <r>
    <s v="Van Tuxwell"/>
    <s v="Switzerland"/>
    <x v="1"/>
    <x v="92"/>
    <n v="10540"/>
    <x v="0"/>
  </r>
  <r>
    <s v="Rafaela Blaksland"/>
    <s v="UK"/>
    <x v="0"/>
    <x v="93"/>
    <n v="6330"/>
    <x v="0"/>
  </r>
  <r>
    <s v="Karlen McCaffrey"/>
    <s v="USA"/>
    <x v="0"/>
    <x v="93"/>
    <n v="6627"/>
    <x v="0"/>
  </r>
  <r>
    <s v="Marney O'Breem"/>
    <s v="Germany"/>
    <x v="4"/>
    <x v="93"/>
    <n v="4553"/>
    <x v="0"/>
  </r>
  <r>
    <s v="Marney O'Breem"/>
    <s v="Germany"/>
    <x v="5"/>
    <x v="93"/>
    <n v="5461"/>
    <x v="0"/>
  </r>
  <r>
    <s v="Gigi Bohling"/>
    <s v="Germany"/>
    <x v="0"/>
    <x v="94"/>
    <n v="1889"/>
    <x v="0"/>
  </r>
  <r>
    <s v="Barr Faughny"/>
    <s v="Switzerland"/>
    <x v="2"/>
    <x v="94"/>
    <n v="12085"/>
    <x v="0"/>
  </r>
  <r>
    <s v="Gunar Cockshoot"/>
    <s v="Germany"/>
    <x v="3"/>
    <x v="94"/>
    <n v="6586"/>
    <x v="0"/>
  </r>
  <r>
    <s v="Roddy Speechley"/>
    <s v="UK"/>
    <x v="4"/>
    <x v="95"/>
    <n v="2988"/>
    <x v="0"/>
  </r>
  <r>
    <s v="Beverie Moffet"/>
    <s v="Germany"/>
    <x v="5"/>
    <x v="95"/>
    <n v="5271"/>
    <x v="0"/>
  </r>
  <r>
    <s v="Beverie Moffet"/>
    <s v="Canada"/>
    <x v="2"/>
    <x v="95"/>
    <n v="9886"/>
    <x v="0"/>
  </r>
  <r>
    <s v="Roddy Speechley"/>
    <s v="Germany"/>
    <x v="3"/>
    <x v="95"/>
    <n v="2981"/>
    <x v="0"/>
  </r>
  <r>
    <s v="Curtice Advani"/>
    <s v="Switzerland"/>
    <x v="5"/>
    <x v="96"/>
    <n v="8633"/>
    <x v="0"/>
  </r>
  <r>
    <s v="Oby Sorrel"/>
    <s v="Germany"/>
    <x v="1"/>
    <x v="96"/>
    <n v="11397"/>
    <x v="0"/>
  </r>
  <r>
    <s v="Rafaela Blaksland"/>
    <s v="Canada"/>
    <x v="7"/>
    <x v="96"/>
    <n v="1966"/>
    <x v="0"/>
  </r>
  <r>
    <s v="Roddy Speechley"/>
    <s v="USA"/>
    <x v="2"/>
    <x v="96"/>
    <n v="6195"/>
    <x v="0"/>
  </r>
  <r>
    <s v="Brien Boise"/>
    <s v="Switzerland"/>
    <x v="4"/>
    <x v="97"/>
    <n v="3562"/>
    <x v="0"/>
  </r>
  <r>
    <s v="Karlen McCaffrey"/>
    <s v="China"/>
    <x v="4"/>
    <x v="97"/>
    <n v="13571"/>
    <x v="0"/>
  </r>
  <r>
    <s v="Marney O'Breem"/>
    <s v="USA"/>
    <x v="1"/>
    <x v="97"/>
    <n v="9321"/>
    <x v="0"/>
  </r>
  <r>
    <s v="Mallorie Waber"/>
    <s v="China"/>
    <x v="1"/>
    <x v="97"/>
    <n v="3928"/>
    <x v="0"/>
  </r>
  <r>
    <s v="Brien Boise"/>
    <s v="Canada"/>
    <x v="2"/>
    <x v="97"/>
    <n v="13874"/>
    <x v="0"/>
  </r>
  <r>
    <s v="Oby Sorrel"/>
    <s v="Canada"/>
    <x v="1"/>
    <x v="98"/>
    <n v="10182"/>
    <x v="0"/>
  </r>
  <r>
    <s v="Oby Sorrel"/>
    <s v="USA"/>
    <x v="7"/>
    <x v="98"/>
    <n v="7300"/>
    <x v="0"/>
  </r>
  <r>
    <s v="Gunar Cockshoot"/>
    <s v="China"/>
    <x v="3"/>
    <x v="98"/>
    <n v="13376"/>
    <x v="0"/>
  </r>
  <r>
    <s v="Karlen McCaffrey"/>
    <s v="Switzerland"/>
    <x v="3"/>
    <x v="98"/>
    <n v="2019"/>
    <x v="0"/>
  </r>
  <r>
    <s v="Oby Sorrel"/>
    <s v="UK"/>
    <x v="2"/>
    <x v="99"/>
    <n v="2238"/>
    <x v="0"/>
  </r>
  <r>
    <s v="Curtice Advani"/>
    <s v="USA"/>
    <x v="2"/>
    <x v="99"/>
    <n v="6751"/>
    <x v="0"/>
  </r>
  <r>
    <s v="Mallorie Waber"/>
    <s v="UK"/>
    <x v="3"/>
    <x v="99"/>
    <n v="4257"/>
    <x v="0"/>
  </r>
  <r>
    <s v="Karlen McCaffrey"/>
    <s v="USA"/>
    <x v="3"/>
    <x v="99"/>
    <n v="8467"/>
    <x v="0"/>
  </r>
  <r>
    <s v="Brien Boise"/>
    <s v="Switzerland"/>
    <x v="3"/>
    <x v="99"/>
    <n v="11548"/>
    <x v="0"/>
  </r>
  <r>
    <s v="Oby Sorrel"/>
    <s v="Germany"/>
    <x v="0"/>
    <x v="100"/>
    <n v="2616"/>
    <x v="0"/>
  </r>
  <r>
    <s v="Oby Sorrel"/>
    <s v="Germany"/>
    <x v="4"/>
    <x v="100"/>
    <n v="13961"/>
    <x v="0"/>
  </r>
  <r>
    <s v="Marney O'Breem"/>
    <s v="UK"/>
    <x v="1"/>
    <x v="100"/>
    <n v="10742"/>
    <x v="0"/>
  </r>
  <r>
    <s v="Gunar Cockshoot"/>
    <s v="Switzerland"/>
    <x v="7"/>
    <x v="100"/>
    <n v="1595"/>
    <x v="0"/>
  </r>
  <r>
    <s v="Marney O'Breem"/>
    <s v="Germany"/>
    <x v="2"/>
    <x v="100"/>
    <n v="9535"/>
    <x v="0"/>
  </r>
  <r>
    <s v="Gunar Cockshoot"/>
    <s v="Switzerland"/>
    <x v="2"/>
    <x v="100"/>
    <n v="5885"/>
    <x v="0"/>
  </r>
  <r>
    <s v="Brien Boise"/>
    <s v="USA"/>
    <x v="5"/>
    <x v="101"/>
    <n v="4002"/>
    <x v="0"/>
  </r>
  <r>
    <s v="Brien Boise"/>
    <s v="Canada"/>
    <x v="7"/>
    <x v="101"/>
    <n v="11300"/>
    <x v="0"/>
  </r>
  <r>
    <s v="Beverie Moffet"/>
    <s v="UK"/>
    <x v="6"/>
    <x v="101"/>
    <n v="11011"/>
    <x v="0"/>
  </r>
  <r>
    <s v="Brien Boise"/>
    <s v="China"/>
    <x v="6"/>
    <x v="101"/>
    <n v="7508"/>
    <x v="0"/>
  </r>
  <r>
    <s v="Roddy Speechley"/>
    <s v="Germany"/>
    <x v="4"/>
    <x v="102"/>
    <n v="5628"/>
    <x v="0"/>
  </r>
  <r>
    <s v="Van Tuxwell"/>
    <s v="China"/>
    <x v="5"/>
    <x v="102"/>
    <n v="4388"/>
    <x v="0"/>
  </r>
  <r>
    <s v="Gunar Cockshoot"/>
    <s v="China"/>
    <x v="1"/>
    <x v="102"/>
    <n v="6874"/>
    <x v="0"/>
  </r>
  <r>
    <s v="Beverie Moffet"/>
    <s v="Canada"/>
    <x v="7"/>
    <x v="102"/>
    <n v="7835"/>
    <x v="0"/>
  </r>
  <r>
    <s v="Gigi Bohling"/>
    <s v="China"/>
    <x v="2"/>
    <x v="102"/>
    <n v="12428"/>
    <x v="0"/>
  </r>
  <r>
    <s v="Mallorie Waber"/>
    <s v="Germany"/>
    <x v="2"/>
    <x v="102"/>
    <n v="9219"/>
    <x v="0"/>
  </r>
  <r>
    <s v="Mallorie Waber"/>
    <s v="USA"/>
    <x v="4"/>
    <x v="103"/>
    <n v="7896"/>
    <x v="0"/>
  </r>
  <r>
    <s v="Mallorie Waber"/>
    <s v="USA"/>
    <x v="2"/>
    <x v="103"/>
    <n v="8204"/>
    <x v="0"/>
  </r>
  <r>
    <s v="Oby Sorrel"/>
    <s v="UK"/>
    <x v="4"/>
    <x v="104"/>
    <n v="6018"/>
    <x v="0"/>
  </r>
  <r>
    <s v="Marney O'Breem"/>
    <s v="Canada"/>
    <x v="6"/>
    <x v="104"/>
    <n v="13161"/>
    <x v="0"/>
  </r>
  <r>
    <s v="Mallorie Waber"/>
    <s v="China"/>
    <x v="3"/>
    <x v="104"/>
    <n v="1732"/>
    <x v="0"/>
  </r>
  <r>
    <s v="Mallorie Waber"/>
    <s v="UK"/>
    <x v="0"/>
    <x v="105"/>
    <n v="3529"/>
    <x v="0"/>
  </r>
  <r>
    <s v="Curtice Advani"/>
    <s v="USA"/>
    <x v="4"/>
    <x v="105"/>
    <n v="4006"/>
    <x v="0"/>
  </r>
  <r>
    <s v="Brien Boise"/>
    <s v="Germany"/>
    <x v="4"/>
    <x v="105"/>
    <n v="10213"/>
    <x v="0"/>
  </r>
  <r>
    <s v="Brien Boise"/>
    <s v="USA"/>
    <x v="7"/>
    <x v="105"/>
    <n v="2699"/>
    <x v="0"/>
  </r>
  <r>
    <s v="Gunar Cockshoot"/>
    <s v="China"/>
    <x v="0"/>
    <x v="106"/>
    <n v="9717"/>
    <x v="0"/>
  </r>
  <r>
    <s v="Oby Sorrel"/>
    <s v="Canada"/>
    <x v="0"/>
    <x v="106"/>
    <n v="7616"/>
    <x v="0"/>
  </r>
  <r>
    <s v="Beverie Moffet"/>
    <s v="USA"/>
    <x v="0"/>
    <x v="106"/>
    <n v="13103"/>
    <x v="0"/>
  </r>
  <r>
    <s v="Van Tuxwell"/>
    <s v="Germany"/>
    <x v="4"/>
    <x v="106"/>
    <n v="8409"/>
    <x v="0"/>
  </r>
  <r>
    <s v="Van Tuxwell"/>
    <s v="Switzerland"/>
    <x v="2"/>
    <x v="106"/>
    <n v="7265"/>
    <x v="0"/>
  </r>
  <r>
    <s v="Curtice Advani"/>
    <s v="UK"/>
    <x v="2"/>
    <x v="106"/>
    <n v="11694"/>
    <x v="0"/>
  </r>
  <r>
    <s v="Marney O'Breem"/>
    <s v="Germany"/>
    <x v="0"/>
    <x v="107"/>
    <n v="3515"/>
    <x v="0"/>
  </r>
  <r>
    <s v="Barr Faughny"/>
    <s v="Germany"/>
    <x v="7"/>
    <x v="107"/>
    <n v="4281"/>
    <x v="0"/>
  </r>
  <r>
    <s v="Gunar Cockshoot"/>
    <s v="Switzerland"/>
    <x v="2"/>
    <x v="107"/>
    <n v="3607"/>
    <x v="0"/>
  </r>
  <r>
    <s v="Rafaela Blaksland"/>
    <s v="Switzerland"/>
    <x v="2"/>
    <x v="107"/>
    <n v="5172"/>
    <x v="0"/>
  </r>
  <r>
    <s v="Jehu Rudeforth"/>
    <s v="Germany"/>
    <x v="2"/>
    <x v="108"/>
    <n v="9665"/>
    <x v="0"/>
  </r>
  <r>
    <s v="Barr Faughny"/>
    <s v="Switzerland"/>
    <x v="6"/>
    <x v="108"/>
    <n v="5111"/>
    <x v="0"/>
  </r>
  <r>
    <s v="Oby Sorrel"/>
    <s v="USA"/>
    <x v="0"/>
    <x v="109"/>
    <n v="6636"/>
    <x v="0"/>
  </r>
  <r>
    <s v="Oby Sorrel"/>
    <s v="China"/>
    <x v="4"/>
    <x v="109"/>
    <n v="3189"/>
    <x v="0"/>
  </r>
  <r>
    <s v="Roddy Speechley"/>
    <s v="Switzerland"/>
    <x v="2"/>
    <x v="109"/>
    <n v="13089"/>
    <x v="0"/>
  </r>
  <r>
    <s v="Marney O'Breem"/>
    <s v="USA"/>
    <x v="2"/>
    <x v="109"/>
    <n v="1925"/>
    <x v="0"/>
  </r>
  <r>
    <s v="Karlen McCaffrey"/>
    <s v="Germany"/>
    <x v="3"/>
    <x v="109"/>
    <n v="8919"/>
    <x v="0"/>
  </r>
  <r>
    <s v="Marney O'Breem"/>
    <s v="Canada"/>
    <x v="5"/>
    <x v="110"/>
    <n v="10894"/>
    <x v="0"/>
  </r>
  <r>
    <s v="Gunar Cockshoot"/>
    <s v="China"/>
    <x v="1"/>
    <x v="110"/>
    <n v="8614"/>
    <x v="0"/>
  </r>
  <r>
    <s v="Roddy Speechley"/>
    <s v="UK"/>
    <x v="7"/>
    <x v="110"/>
    <n v="6852"/>
    <x v="0"/>
  </r>
  <r>
    <s v="Van Tuxwell"/>
    <s v="USA"/>
    <x v="3"/>
    <x v="110"/>
    <n v="6973"/>
    <x v="0"/>
  </r>
  <r>
    <s v="Mallorie Waber"/>
    <s v="Switzerland"/>
    <x v="0"/>
    <x v="111"/>
    <n v="3940"/>
    <x v="0"/>
  </r>
  <r>
    <s v="Van Tuxwell"/>
    <s v="USA"/>
    <x v="3"/>
    <x v="111"/>
    <n v="3564"/>
    <x v="0"/>
  </r>
  <r>
    <s v="Beverie Moffet"/>
    <s v="Switzerland"/>
    <x v="0"/>
    <x v="112"/>
    <n v="13257"/>
    <x v="0"/>
  </r>
  <r>
    <s v="Barr Faughny"/>
    <s v="Switzerland"/>
    <x v="0"/>
    <x v="112"/>
    <n v="5597"/>
    <x v="0"/>
  </r>
  <r>
    <s v="Beverie Moffet"/>
    <s v="China"/>
    <x v="7"/>
    <x v="112"/>
    <n v="7403"/>
    <x v="0"/>
  </r>
  <r>
    <s v="Barr Faughny"/>
    <s v="China"/>
    <x v="7"/>
    <x v="112"/>
    <n v="4281"/>
    <x v="0"/>
  </r>
  <r>
    <s v="Curtice Advani"/>
    <s v="Germany"/>
    <x v="6"/>
    <x v="112"/>
    <n v="4659"/>
    <x v="0"/>
  </r>
  <r>
    <s v="Jan Morforth"/>
    <s v="Switzerland"/>
    <x v="0"/>
    <x v="113"/>
    <n v="6608"/>
    <x v="0"/>
  </r>
  <r>
    <s v="Oby Sorrel"/>
    <s v="Switzerland"/>
    <x v="0"/>
    <x v="113"/>
    <n v="4986"/>
    <x v="0"/>
  </r>
  <r>
    <s v="Barr Faughny"/>
    <s v="Switzerland"/>
    <x v="5"/>
    <x v="113"/>
    <n v="12286"/>
    <x v="0"/>
  </r>
  <r>
    <s v="Gigi Bohling"/>
    <s v="USA"/>
    <x v="1"/>
    <x v="113"/>
    <n v="7873"/>
    <x v="0"/>
  </r>
  <r>
    <s v="Van Tuxwell"/>
    <s v="Canada"/>
    <x v="7"/>
    <x v="113"/>
    <n v="13889"/>
    <x v="0"/>
  </r>
  <r>
    <s v="Jan Morforth"/>
    <s v="USA"/>
    <x v="3"/>
    <x v="113"/>
    <n v="8855"/>
    <x v="0"/>
  </r>
  <r>
    <s v="Roddy Speechley"/>
    <s v="USA"/>
    <x v="0"/>
    <x v="114"/>
    <n v="3162"/>
    <x v="0"/>
  </r>
  <r>
    <s v="Beverie Moffet"/>
    <s v="Canada"/>
    <x v="4"/>
    <x v="114"/>
    <n v="5710"/>
    <x v="0"/>
  </r>
  <r>
    <s v="Brien Boise"/>
    <s v="USA"/>
    <x v="7"/>
    <x v="114"/>
    <n v="2594"/>
    <x v="0"/>
  </r>
  <r>
    <s v="Roddy Speechley"/>
    <s v="Switzerland"/>
    <x v="5"/>
    <x v="115"/>
    <n v="9319"/>
    <x v="0"/>
  </r>
  <r>
    <s v="Oby Sorrel"/>
    <s v="Canada"/>
    <x v="5"/>
    <x v="115"/>
    <n v="10961"/>
    <x v="0"/>
  </r>
  <r>
    <s v="Marney O'Breem"/>
    <s v="Switzerland"/>
    <x v="5"/>
    <x v="115"/>
    <n v="1513"/>
    <x v="0"/>
  </r>
  <r>
    <s v="Karlen McCaffrey"/>
    <s v="Germany"/>
    <x v="2"/>
    <x v="115"/>
    <n v="12370"/>
    <x v="0"/>
  </r>
  <r>
    <s v="Karlen McCaffrey"/>
    <s v="UK"/>
    <x v="6"/>
    <x v="115"/>
    <n v="13926"/>
    <x v="0"/>
  </r>
  <r>
    <s v="Gigi Bohling"/>
    <s v="Switzerland"/>
    <x v="0"/>
    <x v="116"/>
    <n v="1437"/>
    <x v="0"/>
  </r>
  <r>
    <s v="Brien Boise"/>
    <s v="Germany"/>
    <x v="4"/>
    <x v="116"/>
    <n v="6321"/>
    <x v="0"/>
  </r>
  <r>
    <s v="Rafaela Blaksland"/>
    <s v="Canada"/>
    <x v="4"/>
    <x v="116"/>
    <n v="13741"/>
    <x v="0"/>
  </r>
  <r>
    <s v="Jan Morforth"/>
    <s v="China"/>
    <x v="6"/>
    <x v="117"/>
    <n v="11827"/>
    <x v="0"/>
  </r>
  <r>
    <s v="Brien Boise"/>
    <s v="UK"/>
    <x v="0"/>
    <x v="118"/>
    <n v="5070"/>
    <x v="0"/>
  </r>
  <r>
    <s v="Brien Boise"/>
    <s v="UK"/>
    <x v="4"/>
    <x v="118"/>
    <n v="12026"/>
    <x v="0"/>
  </r>
  <r>
    <s v="Roddy Speechley"/>
    <s v="Germany"/>
    <x v="5"/>
    <x v="118"/>
    <n v="12315"/>
    <x v="0"/>
  </r>
  <r>
    <s v="Gigi Bohling"/>
    <s v="UK"/>
    <x v="2"/>
    <x v="118"/>
    <n v="11719"/>
    <x v="0"/>
  </r>
  <r>
    <s v="Rafaela Blaksland"/>
    <s v="Germany"/>
    <x v="7"/>
    <x v="119"/>
    <n v="1105"/>
    <x v="0"/>
  </r>
  <r>
    <s v="Karlen McCaffrey"/>
    <s v="UK"/>
    <x v="2"/>
    <x v="119"/>
    <n v="4373"/>
    <x v="0"/>
  </r>
  <r>
    <s v="Gigi Bohling"/>
    <s v="USA"/>
    <x v="2"/>
    <x v="119"/>
    <n v="5292"/>
    <x v="0"/>
  </r>
  <r>
    <s v="Marney O'Breem"/>
    <s v="Canada"/>
    <x v="0"/>
    <x v="120"/>
    <n v="2471"/>
    <x v="0"/>
  </r>
  <r>
    <s v="Rafaela Blaksland"/>
    <s v="China"/>
    <x v="5"/>
    <x v="120"/>
    <n v="8191"/>
    <x v="0"/>
  </r>
  <r>
    <s v="Jan Morforth"/>
    <s v="Germany"/>
    <x v="7"/>
    <x v="120"/>
    <n v="3772"/>
    <x v="0"/>
  </r>
  <r>
    <s v="Jehu Rudeforth"/>
    <s v="Germany"/>
    <x v="4"/>
    <x v="121"/>
    <n v="13256"/>
    <x v="0"/>
  </r>
  <r>
    <s v="Jehu Rudeforth"/>
    <s v="UK"/>
    <x v="2"/>
    <x v="121"/>
    <n v="6065"/>
    <x v="0"/>
  </r>
  <r>
    <s v="Jan Morforth"/>
    <s v="UK"/>
    <x v="6"/>
    <x v="121"/>
    <n v="7922"/>
    <x v="0"/>
  </r>
  <r>
    <s v="Marney O'Breem"/>
    <s v="Canada"/>
    <x v="0"/>
    <x v="122"/>
    <n v="12630"/>
    <x v="0"/>
  </r>
  <r>
    <s v="Gunar Cockshoot"/>
    <s v="Germany"/>
    <x v="2"/>
    <x v="122"/>
    <n v="11610"/>
    <x v="0"/>
  </r>
  <r>
    <s v="Jan Morforth"/>
    <s v="Switzerland"/>
    <x v="6"/>
    <x v="122"/>
    <n v="6851"/>
    <x v="0"/>
  </r>
  <r>
    <s v="Mallorie Waber"/>
    <s v="UK"/>
    <x v="6"/>
    <x v="122"/>
    <n v="6969"/>
    <x v="0"/>
  </r>
  <r>
    <s v="Mallorie Waber"/>
    <s v="China"/>
    <x v="0"/>
    <x v="123"/>
    <n v="5900"/>
    <x v="0"/>
  </r>
  <r>
    <s v="Jehu Rudeforth"/>
    <s v="Canada"/>
    <x v="5"/>
    <x v="123"/>
    <n v="8352"/>
    <x v="0"/>
  </r>
  <r>
    <s v="Oby Sorrel"/>
    <s v="Canada"/>
    <x v="7"/>
    <x v="123"/>
    <n v="7223"/>
    <x v="0"/>
  </r>
  <r>
    <s v="Van Tuxwell"/>
    <s v="UK"/>
    <x v="7"/>
    <x v="123"/>
    <n v="11227"/>
    <x v="0"/>
  </r>
  <r>
    <s v="Roddy Speechley"/>
    <s v="Switzerland"/>
    <x v="2"/>
    <x v="123"/>
    <n v="13522"/>
    <x v="0"/>
  </r>
  <r>
    <s v="Jehu Rudeforth"/>
    <s v="USA"/>
    <x v="2"/>
    <x v="123"/>
    <n v="8027"/>
    <x v="0"/>
  </r>
  <r>
    <s v="Gunar Cockshoot"/>
    <s v="Canada"/>
    <x v="6"/>
    <x v="123"/>
    <n v="6802"/>
    <x v="0"/>
  </r>
  <r>
    <s v="Rafaela Blaksland"/>
    <s v="USA"/>
    <x v="4"/>
    <x v="124"/>
    <n v="5319"/>
    <x v="0"/>
  </r>
  <r>
    <s v="Gigi Bohling"/>
    <s v="China"/>
    <x v="2"/>
    <x v="124"/>
    <n v="2147"/>
    <x v="0"/>
  </r>
  <r>
    <s v="Beverie Moffet"/>
    <s v="UK"/>
    <x v="2"/>
    <x v="124"/>
    <n v="7148"/>
    <x v="0"/>
  </r>
  <r>
    <s v="Oby Sorrel"/>
    <s v="USA"/>
    <x v="0"/>
    <x v="125"/>
    <n v="8088"/>
    <x v="0"/>
  </r>
  <r>
    <s v="Jehu Rudeforth"/>
    <s v="USA"/>
    <x v="1"/>
    <x v="125"/>
    <n v="5130"/>
    <x v="0"/>
  </r>
  <r>
    <s v="Van Tuxwell"/>
    <s v="Canada"/>
    <x v="4"/>
    <x v="126"/>
    <n v="1606"/>
    <x v="0"/>
  </r>
  <r>
    <s v="Marney O'Breem"/>
    <s v="Switzerland"/>
    <x v="6"/>
    <x v="126"/>
    <n v="2495"/>
    <x v="0"/>
  </r>
  <r>
    <s v="Marney O'Breem"/>
    <s v="USA"/>
    <x v="6"/>
    <x v="126"/>
    <n v="9540"/>
    <x v="0"/>
  </r>
  <r>
    <s v="Brien Boise"/>
    <s v="Germany"/>
    <x v="0"/>
    <x v="127"/>
    <n v="7993"/>
    <x v="0"/>
  </r>
  <r>
    <s v="Gunar Cockshoot"/>
    <s v="UK"/>
    <x v="5"/>
    <x v="127"/>
    <n v="1564"/>
    <x v="0"/>
  </r>
  <r>
    <s v="Mallorie Waber"/>
    <s v="China"/>
    <x v="2"/>
    <x v="127"/>
    <n v="11329"/>
    <x v="0"/>
  </r>
  <r>
    <s v="Gigi Bohling"/>
    <s v="UK"/>
    <x v="3"/>
    <x v="127"/>
    <n v="12291"/>
    <x v="0"/>
  </r>
  <r>
    <s v="Oby Sorrel"/>
    <s v="UK"/>
    <x v="0"/>
    <x v="128"/>
    <n v="8146"/>
    <x v="0"/>
  </r>
  <r>
    <s v="Jehu Rudeforth"/>
    <s v="Canada"/>
    <x v="0"/>
    <x v="128"/>
    <n v="6834"/>
    <x v="0"/>
  </r>
  <r>
    <s v="Marney O'Breem"/>
    <s v="UK"/>
    <x v="1"/>
    <x v="128"/>
    <n v="8403"/>
    <x v="0"/>
  </r>
  <r>
    <s v="Curtice Advani"/>
    <s v="China"/>
    <x v="2"/>
    <x v="128"/>
    <n v="1210"/>
    <x v="0"/>
  </r>
  <r>
    <s v="Van Tuxwell"/>
    <s v="Canada"/>
    <x v="5"/>
    <x v="129"/>
    <n v="4866"/>
    <x v="0"/>
  </r>
  <r>
    <s v="Van Tuxwell"/>
    <s v="China"/>
    <x v="1"/>
    <x v="129"/>
    <n v="10106"/>
    <x v="0"/>
  </r>
  <r>
    <s v="Gunar Cockshoot"/>
    <s v="China"/>
    <x v="6"/>
    <x v="129"/>
    <n v="1212"/>
    <x v="0"/>
  </r>
  <r>
    <s v="Marney O'Breem"/>
    <s v="Switzerland"/>
    <x v="3"/>
    <x v="129"/>
    <n v="4356"/>
    <x v="0"/>
  </r>
  <r>
    <s v="Jan Morforth"/>
    <s v="Germany"/>
    <x v="3"/>
    <x v="129"/>
    <n v="10765"/>
    <x v="0"/>
  </r>
  <r>
    <s v="Gunar Cockshoot"/>
    <s v="China"/>
    <x v="4"/>
    <x v="130"/>
    <n v="13502"/>
    <x v="0"/>
  </r>
  <r>
    <s v="Rafaela Blaksland"/>
    <s v="China"/>
    <x v="4"/>
    <x v="130"/>
    <n v="3809"/>
    <x v="0"/>
  </r>
  <r>
    <s v="Oby Sorrel"/>
    <s v="Germany"/>
    <x v="6"/>
    <x v="130"/>
    <n v="1785"/>
    <x v="0"/>
  </r>
  <r>
    <s v="Gigi Bohling"/>
    <s v="Germany"/>
    <x v="6"/>
    <x v="130"/>
    <n v="13953"/>
    <x v="0"/>
  </r>
  <r>
    <s v="Gunar Cockshoot"/>
    <s v="Switzerland"/>
    <x v="7"/>
    <x v="131"/>
    <n v="1982"/>
    <x v="0"/>
  </r>
  <r>
    <s v="Curtice Advani"/>
    <s v="China"/>
    <x v="7"/>
    <x v="131"/>
    <n v="3853"/>
    <x v="0"/>
  </r>
  <r>
    <s v="Gigi Bohling"/>
    <s v="Germany"/>
    <x v="2"/>
    <x v="131"/>
    <n v="12678"/>
    <x v="0"/>
  </r>
  <r>
    <s v="Oby Sorrel"/>
    <s v="Germany"/>
    <x v="4"/>
    <x v="132"/>
    <n v="8161"/>
    <x v="0"/>
  </r>
  <r>
    <s v="Jan Morforth"/>
    <s v="USA"/>
    <x v="5"/>
    <x v="132"/>
    <n v="2166"/>
    <x v="0"/>
  </r>
  <r>
    <s v="Gigi Bohling"/>
    <s v="UK"/>
    <x v="1"/>
    <x v="132"/>
    <n v="10921"/>
    <x v="0"/>
  </r>
  <r>
    <s v="Barr Faughny"/>
    <s v="UK"/>
    <x v="7"/>
    <x v="132"/>
    <n v="6647"/>
    <x v="0"/>
  </r>
  <r>
    <s v="Karlen McCaffrey"/>
    <s v="China"/>
    <x v="7"/>
    <x v="132"/>
    <n v="3018"/>
    <x v="0"/>
  </r>
  <r>
    <s v="Oby Sorrel"/>
    <s v="China"/>
    <x v="7"/>
    <x v="133"/>
    <n v="2753"/>
    <x v="0"/>
  </r>
  <r>
    <s v="Beverie Moffet"/>
    <s v="Switzerland"/>
    <x v="7"/>
    <x v="133"/>
    <n v="11257"/>
    <x v="0"/>
  </r>
  <r>
    <s v="Barr Faughny"/>
    <s v="UK"/>
    <x v="1"/>
    <x v="134"/>
    <n v="4144"/>
    <x v="0"/>
  </r>
  <r>
    <s v="Roddy Speechley"/>
    <s v="Canada"/>
    <x v="3"/>
    <x v="134"/>
    <n v="7888"/>
    <x v="0"/>
  </r>
  <r>
    <s v="Curtice Advani"/>
    <s v="USA"/>
    <x v="3"/>
    <x v="134"/>
    <n v="6228"/>
    <x v="0"/>
  </r>
  <r>
    <s v="Rafaela Blaksland"/>
    <s v="USA"/>
    <x v="7"/>
    <x v="135"/>
    <n v="3333"/>
    <x v="0"/>
  </r>
  <r>
    <s v="Roddy Speechley"/>
    <s v="Switzerland"/>
    <x v="2"/>
    <x v="135"/>
    <n v="1558"/>
    <x v="0"/>
  </r>
  <r>
    <s v="Roddy Speechley"/>
    <s v="Switzerland"/>
    <x v="3"/>
    <x v="135"/>
    <n v="12726"/>
    <x v="0"/>
  </r>
  <r>
    <s v="Mallorie Waber"/>
    <s v="Switzerland"/>
    <x v="3"/>
    <x v="135"/>
    <n v="9286"/>
    <x v="0"/>
  </r>
  <r>
    <s v="Barr Faughny"/>
    <s v="Switzerland"/>
    <x v="0"/>
    <x v="136"/>
    <n v="4868"/>
    <x v="0"/>
  </r>
  <r>
    <s v="Karlen McCaffrey"/>
    <s v="China"/>
    <x v="4"/>
    <x v="136"/>
    <n v="10527"/>
    <x v="0"/>
  </r>
  <r>
    <s v="Roddy Speechley"/>
    <s v="USA"/>
    <x v="4"/>
    <x v="136"/>
    <n v="10910"/>
    <x v="0"/>
  </r>
  <r>
    <s v="Brien Boise"/>
    <s v="Switzerland"/>
    <x v="6"/>
    <x v="136"/>
    <n v="10209"/>
    <x v="0"/>
  </r>
  <r>
    <s v="Curtice Advani"/>
    <s v="Canada"/>
    <x v="6"/>
    <x v="136"/>
    <n v="13392"/>
    <x v="0"/>
  </r>
  <r>
    <s v="Mallorie Waber"/>
    <s v="Switzerland"/>
    <x v="0"/>
    <x v="137"/>
    <n v="4567"/>
    <x v="0"/>
  </r>
  <r>
    <s v="Beverie Moffet"/>
    <s v="China"/>
    <x v="7"/>
    <x v="137"/>
    <n v="11788"/>
    <x v="0"/>
  </r>
  <r>
    <s v="Brien Boise"/>
    <s v="China"/>
    <x v="6"/>
    <x v="137"/>
    <n v="8850"/>
    <x v="0"/>
  </r>
  <r>
    <s v="Gunar Cockshoot"/>
    <s v="Canada"/>
    <x v="1"/>
    <x v="138"/>
    <n v="2478"/>
    <x v="0"/>
  </r>
  <r>
    <s v="Jehu Rudeforth"/>
    <s v="China"/>
    <x v="0"/>
    <x v="139"/>
    <n v="11047"/>
    <x v="0"/>
  </r>
  <r>
    <s v="Oby Sorrel"/>
    <s v="China"/>
    <x v="0"/>
    <x v="139"/>
    <n v="7989"/>
    <x v="0"/>
  </r>
  <r>
    <s v="Roddy Speechley"/>
    <s v="Switzerland"/>
    <x v="1"/>
    <x v="139"/>
    <n v="10732"/>
    <x v="0"/>
  </r>
  <r>
    <s v="Curtice Advani"/>
    <s v="Switzerland"/>
    <x v="1"/>
    <x v="139"/>
    <n v="2080"/>
    <x v="0"/>
  </r>
  <r>
    <s v="Roddy Speechley"/>
    <s v="Switzerland"/>
    <x v="2"/>
    <x v="140"/>
    <n v="3624"/>
    <x v="0"/>
  </r>
  <r>
    <s v="Curtice Advani"/>
    <s v="USA"/>
    <x v="4"/>
    <x v="141"/>
    <n v="2584"/>
    <x v="0"/>
  </r>
  <r>
    <s v="Jehu Rudeforth"/>
    <s v="USA"/>
    <x v="2"/>
    <x v="141"/>
    <n v="4641"/>
    <x v="0"/>
  </r>
  <r>
    <s v="Jehu Rudeforth"/>
    <s v="China"/>
    <x v="0"/>
    <x v="142"/>
    <n v="9683"/>
    <x v="0"/>
  </r>
  <r>
    <s v="Barr Faughny"/>
    <s v="Canada"/>
    <x v="4"/>
    <x v="142"/>
    <n v="9975"/>
    <x v="0"/>
  </r>
  <r>
    <s v="Gigi Bohling"/>
    <s v="Germany"/>
    <x v="5"/>
    <x v="142"/>
    <n v="4924"/>
    <x v="0"/>
  </r>
  <r>
    <s v="Barr Faughny"/>
    <s v="USA"/>
    <x v="1"/>
    <x v="142"/>
    <n v="3757"/>
    <x v="0"/>
  </r>
  <r>
    <s v="Roddy Speechley"/>
    <s v="USA"/>
    <x v="1"/>
    <x v="142"/>
    <n v="7310"/>
    <x v="0"/>
  </r>
  <r>
    <s v="Oby Sorrel"/>
    <s v="Switzerland"/>
    <x v="6"/>
    <x v="142"/>
    <n v="11484"/>
    <x v="0"/>
  </r>
  <r>
    <s v="Jehu Rudeforth"/>
    <s v="China"/>
    <x v="4"/>
    <x v="143"/>
    <n v="2182"/>
    <x v="0"/>
  </r>
  <r>
    <s v="Oby Sorrel"/>
    <s v="China"/>
    <x v="7"/>
    <x v="143"/>
    <n v="2917"/>
    <x v="0"/>
  </r>
  <r>
    <s v="Jehu Rudeforth"/>
    <s v="Switzerland"/>
    <x v="6"/>
    <x v="143"/>
    <n v="9219"/>
    <x v="0"/>
  </r>
  <r>
    <s v="Van Tuxwell"/>
    <s v="Canada"/>
    <x v="3"/>
    <x v="143"/>
    <n v="10807"/>
    <x v="0"/>
  </r>
  <r>
    <s v="Brien Boise"/>
    <s v="Switzerland"/>
    <x v="1"/>
    <x v="144"/>
    <n v="1582"/>
    <x v="0"/>
  </r>
  <r>
    <s v="Jan Morforth"/>
    <s v="Germany"/>
    <x v="2"/>
    <x v="145"/>
    <n v="5974"/>
    <x v="0"/>
  </r>
  <r>
    <s v="Gigi Bohling"/>
    <s v="China"/>
    <x v="6"/>
    <x v="145"/>
    <n v="4310"/>
    <x v="0"/>
  </r>
  <r>
    <s v="Barr Faughny"/>
    <s v="Switzerland"/>
    <x v="3"/>
    <x v="145"/>
    <n v="11190"/>
    <x v="0"/>
  </r>
  <r>
    <s v="Jehu Rudeforth"/>
    <s v="Canada"/>
    <x v="3"/>
    <x v="145"/>
    <n v="6582"/>
    <x v="0"/>
  </r>
  <r>
    <s v="Rafaela Blaksland"/>
    <s v="USA"/>
    <x v="0"/>
    <x v="146"/>
    <n v="4591"/>
    <x v="0"/>
  </r>
  <r>
    <s v="Marney O'Breem"/>
    <s v="Canada"/>
    <x v="4"/>
    <x v="146"/>
    <n v="4590"/>
    <x v="0"/>
  </r>
  <r>
    <s v="Beverie Moffet"/>
    <s v="USA"/>
    <x v="4"/>
    <x v="146"/>
    <n v="13991"/>
    <x v="0"/>
  </r>
  <r>
    <s v="Marney O'Breem"/>
    <s v="Switzerland"/>
    <x v="3"/>
    <x v="146"/>
    <n v="3908"/>
    <x v="0"/>
  </r>
  <r>
    <s v="Curtice Advani"/>
    <s v="Switzerland"/>
    <x v="1"/>
    <x v="147"/>
    <n v="6004"/>
    <x v="0"/>
  </r>
  <r>
    <s v="Mallorie Waber"/>
    <s v="China"/>
    <x v="2"/>
    <x v="147"/>
    <n v="13134"/>
    <x v="0"/>
  </r>
  <r>
    <s v="Gunar Cockshoot"/>
    <s v="USA"/>
    <x v="2"/>
    <x v="147"/>
    <n v="13918"/>
    <x v="0"/>
  </r>
  <r>
    <s v="Beverie Moffet"/>
    <s v="USA"/>
    <x v="6"/>
    <x v="147"/>
    <n v="10443"/>
    <x v="0"/>
  </r>
  <r>
    <s v="Jan Morforth"/>
    <s v="China"/>
    <x v="0"/>
    <x v="148"/>
    <n v="13716"/>
    <x v="0"/>
  </r>
  <r>
    <s v="Jehu Rudeforth"/>
    <s v="USA"/>
    <x v="5"/>
    <x v="148"/>
    <n v="3504"/>
    <x v="0"/>
  </r>
  <r>
    <s v="Mallorie Waber"/>
    <s v="China"/>
    <x v="5"/>
    <x v="148"/>
    <n v="1073"/>
    <x v="0"/>
  </r>
  <r>
    <s v="Brien Boise"/>
    <s v="China"/>
    <x v="1"/>
    <x v="148"/>
    <n v="2942"/>
    <x v="0"/>
  </r>
  <r>
    <s v="Gunar Cockshoot"/>
    <s v="China"/>
    <x v="6"/>
    <x v="148"/>
    <n v="5092"/>
    <x v="0"/>
  </r>
  <r>
    <s v="Curtice Advani"/>
    <s v="Canada"/>
    <x v="3"/>
    <x v="149"/>
    <n v="12514"/>
    <x v="0"/>
  </r>
  <r>
    <s v="Van Tuxwell"/>
    <s v="UK"/>
    <x v="4"/>
    <x v="150"/>
    <n v="11541"/>
    <x v="0"/>
  </r>
  <r>
    <s v="Roddy Speechley"/>
    <s v="Canada"/>
    <x v="4"/>
    <x v="150"/>
    <n v="13427"/>
    <x v="0"/>
  </r>
  <r>
    <s v="Roddy Speechley"/>
    <s v="Switzerland"/>
    <x v="2"/>
    <x v="150"/>
    <n v="6453"/>
    <x v="0"/>
  </r>
  <r>
    <s v="Oby Sorrel"/>
    <s v="Canada"/>
    <x v="3"/>
    <x v="150"/>
    <n v="3238"/>
    <x v="0"/>
  </r>
  <r>
    <s v="Barr Faughny"/>
    <s v="Canada"/>
    <x v="3"/>
    <x v="150"/>
    <n v="13383"/>
    <x v="0"/>
  </r>
  <r>
    <s v="Jan Morforth"/>
    <s v="USA"/>
    <x v="5"/>
    <x v="151"/>
    <n v="2936"/>
    <x v="0"/>
  </r>
  <r>
    <s v="Barr Faughny"/>
    <s v="UK"/>
    <x v="1"/>
    <x v="151"/>
    <n v="1733"/>
    <x v="0"/>
  </r>
  <r>
    <s v="Karlen McCaffrey"/>
    <s v="Germany"/>
    <x v="1"/>
    <x v="151"/>
    <n v="6375"/>
    <x v="0"/>
  </r>
  <r>
    <s v="Brien Boise"/>
    <s v="USA"/>
    <x v="2"/>
    <x v="151"/>
    <n v="5149"/>
    <x v="0"/>
  </r>
  <r>
    <s v="Curtice Advani"/>
    <s v="China"/>
    <x v="6"/>
    <x v="151"/>
    <n v="6816"/>
    <x v="0"/>
  </r>
  <r>
    <s v="Van Tuxwell"/>
    <s v="Germany"/>
    <x v="6"/>
    <x v="151"/>
    <n v="2051"/>
    <x v="0"/>
  </r>
  <r>
    <s v="Barr Faughny"/>
    <s v="USA"/>
    <x v="6"/>
    <x v="152"/>
    <n v="7051"/>
    <x v="0"/>
  </r>
  <r>
    <s v="Oby Sorrel"/>
    <s v="Canada"/>
    <x v="3"/>
    <x v="152"/>
    <n v="7139"/>
    <x v="0"/>
  </r>
  <r>
    <s v="Mallorie Waber"/>
    <s v="USA"/>
    <x v="0"/>
    <x v="153"/>
    <n v="12454"/>
    <x v="0"/>
  </r>
  <r>
    <s v="Oby Sorrel"/>
    <s v="Germany"/>
    <x v="0"/>
    <x v="153"/>
    <n v="13384"/>
    <x v="0"/>
  </r>
  <r>
    <s v="Gunar Cockshoot"/>
    <s v="UK"/>
    <x v="4"/>
    <x v="153"/>
    <n v="7551"/>
    <x v="0"/>
  </r>
  <r>
    <s v="Roddy Speechley"/>
    <s v="Germany"/>
    <x v="7"/>
    <x v="153"/>
    <n v="9805"/>
    <x v="0"/>
  </r>
  <r>
    <s v="Jan Morforth"/>
    <s v="China"/>
    <x v="7"/>
    <x v="153"/>
    <n v="7487"/>
    <x v="0"/>
  </r>
  <r>
    <s v="Gunar Cockshoot"/>
    <s v="Canada"/>
    <x v="2"/>
    <x v="153"/>
    <n v="8105"/>
    <x v="0"/>
  </r>
  <r>
    <s v="Mallorie Waber"/>
    <s v="China"/>
    <x v="6"/>
    <x v="154"/>
    <n v="7163"/>
    <x v="0"/>
  </r>
  <r>
    <s v="Curtice Advani"/>
    <s v="UK"/>
    <x v="6"/>
    <x v="154"/>
    <n v="8532"/>
    <x v="0"/>
  </r>
  <r>
    <s v="Barr Faughny"/>
    <s v="Canada"/>
    <x v="4"/>
    <x v="155"/>
    <n v="2264"/>
    <x v="0"/>
  </r>
  <r>
    <s v="Rafaela Blaksland"/>
    <s v="UK"/>
    <x v="1"/>
    <x v="155"/>
    <n v="9370"/>
    <x v="0"/>
  </r>
  <r>
    <s v="Mallorie Waber"/>
    <s v="China"/>
    <x v="7"/>
    <x v="155"/>
    <n v="6567"/>
    <x v="0"/>
  </r>
  <r>
    <s v="Brien Boise"/>
    <s v="Germany"/>
    <x v="2"/>
    <x v="155"/>
    <n v="6848"/>
    <x v="0"/>
  </r>
  <r>
    <s v="Rafaela Blaksland"/>
    <s v="China"/>
    <x v="2"/>
    <x v="155"/>
    <n v="13226"/>
    <x v="0"/>
  </r>
  <r>
    <s v="Roddy Speechley"/>
    <s v="USA"/>
    <x v="3"/>
    <x v="155"/>
    <n v="9287"/>
    <x v="0"/>
  </r>
  <r>
    <s v="Curtice Advani"/>
    <s v="UK"/>
    <x v="4"/>
    <x v="156"/>
    <n v="2732"/>
    <x v="0"/>
  </r>
  <r>
    <s v="Oby Sorrel"/>
    <s v="USA"/>
    <x v="4"/>
    <x v="156"/>
    <n v="9933"/>
    <x v="0"/>
  </r>
  <r>
    <s v="Roddy Speechley"/>
    <s v="Canada"/>
    <x v="5"/>
    <x v="156"/>
    <n v="1556"/>
    <x v="0"/>
  </r>
  <r>
    <s v="Gigi Bohling"/>
    <s v="USA"/>
    <x v="0"/>
    <x v="157"/>
    <n v="7633"/>
    <x v="0"/>
  </r>
  <r>
    <s v="Beverie Moffet"/>
    <s v="UK"/>
    <x v="1"/>
    <x v="157"/>
    <n v="13424"/>
    <x v="0"/>
  </r>
  <r>
    <s v="Karlen McCaffrey"/>
    <s v="Switzerland"/>
    <x v="2"/>
    <x v="157"/>
    <n v="6449"/>
    <x v="0"/>
  </r>
  <r>
    <s v="Mallorie Waber"/>
    <s v="USA"/>
    <x v="0"/>
    <x v="158"/>
    <n v="5669"/>
    <x v="0"/>
  </r>
  <r>
    <s v="Gunar Cockshoot"/>
    <s v="USA"/>
    <x v="1"/>
    <x v="158"/>
    <n v="2144"/>
    <x v="0"/>
  </r>
  <r>
    <s v="Karlen McCaffrey"/>
    <s v="USA"/>
    <x v="7"/>
    <x v="158"/>
    <n v="10797"/>
    <x v="0"/>
  </r>
  <r>
    <s v="Beverie Moffet"/>
    <s v="Switzerland"/>
    <x v="7"/>
    <x v="158"/>
    <n v="1372"/>
    <x v="0"/>
  </r>
  <r>
    <s v="Jan Morforth"/>
    <s v="USA"/>
    <x v="2"/>
    <x v="158"/>
    <n v="7968"/>
    <x v="0"/>
  </r>
  <r>
    <s v="Rafaela Blaksland"/>
    <s v="UK"/>
    <x v="2"/>
    <x v="158"/>
    <n v="10985"/>
    <x v="0"/>
  </r>
  <r>
    <s v="Beverie Moffet"/>
    <s v="Switzerland"/>
    <x v="7"/>
    <x v="159"/>
    <n v="9730"/>
    <x v="0"/>
  </r>
  <r>
    <s v="Barr Faughny"/>
    <s v="China"/>
    <x v="6"/>
    <x v="159"/>
    <n v="12736"/>
    <x v="0"/>
  </r>
  <r>
    <s v="Brien Boise"/>
    <s v="Switzerland"/>
    <x v="7"/>
    <x v="160"/>
    <n v="5701"/>
    <x v="0"/>
  </r>
  <r>
    <s v="Jehu Rudeforth"/>
    <s v="China"/>
    <x v="0"/>
    <x v="161"/>
    <n v="8737"/>
    <x v="0"/>
  </r>
  <r>
    <s v="Van Tuxwell"/>
    <s v="Germany"/>
    <x v="5"/>
    <x v="161"/>
    <n v="12404"/>
    <x v="0"/>
  </r>
  <r>
    <s v="Jan Morforth"/>
    <s v="USA"/>
    <x v="1"/>
    <x v="161"/>
    <n v="2697"/>
    <x v="0"/>
  </r>
  <r>
    <s v="Jan Morforth"/>
    <s v="USA"/>
    <x v="6"/>
    <x v="161"/>
    <n v="4967"/>
    <x v="0"/>
  </r>
  <r>
    <s v="Beverie Moffet"/>
    <s v="China"/>
    <x v="3"/>
    <x v="161"/>
    <n v="2186"/>
    <x v="0"/>
  </r>
  <r>
    <s v="Curtice Advani"/>
    <s v="Canada"/>
    <x v="5"/>
    <x v="162"/>
    <n v="3068"/>
    <x v="0"/>
  </r>
  <r>
    <s v="Beverie Moffet"/>
    <s v="Canada"/>
    <x v="6"/>
    <x v="162"/>
    <n v="7083"/>
    <x v="0"/>
  </r>
  <r>
    <s v="Roddy Speechley"/>
    <s v="USA"/>
    <x v="3"/>
    <x v="163"/>
    <n v="5704"/>
    <x v="0"/>
  </r>
  <r>
    <s v="Beverie Moffet"/>
    <s v="UK"/>
    <x v="0"/>
    <x v="164"/>
    <n v="10194"/>
    <x v="0"/>
  </r>
  <r>
    <s v="Mallorie Waber"/>
    <s v="UK"/>
    <x v="7"/>
    <x v="164"/>
    <n v="4059"/>
    <x v="0"/>
  </r>
  <r>
    <s v="Mallorie Waber"/>
    <s v="Germany"/>
    <x v="2"/>
    <x v="164"/>
    <n v="7426"/>
    <x v="0"/>
  </r>
  <r>
    <s v="Jehu Rudeforth"/>
    <s v="Germany"/>
    <x v="2"/>
    <x v="164"/>
    <n v="4807"/>
    <x v="0"/>
  </r>
  <r>
    <s v="Karlen McCaffrey"/>
    <s v="UK"/>
    <x v="0"/>
    <x v="165"/>
    <n v="1996"/>
    <x v="0"/>
  </r>
  <r>
    <s v="Marney O'Breem"/>
    <s v="Germany"/>
    <x v="4"/>
    <x v="165"/>
    <n v="5393"/>
    <x v="0"/>
  </r>
  <r>
    <s v="Van Tuxwell"/>
    <s v="UK"/>
    <x v="4"/>
    <x v="165"/>
    <n v="3827"/>
    <x v="0"/>
  </r>
  <r>
    <s v="Rafaela Blaksland"/>
    <s v="Switzerland"/>
    <x v="1"/>
    <x v="165"/>
    <n v="8052"/>
    <x v="0"/>
  </r>
  <r>
    <s v="Rafaela Blaksland"/>
    <s v="China"/>
    <x v="7"/>
    <x v="165"/>
    <n v="11199"/>
    <x v="0"/>
  </r>
  <r>
    <s v="Rafaela Blaksland"/>
    <s v="UK"/>
    <x v="3"/>
    <x v="165"/>
    <n v="5271"/>
    <x v="0"/>
  </r>
  <r>
    <s v="Gigi Bohling"/>
    <s v="Germany"/>
    <x v="0"/>
    <x v="166"/>
    <n v="2329"/>
    <x v="0"/>
  </r>
  <r>
    <s v="Van Tuxwell"/>
    <s v="UK"/>
    <x v="0"/>
    <x v="166"/>
    <n v="11295"/>
    <x v="0"/>
  </r>
  <r>
    <s v="Curtice Advani"/>
    <s v="Canada"/>
    <x v="4"/>
    <x v="166"/>
    <n v="10834"/>
    <x v="0"/>
  </r>
  <r>
    <s v="Jehu Rudeforth"/>
    <s v="China"/>
    <x v="4"/>
    <x v="166"/>
    <n v="10912"/>
    <x v="0"/>
  </r>
  <r>
    <s v="Karlen McCaffrey"/>
    <s v="Switzerland"/>
    <x v="1"/>
    <x v="166"/>
    <n v="8002"/>
    <x v="0"/>
  </r>
  <r>
    <s v="Curtice Advani"/>
    <s v="UK"/>
    <x v="6"/>
    <x v="166"/>
    <n v="3841"/>
    <x v="0"/>
  </r>
  <r>
    <s v="Rafaela Blaksland"/>
    <s v="Germany"/>
    <x v="4"/>
    <x v="167"/>
    <n v="6270"/>
    <x v="0"/>
  </r>
  <r>
    <s v="Beverie Moffet"/>
    <s v="Switzerland"/>
    <x v="4"/>
    <x v="167"/>
    <n v="6786"/>
    <x v="0"/>
  </r>
  <r>
    <s v="Gigi Bohling"/>
    <s v="USA"/>
    <x v="7"/>
    <x v="167"/>
    <n v="7712"/>
    <x v="0"/>
  </r>
  <r>
    <s v="Brien Boise"/>
    <s v="Switzerland"/>
    <x v="6"/>
    <x v="167"/>
    <n v="5113"/>
    <x v="0"/>
  </r>
  <r>
    <s v="Karlen McCaffrey"/>
    <s v="UK"/>
    <x v="4"/>
    <x v="168"/>
    <n v="11827"/>
    <x v="0"/>
  </r>
  <r>
    <s v="Karlen McCaffrey"/>
    <s v="Canada"/>
    <x v="5"/>
    <x v="168"/>
    <n v="11669"/>
    <x v="0"/>
  </r>
  <r>
    <s v="Oby Sorrel"/>
    <s v="Canada"/>
    <x v="5"/>
    <x v="168"/>
    <n v="8696"/>
    <x v="0"/>
  </r>
  <r>
    <s v="Curtice Advani"/>
    <s v="Germany"/>
    <x v="7"/>
    <x v="168"/>
    <n v="6184"/>
    <x v="0"/>
  </r>
  <r>
    <s v="Jan Morforth"/>
    <s v="UK"/>
    <x v="6"/>
    <x v="168"/>
    <n v="7888"/>
    <x v="0"/>
  </r>
  <r>
    <s v="Roddy Speechley"/>
    <s v="Germany"/>
    <x v="4"/>
    <x v="169"/>
    <n v="2201"/>
    <x v="0"/>
  </r>
  <r>
    <s v="Rafaela Blaksland"/>
    <s v="China"/>
    <x v="1"/>
    <x v="169"/>
    <n v="9426"/>
    <x v="0"/>
  </r>
  <r>
    <s v="Roddy Speechley"/>
    <s v="Switzerland"/>
    <x v="1"/>
    <x v="169"/>
    <n v="1973"/>
    <x v="0"/>
  </r>
  <r>
    <s v="Marney O'Breem"/>
    <s v="Germany"/>
    <x v="7"/>
    <x v="169"/>
    <n v="2487"/>
    <x v="0"/>
  </r>
  <r>
    <s v="Gunar Cockshoot"/>
    <s v="Germany"/>
    <x v="4"/>
    <x v="170"/>
    <n v="5283"/>
    <x v="0"/>
  </r>
  <r>
    <s v="Brien Boise"/>
    <s v="USA"/>
    <x v="2"/>
    <x v="170"/>
    <n v="8492"/>
    <x v="0"/>
  </r>
  <r>
    <s v="Van Tuxwell"/>
    <s v="UK"/>
    <x v="4"/>
    <x v="171"/>
    <n v="8283"/>
    <x v="0"/>
  </r>
  <r>
    <s v="Mallorie Waber"/>
    <s v="Canada"/>
    <x v="3"/>
    <x v="171"/>
    <n v="3030"/>
    <x v="0"/>
  </r>
  <r>
    <s v="Gigi Bohling"/>
    <s v="China"/>
    <x v="0"/>
    <x v="172"/>
    <n v="11453"/>
    <x v="0"/>
  </r>
  <r>
    <s v="Curtice Advani"/>
    <s v="USA"/>
    <x v="5"/>
    <x v="172"/>
    <n v="4835"/>
    <x v="0"/>
  </r>
  <r>
    <s v="Jehu Rudeforth"/>
    <s v="China"/>
    <x v="5"/>
    <x v="172"/>
    <n v="10504"/>
    <x v="0"/>
  </r>
  <r>
    <s v="Oby Sorrel"/>
    <s v="UK"/>
    <x v="1"/>
    <x v="172"/>
    <n v="3710"/>
    <x v="0"/>
  </r>
  <r>
    <s v="Van Tuxwell"/>
    <s v="China"/>
    <x v="7"/>
    <x v="172"/>
    <n v="7527"/>
    <x v="0"/>
  </r>
  <r>
    <s v="Van Tuxwell"/>
    <s v="Germany"/>
    <x v="0"/>
    <x v="173"/>
    <n v="10079"/>
    <x v="0"/>
  </r>
  <r>
    <s v="Rafaela Blaksland"/>
    <s v="China"/>
    <x v="2"/>
    <x v="173"/>
    <n v="2208"/>
    <x v="0"/>
  </r>
  <r>
    <s v="Oby Sorrel"/>
    <s v="USA"/>
    <x v="5"/>
    <x v="174"/>
    <n v="5606"/>
    <x v="0"/>
  </r>
  <r>
    <s v="Rafaela Blaksland"/>
    <s v="Canada"/>
    <x v="2"/>
    <x v="174"/>
    <n v="7594"/>
    <x v="0"/>
  </r>
  <r>
    <s v="Karlen McCaffrey"/>
    <s v="Germany"/>
    <x v="6"/>
    <x v="174"/>
    <n v="6915"/>
    <x v="0"/>
  </r>
  <r>
    <s v="Van Tuxwell"/>
    <s v="UK"/>
    <x v="3"/>
    <x v="174"/>
    <n v="13557"/>
    <x v="0"/>
  </r>
  <r>
    <s v="Jehu Rudeforth"/>
    <s v="USA"/>
    <x v="3"/>
    <x v="174"/>
    <n v="1275"/>
    <x v="0"/>
  </r>
  <r>
    <s v="Jan Morforth"/>
    <s v="UK"/>
    <x v="0"/>
    <x v="175"/>
    <n v="9240"/>
    <x v="0"/>
  </r>
  <r>
    <s v="Jehu Rudeforth"/>
    <s v="UK"/>
    <x v="5"/>
    <x v="176"/>
    <n v="11948"/>
    <x v="0"/>
  </r>
  <r>
    <s v="Jehu Rudeforth"/>
    <s v="Switzerland"/>
    <x v="7"/>
    <x v="176"/>
    <n v="10761"/>
    <x v="0"/>
  </r>
  <r>
    <s v="Jehu Rudeforth"/>
    <s v="China"/>
    <x v="2"/>
    <x v="176"/>
    <n v="2590"/>
    <x v="0"/>
  </r>
  <r>
    <s v="Barr Faughny"/>
    <s v="UK"/>
    <x v="0"/>
    <x v="177"/>
    <n v="13349"/>
    <x v="0"/>
  </r>
  <r>
    <s v="Van Tuxwell"/>
    <s v="Canada"/>
    <x v="0"/>
    <x v="177"/>
    <n v="6527"/>
    <x v="0"/>
  </r>
  <r>
    <s v="Karlen McCaffrey"/>
    <s v="Canada"/>
    <x v="4"/>
    <x v="177"/>
    <n v="13474"/>
    <x v="0"/>
  </r>
  <r>
    <s v="Barr Faughny"/>
    <s v="Switzerland"/>
    <x v="5"/>
    <x v="177"/>
    <n v="11429"/>
    <x v="0"/>
  </r>
  <r>
    <s v="Jehu Rudeforth"/>
    <s v="China"/>
    <x v="3"/>
    <x v="177"/>
    <n v="6421"/>
    <x v="0"/>
  </r>
  <r>
    <s v="Barr Faughny"/>
    <s v="UK"/>
    <x v="0"/>
    <x v="178"/>
    <n v="1199"/>
    <x v="0"/>
  </r>
  <r>
    <s v="Gunar Cockshoot"/>
    <s v="Switzerland"/>
    <x v="4"/>
    <x v="178"/>
    <n v="1977"/>
    <x v="0"/>
  </r>
  <r>
    <s v="Oby Sorrel"/>
    <s v="UK"/>
    <x v="2"/>
    <x v="178"/>
    <n v="6577"/>
    <x v="0"/>
  </r>
  <r>
    <s v="Van Tuxwell"/>
    <s v="USA"/>
    <x v="6"/>
    <x v="178"/>
    <n v="3508"/>
    <x v="0"/>
  </r>
  <r>
    <s v="Beverie Moffet"/>
    <s v="UK"/>
    <x v="6"/>
    <x v="178"/>
    <n v="13625"/>
    <x v="0"/>
  </r>
  <r>
    <s v="Marney O'Breem"/>
    <s v="USA"/>
    <x v="1"/>
    <x v="179"/>
    <n v="11267"/>
    <x v="0"/>
  </r>
  <r>
    <s v="Beverie Moffet"/>
    <s v="Germany"/>
    <x v="2"/>
    <x v="179"/>
    <n v="10160"/>
    <x v="0"/>
  </r>
  <r>
    <s v="Rafaela Blaksland"/>
    <s v="UK"/>
    <x v="3"/>
    <x v="179"/>
    <n v="6208"/>
    <x v="0"/>
  </r>
  <r>
    <s v="Gunar Cockshoot"/>
    <s v="UK"/>
    <x v="0"/>
    <x v="180"/>
    <n v="6450"/>
    <x v="0"/>
  </r>
  <r>
    <s v="Mallorie Waber"/>
    <s v="UK"/>
    <x v="1"/>
    <x v="180"/>
    <n v="12356"/>
    <x v="0"/>
  </r>
  <r>
    <s v="Gigi Bohling"/>
    <s v="China"/>
    <x v="0"/>
    <x v="181"/>
    <n v="7014"/>
    <x v="0"/>
  </r>
  <r>
    <s v="Barr Faughny"/>
    <s v="USA"/>
    <x v="4"/>
    <x v="182"/>
    <n v="13003"/>
    <x v="0"/>
  </r>
  <r>
    <s v="Oby Sorrel"/>
    <s v="UK"/>
    <x v="5"/>
    <x v="182"/>
    <n v="7937"/>
    <x v="0"/>
  </r>
  <r>
    <s v="Gunar Cockshoot"/>
    <s v="USA"/>
    <x v="5"/>
    <x v="182"/>
    <n v="8972"/>
    <x v="0"/>
  </r>
  <r>
    <s v="Curtice Advani"/>
    <s v="Switzerland"/>
    <x v="5"/>
    <x v="182"/>
    <n v="7940"/>
    <x v="0"/>
  </r>
  <r>
    <s v="Marney O'Breem"/>
    <s v="Germany"/>
    <x v="7"/>
    <x v="182"/>
    <n v="12151"/>
    <x v="0"/>
  </r>
  <r>
    <s v="Jan Morforth"/>
    <s v="Germany"/>
    <x v="2"/>
    <x v="182"/>
    <n v="7841"/>
    <x v="0"/>
  </r>
  <r>
    <s v="Brien Boise"/>
    <s v="Germany"/>
    <x v="2"/>
    <x v="182"/>
    <n v="10308"/>
    <x v="0"/>
  </r>
  <r>
    <s v="Curtice Advani"/>
    <s v="UK"/>
    <x v="2"/>
    <x v="182"/>
    <n v="3147"/>
    <x v="0"/>
  </r>
  <r>
    <s v="Karlen McCaffrey"/>
    <s v="China"/>
    <x v="6"/>
    <x v="182"/>
    <n v="11688"/>
    <x v="0"/>
  </r>
  <r>
    <s v="Gigi Bohling"/>
    <s v="China"/>
    <x v="1"/>
    <x v="183"/>
    <n v="12245"/>
    <x v="0"/>
  </r>
  <r>
    <s v="Gunar Cockshoot"/>
    <s v="UK"/>
    <x v="7"/>
    <x v="183"/>
    <n v="13784"/>
    <x v="0"/>
  </r>
  <r>
    <s v="Beverie Moffet"/>
    <s v="Canada"/>
    <x v="2"/>
    <x v="183"/>
    <n v="7119"/>
    <x v="0"/>
  </r>
  <r>
    <s v="Rafaela Blaksland"/>
    <s v="Canada"/>
    <x v="6"/>
    <x v="183"/>
    <n v="1681"/>
    <x v="0"/>
  </r>
  <r>
    <s v="Rafaela Blaksland"/>
    <s v="Canada"/>
    <x v="6"/>
    <x v="183"/>
    <n v="10688"/>
    <x v="0"/>
  </r>
  <r>
    <s v="Beverie Moffet"/>
    <s v="Switzerland"/>
    <x v="5"/>
    <x v="184"/>
    <n v="10122"/>
    <x v="0"/>
  </r>
  <r>
    <s v="Curtice Advani"/>
    <s v="China"/>
    <x v="5"/>
    <x v="184"/>
    <n v="2093"/>
    <x v="0"/>
  </r>
  <r>
    <s v="Roddy Speechley"/>
    <s v="Switzerland"/>
    <x v="1"/>
    <x v="184"/>
    <n v="3068"/>
    <x v="0"/>
  </r>
  <r>
    <s v="Rafaela Blaksland"/>
    <s v="USA"/>
    <x v="6"/>
    <x v="184"/>
    <n v="8926"/>
    <x v="0"/>
  </r>
  <r>
    <s v="Roddy Speechley"/>
    <s v="China"/>
    <x v="0"/>
    <x v="185"/>
    <n v="8052"/>
    <x v="0"/>
  </r>
  <r>
    <s v="Karlen McCaffrey"/>
    <s v="Canada"/>
    <x v="6"/>
    <x v="185"/>
    <n v="3158"/>
    <x v="0"/>
  </r>
  <r>
    <s v="Brien Boise"/>
    <s v="USA"/>
    <x v="4"/>
    <x v="186"/>
    <n v="8397"/>
    <x v="0"/>
  </r>
  <r>
    <s v="Gunar Cockshoot"/>
    <s v="China"/>
    <x v="2"/>
    <x v="186"/>
    <n v="3866"/>
    <x v="0"/>
  </r>
  <r>
    <s v="Brien Boise"/>
    <s v="Germany"/>
    <x v="6"/>
    <x v="186"/>
    <n v="2791"/>
    <x v="0"/>
  </r>
  <r>
    <s v="Jan Morforth"/>
    <s v="Switzerland"/>
    <x v="0"/>
    <x v="187"/>
    <n v="3903"/>
    <x v="0"/>
  </r>
  <r>
    <s v="Brien Boise"/>
    <s v="UK"/>
    <x v="7"/>
    <x v="187"/>
    <n v="10250"/>
    <x v="0"/>
  </r>
  <r>
    <s v="Mallorie Waber"/>
    <s v="Switzerland"/>
    <x v="3"/>
    <x v="187"/>
    <n v="4167"/>
    <x v="0"/>
  </r>
  <r>
    <s v="Van Tuxwell"/>
    <s v="Germany"/>
    <x v="1"/>
    <x v="188"/>
    <n v="9854"/>
    <x v="0"/>
  </r>
  <r>
    <s v="Roddy Speechley"/>
    <s v="Canada"/>
    <x v="7"/>
    <x v="188"/>
    <n v="4488"/>
    <x v="0"/>
  </r>
  <r>
    <s v="Brien Boise"/>
    <s v="China"/>
    <x v="7"/>
    <x v="188"/>
    <n v="3401"/>
    <x v="0"/>
  </r>
  <r>
    <s v="Roddy Speechley"/>
    <s v="USA"/>
    <x v="2"/>
    <x v="188"/>
    <n v="11980"/>
    <x v="0"/>
  </r>
  <r>
    <s v="Gunar Cockshoot"/>
    <s v="USA"/>
    <x v="3"/>
    <x v="188"/>
    <n v="13215"/>
    <x v="0"/>
  </r>
  <r>
    <s v="Rafaela Blaksland"/>
    <s v="Canada"/>
    <x v="2"/>
    <x v="189"/>
    <n v="13858"/>
    <x v="0"/>
  </r>
  <r>
    <s v="Marney O'Breem"/>
    <s v="USA"/>
    <x v="0"/>
    <x v="190"/>
    <n v="5628"/>
    <x v="0"/>
  </r>
  <r>
    <s v="Gigi Bohling"/>
    <s v="China"/>
    <x v="5"/>
    <x v="190"/>
    <n v="8998"/>
    <x v="0"/>
  </r>
  <r>
    <s v="Karlen McCaffrey"/>
    <s v="USA"/>
    <x v="5"/>
    <x v="190"/>
    <n v="10611"/>
    <x v="0"/>
  </r>
  <r>
    <s v="Barr Faughny"/>
    <s v="UK"/>
    <x v="7"/>
    <x v="190"/>
    <n v="1129"/>
    <x v="0"/>
  </r>
  <r>
    <s v="Gunar Cockshoot"/>
    <s v="Switzerland"/>
    <x v="6"/>
    <x v="190"/>
    <n v="1712"/>
    <x v="0"/>
  </r>
  <r>
    <s v="Rafaela Blaksland"/>
    <s v="Switzerland"/>
    <x v="5"/>
    <x v="191"/>
    <n v="2875"/>
    <x v="0"/>
  </r>
  <r>
    <s v="Brien Boise"/>
    <s v="Switzerland"/>
    <x v="5"/>
    <x v="191"/>
    <n v="12641"/>
    <x v="0"/>
  </r>
  <r>
    <s v="Van Tuxwell"/>
    <s v="Canada"/>
    <x v="1"/>
    <x v="191"/>
    <n v="13618"/>
    <x v="0"/>
  </r>
  <r>
    <s v="Roddy Speechley"/>
    <s v="Switzerland"/>
    <x v="7"/>
    <x v="191"/>
    <n v="9314"/>
    <x v="0"/>
  </r>
  <r>
    <s v="Gunar Cockshoot"/>
    <s v="Germany"/>
    <x v="2"/>
    <x v="191"/>
    <n v="1695"/>
    <x v="0"/>
  </r>
  <r>
    <s v="Karlen McCaffrey"/>
    <s v="UK"/>
    <x v="3"/>
    <x v="191"/>
    <n v="13752"/>
    <x v="0"/>
  </r>
  <r>
    <s v="Roddy Speechley"/>
    <s v="China"/>
    <x v="4"/>
    <x v="192"/>
    <n v="4181"/>
    <x v="0"/>
  </r>
  <r>
    <s v="Karlen McCaffrey"/>
    <s v="Switzerland"/>
    <x v="5"/>
    <x v="192"/>
    <n v="10467"/>
    <x v="0"/>
  </r>
  <r>
    <s v="Roddy Speechley"/>
    <s v="Switzerland"/>
    <x v="2"/>
    <x v="192"/>
    <n v="7291"/>
    <x v="0"/>
  </r>
  <r>
    <s v="Curtice Advani"/>
    <s v="China"/>
    <x v="2"/>
    <x v="192"/>
    <n v="1987"/>
    <x v="0"/>
  </r>
  <r>
    <s v="Beverie Moffet"/>
    <s v="Canada"/>
    <x v="6"/>
    <x v="192"/>
    <n v="9780"/>
    <x v="0"/>
  </r>
  <r>
    <s v="Gunar Cockshoot"/>
    <s v="China"/>
    <x v="0"/>
    <x v="193"/>
    <n v="2150"/>
    <x v="0"/>
  </r>
  <r>
    <s v="Jan Morforth"/>
    <s v="Canada"/>
    <x v="0"/>
    <x v="193"/>
    <n v="11342"/>
    <x v="0"/>
  </r>
  <r>
    <s v="Jan Morforth"/>
    <s v="China"/>
    <x v="5"/>
    <x v="193"/>
    <n v="3836"/>
    <x v="0"/>
  </r>
  <r>
    <s v="Van Tuxwell"/>
    <s v="China"/>
    <x v="7"/>
    <x v="193"/>
    <n v="10885"/>
    <x v="0"/>
  </r>
  <r>
    <s v="Rafaela Blaksland"/>
    <s v="Canada"/>
    <x v="2"/>
    <x v="193"/>
    <n v="4632"/>
    <x v="0"/>
  </r>
  <r>
    <s v="Marney O'Breem"/>
    <s v="Canada"/>
    <x v="2"/>
    <x v="193"/>
    <n v="2913"/>
    <x v="0"/>
  </r>
  <r>
    <s v="Jehu Rudeforth"/>
    <s v="Canada"/>
    <x v="6"/>
    <x v="193"/>
    <n v="7767"/>
    <x v="0"/>
  </r>
  <r>
    <s v="Curtice Advani"/>
    <s v="Germany"/>
    <x v="4"/>
    <x v="194"/>
    <n v="2276"/>
    <x v="0"/>
  </r>
  <r>
    <s v="Jan Morforth"/>
    <s v="Germany"/>
    <x v="5"/>
    <x v="194"/>
    <n v="13774"/>
    <x v="0"/>
  </r>
  <r>
    <s v="Curtice Advani"/>
    <s v="USA"/>
    <x v="7"/>
    <x v="194"/>
    <n v="2255"/>
    <x v="0"/>
  </r>
  <r>
    <s v="Karlen McCaffrey"/>
    <s v="Canada"/>
    <x v="2"/>
    <x v="194"/>
    <n v="12055"/>
    <x v="0"/>
  </r>
  <r>
    <s v="Jehu Rudeforth"/>
    <s v="Canada"/>
    <x v="6"/>
    <x v="194"/>
    <n v="4585"/>
    <x v="0"/>
  </r>
  <r>
    <s v="Brien Boise"/>
    <s v="Canada"/>
    <x v="3"/>
    <x v="194"/>
    <n v="3615"/>
    <x v="0"/>
  </r>
  <r>
    <s v="Rafaela Blaksland"/>
    <s v="UK"/>
    <x v="3"/>
    <x v="194"/>
    <n v="8347"/>
    <x v="0"/>
  </r>
  <r>
    <s v="Oby Sorrel"/>
    <s v="China"/>
    <x v="0"/>
    <x v="195"/>
    <n v="9734"/>
    <x v="0"/>
  </r>
  <r>
    <s v="Mallorie Waber"/>
    <s v="China"/>
    <x v="0"/>
    <x v="195"/>
    <n v="3099"/>
    <x v="0"/>
  </r>
  <r>
    <s v="Brien Boise"/>
    <s v="Germany"/>
    <x v="2"/>
    <x v="195"/>
    <n v="10658"/>
    <x v="0"/>
  </r>
  <r>
    <s v="Karlen McCaffrey"/>
    <s v="UK"/>
    <x v="2"/>
    <x v="195"/>
    <n v="13465"/>
    <x v="0"/>
  </r>
  <r>
    <s v="Gunar Cockshoot"/>
    <s v="Germany"/>
    <x v="4"/>
    <x v="196"/>
    <n v="7992"/>
    <x v="0"/>
  </r>
  <r>
    <s v="Mallorie Waber"/>
    <s v="UK"/>
    <x v="4"/>
    <x v="196"/>
    <n v="4872"/>
    <x v="0"/>
  </r>
  <r>
    <s v="Karlen McCaffrey"/>
    <s v="Germany"/>
    <x v="4"/>
    <x v="196"/>
    <n v="6556"/>
    <x v="0"/>
  </r>
  <r>
    <s v="Beverie Moffet"/>
    <s v="USA"/>
    <x v="5"/>
    <x v="196"/>
    <n v="10140"/>
    <x v="0"/>
  </r>
  <r>
    <s v="Beverie Moffet"/>
    <s v="USA"/>
    <x v="1"/>
    <x v="196"/>
    <n v="4966"/>
    <x v="0"/>
  </r>
  <r>
    <s v="Beverie Moffet"/>
    <s v="USA"/>
    <x v="1"/>
    <x v="196"/>
    <n v="1024"/>
    <x v="0"/>
  </r>
  <r>
    <s v="Beverie Moffet"/>
    <s v="Germany"/>
    <x v="1"/>
    <x v="196"/>
    <n v="12772"/>
    <x v="0"/>
  </r>
  <r>
    <s v="Marney O'Breem"/>
    <s v="Canada"/>
    <x v="6"/>
    <x v="196"/>
    <n v="1167"/>
    <x v="0"/>
  </r>
  <r>
    <s v="Beverie Moffet"/>
    <s v="Germany"/>
    <x v="5"/>
    <x v="197"/>
    <n v="3649"/>
    <x v="0"/>
  </r>
  <r>
    <s v="Barr Faughny"/>
    <s v="China"/>
    <x v="2"/>
    <x v="197"/>
    <n v="3747"/>
    <x v="0"/>
  </r>
  <r>
    <s v="Jan Morforth"/>
    <s v="USA"/>
    <x v="2"/>
    <x v="197"/>
    <n v="9541"/>
    <x v="0"/>
  </r>
  <r>
    <s v="Gunar Cockshoot"/>
    <s v="USA"/>
    <x v="5"/>
    <x v="198"/>
    <n v="10389"/>
    <x v="0"/>
  </r>
  <r>
    <s v="Oby Sorrel"/>
    <s v="Canada"/>
    <x v="5"/>
    <x v="198"/>
    <n v="11429"/>
    <x v="0"/>
  </r>
  <r>
    <s v="Rafaela Blaksland"/>
    <s v="USA"/>
    <x v="5"/>
    <x v="198"/>
    <n v="13248"/>
    <x v="0"/>
  </r>
  <r>
    <s v="Mallorie Waber"/>
    <s v="USA"/>
    <x v="1"/>
    <x v="198"/>
    <n v="13633"/>
    <x v="0"/>
  </r>
  <r>
    <s v="Oby Sorrel"/>
    <s v="Canada"/>
    <x v="3"/>
    <x v="198"/>
    <n v="4618"/>
    <x v="0"/>
  </r>
  <r>
    <s v="Brien Boise"/>
    <s v="Canada"/>
    <x v="3"/>
    <x v="198"/>
    <n v="13505"/>
    <x v="0"/>
  </r>
  <r>
    <s v="Gunar Cockshoot"/>
    <s v="UK"/>
    <x v="3"/>
    <x v="198"/>
    <n v="5015"/>
    <x v="0"/>
  </r>
  <r>
    <s v="Beverie Moffet"/>
    <s v="Germany"/>
    <x v="0"/>
    <x v="199"/>
    <n v="5464"/>
    <x v="0"/>
  </r>
  <r>
    <s v="Marney O'Breem"/>
    <s v="Canada"/>
    <x v="5"/>
    <x v="199"/>
    <n v="7227"/>
    <x v="0"/>
  </r>
  <r>
    <s v="Rafaela Blaksland"/>
    <s v="Germany"/>
    <x v="5"/>
    <x v="199"/>
    <n v="4381"/>
    <x v="0"/>
  </r>
  <r>
    <s v="Oby Sorrel"/>
    <s v="UK"/>
    <x v="7"/>
    <x v="199"/>
    <n v="11734"/>
    <x v="0"/>
  </r>
  <r>
    <s v="Karlen McCaffrey"/>
    <s v="China"/>
    <x v="6"/>
    <x v="199"/>
    <n v="5282"/>
    <x v="0"/>
  </r>
  <r>
    <s v="Gunar Cockshoot"/>
    <s v="China"/>
    <x v="5"/>
    <x v="200"/>
    <n v="8216"/>
    <x v="0"/>
  </r>
  <r>
    <s v="Roddy Speechley"/>
    <s v="Canada"/>
    <x v="1"/>
    <x v="200"/>
    <n v="3071"/>
    <x v="0"/>
  </r>
  <r>
    <s v="Curtice Advani"/>
    <s v="USA"/>
    <x v="2"/>
    <x v="200"/>
    <n v="7452"/>
    <x v="0"/>
  </r>
  <r>
    <s v="Jehu Rudeforth"/>
    <s v="Switzerland"/>
    <x v="2"/>
    <x v="201"/>
    <n v="11448"/>
    <x v="0"/>
  </r>
  <r>
    <s v="Gigi Bohling"/>
    <s v="USA"/>
    <x v="2"/>
    <x v="201"/>
    <n v="4125"/>
    <x v="0"/>
  </r>
  <r>
    <s v="Oby Sorrel"/>
    <s v="UK"/>
    <x v="0"/>
    <x v="202"/>
    <n v="3326"/>
    <x v="0"/>
  </r>
  <r>
    <s v="Gunar Cockshoot"/>
    <s v="Switzerland"/>
    <x v="7"/>
    <x v="202"/>
    <n v="6205"/>
    <x v="0"/>
  </r>
  <r>
    <s v="Roddy Speechley"/>
    <s v="USA"/>
    <x v="3"/>
    <x v="202"/>
    <n v="5554"/>
    <x v="0"/>
  </r>
  <r>
    <s v="Jan Morforth"/>
    <s v="Canada"/>
    <x v="4"/>
    <x v="203"/>
    <n v="13509"/>
    <x v="0"/>
  </r>
  <r>
    <s v="Karlen McCaffrey"/>
    <s v="UK"/>
    <x v="5"/>
    <x v="203"/>
    <n v="11515"/>
    <x v="0"/>
  </r>
  <r>
    <s v="Brien Boise"/>
    <s v="Switzerland"/>
    <x v="5"/>
    <x v="203"/>
    <n v="12503"/>
    <x v="0"/>
  </r>
  <r>
    <s v="Gunar Cockshoot"/>
    <s v="USA"/>
    <x v="2"/>
    <x v="203"/>
    <n v="8053"/>
    <x v="0"/>
  </r>
  <r>
    <s v="Barr Faughny"/>
    <s v="China"/>
    <x v="2"/>
    <x v="203"/>
    <n v="2003"/>
    <x v="0"/>
  </r>
  <r>
    <s v="Van Tuxwell"/>
    <s v="Canada"/>
    <x v="6"/>
    <x v="203"/>
    <n v="3559"/>
    <x v="0"/>
  </r>
  <r>
    <s v="Karlen McCaffrey"/>
    <s v="Canada"/>
    <x v="0"/>
    <x v="204"/>
    <n v="12205"/>
    <x v="0"/>
  </r>
  <r>
    <s v="Mallorie Waber"/>
    <s v="USA"/>
    <x v="2"/>
    <x v="204"/>
    <n v="13132"/>
    <x v="0"/>
  </r>
  <r>
    <s v="Karlen McCaffrey"/>
    <s v="UK"/>
    <x v="6"/>
    <x v="204"/>
    <n v="1948"/>
    <x v="0"/>
  </r>
  <r>
    <s v="Gigi Bohling"/>
    <s v="UK"/>
    <x v="0"/>
    <x v="205"/>
    <n v="5162"/>
    <x v="0"/>
  </r>
  <r>
    <s v="Curtice Advani"/>
    <s v="Canada"/>
    <x v="0"/>
    <x v="205"/>
    <n v="5305"/>
    <x v="0"/>
  </r>
  <r>
    <s v="Jehu Rudeforth"/>
    <s v="Canada"/>
    <x v="5"/>
    <x v="205"/>
    <n v="7888"/>
    <x v="0"/>
  </r>
  <r>
    <s v="Beverie Moffet"/>
    <s v="UK"/>
    <x v="6"/>
    <x v="205"/>
    <n v="11741"/>
    <x v="0"/>
  </r>
  <r>
    <s v="Jehu Rudeforth"/>
    <s v="Switzerland"/>
    <x v="2"/>
    <x v="206"/>
    <n v="2044"/>
    <x v="0"/>
  </r>
  <r>
    <s v="Roddy Speechley"/>
    <s v="Canada"/>
    <x v="3"/>
    <x v="206"/>
    <n v="2277"/>
    <x v="0"/>
  </r>
  <r>
    <s v="Marney O'Breem"/>
    <s v="China"/>
    <x v="3"/>
    <x v="206"/>
    <n v="11616"/>
    <x v="0"/>
  </r>
  <r>
    <s v="Brien Boise"/>
    <s v="UK"/>
    <x v="4"/>
    <x v="207"/>
    <n v="13461"/>
    <x v="0"/>
  </r>
  <r>
    <s v="Oby Sorrel"/>
    <s v="UK"/>
    <x v="7"/>
    <x v="207"/>
    <n v="11438"/>
    <x v="0"/>
  </r>
  <r>
    <s v="Brien Boise"/>
    <s v="UK"/>
    <x v="2"/>
    <x v="207"/>
    <n v="7386"/>
    <x v="0"/>
  </r>
  <r>
    <s v="Jehu Rudeforth"/>
    <s v="UK"/>
    <x v="0"/>
    <x v="208"/>
    <n v="3013"/>
    <x v="0"/>
  </r>
  <r>
    <s v="Roddy Speechley"/>
    <s v="Switzerland"/>
    <x v="0"/>
    <x v="208"/>
    <n v="1186"/>
    <x v="0"/>
  </r>
  <r>
    <s v="Brien Boise"/>
    <s v="China"/>
    <x v="0"/>
    <x v="208"/>
    <n v="4305"/>
    <x v="0"/>
  </r>
  <r>
    <s v="Curtice Advani"/>
    <s v="China"/>
    <x v="0"/>
    <x v="208"/>
    <n v="9765"/>
    <x v="0"/>
  </r>
  <r>
    <s v="Rafaela Blaksland"/>
    <s v="Canada"/>
    <x v="1"/>
    <x v="208"/>
    <n v="6692"/>
    <x v="0"/>
  </r>
  <r>
    <s v="Mallorie Waber"/>
    <s v="USA"/>
    <x v="1"/>
    <x v="208"/>
    <n v="7666"/>
    <x v="0"/>
  </r>
  <r>
    <s v="Karlen McCaffrey"/>
    <s v="Canada"/>
    <x v="1"/>
    <x v="208"/>
    <n v="11732"/>
    <x v="0"/>
  </r>
  <r>
    <s v="Van Tuxwell"/>
    <s v="Canada"/>
    <x v="0"/>
    <x v="209"/>
    <n v="3064"/>
    <x v="0"/>
  </r>
  <r>
    <s v="Brien Boise"/>
    <s v="USA"/>
    <x v="5"/>
    <x v="209"/>
    <n v="5717"/>
    <x v="0"/>
  </r>
  <r>
    <s v="Roddy Speechley"/>
    <s v="USA"/>
    <x v="5"/>
    <x v="209"/>
    <n v="4155"/>
    <x v="0"/>
  </r>
  <r>
    <s v="Gigi Bohling"/>
    <s v="Germany"/>
    <x v="7"/>
    <x v="209"/>
    <n v="5483"/>
    <x v="0"/>
  </r>
  <r>
    <s v="Oby Sorrel"/>
    <s v="Canada"/>
    <x v="6"/>
    <x v="209"/>
    <n v="2610"/>
    <x v="0"/>
  </r>
  <r>
    <s v="Curtice Advani"/>
    <s v="USA"/>
    <x v="1"/>
    <x v="210"/>
    <n v="10427"/>
    <x v="0"/>
  </r>
  <r>
    <s v="Jehu Rudeforth"/>
    <s v="China"/>
    <x v="7"/>
    <x v="210"/>
    <n v="10162"/>
    <x v="0"/>
  </r>
  <r>
    <s v="Jan Morforth"/>
    <s v="China"/>
    <x v="2"/>
    <x v="210"/>
    <n v="3628"/>
    <x v="0"/>
  </r>
  <r>
    <s v="Roddy Speechley"/>
    <s v="Germany"/>
    <x v="6"/>
    <x v="210"/>
    <n v="6864"/>
    <x v="0"/>
  </r>
  <r>
    <s v="Gigi Bohling"/>
    <s v="Switzerland"/>
    <x v="6"/>
    <x v="210"/>
    <n v="1810"/>
    <x v="0"/>
  </r>
  <r>
    <s v="Mallorie Waber"/>
    <s v="UK"/>
    <x v="0"/>
    <x v="211"/>
    <n v="6221"/>
    <x v="0"/>
  </r>
  <r>
    <s v="Brien Boise"/>
    <s v="China"/>
    <x v="4"/>
    <x v="211"/>
    <n v="1056"/>
    <x v="0"/>
  </r>
  <r>
    <s v="Marney O'Breem"/>
    <s v="Canada"/>
    <x v="5"/>
    <x v="211"/>
    <n v="2761"/>
    <x v="0"/>
  </r>
  <r>
    <s v="Gigi Bohling"/>
    <s v="USA"/>
    <x v="7"/>
    <x v="211"/>
    <n v="2544"/>
    <x v="0"/>
  </r>
  <r>
    <s v="Marney O'Breem"/>
    <s v="UK"/>
    <x v="6"/>
    <x v="211"/>
    <n v="10580"/>
    <x v="0"/>
  </r>
  <r>
    <s v="Gunar Cockshoot"/>
    <s v="Switzerland"/>
    <x v="6"/>
    <x v="212"/>
    <n v="2033"/>
    <x v="0"/>
  </r>
  <r>
    <s v="Mallorie Waber"/>
    <s v="Canada"/>
    <x v="6"/>
    <x v="212"/>
    <n v="7086"/>
    <x v="0"/>
  </r>
  <r>
    <s v="Curtice Advani"/>
    <s v="USA"/>
    <x v="3"/>
    <x v="212"/>
    <n v="8771"/>
    <x v="0"/>
  </r>
  <r>
    <s v="Marney O'Breem"/>
    <s v="Switzerland"/>
    <x v="3"/>
    <x v="212"/>
    <n v="12735"/>
    <x v="0"/>
  </r>
  <r>
    <s v="Beverie Moffet"/>
    <s v="Germany"/>
    <x v="6"/>
    <x v="213"/>
    <n v="10271"/>
    <x v="0"/>
  </r>
  <r>
    <s v="Jehu Rudeforth"/>
    <s v="USA"/>
    <x v="3"/>
    <x v="213"/>
    <n v="1867"/>
    <x v="0"/>
  </r>
  <r>
    <s v="Jehu Rudeforth"/>
    <s v="Germany"/>
    <x v="3"/>
    <x v="213"/>
    <n v="10631"/>
    <x v="0"/>
  </r>
  <r>
    <s v="Van Tuxwell"/>
    <s v="Switzerland"/>
    <x v="7"/>
    <x v="214"/>
    <n v="3714"/>
    <x v="0"/>
  </r>
  <r>
    <s v="Van Tuxwell"/>
    <s v="Switzerland"/>
    <x v="3"/>
    <x v="214"/>
    <n v="8593"/>
    <x v="0"/>
  </r>
  <r>
    <s v="Barr Faughny"/>
    <s v="Germany"/>
    <x v="0"/>
    <x v="215"/>
    <n v="9591"/>
    <x v="0"/>
  </r>
  <r>
    <s v="Barr Faughny"/>
    <s v="UK"/>
    <x v="0"/>
    <x v="215"/>
    <n v="10531"/>
    <x v="0"/>
  </r>
  <r>
    <s v="Rafaela Blaksland"/>
    <s v="Canada"/>
    <x v="5"/>
    <x v="215"/>
    <n v="8442"/>
    <x v="0"/>
  </r>
  <r>
    <s v="Beverie Moffet"/>
    <s v="Germany"/>
    <x v="1"/>
    <x v="215"/>
    <n v="3425"/>
    <x v="0"/>
  </r>
  <r>
    <s v="Rafaela Blaksland"/>
    <s v="Germany"/>
    <x v="6"/>
    <x v="215"/>
    <n v="3065"/>
    <x v="0"/>
  </r>
  <r>
    <s v="Mallorie Waber"/>
    <s v="Germany"/>
    <x v="0"/>
    <x v="216"/>
    <n v="12950"/>
    <x v="0"/>
  </r>
  <r>
    <s v="Rafaela Blaksland"/>
    <s v="Switzerland"/>
    <x v="0"/>
    <x v="216"/>
    <n v="9470"/>
    <x v="0"/>
  </r>
  <r>
    <s v="Beverie Moffet"/>
    <s v="UK"/>
    <x v="4"/>
    <x v="216"/>
    <n v="7136"/>
    <x v="0"/>
  </r>
  <r>
    <s v="Mallorie Waber"/>
    <s v="UK"/>
    <x v="7"/>
    <x v="216"/>
    <n v="5679"/>
    <x v="0"/>
  </r>
  <r>
    <s v="Beverie Moffet"/>
    <s v="Switzerland"/>
    <x v="3"/>
    <x v="216"/>
    <n v="11078"/>
    <x v="0"/>
  </r>
  <r>
    <s v="Curtice Advani"/>
    <s v="China"/>
    <x v="0"/>
    <x v="217"/>
    <n v="1637"/>
    <x v="0"/>
  </r>
  <r>
    <s v="Jehu Rudeforth"/>
    <s v="USA"/>
    <x v="4"/>
    <x v="217"/>
    <n v="6770"/>
    <x v="0"/>
  </r>
  <r>
    <s v="Gigi Bohling"/>
    <s v="Germany"/>
    <x v="3"/>
    <x v="217"/>
    <n v="9602"/>
    <x v="0"/>
  </r>
  <r>
    <s v="Brien Boise"/>
    <s v="USA"/>
    <x v="4"/>
    <x v="218"/>
    <n v="1086"/>
    <x v="0"/>
  </r>
  <r>
    <s v="Van Tuxwell"/>
    <s v="USA"/>
    <x v="5"/>
    <x v="218"/>
    <n v="2693"/>
    <x v="0"/>
  </r>
  <r>
    <s v="Jan Morforth"/>
    <s v="Germany"/>
    <x v="1"/>
    <x v="218"/>
    <n v="10702"/>
    <x v="0"/>
  </r>
  <r>
    <s v="Rafaela Blaksland"/>
    <s v="USA"/>
    <x v="1"/>
    <x v="218"/>
    <n v="7766"/>
    <x v="0"/>
  </r>
  <r>
    <s v="Roddy Speechley"/>
    <s v="Switzerland"/>
    <x v="1"/>
    <x v="218"/>
    <n v="2081"/>
    <x v="0"/>
  </r>
  <r>
    <s v="Mallorie Waber"/>
    <s v="China"/>
    <x v="6"/>
    <x v="218"/>
    <n v="5610"/>
    <x v="0"/>
  </r>
  <r>
    <s v="Oby Sorrel"/>
    <s v="Canada"/>
    <x v="7"/>
    <x v="219"/>
    <n v="6780"/>
    <x v="0"/>
  </r>
  <r>
    <s v="Mallorie Waber"/>
    <s v="China"/>
    <x v="6"/>
    <x v="219"/>
    <n v="3055"/>
    <x v="0"/>
  </r>
  <r>
    <s v="Roddy Speechley"/>
    <s v="Canada"/>
    <x v="0"/>
    <x v="220"/>
    <n v="3429"/>
    <x v="0"/>
  </r>
  <r>
    <s v="Barr Faughny"/>
    <s v="UK"/>
    <x v="0"/>
    <x v="220"/>
    <n v="10829"/>
    <x v="0"/>
  </r>
  <r>
    <s v="Barr Faughny"/>
    <s v="Switzerland"/>
    <x v="4"/>
    <x v="220"/>
    <n v="6750"/>
    <x v="0"/>
  </r>
  <r>
    <s v="Marney O'Breem"/>
    <s v="China"/>
    <x v="6"/>
    <x v="220"/>
    <n v="10349"/>
    <x v="0"/>
  </r>
  <r>
    <s v="Barr Faughny"/>
    <s v="China"/>
    <x v="3"/>
    <x v="220"/>
    <n v="6900"/>
    <x v="0"/>
  </r>
  <r>
    <s v="Curtice Advani"/>
    <s v="China"/>
    <x v="7"/>
    <x v="221"/>
    <n v="10863"/>
    <x v="0"/>
  </r>
  <r>
    <s v="Jehu Rudeforth"/>
    <s v="China"/>
    <x v="1"/>
    <x v="222"/>
    <n v="12421"/>
    <x v="0"/>
  </r>
  <r>
    <s v="Oby Sorrel"/>
    <s v="USA"/>
    <x v="2"/>
    <x v="222"/>
    <n v="6227"/>
    <x v="0"/>
  </r>
  <r>
    <s v="Roddy Speechley"/>
    <s v="Switzerland"/>
    <x v="3"/>
    <x v="222"/>
    <n v="10994"/>
    <x v="0"/>
  </r>
  <r>
    <s v="Mallorie Waber"/>
    <s v="Canada"/>
    <x v="7"/>
    <x v="223"/>
    <n v="8311"/>
    <x v="0"/>
  </r>
  <r>
    <s v="Oby Sorrel"/>
    <s v="Canada"/>
    <x v="6"/>
    <x v="223"/>
    <n v="3041"/>
    <x v="0"/>
  </r>
  <r>
    <s v="Rafaela Blaksland"/>
    <s v="China"/>
    <x v="3"/>
    <x v="223"/>
    <n v="3273"/>
    <x v="0"/>
  </r>
  <r>
    <s v="Brien Boise"/>
    <s v="Switzerland"/>
    <x v="4"/>
    <x v="224"/>
    <n v="7155"/>
    <x v="0"/>
  </r>
  <r>
    <s v="Curtice Advani"/>
    <s v="Germany"/>
    <x v="5"/>
    <x v="224"/>
    <n v="7403"/>
    <x v="0"/>
  </r>
  <r>
    <s v="Beverie Moffet"/>
    <s v="USA"/>
    <x v="5"/>
    <x v="224"/>
    <n v="2974"/>
    <x v="0"/>
  </r>
  <r>
    <s v="Rafaela Blaksland"/>
    <s v="UK"/>
    <x v="0"/>
    <x v="225"/>
    <n v="9827"/>
    <x v="0"/>
  </r>
  <r>
    <s v="Roddy Speechley"/>
    <s v="Germany"/>
    <x v="5"/>
    <x v="225"/>
    <n v="13052"/>
    <x v="0"/>
  </r>
  <r>
    <s v="Karlen McCaffrey"/>
    <s v="Canada"/>
    <x v="7"/>
    <x v="225"/>
    <n v="3485"/>
    <x v="0"/>
  </r>
  <r>
    <s v="Van Tuxwell"/>
    <s v="China"/>
    <x v="6"/>
    <x v="225"/>
    <n v="11364"/>
    <x v="0"/>
  </r>
  <r>
    <s v="Jan Morforth"/>
    <s v="Germany"/>
    <x v="3"/>
    <x v="225"/>
    <n v="1523"/>
    <x v="0"/>
  </r>
  <r>
    <s v="Roddy Speechley"/>
    <s v="China"/>
    <x v="4"/>
    <x v="226"/>
    <n v="11274"/>
    <x v="0"/>
  </r>
  <r>
    <s v="Brien Boise"/>
    <s v="Canada"/>
    <x v="1"/>
    <x v="226"/>
    <n v="6117"/>
    <x v="0"/>
  </r>
  <r>
    <s v="Jan Morforth"/>
    <s v="USA"/>
    <x v="1"/>
    <x v="226"/>
    <n v="2823"/>
    <x v="0"/>
  </r>
  <r>
    <s v="Barr Faughny"/>
    <s v="Canada"/>
    <x v="1"/>
    <x v="227"/>
    <n v="9363"/>
    <x v="0"/>
  </r>
  <r>
    <s v="Gunar Cockshoot"/>
    <s v="UK"/>
    <x v="7"/>
    <x v="227"/>
    <n v="6838"/>
    <x v="0"/>
  </r>
  <r>
    <s v="Curtice Advani"/>
    <s v="Canada"/>
    <x v="6"/>
    <x v="227"/>
    <n v="11031"/>
    <x v="0"/>
  </r>
  <r>
    <s v="Roddy Speechley"/>
    <s v="Germany"/>
    <x v="5"/>
    <x v="228"/>
    <n v="12514"/>
    <x v="0"/>
  </r>
  <r>
    <s v="Jehu Rudeforth"/>
    <s v="UK"/>
    <x v="1"/>
    <x v="228"/>
    <n v="7132"/>
    <x v="0"/>
  </r>
  <r>
    <s v="Van Tuxwell"/>
    <s v="USA"/>
    <x v="2"/>
    <x v="228"/>
    <n v="4766"/>
    <x v="0"/>
  </r>
  <r>
    <s v="Barr Faughny"/>
    <s v="UK"/>
    <x v="7"/>
    <x v="229"/>
    <n v="11844"/>
    <x v="0"/>
  </r>
  <r>
    <s v="Curtice Advani"/>
    <s v="UK"/>
    <x v="3"/>
    <x v="229"/>
    <n v="9443"/>
    <x v="0"/>
  </r>
  <r>
    <s v="Karlen McCaffrey"/>
    <s v="China"/>
    <x v="0"/>
    <x v="230"/>
    <n v="12791"/>
    <x v="0"/>
  </r>
  <r>
    <s v="Curtice Advani"/>
    <s v="China"/>
    <x v="1"/>
    <x v="230"/>
    <n v="13779"/>
    <x v="0"/>
  </r>
  <r>
    <s v="Jan Morforth"/>
    <s v="Germany"/>
    <x v="0"/>
    <x v="231"/>
    <n v="9320"/>
    <x v="0"/>
  </r>
  <r>
    <s v="Gunar Cockshoot"/>
    <s v="Germany"/>
    <x v="4"/>
    <x v="231"/>
    <n v="8702"/>
    <x v="0"/>
  </r>
  <r>
    <s v="Marney O'Breem"/>
    <s v="USA"/>
    <x v="5"/>
    <x v="231"/>
    <n v="13489"/>
    <x v="0"/>
  </r>
  <r>
    <s v="Mallorie Waber"/>
    <s v="UK"/>
    <x v="2"/>
    <x v="231"/>
    <n v="1789"/>
    <x v="0"/>
  </r>
  <r>
    <s v="Roddy Speechley"/>
    <s v="UK"/>
    <x v="6"/>
    <x v="231"/>
    <n v="2096"/>
    <x v="0"/>
  </r>
  <r>
    <s v="Jan Morforth"/>
    <s v="Canada"/>
    <x v="6"/>
    <x v="231"/>
    <n v="2604"/>
    <x v="0"/>
  </r>
  <r>
    <s v="Gigi Bohling"/>
    <s v="Switzerland"/>
    <x v="2"/>
    <x v="232"/>
    <n v="10520"/>
    <x v="0"/>
  </r>
  <r>
    <s v="Jehu Rudeforth"/>
    <s v="Germany"/>
    <x v="1"/>
    <x v="233"/>
    <n v="4063"/>
    <x v="0"/>
  </r>
  <r>
    <s v="Karlen McCaffrey"/>
    <s v="USA"/>
    <x v="7"/>
    <x v="233"/>
    <n v="6521"/>
    <x v="0"/>
  </r>
  <r>
    <s v="Marney O'Breem"/>
    <s v="USA"/>
    <x v="7"/>
    <x v="233"/>
    <n v="3851"/>
    <x v="0"/>
  </r>
  <r>
    <s v="Beverie Moffet"/>
    <s v="UK"/>
    <x v="4"/>
    <x v="234"/>
    <n v="6661"/>
    <x v="0"/>
  </r>
  <r>
    <s v="Barr Faughny"/>
    <s v="China"/>
    <x v="5"/>
    <x v="234"/>
    <n v="10292"/>
    <x v="0"/>
  </r>
  <r>
    <s v="Curtice Advani"/>
    <s v="Germany"/>
    <x v="3"/>
    <x v="234"/>
    <n v="13632"/>
    <x v="0"/>
  </r>
  <r>
    <s v="Mallorie Waber"/>
    <s v="USA"/>
    <x v="3"/>
    <x v="234"/>
    <n v="12618"/>
    <x v="0"/>
  </r>
  <r>
    <s v="Brien Boise"/>
    <s v="Switzerland"/>
    <x v="3"/>
    <x v="234"/>
    <n v="8494"/>
    <x v="0"/>
  </r>
  <r>
    <s v="Beverie Moffet"/>
    <s v="Switzerland"/>
    <x v="7"/>
    <x v="235"/>
    <n v="11435"/>
    <x v="0"/>
  </r>
  <r>
    <s v="Marney O'Breem"/>
    <s v="Switzerland"/>
    <x v="3"/>
    <x v="235"/>
    <n v="7519"/>
    <x v="0"/>
  </r>
  <r>
    <s v="Karlen McCaffrey"/>
    <s v="USA"/>
    <x v="0"/>
    <x v="236"/>
    <n v="8108"/>
    <x v="0"/>
  </r>
  <r>
    <s v="Gunar Cockshoot"/>
    <s v="Switzerland"/>
    <x v="7"/>
    <x v="236"/>
    <n v="10004"/>
    <x v="0"/>
  </r>
  <r>
    <s v="Jehu Rudeforth"/>
    <s v="USA"/>
    <x v="2"/>
    <x v="236"/>
    <n v="9463"/>
    <x v="0"/>
  </r>
  <r>
    <s v="Gunar Cockshoot"/>
    <s v="UK"/>
    <x v="3"/>
    <x v="236"/>
    <n v="10548"/>
    <x v="0"/>
  </r>
  <r>
    <s v="Van Tuxwell"/>
    <s v="Switzerland"/>
    <x v="7"/>
    <x v="237"/>
    <n v="8422"/>
    <x v="0"/>
  </r>
  <r>
    <s v="Jehu Rudeforth"/>
    <s v="Germany"/>
    <x v="2"/>
    <x v="237"/>
    <n v="6519"/>
    <x v="0"/>
  </r>
  <r>
    <s v="Oby Sorrel"/>
    <s v="Germany"/>
    <x v="0"/>
    <x v="238"/>
    <n v="7815"/>
    <x v="0"/>
  </r>
  <r>
    <s v="Brien Boise"/>
    <s v="Canada"/>
    <x v="4"/>
    <x v="238"/>
    <n v="8693"/>
    <x v="0"/>
  </r>
  <r>
    <s v="Van Tuxwell"/>
    <s v="China"/>
    <x v="5"/>
    <x v="238"/>
    <n v="13952"/>
    <x v="0"/>
  </r>
  <r>
    <s v="Van Tuxwell"/>
    <s v="USA"/>
    <x v="7"/>
    <x v="238"/>
    <n v="8570"/>
    <x v="0"/>
  </r>
  <r>
    <s v="Rafaela Blaksland"/>
    <s v="USA"/>
    <x v="7"/>
    <x v="238"/>
    <n v="1055"/>
    <x v="0"/>
  </r>
  <r>
    <s v="Mallorie Waber"/>
    <s v="UK"/>
    <x v="6"/>
    <x v="238"/>
    <n v="7025"/>
    <x v="0"/>
  </r>
  <r>
    <s v="Beverie Moffet"/>
    <s v="Canada"/>
    <x v="6"/>
    <x v="238"/>
    <n v="5355"/>
    <x v="0"/>
  </r>
  <r>
    <s v="Curtice Advani"/>
    <s v="Switzerland"/>
    <x v="6"/>
    <x v="238"/>
    <n v="1718"/>
    <x v="0"/>
  </r>
  <r>
    <s v="Van Tuxwell"/>
    <s v="China"/>
    <x v="3"/>
    <x v="238"/>
    <n v="6444"/>
    <x v="0"/>
  </r>
  <r>
    <s v="Marney O'Breem"/>
    <s v="China"/>
    <x v="5"/>
    <x v="239"/>
    <n v="7837"/>
    <x v="0"/>
  </r>
  <r>
    <s v="Curtice Advani"/>
    <s v="Switzerland"/>
    <x v="6"/>
    <x v="239"/>
    <n v="13502"/>
    <x v="0"/>
  </r>
  <r>
    <s v="Roddy Speechley"/>
    <s v="Switzerland"/>
    <x v="4"/>
    <x v="240"/>
    <n v="13574"/>
    <x v="0"/>
  </r>
  <r>
    <s v="Curtice Advani"/>
    <s v="China"/>
    <x v="5"/>
    <x v="240"/>
    <n v="7531"/>
    <x v="0"/>
  </r>
  <r>
    <s v="Gigi Bohling"/>
    <s v="Canada"/>
    <x v="5"/>
    <x v="240"/>
    <n v="10203"/>
    <x v="0"/>
  </r>
  <r>
    <s v="Jan Morforth"/>
    <s v="Switzerland"/>
    <x v="1"/>
    <x v="240"/>
    <n v="8552"/>
    <x v="0"/>
  </r>
  <r>
    <s v="Roddy Speechley"/>
    <s v="Switzerland"/>
    <x v="7"/>
    <x v="240"/>
    <n v="3218"/>
    <x v="0"/>
  </r>
  <r>
    <s v="Karlen McCaffrey"/>
    <s v="Canada"/>
    <x v="2"/>
    <x v="241"/>
    <n v="1402"/>
    <x v="0"/>
  </r>
  <r>
    <s v="Rafaela Blaksland"/>
    <s v="Canada"/>
    <x v="6"/>
    <x v="242"/>
    <n v="11855"/>
    <x v="0"/>
  </r>
  <r>
    <s v="Jehu Rudeforth"/>
    <s v="UK"/>
    <x v="6"/>
    <x v="242"/>
    <n v="9596"/>
    <x v="0"/>
  </r>
  <r>
    <s v="Gunar Cockshoot"/>
    <s v="UK"/>
    <x v="3"/>
    <x v="243"/>
    <n v="3759"/>
    <x v="0"/>
  </r>
  <r>
    <s v="Curtice Advani"/>
    <s v="USA"/>
    <x v="3"/>
    <x v="243"/>
    <n v="3248"/>
    <x v="0"/>
  </r>
  <r>
    <s v="Beverie Moffet"/>
    <s v="China"/>
    <x v="1"/>
    <x v="244"/>
    <n v="12794"/>
    <x v="0"/>
  </r>
  <r>
    <s v="Roddy Speechley"/>
    <s v="China"/>
    <x v="6"/>
    <x v="244"/>
    <n v="4917"/>
    <x v="0"/>
  </r>
  <r>
    <s v="Karlen McCaffrey"/>
    <s v="China"/>
    <x v="4"/>
    <x v="245"/>
    <n v="2237"/>
    <x v="0"/>
  </r>
  <r>
    <s v="Karlen McCaffrey"/>
    <s v="Germany"/>
    <x v="7"/>
    <x v="245"/>
    <n v="7303"/>
    <x v="0"/>
  </r>
  <r>
    <s v="Curtice Advani"/>
    <s v="Switzerland"/>
    <x v="6"/>
    <x v="245"/>
    <n v="3937"/>
    <x v="0"/>
  </r>
  <r>
    <s v="Curtice Advani"/>
    <s v="Switzerland"/>
    <x v="6"/>
    <x v="245"/>
    <n v="13243"/>
    <x v="0"/>
  </r>
  <r>
    <s v="Gunar Cockshoot"/>
    <s v="USA"/>
    <x v="3"/>
    <x v="245"/>
    <n v="5355"/>
    <x v="0"/>
  </r>
  <r>
    <s v="Barr Faughny"/>
    <s v="Canada"/>
    <x v="4"/>
    <x v="246"/>
    <n v="2201"/>
    <x v="0"/>
  </r>
  <r>
    <s v="Jan Morforth"/>
    <s v="USA"/>
    <x v="6"/>
    <x v="246"/>
    <n v="5211"/>
    <x v="0"/>
  </r>
  <r>
    <s v="Karlen McCaffrey"/>
    <s v="China"/>
    <x v="0"/>
    <x v="247"/>
    <n v="13400"/>
    <x v="0"/>
  </r>
  <r>
    <s v="Van Tuxwell"/>
    <s v="Switzerland"/>
    <x v="0"/>
    <x v="247"/>
    <n v="10774"/>
    <x v="0"/>
  </r>
  <r>
    <s v="Jehu Rudeforth"/>
    <s v="UK"/>
    <x v="4"/>
    <x v="247"/>
    <n v="6943"/>
    <x v="0"/>
  </r>
  <r>
    <s v="Roddy Speechley"/>
    <s v="USA"/>
    <x v="5"/>
    <x v="247"/>
    <n v="2848"/>
    <x v="0"/>
  </r>
  <r>
    <s v="Mallorie Waber"/>
    <s v="Switzerland"/>
    <x v="1"/>
    <x v="247"/>
    <n v="10262"/>
    <x v="0"/>
  </r>
  <r>
    <s v="Curtice Advani"/>
    <s v="UK"/>
    <x v="7"/>
    <x v="247"/>
    <n v="1234"/>
    <x v="0"/>
  </r>
  <r>
    <s v="Rafaela Blaksland"/>
    <s v="Germany"/>
    <x v="6"/>
    <x v="247"/>
    <n v="3617"/>
    <x v="0"/>
  </r>
  <r>
    <s v="Oby Sorrel"/>
    <s v="UK"/>
    <x v="5"/>
    <x v="248"/>
    <n v="6394"/>
    <x v="0"/>
  </r>
  <r>
    <s v="Marney O'Breem"/>
    <s v="China"/>
    <x v="3"/>
    <x v="248"/>
    <n v="2599"/>
    <x v="0"/>
  </r>
  <r>
    <s v="Brien Boise"/>
    <s v="Germany"/>
    <x v="4"/>
    <x v="249"/>
    <n v="12251"/>
    <x v="0"/>
  </r>
  <r>
    <s v="Beverie Moffet"/>
    <s v="UK"/>
    <x v="5"/>
    <x v="249"/>
    <n v="1165"/>
    <x v="0"/>
  </r>
  <r>
    <s v="Gigi Bohling"/>
    <s v="Canada"/>
    <x v="1"/>
    <x v="249"/>
    <n v="1558"/>
    <x v="0"/>
  </r>
  <r>
    <s v="Barr Faughny"/>
    <s v="USA"/>
    <x v="6"/>
    <x v="249"/>
    <n v="2726"/>
    <x v="0"/>
  </r>
  <r>
    <s v="Oby Sorrel"/>
    <s v="UK"/>
    <x v="4"/>
    <x v="250"/>
    <n v="13500"/>
    <x v="0"/>
  </r>
  <r>
    <s v="Brien Boise"/>
    <s v="UK"/>
    <x v="5"/>
    <x v="250"/>
    <n v="6990"/>
    <x v="0"/>
  </r>
  <r>
    <s v="Van Tuxwell"/>
    <s v="USA"/>
    <x v="1"/>
    <x v="250"/>
    <n v="3080"/>
    <x v="0"/>
  </r>
  <r>
    <s v="Rafaela Blaksland"/>
    <s v="Canada"/>
    <x v="7"/>
    <x v="250"/>
    <n v="6733"/>
    <x v="0"/>
  </r>
  <r>
    <s v="Barr Faughny"/>
    <s v="UK"/>
    <x v="4"/>
    <x v="251"/>
    <n v="8746"/>
    <x v="0"/>
  </r>
  <r>
    <s v="Brien Boise"/>
    <s v="Germany"/>
    <x v="2"/>
    <x v="251"/>
    <n v="6598"/>
    <x v="0"/>
  </r>
  <r>
    <s v="Brien Boise"/>
    <s v="UK"/>
    <x v="3"/>
    <x v="251"/>
    <n v="7009"/>
    <x v="0"/>
  </r>
  <r>
    <s v="Gunar Cockshoot"/>
    <s v="Germany"/>
    <x v="5"/>
    <x v="252"/>
    <n v="12321"/>
    <x v="0"/>
  </r>
  <r>
    <s v="Karlen McCaffrey"/>
    <s v="Canada"/>
    <x v="3"/>
    <x v="252"/>
    <n v="1989"/>
    <x v="0"/>
  </r>
  <r>
    <s v="Rafaela Blaksland"/>
    <s v="Switzerland"/>
    <x v="0"/>
    <x v="253"/>
    <n v="8632"/>
    <x v="0"/>
  </r>
  <r>
    <s v="Mallorie Waber"/>
    <s v="Canada"/>
    <x v="4"/>
    <x v="253"/>
    <n v="10924"/>
    <x v="0"/>
  </r>
  <r>
    <s v="Barr Faughny"/>
    <s v="Canada"/>
    <x v="4"/>
    <x v="253"/>
    <n v="4544"/>
    <x v="0"/>
  </r>
  <r>
    <s v="Jan Morforth"/>
    <s v="Germany"/>
    <x v="4"/>
    <x v="253"/>
    <n v="4241"/>
    <x v="0"/>
  </r>
  <r>
    <s v="Van Tuxwell"/>
    <s v="Germany"/>
    <x v="1"/>
    <x v="253"/>
    <n v="7038"/>
    <x v="0"/>
  </r>
  <r>
    <s v="Brien Boise"/>
    <s v="Switzerland"/>
    <x v="2"/>
    <x v="253"/>
    <n v="8532"/>
    <x v="0"/>
  </r>
  <r>
    <s v="Jan Morforth"/>
    <s v="Switzerland"/>
    <x v="3"/>
    <x v="253"/>
    <n v="6783"/>
    <x v="0"/>
  </r>
  <r>
    <s v="Jehu Rudeforth"/>
    <s v="Switzerland"/>
    <x v="3"/>
    <x v="254"/>
    <n v="11744"/>
    <x v="0"/>
  </r>
  <r>
    <s v="Brien Boise"/>
    <s v="UK"/>
    <x v="4"/>
    <x v="255"/>
    <n v="9834"/>
    <x v="0"/>
  </r>
  <r>
    <s v="Roddy Speechley"/>
    <s v="USA"/>
    <x v="2"/>
    <x v="255"/>
    <n v="2907"/>
    <x v="0"/>
  </r>
  <r>
    <s v="Jan Morforth"/>
    <s v="UK"/>
    <x v="6"/>
    <x v="255"/>
    <n v="8978"/>
    <x v="0"/>
  </r>
  <r>
    <s v="Karlen McCaffrey"/>
    <s v="Germany"/>
    <x v="1"/>
    <x v="256"/>
    <n v="4775"/>
    <x v="0"/>
  </r>
  <r>
    <s v="Jan Morforth"/>
    <s v="UK"/>
    <x v="1"/>
    <x v="256"/>
    <n v="1463"/>
    <x v="0"/>
  </r>
  <r>
    <s v="Gigi Bohling"/>
    <s v="Canada"/>
    <x v="2"/>
    <x v="256"/>
    <n v="12153"/>
    <x v="0"/>
  </r>
  <r>
    <s v="Roddy Speechley"/>
    <s v="China"/>
    <x v="3"/>
    <x v="256"/>
    <n v="5418"/>
    <x v="0"/>
  </r>
  <r>
    <s v="Roddy Speechley"/>
    <s v="Germany"/>
    <x v="4"/>
    <x v="257"/>
    <n v="11101"/>
    <x v="0"/>
  </r>
  <r>
    <s v="Brien Boise"/>
    <s v="UK"/>
    <x v="4"/>
    <x v="257"/>
    <n v="8294"/>
    <x v="0"/>
  </r>
  <r>
    <s v="Barr Faughny"/>
    <s v="Canada"/>
    <x v="5"/>
    <x v="257"/>
    <n v="10339"/>
    <x v="0"/>
  </r>
  <r>
    <s v="Gigi Bohling"/>
    <s v="USA"/>
    <x v="5"/>
    <x v="257"/>
    <n v="12774"/>
    <x v="0"/>
  </r>
  <r>
    <s v="Gunar Cockshoot"/>
    <s v="Canada"/>
    <x v="2"/>
    <x v="257"/>
    <n v="5526"/>
    <x v="0"/>
  </r>
  <r>
    <s v="Gigi Bohling"/>
    <s v="Canada"/>
    <x v="6"/>
    <x v="257"/>
    <n v="11767"/>
    <x v="0"/>
  </r>
  <r>
    <s v="Beverie Moffet"/>
    <s v="UK"/>
    <x v="0"/>
    <x v="258"/>
    <n v="5468"/>
    <x v="0"/>
  </r>
  <r>
    <s v="Oby Sorrel"/>
    <s v="Canada"/>
    <x v="0"/>
    <x v="258"/>
    <n v="2834"/>
    <x v="0"/>
  </r>
  <r>
    <s v="Jan Morforth"/>
    <s v="Germany"/>
    <x v="5"/>
    <x v="258"/>
    <n v="7116"/>
    <x v="0"/>
  </r>
  <r>
    <s v="Gunar Cockshoot"/>
    <s v="Canada"/>
    <x v="6"/>
    <x v="258"/>
    <n v="11586"/>
    <x v="0"/>
  </r>
  <r>
    <s v="Mallorie Waber"/>
    <s v="Germany"/>
    <x v="5"/>
    <x v="259"/>
    <n v="13952"/>
    <x v="0"/>
  </r>
  <r>
    <s v="Karlen McCaffrey"/>
    <s v="Germany"/>
    <x v="1"/>
    <x v="259"/>
    <n v="4497"/>
    <x v="0"/>
  </r>
  <r>
    <s v="Gigi Bohling"/>
    <s v="Switzerland"/>
    <x v="1"/>
    <x v="259"/>
    <n v="8321"/>
    <x v="0"/>
  </r>
  <r>
    <s v="Gunar Cockshoot"/>
    <s v="USA"/>
    <x v="3"/>
    <x v="259"/>
    <n v="4097"/>
    <x v="0"/>
  </r>
  <r>
    <s v="Karlen McCaffrey"/>
    <s v="Germany"/>
    <x v="0"/>
    <x v="260"/>
    <n v="10614"/>
    <x v="0"/>
  </r>
  <r>
    <s v="Brien Boise"/>
    <s v="USA"/>
    <x v="4"/>
    <x v="260"/>
    <n v="9727"/>
    <x v="0"/>
  </r>
  <r>
    <s v="Roddy Speechley"/>
    <s v="Canada"/>
    <x v="5"/>
    <x v="260"/>
    <n v="4233"/>
    <x v="0"/>
  </r>
  <r>
    <s v="Rafaela Blaksland"/>
    <s v="Germany"/>
    <x v="2"/>
    <x v="260"/>
    <n v="2172"/>
    <x v="0"/>
  </r>
  <r>
    <s v="Curtice Advani"/>
    <s v="USA"/>
    <x v="6"/>
    <x v="260"/>
    <n v="13375"/>
    <x v="0"/>
  </r>
  <r>
    <s v="Roddy Speechley"/>
    <s v="USA"/>
    <x v="6"/>
    <x v="260"/>
    <n v="10455"/>
    <x v="0"/>
  </r>
  <r>
    <s v="Oby Sorrel"/>
    <s v="USA"/>
    <x v="2"/>
    <x v="261"/>
    <n v="10748"/>
    <x v="0"/>
  </r>
  <r>
    <s v="Van Tuxwell"/>
    <s v="Canada"/>
    <x v="5"/>
    <x v="262"/>
    <n v="1947"/>
    <x v="0"/>
  </r>
  <r>
    <s v="Rafaela Blaksland"/>
    <s v="USA"/>
    <x v="7"/>
    <x v="262"/>
    <n v="1977"/>
    <x v="0"/>
  </r>
  <r>
    <s v="Gigi Bohling"/>
    <s v="Switzerland"/>
    <x v="7"/>
    <x v="262"/>
    <n v="4819"/>
    <x v="0"/>
  </r>
  <r>
    <s v="Rafaela Blaksland"/>
    <s v="Switzerland"/>
    <x v="2"/>
    <x v="262"/>
    <n v="12960"/>
    <x v="0"/>
  </r>
  <r>
    <s v="Jan Morforth"/>
    <s v="UK"/>
    <x v="3"/>
    <x v="262"/>
    <n v="1404"/>
    <x v="0"/>
  </r>
  <r>
    <s v="Gunar Cockshoot"/>
    <s v="Switzerland"/>
    <x v="3"/>
    <x v="263"/>
    <n v="10356"/>
    <x v="0"/>
  </r>
  <r>
    <s v="Curtice Advani"/>
    <s v="USA"/>
    <x v="3"/>
    <x v="263"/>
    <n v="12849"/>
    <x v="0"/>
  </r>
  <r>
    <s v="Jan Morforth"/>
    <s v="Canada"/>
    <x v="1"/>
    <x v="264"/>
    <n v="1600"/>
    <x v="0"/>
  </r>
  <r>
    <s v="Jehu Rudeforth"/>
    <s v="Switzerland"/>
    <x v="1"/>
    <x v="264"/>
    <n v="4140"/>
    <x v="0"/>
  </r>
  <r>
    <s v="Gigi Bohling"/>
    <s v="China"/>
    <x v="7"/>
    <x v="264"/>
    <n v="2016"/>
    <x v="0"/>
  </r>
  <r>
    <s v="Jan Morforth"/>
    <s v="Germany"/>
    <x v="6"/>
    <x v="264"/>
    <n v="3448"/>
    <x v="0"/>
  </r>
  <r>
    <s v="Barr Faughny"/>
    <s v="UK"/>
    <x v="7"/>
    <x v="265"/>
    <n v="1363"/>
    <x v="0"/>
  </r>
  <r>
    <s v="Curtice Advani"/>
    <s v="Canada"/>
    <x v="4"/>
    <x v="266"/>
    <n v="4358"/>
    <x v="0"/>
  </r>
  <r>
    <s v="Jehu Rudeforth"/>
    <s v="Switzerland"/>
    <x v="1"/>
    <x v="266"/>
    <n v="3663"/>
    <x v="0"/>
  </r>
  <r>
    <s v="Jan Morforth"/>
    <s v="China"/>
    <x v="7"/>
    <x v="266"/>
    <n v="1789"/>
    <x v="0"/>
  </r>
  <r>
    <s v="Oby Sorrel"/>
    <s v="USA"/>
    <x v="3"/>
    <x v="266"/>
    <n v="13578"/>
    <x v="0"/>
  </r>
  <r>
    <s v="Mallorie Waber"/>
    <s v="Switzerland"/>
    <x v="5"/>
    <x v="267"/>
    <n v="10908"/>
    <x v="0"/>
  </r>
  <r>
    <s v="Mallorie Waber"/>
    <s v="Canada"/>
    <x v="5"/>
    <x v="267"/>
    <n v="7691"/>
    <x v="0"/>
  </r>
  <r>
    <s v="Van Tuxwell"/>
    <s v="Switzerland"/>
    <x v="1"/>
    <x v="267"/>
    <n v="11738"/>
    <x v="0"/>
  </r>
  <r>
    <s v="Mallorie Waber"/>
    <s v="USA"/>
    <x v="1"/>
    <x v="267"/>
    <n v="11351"/>
    <x v="0"/>
  </r>
  <r>
    <s v="Karlen McCaffrey"/>
    <s v="Canada"/>
    <x v="1"/>
    <x v="267"/>
    <n v="7120"/>
    <x v="0"/>
  </r>
  <r>
    <s v="Mallorie Waber"/>
    <s v="Germany"/>
    <x v="7"/>
    <x v="267"/>
    <n v="5923"/>
    <x v="0"/>
  </r>
  <r>
    <s v="Karlen McCaffrey"/>
    <s v="UK"/>
    <x v="2"/>
    <x v="267"/>
    <n v="12683"/>
    <x v="0"/>
  </r>
  <r>
    <s v="Jehu Rudeforth"/>
    <s v="Switzerland"/>
    <x v="3"/>
    <x v="267"/>
    <n v="11900"/>
    <x v="0"/>
  </r>
  <r>
    <s v="Rafaela Blaksland"/>
    <s v="USA"/>
    <x v="0"/>
    <x v="268"/>
    <n v="5163"/>
    <x v="0"/>
  </r>
  <r>
    <s v="Oby Sorrel"/>
    <s v="Switzerland"/>
    <x v="2"/>
    <x v="269"/>
    <n v="9233"/>
    <x v="0"/>
  </r>
  <r>
    <s v="Beverie Moffet"/>
    <s v="China"/>
    <x v="0"/>
    <x v="270"/>
    <n v="8028"/>
    <x v="0"/>
  </r>
  <r>
    <s v="Beverie Moffet"/>
    <s v="Canada"/>
    <x v="0"/>
    <x v="270"/>
    <n v="12915"/>
    <x v="0"/>
  </r>
  <r>
    <s v="Oby Sorrel"/>
    <s v="China"/>
    <x v="4"/>
    <x v="270"/>
    <n v="12350"/>
    <x v="0"/>
  </r>
  <r>
    <s v="Brien Boise"/>
    <s v="UK"/>
    <x v="1"/>
    <x v="270"/>
    <n v="12540"/>
    <x v="0"/>
  </r>
  <r>
    <s v="Beverie Moffet"/>
    <s v="UK"/>
    <x v="4"/>
    <x v="271"/>
    <n v="4201"/>
    <x v="0"/>
  </r>
  <r>
    <s v="Jan Morforth"/>
    <s v="Germany"/>
    <x v="5"/>
    <x v="272"/>
    <n v="12880"/>
    <x v="0"/>
  </r>
  <r>
    <s v="Oby Sorrel"/>
    <s v="Canada"/>
    <x v="1"/>
    <x v="272"/>
    <n v="8516"/>
    <x v="0"/>
  </r>
  <r>
    <s v="Curtice Advani"/>
    <s v="Switzerland"/>
    <x v="7"/>
    <x v="272"/>
    <n v="2729"/>
    <x v="0"/>
  </r>
  <r>
    <s v="Jan Morforth"/>
    <s v="Canada"/>
    <x v="0"/>
    <x v="273"/>
    <n v="13502"/>
    <x v="0"/>
  </r>
  <r>
    <s v="Gigi Bohling"/>
    <s v="Canada"/>
    <x v="6"/>
    <x v="273"/>
    <n v="3888"/>
    <x v="0"/>
  </r>
  <r>
    <s v="Beverie Moffet"/>
    <s v="Germany"/>
    <x v="0"/>
    <x v="274"/>
    <n v="6709"/>
    <x v="0"/>
  </r>
  <r>
    <s v="Karlen McCaffrey"/>
    <s v="China"/>
    <x v="1"/>
    <x v="274"/>
    <n v="8547"/>
    <x v="0"/>
  </r>
  <r>
    <s v="Beverie Moffet"/>
    <s v="Switzerland"/>
    <x v="2"/>
    <x v="274"/>
    <n v="4571"/>
    <x v="0"/>
  </r>
  <r>
    <s v="Rafaela Blaksland"/>
    <s v="Canada"/>
    <x v="0"/>
    <x v="275"/>
    <n v="11953"/>
    <x v="0"/>
  </r>
  <r>
    <s v="Marney O'Breem"/>
    <s v="Germany"/>
    <x v="0"/>
    <x v="275"/>
    <n v="11708"/>
    <x v="0"/>
  </r>
  <r>
    <s v="Curtice Advani"/>
    <s v="China"/>
    <x v="7"/>
    <x v="275"/>
    <n v="6039"/>
    <x v="0"/>
  </r>
  <r>
    <s v="Curtice Advani"/>
    <s v="Canada"/>
    <x v="6"/>
    <x v="275"/>
    <n v="6862"/>
    <x v="0"/>
  </r>
  <r>
    <s v="Roddy Speechley"/>
    <s v="UK"/>
    <x v="3"/>
    <x v="275"/>
    <n v="8719"/>
    <x v="0"/>
  </r>
  <r>
    <s v="Marney O'Breem"/>
    <s v="USA"/>
    <x v="3"/>
    <x v="275"/>
    <n v="11673"/>
    <x v="0"/>
  </r>
  <r>
    <s v="Gigi Bohling"/>
    <s v="Canada"/>
    <x v="1"/>
    <x v="276"/>
    <n v="11792"/>
    <x v="0"/>
  </r>
  <r>
    <s v="Marney O'Breem"/>
    <s v="Switzerland"/>
    <x v="7"/>
    <x v="276"/>
    <n v="7634"/>
    <x v="0"/>
  </r>
  <r>
    <s v="Gunar Cockshoot"/>
    <s v="Germany"/>
    <x v="6"/>
    <x v="276"/>
    <n v="10103"/>
    <x v="0"/>
  </r>
  <r>
    <s v="Mallorie Waber"/>
    <s v="China"/>
    <x v="1"/>
    <x v="277"/>
    <n v="6624"/>
    <x v="0"/>
  </r>
  <r>
    <s v="Beverie Moffet"/>
    <s v="Germany"/>
    <x v="1"/>
    <x v="277"/>
    <n v="11004"/>
    <x v="0"/>
  </r>
  <r>
    <s v="Marney O'Breem"/>
    <s v="Canada"/>
    <x v="1"/>
    <x v="277"/>
    <n v="7179"/>
    <x v="0"/>
  </r>
  <r>
    <s v="Beverie Moffet"/>
    <s v="UK"/>
    <x v="6"/>
    <x v="277"/>
    <n v="11541"/>
    <x v="0"/>
  </r>
  <r>
    <s v="Brien Boise"/>
    <s v="UK"/>
    <x v="0"/>
    <x v="278"/>
    <n v="8400"/>
    <x v="0"/>
  </r>
  <r>
    <s v="Rafaela Blaksland"/>
    <s v="Germany"/>
    <x v="0"/>
    <x v="278"/>
    <n v="1554"/>
    <x v="0"/>
  </r>
  <r>
    <s v="Curtice Advani"/>
    <s v="Germany"/>
    <x v="4"/>
    <x v="278"/>
    <n v="10467"/>
    <x v="0"/>
  </r>
  <r>
    <s v="Oby Sorrel"/>
    <s v="Canada"/>
    <x v="5"/>
    <x v="278"/>
    <n v="1562"/>
    <x v="0"/>
  </r>
  <r>
    <s v="Gigi Bohling"/>
    <s v="Germany"/>
    <x v="1"/>
    <x v="278"/>
    <n v="11882"/>
    <x v="0"/>
  </r>
  <r>
    <s v="Roddy Speechley"/>
    <s v="UK"/>
    <x v="2"/>
    <x v="278"/>
    <n v="2303"/>
    <x v="0"/>
  </r>
  <r>
    <s v="Barr Faughny"/>
    <s v="UK"/>
    <x v="6"/>
    <x v="278"/>
    <n v="8882"/>
    <x v="0"/>
  </r>
  <r>
    <s v="Mallorie Waber"/>
    <s v="Germany"/>
    <x v="3"/>
    <x v="278"/>
    <n v="6272"/>
    <x v="0"/>
  </r>
  <r>
    <s v="Brien Boise"/>
    <s v="UK"/>
    <x v="0"/>
    <x v="279"/>
    <n v="11715"/>
    <x v="0"/>
  </r>
  <r>
    <s v="Van Tuxwell"/>
    <s v="China"/>
    <x v="6"/>
    <x v="279"/>
    <n v="8816"/>
    <x v="0"/>
  </r>
  <r>
    <s v="Karlen McCaffrey"/>
    <s v="China"/>
    <x v="4"/>
    <x v="280"/>
    <n v="5871"/>
    <x v="0"/>
  </r>
  <r>
    <s v="Brien Boise"/>
    <s v="UK"/>
    <x v="2"/>
    <x v="280"/>
    <n v="4345"/>
    <x v="0"/>
  </r>
  <r>
    <s v="Barr Faughny"/>
    <s v="Germany"/>
    <x v="3"/>
    <x v="280"/>
    <n v="3922"/>
    <x v="0"/>
  </r>
  <r>
    <s v="Karlen McCaffrey"/>
    <s v="Canada"/>
    <x v="0"/>
    <x v="281"/>
    <n v="5550"/>
    <x v="0"/>
  </r>
  <r>
    <s v="Rafaela Blaksland"/>
    <s v="UK"/>
    <x v="0"/>
    <x v="281"/>
    <n v="9664"/>
    <x v="0"/>
  </r>
  <r>
    <s v="Beverie Moffet"/>
    <s v="USA"/>
    <x v="4"/>
    <x v="281"/>
    <n v="1625"/>
    <x v="0"/>
  </r>
  <r>
    <s v="Beverie Moffet"/>
    <s v="Switzerland"/>
    <x v="4"/>
    <x v="281"/>
    <n v="3630"/>
    <x v="0"/>
  </r>
  <r>
    <s v="Gunar Cockshoot"/>
    <s v="USA"/>
    <x v="5"/>
    <x v="281"/>
    <n v="9325"/>
    <x v="0"/>
  </r>
  <r>
    <s v="Rafaela Blaksland"/>
    <s v="Canada"/>
    <x v="5"/>
    <x v="281"/>
    <n v="2022"/>
    <x v="0"/>
  </r>
  <r>
    <s v="Oby Sorrel"/>
    <s v="Canada"/>
    <x v="5"/>
    <x v="281"/>
    <n v="13890"/>
    <x v="0"/>
  </r>
  <r>
    <s v="Karlen McCaffrey"/>
    <s v="UK"/>
    <x v="1"/>
    <x v="281"/>
    <n v="13472"/>
    <x v="0"/>
  </r>
  <r>
    <s v="Brien Boise"/>
    <s v="Switzerland"/>
    <x v="7"/>
    <x v="281"/>
    <n v="11233"/>
    <x v="0"/>
  </r>
  <r>
    <s v="Beverie Moffet"/>
    <s v="Germany"/>
    <x v="6"/>
    <x v="281"/>
    <n v="7448"/>
    <x v="0"/>
  </r>
  <r>
    <s v="Van Tuxwell"/>
    <s v="Germany"/>
    <x v="3"/>
    <x v="281"/>
    <n v="1821"/>
    <x v="0"/>
  </r>
  <r>
    <s v="Roddy Speechley"/>
    <s v="China"/>
    <x v="3"/>
    <x v="281"/>
    <n v="12745"/>
    <x v="0"/>
  </r>
  <r>
    <s v="Oby Sorrel"/>
    <s v="UK"/>
    <x v="4"/>
    <x v="282"/>
    <n v="2075"/>
    <x v="0"/>
  </r>
  <r>
    <s v="Barr Faughny"/>
    <s v="China"/>
    <x v="2"/>
    <x v="282"/>
    <n v="11541"/>
    <x v="0"/>
  </r>
  <r>
    <s v="Rafaela Blaksland"/>
    <s v="Germany"/>
    <x v="2"/>
    <x v="282"/>
    <n v="3058"/>
    <x v="0"/>
  </r>
  <r>
    <s v="Gigi Bohling"/>
    <s v="China"/>
    <x v="2"/>
    <x v="282"/>
    <n v="2646"/>
    <x v="0"/>
  </r>
  <r>
    <s v="Gunar Cockshoot"/>
    <s v="Germany"/>
    <x v="6"/>
    <x v="282"/>
    <n v="1837"/>
    <x v="0"/>
  </r>
  <r>
    <s v="Jehu Rudeforth"/>
    <s v="Germany"/>
    <x v="3"/>
    <x v="282"/>
    <n v="7606"/>
    <x v="0"/>
  </r>
  <r>
    <s v="Gigi Bohling"/>
    <s v="Switzerland"/>
    <x v="3"/>
    <x v="282"/>
    <n v="13921"/>
    <x v="0"/>
  </r>
  <r>
    <s v="Marney O'Breem"/>
    <s v="China"/>
    <x v="0"/>
    <x v="283"/>
    <n v="2627"/>
    <x v="0"/>
  </r>
  <r>
    <s v="Roddy Speechley"/>
    <s v="UK"/>
    <x v="1"/>
    <x v="283"/>
    <n v="4497"/>
    <x v="0"/>
  </r>
  <r>
    <s v="Beverie Moffet"/>
    <s v="UK"/>
    <x v="5"/>
    <x v="284"/>
    <n v="8592"/>
    <x v="0"/>
  </r>
  <r>
    <s v="Karlen McCaffrey"/>
    <s v="Germany"/>
    <x v="1"/>
    <x v="284"/>
    <n v="5519"/>
    <x v="0"/>
  </r>
  <r>
    <s v="Van Tuxwell"/>
    <s v="Switzerland"/>
    <x v="1"/>
    <x v="284"/>
    <n v="5400"/>
    <x v="0"/>
  </r>
  <r>
    <s v="Karlen McCaffrey"/>
    <s v="USA"/>
    <x v="7"/>
    <x v="284"/>
    <n v="13817"/>
    <x v="0"/>
  </r>
  <r>
    <s v="Barr Faughny"/>
    <s v="Canada"/>
    <x v="3"/>
    <x v="284"/>
    <n v="13993"/>
    <x v="0"/>
  </r>
  <r>
    <s v="Oby Sorrel"/>
    <s v="Canada"/>
    <x v="1"/>
    <x v="285"/>
    <n v="4190"/>
    <x v="0"/>
  </r>
  <r>
    <s v="Curtice Advani"/>
    <s v="Germany"/>
    <x v="1"/>
    <x v="285"/>
    <n v="6673"/>
    <x v="0"/>
  </r>
  <r>
    <s v="Barr Faughny"/>
    <s v="Switzerland"/>
    <x v="5"/>
    <x v="286"/>
    <n v="13435"/>
    <x v="0"/>
  </r>
  <r>
    <s v="Beverie Moffet"/>
    <s v="China"/>
    <x v="7"/>
    <x v="286"/>
    <n v="6310"/>
    <x v="0"/>
  </r>
  <r>
    <s v="Beverie Moffet"/>
    <s v="China"/>
    <x v="2"/>
    <x v="286"/>
    <n v="2353"/>
    <x v="0"/>
  </r>
  <r>
    <s v="Brien Boise"/>
    <s v="USA"/>
    <x v="2"/>
    <x v="286"/>
    <n v="11851"/>
    <x v="0"/>
  </r>
  <r>
    <s v="Jehu Rudeforth"/>
    <s v="Canada"/>
    <x v="3"/>
    <x v="286"/>
    <n v="5789"/>
    <x v="0"/>
  </r>
  <r>
    <s v="Beverie Moffet"/>
    <s v="UK"/>
    <x v="0"/>
    <x v="287"/>
    <n v="13165"/>
    <x v="0"/>
  </r>
  <r>
    <s v="Curtice Advani"/>
    <s v="China"/>
    <x v="7"/>
    <x v="287"/>
    <n v="11602"/>
    <x v="0"/>
  </r>
  <r>
    <s v="Marney O'Breem"/>
    <s v="USA"/>
    <x v="7"/>
    <x v="287"/>
    <n v="4836"/>
    <x v="0"/>
  </r>
  <r>
    <s v="Mallorie Waber"/>
    <s v="USA"/>
    <x v="2"/>
    <x v="287"/>
    <n v="2475"/>
    <x v="0"/>
  </r>
  <r>
    <s v="Gunar Cockshoot"/>
    <s v="UK"/>
    <x v="6"/>
    <x v="288"/>
    <n v="7063"/>
    <x v="0"/>
  </r>
  <r>
    <s v="Brien Boise"/>
    <s v="USA"/>
    <x v="0"/>
    <x v="289"/>
    <n v="13705"/>
    <x v="0"/>
  </r>
  <r>
    <s v="Marney O'Breem"/>
    <s v="Switzerland"/>
    <x v="7"/>
    <x v="289"/>
    <n v="1236"/>
    <x v="0"/>
  </r>
  <r>
    <s v="Brien Boise"/>
    <s v="UK"/>
    <x v="2"/>
    <x v="289"/>
    <n v="2550"/>
    <x v="0"/>
  </r>
  <r>
    <s v="Rafaela Blaksland"/>
    <s v="China"/>
    <x v="3"/>
    <x v="289"/>
    <n v="10973"/>
    <x v="0"/>
  </r>
  <r>
    <s v="Curtice Advani"/>
    <s v="Germany"/>
    <x v="3"/>
    <x v="290"/>
    <n v="4450"/>
    <x v="0"/>
  </r>
  <r>
    <s v="Karlen McCaffrey"/>
    <s v="Switzerland"/>
    <x v="4"/>
    <x v="291"/>
    <n v="3421"/>
    <x v="0"/>
  </r>
  <r>
    <s v="Gunar Cockshoot"/>
    <s v="China"/>
    <x v="0"/>
    <x v="292"/>
    <n v="6311"/>
    <x v="0"/>
  </r>
  <r>
    <s v="Brien Boise"/>
    <s v="Switzerland"/>
    <x v="5"/>
    <x v="292"/>
    <n v="3342"/>
    <x v="0"/>
  </r>
  <r>
    <s v="Brien Boise"/>
    <s v="UK"/>
    <x v="7"/>
    <x v="292"/>
    <n v="9611"/>
    <x v="0"/>
  </r>
  <r>
    <s v="Roddy Speechley"/>
    <s v="USA"/>
    <x v="2"/>
    <x v="292"/>
    <n v="6775"/>
    <x v="0"/>
  </r>
  <r>
    <s v="Rafaela Blaksland"/>
    <s v="UK"/>
    <x v="6"/>
    <x v="292"/>
    <n v="2432"/>
    <x v="0"/>
  </r>
  <r>
    <s v="Gigi Bohling"/>
    <s v="USA"/>
    <x v="6"/>
    <x v="292"/>
    <n v="4149"/>
    <x v="0"/>
  </r>
  <r>
    <s v="Brien Boise"/>
    <s v="Switzerland"/>
    <x v="6"/>
    <x v="292"/>
    <n v="9661"/>
    <x v="0"/>
  </r>
  <r>
    <s v="Brien Boise"/>
    <s v="USA"/>
    <x v="6"/>
    <x v="292"/>
    <n v="3381"/>
    <x v="0"/>
  </r>
  <r>
    <s v="Curtice Advani"/>
    <s v="China"/>
    <x v="0"/>
    <x v="293"/>
    <n v="2479"/>
    <x v="0"/>
  </r>
  <r>
    <s v="Karlen McCaffrey"/>
    <s v="Germany"/>
    <x v="4"/>
    <x v="294"/>
    <n v="13494"/>
    <x v="0"/>
  </r>
  <r>
    <s v="Jan Morforth"/>
    <s v="Switzerland"/>
    <x v="2"/>
    <x v="294"/>
    <n v="13834"/>
    <x v="0"/>
  </r>
  <r>
    <s v="Oby Sorrel"/>
    <s v="Switzerland"/>
    <x v="0"/>
    <x v="295"/>
    <n v="2174"/>
    <x v="0"/>
  </r>
  <r>
    <s v="Roddy Speechley"/>
    <s v="Canada"/>
    <x v="4"/>
    <x v="295"/>
    <n v="2204"/>
    <x v="0"/>
  </r>
  <r>
    <s v="Curtice Advani"/>
    <s v="UK"/>
    <x v="5"/>
    <x v="295"/>
    <n v="12065"/>
    <x v="0"/>
  </r>
  <r>
    <s v="Rafaela Blaksland"/>
    <s v="Germany"/>
    <x v="5"/>
    <x v="295"/>
    <n v="6056"/>
    <x v="0"/>
  </r>
  <r>
    <s v="Oby Sorrel"/>
    <s v="Switzerland"/>
    <x v="1"/>
    <x v="295"/>
    <n v="13815"/>
    <x v="0"/>
  </r>
  <r>
    <s v="Van Tuxwell"/>
    <s v="Switzerland"/>
    <x v="6"/>
    <x v="295"/>
    <n v="8436"/>
    <x v="0"/>
  </r>
  <r>
    <s v="Van Tuxwell"/>
    <s v="Switzerland"/>
    <x v="0"/>
    <x v="296"/>
    <n v="10251"/>
    <x v="0"/>
  </r>
  <r>
    <s v="Marney O'Breem"/>
    <s v="USA"/>
    <x v="1"/>
    <x v="296"/>
    <n v="4657"/>
    <x v="0"/>
  </r>
  <r>
    <s v="Brien Boise"/>
    <s v="UK"/>
    <x v="1"/>
    <x v="296"/>
    <n v="2864"/>
    <x v="0"/>
  </r>
  <r>
    <s v="Beverie Moffet"/>
    <s v="USA"/>
    <x v="7"/>
    <x v="296"/>
    <n v="10766"/>
    <x v="0"/>
  </r>
  <r>
    <s v="Rafaela Blaksland"/>
    <s v="Canada"/>
    <x v="6"/>
    <x v="296"/>
    <n v="9069"/>
    <x v="0"/>
  </r>
  <r>
    <s v="Gigi Bohling"/>
    <s v="UK"/>
    <x v="5"/>
    <x v="297"/>
    <n v="13248"/>
    <x v="0"/>
  </r>
  <r>
    <s v="Jehu Rudeforth"/>
    <s v="USA"/>
    <x v="7"/>
    <x v="297"/>
    <n v="6644"/>
    <x v="0"/>
  </r>
  <r>
    <s v="Curtice Advani"/>
    <s v="Germany"/>
    <x v="7"/>
    <x v="297"/>
    <n v="9467"/>
    <x v="0"/>
  </r>
  <r>
    <s v="Jehu Rudeforth"/>
    <s v="China"/>
    <x v="3"/>
    <x v="297"/>
    <n v="9707"/>
    <x v="0"/>
  </r>
  <r>
    <s v="Marney O'Breem"/>
    <s v="UK"/>
    <x v="5"/>
    <x v="298"/>
    <n v="11797"/>
    <x v="0"/>
  </r>
  <r>
    <s v="Karlen McCaffrey"/>
    <s v="China"/>
    <x v="5"/>
    <x v="298"/>
    <n v="10783"/>
    <x v="0"/>
  </r>
  <r>
    <s v="Gunar Cockshoot"/>
    <s v="Canada"/>
    <x v="6"/>
    <x v="298"/>
    <n v="9898"/>
    <x v="0"/>
  </r>
  <r>
    <s v="Gigi Bohling"/>
    <s v="UK"/>
    <x v="6"/>
    <x v="298"/>
    <n v="11924"/>
    <x v="0"/>
  </r>
  <r>
    <s v="Karlen McCaffrey"/>
    <s v="Germany"/>
    <x v="4"/>
    <x v="299"/>
    <n v="4910"/>
    <x v="0"/>
  </r>
  <r>
    <s v="Gigi Bohling"/>
    <s v="China"/>
    <x v="1"/>
    <x v="299"/>
    <n v="3021"/>
    <x v="0"/>
  </r>
  <r>
    <s v="Curtice Advani"/>
    <s v="China"/>
    <x v="7"/>
    <x v="299"/>
    <n v="11741"/>
    <x v="0"/>
  </r>
  <r>
    <s v="Oby Sorrel"/>
    <s v="Germany"/>
    <x v="4"/>
    <x v="300"/>
    <n v="11678"/>
    <x v="0"/>
  </r>
  <r>
    <s v="Jehu Rudeforth"/>
    <s v="Switzerland"/>
    <x v="5"/>
    <x v="300"/>
    <n v="5258"/>
    <x v="0"/>
  </r>
  <r>
    <s v="Mallorie Waber"/>
    <s v="China"/>
    <x v="5"/>
    <x v="300"/>
    <n v="11227"/>
    <x v="0"/>
  </r>
  <r>
    <s v="Mallorie Waber"/>
    <s v="Germany"/>
    <x v="7"/>
    <x v="300"/>
    <n v="10938"/>
    <x v="0"/>
  </r>
  <r>
    <s v="Marney O'Breem"/>
    <s v="Canada"/>
    <x v="7"/>
    <x v="300"/>
    <n v="4247"/>
    <x v="0"/>
  </r>
  <r>
    <s v="Marney O'Breem"/>
    <s v="China"/>
    <x v="6"/>
    <x v="300"/>
    <n v="7205"/>
    <x v="0"/>
  </r>
  <r>
    <s v="Gunar Cockshoot"/>
    <s v="China"/>
    <x v="6"/>
    <x v="301"/>
    <n v="8001"/>
    <x v="0"/>
  </r>
  <r>
    <s v="Rafaela Blaksland"/>
    <s v="UK"/>
    <x v="0"/>
    <x v="302"/>
    <n v="6801"/>
    <x v="0"/>
  </r>
  <r>
    <s v="Barr Faughny"/>
    <s v="UK"/>
    <x v="0"/>
    <x v="302"/>
    <n v="9219"/>
    <x v="0"/>
  </r>
  <r>
    <s v="Karlen McCaffrey"/>
    <s v="Canada"/>
    <x v="4"/>
    <x v="302"/>
    <n v="5045"/>
    <x v="0"/>
  </r>
  <r>
    <s v="Roddy Speechley"/>
    <s v="China"/>
    <x v="5"/>
    <x v="302"/>
    <n v="3531"/>
    <x v="0"/>
  </r>
  <r>
    <s v="Karlen McCaffrey"/>
    <s v="USA"/>
    <x v="1"/>
    <x v="302"/>
    <n v="8712"/>
    <x v="0"/>
  </r>
  <r>
    <s v="Oby Sorrel"/>
    <s v="China"/>
    <x v="7"/>
    <x v="302"/>
    <n v="2196"/>
    <x v="0"/>
  </r>
  <r>
    <s v="Gigi Bohling"/>
    <s v="Germany"/>
    <x v="6"/>
    <x v="302"/>
    <n v="7860"/>
    <x v="0"/>
  </r>
  <r>
    <s v="Jehu Rudeforth"/>
    <s v="China"/>
    <x v="6"/>
    <x v="302"/>
    <n v="8774"/>
    <x v="0"/>
  </r>
  <r>
    <s v="Marney O'Breem"/>
    <s v="USA"/>
    <x v="3"/>
    <x v="302"/>
    <n v="7154"/>
    <x v="0"/>
  </r>
  <r>
    <s v="Marney O'Breem"/>
    <s v="USA"/>
    <x v="0"/>
    <x v="303"/>
    <n v="11906"/>
    <x v="0"/>
  </r>
  <r>
    <s v="Gunar Cockshoot"/>
    <s v="USA"/>
    <x v="6"/>
    <x v="303"/>
    <n v="8688"/>
    <x v="0"/>
  </r>
  <r>
    <s v="Rafaela Blaksland"/>
    <s v="Germany"/>
    <x v="4"/>
    <x v="304"/>
    <n v="11990"/>
    <x v="0"/>
  </r>
  <r>
    <s v="Curtice Advani"/>
    <s v="Switzerland"/>
    <x v="4"/>
    <x v="304"/>
    <n v="12074"/>
    <x v="0"/>
  </r>
  <r>
    <s v="Karlen McCaffrey"/>
    <s v="USA"/>
    <x v="6"/>
    <x v="304"/>
    <n v="8749"/>
    <x v="0"/>
  </r>
  <r>
    <s v="Beverie Moffet"/>
    <s v="USA"/>
    <x v="4"/>
    <x v="305"/>
    <n v="3296"/>
    <x v="0"/>
  </r>
  <r>
    <s v="Roddy Speechley"/>
    <s v="China"/>
    <x v="5"/>
    <x v="305"/>
    <n v="12664"/>
    <x v="0"/>
  </r>
  <r>
    <s v="Oby Sorrel"/>
    <s v="UK"/>
    <x v="7"/>
    <x v="305"/>
    <n v="2948"/>
    <x v="0"/>
  </r>
  <r>
    <s v="Rafaela Blaksland"/>
    <s v="UK"/>
    <x v="7"/>
    <x v="305"/>
    <n v="7360"/>
    <x v="0"/>
  </r>
  <r>
    <s v="Oby Sorrel"/>
    <s v="Switzerland"/>
    <x v="6"/>
    <x v="305"/>
    <n v="12019"/>
    <x v="0"/>
  </r>
  <r>
    <s v="Marney O'Breem"/>
    <s v="China"/>
    <x v="4"/>
    <x v="306"/>
    <n v="12938"/>
    <x v="0"/>
  </r>
  <r>
    <s v="Oby Sorrel"/>
    <s v="USA"/>
    <x v="4"/>
    <x v="307"/>
    <n v="2536"/>
    <x v="0"/>
  </r>
  <r>
    <s v="Rafaela Blaksland"/>
    <s v="Germany"/>
    <x v="1"/>
    <x v="307"/>
    <n v="12016"/>
    <x v="0"/>
  </r>
  <r>
    <s v="Mallorie Waber"/>
    <s v="USA"/>
    <x v="2"/>
    <x v="307"/>
    <n v="13407"/>
    <x v="0"/>
  </r>
  <r>
    <s v="Roddy Speechley"/>
    <s v="USA"/>
    <x v="6"/>
    <x v="307"/>
    <n v="6840"/>
    <x v="0"/>
  </r>
  <r>
    <s v="Brien Boise"/>
    <s v="UK"/>
    <x v="6"/>
    <x v="307"/>
    <n v="7080"/>
    <x v="0"/>
  </r>
  <r>
    <s v="Rafaela Blaksland"/>
    <s v="China"/>
    <x v="6"/>
    <x v="307"/>
    <n v="1986"/>
    <x v="0"/>
  </r>
  <r>
    <s v="Marney O'Breem"/>
    <s v="Germany"/>
    <x v="3"/>
    <x v="307"/>
    <n v="10115"/>
    <x v="0"/>
  </r>
  <r>
    <s v="Gigi Bohling"/>
    <s v="UK"/>
    <x v="3"/>
    <x v="307"/>
    <n v="1115"/>
    <x v="0"/>
  </r>
  <r>
    <s v="Jehu Rudeforth"/>
    <s v="China"/>
    <x v="1"/>
    <x v="308"/>
    <n v="13076"/>
    <x v="0"/>
  </r>
  <r>
    <s v="Marney O'Breem"/>
    <s v="UK"/>
    <x v="2"/>
    <x v="308"/>
    <n v="11444"/>
    <x v="0"/>
  </r>
  <r>
    <s v="Gunar Cockshoot"/>
    <s v="Canada"/>
    <x v="2"/>
    <x v="308"/>
    <n v="13625"/>
    <x v="0"/>
  </r>
  <r>
    <s v="Gigi Bohling"/>
    <s v="Germany"/>
    <x v="2"/>
    <x v="308"/>
    <n v="5838"/>
    <x v="0"/>
  </r>
  <r>
    <s v="Karlen McCaffrey"/>
    <s v="Germany"/>
    <x v="6"/>
    <x v="308"/>
    <n v="3861"/>
    <x v="0"/>
  </r>
  <r>
    <s v="Jan Morforth"/>
    <s v="Germany"/>
    <x v="0"/>
    <x v="309"/>
    <n v="9374"/>
    <x v="0"/>
  </r>
  <r>
    <s v="Brien Boise"/>
    <s v="Canada"/>
    <x v="4"/>
    <x v="309"/>
    <n v="1939"/>
    <x v="0"/>
  </r>
  <r>
    <s v="Jan Morforth"/>
    <s v="USA"/>
    <x v="5"/>
    <x v="309"/>
    <n v="11489"/>
    <x v="0"/>
  </r>
  <r>
    <s v="Brien Boise"/>
    <s v="Germany"/>
    <x v="2"/>
    <x v="309"/>
    <n v="9254"/>
    <x v="0"/>
  </r>
  <r>
    <s v="Curtice Advani"/>
    <s v="Germany"/>
    <x v="0"/>
    <x v="310"/>
    <n v="5895"/>
    <x v="0"/>
  </r>
  <r>
    <s v="Marney O'Breem"/>
    <s v="Canada"/>
    <x v="0"/>
    <x v="310"/>
    <n v="12491"/>
    <x v="0"/>
  </r>
  <r>
    <s v="Jehu Rudeforth"/>
    <s v="USA"/>
    <x v="4"/>
    <x v="310"/>
    <n v="1297"/>
    <x v="0"/>
  </r>
  <r>
    <s v="Brien Boise"/>
    <s v="China"/>
    <x v="5"/>
    <x v="310"/>
    <n v="3864"/>
    <x v="0"/>
  </r>
  <r>
    <s v="Gigi Bohling"/>
    <s v="USA"/>
    <x v="1"/>
    <x v="310"/>
    <n v="10956"/>
    <x v="0"/>
  </r>
  <r>
    <s v="Oby Sorrel"/>
    <s v="Switzerland"/>
    <x v="0"/>
    <x v="311"/>
    <n v="5104"/>
    <x v="0"/>
  </r>
  <r>
    <s v="Gunar Cockshoot"/>
    <s v="UK"/>
    <x v="7"/>
    <x v="311"/>
    <n v="10253"/>
    <x v="0"/>
  </r>
  <r>
    <s v="Oby Sorrel"/>
    <s v="Switzerland"/>
    <x v="3"/>
    <x v="311"/>
    <n v="9375"/>
    <x v="0"/>
  </r>
  <r>
    <s v="Roddy Speechley"/>
    <s v="USA"/>
    <x v="5"/>
    <x v="312"/>
    <n v="9237"/>
    <x v="0"/>
  </r>
  <r>
    <s v="Gunar Cockshoot"/>
    <s v="UK"/>
    <x v="2"/>
    <x v="312"/>
    <n v="4781"/>
    <x v="0"/>
  </r>
  <r>
    <s v="Beverie Moffet"/>
    <s v="Germany"/>
    <x v="3"/>
    <x v="312"/>
    <n v="13052"/>
    <x v="0"/>
  </r>
  <r>
    <s v="Roddy Speechley"/>
    <s v="Switzerland"/>
    <x v="4"/>
    <x v="313"/>
    <n v="11333"/>
    <x v="0"/>
  </r>
  <r>
    <s v="Marney O'Breem"/>
    <s v="USA"/>
    <x v="5"/>
    <x v="313"/>
    <n v="7523"/>
    <x v="0"/>
  </r>
  <r>
    <s v="Oby Sorrel"/>
    <s v="Germany"/>
    <x v="2"/>
    <x v="313"/>
    <n v="9160"/>
    <x v="0"/>
  </r>
  <r>
    <s v="Jehu Rudeforth"/>
    <s v="UK"/>
    <x v="3"/>
    <x v="313"/>
    <n v="7994"/>
    <x v="0"/>
  </r>
  <r>
    <s v="Karlen McCaffrey"/>
    <s v="Canada"/>
    <x v="3"/>
    <x v="313"/>
    <n v="5824"/>
    <x v="0"/>
  </r>
  <r>
    <s v="Beverie Moffet"/>
    <s v="Switzerland"/>
    <x v="4"/>
    <x v="314"/>
    <n v="12677"/>
    <x v="0"/>
  </r>
  <r>
    <s v="Mallorie Waber"/>
    <s v="USA"/>
    <x v="6"/>
    <x v="314"/>
    <n v="8193"/>
    <x v="0"/>
  </r>
  <r>
    <s v="Roddy Speechley"/>
    <s v="Canada"/>
    <x v="6"/>
    <x v="314"/>
    <n v="2780"/>
    <x v="0"/>
  </r>
  <r>
    <s v="Roddy Speechley"/>
    <s v="USA"/>
    <x v="4"/>
    <x v="315"/>
    <n v="2557"/>
    <x v="0"/>
  </r>
  <r>
    <s v="Beverie Moffet"/>
    <s v="UK"/>
    <x v="7"/>
    <x v="315"/>
    <n v="1121"/>
    <x v="0"/>
  </r>
  <r>
    <s v="Curtice Advani"/>
    <s v="USA"/>
    <x v="2"/>
    <x v="315"/>
    <n v="4043"/>
    <x v="0"/>
  </r>
  <r>
    <s v="Gunar Cockshoot"/>
    <s v="Germany"/>
    <x v="4"/>
    <x v="316"/>
    <n v="9254"/>
    <x v="0"/>
  </r>
  <r>
    <s v="Beverie Moffet"/>
    <s v="Canada"/>
    <x v="3"/>
    <x v="316"/>
    <n v="4687"/>
    <x v="0"/>
  </r>
  <r>
    <s v="Gunar Cockshoot"/>
    <s v="China"/>
    <x v="0"/>
    <x v="317"/>
    <n v="13654"/>
    <x v="0"/>
  </r>
  <r>
    <s v="Mallorie Waber"/>
    <s v="USA"/>
    <x v="5"/>
    <x v="317"/>
    <n v="9733"/>
    <x v="0"/>
  </r>
  <r>
    <s v="Gunar Cockshoot"/>
    <s v="Canada"/>
    <x v="3"/>
    <x v="317"/>
    <n v="1280"/>
    <x v="0"/>
  </r>
  <r>
    <s v="Gunar Cockshoot"/>
    <s v="Germany"/>
    <x v="0"/>
    <x v="318"/>
    <n v="8242"/>
    <x v="0"/>
  </r>
  <r>
    <s v="Gunar Cockshoot"/>
    <s v="UK"/>
    <x v="4"/>
    <x v="318"/>
    <n v="12693"/>
    <x v="0"/>
  </r>
  <r>
    <s v="Van Tuxwell"/>
    <s v="China"/>
    <x v="2"/>
    <x v="318"/>
    <n v="8537"/>
    <x v="0"/>
  </r>
  <r>
    <s v="Van Tuxwell"/>
    <s v="Germany"/>
    <x v="6"/>
    <x v="318"/>
    <n v="10516"/>
    <x v="0"/>
  </r>
  <r>
    <s v="Rafaela Blaksland"/>
    <s v="UK"/>
    <x v="3"/>
    <x v="318"/>
    <n v="9232"/>
    <x v="0"/>
  </r>
  <r>
    <s v="Beverie Moffet"/>
    <s v="UK"/>
    <x v="3"/>
    <x v="318"/>
    <n v="10390"/>
    <x v="0"/>
  </r>
  <r>
    <s v="Jehu Rudeforth"/>
    <s v="Canada"/>
    <x v="5"/>
    <x v="319"/>
    <n v="11210"/>
    <x v="0"/>
  </r>
  <r>
    <s v="Jehu Rudeforth"/>
    <s v="Canada"/>
    <x v="6"/>
    <x v="319"/>
    <n v="3197"/>
    <x v="0"/>
  </r>
  <r>
    <s v="Gunar Cockshoot"/>
    <s v="Canada"/>
    <x v="3"/>
    <x v="319"/>
    <n v="8893"/>
    <x v="0"/>
  </r>
  <r>
    <s v="Marney O'Breem"/>
    <s v="Germany"/>
    <x v="3"/>
    <x v="319"/>
    <n v="10909"/>
    <x v="0"/>
  </r>
  <r>
    <s v="Marney O'Breem"/>
    <s v="Switzerland"/>
    <x v="0"/>
    <x v="320"/>
    <n v="6656"/>
    <x v="0"/>
  </r>
  <r>
    <s v="Oby Sorrel"/>
    <s v="UK"/>
    <x v="5"/>
    <x v="320"/>
    <n v="11098"/>
    <x v="0"/>
  </r>
  <r>
    <s v="Rafaela Blaksland"/>
    <s v="UK"/>
    <x v="5"/>
    <x v="320"/>
    <n v="13078"/>
    <x v="0"/>
  </r>
  <r>
    <s v="Jehu Rudeforth"/>
    <s v="USA"/>
    <x v="2"/>
    <x v="320"/>
    <n v="13259"/>
    <x v="0"/>
  </r>
  <r>
    <s v="Gigi Bohling"/>
    <s v="China"/>
    <x v="6"/>
    <x v="320"/>
    <n v="9952"/>
    <x v="0"/>
  </r>
  <r>
    <s v="Mallorie Waber"/>
    <s v="China"/>
    <x v="5"/>
    <x v="321"/>
    <n v="5445"/>
    <x v="0"/>
  </r>
  <r>
    <s v="Oby Sorrel"/>
    <s v="UK"/>
    <x v="5"/>
    <x v="321"/>
    <n v="5321"/>
    <x v="0"/>
  </r>
  <r>
    <s v="Brien Boise"/>
    <s v="China"/>
    <x v="2"/>
    <x v="321"/>
    <n v="13630"/>
    <x v="0"/>
  </r>
  <r>
    <s v="Curtice Advani"/>
    <s v="Switzerland"/>
    <x v="0"/>
    <x v="322"/>
    <n v="5265"/>
    <x v="0"/>
  </r>
  <r>
    <s v="Gigi Bohling"/>
    <s v="USA"/>
    <x v="5"/>
    <x v="322"/>
    <n v="8773"/>
    <x v="0"/>
  </r>
  <r>
    <s v="Mallorie Waber"/>
    <s v="Germany"/>
    <x v="5"/>
    <x v="322"/>
    <n v="9724"/>
    <x v="0"/>
  </r>
  <r>
    <s v="Oby Sorrel"/>
    <s v="UK"/>
    <x v="6"/>
    <x v="322"/>
    <n v="12587"/>
    <x v="0"/>
  </r>
  <r>
    <s v="Curtice Advani"/>
    <s v="UK"/>
    <x v="6"/>
    <x v="322"/>
    <n v="9023"/>
    <x v="0"/>
  </r>
  <r>
    <s v="Karlen McCaffrey"/>
    <s v="Switzerland"/>
    <x v="6"/>
    <x v="322"/>
    <n v="8453"/>
    <x v="0"/>
  </r>
  <r>
    <s v="Brien Boise"/>
    <s v="Canada"/>
    <x v="3"/>
    <x v="322"/>
    <n v="4813"/>
    <x v="0"/>
  </r>
  <r>
    <s v="Mallorie Waber"/>
    <s v="UK"/>
    <x v="4"/>
    <x v="323"/>
    <n v="13958"/>
    <x v="0"/>
  </r>
  <r>
    <s v="Barr Faughny"/>
    <s v="Switzerland"/>
    <x v="5"/>
    <x v="323"/>
    <n v="12277"/>
    <x v="0"/>
  </r>
  <r>
    <s v="Mallorie Waber"/>
    <s v="Germany"/>
    <x v="4"/>
    <x v="324"/>
    <n v="6101"/>
    <x v="0"/>
  </r>
  <r>
    <s v="Brien Boise"/>
    <s v="USA"/>
    <x v="3"/>
    <x v="324"/>
    <n v="1111"/>
    <x v="0"/>
  </r>
  <r>
    <s v="Marney O'Breem"/>
    <s v="Switzerland"/>
    <x v="0"/>
    <x v="325"/>
    <n v="13451"/>
    <x v="0"/>
  </r>
  <r>
    <s v="Beverie Moffet"/>
    <s v="Canada"/>
    <x v="0"/>
    <x v="325"/>
    <n v="8480"/>
    <x v="0"/>
  </r>
  <r>
    <s v="Rafaela Blaksland"/>
    <s v="China"/>
    <x v="2"/>
    <x v="325"/>
    <n v="10057"/>
    <x v="0"/>
  </r>
  <r>
    <s v="Van Tuxwell"/>
    <s v="USA"/>
    <x v="2"/>
    <x v="325"/>
    <n v="9605"/>
    <x v="0"/>
  </r>
  <r>
    <s v="Gigi Bohling"/>
    <s v="Switzerland"/>
    <x v="6"/>
    <x v="325"/>
    <n v="3012"/>
    <x v="0"/>
  </r>
  <r>
    <s v="Barr Faughny"/>
    <s v="Canada"/>
    <x v="7"/>
    <x v="326"/>
    <n v="4491"/>
    <x v="0"/>
  </r>
  <r>
    <s v="Marney O'Breem"/>
    <s v="Canada"/>
    <x v="6"/>
    <x v="326"/>
    <n v="13852"/>
    <x v="0"/>
  </r>
  <r>
    <s v="Gunar Cockshoot"/>
    <s v="UK"/>
    <x v="0"/>
    <x v="327"/>
    <n v="13421"/>
    <x v="0"/>
  </r>
  <r>
    <s v="Curtice Advani"/>
    <s v="Switzerland"/>
    <x v="4"/>
    <x v="327"/>
    <n v="8912"/>
    <x v="0"/>
  </r>
  <r>
    <s v="Oby Sorrel"/>
    <s v="Switzerland"/>
    <x v="5"/>
    <x v="327"/>
    <n v="5599"/>
    <x v="0"/>
  </r>
  <r>
    <s v="Rafaela Blaksland"/>
    <s v="Germany"/>
    <x v="5"/>
    <x v="327"/>
    <n v="11089"/>
    <x v="0"/>
  </r>
  <r>
    <s v="Van Tuxwell"/>
    <s v="Switzerland"/>
    <x v="5"/>
    <x v="327"/>
    <n v="7132"/>
    <x v="0"/>
  </r>
  <r>
    <s v="Jan Morforth"/>
    <s v="UK"/>
    <x v="6"/>
    <x v="327"/>
    <n v="2270"/>
    <x v="0"/>
  </r>
  <r>
    <s v="Rafaela Blaksland"/>
    <s v="USA"/>
    <x v="3"/>
    <x v="327"/>
    <n v="11096"/>
    <x v="0"/>
  </r>
  <r>
    <s v="Gigi Bohling"/>
    <s v="Switzerland"/>
    <x v="4"/>
    <x v="328"/>
    <n v="2340"/>
    <x v="0"/>
  </r>
  <r>
    <s v="Curtice Advani"/>
    <s v="USA"/>
    <x v="4"/>
    <x v="328"/>
    <n v="7115"/>
    <x v="0"/>
  </r>
  <r>
    <s v="Van Tuxwell"/>
    <s v="UK"/>
    <x v="4"/>
    <x v="328"/>
    <n v="11623"/>
    <x v="0"/>
  </r>
  <r>
    <s v="Barr Faughny"/>
    <s v="Canada"/>
    <x v="7"/>
    <x v="328"/>
    <n v="1728"/>
    <x v="0"/>
  </r>
  <r>
    <s v="Rafaela Blaksland"/>
    <s v="China"/>
    <x v="2"/>
    <x v="328"/>
    <n v="4568"/>
    <x v="0"/>
  </r>
  <r>
    <s v="Karlen McCaffrey"/>
    <s v="Canada"/>
    <x v="5"/>
    <x v="329"/>
    <n v="6483"/>
    <x v="0"/>
  </r>
  <r>
    <s v="Roddy Speechley"/>
    <s v="Canada"/>
    <x v="5"/>
    <x v="329"/>
    <n v="9293"/>
    <x v="0"/>
  </r>
  <r>
    <s v="Karlen McCaffrey"/>
    <s v="USA"/>
    <x v="7"/>
    <x v="329"/>
    <n v="10430"/>
    <x v="0"/>
  </r>
  <r>
    <s v="Brien Boise"/>
    <s v="Germany"/>
    <x v="2"/>
    <x v="329"/>
    <n v="1775"/>
    <x v="0"/>
  </r>
  <r>
    <s v="Rafaela Blaksland"/>
    <s v="UK"/>
    <x v="2"/>
    <x v="329"/>
    <n v="10830"/>
    <x v="0"/>
  </r>
  <r>
    <s v="Brien Boise"/>
    <s v="Switzerland"/>
    <x v="6"/>
    <x v="329"/>
    <n v="6906"/>
    <x v="0"/>
  </r>
  <r>
    <s v="Mallorie Waber"/>
    <s v="China"/>
    <x v="0"/>
    <x v="330"/>
    <n v="11743"/>
    <x v="0"/>
  </r>
  <r>
    <s v="Oby Sorrel"/>
    <s v="Canada"/>
    <x v="7"/>
    <x v="330"/>
    <n v="2241"/>
    <x v="0"/>
  </r>
  <r>
    <s v="Van Tuxwell"/>
    <s v="Switzerland"/>
    <x v="2"/>
    <x v="330"/>
    <n v="4921"/>
    <x v="0"/>
  </r>
  <r>
    <s v="Brien Boise"/>
    <s v="USA"/>
    <x v="5"/>
    <x v="331"/>
    <n v="10396"/>
    <x v="0"/>
  </r>
  <r>
    <s v="Curtice Advani"/>
    <s v="Switzerland"/>
    <x v="1"/>
    <x v="331"/>
    <n v="12276"/>
    <x v="0"/>
  </r>
  <r>
    <s v="Gigi Bohling"/>
    <s v="China"/>
    <x v="7"/>
    <x v="331"/>
    <n v="1826"/>
    <x v="0"/>
  </r>
  <r>
    <s v="Rafaela Blaksland"/>
    <s v="UK"/>
    <x v="2"/>
    <x v="331"/>
    <n v="4350"/>
    <x v="0"/>
  </r>
  <r>
    <s v="Gunar Cockshoot"/>
    <s v="USA"/>
    <x v="6"/>
    <x v="331"/>
    <n v="12639"/>
    <x v="0"/>
  </r>
  <r>
    <s v="Gunar Cockshoot"/>
    <s v="UK"/>
    <x v="4"/>
    <x v="332"/>
    <n v="11131"/>
    <x v="0"/>
  </r>
  <r>
    <s v="Barr Faughny"/>
    <s v="Switzerland"/>
    <x v="5"/>
    <x v="332"/>
    <n v="11008"/>
    <x v="0"/>
  </r>
  <r>
    <s v="Jehu Rudeforth"/>
    <s v="Switzerland"/>
    <x v="5"/>
    <x v="332"/>
    <n v="6089"/>
    <x v="0"/>
  </r>
  <r>
    <s v="Gigi Bohling"/>
    <s v="USA"/>
    <x v="3"/>
    <x v="332"/>
    <n v="2743"/>
    <x v="0"/>
  </r>
  <r>
    <s v="Beverie Moffet"/>
    <s v="Germany"/>
    <x v="3"/>
    <x v="332"/>
    <n v="2370"/>
    <x v="0"/>
  </r>
  <r>
    <s v="Beverie Moffet"/>
    <s v="Canada"/>
    <x v="4"/>
    <x v="333"/>
    <n v="2601"/>
    <x v="0"/>
  </r>
  <r>
    <s v="Barr Faughny"/>
    <s v="Switzerland"/>
    <x v="3"/>
    <x v="333"/>
    <n v="11804"/>
    <x v="0"/>
  </r>
  <r>
    <s v="Rafaela Blaksland"/>
    <s v="Canada"/>
    <x v="4"/>
    <x v="334"/>
    <n v="1216"/>
    <x v="0"/>
  </r>
  <r>
    <s v="Oby Sorrel"/>
    <s v="Canada"/>
    <x v="6"/>
    <x v="334"/>
    <n v="5608"/>
    <x v="0"/>
  </r>
  <r>
    <s v="Oby Sorrel"/>
    <s v="Switzerland"/>
    <x v="3"/>
    <x v="334"/>
    <n v="6588"/>
    <x v="0"/>
  </r>
  <r>
    <s v="Rafaela Blaksland"/>
    <s v="Switzerland"/>
    <x v="3"/>
    <x v="334"/>
    <n v="8302"/>
    <x v="0"/>
  </r>
  <r>
    <s v="Brien Boise"/>
    <s v="USA"/>
    <x v="5"/>
    <x v="335"/>
    <n v="6370"/>
    <x v="0"/>
  </r>
  <r>
    <s v="Jan Morforth"/>
    <s v="USA"/>
    <x v="5"/>
    <x v="335"/>
    <n v="6782"/>
    <x v="0"/>
  </r>
  <r>
    <s v="Gunar Cockshoot"/>
    <s v="China"/>
    <x v="1"/>
    <x v="335"/>
    <n v="8663"/>
    <x v="0"/>
  </r>
  <r>
    <s v="Jehu Rudeforth"/>
    <s v="Germany"/>
    <x v="7"/>
    <x v="335"/>
    <n v="1220"/>
    <x v="0"/>
  </r>
  <r>
    <s v="Gunar Cockshoot"/>
    <s v="China"/>
    <x v="2"/>
    <x v="335"/>
    <n v="2941"/>
    <x v="0"/>
  </r>
  <r>
    <s v="Marney O'Breem"/>
    <s v="China"/>
    <x v="6"/>
    <x v="335"/>
    <n v="3917"/>
    <x v="0"/>
  </r>
  <r>
    <s v="Jan Morforth"/>
    <s v="China"/>
    <x v="6"/>
    <x v="335"/>
    <n v="11292"/>
    <x v="0"/>
  </r>
  <r>
    <s v="Gunar Cockshoot"/>
    <s v="USA"/>
    <x v="0"/>
    <x v="336"/>
    <n v="5197"/>
    <x v="0"/>
  </r>
  <r>
    <s v="Gigi Bohling"/>
    <s v="USA"/>
    <x v="1"/>
    <x v="336"/>
    <n v="10407"/>
    <x v="0"/>
  </r>
  <r>
    <s v="Marney O'Breem"/>
    <s v="Switzerland"/>
    <x v="2"/>
    <x v="336"/>
    <n v="11179"/>
    <x v="0"/>
  </r>
  <r>
    <s v="Jan Morforth"/>
    <s v="China"/>
    <x v="4"/>
    <x v="337"/>
    <n v="9285"/>
    <x v="0"/>
  </r>
  <r>
    <s v="Oby Sorrel"/>
    <s v="China"/>
    <x v="2"/>
    <x v="337"/>
    <n v="3713"/>
    <x v="0"/>
  </r>
  <r>
    <s v="Gigi Bohling"/>
    <s v="UK"/>
    <x v="6"/>
    <x v="337"/>
    <n v="6697"/>
    <x v="0"/>
  </r>
  <r>
    <s v="Brien Boise"/>
    <s v="UK"/>
    <x v="6"/>
    <x v="337"/>
    <n v="8886"/>
    <x v="0"/>
  </r>
  <r>
    <s v="Beverie Moffet"/>
    <s v="UK"/>
    <x v="3"/>
    <x v="338"/>
    <n v="5607"/>
    <x v="0"/>
  </r>
  <r>
    <s v="Jehu Rudeforth"/>
    <s v="UK"/>
    <x v="5"/>
    <x v="339"/>
    <n v="5632"/>
    <x v="0"/>
  </r>
  <r>
    <s v="Van Tuxwell"/>
    <s v="Germany"/>
    <x v="6"/>
    <x v="339"/>
    <n v="7358"/>
    <x v="0"/>
  </r>
  <r>
    <s v="Gigi Bohling"/>
    <s v="UK"/>
    <x v="3"/>
    <x v="339"/>
    <n v="8686"/>
    <x v="0"/>
  </r>
  <r>
    <s v="Mallorie Waber"/>
    <s v="UK"/>
    <x v="7"/>
    <x v="340"/>
    <n v="10898"/>
    <x v="0"/>
  </r>
  <r>
    <s v="Gunar Cockshoot"/>
    <s v="Switzerland"/>
    <x v="1"/>
    <x v="341"/>
    <n v="3717"/>
    <x v="0"/>
  </r>
  <r>
    <s v="Beverie Moffet"/>
    <s v="China"/>
    <x v="5"/>
    <x v="342"/>
    <n v="5736"/>
    <x v="0"/>
  </r>
  <r>
    <s v="Marney O'Breem"/>
    <s v="USA"/>
    <x v="0"/>
    <x v="343"/>
    <n v="8833"/>
    <x v="0"/>
  </r>
  <r>
    <s v="Gigi Bohling"/>
    <s v="China"/>
    <x v="4"/>
    <x v="343"/>
    <n v="4877"/>
    <x v="0"/>
  </r>
  <r>
    <s v="Van Tuxwell"/>
    <s v="China"/>
    <x v="4"/>
    <x v="343"/>
    <n v="11435"/>
    <x v="0"/>
  </r>
  <r>
    <s v="Van Tuxwell"/>
    <s v="Canada"/>
    <x v="5"/>
    <x v="343"/>
    <n v="1921"/>
    <x v="0"/>
  </r>
  <r>
    <s v="Roddy Speechley"/>
    <s v="China"/>
    <x v="1"/>
    <x v="343"/>
    <n v="2583"/>
    <x v="0"/>
  </r>
  <r>
    <s v="Beverie Moffet"/>
    <s v="Germany"/>
    <x v="2"/>
    <x v="343"/>
    <n v="8007"/>
    <x v="0"/>
  </r>
  <r>
    <s v="Rafaela Blaksland"/>
    <s v="China"/>
    <x v="3"/>
    <x v="343"/>
    <n v="10668"/>
    <x v="0"/>
  </r>
  <r>
    <s v="Jehu Rudeforth"/>
    <s v="China"/>
    <x v="4"/>
    <x v="344"/>
    <n v="6287"/>
    <x v="0"/>
  </r>
  <r>
    <s v="Karlen McCaffrey"/>
    <s v="Canada"/>
    <x v="5"/>
    <x v="344"/>
    <n v="2494"/>
    <x v="0"/>
  </r>
  <r>
    <s v="Roddy Speechley"/>
    <s v="China"/>
    <x v="5"/>
    <x v="344"/>
    <n v="11568"/>
    <x v="0"/>
  </r>
  <r>
    <s v="Rafaela Blaksland"/>
    <s v="China"/>
    <x v="1"/>
    <x v="344"/>
    <n v="3952"/>
    <x v="0"/>
  </r>
  <r>
    <s v="Gigi Bohling"/>
    <s v="Switzerland"/>
    <x v="2"/>
    <x v="344"/>
    <n v="9315"/>
    <x v="0"/>
  </r>
  <r>
    <s v="Beverie Moffet"/>
    <s v="UK"/>
    <x v="1"/>
    <x v="345"/>
    <n v="4404"/>
    <x v="0"/>
  </r>
  <r>
    <s v="Gigi Bohling"/>
    <s v="Germany"/>
    <x v="6"/>
    <x v="345"/>
    <n v="8299"/>
    <x v="0"/>
  </r>
  <r>
    <s v="Barr Faughny"/>
    <s v="China"/>
    <x v="0"/>
    <x v="346"/>
    <n v="9428"/>
    <x v="0"/>
  </r>
  <r>
    <s v="Gunar Cockshoot"/>
    <s v="Germany"/>
    <x v="5"/>
    <x v="346"/>
    <n v="8307"/>
    <x v="0"/>
  </r>
  <r>
    <s v="Roddy Speechley"/>
    <s v="Germany"/>
    <x v="1"/>
    <x v="346"/>
    <n v="3600"/>
    <x v="0"/>
  </r>
  <r>
    <s v="Karlen McCaffrey"/>
    <s v="China"/>
    <x v="1"/>
    <x v="346"/>
    <n v="4920"/>
    <x v="0"/>
  </r>
  <r>
    <s v="Mallorie Waber"/>
    <s v="Switzerland"/>
    <x v="3"/>
    <x v="346"/>
    <n v="2307"/>
    <x v="0"/>
  </r>
  <r>
    <s v="Beverie Moffet"/>
    <s v="UK"/>
    <x v="0"/>
    <x v="347"/>
    <n v="3872"/>
    <x v="0"/>
  </r>
  <r>
    <s v="Brien Boise"/>
    <s v="USA"/>
    <x v="1"/>
    <x v="347"/>
    <n v="3517"/>
    <x v="0"/>
  </r>
  <r>
    <s v="Beverie Moffet"/>
    <s v="Canada"/>
    <x v="6"/>
    <x v="347"/>
    <n v="8822"/>
    <x v="0"/>
  </r>
  <r>
    <s v="Jan Morforth"/>
    <s v="China"/>
    <x v="6"/>
    <x v="347"/>
    <n v="8590"/>
    <x v="0"/>
  </r>
  <r>
    <s v="Beverie Moffet"/>
    <s v="UK"/>
    <x v="5"/>
    <x v="348"/>
    <n v="7721"/>
    <x v="0"/>
  </r>
  <r>
    <s v="Jan Morforth"/>
    <s v="Switzerland"/>
    <x v="6"/>
    <x v="348"/>
    <n v="1942"/>
    <x v="0"/>
  </r>
  <r>
    <s v="Brien Boise"/>
    <s v="USA"/>
    <x v="4"/>
    <x v="349"/>
    <n v="13008"/>
    <x v="0"/>
  </r>
  <r>
    <s v="Gunar Cockshoot"/>
    <s v="China"/>
    <x v="5"/>
    <x v="349"/>
    <n v="2907"/>
    <x v="0"/>
  </r>
  <r>
    <s v="Van Tuxwell"/>
    <s v="China"/>
    <x v="2"/>
    <x v="349"/>
    <n v="11725"/>
    <x v="0"/>
  </r>
  <r>
    <s v="Jehu Rudeforth"/>
    <s v="China"/>
    <x v="6"/>
    <x v="349"/>
    <n v="6801"/>
    <x v="0"/>
  </r>
  <r>
    <s v="Barr Faughny"/>
    <s v="USA"/>
    <x v="6"/>
    <x v="349"/>
    <n v="10213"/>
    <x v="0"/>
  </r>
  <r>
    <s v="Gunar Cockshoot"/>
    <s v="USA"/>
    <x v="3"/>
    <x v="349"/>
    <n v="7611"/>
    <x v="0"/>
  </r>
  <r>
    <s v="Marney O'Breem"/>
    <s v="UK"/>
    <x v="3"/>
    <x v="349"/>
    <n v="12255"/>
    <x v="0"/>
  </r>
  <r>
    <s v="Jehu Rudeforth"/>
    <s v="Switzerland"/>
    <x v="0"/>
    <x v="350"/>
    <n v="8152"/>
    <x v="0"/>
  </r>
  <r>
    <s v="Gigi Bohling"/>
    <s v="UK"/>
    <x v="7"/>
    <x v="350"/>
    <n v="13433"/>
    <x v="0"/>
  </r>
  <r>
    <s v="Beverie Moffet"/>
    <s v="USA"/>
    <x v="7"/>
    <x v="350"/>
    <n v="12288"/>
    <x v="0"/>
  </r>
  <r>
    <s v="Brien Boise"/>
    <s v="Germany"/>
    <x v="2"/>
    <x v="350"/>
    <n v="5772"/>
    <x v="0"/>
  </r>
  <r>
    <s v="Karlen McCaffrey"/>
    <s v="China"/>
    <x v="5"/>
    <x v="351"/>
    <n v="8609"/>
    <x v="0"/>
  </r>
  <r>
    <s v="Jan Morforth"/>
    <s v="China"/>
    <x v="5"/>
    <x v="351"/>
    <n v="4952"/>
    <x v="0"/>
  </r>
  <r>
    <s v="Mallorie Waber"/>
    <s v="USA"/>
    <x v="1"/>
    <x v="351"/>
    <n v="9195"/>
    <x v="0"/>
  </r>
  <r>
    <s v="Van Tuxwell"/>
    <s v="UK"/>
    <x v="5"/>
    <x v="352"/>
    <n v="1585"/>
    <x v="0"/>
  </r>
  <r>
    <s v="Jan Morforth"/>
    <s v="Germany"/>
    <x v="1"/>
    <x v="352"/>
    <n v="8863"/>
    <x v="0"/>
  </r>
  <r>
    <s v="Jan Morforth"/>
    <s v="UK"/>
    <x v="1"/>
    <x v="352"/>
    <n v="4370"/>
    <x v="0"/>
  </r>
  <r>
    <s v="Brien Boise"/>
    <s v="USA"/>
    <x v="2"/>
    <x v="352"/>
    <n v="7954"/>
    <x v="0"/>
  </r>
  <r>
    <s v="Van Tuxwell"/>
    <s v="Canada"/>
    <x v="0"/>
    <x v="353"/>
    <n v="12974"/>
    <x v="0"/>
  </r>
  <r>
    <s v="Jan Morforth"/>
    <s v="Canada"/>
    <x v="4"/>
    <x v="353"/>
    <n v="5452"/>
    <x v="0"/>
  </r>
  <r>
    <s v="Gigi Bohling"/>
    <s v="Switzerland"/>
    <x v="1"/>
    <x v="353"/>
    <n v="1554"/>
    <x v="0"/>
  </r>
  <r>
    <s v="Jan Morforth"/>
    <s v="USA"/>
    <x v="7"/>
    <x v="353"/>
    <n v="13613"/>
    <x v="0"/>
  </r>
  <r>
    <s v="Curtice Advani"/>
    <s v="Switzerland"/>
    <x v="0"/>
    <x v="354"/>
    <n v="10387"/>
    <x v="0"/>
  </r>
  <r>
    <s v="Rafaela Blaksland"/>
    <s v="Canada"/>
    <x v="5"/>
    <x v="354"/>
    <n v="1828"/>
    <x v="0"/>
  </r>
  <r>
    <s v="Gunar Cockshoot"/>
    <s v="Germany"/>
    <x v="4"/>
    <x v="355"/>
    <n v="5544"/>
    <x v="0"/>
  </r>
  <r>
    <s v="Curtice Advani"/>
    <s v="China"/>
    <x v="4"/>
    <x v="355"/>
    <n v="9027"/>
    <x v="0"/>
  </r>
  <r>
    <s v="Curtice Advani"/>
    <s v="UK"/>
    <x v="2"/>
    <x v="355"/>
    <n v="1322"/>
    <x v="0"/>
  </r>
  <r>
    <s v="Jehu Rudeforth"/>
    <s v="UK"/>
    <x v="6"/>
    <x v="355"/>
    <n v="10220"/>
    <x v="0"/>
  </r>
  <r>
    <s v="Roddy Speechley"/>
    <s v="Canada"/>
    <x v="0"/>
    <x v="356"/>
    <n v="1731"/>
    <x v="0"/>
  </r>
  <r>
    <s v="Gigi Bohling"/>
    <s v="Canada"/>
    <x v="4"/>
    <x v="356"/>
    <n v="12292"/>
    <x v="0"/>
  </r>
  <r>
    <s v="Beverie Moffet"/>
    <s v="China"/>
    <x v="2"/>
    <x v="356"/>
    <n v="3571"/>
    <x v="0"/>
  </r>
  <r>
    <s v="Karlen McCaffrey"/>
    <s v="Switzerland"/>
    <x v="1"/>
    <x v="357"/>
    <n v="2579"/>
    <x v="0"/>
  </r>
  <r>
    <s v="Van Tuxwell"/>
    <s v="UK"/>
    <x v="7"/>
    <x v="357"/>
    <n v="5835"/>
    <x v="0"/>
  </r>
  <r>
    <s v="Barr Faughny"/>
    <s v="Switzerland"/>
    <x v="7"/>
    <x v="357"/>
    <n v="13704"/>
    <x v="0"/>
  </r>
  <r>
    <s v="Mallorie Waber"/>
    <s v="USA"/>
    <x v="4"/>
    <x v="358"/>
    <n v="1551"/>
    <x v="0"/>
  </r>
  <r>
    <s v="Karlen McCaffrey"/>
    <s v="Germany"/>
    <x v="4"/>
    <x v="358"/>
    <n v="7917"/>
    <x v="0"/>
  </r>
  <r>
    <s v="Oby Sorrel"/>
    <s v="USA"/>
    <x v="7"/>
    <x v="358"/>
    <n v="6777"/>
    <x v="0"/>
  </r>
  <r>
    <s v="Oby Sorrel"/>
    <s v="Canada"/>
    <x v="7"/>
    <x v="358"/>
    <n v="4268"/>
    <x v="0"/>
  </r>
  <r>
    <s v="Brien Boise"/>
    <s v="Germany"/>
    <x v="2"/>
    <x v="358"/>
    <n v="9621"/>
    <x v="0"/>
  </r>
  <r>
    <s v="Marney O'Breem"/>
    <s v="Switzerland"/>
    <x v="6"/>
    <x v="358"/>
    <n v="6022"/>
    <x v="0"/>
  </r>
  <r>
    <s v="Beverie Moffet"/>
    <s v="USA"/>
    <x v="6"/>
    <x v="358"/>
    <n v="3007"/>
    <x v="0"/>
  </r>
  <r>
    <s v="Jehu Rudeforth"/>
    <s v="USA"/>
    <x v="1"/>
    <x v="359"/>
    <n v="7839"/>
    <x v="0"/>
  </r>
  <r>
    <s v="Gigi Bohling"/>
    <s v="Germany"/>
    <x v="1"/>
    <x v="359"/>
    <n v="10560"/>
    <x v="0"/>
  </r>
  <r>
    <s v="Jan Morforth"/>
    <s v="Germany"/>
    <x v="3"/>
    <x v="359"/>
    <n v="13045"/>
    <x v="0"/>
  </r>
  <r>
    <s v="Marney O'Breem"/>
    <s v="Canada"/>
    <x v="3"/>
    <x v="359"/>
    <n v="12825"/>
    <x v="0"/>
  </r>
  <r>
    <s v="Gunar Cockshoot"/>
    <s v="USA"/>
    <x v="4"/>
    <x v="360"/>
    <n v="3890"/>
    <x v="0"/>
  </r>
  <r>
    <s v="Jehu Rudeforth"/>
    <s v="China"/>
    <x v="1"/>
    <x v="360"/>
    <n v="7733"/>
    <x v="0"/>
  </r>
  <r>
    <s v="Roddy Speechley"/>
    <s v="China"/>
    <x v="6"/>
    <x v="360"/>
    <n v="11656"/>
    <x v="0"/>
  </r>
  <r>
    <s v="Gunar Cockshoot"/>
    <s v="UK"/>
    <x v="3"/>
    <x v="360"/>
    <n v="10029"/>
    <x v="0"/>
  </r>
  <r>
    <s v="Beverie Moffet"/>
    <s v="Switzerland"/>
    <x v="3"/>
    <x v="360"/>
    <n v="9119"/>
    <x v="0"/>
  </r>
  <r>
    <s v="Roddy Speechley"/>
    <s v="UK"/>
    <x v="0"/>
    <x v="361"/>
    <n v="7088"/>
    <x v="0"/>
  </r>
  <r>
    <s v="Beverie Moffet"/>
    <s v="Canada"/>
    <x v="4"/>
    <x v="361"/>
    <n v="8370"/>
    <x v="0"/>
  </r>
  <r>
    <s v="Brien Boise"/>
    <s v="UK"/>
    <x v="4"/>
    <x v="361"/>
    <n v="3864"/>
    <x v="0"/>
  </r>
  <r>
    <s v="Brien Boise"/>
    <s v="USA"/>
    <x v="5"/>
    <x v="361"/>
    <n v="9639"/>
    <x v="0"/>
  </r>
  <r>
    <s v="Marney O'Breem"/>
    <s v="Switzerland"/>
    <x v="5"/>
    <x v="361"/>
    <n v="6490"/>
    <x v="0"/>
  </r>
  <r>
    <s v="Gunar Cockshoot"/>
    <s v="Canada"/>
    <x v="7"/>
    <x v="361"/>
    <n v="7358"/>
    <x v="0"/>
  </r>
  <r>
    <s v="Gunar Cockshoot"/>
    <s v="UK"/>
    <x v="7"/>
    <x v="361"/>
    <n v="10934"/>
    <x v="0"/>
  </r>
  <r>
    <s v="Brien Boise"/>
    <s v="USA"/>
    <x v="2"/>
    <x v="361"/>
    <n v="12356"/>
    <x v="0"/>
  </r>
  <r>
    <s v="Jan Morforth"/>
    <s v="Canada"/>
    <x v="1"/>
    <x v="362"/>
    <n v="4751"/>
    <x v="0"/>
  </r>
  <r>
    <s v="Van Tuxwell"/>
    <s v="Germany"/>
    <x v="1"/>
    <x v="362"/>
    <n v="4511"/>
    <x v="0"/>
  </r>
  <r>
    <s v="Oby Sorrel"/>
    <s v="UK"/>
    <x v="7"/>
    <x v="362"/>
    <n v="13876"/>
    <x v="0"/>
  </r>
  <r>
    <s v="Marney O'Breem"/>
    <s v="Germany"/>
    <x v="2"/>
    <x v="362"/>
    <n v="6115"/>
    <x v="0"/>
  </r>
  <r>
    <s v="Van Tuxwell"/>
    <s v="Germany"/>
    <x v="3"/>
    <x v="362"/>
    <n v="5090"/>
    <x v="0"/>
  </r>
  <r>
    <s v="Curtice Advani"/>
    <s v="Switzerland"/>
    <x v="1"/>
    <x v="363"/>
    <n v="11007"/>
    <x v="0"/>
  </r>
  <r>
    <s v="Gigi Bohling"/>
    <s v="USA"/>
    <x v="7"/>
    <x v="363"/>
    <n v="7699"/>
    <x v="0"/>
  </r>
  <r>
    <s v="Oby Sorrel"/>
    <s v="Canada"/>
    <x v="0"/>
    <x v="364"/>
    <n v="3267"/>
    <x v="0"/>
  </r>
  <r>
    <s v="Mallorie Waber"/>
    <s v="Switzerland"/>
    <x v="4"/>
    <x v="364"/>
    <n v="7424"/>
    <x v="0"/>
  </r>
  <r>
    <s v="Brien Boise"/>
    <s v="Canada"/>
    <x v="5"/>
    <x v="364"/>
    <n v="2981"/>
    <x v="0"/>
  </r>
  <r>
    <s v="Van Tuxwell"/>
    <s v="USA"/>
    <x v="5"/>
    <x v="364"/>
    <n v="1680"/>
    <x v="0"/>
  </r>
  <r>
    <s v="Marney O'Breem"/>
    <s v="Canada"/>
    <x v="5"/>
    <x v="364"/>
    <n v="8234"/>
    <x v="0"/>
  </r>
  <r>
    <s v="Gunar Cockshoot"/>
    <s v="Canada"/>
    <x v="1"/>
    <x v="364"/>
    <n v="10024"/>
    <x v="0"/>
  </r>
  <r>
    <s v="Jehu Rudeforth"/>
    <s v="Switzerland"/>
    <x v="2"/>
    <x v="364"/>
    <n v="5670"/>
    <x v="0"/>
  </r>
  <r>
    <s v="Gigi Bohling"/>
    <s v="Canada"/>
    <x v="6"/>
    <x v="364"/>
    <n v="8151"/>
    <x v="0"/>
  </r>
  <r>
    <s v="Jan Morforth"/>
    <s v="Switzerland"/>
    <x v="0"/>
    <x v="365"/>
    <n v="9608"/>
    <x v="0"/>
  </r>
  <r>
    <s v="Barr Faughny"/>
    <s v="USA"/>
    <x v="4"/>
    <x v="365"/>
    <n v="1398"/>
    <x v="0"/>
  </r>
  <r>
    <s v="Rafaela Blaksland"/>
    <s v="UK"/>
    <x v="1"/>
    <x v="365"/>
    <n v="1975"/>
    <x v="0"/>
  </r>
  <r>
    <s v="Van Tuxwell"/>
    <s v="Canada"/>
    <x v="1"/>
    <x v="365"/>
    <n v="9132"/>
    <x v="0"/>
  </r>
  <r>
    <s v="Jan Morforth"/>
    <s v="Canada"/>
    <x v="7"/>
    <x v="365"/>
    <n v="3723"/>
    <x v="0"/>
  </r>
  <r>
    <s v="Marney O'Breem"/>
    <s v="UK"/>
    <x v="2"/>
    <x v="365"/>
    <n v="1243"/>
    <x v="0"/>
  </r>
  <r>
    <s v="Oby Sorrel"/>
    <s v="Switzerland"/>
    <x v="1"/>
    <x v="366"/>
    <n v="11464"/>
    <x v="0"/>
  </r>
  <r>
    <s v="Rafaela Blaksland"/>
    <s v="UK"/>
    <x v="2"/>
    <x v="366"/>
    <n v="3469"/>
    <x v="0"/>
  </r>
  <r>
    <s v="Van Tuxwell"/>
    <s v="UK"/>
    <x v="2"/>
    <x v="366"/>
    <n v="9136"/>
    <x v="0"/>
  </r>
  <r>
    <s v="Barr Faughny"/>
    <s v="USA"/>
    <x v="0"/>
    <x v="367"/>
    <n v="11549"/>
    <x v="0"/>
  </r>
  <r>
    <s v="Gigi Bohling"/>
    <s v="Germany"/>
    <x v="1"/>
    <x v="367"/>
    <n v="11348"/>
    <x v="0"/>
  </r>
  <r>
    <s v="Gunar Cockshoot"/>
    <s v="UK"/>
    <x v="1"/>
    <x v="367"/>
    <n v="8021"/>
    <x v="0"/>
  </r>
  <r>
    <s v="Beverie Moffet"/>
    <s v="Germany"/>
    <x v="7"/>
    <x v="367"/>
    <n v="9330"/>
    <x v="0"/>
  </r>
  <r>
    <s v="Van Tuxwell"/>
    <s v="UK"/>
    <x v="3"/>
    <x v="367"/>
    <n v="7024"/>
    <x v="0"/>
  </r>
  <r>
    <s v="Marney O'Breem"/>
    <s v="Canada"/>
    <x v="0"/>
    <x v="368"/>
    <n v="3790"/>
    <x v="0"/>
  </r>
  <r>
    <s v="Marney O'Breem"/>
    <s v="Canada"/>
    <x v="0"/>
    <x v="368"/>
    <n v="12482"/>
    <x v="0"/>
  </r>
  <r>
    <s v="Curtice Advani"/>
    <s v="Canada"/>
    <x v="2"/>
    <x v="368"/>
    <n v="3147"/>
    <x v="0"/>
  </r>
  <r>
    <s v="Mallorie Waber"/>
    <s v="USA"/>
    <x v="3"/>
    <x v="368"/>
    <n v="1280"/>
    <x v="0"/>
  </r>
  <r>
    <s v="Oby Sorrel"/>
    <s v="USA"/>
    <x v="3"/>
    <x v="368"/>
    <n v="2160"/>
    <x v="0"/>
  </r>
  <r>
    <s v="Jan Morforth"/>
    <s v="China"/>
    <x v="0"/>
    <x v="369"/>
    <n v="8538"/>
    <x v="0"/>
  </r>
  <r>
    <s v="Van Tuxwell"/>
    <s v="Switzerland"/>
    <x v="0"/>
    <x v="369"/>
    <n v="7712"/>
    <x v="0"/>
  </r>
  <r>
    <s v="Beverie Moffet"/>
    <s v="USA"/>
    <x v="6"/>
    <x v="369"/>
    <n v="2882"/>
    <x v="0"/>
  </r>
  <r>
    <s v="Van Tuxwell"/>
    <s v="UK"/>
    <x v="3"/>
    <x v="369"/>
    <n v="8920"/>
    <x v="0"/>
  </r>
  <r>
    <s v="Roddy Speechley"/>
    <s v="UK"/>
    <x v="4"/>
    <x v="370"/>
    <n v="3757"/>
    <x v="0"/>
  </r>
  <r>
    <s v="Curtice Advani"/>
    <s v="Switzerland"/>
    <x v="5"/>
    <x v="370"/>
    <n v="13946"/>
    <x v="0"/>
  </r>
  <r>
    <s v="Rafaela Blaksland"/>
    <s v="Switzerland"/>
    <x v="1"/>
    <x v="370"/>
    <n v="3206"/>
    <x v="0"/>
  </r>
  <r>
    <s v="Jehu Rudeforth"/>
    <s v="China"/>
    <x v="2"/>
    <x v="370"/>
    <n v="10245"/>
    <x v="0"/>
  </r>
  <r>
    <s v="Mallorie Waber"/>
    <s v="China"/>
    <x v="6"/>
    <x v="370"/>
    <n v="8862"/>
    <x v="0"/>
  </r>
  <r>
    <s v="Karlen McCaffrey"/>
    <s v="Canada"/>
    <x v="6"/>
    <x v="370"/>
    <n v="5034"/>
    <x v="0"/>
  </r>
  <r>
    <s v="Curtice Advani"/>
    <s v="China"/>
    <x v="6"/>
    <x v="370"/>
    <n v="13921"/>
    <x v="0"/>
  </r>
  <r>
    <s v="Oby Sorrel"/>
    <s v="Germany"/>
    <x v="0"/>
    <x v="371"/>
    <n v="11961"/>
    <x v="0"/>
  </r>
  <r>
    <s v="Curtice Advani"/>
    <s v="USA"/>
    <x v="0"/>
    <x v="371"/>
    <n v="3255"/>
    <x v="0"/>
  </r>
  <r>
    <s v="Roddy Speechley"/>
    <s v="China"/>
    <x v="1"/>
    <x v="371"/>
    <n v="13991"/>
    <x v="0"/>
  </r>
  <r>
    <s v="Roddy Speechley"/>
    <s v="USA"/>
    <x v="6"/>
    <x v="371"/>
    <n v="12954"/>
    <x v="0"/>
  </r>
  <r>
    <s v="Oby Sorrel"/>
    <s v="Switzerland"/>
    <x v="3"/>
    <x v="371"/>
    <n v="5548"/>
    <x v="0"/>
  </r>
  <r>
    <s v="Gunar Cockshoot"/>
    <s v="China"/>
    <x v="4"/>
    <x v="372"/>
    <n v="3338"/>
    <x v="0"/>
  </r>
  <r>
    <s v="Oby Sorrel"/>
    <s v="China"/>
    <x v="5"/>
    <x v="372"/>
    <n v="8111"/>
    <x v="0"/>
  </r>
  <r>
    <s v="Brien Boise"/>
    <s v="Switzerland"/>
    <x v="1"/>
    <x v="372"/>
    <n v="3388"/>
    <x v="0"/>
  </r>
  <r>
    <s v="Roddy Speechley"/>
    <s v="USA"/>
    <x v="6"/>
    <x v="372"/>
    <n v="6031"/>
    <x v="0"/>
  </r>
  <r>
    <s v="Marney O'Breem"/>
    <s v="UK"/>
    <x v="6"/>
    <x v="372"/>
    <n v="7427"/>
    <x v="0"/>
  </r>
  <r>
    <s v="Rafaela Blaksland"/>
    <s v="UK"/>
    <x v="2"/>
    <x v="373"/>
    <n v="2277"/>
    <x v="0"/>
  </r>
  <r>
    <s v="Marney O'Breem"/>
    <s v="Canada"/>
    <x v="5"/>
    <x v="374"/>
    <n v="2711"/>
    <x v="0"/>
  </r>
  <r>
    <s v="Rafaela Blaksland"/>
    <s v="UK"/>
    <x v="1"/>
    <x v="374"/>
    <n v="7226"/>
    <x v="0"/>
  </r>
  <r>
    <s v="Mallorie Waber"/>
    <s v="Germany"/>
    <x v="3"/>
    <x v="374"/>
    <n v="2255"/>
    <x v="0"/>
  </r>
  <r>
    <s v="Curtice Advani"/>
    <s v="China"/>
    <x v="3"/>
    <x v="374"/>
    <n v="4056"/>
    <x v="0"/>
  </r>
  <r>
    <s v="Jehu Rudeforth"/>
    <s v="Germany"/>
    <x v="3"/>
    <x v="374"/>
    <n v="7099"/>
    <x v="0"/>
  </r>
  <r>
    <s v="Oby Sorrel"/>
    <s v="Switzerland"/>
    <x v="5"/>
    <x v="375"/>
    <n v="12145"/>
    <x v="0"/>
  </r>
  <r>
    <s v="Gigi Bohling"/>
    <s v="USA"/>
    <x v="5"/>
    <x v="375"/>
    <n v="6408"/>
    <x v="0"/>
  </r>
  <r>
    <s v="Curtice Advani"/>
    <s v="China"/>
    <x v="1"/>
    <x v="375"/>
    <n v="11167"/>
    <x v="0"/>
  </r>
  <r>
    <s v="Jehu Rudeforth"/>
    <s v="USA"/>
    <x v="1"/>
    <x v="376"/>
    <n v="2777"/>
    <x v="0"/>
  </r>
  <r>
    <s v="Barr Faughny"/>
    <s v="China"/>
    <x v="2"/>
    <x v="376"/>
    <n v="1195"/>
    <x v="0"/>
  </r>
  <r>
    <s v="Karlen McCaffrey"/>
    <s v="USA"/>
    <x v="3"/>
    <x v="376"/>
    <n v="10757"/>
    <x v="0"/>
  </r>
  <r>
    <s v="Curtice Advani"/>
    <s v="UK"/>
    <x v="1"/>
    <x v="377"/>
    <n v="10355"/>
    <x v="0"/>
  </r>
  <r>
    <s v="Karlen McCaffrey"/>
    <s v="Switzerland"/>
    <x v="5"/>
    <x v="378"/>
    <n v="4063"/>
    <x v="0"/>
  </r>
  <r>
    <s v="Beverie Moffet"/>
    <s v="USA"/>
    <x v="5"/>
    <x v="378"/>
    <n v="6940"/>
    <x v="0"/>
  </r>
  <r>
    <s v="Van Tuxwell"/>
    <s v="China"/>
    <x v="2"/>
    <x v="378"/>
    <n v="11454"/>
    <x v="0"/>
  </r>
  <r>
    <s v="Curtice Advani"/>
    <s v="Germany"/>
    <x v="2"/>
    <x v="378"/>
    <n v="7770"/>
    <x v="0"/>
  </r>
  <r>
    <s v="Oby Sorrel"/>
    <s v="UK"/>
    <x v="3"/>
    <x v="378"/>
    <n v="12408"/>
    <x v="0"/>
  </r>
  <r>
    <s v="Gunar Cockshoot"/>
    <s v="China"/>
    <x v="0"/>
    <x v="379"/>
    <n v="2625"/>
    <x v="0"/>
  </r>
  <r>
    <s v="Karlen McCaffrey"/>
    <s v="Canada"/>
    <x v="5"/>
    <x v="379"/>
    <n v="12674"/>
    <x v="0"/>
  </r>
  <r>
    <s v="Beverie Moffet"/>
    <s v="UK"/>
    <x v="5"/>
    <x v="379"/>
    <n v="11831"/>
    <x v="0"/>
  </r>
  <r>
    <s v="Curtice Advani"/>
    <s v="UK"/>
    <x v="7"/>
    <x v="379"/>
    <n v="13222"/>
    <x v="0"/>
  </r>
  <r>
    <s v="Rafaela Blaksland"/>
    <s v="Canada"/>
    <x v="3"/>
    <x v="379"/>
    <n v="11437"/>
    <x v="0"/>
  </r>
  <r>
    <s v="Barr Faughny"/>
    <s v="China"/>
    <x v="0"/>
    <x v="380"/>
    <n v="11245"/>
    <x v="0"/>
  </r>
  <r>
    <s v="Roddy Speechley"/>
    <s v="Switzerland"/>
    <x v="4"/>
    <x v="380"/>
    <n v="12076"/>
    <x v="0"/>
  </r>
  <r>
    <s v="Mallorie Waber"/>
    <s v="UK"/>
    <x v="5"/>
    <x v="381"/>
    <n v="4966"/>
    <x v="0"/>
  </r>
  <r>
    <s v="Karlen McCaffrey"/>
    <s v="China"/>
    <x v="1"/>
    <x v="381"/>
    <n v="9309"/>
    <x v="0"/>
  </r>
  <r>
    <s v="Mallorie Waber"/>
    <s v="UK"/>
    <x v="7"/>
    <x v="381"/>
    <n v="3365"/>
    <x v="0"/>
  </r>
  <r>
    <s v="Roddy Speechley"/>
    <s v="USA"/>
    <x v="7"/>
    <x v="381"/>
    <n v="2847"/>
    <x v="0"/>
  </r>
  <r>
    <s v="Jan Morforth"/>
    <s v="USA"/>
    <x v="6"/>
    <x v="381"/>
    <n v="10714"/>
    <x v="0"/>
  </r>
  <r>
    <s v="Mallorie Waber"/>
    <s v="Germany"/>
    <x v="3"/>
    <x v="381"/>
    <n v="13965"/>
    <x v="0"/>
  </r>
  <r>
    <s v="Barr Faughny"/>
    <s v="UK"/>
    <x v="3"/>
    <x v="381"/>
    <n v="2841"/>
    <x v="0"/>
  </r>
  <r>
    <s v="Jan Morforth"/>
    <s v="China"/>
    <x v="0"/>
    <x v="382"/>
    <n v="9998"/>
    <x v="0"/>
  </r>
  <r>
    <s v="Van Tuxwell"/>
    <s v="Canada"/>
    <x v="5"/>
    <x v="382"/>
    <n v="10019"/>
    <x v="0"/>
  </r>
  <r>
    <s v="Curtice Advani"/>
    <s v="Germany"/>
    <x v="2"/>
    <x v="382"/>
    <n v="12072"/>
    <x v="0"/>
  </r>
  <r>
    <s v="Marney O'Breem"/>
    <s v="USA"/>
    <x v="6"/>
    <x v="382"/>
    <n v="6881"/>
    <x v="0"/>
  </r>
  <r>
    <s v="Marney O'Breem"/>
    <s v="Switzerland"/>
    <x v="3"/>
    <x v="382"/>
    <n v="4414"/>
    <x v="0"/>
  </r>
  <r>
    <s v="Curtice Advani"/>
    <s v="USA"/>
    <x v="3"/>
    <x v="382"/>
    <n v="6083"/>
    <x v="0"/>
  </r>
  <r>
    <s v="Curtice Advani"/>
    <s v="China"/>
    <x v="5"/>
    <x v="383"/>
    <n v="5648"/>
    <x v="0"/>
  </r>
  <r>
    <s v="Gigi Bohling"/>
    <s v="UK"/>
    <x v="2"/>
    <x v="383"/>
    <n v="1932"/>
    <x v="0"/>
  </r>
  <r>
    <s v="Van Tuxwell"/>
    <s v="UK"/>
    <x v="6"/>
    <x v="383"/>
    <n v="4466"/>
    <x v="0"/>
  </r>
  <r>
    <s v="Oby Sorrel"/>
    <s v="China"/>
    <x v="4"/>
    <x v="384"/>
    <n v="8317"/>
    <x v="0"/>
  </r>
  <r>
    <s v="Van Tuxwell"/>
    <s v="Canada"/>
    <x v="7"/>
    <x v="384"/>
    <n v="3212"/>
    <x v="0"/>
  </r>
  <r>
    <s v="Rafaela Blaksland"/>
    <s v="Switzerland"/>
    <x v="0"/>
    <x v="385"/>
    <n v="10664"/>
    <x v="0"/>
  </r>
  <r>
    <s v="Roddy Speechley"/>
    <s v="UK"/>
    <x v="5"/>
    <x v="385"/>
    <n v="12783"/>
    <x v="0"/>
  </r>
  <r>
    <s v="Van Tuxwell"/>
    <s v="Canada"/>
    <x v="1"/>
    <x v="385"/>
    <n v="6558"/>
    <x v="0"/>
  </r>
  <r>
    <s v="Marney O'Breem"/>
    <s v="Switzerland"/>
    <x v="7"/>
    <x v="385"/>
    <n v="7410"/>
    <x v="0"/>
  </r>
  <r>
    <s v="Gunar Cockshoot"/>
    <s v="UK"/>
    <x v="3"/>
    <x v="385"/>
    <n v="13831"/>
    <x v="0"/>
  </r>
  <r>
    <s v="Jehu Rudeforth"/>
    <s v="Canada"/>
    <x v="1"/>
    <x v="386"/>
    <n v="11971"/>
    <x v="0"/>
  </r>
  <r>
    <s v="Jehu Rudeforth"/>
    <s v="UK"/>
    <x v="0"/>
    <x v="387"/>
    <n v="9373"/>
    <x v="0"/>
  </r>
  <r>
    <s v="Oby Sorrel"/>
    <s v="Germany"/>
    <x v="0"/>
    <x v="387"/>
    <n v="13782"/>
    <x v="0"/>
  </r>
  <r>
    <s v="Brien Boise"/>
    <s v="Switzerland"/>
    <x v="1"/>
    <x v="387"/>
    <n v="3294"/>
    <x v="0"/>
  </r>
  <r>
    <s v="Jan Morforth"/>
    <s v="Switzerland"/>
    <x v="4"/>
    <x v="388"/>
    <n v="5975"/>
    <x v="0"/>
  </r>
  <r>
    <s v="Jehu Rudeforth"/>
    <s v="UK"/>
    <x v="4"/>
    <x v="388"/>
    <n v="9986"/>
    <x v="0"/>
  </r>
  <r>
    <s v="Curtice Advani"/>
    <s v="Switzerland"/>
    <x v="1"/>
    <x v="388"/>
    <n v="10455"/>
    <x v="0"/>
  </r>
  <r>
    <s v="Jehu Rudeforth"/>
    <s v="China"/>
    <x v="2"/>
    <x v="388"/>
    <n v="6110"/>
    <x v="0"/>
  </r>
  <r>
    <s v="Gunar Cockshoot"/>
    <s v="Germany"/>
    <x v="3"/>
    <x v="388"/>
    <n v="12934"/>
    <x v="0"/>
  </r>
  <r>
    <s v="Jehu Rudeforth"/>
    <s v="Switzerland"/>
    <x v="4"/>
    <x v="389"/>
    <n v="2728"/>
    <x v="0"/>
  </r>
  <r>
    <s v="Karlen McCaffrey"/>
    <s v="Switzerland"/>
    <x v="1"/>
    <x v="390"/>
    <n v="9183"/>
    <x v="0"/>
  </r>
  <r>
    <s v="Gunar Cockshoot"/>
    <s v="UK"/>
    <x v="2"/>
    <x v="390"/>
    <n v="3327"/>
    <x v="0"/>
  </r>
  <r>
    <s v="Gigi Bohling"/>
    <s v="USA"/>
    <x v="2"/>
    <x v="390"/>
    <n v="12096"/>
    <x v="0"/>
  </r>
  <r>
    <s v="Beverie Moffet"/>
    <s v="Canada"/>
    <x v="0"/>
    <x v="391"/>
    <n v="8289"/>
    <x v="0"/>
  </r>
  <r>
    <s v="Jehu Rudeforth"/>
    <s v="USA"/>
    <x v="5"/>
    <x v="391"/>
    <n v="12579"/>
    <x v="0"/>
  </r>
  <r>
    <s v="Karlen McCaffrey"/>
    <s v="UK"/>
    <x v="1"/>
    <x v="391"/>
    <n v="3926"/>
    <x v="0"/>
  </r>
  <r>
    <s v="Mallorie Waber"/>
    <s v="Germany"/>
    <x v="7"/>
    <x v="391"/>
    <n v="5313"/>
    <x v="0"/>
  </r>
  <r>
    <s v="Mallorie Waber"/>
    <s v="USA"/>
    <x v="2"/>
    <x v="392"/>
    <n v="1587"/>
    <x v="0"/>
  </r>
  <r>
    <s v="Roddy Speechley"/>
    <s v="UK"/>
    <x v="2"/>
    <x v="392"/>
    <n v="12056"/>
    <x v="0"/>
  </r>
  <r>
    <s v="Marney O'Breem"/>
    <s v="Canada"/>
    <x v="2"/>
    <x v="392"/>
    <n v="11892"/>
    <x v="0"/>
  </r>
  <r>
    <s v="Gunar Cockshoot"/>
    <s v="USA"/>
    <x v="6"/>
    <x v="392"/>
    <n v="10203"/>
    <x v="0"/>
  </r>
  <r>
    <s v="Jehu Rudeforth"/>
    <s v="Canada"/>
    <x v="1"/>
    <x v="393"/>
    <n v="2147"/>
    <x v="0"/>
  </r>
  <r>
    <s v="Gunar Cockshoot"/>
    <s v="UK"/>
    <x v="1"/>
    <x v="393"/>
    <n v="6607"/>
    <x v="0"/>
  </r>
  <r>
    <s v="Marney O'Breem"/>
    <s v="Germany"/>
    <x v="7"/>
    <x v="393"/>
    <n v="7221"/>
    <x v="0"/>
  </r>
  <r>
    <s v="Jehu Rudeforth"/>
    <s v="UK"/>
    <x v="7"/>
    <x v="393"/>
    <n v="11411"/>
    <x v="0"/>
  </r>
  <r>
    <s v="Oby Sorrel"/>
    <s v="Switzerland"/>
    <x v="2"/>
    <x v="393"/>
    <n v="3169"/>
    <x v="0"/>
  </r>
  <r>
    <s v="Mallorie Waber"/>
    <s v="UK"/>
    <x v="6"/>
    <x v="393"/>
    <n v="2877"/>
    <x v="0"/>
  </r>
  <r>
    <s v="Rafaela Blaksland"/>
    <s v="Canada"/>
    <x v="0"/>
    <x v="394"/>
    <n v="7885"/>
    <x v="0"/>
  </r>
  <r>
    <s v="Mallorie Waber"/>
    <s v="Canada"/>
    <x v="7"/>
    <x v="394"/>
    <n v="5604"/>
    <x v="0"/>
  </r>
  <r>
    <s v="Van Tuxwell"/>
    <s v="Switzerland"/>
    <x v="2"/>
    <x v="394"/>
    <n v="2682"/>
    <x v="0"/>
  </r>
  <r>
    <s v="Van Tuxwell"/>
    <s v="UK"/>
    <x v="4"/>
    <x v="395"/>
    <n v="7658"/>
    <x v="0"/>
  </r>
  <r>
    <s v="Brien Boise"/>
    <s v="Switzerland"/>
    <x v="4"/>
    <x v="395"/>
    <n v="4406"/>
    <x v="0"/>
  </r>
  <r>
    <s v="Curtice Advani"/>
    <s v="Germany"/>
    <x v="7"/>
    <x v="395"/>
    <n v="2876"/>
    <x v="0"/>
  </r>
  <r>
    <s v="Marney O'Breem"/>
    <s v="UK"/>
    <x v="6"/>
    <x v="395"/>
    <n v="13595"/>
    <x v="0"/>
  </r>
  <r>
    <s v="Barr Faughny"/>
    <s v="UK"/>
    <x v="3"/>
    <x v="395"/>
    <n v="9175"/>
    <x v="0"/>
  </r>
  <r>
    <s v="Oby Sorrel"/>
    <s v="USA"/>
    <x v="0"/>
    <x v="396"/>
    <n v="1949"/>
    <x v="0"/>
  </r>
  <r>
    <s v="Karlen McCaffrey"/>
    <s v="UK"/>
    <x v="5"/>
    <x v="396"/>
    <n v="5749"/>
    <x v="0"/>
  </r>
  <r>
    <s v="Oby Sorrel"/>
    <s v="China"/>
    <x v="4"/>
    <x v="397"/>
    <n v="4813"/>
    <x v="0"/>
  </r>
  <r>
    <s v="Jan Morforth"/>
    <s v="USA"/>
    <x v="5"/>
    <x v="397"/>
    <n v="7002"/>
    <x v="0"/>
  </r>
  <r>
    <s v="Gunar Cockshoot"/>
    <s v="Germany"/>
    <x v="3"/>
    <x v="397"/>
    <n v="9369"/>
    <x v="0"/>
  </r>
  <r>
    <s v="Beverie Moffet"/>
    <s v="USA"/>
    <x v="3"/>
    <x v="398"/>
    <n v="12616"/>
    <x v="0"/>
  </r>
  <r>
    <s v="Rafaela Blaksland"/>
    <s v="UK"/>
    <x v="4"/>
    <x v="399"/>
    <n v="6131"/>
    <x v="0"/>
  </r>
  <r>
    <s v="Karlen McCaffrey"/>
    <s v="Germany"/>
    <x v="7"/>
    <x v="399"/>
    <n v="10099"/>
    <x v="0"/>
  </r>
  <r>
    <s v="Marney O'Breem"/>
    <s v="China"/>
    <x v="7"/>
    <x v="399"/>
    <n v="13731"/>
    <x v="0"/>
  </r>
  <r>
    <s v="Oby Sorrel"/>
    <s v="Canada"/>
    <x v="0"/>
    <x v="400"/>
    <n v="9193"/>
    <x v="0"/>
  </r>
  <r>
    <s v="Gigi Bohling"/>
    <s v="Canada"/>
    <x v="7"/>
    <x v="400"/>
    <n v="12749"/>
    <x v="0"/>
  </r>
  <r>
    <s v="Gigi Bohling"/>
    <s v="Canada"/>
    <x v="7"/>
    <x v="400"/>
    <n v="10153"/>
    <x v="0"/>
  </r>
  <r>
    <s v="Mallorie Waber"/>
    <s v="China"/>
    <x v="6"/>
    <x v="400"/>
    <n v="8102"/>
    <x v="0"/>
  </r>
  <r>
    <s v="Van Tuxwell"/>
    <s v="Canada"/>
    <x v="5"/>
    <x v="401"/>
    <n v="6637"/>
    <x v="0"/>
  </r>
  <r>
    <s v="Oby Sorrel"/>
    <s v="Canada"/>
    <x v="7"/>
    <x v="401"/>
    <n v="10681"/>
    <x v="0"/>
  </r>
  <r>
    <s v="Beverie Moffet"/>
    <s v="Canada"/>
    <x v="2"/>
    <x v="401"/>
    <n v="3395"/>
    <x v="0"/>
  </r>
  <r>
    <s v="Beverie Moffet"/>
    <s v="Switzerland"/>
    <x v="5"/>
    <x v="402"/>
    <n v="8479"/>
    <x v="0"/>
  </r>
  <r>
    <s v="Mallorie Waber"/>
    <s v="Germany"/>
    <x v="5"/>
    <x v="402"/>
    <n v="2616"/>
    <x v="0"/>
  </r>
  <r>
    <s v="Gigi Bohling"/>
    <s v="Canada"/>
    <x v="7"/>
    <x v="402"/>
    <n v="4764"/>
    <x v="0"/>
  </r>
  <r>
    <s v="Beverie Moffet"/>
    <s v="UK"/>
    <x v="6"/>
    <x v="402"/>
    <n v="1971"/>
    <x v="0"/>
  </r>
  <r>
    <s v="Van Tuxwell"/>
    <s v="Germany"/>
    <x v="3"/>
    <x v="402"/>
    <n v="4954"/>
    <x v="0"/>
  </r>
  <r>
    <s v="Brien Boise"/>
    <s v="China"/>
    <x v="5"/>
    <x v="403"/>
    <n v="10537"/>
    <x v="0"/>
  </r>
  <r>
    <s v="Roddy Speechley"/>
    <s v="USA"/>
    <x v="1"/>
    <x v="403"/>
    <n v="2529"/>
    <x v="0"/>
  </r>
  <r>
    <s v="Rafaela Blaksland"/>
    <s v="Canada"/>
    <x v="3"/>
    <x v="403"/>
    <n v="6971"/>
    <x v="0"/>
  </r>
  <r>
    <s v="Karlen McCaffrey"/>
    <s v="USA"/>
    <x v="4"/>
    <x v="404"/>
    <n v="10576"/>
    <x v="0"/>
  </r>
  <r>
    <s v="Curtice Advani"/>
    <s v="Switzerland"/>
    <x v="1"/>
    <x v="404"/>
    <n v="7025"/>
    <x v="0"/>
  </r>
  <r>
    <s v="Brien Boise"/>
    <s v="USA"/>
    <x v="7"/>
    <x v="404"/>
    <n v="4890"/>
    <x v="0"/>
  </r>
  <r>
    <s v="Curtice Advani"/>
    <s v="Switzerland"/>
    <x v="7"/>
    <x v="404"/>
    <n v="2723"/>
    <x v="0"/>
  </r>
  <r>
    <s v="Karlen McCaffrey"/>
    <s v="USA"/>
    <x v="7"/>
    <x v="405"/>
    <n v="2657"/>
    <x v="0"/>
  </r>
  <r>
    <s v="Barr Faughny"/>
    <s v="UK"/>
    <x v="6"/>
    <x v="405"/>
    <n v="4189"/>
    <x v="0"/>
  </r>
  <r>
    <s v="Roddy Speechley"/>
    <s v="USA"/>
    <x v="3"/>
    <x v="405"/>
    <n v="9572"/>
    <x v="0"/>
  </r>
  <r>
    <s v="Rafaela Blaksland"/>
    <s v="Switzerland"/>
    <x v="0"/>
    <x v="406"/>
    <n v="1983"/>
    <x v="0"/>
  </r>
  <r>
    <s v="Mallorie Waber"/>
    <s v="UK"/>
    <x v="0"/>
    <x v="407"/>
    <n v="9789"/>
    <x v="0"/>
  </r>
  <r>
    <s v="Jan Morforth"/>
    <s v="Germany"/>
    <x v="1"/>
    <x v="407"/>
    <n v="3402"/>
    <x v="0"/>
  </r>
  <r>
    <s v="Jehu Rudeforth"/>
    <s v="Germany"/>
    <x v="1"/>
    <x v="407"/>
    <n v="13949"/>
    <x v="0"/>
  </r>
  <r>
    <s v="Karlen McCaffrey"/>
    <s v="Germany"/>
    <x v="2"/>
    <x v="407"/>
    <n v="7850"/>
    <x v="0"/>
  </r>
  <r>
    <s v="Barr Faughny"/>
    <s v="China"/>
    <x v="0"/>
    <x v="408"/>
    <n v="11944"/>
    <x v="0"/>
  </r>
  <r>
    <s v="Rafaela Blaksland"/>
    <s v="China"/>
    <x v="5"/>
    <x v="408"/>
    <n v="13684"/>
    <x v="0"/>
  </r>
  <r>
    <s v="Marney O'Breem"/>
    <s v="UK"/>
    <x v="1"/>
    <x v="408"/>
    <n v="8437"/>
    <x v="0"/>
  </r>
  <r>
    <s v="Jan Morforth"/>
    <s v="USA"/>
    <x v="1"/>
    <x v="408"/>
    <n v="6097"/>
    <x v="0"/>
  </r>
  <r>
    <s v="Curtice Advani"/>
    <s v="Germany"/>
    <x v="4"/>
    <x v="409"/>
    <n v="13795"/>
    <x v="0"/>
  </r>
  <r>
    <s v="Beverie Moffet"/>
    <s v="Switzerland"/>
    <x v="3"/>
    <x v="409"/>
    <n v="13388"/>
    <x v="0"/>
  </r>
  <r>
    <s v="Gigi Bohling"/>
    <s v="Switzerland"/>
    <x v="5"/>
    <x v="410"/>
    <n v="12713"/>
    <x v="0"/>
  </r>
  <r>
    <s v="Beverie Moffet"/>
    <s v="Switzerland"/>
    <x v="7"/>
    <x v="410"/>
    <n v="4494"/>
    <x v="0"/>
  </r>
  <r>
    <s v="Rafaela Blaksland"/>
    <s v="USA"/>
    <x v="2"/>
    <x v="410"/>
    <n v="5359"/>
    <x v="0"/>
  </r>
  <r>
    <s v="Oby Sorrel"/>
    <s v="USA"/>
    <x v="5"/>
    <x v="411"/>
    <n v="7093"/>
    <x v="0"/>
  </r>
  <r>
    <s v="Mallorie Waber"/>
    <s v="Germany"/>
    <x v="6"/>
    <x v="411"/>
    <n v="10320"/>
    <x v="0"/>
  </r>
  <r>
    <s v="Rafaela Blaksland"/>
    <s v="UK"/>
    <x v="3"/>
    <x v="411"/>
    <n v="3379"/>
    <x v="0"/>
  </r>
  <r>
    <s v="Rafaela Blaksland"/>
    <s v="Germany"/>
    <x v="0"/>
    <x v="412"/>
    <n v="6160"/>
    <x v="0"/>
  </r>
  <r>
    <s v="Marney O'Breem"/>
    <s v="UK"/>
    <x v="0"/>
    <x v="412"/>
    <n v="6113"/>
    <x v="0"/>
  </r>
  <r>
    <s v="Mallorie Waber"/>
    <s v="Canada"/>
    <x v="4"/>
    <x v="412"/>
    <n v="8374"/>
    <x v="0"/>
  </r>
  <r>
    <s v="Jehu Rudeforth"/>
    <s v="USA"/>
    <x v="4"/>
    <x v="412"/>
    <n v="8698"/>
    <x v="0"/>
  </r>
  <r>
    <s v="Mallorie Waber"/>
    <s v="Canada"/>
    <x v="7"/>
    <x v="412"/>
    <n v="8621"/>
    <x v="0"/>
  </r>
  <r>
    <s v="Marney O'Breem"/>
    <s v="UK"/>
    <x v="2"/>
    <x v="412"/>
    <n v="3829"/>
    <x v="0"/>
  </r>
  <r>
    <s v="Jan Morforth"/>
    <s v="Switzerland"/>
    <x v="7"/>
    <x v="413"/>
    <n v="9213"/>
    <x v="0"/>
  </r>
  <r>
    <s v="Roddy Speechley"/>
    <s v="Switzerland"/>
    <x v="2"/>
    <x v="413"/>
    <n v="13087"/>
    <x v="0"/>
  </r>
  <r>
    <s v="Beverie Moffet"/>
    <s v="USA"/>
    <x v="7"/>
    <x v="414"/>
    <n v="13373"/>
    <x v="0"/>
  </r>
  <r>
    <s v="Jan Morforth"/>
    <s v="China"/>
    <x v="6"/>
    <x v="414"/>
    <n v="11478"/>
    <x v="0"/>
  </r>
  <r>
    <s v="Jehu Rudeforth"/>
    <s v="USA"/>
    <x v="6"/>
    <x v="415"/>
    <n v="2342"/>
    <x v="0"/>
  </r>
  <r>
    <s v="Rafaela Blaksland"/>
    <s v="China"/>
    <x v="6"/>
    <x v="415"/>
    <n v="13705"/>
    <x v="0"/>
  </r>
  <r>
    <s v="Van Tuxwell"/>
    <s v="UK"/>
    <x v="5"/>
    <x v="416"/>
    <n v="3193"/>
    <x v="0"/>
  </r>
  <r>
    <s v="Jan Morforth"/>
    <s v="USA"/>
    <x v="6"/>
    <x v="416"/>
    <n v="11231"/>
    <x v="0"/>
  </r>
  <r>
    <s v="Rafaela Blaksland"/>
    <s v="Switzerland"/>
    <x v="3"/>
    <x v="416"/>
    <n v="4742"/>
    <x v="0"/>
  </r>
  <r>
    <s v="Rafaela Blaksland"/>
    <s v="UK"/>
    <x v="4"/>
    <x v="417"/>
    <n v="11899"/>
    <x v="0"/>
  </r>
  <r>
    <s v="Karlen McCaffrey"/>
    <s v="Canada"/>
    <x v="4"/>
    <x v="417"/>
    <n v="6816"/>
    <x v="0"/>
  </r>
  <r>
    <s v="Oby Sorrel"/>
    <s v="USA"/>
    <x v="7"/>
    <x v="417"/>
    <n v="5292"/>
    <x v="0"/>
  </r>
  <r>
    <s v="Barr Faughny"/>
    <s v="Canada"/>
    <x v="7"/>
    <x v="417"/>
    <n v="7588"/>
    <x v="0"/>
  </r>
  <r>
    <s v="Mallorie Waber"/>
    <s v="Switzerland"/>
    <x v="4"/>
    <x v="418"/>
    <n v="12980"/>
    <x v="0"/>
  </r>
  <r>
    <s v="Oby Sorrel"/>
    <s v="Germany"/>
    <x v="5"/>
    <x v="418"/>
    <n v="10521"/>
    <x v="0"/>
  </r>
  <r>
    <s v="Mallorie Waber"/>
    <s v="Canada"/>
    <x v="5"/>
    <x v="418"/>
    <n v="12276"/>
    <x v="0"/>
  </r>
  <r>
    <s v="Barr Faughny"/>
    <s v="Canada"/>
    <x v="2"/>
    <x v="418"/>
    <n v="6571"/>
    <x v="0"/>
  </r>
  <r>
    <s v="Brien Boise"/>
    <s v="Canada"/>
    <x v="2"/>
    <x v="418"/>
    <n v="8818"/>
    <x v="0"/>
  </r>
  <r>
    <s v="Barr Faughny"/>
    <s v="Switzerland"/>
    <x v="5"/>
    <x v="419"/>
    <n v="4415"/>
    <x v="0"/>
  </r>
  <r>
    <s v="Roddy Speechley"/>
    <s v="UK"/>
    <x v="7"/>
    <x v="419"/>
    <n v="4597"/>
    <x v="0"/>
  </r>
  <r>
    <s v="Barr Faughny"/>
    <s v="China"/>
    <x v="7"/>
    <x v="420"/>
    <n v="1475"/>
    <x v="0"/>
  </r>
  <r>
    <s v="Gunar Cockshoot"/>
    <s v="Canada"/>
    <x v="2"/>
    <x v="420"/>
    <n v="13015"/>
    <x v="0"/>
  </r>
  <r>
    <s v="Jehu Rudeforth"/>
    <s v="Switzerland"/>
    <x v="0"/>
    <x v="421"/>
    <n v="10479"/>
    <x v="0"/>
  </r>
  <r>
    <s v="Beverie Moffet"/>
    <s v="China"/>
    <x v="4"/>
    <x v="421"/>
    <n v="1918"/>
    <x v="0"/>
  </r>
  <r>
    <s v="Oby Sorrel"/>
    <s v="USA"/>
    <x v="5"/>
    <x v="421"/>
    <n v="8038"/>
    <x v="0"/>
  </r>
  <r>
    <s v="Gunar Cockshoot"/>
    <s v="Canada"/>
    <x v="7"/>
    <x v="421"/>
    <n v="3138"/>
    <x v="0"/>
  </r>
  <r>
    <s v="Gunar Cockshoot"/>
    <s v="Switzerland"/>
    <x v="6"/>
    <x v="421"/>
    <n v="11824"/>
    <x v="0"/>
  </r>
  <r>
    <s v="Gigi Bohling"/>
    <s v="China"/>
    <x v="3"/>
    <x v="421"/>
    <n v="10419"/>
    <x v="0"/>
  </r>
  <r>
    <s v="Beverie Moffet"/>
    <s v="USA"/>
    <x v="3"/>
    <x v="421"/>
    <n v="12928"/>
    <x v="0"/>
  </r>
  <r>
    <s v="Mallorie Waber"/>
    <s v="Germany"/>
    <x v="3"/>
    <x v="421"/>
    <n v="2649"/>
    <x v="0"/>
  </r>
  <r>
    <s v="Jan Morforth"/>
    <s v="Canada"/>
    <x v="1"/>
    <x v="422"/>
    <n v="9582"/>
    <x v="0"/>
  </r>
  <r>
    <s v="Gunar Cockshoot"/>
    <s v="Canada"/>
    <x v="3"/>
    <x v="422"/>
    <n v="3822"/>
    <x v="0"/>
  </r>
  <r>
    <s v="Beverie Moffet"/>
    <s v="Canada"/>
    <x v="3"/>
    <x v="422"/>
    <n v="8646"/>
    <x v="0"/>
  </r>
  <r>
    <s v="Marney O'Breem"/>
    <s v="Canada"/>
    <x v="5"/>
    <x v="423"/>
    <n v="11017"/>
    <x v="0"/>
  </r>
  <r>
    <s v="Marney O'Breem"/>
    <s v="USA"/>
    <x v="6"/>
    <x v="423"/>
    <n v="13544"/>
    <x v="0"/>
  </r>
  <r>
    <s v="Gigi Bohling"/>
    <s v="Canada"/>
    <x v="3"/>
    <x v="423"/>
    <n v="2985"/>
    <x v="0"/>
  </r>
  <r>
    <s v="Karlen McCaffrey"/>
    <s v="Switzerland"/>
    <x v="0"/>
    <x v="424"/>
    <n v="3643"/>
    <x v="0"/>
  </r>
  <r>
    <s v="Rafaela Blaksland"/>
    <s v="Canada"/>
    <x v="4"/>
    <x v="424"/>
    <n v="8300"/>
    <x v="0"/>
  </r>
  <r>
    <s v="Marney O'Breem"/>
    <s v="Canada"/>
    <x v="2"/>
    <x v="424"/>
    <n v="3330"/>
    <x v="0"/>
  </r>
  <r>
    <s v="Curtice Advani"/>
    <s v="China"/>
    <x v="6"/>
    <x v="424"/>
    <n v="8795"/>
    <x v="0"/>
  </r>
  <r>
    <s v="Curtice Advani"/>
    <s v="China"/>
    <x v="5"/>
    <x v="425"/>
    <n v="6291"/>
    <x v="0"/>
  </r>
  <r>
    <s v="Barr Faughny"/>
    <s v="USA"/>
    <x v="7"/>
    <x v="425"/>
    <n v="7613"/>
    <x v="0"/>
  </r>
  <r>
    <s v="Gigi Bohling"/>
    <s v="China"/>
    <x v="6"/>
    <x v="425"/>
    <n v="4095"/>
    <x v="0"/>
  </r>
  <r>
    <s v="Brien Boise"/>
    <s v="USA"/>
    <x v="0"/>
    <x v="426"/>
    <n v="4879"/>
    <x v="0"/>
  </r>
  <r>
    <s v="Van Tuxwell"/>
    <s v="Canada"/>
    <x v="4"/>
    <x v="426"/>
    <n v="3238"/>
    <x v="0"/>
  </r>
  <r>
    <s v="Curtice Advani"/>
    <s v="Germany"/>
    <x v="6"/>
    <x v="426"/>
    <n v="8622"/>
    <x v="0"/>
  </r>
  <r>
    <s v="Gunar Cockshoot"/>
    <s v="China"/>
    <x v="3"/>
    <x v="426"/>
    <n v="6002"/>
    <x v="0"/>
  </r>
  <r>
    <s v="Curtice Advani"/>
    <s v="USA"/>
    <x v="0"/>
    <x v="427"/>
    <n v="9347"/>
    <x v="0"/>
  </r>
  <r>
    <s v="Beverie Moffet"/>
    <s v="Switzerland"/>
    <x v="1"/>
    <x v="427"/>
    <n v="7702"/>
    <x v="0"/>
  </r>
  <r>
    <s v="Oby Sorrel"/>
    <s v="Germany"/>
    <x v="7"/>
    <x v="427"/>
    <n v="10122"/>
    <x v="0"/>
  </r>
  <r>
    <s v="Brien Boise"/>
    <s v="China"/>
    <x v="2"/>
    <x v="427"/>
    <n v="12077"/>
    <x v="0"/>
  </r>
  <r>
    <s v="Mallorie Waber"/>
    <s v="Switzerland"/>
    <x v="6"/>
    <x v="427"/>
    <n v="5069"/>
    <x v="0"/>
  </r>
  <r>
    <s v="Brien Boise"/>
    <s v="Germany"/>
    <x v="6"/>
    <x v="427"/>
    <n v="1806"/>
    <x v="0"/>
  </r>
  <r>
    <s v="Barr Faughny"/>
    <s v="Switzerland"/>
    <x v="3"/>
    <x v="427"/>
    <n v="4467"/>
    <x v="0"/>
  </r>
  <r>
    <s v="Karlen McCaffrey"/>
    <s v="Canada"/>
    <x v="3"/>
    <x v="428"/>
    <n v="4745"/>
    <x v="0"/>
  </r>
  <r>
    <s v="Roddy Speechley"/>
    <s v="Canada"/>
    <x v="4"/>
    <x v="429"/>
    <n v="5963"/>
    <x v="0"/>
  </r>
  <r>
    <s v="Brien Boise"/>
    <s v="China"/>
    <x v="7"/>
    <x v="429"/>
    <n v="13272"/>
    <x v="0"/>
  </r>
  <r>
    <s v="Curtice Advani"/>
    <s v="Canada"/>
    <x v="0"/>
    <x v="430"/>
    <n v="10126"/>
    <x v="0"/>
  </r>
  <r>
    <s v="Rafaela Blaksland"/>
    <s v="UK"/>
    <x v="4"/>
    <x v="430"/>
    <n v="12756"/>
    <x v="0"/>
  </r>
  <r>
    <s v="Van Tuxwell"/>
    <s v="Canada"/>
    <x v="1"/>
    <x v="430"/>
    <n v="2512"/>
    <x v="0"/>
  </r>
  <r>
    <s v="Roddy Speechley"/>
    <s v="Switzerland"/>
    <x v="7"/>
    <x v="430"/>
    <n v="2166"/>
    <x v="0"/>
  </r>
  <r>
    <s v="Marney O'Breem"/>
    <s v="Switzerland"/>
    <x v="2"/>
    <x v="430"/>
    <n v="7410"/>
    <x v="0"/>
  </r>
  <r>
    <s v="Roddy Speechley"/>
    <s v="Canada"/>
    <x v="1"/>
    <x v="431"/>
    <n v="10341"/>
    <x v="0"/>
  </r>
  <r>
    <s v="Brien Boise"/>
    <s v="UK"/>
    <x v="2"/>
    <x v="431"/>
    <n v="13586"/>
    <x v="0"/>
  </r>
  <r>
    <s v="Rafaela Blaksland"/>
    <s v="Canada"/>
    <x v="0"/>
    <x v="432"/>
    <n v="6850"/>
    <x v="0"/>
  </r>
  <r>
    <s v="Mallorie Waber"/>
    <s v="Switzerland"/>
    <x v="5"/>
    <x v="432"/>
    <n v="7381"/>
    <x v="0"/>
  </r>
  <r>
    <s v="Barr Faughny"/>
    <s v="Canada"/>
    <x v="5"/>
    <x v="432"/>
    <n v="7297"/>
    <x v="0"/>
  </r>
  <r>
    <s v="Jan Morforth"/>
    <s v="Canada"/>
    <x v="7"/>
    <x v="432"/>
    <n v="3982"/>
    <x v="0"/>
  </r>
  <r>
    <s v="Mallorie Waber"/>
    <s v="USA"/>
    <x v="7"/>
    <x v="433"/>
    <n v="6880"/>
    <x v="0"/>
  </r>
  <r>
    <s v="Beverie Moffet"/>
    <s v="Canada"/>
    <x v="6"/>
    <x v="433"/>
    <n v="9638"/>
    <x v="0"/>
  </r>
  <r>
    <s v="Brien Boise"/>
    <s v="UK"/>
    <x v="3"/>
    <x v="433"/>
    <n v="10974"/>
    <x v="0"/>
  </r>
  <r>
    <s v="Beverie Moffet"/>
    <s v="Canada"/>
    <x v="3"/>
    <x v="433"/>
    <n v="4186"/>
    <x v="0"/>
  </r>
  <r>
    <s v="Jan Morforth"/>
    <s v="USA"/>
    <x v="1"/>
    <x v="434"/>
    <n v="12257"/>
    <x v="0"/>
  </r>
  <r>
    <s v="Barr Faughny"/>
    <s v="UK"/>
    <x v="2"/>
    <x v="434"/>
    <n v="13789"/>
    <x v="0"/>
  </r>
  <r>
    <s v="Oby Sorrel"/>
    <s v="China"/>
    <x v="4"/>
    <x v="435"/>
    <n v="1525"/>
    <x v="0"/>
  </r>
  <r>
    <s v="Mallorie Waber"/>
    <s v="Switzerland"/>
    <x v="5"/>
    <x v="435"/>
    <n v="9081"/>
    <x v="0"/>
  </r>
  <r>
    <s v="Karlen McCaffrey"/>
    <s v="Switzerland"/>
    <x v="7"/>
    <x v="435"/>
    <n v="9720"/>
    <x v="0"/>
  </r>
  <r>
    <s v="Jehu Rudeforth"/>
    <s v="Switzerland"/>
    <x v="1"/>
    <x v="436"/>
    <n v="11179"/>
    <x v="0"/>
  </r>
  <r>
    <s v="Roddy Speechley"/>
    <s v="Switzerland"/>
    <x v="7"/>
    <x v="436"/>
    <n v="10177"/>
    <x v="0"/>
  </r>
  <r>
    <s v="Gigi Bohling"/>
    <s v="Germany"/>
    <x v="7"/>
    <x v="437"/>
    <n v="5668"/>
    <x v="0"/>
  </r>
  <r>
    <s v="Barr Faughny"/>
    <s v="Germany"/>
    <x v="7"/>
    <x v="437"/>
    <n v="1083"/>
    <x v="0"/>
  </r>
  <r>
    <s v="Brien Boise"/>
    <s v="USA"/>
    <x v="2"/>
    <x v="437"/>
    <n v="2768"/>
    <x v="0"/>
  </r>
  <r>
    <s v="Beverie Moffet"/>
    <s v="UK"/>
    <x v="0"/>
    <x v="438"/>
    <n v="8295"/>
    <x v="0"/>
  </r>
  <r>
    <s v="Brien Boise"/>
    <s v="UK"/>
    <x v="1"/>
    <x v="438"/>
    <n v="5403"/>
    <x v="0"/>
  </r>
  <r>
    <s v="Mallorie Waber"/>
    <s v="Germany"/>
    <x v="7"/>
    <x v="438"/>
    <n v="13584"/>
    <x v="0"/>
  </r>
  <r>
    <s v="Roddy Speechley"/>
    <s v="Canada"/>
    <x v="7"/>
    <x v="438"/>
    <n v="2364"/>
    <x v="0"/>
  </r>
  <r>
    <s v="Karlen McCaffrey"/>
    <s v="Germany"/>
    <x v="7"/>
    <x v="438"/>
    <n v="13504"/>
    <x v="0"/>
  </r>
  <r>
    <s v="Roddy Speechley"/>
    <s v="Germany"/>
    <x v="3"/>
    <x v="438"/>
    <n v="6393"/>
    <x v="0"/>
  </r>
  <r>
    <s v="Gunar Cockshoot"/>
    <s v="Germany"/>
    <x v="0"/>
    <x v="439"/>
    <n v="13988"/>
    <x v="0"/>
  </r>
  <r>
    <s v="Curtice Advani"/>
    <s v="USA"/>
    <x v="4"/>
    <x v="439"/>
    <n v="10653"/>
    <x v="0"/>
  </r>
  <r>
    <s v="Oby Sorrel"/>
    <s v="Germany"/>
    <x v="2"/>
    <x v="439"/>
    <n v="6491"/>
    <x v="0"/>
  </r>
  <r>
    <s v="Curtice Advani"/>
    <s v="USA"/>
    <x v="3"/>
    <x v="439"/>
    <n v="10818"/>
    <x v="0"/>
  </r>
  <r>
    <s v="Marney O'Breem"/>
    <s v="UK"/>
    <x v="7"/>
    <x v="440"/>
    <n v="2822"/>
    <x v="0"/>
  </r>
  <r>
    <s v="Jehu Rudeforth"/>
    <s v="China"/>
    <x v="3"/>
    <x v="440"/>
    <n v="11452"/>
    <x v="0"/>
  </r>
  <r>
    <s v="Mallorie Waber"/>
    <s v="China"/>
    <x v="4"/>
    <x v="441"/>
    <n v="9241"/>
    <x v="0"/>
  </r>
  <r>
    <s v="Karlen McCaffrey"/>
    <s v="Germany"/>
    <x v="7"/>
    <x v="441"/>
    <n v="4233"/>
    <x v="0"/>
  </r>
  <r>
    <s v="Gigi Bohling"/>
    <s v="Germany"/>
    <x v="7"/>
    <x v="441"/>
    <n v="10310"/>
    <x v="0"/>
  </r>
  <r>
    <s v="Oby Sorrel"/>
    <s v="Switzerland"/>
    <x v="2"/>
    <x v="441"/>
    <n v="10665"/>
    <x v="0"/>
  </r>
  <r>
    <s v="Beverie Moffet"/>
    <s v="USA"/>
    <x v="6"/>
    <x v="441"/>
    <n v="12833"/>
    <x v="0"/>
  </r>
  <r>
    <s v="Gigi Bohling"/>
    <s v="USA"/>
    <x v="4"/>
    <x v="442"/>
    <n v="5597"/>
    <x v="0"/>
  </r>
  <r>
    <s v="Van Tuxwell"/>
    <s v="China"/>
    <x v="1"/>
    <x v="442"/>
    <n v="11365"/>
    <x v="0"/>
  </r>
  <r>
    <s v="Gigi Bohling"/>
    <s v="Switzerland"/>
    <x v="1"/>
    <x v="442"/>
    <n v="2968"/>
    <x v="0"/>
  </r>
  <r>
    <s v="Van Tuxwell"/>
    <s v="Switzerland"/>
    <x v="7"/>
    <x v="442"/>
    <n v="9936"/>
    <x v="0"/>
  </r>
  <r>
    <s v="Gigi Bohling"/>
    <s v="Germany"/>
    <x v="2"/>
    <x v="442"/>
    <n v="1563"/>
    <x v="0"/>
  </r>
  <r>
    <s v="Marney O'Breem"/>
    <s v="Canada"/>
    <x v="6"/>
    <x v="442"/>
    <n v="9105"/>
    <x v="0"/>
  </r>
  <r>
    <s v="Mallorie Waber"/>
    <s v="Canada"/>
    <x v="0"/>
    <x v="443"/>
    <n v="3551"/>
    <x v="0"/>
  </r>
  <r>
    <s v="Curtice Advani"/>
    <s v="UK"/>
    <x v="5"/>
    <x v="443"/>
    <n v="12153"/>
    <x v="0"/>
  </r>
  <r>
    <s v="Brien Boise"/>
    <s v="Germany"/>
    <x v="1"/>
    <x v="443"/>
    <n v="6099"/>
    <x v="0"/>
  </r>
  <r>
    <s v="Gunar Cockshoot"/>
    <s v="Germany"/>
    <x v="7"/>
    <x v="443"/>
    <n v="10961"/>
    <x v="0"/>
  </r>
  <r>
    <s v="Brien Boise"/>
    <s v="UK"/>
    <x v="7"/>
    <x v="443"/>
    <n v="4103"/>
    <x v="0"/>
  </r>
  <r>
    <s v="Karlen McCaffrey"/>
    <s v="Germany"/>
    <x v="2"/>
    <x v="443"/>
    <n v="13519"/>
    <x v="0"/>
  </r>
  <r>
    <s v="Beverie Moffet"/>
    <s v="China"/>
    <x v="6"/>
    <x v="443"/>
    <n v="6413"/>
    <x v="0"/>
  </r>
  <r>
    <s v="Brien Boise"/>
    <s v="UK"/>
    <x v="3"/>
    <x v="443"/>
    <n v="12709"/>
    <x v="0"/>
  </r>
  <r>
    <s v="Rafaela Blaksland"/>
    <s v="USA"/>
    <x v="3"/>
    <x v="443"/>
    <n v="1608"/>
    <x v="0"/>
  </r>
  <r>
    <s v="Van Tuxwell"/>
    <s v="Canada"/>
    <x v="1"/>
    <x v="444"/>
    <n v="3017"/>
    <x v="0"/>
  </r>
  <r>
    <s v="Jan Morforth"/>
    <s v="Switzerland"/>
    <x v="0"/>
    <x v="445"/>
    <n v="13211"/>
    <x v="0"/>
  </r>
  <r>
    <s v="Oby Sorrel"/>
    <s v="Switzerland"/>
    <x v="0"/>
    <x v="445"/>
    <n v="13571"/>
    <x v="0"/>
  </r>
  <r>
    <s v="Karlen McCaffrey"/>
    <s v="UK"/>
    <x v="5"/>
    <x v="445"/>
    <n v="10206"/>
    <x v="0"/>
  </r>
  <r>
    <s v="Mallorie Waber"/>
    <s v="UK"/>
    <x v="0"/>
    <x v="446"/>
    <n v="9518"/>
    <x v="0"/>
  </r>
  <r>
    <s v="Gigi Bohling"/>
    <s v="China"/>
    <x v="0"/>
    <x v="446"/>
    <n v="1719"/>
    <x v="0"/>
  </r>
  <r>
    <s v="Van Tuxwell"/>
    <s v="USA"/>
    <x v="4"/>
    <x v="446"/>
    <n v="4546"/>
    <x v="0"/>
  </r>
  <r>
    <s v="Jan Morforth"/>
    <s v="UK"/>
    <x v="5"/>
    <x v="446"/>
    <n v="6701"/>
    <x v="0"/>
  </r>
  <r>
    <s v="Van Tuxwell"/>
    <s v="Canada"/>
    <x v="1"/>
    <x v="446"/>
    <n v="3554"/>
    <x v="0"/>
  </r>
  <r>
    <s v="Jehu Rudeforth"/>
    <s v="USA"/>
    <x v="2"/>
    <x v="446"/>
    <n v="2608"/>
    <x v="0"/>
  </r>
  <r>
    <s v="Marney O'Breem"/>
    <s v="UK"/>
    <x v="6"/>
    <x v="446"/>
    <n v="6458"/>
    <x v="0"/>
  </r>
  <r>
    <s v="Oby Sorrel"/>
    <s v="China"/>
    <x v="6"/>
    <x v="446"/>
    <n v="6346"/>
    <x v="0"/>
  </r>
  <r>
    <s v="Rafaela Blaksland"/>
    <s v="Canada"/>
    <x v="4"/>
    <x v="447"/>
    <n v="5830"/>
    <x v="0"/>
  </r>
  <r>
    <s v="Beverie Moffet"/>
    <s v="Canada"/>
    <x v="4"/>
    <x v="447"/>
    <n v="3564"/>
    <x v="0"/>
  </r>
  <r>
    <s v="Marney O'Breem"/>
    <s v="China"/>
    <x v="1"/>
    <x v="447"/>
    <n v="12829"/>
    <x v="0"/>
  </r>
  <r>
    <s v="Gunar Cockshoot"/>
    <s v="Germany"/>
    <x v="3"/>
    <x v="447"/>
    <n v="7486"/>
    <x v="0"/>
  </r>
  <r>
    <s v="Jehu Rudeforth"/>
    <s v="Canada"/>
    <x v="0"/>
    <x v="448"/>
    <n v="10353"/>
    <x v="0"/>
  </r>
  <r>
    <s v="Barr Faughny"/>
    <s v="China"/>
    <x v="5"/>
    <x v="448"/>
    <n v="9490"/>
    <x v="0"/>
  </r>
  <r>
    <s v="Gunar Cockshoot"/>
    <s v="UK"/>
    <x v="7"/>
    <x v="448"/>
    <n v="13280"/>
    <x v="0"/>
  </r>
  <r>
    <s v="Karlen McCaffrey"/>
    <s v="USA"/>
    <x v="3"/>
    <x v="448"/>
    <n v="6086"/>
    <x v="0"/>
  </r>
  <r>
    <s v="Van Tuxwell"/>
    <s v="China"/>
    <x v="0"/>
    <x v="449"/>
    <n v="3725"/>
    <x v="0"/>
  </r>
  <r>
    <s v="Mallorie Waber"/>
    <s v="Canada"/>
    <x v="4"/>
    <x v="449"/>
    <n v="13831"/>
    <x v="0"/>
  </r>
  <r>
    <s v="Gunar Cockshoot"/>
    <s v="China"/>
    <x v="5"/>
    <x v="449"/>
    <n v="1818"/>
    <x v="0"/>
  </r>
  <r>
    <s v="Gunar Cockshoot"/>
    <s v="USA"/>
    <x v="5"/>
    <x v="449"/>
    <n v="12810"/>
    <x v="0"/>
  </r>
  <r>
    <s v="Jan Morforth"/>
    <s v="Germany"/>
    <x v="3"/>
    <x v="449"/>
    <n v="6448"/>
    <x v="0"/>
  </r>
  <r>
    <s v="Roddy Speechley"/>
    <s v="USA"/>
    <x v="2"/>
    <x v="450"/>
    <n v="4095"/>
    <x v="0"/>
  </r>
  <r>
    <s v="Oby Sorrel"/>
    <s v="Canada"/>
    <x v="6"/>
    <x v="450"/>
    <n v="10192"/>
    <x v="0"/>
  </r>
  <r>
    <s v="Roddy Speechley"/>
    <s v="USA"/>
    <x v="0"/>
    <x v="451"/>
    <n v="13770"/>
    <x v="0"/>
  </r>
  <r>
    <s v="Oby Sorrel"/>
    <s v="UK"/>
    <x v="0"/>
    <x v="451"/>
    <n v="1227"/>
    <x v="0"/>
  </r>
  <r>
    <s v="Rafaela Blaksland"/>
    <s v="UK"/>
    <x v="5"/>
    <x v="451"/>
    <n v="11510"/>
    <x v="0"/>
  </r>
  <r>
    <s v="Mallorie Waber"/>
    <s v="USA"/>
    <x v="2"/>
    <x v="452"/>
    <n v="4597"/>
    <x v="0"/>
  </r>
  <r>
    <s v="Oby Sorrel"/>
    <s v="USA"/>
    <x v="6"/>
    <x v="452"/>
    <n v="12135"/>
    <x v="0"/>
  </r>
  <r>
    <s v="Barr Faughny"/>
    <s v="UK"/>
    <x v="0"/>
    <x v="453"/>
    <n v="12206"/>
    <x v="0"/>
  </r>
  <r>
    <s v="Beverie Moffet"/>
    <s v="China"/>
    <x v="6"/>
    <x v="453"/>
    <n v="8026"/>
    <x v="0"/>
  </r>
  <r>
    <s v="Karlen McCaffrey"/>
    <s v="Germany"/>
    <x v="0"/>
    <x v="454"/>
    <n v="12117"/>
    <x v="0"/>
  </r>
  <r>
    <s v="Rafaela Blaksland"/>
    <s v="USA"/>
    <x v="4"/>
    <x v="454"/>
    <n v="5887"/>
    <x v="0"/>
  </r>
  <r>
    <s v="Oby Sorrel"/>
    <s v="Germany"/>
    <x v="5"/>
    <x v="454"/>
    <n v="6771"/>
    <x v="0"/>
  </r>
  <r>
    <s v="Jan Morforth"/>
    <s v="Canada"/>
    <x v="5"/>
    <x v="455"/>
    <n v="8631"/>
    <x v="0"/>
  </r>
  <r>
    <s v="Van Tuxwell"/>
    <s v="Switzerland"/>
    <x v="5"/>
    <x v="456"/>
    <n v="1243"/>
    <x v="0"/>
  </r>
  <r>
    <s v="Brien Boise"/>
    <s v="USA"/>
    <x v="7"/>
    <x v="456"/>
    <n v="2024"/>
    <x v="0"/>
  </r>
  <r>
    <s v="Barr Faughny"/>
    <s v="Canada"/>
    <x v="6"/>
    <x v="456"/>
    <n v="6171"/>
    <x v="0"/>
  </r>
  <r>
    <s v="Karlen McCaffrey"/>
    <s v="China"/>
    <x v="6"/>
    <x v="456"/>
    <n v="13726"/>
    <x v="0"/>
  </r>
  <r>
    <s v="Marney O'Breem"/>
    <s v="Canada"/>
    <x v="3"/>
    <x v="456"/>
    <n v="11483"/>
    <x v="0"/>
  </r>
  <r>
    <s v="Rafaela Blaksland"/>
    <s v="China"/>
    <x v="0"/>
    <x v="457"/>
    <n v="4957"/>
    <x v="0"/>
  </r>
  <r>
    <s v="Karlen McCaffrey"/>
    <s v="Canada"/>
    <x v="0"/>
    <x v="457"/>
    <n v="4848"/>
    <x v="0"/>
  </r>
  <r>
    <s v="Curtice Advani"/>
    <s v="Germany"/>
    <x v="1"/>
    <x v="457"/>
    <n v="2558"/>
    <x v="0"/>
  </r>
  <r>
    <s v="Karlen McCaffrey"/>
    <s v="Germany"/>
    <x v="7"/>
    <x v="457"/>
    <n v="1997"/>
    <x v="0"/>
  </r>
  <r>
    <s v="Van Tuxwell"/>
    <s v="China"/>
    <x v="7"/>
    <x v="457"/>
    <n v="5202"/>
    <x v="0"/>
  </r>
  <r>
    <s v="Roddy Speechley"/>
    <s v="UK"/>
    <x v="7"/>
    <x v="458"/>
    <n v="13569"/>
    <x v="0"/>
  </r>
  <r>
    <s v="Karlen McCaffrey"/>
    <s v="Canada"/>
    <x v="0"/>
    <x v="459"/>
    <n v="6724"/>
    <x v="0"/>
  </r>
  <r>
    <s v="Beverie Moffet"/>
    <s v="Switzerland"/>
    <x v="0"/>
    <x v="459"/>
    <n v="5776"/>
    <x v="0"/>
  </r>
  <r>
    <s v="Rafaela Blaksland"/>
    <s v="China"/>
    <x v="6"/>
    <x v="459"/>
    <n v="7603"/>
    <x v="0"/>
  </r>
  <r>
    <s v="Marney O'Breem"/>
    <s v="Switzerland"/>
    <x v="6"/>
    <x v="459"/>
    <n v="10090"/>
    <x v="0"/>
  </r>
  <r>
    <s v="Gigi Bohling"/>
    <s v="USA"/>
    <x v="3"/>
    <x v="459"/>
    <n v="10331"/>
    <x v="0"/>
  </r>
  <r>
    <s v="Rafaela Blaksland"/>
    <s v="UK"/>
    <x v="3"/>
    <x v="459"/>
    <n v="4162"/>
    <x v="0"/>
  </r>
  <r>
    <s v="Mallorie Waber"/>
    <s v="China"/>
    <x v="3"/>
    <x v="459"/>
    <n v="9291"/>
    <x v="0"/>
  </r>
  <r>
    <s v="Beverie Moffet"/>
    <s v="USA"/>
    <x v="7"/>
    <x v="460"/>
    <n v="3854"/>
    <x v="0"/>
  </r>
  <r>
    <s v="Beverie Moffet"/>
    <s v="Switzerland"/>
    <x v="0"/>
    <x v="461"/>
    <n v="13015"/>
    <x v="0"/>
  </r>
  <r>
    <s v="Curtice Advani"/>
    <s v="Germany"/>
    <x v="5"/>
    <x v="461"/>
    <n v="9488"/>
    <x v="0"/>
  </r>
  <r>
    <s v="Rafaela Blaksland"/>
    <s v="Switzerland"/>
    <x v="1"/>
    <x v="461"/>
    <n v="11106"/>
    <x v="0"/>
  </r>
  <r>
    <s v="Rafaela Blaksland"/>
    <s v="UK"/>
    <x v="1"/>
    <x v="461"/>
    <n v="8399"/>
    <x v="0"/>
  </r>
  <r>
    <s v="Van Tuxwell"/>
    <s v="USA"/>
    <x v="7"/>
    <x v="461"/>
    <n v="13679"/>
    <x v="0"/>
  </r>
  <r>
    <s v="Karlen McCaffrey"/>
    <s v="Canada"/>
    <x v="6"/>
    <x v="461"/>
    <n v="8287"/>
    <x v="0"/>
  </r>
  <r>
    <s v="Oby Sorrel"/>
    <s v="Canada"/>
    <x v="0"/>
    <x v="462"/>
    <n v="13288"/>
    <x v="0"/>
  </r>
  <r>
    <s v="Oby Sorrel"/>
    <s v="UK"/>
    <x v="0"/>
    <x v="462"/>
    <n v="4748"/>
    <x v="0"/>
  </r>
  <r>
    <s v="Jehu Rudeforth"/>
    <s v="Canada"/>
    <x v="4"/>
    <x v="462"/>
    <n v="10676"/>
    <x v="0"/>
  </r>
  <r>
    <s v="Marney O'Breem"/>
    <s v="Germany"/>
    <x v="4"/>
    <x v="462"/>
    <n v="3704"/>
    <x v="0"/>
  </r>
  <r>
    <s v="Oby Sorrel"/>
    <s v="Switzerland"/>
    <x v="7"/>
    <x v="462"/>
    <n v="12071"/>
    <x v="0"/>
  </r>
  <r>
    <s v="Mallorie Waber"/>
    <s v="China"/>
    <x v="7"/>
    <x v="462"/>
    <n v="1559"/>
    <x v="0"/>
  </r>
  <r>
    <s v="Karlen McCaffrey"/>
    <s v="China"/>
    <x v="2"/>
    <x v="462"/>
    <n v="10990"/>
    <x v="0"/>
  </r>
  <r>
    <s v="Beverie Moffet"/>
    <s v="UK"/>
    <x v="3"/>
    <x v="462"/>
    <n v="6473"/>
    <x v="0"/>
  </r>
  <r>
    <s v="Roddy Speechley"/>
    <s v="China"/>
    <x v="4"/>
    <x v="463"/>
    <n v="12268"/>
    <x v="0"/>
  </r>
  <r>
    <s v="Jehu Rudeforth"/>
    <s v="Germany"/>
    <x v="1"/>
    <x v="463"/>
    <n v="5476"/>
    <x v="0"/>
  </r>
  <r>
    <s v="Rafaela Blaksland"/>
    <s v="Canada"/>
    <x v="1"/>
    <x v="463"/>
    <n v="12298"/>
    <x v="0"/>
  </r>
  <r>
    <s v="Karlen McCaffrey"/>
    <s v="Canada"/>
    <x v="6"/>
    <x v="463"/>
    <n v="11155"/>
    <x v="0"/>
  </r>
  <r>
    <s v="Beverie Moffet"/>
    <s v="China"/>
    <x v="0"/>
    <x v="464"/>
    <n v="8112"/>
    <x v="0"/>
  </r>
  <r>
    <s v="Jehu Rudeforth"/>
    <s v="Switzerland"/>
    <x v="4"/>
    <x v="464"/>
    <n v="5521"/>
    <x v="0"/>
  </r>
  <r>
    <s v="Roddy Speechley"/>
    <s v="UK"/>
    <x v="5"/>
    <x v="464"/>
    <n v="6329"/>
    <x v="0"/>
  </r>
  <r>
    <s v="Curtice Advani"/>
    <s v="Switzerland"/>
    <x v="0"/>
    <x v="465"/>
    <n v="8099"/>
    <x v="0"/>
  </r>
  <r>
    <s v="Van Tuxwell"/>
    <s v="UK"/>
    <x v="5"/>
    <x v="465"/>
    <n v="9458"/>
    <x v="0"/>
  </r>
  <r>
    <s v="Van Tuxwell"/>
    <s v="Canada"/>
    <x v="7"/>
    <x v="465"/>
    <n v="3218"/>
    <x v="0"/>
  </r>
  <r>
    <s v="Mallorie Waber"/>
    <s v="Switzerland"/>
    <x v="0"/>
    <x v="466"/>
    <n v="10590"/>
    <x v="0"/>
  </r>
  <r>
    <s v="Jan Morforth"/>
    <s v="USA"/>
    <x v="7"/>
    <x v="466"/>
    <n v="7078"/>
    <x v="0"/>
  </r>
  <r>
    <s v="Mallorie Waber"/>
    <s v="Canada"/>
    <x v="6"/>
    <x v="466"/>
    <n v="2316"/>
    <x v="0"/>
  </r>
  <r>
    <s v="Marney O'Breem"/>
    <s v="UK"/>
    <x v="7"/>
    <x v="467"/>
    <n v="2576"/>
    <x v="0"/>
  </r>
  <r>
    <s v="Rafaela Blaksland"/>
    <s v="UK"/>
    <x v="7"/>
    <x v="467"/>
    <n v="4290"/>
    <x v="0"/>
  </r>
  <r>
    <s v="Marney O'Breem"/>
    <s v="Canada"/>
    <x v="3"/>
    <x v="467"/>
    <n v="1840"/>
    <x v="0"/>
  </r>
  <r>
    <s v="Gigi Bohling"/>
    <s v="UK"/>
    <x v="3"/>
    <x v="467"/>
    <n v="2680"/>
    <x v="0"/>
  </r>
  <r>
    <s v="Curtice Advani"/>
    <s v="Switzerland"/>
    <x v="4"/>
    <x v="468"/>
    <n v="1304"/>
    <x v="0"/>
  </r>
  <r>
    <s v="Jan Morforth"/>
    <s v="Canada"/>
    <x v="5"/>
    <x v="468"/>
    <n v="7290"/>
    <x v="0"/>
  </r>
  <r>
    <s v="Curtice Advani"/>
    <s v="USA"/>
    <x v="5"/>
    <x v="468"/>
    <n v="11987"/>
    <x v="0"/>
  </r>
  <r>
    <s v="Beverie Moffet"/>
    <s v="China"/>
    <x v="6"/>
    <x v="468"/>
    <n v="5423"/>
    <x v="0"/>
  </r>
  <r>
    <s v="Jehu Rudeforth"/>
    <s v="Germany"/>
    <x v="1"/>
    <x v="469"/>
    <n v="11458"/>
    <x v="0"/>
  </r>
  <r>
    <s v="Jan Morforth"/>
    <s v="Switzerland"/>
    <x v="6"/>
    <x v="469"/>
    <n v="5783"/>
    <x v="0"/>
  </r>
  <r>
    <s v="Jehu Rudeforth"/>
    <s v="Canada"/>
    <x v="3"/>
    <x v="469"/>
    <n v="10242"/>
    <x v="0"/>
  </r>
  <r>
    <s v="Brien Boise"/>
    <s v="Switzerland"/>
    <x v="5"/>
    <x v="470"/>
    <n v="9822"/>
    <x v="0"/>
  </r>
  <r>
    <s v="Jehu Rudeforth"/>
    <s v="Germany"/>
    <x v="1"/>
    <x v="470"/>
    <n v="4757"/>
    <x v="0"/>
  </r>
  <r>
    <s v="Marney O'Breem"/>
    <s v="Germany"/>
    <x v="2"/>
    <x v="470"/>
    <n v="9593"/>
    <x v="0"/>
  </r>
  <r>
    <s v="Rafaela Blaksland"/>
    <s v="Switzerland"/>
    <x v="2"/>
    <x v="470"/>
    <n v="9551"/>
    <x v="0"/>
  </r>
  <r>
    <s v="Oby Sorrel"/>
    <s v="China"/>
    <x v="6"/>
    <x v="470"/>
    <n v="12529"/>
    <x v="0"/>
  </r>
  <r>
    <s v="Marney O'Breem"/>
    <s v="China"/>
    <x v="3"/>
    <x v="470"/>
    <n v="4815"/>
    <x v="0"/>
  </r>
  <r>
    <s v="Oby Sorrel"/>
    <s v="China"/>
    <x v="4"/>
    <x v="471"/>
    <n v="12990"/>
    <x v="0"/>
  </r>
  <r>
    <s v="Gunar Cockshoot"/>
    <s v="USA"/>
    <x v="4"/>
    <x v="471"/>
    <n v="1599"/>
    <x v="0"/>
  </r>
  <r>
    <s v="Barr Faughny"/>
    <s v="USA"/>
    <x v="7"/>
    <x v="471"/>
    <n v="5330"/>
    <x v="0"/>
  </r>
  <r>
    <s v="Roddy Speechley"/>
    <s v="Canada"/>
    <x v="4"/>
    <x v="472"/>
    <n v="1019"/>
    <x v="0"/>
  </r>
  <r>
    <s v="Van Tuxwell"/>
    <s v="Switzerland"/>
    <x v="1"/>
    <x v="472"/>
    <n v="1544"/>
    <x v="0"/>
  </r>
  <r>
    <s v="Karlen McCaffrey"/>
    <s v="China"/>
    <x v="1"/>
    <x v="472"/>
    <n v="4039"/>
    <x v="0"/>
  </r>
  <r>
    <s v="Karlen McCaffrey"/>
    <s v="China"/>
    <x v="7"/>
    <x v="472"/>
    <n v="3262"/>
    <x v="0"/>
  </r>
  <r>
    <s v="Marney O'Breem"/>
    <s v="China"/>
    <x v="2"/>
    <x v="472"/>
    <n v="12910"/>
    <x v="0"/>
  </r>
  <r>
    <s v="Gigi Bohling"/>
    <s v="USA"/>
    <x v="7"/>
    <x v="473"/>
    <n v="9117"/>
    <x v="0"/>
  </r>
  <r>
    <s v="Karlen McCaffrey"/>
    <s v="Germany"/>
    <x v="0"/>
    <x v="474"/>
    <n v="1071"/>
    <x v="0"/>
  </r>
  <r>
    <s v="Barr Faughny"/>
    <s v="Germany"/>
    <x v="7"/>
    <x v="474"/>
    <n v="6934"/>
    <x v="0"/>
  </r>
  <r>
    <s v="Marney O'Breem"/>
    <s v="USA"/>
    <x v="2"/>
    <x v="474"/>
    <n v="8492"/>
    <x v="0"/>
  </r>
  <r>
    <s v="Gigi Bohling"/>
    <s v="UK"/>
    <x v="2"/>
    <x v="474"/>
    <n v="11304"/>
    <x v="0"/>
  </r>
  <r>
    <s v="Mallorie Waber"/>
    <s v="UK"/>
    <x v="3"/>
    <x v="474"/>
    <n v="8322"/>
    <x v="0"/>
  </r>
  <r>
    <s v="Van Tuxwell"/>
    <s v="China"/>
    <x v="7"/>
    <x v="475"/>
    <n v="6048"/>
    <x v="0"/>
  </r>
  <r>
    <s v="Gunar Cockshoot"/>
    <s v="Switzerland"/>
    <x v="7"/>
    <x v="475"/>
    <n v="1447"/>
    <x v="0"/>
  </r>
  <r>
    <s v="Curtice Advani"/>
    <s v="Germany"/>
    <x v="6"/>
    <x v="475"/>
    <n v="3429"/>
    <x v="0"/>
  </r>
  <r>
    <s v="Gigi Bohling"/>
    <s v="Canada"/>
    <x v="3"/>
    <x v="475"/>
    <n v="4019"/>
    <x v="0"/>
  </r>
  <r>
    <s v="Beverie Moffet"/>
    <s v="UK"/>
    <x v="0"/>
    <x v="476"/>
    <n v="12077"/>
    <x v="0"/>
  </r>
  <r>
    <s v="Oby Sorrel"/>
    <s v="Canada"/>
    <x v="4"/>
    <x v="476"/>
    <n v="1910"/>
    <x v="0"/>
  </r>
  <r>
    <s v="Marney O'Breem"/>
    <s v="China"/>
    <x v="4"/>
    <x v="476"/>
    <n v="10483"/>
    <x v="0"/>
  </r>
  <r>
    <s v="Van Tuxwell"/>
    <s v="China"/>
    <x v="5"/>
    <x v="476"/>
    <n v="8421"/>
    <x v="0"/>
  </r>
  <r>
    <s v="Roddy Speechley"/>
    <s v="UK"/>
    <x v="1"/>
    <x v="476"/>
    <n v="12688"/>
    <x v="0"/>
  </r>
  <r>
    <s v="Karlen McCaffrey"/>
    <s v="Canada"/>
    <x v="7"/>
    <x v="476"/>
    <n v="9994"/>
    <x v="0"/>
  </r>
  <r>
    <s v="Gigi Bohling"/>
    <s v="USA"/>
    <x v="6"/>
    <x v="476"/>
    <n v="4251"/>
    <x v="0"/>
  </r>
  <r>
    <s v="Marney O'Breem"/>
    <s v="USA"/>
    <x v="6"/>
    <x v="476"/>
    <n v="1915"/>
    <x v="0"/>
  </r>
  <r>
    <s v="Karlen McCaffrey"/>
    <s v="USA"/>
    <x v="3"/>
    <x v="476"/>
    <n v="8668"/>
    <x v="0"/>
  </r>
  <r>
    <s v="Marney O'Breem"/>
    <s v="Germany"/>
    <x v="1"/>
    <x v="477"/>
    <n v="9581"/>
    <x v="0"/>
  </r>
  <r>
    <s v="Gunar Cockshoot"/>
    <s v="Canada"/>
    <x v="2"/>
    <x v="477"/>
    <n v="5461"/>
    <x v="0"/>
  </r>
  <r>
    <s v="Gunar Cockshoot"/>
    <s v="USA"/>
    <x v="3"/>
    <x v="477"/>
    <n v="11387"/>
    <x v="0"/>
  </r>
  <r>
    <s v="Marney O'Breem"/>
    <s v="Switzerland"/>
    <x v="4"/>
    <x v="478"/>
    <n v="7146"/>
    <x v="0"/>
  </r>
  <r>
    <s v="Gunar Cockshoot"/>
    <s v="UK"/>
    <x v="2"/>
    <x v="478"/>
    <n v="5450"/>
    <x v="0"/>
  </r>
  <r>
    <s v="Roddy Speechley"/>
    <s v="Switzerland"/>
    <x v="6"/>
    <x v="478"/>
    <n v="3883"/>
    <x v="0"/>
  </r>
  <r>
    <s v="Brien Boise"/>
    <s v="Switzerland"/>
    <x v="6"/>
    <x v="478"/>
    <n v="10514"/>
    <x v="0"/>
  </r>
  <r>
    <s v="Oby Sorrel"/>
    <s v="Canada"/>
    <x v="4"/>
    <x v="479"/>
    <n v="13622"/>
    <x v="0"/>
  </r>
  <r>
    <s v="Van Tuxwell"/>
    <s v="Germany"/>
    <x v="4"/>
    <x v="479"/>
    <n v="10661"/>
    <x v="0"/>
  </r>
  <r>
    <s v="Brien Boise"/>
    <s v="China"/>
    <x v="4"/>
    <x v="479"/>
    <n v="10651"/>
    <x v="0"/>
  </r>
  <r>
    <s v="Curtice Advani"/>
    <s v="Canada"/>
    <x v="4"/>
    <x v="479"/>
    <n v="7292"/>
    <x v="0"/>
  </r>
  <r>
    <s v="Gigi Bohling"/>
    <s v="China"/>
    <x v="5"/>
    <x v="479"/>
    <n v="9777"/>
    <x v="0"/>
  </r>
  <r>
    <s v="Van Tuxwell"/>
    <s v="Switzerland"/>
    <x v="5"/>
    <x v="479"/>
    <n v="11297"/>
    <x v="0"/>
  </r>
  <r>
    <s v="Mallorie Waber"/>
    <s v="Germany"/>
    <x v="1"/>
    <x v="479"/>
    <n v="5184"/>
    <x v="0"/>
  </r>
  <r>
    <s v="Beverie Moffet"/>
    <s v="Switzerland"/>
    <x v="7"/>
    <x v="479"/>
    <n v="10156"/>
    <x v="0"/>
  </r>
  <r>
    <s v="Roddy Speechley"/>
    <s v="USA"/>
    <x v="7"/>
    <x v="479"/>
    <n v="4194"/>
    <x v="0"/>
  </r>
  <r>
    <s v="Karlen McCaffrey"/>
    <s v="USA"/>
    <x v="6"/>
    <x v="479"/>
    <n v="3717"/>
    <x v="0"/>
  </r>
  <r>
    <s v="Roddy Speechley"/>
    <s v="USA"/>
    <x v="3"/>
    <x v="479"/>
    <n v="4446"/>
    <x v="0"/>
  </r>
  <r>
    <s v="Curtice Advani"/>
    <s v="UK"/>
    <x v="4"/>
    <x v="480"/>
    <n v="11986"/>
    <x v="0"/>
  </r>
  <r>
    <s v="Gigi Bohling"/>
    <s v="UK"/>
    <x v="5"/>
    <x v="480"/>
    <n v="5315"/>
    <x v="0"/>
  </r>
  <r>
    <s v="Roddy Speechley"/>
    <s v="Germany"/>
    <x v="5"/>
    <x v="480"/>
    <n v="6167"/>
    <x v="0"/>
  </r>
  <r>
    <s v="Roddy Speechley"/>
    <s v="Canada"/>
    <x v="7"/>
    <x v="480"/>
    <n v="2946"/>
    <x v="0"/>
  </r>
  <r>
    <s v="Marney O'Breem"/>
    <s v="Canada"/>
    <x v="2"/>
    <x v="480"/>
    <n v="9363"/>
    <x v="0"/>
  </r>
  <r>
    <s v="Oby Sorrel"/>
    <s v="Germany"/>
    <x v="4"/>
    <x v="481"/>
    <n v="10562"/>
    <x v="0"/>
  </r>
  <r>
    <s v="Barr Faughny"/>
    <s v="Germany"/>
    <x v="4"/>
    <x v="481"/>
    <n v="8078"/>
    <x v="0"/>
  </r>
  <r>
    <s v="Roddy Speechley"/>
    <s v="Switzerland"/>
    <x v="6"/>
    <x v="481"/>
    <n v="9795"/>
    <x v="0"/>
  </r>
  <r>
    <s v="Gunar Cockshoot"/>
    <s v="UK"/>
    <x v="3"/>
    <x v="481"/>
    <n v="10317"/>
    <x v="0"/>
  </r>
  <r>
    <s v="Rafaela Blaksland"/>
    <s v="UK"/>
    <x v="4"/>
    <x v="482"/>
    <n v="4645"/>
    <x v="0"/>
  </r>
  <r>
    <s v="Van Tuxwell"/>
    <s v="UK"/>
    <x v="1"/>
    <x v="482"/>
    <n v="6029"/>
    <x v="0"/>
  </r>
  <r>
    <s v="Jan Morforth"/>
    <s v="USA"/>
    <x v="2"/>
    <x v="482"/>
    <n v="3987"/>
    <x v="0"/>
  </r>
  <r>
    <s v="Van Tuxwell"/>
    <s v="China"/>
    <x v="0"/>
    <x v="483"/>
    <n v="2820"/>
    <x v="0"/>
  </r>
  <r>
    <s v="Karlen McCaffrey"/>
    <s v="Germany"/>
    <x v="0"/>
    <x v="483"/>
    <n v="4278"/>
    <x v="0"/>
  </r>
  <r>
    <s v="Gunar Cockshoot"/>
    <s v="USA"/>
    <x v="1"/>
    <x v="483"/>
    <n v="6954"/>
    <x v="0"/>
  </r>
  <r>
    <s v="Gunar Cockshoot"/>
    <s v="Switzerland"/>
    <x v="6"/>
    <x v="483"/>
    <n v="10298"/>
    <x v="0"/>
  </r>
  <r>
    <s v="Gigi Bohling"/>
    <s v="China"/>
    <x v="3"/>
    <x v="483"/>
    <n v="12929"/>
    <x v="0"/>
  </r>
  <r>
    <s v="Brien Boise"/>
    <s v="China"/>
    <x v="3"/>
    <x v="483"/>
    <n v="11037"/>
    <x v="0"/>
  </r>
  <r>
    <s v="Barr Faughny"/>
    <s v="Canada"/>
    <x v="2"/>
    <x v="484"/>
    <n v="1326"/>
    <x v="0"/>
  </r>
  <r>
    <s v="Curtice Advani"/>
    <s v="USA"/>
    <x v="6"/>
    <x v="485"/>
    <n v="8105"/>
    <x v="0"/>
  </r>
  <r>
    <s v="Mallorie Waber"/>
    <s v="China"/>
    <x v="3"/>
    <x v="485"/>
    <n v="9548"/>
    <x v="0"/>
  </r>
  <r>
    <s v="Jan Morforth"/>
    <s v="USA"/>
    <x v="4"/>
    <x v="486"/>
    <n v="5586"/>
    <x v="0"/>
  </r>
  <r>
    <s v="Jehu Rudeforth"/>
    <s v="UK"/>
    <x v="1"/>
    <x v="486"/>
    <n v="3614"/>
    <x v="0"/>
  </r>
  <r>
    <s v="Van Tuxwell"/>
    <s v="China"/>
    <x v="1"/>
    <x v="486"/>
    <n v="6041"/>
    <x v="0"/>
  </r>
  <r>
    <s v="Brien Boise"/>
    <s v="China"/>
    <x v="7"/>
    <x v="486"/>
    <n v="2222"/>
    <x v="0"/>
  </r>
  <r>
    <s v="Beverie Moffet"/>
    <s v="Canada"/>
    <x v="7"/>
    <x v="486"/>
    <n v="4528"/>
    <x v="0"/>
  </r>
  <r>
    <s v="Gunar Cockshoot"/>
    <s v="Switzerland"/>
    <x v="3"/>
    <x v="486"/>
    <n v="6935"/>
    <x v="0"/>
  </r>
  <r>
    <s v="Jehu Rudeforth"/>
    <s v="Switzerland"/>
    <x v="5"/>
    <x v="487"/>
    <n v="6559"/>
    <x v="0"/>
  </r>
  <r>
    <s v="Rafaela Blaksland"/>
    <s v="Switzerland"/>
    <x v="1"/>
    <x v="487"/>
    <n v="13463"/>
    <x v="0"/>
  </r>
  <r>
    <s v="Jehu Rudeforth"/>
    <s v="UK"/>
    <x v="7"/>
    <x v="487"/>
    <n v="9935"/>
    <x v="0"/>
  </r>
  <r>
    <s v="Beverie Moffet"/>
    <s v="Germany"/>
    <x v="2"/>
    <x v="487"/>
    <n v="2419"/>
    <x v="0"/>
  </r>
  <r>
    <s v="Barr Faughny"/>
    <s v="UK"/>
    <x v="0"/>
    <x v="488"/>
    <n v="9391"/>
    <x v="0"/>
  </r>
  <r>
    <s v="Beverie Moffet"/>
    <s v="UK"/>
    <x v="1"/>
    <x v="488"/>
    <n v="11271"/>
    <x v="0"/>
  </r>
  <r>
    <s v="Mallorie Waber"/>
    <s v="USA"/>
    <x v="1"/>
    <x v="488"/>
    <n v="10228"/>
    <x v="0"/>
  </r>
  <r>
    <s v="Marney O'Breem"/>
    <s v="USA"/>
    <x v="0"/>
    <x v="489"/>
    <n v="6429"/>
    <x v="0"/>
  </r>
  <r>
    <s v="Gigi Bohling"/>
    <s v="Canada"/>
    <x v="0"/>
    <x v="489"/>
    <n v="2937"/>
    <x v="0"/>
  </r>
  <r>
    <s v="Rafaela Blaksland"/>
    <s v="USA"/>
    <x v="6"/>
    <x v="489"/>
    <n v="10337"/>
    <x v="0"/>
  </r>
  <r>
    <s v="Karlen McCaffrey"/>
    <s v="China"/>
    <x v="3"/>
    <x v="489"/>
    <n v="9711"/>
    <x v="0"/>
  </r>
  <r>
    <s v="Karlen McCaffrey"/>
    <s v="Germany"/>
    <x v="0"/>
    <x v="490"/>
    <n v="12492"/>
    <x v="0"/>
  </r>
  <r>
    <s v="Brien Boise"/>
    <s v="Germany"/>
    <x v="6"/>
    <x v="490"/>
    <n v="2073"/>
    <x v="0"/>
  </r>
  <r>
    <s v="Gigi Bohling"/>
    <s v="Switzerland"/>
    <x v="6"/>
    <x v="490"/>
    <n v="6292"/>
    <x v="0"/>
  </r>
  <r>
    <s v="Curtice Advani"/>
    <s v="Canada"/>
    <x v="0"/>
    <x v="491"/>
    <n v="10120"/>
    <x v="0"/>
  </r>
  <r>
    <s v="Gigi Bohling"/>
    <s v="Switzerland"/>
    <x v="1"/>
    <x v="491"/>
    <n v="3432"/>
    <x v="0"/>
  </r>
  <r>
    <s v="Jehu Rudeforth"/>
    <s v="UK"/>
    <x v="2"/>
    <x v="491"/>
    <n v="8263"/>
    <x v="0"/>
  </r>
  <r>
    <s v="Van Tuxwell"/>
    <s v="Canada"/>
    <x v="6"/>
    <x v="491"/>
    <n v="6957"/>
    <x v="0"/>
  </r>
  <r>
    <s v="Gunar Cockshoot"/>
    <s v="Canada"/>
    <x v="3"/>
    <x v="491"/>
    <n v="4633"/>
    <x v="0"/>
  </r>
  <r>
    <s v="Jan Morforth"/>
    <s v="Switzerland"/>
    <x v="3"/>
    <x v="491"/>
    <n v="1416"/>
    <x v="0"/>
  </r>
  <r>
    <s v="Curtice Advani"/>
    <s v="USA"/>
    <x v="0"/>
    <x v="492"/>
    <n v="7643"/>
    <x v="0"/>
  </r>
  <r>
    <s v="Jehu Rudeforth"/>
    <s v="USA"/>
    <x v="1"/>
    <x v="492"/>
    <n v="3124"/>
    <x v="0"/>
  </r>
  <r>
    <s v="Oby Sorrel"/>
    <s v="China"/>
    <x v="1"/>
    <x v="492"/>
    <n v="13589"/>
    <x v="0"/>
  </r>
  <r>
    <s v="Beverie Moffet"/>
    <s v="Canada"/>
    <x v="7"/>
    <x v="492"/>
    <n v="1906"/>
    <x v="0"/>
  </r>
  <r>
    <s v="Gunar Cockshoot"/>
    <s v="Germany"/>
    <x v="2"/>
    <x v="492"/>
    <n v="11539"/>
    <x v="0"/>
  </r>
  <r>
    <s v="Van Tuxwell"/>
    <s v="USA"/>
    <x v="4"/>
    <x v="493"/>
    <n v="3899"/>
    <x v="0"/>
  </r>
  <r>
    <s v="Jan Morforth"/>
    <s v="Canada"/>
    <x v="1"/>
    <x v="493"/>
    <n v="11868"/>
    <x v="0"/>
  </r>
  <r>
    <s v="Marney O'Breem"/>
    <s v="USA"/>
    <x v="1"/>
    <x v="493"/>
    <n v="11275"/>
    <x v="0"/>
  </r>
  <r>
    <s v="Brien Boise"/>
    <s v="USA"/>
    <x v="7"/>
    <x v="493"/>
    <n v="6432"/>
    <x v="0"/>
  </r>
  <r>
    <s v="Gunar Cockshoot"/>
    <s v="China"/>
    <x v="3"/>
    <x v="493"/>
    <n v="12096"/>
    <x v="0"/>
  </r>
  <r>
    <s v="Brien Boise"/>
    <s v="China"/>
    <x v="3"/>
    <x v="493"/>
    <n v="11158"/>
    <x v="0"/>
  </r>
  <r>
    <s v="Gigi Bohling"/>
    <s v="UK"/>
    <x v="0"/>
    <x v="494"/>
    <n v="13347"/>
    <x v="0"/>
  </r>
  <r>
    <s v="Brien Boise"/>
    <s v="Canada"/>
    <x v="0"/>
    <x v="494"/>
    <n v="13620"/>
    <x v="0"/>
  </r>
  <r>
    <s v="Oby Sorrel"/>
    <s v="China"/>
    <x v="7"/>
    <x v="494"/>
    <n v="1336"/>
    <x v="0"/>
  </r>
  <r>
    <s v="Jehu Rudeforth"/>
    <s v="Switzerland"/>
    <x v="2"/>
    <x v="494"/>
    <n v="8714"/>
    <x v="0"/>
  </r>
  <r>
    <s v="Mallorie Waber"/>
    <s v="UK"/>
    <x v="3"/>
    <x v="494"/>
    <n v="11644"/>
    <x v="0"/>
  </r>
  <r>
    <s v="Barr Faughny"/>
    <s v="UK"/>
    <x v="1"/>
    <x v="495"/>
    <n v="1945"/>
    <x v="0"/>
  </r>
  <r>
    <s v="Marney O'Breem"/>
    <s v="Germany"/>
    <x v="1"/>
    <x v="495"/>
    <n v="10083"/>
    <x v="0"/>
  </r>
  <r>
    <s v="Curtice Advani"/>
    <s v="UK"/>
    <x v="1"/>
    <x v="495"/>
    <n v="6253"/>
    <x v="0"/>
  </r>
  <r>
    <s v="Mallorie Waber"/>
    <s v="USA"/>
    <x v="2"/>
    <x v="495"/>
    <n v="9203"/>
    <x v="0"/>
  </r>
  <r>
    <s v="Jan Morforth"/>
    <s v="Switzerland"/>
    <x v="5"/>
    <x v="496"/>
    <n v="9374"/>
    <x v="0"/>
  </r>
  <r>
    <s v="Rafaela Blaksland"/>
    <s v="Canada"/>
    <x v="7"/>
    <x v="496"/>
    <n v="12512"/>
    <x v="0"/>
  </r>
  <r>
    <s v="Oby Sorrel"/>
    <s v="China"/>
    <x v="2"/>
    <x v="496"/>
    <n v="7171"/>
    <x v="0"/>
  </r>
  <r>
    <s v="Karlen McCaffrey"/>
    <s v="Canada"/>
    <x v="0"/>
    <x v="497"/>
    <n v="5912"/>
    <x v="0"/>
  </r>
  <r>
    <s v="Brien Boise"/>
    <s v="Switzerland"/>
    <x v="1"/>
    <x v="497"/>
    <n v="12196"/>
    <x v="0"/>
  </r>
  <r>
    <s v="Roddy Speechley"/>
    <s v="Canada"/>
    <x v="1"/>
    <x v="497"/>
    <n v="9687"/>
    <x v="0"/>
  </r>
  <r>
    <s v="Beverie Moffet"/>
    <s v="Switzerland"/>
    <x v="6"/>
    <x v="497"/>
    <n v="5132"/>
    <x v="0"/>
  </r>
  <r>
    <s v="Beverie Moffet"/>
    <s v="Canada"/>
    <x v="3"/>
    <x v="497"/>
    <n v="6822"/>
    <x v="0"/>
  </r>
  <r>
    <s v="Roddy Speechley"/>
    <s v="Germany"/>
    <x v="0"/>
    <x v="498"/>
    <n v="10299"/>
    <x v="0"/>
  </r>
  <r>
    <s v="Jehu Rudeforth"/>
    <s v="USA"/>
    <x v="4"/>
    <x v="498"/>
    <n v="3005"/>
    <x v="0"/>
  </r>
  <r>
    <s v="Rafaela Blaksland"/>
    <s v="Switzerland"/>
    <x v="1"/>
    <x v="498"/>
    <n v="9243"/>
    <x v="0"/>
  </r>
  <r>
    <s v="Mallorie Waber"/>
    <s v="Switzerland"/>
    <x v="5"/>
    <x v="499"/>
    <n v="7939"/>
    <x v="0"/>
  </r>
  <r>
    <s v="Curtice Advani"/>
    <s v="USA"/>
    <x v="1"/>
    <x v="499"/>
    <n v="7368"/>
    <x v="0"/>
  </r>
  <r>
    <s v="Gunar Cockshoot"/>
    <s v="Switzerland"/>
    <x v="6"/>
    <x v="499"/>
    <n v="4717"/>
    <x v="0"/>
  </r>
  <r>
    <s v="Van Tuxwell"/>
    <s v="UK"/>
    <x v="3"/>
    <x v="499"/>
    <n v="3754"/>
    <x v="0"/>
  </r>
  <r>
    <s v="Mallorie Waber"/>
    <s v="China"/>
    <x v="1"/>
    <x v="500"/>
    <n v="1982"/>
    <x v="0"/>
  </r>
  <r>
    <s v="Jehu Rudeforth"/>
    <s v="Canada"/>
    <x v="2"/>
    <x v="500"/>
    <n v="4099"/>
    <x v="0"/>
  </r>
  <r>
    <s v="Jan Morforth"/>
    <s v="UK"/>
    <x v="3"/>
    <x v="500"/>
    <n v="11744"/>
    <x v="0"/>
  </r>
  <r>
    <s v="Karlen McCaffrey"/>
    <s v="USA"/>
    <x v="5"/>
    <x v="501"/>
    <n v="5880"/>
    <x v="0"/>
  </r>
  <r>
    <s v="Rafaela Blaksland"/>
    <s v="USA"/>
    <x v="1"/>
    <x v="501"/>
    <n v="2611"/>
    <x v="0"/>
  </r>
  <r>
    <s v="Karlen McCaffrey"/>
    <s v="UK"/>
    <x v="7"/>
    <x v="501"/>
    <n v="8001"/>
    <x v="0"/>
  </r>
  <r>
    <s v="Jan Morforth"/>
    <s v="UK"/>
    <x v="7"/>
    <x v="501"/>
    <n v="12886"/>
    <x v="0"/>
  </r>
  <r>
    <s v="Van Tuxwell"/>
    <s v="China"/>
    <x v="2"/>
    <x v="501"/>
    <n v="11979"/>
    <x v="0"/>
  </r>
  <r>
    <s v="Jehu Rudeforth"/>
    <s v="USA"/>
    <x v="6"/>
    <x v="501"/>
    <n v="7820"/>
    <x v="0"/>
  </r>
  <r>
    <s v="Jan Morforth"/>
    <s v="Switzerland"/>
    <x v="7"/>
    <x v="502"/>
    <n v="11843"/>
    <x v="0"/>
  </r>
  <r>
    <s v="Gunar Cockshoot"/>
    <s v="Germany"/>
    <x v="3"/>
    <x v="502"/>
    <n v="1314"/>
    <x v="0"/>
  </r>
  <r>
    <s v="Roddy Speechley"/>
    <s v="USA"/>
    <x v="3"/>
    <x v="502"/>
    <n v="5215"/>
    <x v="0"/>
  </r>
  <r>
    <s v="Oby Sorrel"/>
    <s v="Germany"/>
    <x v="3"/>
    <x v="502"/>
    <n v="10546"/>
    <x v="0"/>
  </r>
  <r>
    <s v="Mallorie Waber"/>
    <s v="China"/>
    <x v="0"/>
    <x v="503"/>
    <n v="5396"/>
    <x v="0"/>
  </r>
  <r>
    <s v="Mallorie Waber"/>
    <s v="Canada"/>
    <x v="0"/>
    <x v="503"/>
    <n v="2644"/>
    <x v="0"/>
  </r>
  <r>
    <s v="Rafaela Blaksland"/>
    <s v="Switzerland"/>
    <x v="5"/>
    <x v="503"/>
    <n v="6753"/>
    <x v="0"/>
  </r>
  <r>
    <s v="Rafaela Blaksland"/>
    <s v="Switzerland"/>
    <x v="1"/>
    <x v="503"/>
    <n v="7715"/>
    <x v="0"/>
  </r>
  <r>
    <s v="Curtice Advani"/>
    <s v="Canada"/>
    <x v="6"/>
    <x v="503"/>
    <n v="4215"/>
    <x v="0"/>
  </r>
  <r>
    <s v="Brien Boise"/>
    <s v="Switzerland"/>
    <x v="6"/>
    <x v="504"/>
    <n v="3917"/>
    <x v="0"/>
  </r>
  <r>
    <s v="Gunar Cockshoot"/>
    <s v="Switzerland"/>
    <x v="6"/>
    <x v="504"/>
    <n v="7210"/>
    <x v="0"/>
  </r>
  <r>
    <s v="Gigi Bohling"/>
    <s v="USA"/>
    <x v="0"/>
    <x v="505"/>
    <n v="7627"/>
    <x v="0"/>
  </r>
  <r>
    <s v="Beverie Moffet"/>
    <s v="Germany"/>
    <x v="1"/>
    <x v="505"/>
    <n v="3026"/>
    <x v="0"/>
  </r>
  <r>
    <s v="Brien Boise"/>
    <s v="Switzerland"/>
    <x v="7"/>
    <x v="505"/>
    <n v="8365"/>
    <x v="0"/>
  </r>
  <r>
    <s v="Mallorie Waber"/>
    <s v="UK"/>
    <x v="3"/>
    <x v="505"/>
    <n v="4665"/>
    <x v="0"/>
  </r>
  <r>
    <s v="Roddy Speechley"/>
    <s v="UK"/>
    <x v="3"/>
    <x v="505"/>
    <n v="13527"/>
    <x v="0"/>
  </r>
  <r>
    <s v="Jehu Rudeforth"/>
    <s v="Switzerland"/>
    <x v="2"/>
    <x v="506"/>
    <n v="10778"/>
    <x v="0"/>
  </r>
  <r>
    <s v="Van Tuxwell"/>
    <s v="Germany"/>
    <x v="2"/>
    <x v="506"/>
    <n v="10527"/>
    <x v="0"/>
  </r>
  <r>
    <s v="Beverie Moffet"/>
    <s v="China"/>
    <x v="3"/>
    <x v="506"/>
    <n v="8126"/>
    <x v="0"/>
  </r>
  <r>
    <s v="Brien Boise"/>
    <s v="China"/>
    <x v="4"/>
    <x v="507"/>
    <n v="2214"/>
    <x v="0"/>
  </r>
  <r>
    <s v="Mallorie Waber"/>
    <s v="USA"/>
    <x v="1"/>
    <x v="507"/>
    <n v="9570"/>
    <x v="0"/>
  </r>
  <r>
    <s v="Mallorie Waber"/>
    <s v="Germany"/>
    <x v="7"/>
    <x v="507"/>
    <n v="1249"/>
    <x v="0"/>
  </r>
  <r>
    <s v="Rafaela Blaksland"/>
    <s v="Canada"/>
    <x v="3"/>
    <x v="507"/>
    <n v="13609"/>
    <x v="0"/>
  </r>
  <r>
    <s v="Gigi Bohling"/>
    <s v="UK"/>
    <x v="0"/>
    <x v="508"/>
    <n v="10218"/>
    <x v="0"/>
  </r>
  <r>
    <s v="Jan Morforth"/>
    <s v="UK"/>
    <x v="0"/>
    <x v="508"/>
    <n v="12725"/>
    <x v="0"/>
  </r>
  <r>
    <s v="Jan Morforth"/>
    <s v="Switzerland"/>
    <x v="5"/>
    <x v="508"/>
    <n v="10473"/>
    <x v="0"/>
  </r>
  <r>
    <s v="Jehu Rudeforth"/>
    <s v="Switzerland"/>
    <x v="1"/>
    <x v="508"/>
    <n v="7508"/>
    <x v="0"/>
  </r>
  <r>
    <s v="Beverie Moffet"/>
    <s v="Germany"/>
    <x v="6"/>
    <x v="508"/>
    <n v="10216"/>
    <x v="0"/>
  </r>
  <r>
    <s v="Beverie Moffet"/>
    <s v="China"/>
    <x v="3"/>
    <x v="508"/>
    <n v="4837"/>
    <x v="0"/>
  </r>
  <r>
    <s v="Jan Morforth"/>
    <s v="UK"/>
    <x v="1"/>
    <x v="509"/>
    <n v="1575"/>
    <x v="0"/>
  </r>
  <r>
    <s v="Mallorie Waber"/>
    <s v="Switzerland"/>
    <x v="7"/>
    <x v="509"/>
    <n v="10483"/>
    <x v="0"/>
  </r>
  <r>
    <s v="Marney O'Breem"/>
    <s v="USA"/>
    <x v="7"/>
    <x v="509"/>
    <n v="6632"/>
    <x v="0"/>
  </r>
  <r>
    <s v="Van Tuxwell"/>
    <s v="USA"/>
    <x v="6"/>
    <x v="509"/>
    <n v="9091"/>
    <x v="0"/>
  </r>
  <r>
    <s v="Gunar Cockshoot"/>
    <s v="Switzerland"/>
    <x v="6"/>
    <x v="509"/>
    <n v="9798"/>
    <x v="0"/>
  </r>
  <r>
    <s v="Curtice Advani"/>
    <s v="USA"/>
    <x v="6"/>
    <x v="509"/>
    <n v="10776"/>
    <x v="0"/>
  </r>
  <r>
    <s v="Curtice Advani"/>
    <s v="Canada"/>
    <x v="6"/>
    <x v="509"/>
    <n v="1835"/>
    <x v="0"/>
  </r>
  <r>
    <s v="Beverie Moffet"/>
    <s v="Canada"/>
    <x v="0"/>
    <x v="510"/>
    <n v="10299"/>
    <x v="0"/>
  </r>
  <r>
    <s v="Beverie Moffet"/>
    <s v="Germany"/>
    <x v="0"/>
    <x v="510"/>
    <n v="9339"/>
    <x v="0"/>
  </r>
  <r>
    <s v="Beverie Moffet"/>
    <s v="Switzerland"/>
    <x v="7"/>
    <x v="510"/>
    <n v="4032"/>
    <x v="0"/>
  </r>
  <r>
    <s v="Jehu Rudeforth"/>
    <s v="Switzerland"/>
    <x v="4"/>
    <x v="511"/>
    <n v="2585"/>
    <x v="0"/>
  </r>
  <r>
    <s v="Rafaela Blaksland"/>
    <s v="Canada"/>
    <x v="4"/>
    <x v="511"/>
    <n v="10462"/>
    <x v="0"/>
  </r>
  <r>
    <s v="Marney O'Breem"/>
    <s v="China"/>
    <x v="5"/>
    <x v="512"/>
    <n v="7964"/>
    <x v="0"/>
  </r>
  <r>
    <s v="Barr Faughny"/>
    <s v="Canada"/>
    <x v="5"/>
    <x v="512"/>
    <n v="2530"/>
    <x v="0"/>
  </r>
  <r>
    <s v="Rafaela Blaksland"/>
    <s v="China"/>
    <x v="1"/>
    <x v="512"/>
    <n v="4703"/>
    <x v="0"/>
  </r>
  <r>
    <s v="Karlen McCaffrey"/>
    <s v="Germany"/>
    <x v="2"/>
    <x v="512"/>
    <n v="1009"/>
    <x v="0"/>
  </r>
  <r>
    <s v="Curtice Advani"/>
    <s v="Switzerland"/>
    <x v="2"/>
    <x v="512"/>
    <n v="10466"/>
    <x v="0"/>
  </r>
  <r>
    <s v="Van Tuxwell"/>
    <s v="Canada"/>
    <x v="3"/>
    <x v="512"/>
    <n v="9934"/>
    <x v="0"/>
  </r>
  <r>
    <s v="Mallorie Waber"/>
    <s v="Switzerland"/>
    <x v="5"/>
    <x v="513"/>
    <n v="10647"/>
    <x v="0"/>
  </r>
  <r>
    <s v="Jan Morforth"/>
    <s v="USA"/>
    <x v="3"/>
    <x v="513"/>
    <n v="11109"/>
    <x v="0"/>
  </r>
  <r>
    <s v="Gigi Bohling"/>
    <s v="Germany"/>
    <x v="0"/>
    <x v="514"/>
    <n v="6757"/>
    <x v="0"/>
  </r>
  <r>
    <s v="Jan Morforth"/>
    <s v="UK"/>
    <x v="0"/>
    <x v="514"/>
    <n v="6708"/>
    <x v="0"/>
  </r>
  <r>
    <s v="Roddy Speechley"/>
    <s v="Canada"/>
    <x v="2"/>
    <x v="514"/>
    <n v="8064"/>
    <x v="0"/>
  </r>
  <r>
    <s v="Rafaela Blaksland"/>
    <s v="China"/>
    <x v="2"/>
    <x v="514"/>
    <n v="7134"/>
    <x v="0"/>
  </r>
  <r>
    <s v="Oby Sorrel"/>
    <s v="Switzerland"/>
    <x v="6"/>
    <x v="514"/>
    <n v="13135"/>
    <x v="0"/>
  </r>
  <r>
    <s v="Marney O'Breem"/>
    <s v="Switzerland"/>
    <x v="0"/>
    <x v="515"/>
    <n v="3454"/>
    <x v="0"/>
  </r>
  <r>
    <s v="Barr Faughny"/>
    <s v="Germany"/>
    <x v="4"/>
    <x v="515"/>
    <n v="9356"/>
    <x v="0"/>
  </r>
  <r>
    <s v="Gigi Bohling"/>
    <s v="USA"/>
    <x v="5"/>
    <x v="515"/>
    <n v="13000"/>
    <x v="0"/>
  </r>
  <r>
    <s v="Rafaela Blaksland"/>
    <s v="USA"/>
    <x v="1"/>
    <x v="515"/>
    <n v="11890"/>
    <x v="0"/>
  </r>
  <r>
    <s v="Mallorie Waber"/>
    <s v="UK"/>
    <x v="1"/>
    <x v="515"/>
    <n v="11845"/>
    <x v="0"/>
  </r>
  <r>
    <s v="Brien Boise"/>
    <s v="USA"/>
    <x v="7"/>
    <x v="515"/>
    <n v="4437"/>
    <x v="0"/>
  </r>
  <r>
    <s v="Van Tuxwell"/>
    <s v="China"/>
    <x v="6"/>
    <x v="515"/>
    <n v="2584"/>
    <x v="0"/>
  </r>
  <r>
    <s v="Gunar Cockshoot"/>
    <s v="Germany"/>
    <x v="3"/>
    <x v="515"/>
    <n v="8220"/>
    <x v="0"/>
  </r>
  <r>
    <s v="Brien Boise"/>
    <s v="USA"/>
    <x v="0"/>
    <x v="516"/>
    <n v="5737"/>
    <x v="0"/>
  </r>
  <r>
    <s v="Curtice Advani"/>
    <s v="Canada"/>
    <x v="1"/>
    <x v="516"/>
    <n v="4059"/>
    <x v="0"/>
  </r>
  <r>
    <s v="Roddy Speechley"/>
    <s v="UK"/>
    <x v="7"/>
    <x v="516"/>
    <n v="10423"/>
    <x v="0"/>
  </r>
  <r>
    <s v="Rafaela Blaksland"/>
    <s v="Switzerland"/>
    <x v="2"/>
    <x v="516"/>
    <n v="13938"/>
    <x v="0"/>
  </r>
  <r>
    <s v="Karlen McCaffrey"/>
    <s v="Germany"/>
    <x v="2"/>
    <x v="516"/>
    <n v="13013"/>
    <x v="0"/>
  </r>
  <r>
    <s v="Oby Sorrel"/>
    <s v="Canada"/>
    <x v="6"/>
    <x v="516"/>
    <n v="11520"/>
    <x v="0"/>
  </r>
  <r>
    <s v="Oby Sorrel"/>
    <s v="USA"/>
    <x v="0"/>
    <x v="517"/>
    <n v="2647"/>
    <x v="0"/>
  </r>
  <r>
    <s v="Jan Morforth"/>
    <s v="UK"/>
    <x v="0"/>
    <x v="517"/>
    <n v="5134"/>
    <x v="0"/>
  </r>
  <r>
    <s v="Mallorie Waber"/>
    <s v="USA"/>
    <x v="4"/>
    <x v="517"/>
    <n v="8794"/>
    <x v="0"/>
  </r>
  <r>
    <s v="Jan Morforth"/>
    <s v="China"/>
    <x v="4"/>
    <x v="517"/>
    <n v="9390"/>
    <x v="0"/>
  </r>
  <r>
    <s v="Roddy Speechley"/>
    <s v="USA"/>
    <x v="5"/>
    <x v="517"/>
    <n v="12487"/>
    <x v="0"/>
  </r>
  <r>
    <s v="Oby Sorrel"/>
    <s v="Canada"/>
    <x v="1"/>
    <x v="517"/>
    <n v="5607"/>
    <x v="0"/>
  </r>
  <r>
    <s v="Barr Faughny"/>
    <s v="Canada"/>
    <x v="2"/>
    <x v="517"/>
    <n v="10819"/>
    <x v="0"/>
  </r>
  <r>
    <s v="Karlen McCaffrey"/>
    <s v="UK"/>
    <x v="6"/>
    <x v="517"/>
    <n v="4966"/>
    <x v="0"/>
  </r>
  <r>
    <s v="Jan Morforth"/>
    <s v="Germany"/>
    <x v="7"/>
    <x v="518"/>
    <n v="9420"/>
    <x v="0"/>
  </r>
  <r>
    <s v="Curtice Advani"/>
    <s v="China"/>
    <x v="0"/>
    <x v="519"/>
    <n v="2790"/>
    <x v="0"/>
  </r>
  <r>
    <s v="Rafaela Blaksland"/>
    <s v="China"/>
    <x v="1"/>
    <x v="519"/>
    <n v="2707"/>
    <x v="0"/>
  </r>
  <r>
    <s v="Oby Sorrel"/>
    <s v="Canada"/>
    <x v="6"/>
    <x v="519"/>
    <n v="13085"/>
    <x v="0"/>
  </r>
  <r>
    <s v="Roddy Speechley"/>
    <s v="Germany"/>
    <x v="0"/>
    <x v="520"/>
    <n v="2350"/>
    <x v="0"/>
  </r>
  <r>
    <s v="Rafaela Blaksland"/>
    <s v="UK"/>
    <x v="4"/>
    <x v="520"/>
    <n v="7518"/>
    <x v="0"/>
  </r>
  <r>
    <s v="Barr Faughny"/>
    <s v="UK"/>
    <x v="2"/>
    <x v="520"/>
    <n v="11240"/>
    <x v="0"/>
  </r>
  <r>
    <s v="Gunar Cockshoot"/>
    <s v="Canada"/>
    <x v="6"/>
    <x v="520"/>
    <n v="3435"/>
    <x v="0"/>
  </r>
  <r>
    <s v="Rafaela Blaksland"/>
    <s v="UK"/>
    <x v="6"/>
    <x v="520"/>
    <n v="8903"/>
    <x v="0"/>
  </r>
  <r>
    <s v="Barr Faughny"/>
    <s v="Germany"/>
    <x v="0"/>
    <x v="521"/>
    <n v="3052"/>
    <x v="0"/>
  </r>
  <r>
    <s v="Brien Boise"/>
    <s v="UK"/>
    <x v="5"/>
    <x v="521"/>
    <n v="9751"/>
    <x v="0"/>
  </r>
  <r>
    <s v="Curtice Advani"/>
    <s v="China"/>
    <x v="1"/>
    <x v="521"/>
    <n v="12210"/>
    <x v="0"/>
  </r>
  <r>
    <s v="Gigi Bohling"/>
    <s v="USA"/>
    <x v="7"/>
    <x v="521"/>
    <n v="1248"/>
    <x v="0"/>
  </r>
  <r>
    <s v="Van Tuxwell"/>
    <s v="China"/>
    <x v="6"/>
    <x v="521"/>
    <n v="9746"/>
    <x v="0"/>
  </r>
  <r>
    <s v="Beverie Moffet"/>
    <s v="China"/>
    <x v="6"/>
    <x v="521"/>
    <n v="13192"/>
    <x v="0"/>
  </r>
  <r>
    <s v="Karlen McCaffrey"/>
    <s v="Germany"/>
    <x v="6"/>
    <x v="521"/>
    <n v="7220"/>
    <x v="0"/>
  </r>
  <r>
    <s v="Van Tuxwell"/>
    <s v="Canada"/>
    <x v="6"/>
    <x v="521"/>
    <n v="4076"/>
    <x v="0"/>
  </r>
  <r>
    <s v="Brien Boise"/>
    <s v="China"/>
    <x v="0"/>
    <x v="522"/>
    <n v="9923"/>
    <x v="0"/>
  </r>
  <r>
    <s v="Karlen McCaffrey"/>
    <s v="UK"/>
    <x v="4"/>
    <x v="522"/>
    <n v="8033"/>
    <x v="0"/>
  </r>
  <r>
    <s v="Gunar Cockshoot"/>
    <s v="Germany"/>
    <x v="1"/>
    <x v="522"/>
    <n v="6953"/>
    <x v="0"/>
  </r>
  <r>
    <s v="Brien Boise"/>
    <s v="China"/>
    <x v="6"/>
    <x v="522"/>
    <n v="10540"/>
    <x v="0"/>
  </r>
  <r>
    <s v="Roddy Speechley"/>
    <s v="Switzerland"/>
    <x v="0"/>
    <x v="523"/>
    <n v="2621"/>
    <x v="0"/>
  </r>
  <r>
    <s v="Van Tuxwell"/>
    <s v="China"/>
    <x v="4"/>
    <x v="523"/>
    <n v="3080"/>
    <x v="0"/>
  </r>
  <r>
    <s v="Brien Boise"/>
    <s v="China"/>
    <x v="1"/>
    <x v="523"/>
    <n v="4534"/>
    <x v="0"/>
  </r>
  <r>
    <s v="Roddy Speechley"/>
    <s v="UK"/>
    <x v="7"/>
    <x v="523"/>
    <n v="12582"/>
    <x v="0"/>
  </r>
  <r>
    <s v="Jan Morforth"/>
    <s v="USA"/>
    <x v="2"/>
    <x v="523"/>
    <n v="1955"/>
    <x v="0"/>
  </r>
  <r>
    <s v="Jehu Rudeforth"/>
    <s v="Switzerland"/>
    <x v="2"/>
    <x v="523"/>
    <n v="6944"/>
    <x v="0"/>
  </r>
  <r>
    <s v="Van Tuxwell"/>
    <s v="Germany"/>
    <x v="3"/>
    <x v="523"/>
    <n v="13974"/>
    <x v="0"/>
  </r>
  <r>
    <s v="Brien Boise"/>
    <s v="China"/>
    <x v="4"/>
    <x v="524"/>
    <n v="10840"/>
    <x v="0"/>
  </r>
  <r>
    <s v="Roddy Speechley"/>
    <s v="Switzerland"/>
    <x v="5"/>
    <x v="524"/>
    <n v="5527"/>
    <x v="0"/>
  </r>
  <r>
    <s v="Curtice Advani"/>
    <s v="Germany"/>
    <x v="2"/>
    <x v="524"/>
    <n v="1247"/>
    <x v="0"/>
  </r>
  <r>
    <s v="Oby Sorrel"/>
    <s v="China"/>
    <x v="2"/>
    <x v="524"/>
    <n v="10374"/>
    <x v="0"/>
  </r>
  <r>
    <s v="Oby Sorrel"/>
    <s v="Canada"/>
    <x v="2"/>
    <x v="524"/>
    <n v="11212"/>
    <x v="0"/>
  </r>
  <r>
    <s v="Karlen McCaffrey"/>
    <s v="UK"/>
    <x v="6"/>
    <x v="524"/>
    <n v="7463"/>
    <x v="0"/>
  </r>
  <r>
    <s v="Brien Boise"/>
    <s v="Canada"/>
    <x v="3"/>
    <x v="524"/>
    <n v="5733"/>
    <x v="0"/>
  </r>
  <r>
    <s v="Van Tuxwell"/>
    <s v="Canada"/>
    <x v="5"/>
    <x v="525"/>
    <n v="9001"/>
    <x v="0"/>
  </r>
  <r>
    <s v="Jan Morforth"/>
    <s v="Switzerland"/>
    <x v="1"/>
    <x v="525"/>
    <n v="10371"/>
    <x v="0"/>
  </r>
  <r>
    <s v="Jan Morforth"/>
    <s v="Switzerland"/>
    <x v="4"/>
    <x v="526"/>
    <n v="1690"/>
    <x v="0"/>
  </r>
  <r>
    <s v="Jan Morforth"/>
    <s v="Canada"/>
    <x v="1"/>
    <x v="526"/>
    <n v="10374"/>
    <x v="0"/>
  </r>
  <r>
    <s v="Brien Boise"/>
    <s v="Switzerland"/>
    <x v="6"/>
    <x v="526"/>
    <n v="12204"/>
    <x v="0"/>
  </r>
  <r>
    <s v="Gigi Bohling"/>
    <s v="Switzerland"/>
    <x v="5"/>
    <x v="527"/>
    <n v="6877"/>
    <x v="0"/>
  </r>
  <r>
    <s v="Brien Boise"/>
    <s v="Canada"/>
    <x v="2"/>
    <x v="527"/>
    <n v="12436"/>
    <x v="0"/>
  </r>
  <r>
    <s v="Oby Sorrel"/>
    <s v="Switzerland"/>
    <x v="6"/>
    <x v="527"/>
    <n v="8395"/>
    <x v="0"/>
  </r>
  <r>
    <s v="Barr Faughny"/>
    <s v="Canada"/>
    <x v="3"/>
    <x v="527"/>
    <n v="1656"/>
    <x v="0"/>
  </r>
  <r>
    <s v="Brien Boise"/>
    <s v="Germany"/>
    <x v="0"/>
    <x v="528"/>
    <n v="7724"/>
    <x v="0"/>
  </r>
  <r>
    <s v="Karlen McCaffrey"/>
    <s v="UK"/>
    <x v="4"/>
    <x v="528"/>
    <n v="8777"/>
    <x v="0"/>
  </r>
  <r>
    <s v="Gunar Cockshoot"/>
    <s v="China"/>
    <x v="6"/>
    <x v="528"/>
    <n v="10554"/>
    <x v="0"/>
  </r>
  <r>
    <s v="Van Tuxwell"/>
    <s v="UK"/>
    <x v="5"/>
    <x v="529"/>
    <n v="10279"/>
    <x v="0"/>
  </r>
  <r>
    <s v="Barr Faughny"/>
    <s v="Switzerland"/>
    <x v="1"/>
    <x v="529"/>
    <n v="2140"/>
    <x v="0"/>
  </r>
  <r>
    <s v="Rafaela Blaksland"/>
    <s v="USA"/>
    <x v="7"/>
    <x v="529"/>
    <n v="13912"/>
    <x v="0"/>
  </r>
  <r>
    <s v="Roddy Speechley"/>
    <s v="China"/>
    <x v="3"/>
    <x v="529"/>
    <n v="12360"/>
    <x v="0"/>
  </r>
  <r>
    <s v="Beverie Moffet"/>
    <s v="Canada"/>
    <x v="3"/>
    <x v="530"/>
    <n v="4676"/>
    <x v="0"/>
  </r>
  <r>
    <s v="Gunar Cockshoot"/>
    <s v="UK"/>
    <x v="0"/>
    <x v="531"/>
    <n v="6603"/>
    <x v="0"/>
  </r>
  <r>
    <s v="Jan Morforth"/>
    <s v="Switzerland"/>
    <x v="4"/>
    <x v="531"/>
    <n v="11519"/>
    <x v="0"/>
  </r>
  <r>
    <s v="Roddy Speechley"/>
    <s v="China"/>
    <x v="1"/>
    <x v="531"/>
    <n v="13236"/>
    <x v="0"/>
  </r>
  <r>
    <s v="Beverie Moffet"/>
    <s v="Switzerland"/>
    <x v="6"/>
    <x v="531"/>
    <n v="9587"/>
    <x v="0"/>
  </r>
  <r>
    <s v="Oby Sorrel"/>
    <s v="China"/>
    <x v="0"/>
    <x v="532"/>
    <n v="10767"/>
    <x v="0"/>
  </r>
  <r>
    <s v="Van Tuxwell"/>
    <s v="China"/>
    <x v="4"/>
    <x v="532"/>
    <n v="3582"/>
    <x v="0"/>
  </r>
  <r>
    <s v="Roddy Speechley"/>
    <s v="Switzerland"/>
    <x v="7"/>
    <x v="532"/>
    <n v="5485"/>
    <x v="0"/>
  </r>
  <r>
    <s v="Van Tuxwell"/>
    <s v="China"/>
    <x v="2"/>
    <x v="532"/>
    <n v="12903"/>
    <x v="0"/>
  </r>
  <r>
    <s v="Rafaela Blaksland"/>
    <s v="UK"/>
    <x v="2"/>
    <x v="532"/>
    <n v="5116"/>
    <x v="0"/>
  </r>
  <r>
    <s v="Mallorie Waber"/>
    <s v="UK"/>
    <x v="3"/>
    <x v="532"/>
    <n v="3079"/>
    <x v="0"/>
  </r>
  <r>
    <s v="Roddy Speechley"/>
    <s v="Germany"/>
    <x v="0"/>
    <x v="533"/>
    <n v="2218"/>
    <x v="0"/>
  </r>
  <r>
    <s v="Jan Morforth"/>
    <s v="Germany"/>
    <x v="5"/>
    <x v="533"/>
    <n v="6608"/>
    <x v="0"/>
  </r>
  <r>
    <s v="Karlen McCaffrey"/>
    <s v="USA"/>
    <x v="5"/>
    <x v="533"/>
    <n v="11365"/>
    <x v="0"/>
  </r>
  <r>
    <s v="Brien Boise"/>
    <s v="Canada"/>
    <x v="7"/>
    <x v="533"/>
    <n v="8604"/>
    <x v="0"/>
  </r>
  <r>
    <s v="Gigi Bohling"/>
    <s v="UK"/>
    <x v="2"/>
    <x v="533"/>
    <n v="8969"/>
    <x v="0"/>
  </r>
  <r>
    <s v="Rafaela Blaksland"/>
    <s v="UK"/>
    <x v="2"/>
    <x v="533"/>
    <n v="12725"/>
    <x v="0"/>
  </r>
  <r>
    <s v="Karlen McCaffrey"/>
    <s v="Switzerland"/>
    <x v="6"/>
    <x v="533"/>
    <n v="5702"/>
    <x v="0"/>
  </r>
  <r>
    <s v="Van Tuxwell"/>
    <s v="USA"/>
    <x v="3"/>
    <x v="533"/>
    <n v="1064"/>
    <x v="0"/>
  </r>
  <r>
    <s v="Brien Boise"/>
    <s v="China"/>
    <x v="0"/>
    <x v="534"/>
    <n v="3644"/>
    <x v="0"/>
  </r>
  <r>
    <s v="Gigi Bohling"/>
    <s v="UK"/>
    <x v="7"/>
    <x v="534"/>
    <n v="7790"/>
    <x v="0"/>
  </r>
  <r>
    <s v="Brien Boise"/>
    <s v="China"/>
    <x v="7"/>
    <x v="534"/>
    <n v="13693"/>
    <x v="0"/>
  </r>
  <r>
    <s v="Karlen McCaffrey"/>
    <s v="Germany"/>
    <x v="0"/>
    <x v="535"/>
    <n v="9740"/>
    <x v="0"/>
  </r>
  <r>
    <s v="Curtice Advani"/>
    <s v="USA"/>
    <x v="4"/>
    <x v="535"/>
    <n v="9350"/>
    <x v="0"/>
  </r>
  <r>
    <s v="Jehu Rudeforth"/>
    <s v="Canada"/>
    <x v="1"/>
    <x v="535"/>
    <n v="4132"/>
    <x v="0"/>
  </r>
  <r>
    <s v="Curtice Advani"/>
    <s v="Germany"/>
    <x v="6"/>
    <x v="535"/>
    <n v="9591"/>
    <x v="0"/>
  </r>
  <r>
    <s v="Brien Boise"/>
    <s v="Switzerland"/>
    <x v="6"/>
    <x v="535"/>
    <n v="7821"/>
    <x v="0"/>
  </r>
  <r>
    <s v="Curtice Advani"/>
    <s v="UK"/>
    <x v="3"/>
    <x v="535"/>
    <n v="9698"/>
    <x v="0"/>
  </r>
  <r>
    <s v="Curtice Advani"/>
    <s v="Germany"/>
    <x v="0"/>
    <x v="536"/>
    <n v="11823"/>
    <x v="0"/>
  </r>
  <r>
    <s v="Marney O'Breem"/>
    <s v="UK"/>
    <x v="0"/>
    <x v="536"/>
    <n v="10289"/>
    <x v="0"/>
  </r>
  <r>
    <s v="Marney O'Breem"/>
    <s v="China"/>
    <x v="4"/>
    <x v="536"/>
    <n v="4337"/>
    <x v="0"/>
  </r>
  <r>
    <s v="Rafaela Blaksland"/>
    <s v="Germany"/>
    <x v="7"/>
    <x v="536"/>
    <n v="2011"/>
    <x v="0"/>
  </r>
  <r>
    <s v="Gigi Bohling"/>
    <s v="Switzerland"/>
    <x v="7"/>
    <x v="536"/>
    <n v="5405"/>
    <x v="0"/>
  </r>
  <r>
    <s v="Gunar Cockshoot"/>
    <s v="Switzerland"/>
    <x v="7"/>
    <x v="536"/>
    <n v="10727"/>
    <x v="0"/>
  </r>
  <r>
    <s v="Brien Boise"/>
    <s v="Canada"/>
    <x v="2"/>
    <x v="536"/>
    <n v="1469"/>
    <x v="0"/>
  </r>
  <r>
    <s v="Oby Sorrel"/>
    <s v="Germany"/>
    <x v="6"/>
    <x v="536"/>
    <n v="11444"/>
    <x v="0"/>
  </r>
  <r>
    <s v="Brien Boise"/>
    <s v="Switzerland"/>
    <x v="6"/>
    <x v="536"/>
    <n v="3101"/>
    <x v="0"/>
  </r>
  <r>
    <s v="Jan Morforth"/>
    <s v="Canada"/>
    <x v="3"/>
    <x v="536"/>
    <n v="1771"/>
    <x v="0"/>
  </r>
  <r>
    <s v="Oby Sorrel"/>
    <s v="UK"/>
    <x v="4"/>
    <x v="537"/>
    <n v="7437"/>
    <x v="0"/>
  </r>
  <r>
    <s v="Jan Morforth"/>
    <s v="USA"/>
    <x v="6"/>
    <x v="537"/>
    <n v="10196"/>
    <x v="0"/>
  </r>
  <r>
    <s v="Gigi Bohling"/>
    <s v="Switzerland"/>
    <x v="6"/>
    <x v="537"/>
    <n v="3516"/>
    <x v="0"/>
  </r>
  <r>
    <s v="Jan Morforth"/>
    <s v="Switzerland"/>
    <x v="3"/>
    <x v="537"/>
    <n v="12615"/>
    <x v="0"/>
  </r>
  <r>
    <s v="Barr Faughny"/>
    <s v="Switzerland"/>
    <x v="4"/>
    <x v="538"/>
    <n v="12750"/>
    <x v="0"/>
  </r>
  <r>
    <s v="Marney O'Breem"/>
    <s v="USA"/>
    <x v="7"/>
    <x v="538"/>
    <n v="2238"/>
    <x v="0"/>
  </r>
  <r>
    <s v="Jan Morforth"/>
    <s v="Switzerland"/>
    <x v="7"/>
    <x v="539"/>
    <n v="1657"/>
    <x v="0"/>
  </r>
  <r>
    <s v="Barr Faughny"/>
    <s v="Switzerland"/>
    <x v="3"/>
    <x v="539"/>
    <n v="9886"/>
    <x v="0"/>
  </r>
  <r>
    <s v="Karlen McCaffrey"/>
    <s v="Canada"/>
    <x v="7"/>
    <x v="540"/>
    <n v="1384"/>
    <x v="0"/>
  </r>
  <r>
    <s v="Van Tuxwell"/>
    <s v="Canada"/>
    <x v="4"/>
    <x v="541"/>
    <n v="4222"/>
    <x v="0"/>
  </r>
  <r>
    <s v="Barr Faughny"/>
    <s v="UK"/>
    <x v="0"/>
    <x v="542"/>
    <n v="13377"/>
    <x v="0"/>
  </r>
  <r>
    <s v="Karlen McCaffrey"/>
    <s v="China"/>
    <x v="0"/>
    <x v="542"/>
    <n v="5627"/>
    <x v="0"/>
  </r>
  <r>
    <s v="Jan Morforth"/>
    <s v="USA"/>
    <x v="5"/>
    <x v="542"/>
    <n v="7566"/>
    <x v="0"/>
  </r>
  <r>
    <s v="Jehu Rudeforth"/>
    <s v="USA"/>
    <x v="3"/>
    <x v="542"/>
    <n v="12382"/>
    <x v="0"/>
  </r>
  <r>
    <s v="Jan Morforth"/>
    <s v="USA"/>
    <x v="4"/>
    <x v="543"/>
    <n v="8268"/>
    <x v="0"/>
  </r>
  <r>
    <s v="Roddy Speechley"/>
    <s v="Germany"/>
    <x v="2"/>
    <x v="543"/>
    <n v="5738"/>
    <x v="0"/>
  </r>
  <r>
    <s v="Oby Sorrel"/>
    <s v="USA"/>
    <x v="2"/>
    <x v="543"/>
    <n v="13377"/>
    <x v="0"/>
  </r>
  <r>
    <s v="Mallorie Waber"/>
    <s v="USA"/>
    <x v="3"/>
    <x v="543"/>
    <n v="4267"/>
    <x v="0"/>
  </r>
  <r>
    <s v="Mallorie Waber"/>
    <s v="Switzerland"/>
    <x v="3"/>
    <x v="543"/>
    <n v="5254"/>
    <x v="0"/>
  </r>
  <r>
    <s v="Gunar Cockshoot"/>
    <s v="USA"/>
    <x v="0"/>
    <x v="544"/>
    <n v="9051"/>
    <x v="0"/>
  </r>
  <r>
    <s v="Jan Morforth"/>
    <s v="Canada"/>
    <x v="0"/>
    <x v="544"/>
    <n v="12311"/>
    <x v="0"/>
  </r>
  <r>
    <s v="Jehu Rudeforth"/>
    <s v="China"/>
    <x v="4"/>
    <x v="544"/>
    <n v="6230"/>
    <x v="0"/>
  </r>
  <r>
    <s v="Van Tuxwell"/>
    <s v="Canada"/>
    <x v="1"/>
    <x v="544"/>
    <n v="7264"/>
    <x v="0"/>
  </r>
  <r>
    <s v="Jan Morforth"/>
    <s v="Switzerland"/>
    <x v="1"/>
    <x v="544"/>
    <n v="10849"/>
    <x v="0"/>
  </r>
  <r>
    <s v="Beverie Moffet"/>
    <s v="China"/>
    <x v="7"/>
    <x v="544"/>
    <n v="13471"/>
    <x v="0"/>
  </r>
  <r>
    <s v="Curtice Advani"/>
    <s v="Canada"/>
    <x v="3"/>
    <x v="544"/>
    <n v="5089"/>
    <x v="0"/>
  </r>
  <r>
    <s v="Van Tuxwell"/>
    <s v="UK"/>
    <x v="7"/>
    <x v="545"/>
    <n v="4856"/>
    <x v="0"/>
  </r>
  <r>
    <s v="Oby Sorrel"/>
    <s v="Germany"/>
    <x v="7"/>
    <x v="545"/>
    <n v="13645"/>
    <x v="0"/>
  </r>
  <r>
    <s v="Gigi Bohling"/>
    <s v="China"/>
    <x v="2"/>
    <x v="545"/>
    <n v="5454"/>
    <x v="0"/>
  </r>
  <r>
    <s v="Beverie Moffet"/>
    <s v="UK"/>
    <x v="6"/>
    <x v="545"/>
    <n v="3690"/>
    <x v="0"/>
  </r>
  <r>
    <s v="Van Tuxwell"/>
    <s v="Switzerland"/>
    <x v="6"/>
    <x v="545"/>
    <n v="10538"/>
    <x v="0"/>
  </r>
  <r>
    <s v="Curtice Advani"/>
    <s v="Switzerland"/>
    <x v="3"/>
    <x v="545"/>
    <n v="13394"/>
    <x v="0"/>
  </r>
  <r>
    <s v="Gunar Cockshoot"/>
    <s v="Germany"/>
    <x v="4"/>
    <x v="546"/>
    <n v="7625"/>
    <x v="0"/>
  </r>
  <r>
    <s v="Mallorie Waber"/>
    <s v="China"/>
    <x v="7"/>
    <x v="546"/>
    <n v="1784"/>
    <x v="0"/>
  </r>
  <r>
    <s v="Oby Sorrel"/>
    <s v="USA"/>
    <x v="2"/>
    <x v="546"/>
    <n v="10518"/>
    <x v="0"/>
  </r>
  <r>
    <s v="Oby Sorrel"/>
    <s v="UK"/>
    <x v="4"/>
    <x v="547"/>
    <n v="3971"/>
    <x v="0"/>
  </r>
  <r>
    <s v="Curtice Advani"/>
    <s v="Germany"/>
    <x v="1"/>
    <x v="547"/>
    <n v="3049"/>
    <x v="0"/>
  </r>
  <r>
    <s v="Mallorie Waber"/>
    <s v="UK"/>
    <x v="2"/>
    <x v="547"/>
    <n v="11592"/>
    <x v="0"/>
  </r>
  <r>
    <s v="Oby Sorrel"/>
    <s v="USA"/>
    <x v="3"/>
    <x v="547"/>
    <n v="1358"/>
    <x v="0"/>
  </r>
  <r>
    <s v="Gigi Bohling"/>
    <s v="USA"/>
    <x v="5"/>
    <x v="548"/>
    <n v="11092"/>
    <x v="0"/>
  </r>
  <r>
    <s v="Gigi Bohling"/>
    <s v="Canada"/>
    <x v="2"/>
    <x v="548"/>
    <n v="5178"/>
    <x v="0"/>
  </r>
  <r>
    <s v="Marney O'Breem"/>
    <s v="UK"/>
    <x v="5"/>
    <x v="549"/>
    <n v="8893"/>
    <x v="0"/>
  </r>
  <r>
    <s v="Gigi Bohling"/>
    <s v="USA"/>
    <x v="7"/>
    <x v="549"/>
    <n v="9900"/>
    <x v="0"/>
  </r>
  <r>
    <s v="Beverie Moffet"/>
    <s v="Switzerland"/>
    <x v="2"/>
    <x v="549"/>
    <n v="2537"/>
    <x v="0"/>
  </r>
  <r>
    <s v="Rafaela Blaksland"/>
    <s v="Canada"/>
    <x v="6"/>
    <x v="549"/>
    <n v="7564"/>
    <x v="0"/>
  </r>
  <r>
    <s v="Van Tuxwell"/>
    <s v="China"/>
    <x v="3"/>
    <x v="549"/>
    <n v="8240"/>
    <x v="0"/>
  </r>
  <r>
    <s v="Van Tuxwell"/>
    <s v="Switzerland"/>
    <x v="4"/>
    <x v="550"/>
    <n v="1490"/>
    <x v="0"/>
  </r>
  <r>
    <s v="Marney O'Breem"/>
    <s v="Germany"/>
    <x v="5"/>
    <x v="550"/>
    <n v="4942"/>
    <x v="0"/>
  </r>
  <r>
    <s v="Karlen McCaffrey"/>
    <s v="USA"/>
    <x v="1"/>
    <x v="550"/>
    <n v="1534"/>
    <x v="0"/>
  </r>
  <r>
    <s v="Curtice Advani"/>
    <s v="UK"/>
    <x v="7"/>
    <x v="550"/>
    <n v="11712"/>
    <x v="0"/>
  </r>
  <r>
    <s v="Marney O'Breem"/>
    <s v="UK"/>
    <x v="7"/>
    <x v="550"/>
    <n v="8363"/>
    <x v="0"/>
  </r>
  <r>
    <s v="Oby Sorrel"/>
    <s v="USA"/>
    <x v="0"/>
    <x v="551"/>
    <n v="3691"/>
    <x v="0"/>
  </r>
  <r>
    <s v="Karlen McCaffrey"/>
    <s v="Switzerland"/>
    <x v="6"/>
    <x v="551"/>
    <n v="13738"/>
    <x v="0"/>
  </r>
  <r>
    <s v="Beverie Moffet"/>
    <s v="Germany"/>
    <x v="0"/>
    <x v="552"/>
    <n v="3973"/>
    <x v="0"/>
  </r>
  <r>
    <s v="Jan Morforth"/>
    <s v="UK"/>
    <x v="5"/>
    <x v="553"/>
    <n v="10922"/>
    <x v="0"/>
  </r>
  <r>
    <s v="Curtice Advani"/>
    <s v="UK"/>
    <x v="1"/>
    <x v="553"/>
    <n v="3551"/>
    <x v="0"/>
  </r>
  <r>
    <s v="Beverie Moffet"/>
    <s v="Canada"/>
    <x v="2"/>
    <x v="553"/>
    <n v="13946"/>
    <x v="0"/>
  </r>
  <r>
    <s v="Beverie Moffet"/>
    <s v="Switzerland"/>
    <x v="2"/>
    <x v="553"/>
    <n v="2550"/>
    <x v="0"/>
  </r>
  <r>
    <s v="Rafaela Blaksland"/>
    <s v="China"/>
    <x v="1"/>
    <x v="554"/>
    <n v="8572"/>
    <x v="0"/>
  </r>
  <r>
    <s v="Jehu Rudeforth"/>
    <s v="Switzerland"/>
    <x v="3"/>
    <x v="554"/>
    <n v="6287"/>
    <x v="0"/>
  </r>
  <r>
    <s v="Marney O'Breem"/>
    <s v="Germany"/>
    <x v="5"/>
    <x v="555"/>
    <n v="10543"/>
    <x v="0"/>
  </r>
  <r>
    <s v="Barr Faughny"/>
    <s v="Canada"/>
    <x v="7"/>
    <x v="555"/>
    <n v="7740"/>
    <x v="0"/>
  </r>
  <r>
    <s v="Van Tuxwell"/>
    <s v="USA"/>
    <x v="0"/>
    <x v="556"/>
    <n v="1714"/>
    <x v="0"/>
  </r>
  <r>
    <s v="Karlen McCaffrey"/>
    <s v="Germany"/>
    <x v="5"/>
    <x v="556"/>
    <n v="6041"/>
    <x v="0"/>
  </r>
  <r>
    <s v="Gunar Cockshoot"/>
    <s v="USA"/>
    <x v="5"/>
    <x v="556"/>
    <n v="1838"/>
    <x v="0"/>
  </r>
  <r>
    <s v="Gigi Bohling"/>
    <s v="Switzerland"/>
    <x v="1"/>
    <x v="556"/>
    <n v="9641"/>
    <x v="0"/>
  </r>
  <r>
    <s v="Curtice Advani"/>
    <s v="UK"/>
    <x v="2"/>
    <x v="556"/>
    <n v="3833"/>
    <x v="0"/>
  </r>
  <r>
    <s v="Karlen McCaffrey"/>
    <s v="Germany"/>
    <x v="6"/>
    <x v="556"/>
    <n v="11764"/>
    <x v="0"/>
  </r>
  <r>
    <s v="Mallorie Waber"/>
    <s v="China"/>
    <x v="3"/>
    <x v="556"/>
    <n v="11688"/>
    <x v="0"/>
  </r>
  <r>
    <s v="Rafaela Blaksland"/>
    <s v="Germany"/>
    <x v="3"/>
    <x v="557"/>
    <n v="7956"/>
    <x v="0"/>
  </r>
  <r>
    <s v="Marney O'Breem"/>
    <s v="UK"/>
    <x v="4"/>
    <x v="558"/>
    <n v="12712"/>
    <x v="0"/>
  </r>
  <r>
    <s v="Jehu Rudeforth"/>
    <s v="Canada"/>
    <x v="1"/>
    <x v="558"/>
    <n v="1092"/>
    <x v="0"/>
  </r>
  <r>
    <s v="Rafaela Blaksland"/>
    <s v="China"/>
    <x v="7"/>
    <x v="558"/>
    <n v="4387"/>
    <x v="0"/>
  </r>
  <r>
    <s v="Oby Sorrel"/>
    <s v="USA"/>
    <x v="7"/>
    <x v="558"/>
    <n v="3444"/>
    <x v="0"/>
  </r>
  <r>
    <s v="Roddy Speechley"/>
    <s v="Switzerland"/>
    <x v="2"/>
    <x v="558"/>
    <n v="4800"/>
    <x v="0"/>
  </r>
  <r>
    <s v="Gigi Bohling"/>
    <s v="UK"/>
    <x v="6"/>
    <x v="558"/>
    <n v="9477"/>
    <x v="0"/>
  </r>
  <r>
    <s v="Oby Sorrel"/>
    <s v="China"/>
    <x v="6"/>
    <x v="558"/>
    <n v="10556"/>
    <x v="0"/>
  </r>
  <r>
    <s v="Roddy Speechley"/>
    <s v="Switzerland"/>
    <x v="4"/>
    <x v="559"/>
    <n v="8174"/>
    <x v="0"/>
  </r>
  <r>
    <s v="Jan Morforth"/>
    <s v="Germany"/>
    <x v="4"/>
    <x v="559"/>
    <n v="10887"/>
    <x v="0"/>
  </r>
  <r>
    <s v="Oby Sorrel"/>
    <s v="Germany"/>
    <x v="5"/>
    <x v="559"/>
    <n v="3877"/>
    <x v="0"/>
  </r>
  <r>
    <s v="Beverie Moffet"/>
    <s v="Switzerland"/>
    <x v="1"/>
    <x v="559"/>
    <n v="9395"/>
    <x v="0"/>
  </r>
  <r>
    <s v="Barr Faughny"/>
    <s v="UK"/>
    <x v="1"/>
    <x v="560"/>
    <n v="5764"/>
    <x v="0"/>
  </r>
  <r>
    <s v="Brien Boise"/>
    <s v="USA"/>
    <x v="7"/>
    <x v="560"/>
    <n v="1823"/>
    <x v="0"/>
  </r>
  <r>
    <s v="Gigi Bohling"/>
    <s v="Switzerland"/>
    <x v="6"/>
    <x v="560"/>
    <n v="10416"/>
    <x v="0"/>
  </r>
  <r>
    <s v="Jehu Rudeforth"/>
    <s v="Switzerland"/>
    <x v="7"/>
    <x v="561"/>
    <n v="9735"/>
    <x v="0"/>
  </r>
  <r>
    <s v="Karlen McCaffrey"/>
    <s v="UK"/>
    <x v="4"/>
    <x v="562"/>
    <n v="11936"/>
    <x v="0"/>
  </r>
  <r>
    <s v="Mallorie Waber"/>
    <s v="Germany"/>
    <x v="4"/>
    <x v="562"/>
    <n v="4829"/>
    <x v="0"/>
  </r>
  <r>
    <s v="Rafaela Blaksland"/>
    <s v="Canada"/>
    <x v="3"/>
    <x v="563"/>
    <n v="2125"/>
    <x v="0"/>
  </r>
  <r>
    <s v="Oby Sorrel"/>
    <s v="Switzerland"/>
    <x v="0"/>
    <x v="564"/>
    <n v="11750"/>
    <x v="0"/>
  </r>
  <r>
    <s v="Marney O'Breem"/>
    <s v="China"/>
    <x v="2"/>
    <x v="564"/>
    <n v="10961"/>
    <x v="0"/>
  </r>
  <r>
    <s v="Curtice Advani"/>
    <s v="Canada"/>
    <x v="6"/>
    <x v="564"/>
    <n v="5183"/>
    <x v="0"/>
  </r>
  <r>
    <s v="Mallorie Waber"/>
    <s v="Canada"/>
    <x v="3"/>
    <x v="564"/>
    <n v="11449"/>
    <x v="0"/>
  </r>
  <r>
    <s v="Marney O'Breem"/>
    <s v="USA"/>
    <x v="0"/>
    <x v="565"/>
    <n v="13180"/>
    <x v="0"/>
  </r>
  <r>
    <s v="Barr Faughny"/>
    <s v="UK"/>
    <x v="4"/>
    <x v="565"/>
    <n v="12333"/>
    <x v="0"/>
  </r>
  <r>
    <s v="Roddy Speechley"/>
    <s v="Switzerland"/>
    <x v="6"/>
    <x v="565"/>
    <n v="5328"/>
    <x v="0"/>
  </r>
  <r>
    <s v="Curtice Advani"/>
    <s v="UK"/>
    <x v="7"/>
    <x v="566"/>
    <n v="13611"/>
    <x v="0"/>
  </r>
  <r>
    <s v="Jan Morforth"/>
    <s v="USA"/>
    <x v="5"/>
    <x v="567"/>
    <n v="10549"/>
    <x v="0"/>
  </r>
  <r>
    <s v="Jan Morforth"/>
    <s v="UK"/>
    <x v="2"/>
    <x v="567"/>
    <n v="1502"/>
    <x v="0"/>
  </r>
  <r>
    <s v="Mallorie Waber"/>
    <s v="Germany"/>
    <x v="3"/>
    <x v="567"/>
    <n v="6523"/>
    <x v="0"/>
  </r>
  <r>
    <s v="Karlen McCaffrey"/>
    <s v="Germany"/>
    <x v="0"/>
    <x v="568"/>
    <n v="6767"/>
    <x v="0"/>
  </r>
  <r>
    <s v="Rafaela Blaksland"/>
    <s v="Canada"/>
    <x v="5"/>
    <x v="568"/>
    <n v="3721"/>
    <x v="0"/>
  </r>
  <r>
    <s v="Curtice Advani"/>
    <s v="Switzerland"/>
    <x v="1"/>
    <x v="568"/>
    <n v="6142"/>
    <x v="0"/>
  </r>
  <r>
    <s v="Oby Sorrel"/>
    <s v="Switzerland"/>
    <x v="7"/>
    <x v="568"/>
    <n v="2173"/>
    <x v="0"/>
  </r>
  <r>
    <s v="Marney O'Breem"/>
    <s v="UK"/>
    <x v="3"/>
    <x v="568"/>
    <n v="12253"/>
    <x v="0"/>
  </r>
  <r>
    <s v="Gunar Cockshoot"/>
    <s v="China"/>
    <x v="4"/>
    <x v="569"/>
    <n v="12943"/>
    <x v="0"/>
  </r>
  <r>
    <s v="Roddy Speechley"/>
    <s v="China"/>
    <x v="6"/>
    <x v="569"/>
    <n v="5895"/>
    <x v="0"/>
  </r>
  <r>
    <s v="Gunar Cockshoot"/>
    <s v="UK"/>
    <x v="4"/>
    <x v="570"/>
    <n v="1199"/>
    <x v="0"/>
  </r>
  <r>
    <s v="Gunar Cockshoot"/>
    <s v="China"/>
    <x v="2"/>
    <x v="570"/>
    <n v="7740"/>
    <x v="0"/>
  </r>
  <r>
    <s v="Karlen McCaffrey"/>
    <s v="China"/>
    <x v="3"/>
    <x v="570"/>
    <n v="3674"/>
    <x v="0"/>
  </r>
  <r>
    <s v="Gigi Bohling"/>
    <s v="UK"/>
    <x v="0"/>
    <x v="571"/>
    <n v="2252"/>
    <x v="0"/>
  </r>
  <r>
    <s v="Jehu Rudeforth"/>
    <s v="Canada"/>
    <x v="4"/>
    <x v="571"/>
    <n v="12693"/>
    <x v="0"/>
  </r>
  <r>
    <s v="Mallorie Waber"/>
    <s v="UK"/>
    <x v="4"/>
    <x v="571"/>
    <n v="5281"/>
    <x v="0"/>
  </r>
  <r>
    <s v="Roddy Speechley"/>
    <s v="Canada"/>
    <x v="1"/>
    <x v="571"/>
    <n v="13257"/>
    <x v="0"/>
  </r>
  <r>
    <s v="Van Tuxwell"/>
    <s v="USA"/>
    <x v="0"/>
    <x v="572"/>
    <n v="1511"/>
    <x v="0"/>
  </r>
  <r>
    <s v="Mallorie Waber"/>
    <s v="Canada"/>
    <x v="5"/>
    <x v="572"/>
    <n v="12705"/>
    <x v="0"/>
  </r>
  <r>
    <s v="Gunar Cockshoot"/>
    <s v="Germany"/>
    <x v="6"/>
    <x v="572"/>
    <n v="12509"/>
    <x v="0"/>
  </r>
  <r>
    <s v="Gunar Cockshoot"/>
    <s v="UK"/>
    <x v="3"/>
    <x v="572"/>
    <n v="13247"/>
    <x v="0"/>
  </r>
  <r>
    <s v="Barr Faughny"/>
    <s v="UK"/>
    <x v="5"/>
    <x v="573"/>
    <n v="8454"/>
    <x v="0"/>
  </r>
  <r>
    <s v="Jan Morforth"/>
    <s v="Switzerland"/>
    <x v="1"/>
    <x v="573"/>
    <n v="13045"/>
    <x v="0"/>
  </r>
  <r>
    <s v="Jehu Rudeforth"/>
    <s v="Germany"/>
    <x v="7"/>
    <x v="573"/>
    <n v="1667"/>
    <x v="0"/>
  </r>
  <r>
    <s v="Karlen McCaffrey"/>
    <s v="China"/>
    <x v="2"/>
    <x v="573"/>
    <n v="7630"/>
    <x v="0"/>
  </r>
  <r>
    <s v="Beverie Moffet"/>
    <s v="China"/>
    <x v="5"/>
    <x v="574"/>
    <n v="8302"/>
    <x v="0"/>
  </r>
  <r>
    <s v="Brien Boise"/>
    <s v="Switzerland"/>
    <x v="3"/>
    <x v="574"/>
    <n v="11157"/>
    <x v="0"/>
  </r>
  <r>
    <s v="Beverie Moffet"/>
    <s v="USA"/>
    <x v="5"/>
    <x v="575"/>
    <n v="11728"/>
    <x v="0"/>
  </r>
  <r>
    <s v="Marney O'Breem"/>
    <s v="China"/>
    <x v="1"/>
    <x v="575"/>
    <n v="11689"/>
    <x v="0"/>
  </r>
  <r>
    <s v="Roddy Speechley"/>
    <s v="Canada"/>
    <x v="2"/>
    <x v="575"/>
    <n v="13229"/>
    <x v="0"/>
  </r>
  <r>
    <s v="Gunar Cockshoot"/>
    <s v="China"/>
    <x v="0"/>
    <x v="576"/>
    <n v="9292"/>
    <x v="0"/>
  </r>
  <r>
    <s v="Gunar Cockshoot"/>
    <s v="UK"/>
    <x v="3"/>
    <x v="576"/>
    <n v="10397"/>
    <x v="0"/>
  </r>
  <r>
    <s v="Marney O'Breem"/>
    <s v="UK"/>
    <x v="1"/>
    <x v="577"/>
    <n v="8074"/>
    <x v="0"/>
  </r>
  <r>
    <s v="Jan Morforth"/>
    <s v="Canada"/>
    <x v="1"/>
    <x v="577"/>
    <n v="5031"/>
    <x v="0"/>
  </r>
  <r>
    <s v="Marney O'Breem"/>
    <s v="USA"/>
    <x v="6"/>
    <x v="577"/>
    <n v="13319"/>
    <x v="0"/>
  </r>
  <r>
    <s v="Oby Sorrel"/>
    <s v="USA"/>
    <x v="3"/>
    <x v="577"/>
    <n v="6174"/>
    <x v="0"/>
  </r>
  <r>
    <s v="Roddy Speechley"/>
    <s v="Switzerland"/>
    <x v="4"/>
    <x v="578"/>
    <n v="12134"/>
    <x v="0"/>
  </r>
  <r>
    <s v="Roddy Speechley"/>
    <s v="China"/>
    <x v="5"/>
    <x v="578"/>
    <n v="3610"/>
    <x v="0"/>
  </r>
  <r>
    <s v="Oby Sorrel"/>
    <s v="Canada"/>
    <x v="7"/>
    <x v="578"/>
    <n v="3613"/>
    <x v="0"/>
  </r>
  <r>
    <s v="Mallorie Waber"/>
    <s v="Switzerland"/>
    <x v="6"/>
    <x v="578"/>
    <n v="6200"/>
    <x v="0"/>
  </r>
  <r>
    <s v="Curtice Advani"/>
    <s v="UK"/>
    <x v="3"/>
    <x v="578"/>
    <n v="6651"/>
    <x v="0"/>
  </r>
  <r>
    <s v="Mallorie Waber"/>
    <s v="China"/>
    <x v="0"/>
    <x v="579"/>
    <n v="5824"/>
    <x v="0"/>
  </r>
  <r>
    <s v="Roddy Speechley"/>
    <s v="USA"/>
    <x v="4"/>
    <x v="579"/>
    <n v="8293"/>
    <x v="0"/>
  </r>
  <r>
    <s v="Gigi Bohling"/>
    <s v="China"/>
    <x v="2"/>
    <x v="579"/>
    <n v="1733"/>
    <x v="0"/>
  </r>
  <r>
    <s v="Gunar Cockshoot"/>
    <s v="UK"/>
    <x v="6"/>
    <x v="579"/>
    <n v="1275"/>
    <x v="0"/>
  </r>
  <r>
    <s v="Jehu Rudeforth"/>
    <s v="Canada"/>
    <x v="3"/>
    <x v="579"/>
    <n v="12659"/>
    <x v="0"/>
  </r>
  <r>
    <s v="Mallorie Waber"/>
    <s v="Canada"/>
    <x v="0"/>
    <x v="580"/>
    <n v="3016"/>
    <x v="0"/>
  </r>
  <r>
    <s v="Gunar Cockshoot"/>
    <s v="UK"/>
    <x v="4"/>
    <x v="580"/>
    <n v="8392"/>
    <x v="0"/>
  </r>
  <r>
    <s v="Jehu Rudeforth"/>
    <s v="UK"/>
    <x v="5"/>
    <x v="580"/>
    <n v="8365"/>
    <x v="0"/>
  </r>
  <r>
    <s v="Roddy Speechley"/>
    <s v="USA"/>
    <x v="5"/>
    <x v="580"/>
    <n v="7283"/>
    <x v="0"/>
  </r>
  <r>
    <s v="Jehu Rudeforth"/>
    <s v="USA"/>
    <x v="1"/>
    <x v="580"/>
    <n v="5728"/>
    <x v="0"/>
  </r>
  <r>
    <s v="Barr Faughny"/>
    <s v="Canada"/>
    <x v="7"/>
    <x v="580"/>
    <n v="4380"/>
    <x v="0"/>
  </r>
  <r>
    <s v="Mallorie Waber"/>
    <s v="Germany"/>
    <x v="0"/>
    <x v="581"/>
    <n v="13636"/>
    <x v="0"/>
  </r>
  <r>
    <s v="Karlen McCaffrey"/>
    <s v="Canada"/>
    <x v="5"/>
    <x v="581"/>
    <n v="12088"/>
    <x v="0"/>
  </r>
  <r>
    <s v="Gunar Cockshoot"/>
    <s v="USA"/>
    <x v="6"/>
    <x v="581"/>
    <n v="1969"/>
    <x v="0"/>
  </r>
  <r>
    <s v="Karlen McCaffrey"/>
    <s v="UK"/>
    <x v="6"/>
    <x v="581"/>
    <n v="11155"/>
    <x v="0"/>
  </r>
  <r>
    <s v="Karlen McCaffrey"/>
    <s v="China"/>
    <x v="0"/>
    <x v="582"/>
    <n v="5106"/>
    <x v="0"/>
  </r>
  <r>
    <s v="Barr Faughny"/>
    <s v="Switzerland"/>
    <x v="5"/>
    <x v="582"/>
    <n v="6454"/>
    <x v="0"/>
  </r>
  <r>
    <s v="Rafaela Blaksland"/>
    <s v="China"/>
    <x v="3"/>
    <x v="582"/>
    <n v="1616"/>
    <x v="0"/>
  </r>
  <r>
    <s v="Jehu Rudeforth"/>
    <s v="USA"/>
    <x v="0"/>
    <x v="583"/>
    <n v="8643"/>
    <x v="0"/>
  </r>
  <r>
    <s v="Barr Faughny"/>
    <s v="Germany"/>
    <x v="4"/>
    <x v="584"/>
    <n v="11582"/>
    <x v="0"/>
  </r>
  <r>
    <s v="Mallorie Waber"/>
    <s v="UK"/>
    <x v="4"/>
    <x v="584"/>
    <n v="7467"/>
    <x v="0"/>
  </r>
  <r>
    <s v="Brien Boise"/>
    <s v="China"/>
    <x v="5"/>
    <x v="584"/>
    <n v="10522"/>
    <x v="0"/>
  </r>
  <r>
    <s v="Curtice Advani"/>
    <s v="Switzerland"/>
    <x v="1"/>
    <x v="584"/>
    <n v="9654"/>
    <x v="0"/>
  </r>
  <r>
    <s v="Brien Boise"/>
    <s v="China"/>
    <x v="2"/>
    <x v="584"/>
    <n v="2588"/>
    <x v="0"/>
  </r>
  <r>
    <s v="Jan Morforth"/>
    <s v="UK"/>
    <x v="0"/>
    <x v="585"/>
    <n v="12334"/>
    <x v="0"/>
  </r>
  <r>
    <s v="Gunar Cockshoot"/>
    <s v="Canada"/>
    <x v="4"/>
    <x v="585"/>
    <n v="2212"/>
    <x v="0"/>
  </r>
  <r>
    <s v="Roddy Speechley"/>
    <s v="Switzerland"/>
    <x v="1"/>
    <x v="585"/>
    <n v="5970"/>
    <x v="0"/>
  </r>
  <r>
    <s v="Curtice Advani"/>
    <s v="USA"/>
    <x v="2"/>
    <x v="585"/>
    <n v="13183"/>
    <x v="0"/>
  </r>
  <r>
    <s v="Jan Morforth"/>
    <s v="Germany"/>
    <x v="4"/>
    <x v="586"/>
    <n v="7852"/>
    <x v="0"/>
  </r>
  <r>
    <s v="Mallorie Waber"/>
    <s v="Canada"/>
    <x v="5"/>
    <x v="586"/>
    <n v="9228"/>
    <x v="0"/>
  </r>
  <r>
    <s v="Jehu Rudeforth"/>
    <s v="USA"/>
    <x v="7"/>
    <x v="586"/>
    <n v="2983"/>
    <x v="0"/>
  </r>
  <r>
    <s v="Brien Boise"/>
    <s v="Canada"/>
    <x v="7"/>
    <x v="586"/>
    <n v="9902"/>
    <x v="0"/>
  </r>
  <r>
    <s v="Curtice Advani"/>
    <s v="China"/>
    <x v="7"/>
    <x v="586"/>
    <n v="5082"/>
    <x v="0"/>
  </r>
  <r>
    <s v="Van Tuxwell"/>
    <s v="UK"/>
    <x v="2"/>
    <x v="586"/>
    <n v="10068"/>
    <x v="0"/>
  </r>
  <r>
    <s v="Mallorie Waber"/>
    <s v="UK"/>
    <x v="2"/>
    <x v="586"/>
    <n v="7116"/>
    <x v="0"/>
  </r>
  <r>
    <s v="Curtice Advani"/>
    <s v="USA"/>
    <x v="6"/>
    <x v="586"/>
    <n v="6199"/>
    <x v="0"/>
  </r>
  <r>
    <s v="Curtice Advani"/>
    <s v="Switzerland"/>
    <x v="5"/>
    <x v="587"/>
    <n v="9282"/>
    <x v="0"/>
  </r>
  <r>
    <s v="Oby Sorrel"/>
    <s v="China"/>
    <x v="7"/>
    <x v="587"/>
    <n v="9051"/>
    <x v="0"/>
  </r>
  <r>
    <s v="Gunar Cockshoot"/>
    <s v="Germany"/>
    <x v="6"/>
    <x v="587"/>
    <n v="8858"/>
    <x v="0"/>
  </r>
  <r>
    <s v="Gunar Cockshoot"/>
    <s v="Canada"/>
    <x v="6"/>
    <x v="587"/>
    <n v="4622"/>
    <x v="0"/>
  </r>
  <r>
    <s v="Marney O'Breem"/>
    <s v="China"/>
    <x v="7"/>
    <x v="588"/>
    <n v="10229"/>
    <x v="0"/>
  </r>
  <r>
    <s v="Beverie Moffet"/>
    <s v="China"/>
    <x v="6"/>
    <x v="588"/>
    <n v="3828"/>
    <x v="0"/>
  </r>
  <r>
    <s v="Karlen McCaffrey"/>
    <s v="China"/>
    <x v="3"/>
    <x v="588"/>
    <n v="8859"/>
    <x v="0"/>
  </r>
  <r>
    <s v="Mallorie Waber"/>
    <s v="Canada"/>
    <x v="0"/>
    <x v="589"/>
    <n v="4272"/>
    <x v="0"/>
  </r>
  <r>
    <s v="Roddy Speechley"/>
    <s v="USA"/>
    <x v="5"/>
    <x v="589"/>
    <n v="11359"/>
    <x v="0"/>
  </r>
  <r>
    <s v="Brien Boise"/>
    <s v="Canada"/>
    <x v="1"/>
    <x v="589"/>
    <n v="9999"/>
    <x v="0"/>
  </r>
  <r>
    <s v="Karlen McCaffrey"/>
    <s v="UK"/>
    <x v="7"/>
    <x v="589"/>
    <n v="10237"/>
    <x v="0"/>
  </r>
  <r>
    <s v="Brien Boise"/>
    <s v="Canada"/>
    <x v="2"/>
    <x v="589"/>
    <n v="6255"/>
    <x v="0"/>
  </r>
  <r>
    <s v="Gigi Bohling"/>
    <s v="USA"/>
    <x v="2"/>
    <x v="589"/>
    <n v="6664"/>
    <x v="0"/>
  </r>
  <r>
    <s v="Gigi Bohling"/>
    <s v="China"/>
    <x v="6"/>
    <x v="589"/>
    <n v="8541"/>
    <x v="0"/>
  </r>
  <r>
    <s v="Gunar Cockshoot"/>
    <s v="China"/>
    <x v="0"/>
    <x v="590"/>
    <n v="4410"/>
    <x v="0"/>
  </r>
  <r>
    <s v="Jehu Rudeforth"/>
    <s v="Switzerland"/>
    <x v="5"/>
    <x v="590"/>
    <n v="7357"/>
    <x v="0"/>
  </r>
  <r>
    <s v="Rafaela Blaksland"/>
    <s v="Germany"/>
    <x v="1"/>
    <x v="590"/>
    <n v="11397"/>
    <x v="0"/>
  </r>
  <r>
    <s v="Gunar Cockshoot"/>
    <s v="China"/>
    <x v="7"/>
    <x v="590"/>
    <n v="13415"/>
    <x v="0"/>
  </r>
  <r>
    <s v="Beverie Moffet"/>
    <s v="Germany"/>
    <x v="2"/>
    <x v="590"/>
    <n v="13782"/>
    <x v="0"/>
  </r>
  <r>
    <s v="Roddy Speechley"/>
    <s v="USA"/>
    <x v="6"/>
    <x v="590"/>
    <n v="3701"/>
    <x v="0"/>
  </r>
  <r>
    <s v="Jan Morforth"/>
    <s v="Canada"/>
    <x v="3"/>
    <x v="590"/>
    <n v="5454"/>
    <x v="0"/>
  </r>
  <r>
    <s v="Brien Boise"/>
    <s v="Germany"/>
    <x v="3"/>
    <x v="591"/>
    <n v="4732"/>
    <x v="0"/>
  </r>
  <r>
    <s v="Barr Faughny"/>
    <s v="UK"/>
    <x v="3"/>
    <x v="591"/>
    <n v="2895"/>
    <x v="0"/>
  </r>
  <r>
    <s v="Rafaela Blaksland"/>
    <s v="China"/>
    <x v="6"/>
    <x v="592"/>
    <n v="8244"/>
    <x v="0"/>
  </r>
  <r>
    <s v="Mallorie Waber"/>
    <s v="UK"/>
    <x v="4"/>
    <x v="593"/>
    <n v="11560"/>
    <x v="0"/>
  </r>
  <r>
    <s v="Curtice Advani"/>
    <s v="China"/>
    <x v="7"/>
    <x v="593"/>
    <n v="1809"/>
    <x v="0"/>
  </r>
  <r>
    <s v="Marney O'Breem"/>
    <s v="Canada"/>
    <x v="6"/>
    <x v="593"/>
    <n v="13886"/>
    <x v="0"/>
  </r>
  <r>
    <s v="Gunar Cockshoot"/>
    <s v="Canada"/>
    <x v="6"/>
    <x v="593"/>
    <n v="11077"/>
    <x v="0"/>
  </r>
  <r>
    <s v="Brien Boise"/>
    <s v="UK"/>
    <x v="3"/>
    <x v="593"/>
    <n v="3322"/>
    <x v="0"/>
  </r>
  <r>
    <s v="Brien Boise"/>
    <s v="UK"/>
    <x v="3"/>
    <x v="593"/>
    <n v="12371"/>
    <x v="0"/>
  </r>
  <r>
    <s v="Gunar Cockshoot"/>
    <s v="Germany"/>
    <x v="7"/>
    <x v="594"/>
    <n v="3030"/>
    <x v="0"/>
  </r>
  <r>
    <s v="Rafaela Blaksland"/>
    <s v="China"/>
    <x v="7"/>
    <x v="594"/>
    <n v="1999"/>
    <x v="0"/>
  </r>
  <r>
    <s v="Karlen McCaffrey"/>
    <s v="Switzerland"/>
    <x v="2"/>
    <x v="594"/>
    <n v="8216"/>
    <x v="0"/>
  </r>
  <r>
    <s v="Marney O'Breem"/>
    <s v="Canada"/>
    <x v="6"/>
    <x v="594"/>
    <n v="6045"/>
    <x v="0"/>
  </r>
  <r>
    <s v="Jan Morforth"/>
    <s v="UK"/>
    <x v="1"/>
    <x v="595"/>
    <n v="1974"/>
    <x v="0"/>
  </r>
  <r>
    <s v="Marney O'Breem"/>
    <s v="China"/>
    <x v="2"/>
    <x v="596"/>
    <n v="6362"/>
    <x v="0"/>
  </r>
  <r>
    <s v="Jan Morforth"/>
    <s v="USA"/>
    <x v="3"/>
    <x v="596"/>
    <n v="7275"/>
    <x v="0"/>
  </r>
  <r>
    <s v="Gunar Cockshoot"/>
    <s v="Canada"/>
    <x v="0"/>
    <x v="597"/>
    <n v="2725"/>
    <x v="0"/>
  </r>
  <r>
    <s v="Van Tuxwell"/>
    <s v="Canada"/>
    <x v="0"/>
    <x v="597"/>
    <n v="7817"/>
    <x v="0"/>
  </r>
  <r>
    <s v="Curtice Advani"/>
    <s v="Germany"/>
    <x v="4"/>
    <x v="597"/>
    <n v="10749"/>
    <x v="0"/>
  </r>
  <r>
    <s v="Gigi Bohling"/>
    <s v="Germany"/>
    <x v="1"/>
    <x v="597"/>
    <n v="3218"/>
    <x v="0"/>
  </r>
  <r>
    <s v="Van Tuxwell"/>
    <s v="Switzerland"/>
    <x v="3"/>
    <x v="597"/>
    <n v="11259"/>
    <x v="0"/>
  </r>
  <r>
    <s v="Brien Boise"/>
    <s v="Canada"/>
    <x v="0"/>
    <x v="598"/>
    <n v="12271"/>
    <x v="0"/>
  </r>
  <r>
    <s v="Roddy Speechley"/>
    <s v="Canada"/>
    <x v="0"/>
    <x v="598"/>
    <n v="9495"/>
    <x v="0"/>
  </r>
  <r>
    <s v="Barr Faughny"/>
    <s v="China"/>
    <x v="1"/>
    <x v="598"/>
    <n v="2314"/>
    <x v="0"/>
  </r>
  <r>
    <s v="Beverie Moffet"/>
    <s v="Germany"/>
    <x v="6"/>
    <x v="598"/>
    <n v="13308"/>
    <x v="0"/>
  </r>
  <r>
    <s v="Curtice Advani"/>
    <s v="UK"/>
    <x v="3"/>
    <x v="598"/>
    <n v="2474"/>
    <x v="0"/>
  </r>
  <r>
    <s v="Curtice Advani"/>
    <s v="USA"/>
    <x v="0"/>
    <x v="599"/>
    <n v="8218"/>
    <x v="0"/>
  </r>
  <r>
    <s v="Karlen McCaffrey"/>
    <s v="Canada"/>
    <x v="5"/>
    <x v="599"/>
    <n v="1410"/>
    <x v="0"/>
  </r>
  <r>
    <s v="Jan Morforth"/>
    <s v="UK"/>
    <x v="7"/>
    <x v="599"/>
    <n v="4999"/>
    <x v="0"/>
  </r>
  <r>
    <s v="Karlen McCaffrey"/>
    <s v="Canada"/>
    <x v="2"/>
    <x v="599"/>
    <n v="4057"/>
    <x v="0"/>
  </r>
  <r>
    <s v="Rafaela Blaksland"/>
    <s v="Canada"/>
    <x v="1"/>
    <x v="600"/>
    <n v="1416"/>
    <x v="0"/>
  </r>
  <r>
    <s v="Curtice Advani"/>
    <s v="Switzerland"/>
    <x v="0"/>
    <x v="601"/>
    <n v="12083"/>
    <x v="0"/>
  </r>
  <r>
    <s v="Van Tuxwell"/>
    <s v="USA"/>
    <x v="4"/>
    <x v="601"/>
    <n v="7883"/>
    <x v="0"/>
  </r>
  <r>
    <s v="Mallorie Waber"/>
    <s v="UK"/>
    <x v="3"/>
    <x v="601"/>
    <n v="10376"/>
    <x v="0"/>
  </r>
  <r>
    <s v="Curtice Advani"/>
    <s v="USA"/>
    <x v="3"/>
    <x v="601"/>
    <n v="8729"/>
    <x v="0"/>
  </r>
  <r>
    <s v="Karlen McCaffrey"/>
    <s v="Switzerland"/>
    <x v="5"/>
    <x v="602"/>
    <n v="6213"/>
    <x v="0"/>
  </r>
  <r>
    <s v="Gigi Bohling"/>
    <s v="UK"/>
    <x v="2"/>
    <x v="602"/>
    <n v="5104"/>
    <x v="0"/>
  </r>
  <r>
    <s v="Mallorie Waber"/>
    <s v="China"/>
    <x v="2"/>
    <x v="602"/>
    <n v="3173"/>
    <x v="0"/>
  </r>
  <r>
    <s v="Gunar Cockshoot"/>
    <s v="China"/>
    <x v="6"/>
    <x v="602"/>
    <n v="6405"/>
    <x v="0"/>
  </r>
  <r>
    <s v="Oby Sorrel"/>
    <s v="Germany"/>
    <x v="0"/>
    <x v="603"/>
    <n v="9536"/>
    <x v="0"/>
  </r>
  <r>
    <s v="Mallorie Waber"/>
    <s v="China"/>
    <x v="4"/>
    <x v="603"/>
    <n v="7869"/>
    <x v="0"/>
  </r>
  <r>
    <s v="Rafaela Blaksland"/>
    <s v="USA"/>
    <x v="1"/>
    <x v="603"/>
    <n v="8219"/>
    <x v="0"/>
  </r>
  <r>
    <s v="Van Tuxwell"/>
    <s v="Canada"/>
    <x v="1"/>
    <x v="603"/>
    <n v="13605"/>
    <x v="0"/>
  </r>
  <r>
    <s v="Curtice Advani"/>
    <s v="Switzerland"/>
    <x v="7"/>
    <x v="603"/>
    <n v="7361"/>
    <x v="0"/>
  </r>
  <r>
    <s v="Van Tuxwell"/>
    <s v="Switzerland"/>
    <x v="2"/>
    <x v="603"/>
    <n v="5566"/>
    <x v="0"/>
  </r>
  <r>
    <s v="Roddy Speechley"/>
    <s v="Germany"/>
    <x v="6"/>
    <x v="603"/>
    <n v="8810"/>
    <x v="0"/>
  </r>
  <r>
    <s v="Karlen McCaffrey"/>
    <s v="China"/>
    <x v="5"/>
    <x v="604"/>
    <n v="3775"/>
    <x v="0"/>
  </r>
  <r>
    <s v="Barr Faughny"/>
    <s v="Switzerland"/>
    <x v="7"/>
    <x v="604"/>
    <n v="13347"/>
    <x v="0"/>
  </r>
  <r>
    <s v="Van Tuxwell"/>
    <s v="China"/>
    <x v="2"/>
    <x v="604"/>
    <n v="6113"/>
    <x v="0"/>
  </r>
  <r>
    <s v="Brien Boise"/>
    <s v="Germany"/>
    <x v="4"/>
    <x v="605"/>
    <n v="10795"/>
    <x v="0"/>
  </r>
  <r>
    <s v="Karlen McCaffrey"/>
    <s v="China"/>
    <x v="4"/>
    <x v="605"/>
    <n v="4258"/>
    <x v="0"/>
  </r>
  <r>
    <s v="Van Tuxwell"/>
    <s v="UK"/>
    <x v="1"/>
    <x v="605"/>
    <n v="9132"/>
    <x v="0"/>
  </r>
  <r>
    <s v="Marney O'Breem"/>
    <s v="UK"/>
    <x v="6"/>
    <x v="605"/>
    <n v="11289"/>
    <x v="0"/>
  </r>
  <r>
    <s v="Brien Boise"/>
    <s v="Canada"/>
    <x v="3"/>
    <x v="605"/>
    <n v="10318"/>
    <x v="0"/>
  </r>
  <r>
    <s v="Curtice Advani"/>
    <s v="China"/>
    <x v="4"/>
    <x v="606"/>
    <n v="10946"/>
    <x v="0"/>
  </r>
  <r>
    <s v="Gunar Cockshoot"/>
    <s v="Switzerland"/>
    <x v="1"/>
    <x v="606"/>
    <n v="2231"/>
    <x v="0"/>
  </r>
  <r>
    <s v="Curtice Advani"/>
    <s v="China"/>
    <x v="1"/>
    <x v="606"/>
    <n v="10150"/>
    <x v="0"/>
  </r>
  <r>
    <s v="Gigi Bohling"/>
    <s v="Canada"/>
    <x v="4"/>
    <x v="607"/>
    <n v="13027"/>
    <x v="0"/>
  </r>
  <r>
    <s v="Marney O'Breem"/>
    <s v="China"/>
    <x v="4"/>
    <x v="607"/>
    <n v="9338"/>
    <x v="0"/>
  </r>
  <r>
    <s v="Jehu Rudeforth"/>
    <s v="UK"/>
    <x v="4"/>
    <x v="607"/>
    <n v="7685"/>
    <x v="0"/>
  </r>
  <r>
    <s v="Marney O'Breem"/>
    <s v="Germany"/>
    <x v="2"/>
    <x v="607"/>
    <n v="3339"/>
    <x v="0"/>
  </r>
  <r>
    <s v="Jehu Rudeforth"/>
    <s v="Germany"/>
    <x v="6"/>
    <x v="607"/>
    <n v="4610"/>
    <x v="0"/>
  </r>
  <r>
    <s v="Marney O'Breem"/>
    <s v="Germany"/>
    <x v="0"/>
    <x v="608"/>
    <n v="11031"/>
    <x v="0"/>
  </r>
  <r>
    <s v="Mallorie Waber"/>
    <s v="UK"/>
    <x v="1"/>
    <x v="608"/>
    <n v="8585"/>
    <x v="0"/>
  </r>
  <r>
    <s v="Karlen McCaffrey"/>
    <s v="Canada"/>
    <x v="7"/>
    <x v="608"/>
    <n v="6897"/>
    <x v="0"/>
  </r>
  <r>
    <s v="Marney O'Breem"/>
    <s v="China"/>
    <x v="6"/>
    <x v="608"/>
    <n v="4553"/>
    <x v="0"/>
  </r>
  <r>
    <s v="Van Tuxwell"/>
    <s v="UK"/>
    <x v="0"/>
    <x v="609"/>
    <n v="10090"/>
    <x v="0"/>
  </r>
  <r>
    <s v="Oby Sorrel"/>
    <s v="Canada"/>
    <x v="4"/>
    <x v="609"/>
    <n v="9609"/>
    <x v="0"/>
  </r>
  <r>
    <s v="Gigi Bohling"/>
    <s v="Switzerland"/>
    <x v="7"/>
    <x v="609"/>
    <n v="3523"/>
    <x v="0"/>
  </r>
  <r>
    <s v="Gigi Bohling"/>
    <s v="USA"/>
    <x v="7"/>
    <x v="609"/>
    <n v="1664"/>
    <x v="0"/>
  </r>
  <r>
    <s v="Beverie Moffet"/>
    <s v="Switzerland"/>
    <x v="6"/>
    <x v="609"/>
    <n v="1887"/>
    <x v="0"/>
  </r>
  <r>
    <s v="Jehu Rudeforth"/>
    <s v="Switzerland"/>
    <x v="3"/>
    <x v="609"/>
    <n v="9118"/>
    <x v="0"/>
  </r>
  <r>
    <s v="Jehu Rudeforth"/>
    <s v="Canada"/>
    <x v="0"/>
    <x v="610"/>
    <n v="11810"/>
    <x v="0"/>
  </r>
  <r>
    <s v="Jan Morforth"/>
    <s v="Germany"/>
    <x v="0"/>
    <x v="610"/>
    <n v="7486"/>
    <x v="0"/>
  </r>
  <r>
    <s v="Marney O'Breem"/>
    <s v="USA"/>
    <x v="4"/>
    <x v="610"/>
    <n v="12682"/>
    <x v="0"/>
  </r>
  <r>
    <s v="Rafaela Blaksland"/>
    <s v="Germany"/>
    <x v="1"/>
    <x v="610"/>
    <n v="13765"/>
    <x v="0"/>
  </r>
  <r>
    <s v="Roddy Speechley"/>
    <s v="Switzerland"/>
    <x v="2"/>
    <x v="610"/>
    <n v="2910"/>
    <x v="0"/>
  </r>
  <r>
    <s v="Curtice Advani"/>
    <s v="Switzerland"/>
    <x v="6"/>
    <x v="611"/>
    <n v="9564"/>
    <x v="0"/>
  </r>
  <r>
    <s v="Curtice Advani"/>
    <s v="UK"/>
    <x v="4"/>
    <x v="612"/>
    <n v="13904"/>
    <x v="0"/>
  </r>
  <r>
    <s v="Gunar Cockshoot"/>
    <s v="Canada"/>
    <x v="5"/>
    <x v="612"/>
    <n v="12771"/>
    <x v="0"/>
  </r>
  <r>
    <s v="Brien Boise"/>
    <s v="Switzerland"/>
    <x v="7"/>
    <x v="612"/>
    <n v="2790"/>
    <x v="0"/>
  </r>
  <r>
    <s v="Jehu Rudeforth"/>
    <s v="UK"/>
    <x v="0"/>
    <x v="613"/>
    <n v="12889"/>
    <x v="0"/>
  </r>
  <r>
    <s v="Gigi Bohling"/>
    <s v="Switzerland"/>
    <x v="0"/>
    <x v="613"/>
    <n v="10817"/>
    <x v="0"/>
  </r>
  <r>
    <s v="Rafaela Blaksland"/>
    <s v="Switzerland"/>
    <x v="5"/>
    <x v="613"/>
    <n v="9008"/>
    <x v="0"/>
  </r>
  <r>
    <s v="Gigi Bohling"/>
    <s v="Germany"/>
    <x v="1"/>
    <x v="613"/>
    <n v="7068"/>
    <x v="0"/>
  </r>
  <r>
    <s v="Van Tuxwell"/>
    <s v="Switzerland"/>
    <x v="3"/>
    <x v="614"/>
    <n v="1071"/>
    <x v="0"/>
  </r>
  <r>
    <s v="Mallorie Waber"/>
    <s v="UK"/>
    <x v="0"/>
    <x v="615"/>
    <n v="12711"/>
    <x v="0"/>
  </r>
  <r>
    <s v="Marney O'Breem"/>
    <s v="USA"/>
    <x v="0"/>
    <x v="615"/>
    <n v="1355"/>
    <x v="0"/>
  </r>
  <r>
    <s v="Gunar Cockshoot"/>
    <s v="USA"/>
    <x v="4"/>
    <x v="615"/>
    <n v="13331"/>
    <x v="0"/>
  </r>
  <r>
    <s v="Karlen McCaffrey"/>
    <s v="China"/>
    <x v="5"/>
    <x v="615"/>
    <n v="2290"/>
    <x v="0"/>
  </r>
  <r>
    <s v="Barr Faughny"/>
    <s v="UK"/>
    <x v="7"/>
    <x v="615"/>
    <n v="2435"/>
    <x v="0"/>
  </r>
  <r>
    <s v="Gigi Bohling"/>
    <s v="Canada"/>
    <x v="2"/>
    <x v="615"/>
    <n v="7851"/>
    <x v="0"/>
  </r>
  <r>
    <s v="Roddy Speechley"/>
    <s v="Switzerland"/>
    <x v="6"/>
    <x v="615"/>
    <n v="1908"/>
    <x v="0"/>
  </r>
  <r>
    <s v="Gunar Cockshoot"/>
    <s v="Germany"/>
    <x v="0"/>
    <x v="616"/>
    <n v="1491"/>
    <x v="0"/>
  </r>
  <r>
    <s v="Barr Faughny"/>
    <s v="Switzerland"/>
    <x v="4"/>
    <x v="617"/>
    <n v="6992"/>
    <x v="0"/>
  </r>
  <r>
    <s v="Jan Morforth"/>
    <s v="UK"/>
    <x v="1"/>
    <x v="617"/>
    <n v="8254"/>
    <x v="0"/>
  </r>
  <r>
    <s v="Rafaela Blaksland"/>
    <s v="Switzerland"/>
    <x v="2"/>
    <x v="617"/>
    <n v="2307"/>
    <x v="0"/>
  </r>
  <r>
    <s v="Curtice Advani"/>
    <s v="Switzerland"/>
    <x v="1"/>
    <x v="618"/>
    <n v="12342"/>
    <x v="0"/>
  </r>
  <r>
    <s v="Roddy Speechley"/>
    <s v="USA"/>
    <x v="6"/>
    <x v="618"/>
    <n v="5801"/>
    <x v="0"/>
  </r>
  <r>
    <s v="Jan Morforth"/>
    <s v="USA"/>
    <x v="3"/>
    <x v="618"/>
    <n v="13582"/>
    <x v="0"/>
  </r>
  <r>
    <s v="Roddy Speechley"/>
    <s v="China"/>
    <x v="3"/>
    <x v="618"/>
    <n v="12074"/>
    <x v="0"/>
  </r>
  <r>
    <s v="Brien Boise"/>
    <s v="Switzerland"/>
    <x v="1"/>
    <x v="619"/>
    <n v="9462"/>
    <x v="0"/>
  </r>
  <r>
    <s v="Jehu Rudeforth"/>
    <s v="Switzerland"/>
    <x v="1"/>
    <x v="619"/>
    <n v="9988"/>
    <x v="0"/>
  </r>
  <r>
    <s v="Karlen McCaffrey"/>
    <s v="Canada"/>
    <x v="2"/>
    <x v="619"/>
    <n v="13597"/>
    <x v="0"/>
  </r>
  <r>
    <s v="Gigi Bohling"/>
    <s v="USA"/>
    <x v="2"/>
    <x v="619"/>
    <n v="3976"/>
    <x v="0"/>
  </r>
  <r>
    <s v="Roddy Speechley"/>
    <s v="Canada"/>
    <x v="5"/>
    <x v="620"/>
    <n v="3229"/>
    <x v="0"/>
  </r>
  <r>
    <s v="Gigi Bohling"/>
    <s v="Germany"/>
    <x v="7"/>
    <x v="620"/>
    <n v="12782"/>
    <x v="0"/>
  </r>
  <r>
    <s v="Oby Sorrel"/>
    <s v="Canada"/>
    <x v="0"/>
    <x v="621"/>
    <n v="12102"/>
    <x v="0"/>
  </r>
  <r>
    <s v="Gigi Bohling"/>
    <s v="Germany"/>
    <x v="4"/>
    <x v="621"/>
    <n v="7677"/>
    <x v="0"/>
  </r>
  <r>
    <s v="Oby Sorrel"/>
    <s v="Canada"/>
    <x v="1"/>
    <x v="621"/>
    <n v="9356"/>
    <x v="0"/>
  </r>
  <r>
    <s v="Jan Morforth"/>
    <s v="Switzerland"/>
    <x v="5"/>
    <x v="622"/>
    <n v="2039"/>
    <x v="0"/>
  </r>
  <r>
    <s v="Curtice Advani"/>
    <s v="Canada"/>
    <x v="7"/>
    <x v="622"/>
    <n v="3979"/>
    <x v="0"/>
  </r>
  <r>
    <s v="Beverie Moffet"/>
    <s v="USA"/>
    <x v="6"/>
    <x v="622"/>
    <n v="4822"/>
    <x v="0"/>
  </r>
  <r>
    <s v="Jehu Rudeforth"/>
    <s v="Switzerland"/>
    <x v="0"/>
    <x v="623"/>
    <n v="13903"/>
    <x v="0"/>
  </r>
  <r>
    <s v="Jan Morforth"/>
    <s v="Germany"/>
    <x v="4"/>
    <x v="623"/>
    <n v="11353"/>
    <x v="0"/>
  </r>
  <r>
    <s v="Curtice Advani"/>
    <s v="USA"/>
    <x v="3"/>
    <x v="623"/>
    <n v="11862"/>
    <x v="0"/>
  </r>
  <r>
    <s v="Jehu Rudeforth"/>
    <s v="China"/>
    <x v="0"/>
    <x v="624"/>
    <n v="10626"/>
    <x v="0"/>
  </r>
  <r>
    <s v="Rafaela Blaksland"/>
    <s v="Canada"/>
    <x v="1"/>
    <x v="624"/>
    <n v="11331"/>
    <x v="0"/>
  </r>
  <r>
    <s v="Mallorie Waber"/>
    <s v="Canada"/>
    <x v="2"/>
    <x v="624"/>
    <n v="6623"/>
    <x v="0"/>
  </r>
  <r>
    <s v="Marney O'Breem"/>
    <s v="USA"/>
    <x v="2"/>
    <x v="624"/>
    <n v="7079"/>
    <x v="0"/>
  </r>
  <r>
    <s v="Marney O'Breem"/>
    <s v="Germany"/>
    <x v="3"/>
    <x v="624"/>
    <n v="5750"/>
    <x v="0"/>
  </r>
  <r>
    <s v="Gigi Bohling"/>
    <s v="USA"/>
    <x v="1"/>
    <x v="625"/>
    <n v="8212"/>
    <x v="0"/>
  </r>
  <r>
    <s v="Roddy Speechley"/>
    <s v="Switzerland"/>
    <x v="7"/>
    <x v="625"/>
    <n v="11015"/>
    <x v="0"/>
  </r>
  <r>
    <s v="Beverie Moffet"/>
    <s v="China"/>
    <x v="0"/>
    <x v="626"/>
    <n v="8184"/>
    <x v="0"/>
  </r>
  <r>
    <s v="Roddy Speechley"/>
    <s v="Germany"/>
    <x v="0"/>
    <x v="627"/>
    <n v="7662"/>
    <x v="0"/>
  </r>
  <r>
    <s v="Gunar Cockshoot"/>
    <s v="UK"/>
    <x v="0"/>
    <x v="627"/>
    <n v="1049"/>
    <x v="0"/>
  </r>
  <r>
    <s v="Brien Boise"/>
    <s v="China"/>
    <x v="4"/>
    <x v="627"/>
    <n v="2535"/>
    <x v="0"/>
  </r>
  <r>
    <s v="Brien Boise"/>
    <s v="China"/>
    <x v="3"/>
    <x v="627"/>
    <n v="6612"/>
    <x v="0"/>
  </r>
  <r>
    <s v="Brien Boise"/>
    <s v="USA"/>
    <x v="0"/>
    <x v="628"/>
    <n v="9237"/>
    <x v="0"/>
  </r>
  <r>
    <s v="Curtice Advani"/>
    <s v="Germany"/>
    <x v="4"/>
    <x v="628"/>
    <n v="5936"/>
    <x v="0"/>
  </r>
  <r>
    <s v="Curtice Advani"/>
    <s v="Switzerland"/>
    <x v="5"/>
    <x v="628"/>
    <n v="1665"/>
    <x v="0"/>
  </r>
  <r>
    <s v="Brien Boise"/>
    <s v="UK"/>
    <x v="6"/>
    <x v="629"/>
    <n v="1693"/>
    <x v="0"/>
  </r>
  <r>
    <s v="Gunar Cockshoot"/>
    <s v="China"/>
    <x v="0"/>
    <x v="630"/>
    <n v="3947"/>
    <x v="0"/>
  </r>
  <r>
    <s v="Beverie Moffet"/>
    <s v="China"/>
    <x v="0"/>
    <x v="630"/>
    <n v="1214"/>
    <x v="0"/>
  </r>
  <r>
    <s v="Rafaela Blaksland"/>
    <s v="Switzerland"/>
    <x v="4"/>
    <x v="630"/>
    <n v="6116"/>
    <x v="0"/>
  </r>
  <r>
    <s v="Oby Sorrel"/>
    <s v="Canada"/>
    <x v="5"/>
    <x v="630"/>
    <n v="5465"/>
    <x v="0"/>
  </r>
  <r>
    <s v="Marney O'Breem"/>
    <s v="USA"/>
    <x v="1"/>
    <x v="630"/>
    <n v="5502"/>
    <x v="0"/>
  </r>
  <r>
    <s v="Gigi Bohling"/>
    <s v="USA"/>
    <x v="1"/>
    <x v="630"/>
    <n v="1565"/>
    <x v="0"/>
  </r>
  <r>
    <s v="Marney O'Breem"/>
    <s v="Canada"/>
    <x v="7"/>
    <x v="630"/>
    <n v="8759"/>
    <x v="0"/>
  </r>
  <r>
    <s v="Karlen McCaffrey"/>
    <s v="Switzerland"/>
    <x v="4"/>
    <x v="631"/>
    <n v="8381"/>
    <x v="0"/>
  </r>
  <r>
    <s v="Gunar Cockshoot"/>
    <s v="China"/>
    <x v="1"/>
    <x v="631"/>
    <n v="7801"/>
    <x v="0"/>
  </r>
  <r>
    <s v="Barr Faughny"/>
    <s v="Germany"/>
    <x v="3"/>
    <x v="631"/>
    <n v="4210"/>
    <x v="0"/>
  </r>
  <r>
    <s v="Jehu Rudeforth"/>
    <s v="Switzerland"/>
    <x v="3"/>
    <x v="631"/>
    <n v="4298"/>
    <x v="0"/>
  </r>
  <r>
    <s v="Brien Boise"/>
    <s v="USA"/>
    <x v="3"/>
    <x v="631"/>
    <n v="5363"/>
    <x v="0"/>
  </r>
  <r>
    <s v="Marney O'Breem"/>
    <s v="China"/>
    <x v="5"/>
    <x v="632"/>
    <n v="12247"/>
    <x v="0"/>
  </r>
  <r>
    <s v="Gigi Bohling"/>
    <s v="Switzerland"/>
    <x v="5"/>
    <x v="632"/>
    <n v="11416"/>
    <x v="0"/>
  </r>
  <r>
    <s v="Karlen McCaffrey"/>
    <s v="Switzerland"/>
    <x v="2"/>
    <x v="632"/>
    <n v="4574"/>
    <x v="0"/>
  </r>
  <r>
    <s v="Rafaela Blaksland"/>
    <s v="Canada"/>
    <x v="7"/>
    <x v="633"/>
    <n v="5359"/>
    <x v="0"/>
  </r>
  <r>
    <s v="Roddy Speechley"/>
    <s v="China"/>
    <x v="7"/>
    <x v="634"/>
    <n v="8562"/>
    <x v="0"/>
  </r>
  <r>
    <s v="Rafaela Blaksland"/>
    <s v="Germany"/>
    <x v="3"/>
    <x v="634"/>
    <n v="6927"/>
    <x v="0"/>
  </r>
  <r>
    <s v="Marney O'Breem"/>
    <s v="USA"/>
    <x v="0"/>
    <x v="635"/>
    <n v="1436"/>
    <x v="0"/>
  </r>
  <r>
    <s v="Barr Faughny"/>
    <s v="Canada"/>
    <x v="7"/>
    <x v="635"/>
    <n v="11837"/>
    <x v="0"/>
  </r>
  <r>
    <s v="Mallorie Waber"/>
    <s v="Canada"/>
    <x v="6"/>
    <x v="635"/>
    <n v="3058"/>
    <x v="0"/>
  </r>
  <r>
    <s v="Roddy Speechley"/>
    <s v="UK"/>
    <x v="3"/>
    <x v="635"/>
    <n v="5820"/>
    <x v="0"/>
  </r>
  <r>
    <s v="Van Tuxwell"/>
    <s v="UK"/>
    <x v="5"/>
    <x v="636"/>
    <n v="2545"/>
    <x v="0"/>
  </r>
  <r>
    <s v="Curtice Advani"/>
    <s v="Switzerland"/>
    <x v="1"/>
    <x v="636"/>
    <n v="2805"/>
    <x v="0"/>
  </r>
  <r>
    <s v="Mallorie Waber"/>
    <s v="China"/>
    <x v="1"/>
    <x v="636"/>
    <n v="7890"/>
    <x v="0"/>
  </r>
  <r>
    <s v="Barr Faughny"/>
    <s v="Canada"/>
    <x v="1"/>
    <x v="636"/>
    <n v="11349"/>
    <x v="0"/>
  </r>
  <r>
    <s v="Mallorie Waber"/>
    <s v="UK"/>
    <x v="7"/>
    <x v="636"/>
    <n v="13633"/>
    <x v="0"/>
  </r>
  <r>
    <s v="Rafaela Blaksland"/>
    <s v="Germany"/>
    <x v="7"/>
    <x v="636"/>
    <n v="6132"/>
    <x v="0"/>
  </r>
  <r>
    <s v="Karlen McCaffrey"/>
    <s v="Switzerland"/>
    <x v="6"/>
    <x v="636"/>
    <n v="13013"/>
    <x v="0"/>
  </r>
  <r>
    <s v="Karlen McCaffrey"/>
    <s v="Switzerland"/>
    <x v="3"/>
    <x v="636"/>
    <n v="8225"/>
    <x v="0"/>
  </r>
  <r>
    <s v="Gigi Bohling"/>
    <s v="China"/>
    <x v="7"/>
    <x v="637"/>
    <n v="12515"/>
    <x v="0"/>
  </r>
  <r>
    <s v="Barr Faughny"/>
    <s v="Germany"/>
    <x v="7"/>
    <x v="637"/>
    <n v="5252"/>
    <x v="0"/>
  </r>
  <r>
    <s v="Oby Sorrel"/>
    <s v="Germany"/>
    <x v="2"/>
    <x v="637"/>
    <n v="6155"/>
    <x v="0"/>
  </r>
  <r>
    <s v="Brien Boise"/>
    <s v="Germany"/>
    <x v="7"/>
    <x v="638"/>
    <n v="10489"/>
    <x v="0"/>
  </r>
  <r>
    <s v="Mallorie Waber"/>
    <s v="USA"/>
    <x v="7"/>
    <x v="638"/>
    <n v="8820"/>
    <x v="0"/>
  </r>
  <r>
    <s v="Oby Sorrel"/>
    <s v="USA"/>
    <x v="7"/>
    <x v="638"/>
    <n v="1851"/>
    <x v="0"/>
  </r>
  <r>
    <s v="Van Tuxwell"/>
    <s v="Switzerland"/>
    <x v="3"/>
    <x v="638"/>
    <n v="10997"/>
    <x v="0"/>
  </r>
  <r>
    <s v="Gigi Bohling"/>
    <s v="UK"/>
    <x v="3"/>
    <x v="638"/>
    <n v="3778"/>
    <x v="0"/>
  </r>
  <r>
    <s v="Jehu Rudeforth"/>
    <s v="UK"/>
    <x v="4"/>
    <x v="639"/>
    <n v="7027"/>
    <x v="0"/>
  </r>
  <r>
    <s v="Gigi Bohling"/>
    <s v="China"/>
    <x v="4"/>
    <x v="639"/>
    <n v="7886"/>
    <x v="0"/>
  </r>
  <r>
    <s v="Beverie Moffet"/>
    <s v="Canada"/>
    <x v="5"/>
    <x v="639"/>
    <n v="5608"/>
    <x v="0"/>
  </r>
  <r>
    <s v="Barr Faughny"/>
    <s v="Canada"/>
    <x v="3"/>
    <x v="639"/>
    <n v="12698"/>
    <x v="0"/>
  </r>
  <r>
    <s v="Curtice Advani"/>
    <s v="China"/>
    <x v="0"/>
    <x v="640"/>
    <n v="8620"/>
    <x v="0"/>
  </r>
  <r>
    <s v="Karlen McCaffrey"/>
    <s v="UK"/>
    <x v="1"/>
    <x v="640"/>
    <n v="10906"/>
    <x v="0"/>
  </r>
  <r>
    <s v="Jehu Rudeforth"/>
    <s v="China"/>
    <x v="7"/>
    <x v="640"/>
    <n v="12488"/>
    <x v="0"/>
  </r>
  <r>
    <s v="Jan Morforth"/>
    <s v="Switzerland"/>
    <x v="7"/>
    <x v="640"/>
    <n v="11565"/>
    <x v="0"/>
  </r>
  <r>
    <s v="Mallorie Waber"/>
    <s v="China"/>
    <x v="2"/>
    <x v="640"/>
    <n v="8526"/>
    <x v="0"/>
  </r>
  <r>
    <s v="Van Tuxwell"/>
    <s v="USA"/>
    <x v="5"/>
    <x v="641"/>
    <n v="4064"/>
    <x v="0"/>
  </r>
  <r>
    <s v="Rafaela Blaksland"/>
    <s v="China"/>
    <x v="1"/>
    <x v="641"/>
    <n v="7873"/>
    <x v="0"/>
  </r>
  <r>
    <s v="Jehu Rudeforth"/>
    <s v="Switzerland"/>
    <x v="1"/>
    <x v="642"/>
    <n v="3848"/>
    <x v="0"/>
  </r>
  <r>
    <s v="Oby Sorrel"/>
    <s v="USA"/>
    <x v="0"/>
    <x v="643"/>
    <n v="12681"/>
    <x v="0"/>
  </r>
  <r>
    <s v="Gigi Bohling"/>
    <s v="China"/>
    <x v="4"/>
    <x v="643"/>
    <n v="3428"/>
    <x v="0"/>
  </r>
  <r>
    <s v="Van Tuxwell"/>
    <s v="Canada"/>
    <x v="1"/>
    <x v="643"/>
    <n v="8840"/>
    <x v="0"/>
  </r>
  <r>
    <s v="Curtice Advani"/>
    <s v="China"/>
    <x v="6"/>
    <x v="643"/>
    <n v="3579"/>
    <x v="0"/>
  </r>
  <r>
    <s v="Curtice Advani"/>
    <s v="Canada"/>
    <x v="4"/>
    <x v="644"/>
    <n v="13298"/>
    <x v="0"/>
  </r>
  <r>
    <s v="Marney O'Breem"/>
    <s v="Canada"/>
    <x v="4"/>
    <x v="644"/>
    <n v="5679"/>
    <x v="0"/>
  </r>
  <r>
    <s v="Jehu Rudeforth"/>
    <s v="Germany"/>
    <x v="5"/>
    <x v="644"/>
    <n v="4269"/>
    <x v="0"/>
  </r>
  <r>
    <s v="Marney O'Breem"/>
    <s v="UK"/>
    <x v="5"/>
    <x v="644"/>
    <n v="9769"/>
    <x v="0"/>
  </r>
  <r>
    <s v="Beverie Moffet"/>
    <s v="Canada"/>
    <x v="1"/>
    <x v="644"/>
    <n v="1891"/>
    <x v="0"/>
  </r>
  <r>
    <s v="Mallorie Waber"/>
    <s v="Canada"/>
    <x v="2"/>
    <x v="644"/>
    <n v="4947"/>
    <x v="0"/>
  </r>
  <r>
    <s v="Jehu Rudeforth"/>
    <s v="Germany"/>
    <x v="6"/>
    <x v="644"/>
    <n v="1669"/>
    <x v="0"/>
  </r>
  <r>
    <s v="Van Tuxwell"/>
    <s v="Canada"/>
    <x v="3"/>
    <x v="644"/>
    <n v="6795"/>
    <x v="0"/>
  </r>
  <r>
    <s v="Jan Morforth"/>
    <s v="UK"/>
    <x v="4"/>
    <x v="645"/>
    <n v="6502"/>
    <x v="0"/>
  </r>
  <r>
    <s v="Marney O'Breem"/>
    <s v="Canada"/>
    <x v="7"/>
    <x v="645"/>
    <n v="2214"/>
    <x v="0"/>
  </r>
  <r>
    <s v="Karlen McCaffrey"/>
    <s v="Germany"/>
    <x v="5"/>
    <x v="646"/>
    <n v="9074"/>
    <x v="0"/>
  </r>
  <r>
    <s v="Oby Sorrel"/>
    <s v="China"/>
    <x v="1"/>
    <x v="646"/>
    <n v="13604"/>
    <x v="0"/>
  </r>
  <r>
    <s v="Roddy Speechley"/>
    <s v="UK"/>
    <x v="6"/>
    <x v="646"/>
    <n v="6081"/>
    <x v="0"/>
  </r>
  <r>
    <s v="Van Tuxwell"/>
    <s v="Germany"/>
    <x v="0"/>
    <x v="647"/>
    <n v="11890"/>
    <x v="0"/>
  </r>
  <r>
    <s v="Beverie Moffet"/>
    <s v="Canada"/>
    <x v="0"/>
    <x v="647"/>
    <n v="1487"/>
    <x v="0"/>
  </r>
  <r>
    <s v="Beverie Moffet"/>
    <s v="China"/>
    <x v="5"/>
    <x v="647"/>
    <n v="1472"/>
    <x v="0"/>
  </r>
  <r>
    <s v="Jan Morforth"/>
    <s v="China"/>
    <x v="5"/>
    <x v="647"/>
    <n v="3066"/>
    <x v="0"/>
  </r>
  <r>
    <s v="Beverie Moffet"/>
    <s v="UK"/>
    <x v="1"/>
    <x v="647"/>
    <n v="3080"/>
    <x v="0"/>
  </r>
  <r>
    <s v="Jan Morforth"/>
    <s v="USA"/>
    <x v="2"/>
    <x v="647"/>
    <n v="8332"/>
    <x v="0"/>
  </r>
  <r>
    <s v="Beverie Moffet"/>
    <s v="UK"/>
    <x v="6"/>
    <x v="647"/>
    <n v="11946"/>
    <x v="0"/>
  </r>
  <r>
    <s v="Barr Faughny"/>
    <s v="Switzerland"/>
    <x v="4"/>
    <x v="648"/>
    <n v="9202"/>
    <x v="0"/>
  </r>
  <r>
    <s v="Karlen McCaffrey"/>
    <s v="UK"/>
    <x v="1"/>
    <x v="648"/>
    <n v="6048"/>
    <x v="0"/>
  </r>
  <r>
    <s v="Jehu Rudeforth"/>
    <s v="USA"/>
    <x v="7"/>
    <x v="648"/>
    <n v="11739"/>
    <x v="0"/>
  </r>
  <r>
    <s v="Gigi Bohling"/>
    <s v="Switzerland"/>
    <x v="3"/>
    <x v="648"/>
    <n v="9610"/>
    <x v="0"/>
  </r>
  <r>
    <s v="Beverie Moffet"/>
    <s v="Switzerland"/>
    <x v="4"/>
    <x v="649"/>
    <n v="9115"/>
    <x v="0"/>
  </r>
  <r>
    <s v="Beverie Moffet"/>
    <s v="USA"/>
    <x v="5"/>
    <x v="649"/>
    <n v="8948"/>
    <x v="0"/>
  </r>
  <r>
    <s v="Barr Faughny"/>
    <s v="USA"/>
    <x v="1"/>
    <x v="649"/>
    <n v="12996"/>
    <x v="0"/>
  </r>
  <r>
    <s v="Beverie Moffet"/>
    <s v="Switzerland"/>
    <x v="1"/>
    <x v="649"/>
    <n v="7816"/>
    <x v="0"/>
  </r>
  <r>
    <s v="Karlen McCaffrey"/>
    <s v="China"/>
    <x v="0"/>
    <x v="650"/>
    <n v="1162"/>
    <x v="0"/>
  </r>
  <r>
    <s v="Marney O'Breem"/>
    <s v="China"/>
    <x v="4"/>
    <x v="651"/>
    <n v="2400"/>
    <x v="0"/>
  </r>
  <r>
    <s v="Karlen McCaffrey"/>
    <s v="Germany"/>
    <x v="7"/>
    <x v="651"/>
    <n v="9755"/>
    <x v="0"/>
  </r>
  <r>
    <s v="Roddy Speechley"/>
    <s v="Germany"/>
    <x v="2"/>
    <x v="651"/>
    <n v="2389"/>
    <x v="0"/>
  </r>
  <r>
    <s v="Jan Morforth"/>
    <s v="UK"/>
    <x v="6"/>
    <x v="652"/>
    <n v="5676"/>
    <x v="0"/>
  </r>
  <r>
    <s v="Barr Faughny"/>
    <s v="Canada"/>
    <x v="0"/>
    <x v="653"/>
    <n v="1016"/>
    <x v="0"/>
  </r>
  <r>
    <s v="Marney O'Breem"/>
    <s v="Switzerland"/>
    <x v="5"/>
    <x v="653"/>
    <n v="5172"/>
    <x v="0"/>
  </r>
  <r>
    <s v="Gunar Cockshoot"/>
    <s v="UK"/>
    <x v="5"/>
    <x v="653"/>
    <n v="7946"/>
    <x v="0"/>
  </r>
  <r>
    <s v="Rafaela Blaksland"/>
    <s v="Germany"/>
    <x v="1"/>
    <x v="653"/>
    <n v="2896"/>
    <x v="0"/>
  </r>
  <r>
    <s v="Van Tuxwell"/>
    <s v="Canada"/>
    <x v="6"/>
    <x v="653"/>
    <n v="10857"/>
    <x v="0"/>
  </r>
  <r>
    <s v="Jehu Rudeforth"/>
    <s v="USA"/>
    <x v="0"/>
    <x v="654"/>
    <n v="5363"/>
    <x v="0"/>
  </r>
  <r>
    <s v="Beverie Moffet"/>
    <s v="UK"/>
    <x v="6"/>
    <x v="654"/>
    <n v="13729"/>
    <x v="0"/>
  </r>
  <r>
    <s v="Van Tuxwell"/>
    <s v="Switzerland"/>
    <x v="5"/>
    <x v="655"/>
    <n v="12067"/>
    <x v="0"/>
  </r>
  <r>
    <s v="Van Tuxwell"/>
    <s v="Switzerland"/>
    <x v="6"/>
    <x v="655"/>
    <n v="13449"/>
    <x v="0"/>
  </r>
  <r>
    <s v="Karlen McCaffrey"/>
    <s v="Canada"/>
    <x v="2"/>
    <x v="656"/>
    <n v="12048"/>
    <x v="0"/>
  </r>
  <r>
    <s v="Karlen McCaffrey"/>
    <s v="China"/>
    <x v="0"/>
    <x v="657"/>
    <n v="2943"/>
    <x v="0"/>
  </r>
  <r>
    <s v="Jan Morforth"/>
    <s v="Switzerland"/>
    <x v="0"/>
    <x v="657"/>
    <n v="11881"/>
    <x v="0"/>
  </r>
  <r>
    <s v="Van Tuxwell"/>
    <s v="USA"/>
    <x v="1"/>
    <x v="657"/>
    <n v="6498"/>
    <x v="0"/>
  </r>
  <r>
    <s v="Barr Faughny"/>
    <s v="China"/>
    <x v="1"/>
    <x v="657"/>
    <n v="3023"/>
    <x v="0"/>
  </r>
  <r>
    <s v="Roddy Speechley"/>
    <s v="Germany"/>
    <x v="2"/>
    <x v="657"/>
    <n v="7726"/>
    <x v="0"/>
  </r>
  <r>
    <s v="Beverie Moffet"/>
    <s v="USA"/>
    <x v="6"/>
    <x v="657"/>
    <n v="9900"/>
    <x v="0"/>
  </r>
  <r>
    <s v="Roddy Speechley"/>
    <s v="China"/>
    <x v="4"/>
    <x v="658"/>
    <n v="12252"/>
    <x v="0"/>
  </r>
  <r>
    <s v="Barr Faughny"/>
    <s v="Canada"/>
    <x v="5"/>
    <x v="658"/>
    <n v="6931"/>
    <x v="0"/>
  </r>
  <r>
    <s v="Brien Boise"/>
    <s v="UK"/>
    <x v="1"/>
    <x v="658"/>
    <n v="2033"/>
    <x v="0"/>
  </r>
  <r>
    <s v="Barr Faughny"/>
    <s v="China"/>
    <x v="7"/>
    <x v="658"/>
    <n v="1423"/>
    <x v="0"/>
  </r>
  <r>
    <s v="Mallorie Waber"/>
    <s v="Canada"/>
    <x v="7"/>
    <x v="658"/>
    <n v="1216"/>
    <x v="0"/>
  </r>
  <r>
    <s v="Roddy Speechley"/>
    <s v="Germany"/>
    <x v="5"/>
    <x v="659"/>
    <n v="12274"/>
    <x v="0"/>
  </r>
  <r>
    <s v="Gunar Cockshoot"/>
    <s v="UK"/>
    <x v="1"/>
    <x v="659"/>
    <n v="6354"/>
    <x v="0"/>
  </r>
  <r>
    <s v="Beverie Moffet"/>
    <s v="Germany"/>
    <x v="7"/>
    <x v="659"/>
    <n v="6483"/>
    <x v="0"/>
  </r>
  <r>
    <s v="Jehu Rudeforth"/>
    <s v="China"/>
    <x v="3"/>
    <x v="659"/>
    <n v="6692"/>
    <x v="0"/>
  </r>
  <r>
    <s v="Gigi Bohling"/>
    <s v="USA"/>
    <x v="0"/>
    <x v="660"/>
    <n v="12761"/>
    <x v="0"/>
  </r>
  <r>
    <s v="Van Tuxwell"/>
    <s v="Switzerland"/>
    <x v="0"/>
    <x v="660"/>
    <n v="7486"/>
    <x v="0"/>
  </r>
  <r>
    <s v="Barr Faughny"/>
    <s v="Switzerland"/>
    <x v="5"/>
    <x v="660"/>
    <n v="11502"/>
    <x v="0"/>
  </r>
  <r>
    <s v="Brien Boise"/>
    <s v="Germany"/>
    <x v="1"/>
    <x v="660"/>
    <n v="3101"/>
    <x v="0"/>
  </r>
  <r>
    <s v="Karlen McCaffrey"/>
    <s v="China"/>
    <x v="6"/>
    <x v="660"/>
    <n v="7704"/>
    <x v="0"/>
  </r>
  <r>
    <s v="Gunar Cockshoot"/>
    <s v="Switzerland"/>
    <x v="0"/>
    <x v="661"/>
    <n v="10374"/>
    <x v="0"/>
  </r>
  <r>
    <s v="Brien Boise"/>
    <s v="Canada"/>
    <x v="1"/>
    <x v="661"/>
    <n v="9397"/>
    <x v="0"/>
  </r>
  <r>
    <s v="Jehu Rudeforth"/>
    <s v="Canada"/>
    <x v="7"/>
    <x v="661"/>
    <n v="8154"/>
    <x v="0"/>
  </r>
  <r>
    <s v="Barr Faughny"/>
    <s v="Canada"/>
    <x v="6"/>
    <x v="661"/>
    <n v="4576"/>
    <x v="0"/>
  </r>
  <r>
    <s v="Jehu Rudeforth"/>
    <s v="Canada"/>
    <x v="4"/>
    <x v="662"/>
    <n v="7181"/>
    <x v="0"/>
  </r>
  <r>
    <s v="Marney O'Breem"/>
    <s v="Canada"/>
    <x v="1"/>
    <x v="662"/>
    <n v="6196"/>
    <x v="0"/>
  </r>
  <r>
    <s v="Barr Faughny"/>
    <s v="China"/>
    <x v="3"/>
    <x v="662"/>
    <n v="4658"/>
    <x v="0"/>
  </r>
  <r>
    <s v="Mallorie Waber"/>
    <s v="UK"/>
    <x v="5"/>
    <x v="663"/>
    <n v="2410"/>
    <x v="0"/>
  </r>
  <r>
    <s v="Roddy Speechley"/>
    <s v="UK"/>
    <x v="1"/>
    <x v="663"/>
    <n v="4711"/>
    <x v="0"/>
  </r>
  <r>
    <s v="Mallorie Waber"/>
    <s v="USA"/>
    <x v="7"/>
    <x v="663"/>
    <n v="10340"/>
    <x v="0"/>
  </r>
  <r>
    <s v="Jehu Rudeforth"/>
    <s v="USA"/>
    <x v="6"/>
    <x v="663"/>
    <n v="11792"/>
    <x v="0"/>
  </r>
  <r>
    <s v="Marney O'Breem"/>
    <s v="UK"/>
    <x v="6"/>
    <x v="663"/>
    <n v="3253"/>
    <x v="0"/>
  </r>
  <r>
    <s v="Curtice Advani"/>
    <s v="USA"/>
    <x v="3"/>
    <x v="663"/>
    <n v="4032"/>
    <x v="0"/>
  </r>
  <r>
    <s v="Beverie Moffet"/>
    <s v="Switzerland"/>
    <x v="0"/>
    <x v="664"/>
    <n v="13815"/>
    <x v="0"/>
  </r>
  <r>
    <s v="Gunar Cockshoot"/>
    <s v="Canada"/>
    <x v="0"/>
    <x v="664"/>
    <n v="13291"/>
    <x v="0"/>
  </r>
  <r>
    <s v="Karlen McCaffrey"/>
    <s v="Germany"/>
    <x v="1"/>
    <x v="664"/>
    <n v="4219"/>
    <x v="0"/>
  </r>
  <r>
    <s v="Karlen McCaffrey"/>
    <s v="China"/>
    <x v="2"/>
    <x v="664"/>
    <n v="9553"/>
    <x v="0"/>
  </r>
  <r>
    <s v="Barr Faughny"/>
    <s v="USA"/>
    <x v="5"/>
    <x v="665"/>
    <n v="1730"/>
    <x v="0"/>
  </r>
  <r>
    <s v="Karlen McCaffrey"/>
    <s v="USA"/>
    <x v="3"/>
    <x v="665"/>
    <n v="4116"/>
    <x v="0"/>
  </r>
  <r>
    <s v="Gunar Cockshoot"/>
    <s v="Canada"/>
    <x v="3"/>
    <x v="665"/>
    <n v="11439"/>
    <x v="0"/>
  </r>
  <r>
    <s v="Rafaela Blaksland"/>
    <s v="Switzerland"/>
    <x v="1"/>
    <x v="666"/>
    <n v="8932"/>
    <x v="0"/>
  </r>
  <r>
    <s v="Barr Faughny"/>
    <s v="UK"/>
    <x v="1"/>
    <x v="666"/>
    <n v="13990"/>
    <x v="0"/>
  </r>
  <r>
    <s v="Karlen McCaffrey"/>
    <s v="Canada"/>
    <x v="1"/>
    <x v="666"/>
    <n v="7531"/>
    <x v="0"/>
  </r>
  <r>
    <s v="Karlen McCaffrey"/>
    <s v="China"/>
    <x v="2"/>
    <x v="666"/>
    <n v="11144"/>
    <x v="0"/>
  </r>
  <r>
    <s v="Oby Sorrel"/>
    <s v="Germany"/>
    <x v="6"/>
    <x v="666"/>
    <n v="2477"/>
    <x v="0"/>
  </r>
  <r>
    <s v="Karlen McCaffrey"/>
    <s v="UK"/>
    <x v="0"/>
    <x v="667"/>
    <n v="1419"/>
    <x v="0"/>
  </r>
  <r>
    <s v="Gigi Bohling"/>
    <s v="Canada"/>
    <x v="4"/>
    <x v="667"/>
    <n v="1541"/>
    <x v="0"/>
  </r>
  <r>
    <s v="Gigi Bohling"/>
    <s v="Germany"/>
    <x v="2"/>
    <x v="667"/>
    <n v="2564"/>
    <x v="0"/>
  </r>
  <r>
    <s v="Gigi Bohling"/>
    <s v="China"/>
    <x v="3"/>
    <x v="667"/>
    <n v="5310"/>
    <x v="0"/>
  </r>
  <r>
    <s v="Marney O'Breem"/>
    <s v="Switzerland"/>
    <x v="3"/>
    <x v="667"/>
    <n v="11169"/>
    <x v="0"/>
  </r>
  <r>
    <s v="Roddy Speechley"/>
    <s v="USA"/>
    <x v="3"/>
    <x v="667"/>
    <n v="7830"/>
    <x v="0"/>
  </r>
  <r>
    <s v="Barr Faughny"/>
    <s v="China"/>
    <x v="4"/>
    <x v="668"/>
    <n v="11690"/>
    <x v="0"/>
  </r>
  <r>
    <s v="Van Tuxwell"/>
    <s v="UK"/>
    <x v="1"/>
    <x v="668"/>
    <n v="4666"/>
    <x v="0"/>
  </r>
  <r>
    <s v="Oby Sorrel"/>
    <s v="China"/>
    <x v="7"/>
    <x v="668"/>
    <n v="8380"/>
    <x v="0"/>
  </r>
  <r>
    <s v="Gigi Bohling"/>
    <s v="Switzerland"/>
    <x v="5"/>
    <x v="669"/>
    <n v="10544"/>
    <x v="0"/>
  </r>
  <r>
    <s v="Jehu Rudeforth"/>
    <s v="Canada"/>
    <x v="2"/>
    <x v="669"/>
    <n v="3510"/>
    <x v="0"/>
  </r>
  <r>
    <s v="Marney O'Breem"/>
    <s v="UK"/>
    <x v="6"/>
    <x v="669"/>
    <n v="11744"/>
    <x v="0"/>
  </r>
  <r>
    <s v="Van Tuxwell"/>
    <s v="UK"/>
    <x v="0"/>
    <x v="670"/>
    <n v="11865"/>
    <x v="0"/>
  </r>
  <r>
    <s v="Brien Boise"/>
    <s v="UK"/>
    <x v="5"/>
    <x v="670"/>
    <n v="3110"/>
    <x v="0"/>
  </r>
  <r>
    <s v="Gunar Cockshoot"/>
    <s v="China"/>
    <x v="7"/>
    <x v="670"/>
    <n v="1714"/>
    <x v="0"/>
  </r>
  <r>
    <s v="Brien Boise"/>
    <s v="Switzerland"/>
    <x v="2"/>
    <x v="670"/>
    <n v="4715"/>
    <x v="0"/>
  </r>
  <r>
    <s v="Roddy Speechley"/>
    <s v="China"/>
    <x v="2"/>
    <x v="670"/>
    <n v="8845"/>
    <x v="0"/>
  </r>
  <r>
    <s v="Barr Faughny"/>
    <s v="USA"/>
    <x v="6"/>
    <x v="670"/>
    <n v="8567"/>
    <x v="0"/>
  </r>
  <r>
    <s v="Rafaela Blaksland"/>
    <s v="China"/>
    <x v="3"/>
    <x v="670"/>
    <n v="2907"/>
    <x v="0"/>
  </r>
  <r>
    <s v="Oby Sorrel"/>
    <s v="Germany"/>
    <x v="5"/>
    <x v="671"/>
    <n v="3736"/>
    <x v="0"/>
  </r>
  <r>
    <s v="Marney O'Breem"/>
    <s v="Canada"/>
    <x v="1"/>
    <x v="671"/>
    <n v="7002"/>
    <x v="0"/>
  </r>
  <r>
    <s v="Rafaela Blaksland"/>
    <s v="USA"/>
    <x v="1"/>
    <x v="671"/>
    <n v="11617"/>
    <x v="0"/>
  </r>
  <r>
    <s v="Curtice Advani"/>
    <s v="China"/>
    <x v="6"/>
    <x v="671"/>
    <n v="11826"/>
    <x v="0"/>
  </r>
  <r>
    <s v="Mallorie Waber"/>
    <s v="USA"/>
    <x v="3"/>
    <x v="671"/>
    <n v="9739"/>
    <x v="0"/>
  </r>
  <r>
    <s v="Karlen McCaffrey"/>
    <s v="Switzerland"/>
    <x v="4"/>
    <x v="672"/>
    <n v="7966"/>
    <x v="0"/>
  </r>
  <r>
    <s v="Mallorie Waber"/>
    <s v="China"/>
    <x v="5"/>
    <x v="672"/>
    <n v="8501"/>
    <x v="0"/>
  </r>
  <r>
    <s v="Barr Faughny"/>
    <s v="Germany"/>
    <x v="4"/>
    <x v="673"/>
    <n v="2084"/>
    <x v="0"/>
  </r>
  <r>
    <s v="Oby Sorrel"/>
    <s v="Germany"/>
    <x v="4"/>
    <x v="673"/>
    <n v="6057"/>
    <x v="0"/>
  </r>
  <r>
    <s v="Beverie Moffet"/>
    <s v="USA"/>
    <x v="5"/>
    <x v="673"/>
    <n v="1274"/>
    <x v="0"/>
  </r>
  <r>
    <s v="Beverie Moffet"/>
    <s v="UK"/>
    <x v="7"/>
    <x v="673"/>
    <n v="5609"/>
    <x v="0"/>
  </r>
  <r>
    <s v="Karlen McCaffrey"/>
    <s v="USA"/>
    <x v="7"/>
    <x v="673"/>
    <n v="3071"/>
    <x v="0"/>
  </r>
  <r>
    <s v="Beverie Moffet"/>
    <s v="Germany"/>
    <x v="3"/>
    <x v="673"/>
    <n v="3564"/>
    <x v="0"/>
  </r>
  <r>
    <s v="Jehu Rudeforth"/>
    <s v="Germany"/>
    <x v="2"/>
    <x v="674"/>
    <n v="5415"/>
    <x v="0"/>
  </r>
  <r>
    <s v="Gigi Bohling"/>
    <s v="China"/>
    <x v="6"/>
    <x v="674"/>
    <n v="1731"/>
    <x v="0"/>
  </r>
  <r>
    <s v="Jan Morforth"/>
    <s v="Canada"/>
    <x v="0"/>
    <x v="675"/>
    <n v="6373"/>
    <x v="0"/>
  </r>
  <r>
    <s v="Jan Morforth"/>
    <s v="UK"/>
    <x v="0"/>
    <x v="676"/>
    <n v="13523"/>
    <x v="0"/>
  </r>
  <r>
    <s v="Curtice Advani"/>
    <s v="UK"/>
    <x v="0"/>
    <x v="676"/>
    <n v="6442"/>
    <x v="0"/>
  </r>
  <r>
    <s v="Gunar Cockshoot"/>
    <s v="China"/>
    <x v="7"/>
    <x v="676"/>
    <n v="8256"/>
    <x v="0"/>
  </r>
  <r>
    <s v="Brien Boise"/>
    <s v="UK"/>
    <x v="3"/>
    <x v="676"/>
    <n v="9045"/>
    <x v="0"/>
  </r>
  <r>
    <s v="Jan Morforth"/>
    <s v="Germany"/>
    <x v="4"/>
    <x v="677"/>
    <n v="4689"/>
    <x v="0"/>
  </r>
  <r>
    <s v="Roddy Speechley"/>
    <s v="Canada"/>
    <x v="5"/>
    <x v="677"/>
    <n v="12009"/>
    <x v="0"/>
  </r>
  <r>
    <s v="Gunar Cockshoot"/>
    <s v="USA"/>
    <x v="5"/>
    <x v="677"/>
    <n v="13211"/>
    <x v="0"/>
  </r>
  <r>
    <s v="Brien Boise"/>
    <s v="Canada"/>
    <x v="2"/>
    <x v="677"/>
    <n v="2282"/>
    <x v="0"/>
  </r>
  <r>
    <s v="Curtice Advani"/>
    <s v="USA"/>
    <x v="6"/>
    <x v="677"/>
    <n v="11855"/>
    <x v="0"/>
  </r>
  <r>
    <s v="Gunar Cockshoot"/>
    <s v="Canada"/>
    <x v="3"/>
    <x v="677"/>
    <n v="2645"/>
    <x v="0"/>
  </r>
  <r>
    <s v="Mallorie Waber"/>
    <s v="China"/>
    <x v="4"/>
    <x v="678"/>
    <n v="1007"/>
    <x v="0"/>
  </r>
  <r>
    <s v="Jan Morforth"/>
    <s v="Switzerland"/>
    <x v="1"/>
    <x v="678"/>
    <n v="10328"/>
    <x v="0"/>
  </r>
  <r>
    <s v="Jan Morforth"/>
    <s v="Canada"/>
    <x v="7"/>
    <x v="678"/>
    <n v="5474"/>
    <x v="0"/>
  </r>
  <r>
    <s v="Gigi Bohling"/>
    <s v="Germany"/>
    <x v="2"/>
    <x v="679"/>
    <n v="5413"/>
    <x v="0"/>
  </r>
  <r>
    <s v="Curtice Advani"/>
    <s v="China"/>
    <x v="3"/>
    <x v="679"/>
    <n v="10497"/>
    <x v="0"/>
  </r>
  <r>
    <s v="Karlen McCaffrey"/>
    <s v="USA"/>
    <x v="3"/>
    <x v="679"/>
    <n v="1579"/>
    <x v="0"/>
  </r>
  <r>
    <s v="Karlen McCaffrey"/>
    <s v="UK"/>
    <x v="0"/>
    <x v="680"/>
    <n v="11621"/>
    <x v="0"/>
  </r>
  <r>
    <s v="Rafaela Blaksland"/>
    <s v="UK"/>
    <x v="5"/>
    <x v="680"/>
    <n v="3768"/>
    <x v="0"/>
  </r>
  <r>
    <s v="Van Tuxwell"/>
    <s v="USA"/>
    <x v="6"/>
    <x v="680"/>
    <n v="5627"/>
    <x v="0"/>
  </r>
  <r>
    <s v="Roddy Speechley"/>
    <s v="Switzerland"/>
    <x v="4"/>
    <x v="681"/>
    <n v="13324"/>
    <x v="0"/>
  </r>
  <r>
    <s v="Brien Boise"/>
    <s v="Germany"/>
    <x v="4"/>
    <x v="681"/>
    <n v="4162"/>
    <x v="0"/>
  </r>
  <r>
    <s v="Marney O'Breem"/>
    <s v="Switzerland"/>
    <x v="5"/>
    <x v="681"/>
    <n v="5928"/>
    <x v="0"/>
  </r>
  <r>
    <s v="Jan Morforth"/>
    <s v="China"/>
    <x v="7"/>
    <x v="681"/>
    <n v="9513"/>
    <x v="0"/>
  </r>
  <r>
    <s v="Marney O'Breem"/>
    <s v="Canada"/>
    <x v="7"/>
    <x v="681"/>
    <n v="4725"/>
    <x v="0"/>
  </r>
  <r>
    <s v="Beverie Moffet"/>
    <s v="Germany"/>
    <x v="7"/>
    <x v="681"/>
    <n v="5279"/>
    <x v="0"/>
  </r>
  <r>
    <s v="Roddy Speechley"/>
    <s v="USA"/>
    <x v="3"/>
    <x v="681"/>
    <n v="13624"/>
    <x v="0"/>
  </r>
  <r>
    <s v="Brien Boise"/>
    <s v="China"/>
    <x v="2"/>
    <x v="682"/>
    <n v="9019"/>
    <x v="0"/>
  </r>
  <r>
    <s v="Karlen McCaffrey"/>
    <s v="UK"/>
    <x v="6"/>
    <x v="682"/>
    <n v="4996"/>
    <x v="0"/>
  </r>
  <r>
    <s v="Brien Boise"/>
    <s v="UK"/>
    <x v="0"/>
    <x v="683"/>
    <n v="13309"/>
    <x v="0"/>
  </r>
  <r>
    <s v="Beverie Moffet"/>
    <s v="China"/>
    <x v="6"/>
    <x v="683"/>
    <n v="2274"/>
    <x v="0"/>
  </r>
  <r>
    <s v="Barr Faughny"/>
    <s v="UK"/>
    <x v="0"/>
    <x v="684"/>
    <n v="6086"/>
    <x v="0"/>
  </r>
  <r>
    <s v="Gunar Cockshoot"/>
    <s v="Germany"/>
    <x v="0"/>
    <x v="684"/>
    <n v="1524"/>
    <x v="0"/>
  </r>
  <r>
    <s v="Marney O'Breem"/>
    <s v="Germany"/>
    <x v="4"/>
    <x v="684"/>
    <n v="3404"/>
    <x v="0"/>
  </r>
  <r>
    <s v="Gigi Bohling"/>
    <s v="China"/>
    <x v="4"/>
    <x v="684"/>
    <n v="13157"/>
    <x v="0"/>
  </r>
  <r>
    <s v="Karlen McCaffrey"/>
    <s v="USA"/>
    <x v="7"/>
    <x v="684"/>
    <n v="12882"/>
    <x v="0"/>
  </r>
  <r>
    <s v="Beverie Moffet"/>
    <s v="USA"/>
    <x v="7"/>
    <x v="684"/>
    <n v="5482"/>
    <x v="0"/>
  </r>
  <r>
    <s v="Beverie Moffet"/>
    <s v="USA"/>
    <x v="2"/>
    <x v="684"/>
    <n v="10011"/>
    <x v="0"/>
  </r>
  <r>
    <s v="Beverie Moffet"/>
    <s v="Switzerland"/>
    <x v="5"/>
    <x v="685"/>
    <n v="8918"/>
    <x v="0"/>
  </r>
  <r>
    <s v="Jan Morforth"/>
    <s v="Switzerland"/>
    <x v="7"/>
    <x v="685"/>
    <n v="4964"/>
    <x v="0"/>
  </r>
  <r>
    <s v="Mallorie Waber"/>
    <s v="Germany"/>
    <x v="7"/>
    <x v="686"/>
    <n v="8821"/>
    <x v="0"/>
  </r>
  <r>
    <s v="Gigi Bohling"/>
    <s v="Switzerland"/>
    <x v="2"/>
    <x v="686"/>
    <n v="8721"/>
    <x v="0"/>
  </r>
  <r>
    <s v="Oby Sorrel"/>
    <s v="Switzerland"/>
    <x v="0"/>
    <x v="687"/>
    <n v="9216"/>
    <x v="0"/>
  </r>
  <r>
    <s v="Beverie Moffet"/>
    <s v="Switzerland"/>
    <x v="4"/>
    <x v="687"/>
    <n v="8519"/>
    <x v="0"/>
  </r>
  <r>
    <s v="Van Tuxwell"/>
    <s v="UK"/>
    <x v="5"/>
    <x v="687"/>
    <n v="1832"/>
    <x v="0"/>
  </r>
  <r>
    <s v="Marney O'Breem"/>
    <s v="UK"/>
    <x v="5"/>
    <x v="687"/>
    <n v="8811"/>
    <x v="0"/>
  </r>
  <r>
    <s v="Oby Sorrel"/>
    <s v="Germany"/>
    <x v="7"/>
    <x v="687"/>
    <n v="11655"/>
    <x v="0"/>
  </r>
  <r>
    <s v="Jan Morforth"/>
    <s v="UK"/>
    <x v="3"/>
    <x v="687"/>
    <n v="12418"/>
    <x v="0"/>
  </r>
  <r>
    <s v="Curtice Advani"/>
    <s v="USA"/>
    <x v="1"/>
    <x v="688"/>
    <n v="5539"/>
    <x v="0"/>
  </r>
  <r>
    <s v="Brien Boise"/>
    <s v="Canada"/>
    <x v="1"/>
    <x v="689"/>
    <n v="11313"/>
    <x v="0"/>
  </r>
  <r>
    <s v="Jehu Rudeforth"/>
    <s v="UK"/>
    <x v="1"/>
    <x v="689"/>
    <n v="2154"/>
    <x v="0"/>
  </r>
  <r>
    <s v="Brien Boise"/>
    <s v="UK"/>
    <x v="7"/>
    <x v="689"/>
    <n v="4599"/>
    <x v="0"/>
  </r>
  <r>
    <s v="Brien Boise"/>
    <s v="Germany"/>
    <x v="7"/>
    <x v="689"/>
    <n v="5260"/>
    <x v="0"/>
  </r>
  <r>
    <s v="Gigi Bohling"/>
    <s v="China"/>
    <x v="2"/>
    <x v="689"/>
    <n v="4654"/>
    <x v="0"/>
  </r>
  <r>
    <s v="Jan Morforth"/>
    <s v="China"/>
    <x v="3"/>
    <x v="689"/>
    <n v="2209"/>
    <x v="0"/>
  </r>
  <r>
    <s v="Oby Sorrel"/>
    <s v="USA"/>
    <x v="0"/>
    <x v="690"/>
    <n v="6305"/>
    <x v="0"/>
  </r>
  <r>
    <s v="Beverie Moffet"/>
    <s v="Germany"/>
    <x v="6"/>
    <x v="690"/>
    <n v="11702"/>
    <x v="0"/>
  </r>
  <r>
    <s v="Jehu Rudeforth"/>
    <s v="Canada"/>
    <x v="3"/>
    <x v="690"/>
    <n v="8976"/>
    <x v="0"/>
  </r>
  <r>
    <s v="Curtice Advani"/>
    <s v="Canada"/>
    <x v="2"/>
    <x v="691"/>
    <n v="10198"/>
    <x v="0"/>
  </r>
  <r>
    <s v="Gigi Bohling"/>
    <s v="Germany"/>
    <x v="6"/>
    <x v="691"/>
    <n v="5727"/>
    <x v="0"/>
  </r>
  <r>
    <s v="Jehu Rudeforth"/>
    <s v="Canada"/>
    <x v="7"/>
    <x v="692"/>
    <n v="8400"/>
    <x v="0"/>
  </r>
  <r>
    <s v="Gigi Bohling"/>
    <s v="China"/>
    <x v="2"/>
    <x v="692"/>
    <n v="6415"/>
    <x v="0"/>
  </r>
  <r>
    <s v="Marney O'Breem"/>
    <s v="China"/>
    <x v="6"/>
    <x v="692"/>
    <n v="8560"/>
    <x v="0"/>
  </r>
  <r>
    <s v="Gunar Cockshoot"/>
    <s v="Germany"/>
    <x v="1"/>
    <x v="693"/>
    <n v="7340"/>
    <x v="0"/>
  </r>
  <r>
    <s v="Brien Boise"/>
    <s v="UK"/>
    <x v="7"/>
    <x v="693"/>
    <n v="12914"/>
    <x v="0"/>
  </r>
  <r>
    <s v="Mallorie Waber"/>
    <s v="China"/>
    <x v="5"/>
    <x v="694"/>
    <n v="2895"/>
    <x v="0"/>
  </r>
  <r>
    <s v="Jan Morforth"/>
    <s v="Switzerland"/>
    <x v="7"/>
    <x v="694"/>
    <n v="9500"/>
    <x v="0"/>
  </r>
  <r>
    <s v="Jehu Rudeforth"/>
    <s v="China"/>
    <x v="6"/>
    <x v="694"/>
    <n v="13929"/>
    <x v="0"/>
  </r>
  <r>
    <s v="Gunar Cockshoot"/>
    <s v="Germany"/>
    <x v="4"/>
    <x v="695"/>
    <n v="10043"/>
    <x v="0"/>
  </r>
  <r>
    <s v="Roddy Speechley"/>
    <s v="Canada"/>
    <x v="5"/>
    <x v="695"/>
    <n v="9831"/>
    <x v="0"/>
  </r>
  <r>
    <s v="Gigi Bohling"/>
    <s v="USA"/>
    <x v="1"/>
    <x v="695"/>
    <n v="12601"/>
    <x v="0"/>
  </r>
  <r>
    <s v="Curtice Advani"/>
    <s v="Switzerland"/>
    <x v="7"/>
    <x v="695"/>
    <n v="3115"/>
    <x v="0"/>
  </r>
  <r>
    <s v="Gigi Bohling"/>
    <s v="USA"/>
    <x v="0"/>
    <x v="696"/>
    <n v="8844"/>
    <x v="0"/>
  </r>
  <r>
    <s v="Van Tuxwell"/>
    <s v="USA"/>
    <x v="5"/>
    <x v="696"/>
    <n v="13361"/>
    <x v="0"/>
  </r>
  <r>
    <s v="Karlen McCaffrey"/>
    <s v="China"/>
    <x v="2"/>
    <x v="696"/>
    <n v="5333"/>
    <x v="0"/>
  </r>
  <r>
    <s v="Curtice Advani"/>
    <s v="USA"/>
    <x v="3"/>
    <x v="696"/>
    <n v="7292"/>
    <x v="0"/>
  </r>
  <r>
    <s v="Marney O'Breem"/>
    <s v="UK"/>
    <x v="3"/>
    <x v="696"/>
    <n v="5955"/>
    <x v="0"/>
  </r>
  <r>
    <s v="Beverie Moffet"/>
    <s v="Canada"/>
    <x v="4"/>
    <x v="697"/>
    <n v="4421"/>
    <x v="0"/>
  </r>
  <r>
    <s v="Gunar Cockshoot"/>
    <s v="China"/>
    <x v="5"/>
    <x v="697"/>
    <n v="5785"/>
    <x v="0"/>
  </r>
  <r>
    <s v="Van Tuxwell"/>
    <s v="Germany"/>
    <x v="6"/>
    <x v="697"/>
    <n v="7831"/>
    <x v="0"/>
  </r>
  <r>
    <s v="Gunar Cockshoot"/>
    <s v="UK"/>
    <x v="3"/>
    <x v="697"/>
    <n v="12629"/>
    <x v="0"/>
  </r>
  <r>
    <s v="Karlen McCaffrey"/>
    <s v="USA"/>
    <x v="0"/>
    <x v="698"/>
    <n v="13918"/>
    <x v="0"/>
  </r>
  <r>
    <s v="Van Tuxwell"/>
    <s v="UK"/>
    <x v="7"/>
    <x v="698"/>
    <n v="1167"/>
    <x v="0"/>
  </r>
  <r>
    <s v="Roddy Speechley"/>
    <s v="Switzerland"/>
    <x v="6"/>
    <x v="698"/>
    <n v="3878"/>
    <x v="0"/>
  </r>
  <r>
    <s v="Gunar Cockshoot"/>
    <s v="China"/>
    <x v="6"/>
    <x v="698"/>
    <n v="7696"/>
    <x v="0"/>
  </r>
  <r>
    <s v="Jehu Rudeforth"/>
    <s v="UK"/>
    <x v="3"/>
    <x v="698"/>
    <n v="3763"/>
    <x v="0"/>
  </r>
  <r>
    <s v="Marney O'Breem"/>
    <s v="China"/>
    <x v="4"/>
    <x v="699"/>
    <n v="10059"/>
    <x v="0"/>
  </r>
  <r>
    <s v="Beverie Moffet"/>
    <s v="UK"/>
    <x v="4"/>
    <x v="699"/>
    <n v="13304"/>
    <x v="0"/>
  </r>
  <r>
    <s v="Van Tuxwell"/>
    <s v="Germany"/>
    <x v="2"/>
    <x v="699"/>
    <n v="2571"/>
    <x v="0"/>
  </r>
  <r>
    <s v="Oby Sorrel"/>
    <s v="USA"/>
    <x v="6"/>
    <x v="699"/>
    <n v="8532"/>
    <x v="0"/>
  </r>
  <r>
    <s v="Gigi Bohling"/>
    <s v="China"/>
    <x v="6"/>
    <x v="699"/>
    <n v="4675"/>
    <x v="0"/>
  </r>
  <r>
    <s v="Rafaela Blaksland"/>
    <s v="Germany"/>
    <x v="6"/>
    <x v="699"/>
    <n v="8322"/>
    <x v="0"/>
  </r>
  <r>
    <s v="Curtice Advani"/>
    <s v="Switzerland"/>
    <x v="5"/>
    <x v="700"/>
    <n v="1537"/>
    <x v="0"/>
  </r>
  <r>
    <s v="Mallorie Waber"/>
    <s v="China"/>
    <x v="7"/>
    <x v="700"/>
    <n v="13227"/>
    <x v="0"/>
  </r>
  <r>
    <s v="Rafaela Blaksland"/>
    <s v="UK"/>
    <x v="6"/>
    <x v="700"/>
    <n v="5643"/>
    <x v="0"/>
  </r>
  <r>
    <s v="Jehu Rudeforth"/>
    <s v="USA"/>
    <x v="2"/>
    <x v="701"/>
    <n v="1365"/>
    <x v="0"/>
  </r>
  <r>
    <s v="Curtice Advani"/>
    <s v="Switzerland"/>
    <x v="6"/>
    <x v="701"/>
    <n v="3580"/>
    <x v="0"/>
  </r>
  <r>
    <s v="Roddy Speechley"/>
    <s v="Canada"/>
    <x v="5"/>
    <x v="702"/>
    <n v="8041"/>
    <x v="0"/>
  </r>
  <r>
    <s v="Barr Faughny"/>
    <s v="Germany"/>
    <x v="2"/>
    <x v="702"/>
    <n v="3441"/>
    <x v="0"/>
  </r>
  <r>
    <s v="Beverie Moffet"/>
    <s v="China"/>
    <x v="3"/>
    <x v="702"/>
    <n v="4824"/>
    <x v="0"/>
  </r>
  <r>
    <s v="Curtice Advani"/>
    <s v="Switzerland"/>
    <x v="3"/>
    <x v="702"/>
    <n v="2183"/>
    <x v="0"/>
  </r>
  <r>
    <s v="Rafaela Blaksland"/>
    <s v="Switzerland"/>
    <x v="5"/>
    <x v="703"/>
    <n v="7666"/>
    <x v="0"/>
  </r>
  <r>
    <s v="Curtice Advani"/>
    <s v="China"/>
    <x v="1"/>
    <x v="703"/>
    <n v="5375"/>
    <x v="0"/>
  </r>
  <r>
    <s v="Gigi Bohling"/>
    <s v="China"/>
    <x v="3"/>
    <x v="703"/>
    <n v="13849"/>
    <x v="0"/>
  </r>
  <r>
    <s v="Mallorie Waber"/>
    <s v="China"/>
    <x v="0"/>
    <x v="704"/>
    <n v="4211"/>
    <x v="0"/>
  </r>
  <r>
    <s v="Brien Boise"/>
    <s v="Germany"/>
    <x v="0"/>
    <x v="704"/>
    <n v="3087"/>
    <x v="0"/>
  </r>
  <r>
    <s v="Mallorie Waber"/>
    <s v="Germany"/>
    <x v="5"/>
    <x v="704"/>
    <n v="11304"/>
    <x v="0"/>
  </r>
  <r>
    <s v="Rafaela Blaksland"/>
    <s v="China"/>
    <x v="5"/>
    <x v="704"/>
    <n v="1077"/>
    <x v="0"/>
  </r>
  <r>
    <s v="Van Tuxwell"/>
    <s v="Germany"/>
    <x v="7"/>
    <x v="705"/>
    <n v="9909"/>
    <x v="0"/>
  </r>
  <r>
    <s v="Mallorie Waber"/>
    <s v="Canada"/>
    <x v="1"/>
    <x v="706"/>
    <n v="3910"/>
    <x v="0"/>
  </r>
  <r>
    <s v="Van Tuxwell"/>
    <s v="USA"/>
    <x v="3"/>
    <x v="706"/>
    <n v="12732"/>
    <x v="0"/>
  </r>
  <r>
    <s v="Gigi Bohling"/>
    <s v="USA"/>
    <x v="4"/>
    <x v="707"/>
    <n v="4204"/>
    <x v="0"/>
  </r>
  <r>
    <s v="Barr Faughny"/>
    <s v="China"/>
    <x v="7"/>
    <x v="707"/>
    <n v="7900"/>
    <x v="0"/>
  </r>
  <r>
    <s v="Brien Boise"/>
    <s v="Germany"/>
    <x v="2"/>
    <x v="707"/>
    <n v="11864"/>
    <x v="0"/>
  </r>
  <r>
    <s v="Curtice Advani"/>
    <s v="Canada"/>
    <x v="3"/>
    <x v="707"/>
    <n v="6101"/>
    <x v="0"/>
  </r>
  <r>
    <s v="Karlen McCaffrey"/>
    <s v="Canada"/>
    <x v="0"/>
    <x v="708"/>
    <n v="3450"/>
    <x v="0"/>
  </r>
  <r>
    <s v="Brien Boise"/>
    <s v="USA"/>
    <x v="6"/>
    <x v="708"/>
    <n v="4712"/>
    <x v="0"/>
  </r>
  <r>
    <s v="Oby Sorrel"/>
    <s v="China"/>
    <x v="7"/>
    <x v="709"/>
    <n v="6868"/>
    <x v="0"/>
  </r>
  <r>
    <s v="Roddy Speechley"/>
    <s v="China"/>
    <x v="6"/>
    <x v="709"/>
    <n v="4894"/>
    <x v="0"/>
  </r>
  <r>
    <s v="Mallorie Waber"/>
    <s v="China"/>
    <x v="1"/>
    <x v="710"/>
    <n v="7068"/>
    <x v="0"/>
  </r>
  <r>
    <s v="Curtice Advani"/>
    <s v="Germany"/>
    <x v="2"/>
    <x v="710"/>
    <n v="1726"/>
    <x v="0"/>
  </r>
  <r>
    <s v="Mallorie Waber"/>
    <s v="Canada"/>
    <x v="2"/>
    <x v="710"/>
    <n v="11515"/>
    <x v="0"/>
  </r>
  <r>
    <s v="Beverie Moffet"/>
    <s v="USA"/>
    <x v="6"/>
    <x v="710"/>
    <n v="10863"/>
    <x v="0"/>
  </r>
  <r>
    <s v="Gigi Bohling"/>
    <s v="Germany"/>
    <x v="6"/>
    <x v="710"/>
    <n v="2554"/>
    <x v="0"/>
  </r>
  <r>
    <s v="Beverie Moffet"/>
    <s v="USA"/>
    <x v="6"/>
    <x v="710"/>
    <n v="3815"/>
    <x v="0"/>
  </r>
  <r>
    <s v="Mallorie Waber"/>
    <s v="Switzerland"/>
    <x v="4"/>
    <x v="711"/>
    <n v="2063"/>
    <x v="0"/>
  </r>
  <r>
    <s v="Oby Sorrel"/>
    <s v="Switzerland"/>
    <x v="5"/>
    <x v="712"/>
    <n v="7509"/>
    <x v="0"/>
  </r>
  <r>
    <s v="Karlen McCaffrey"/>
    <s v="USA"/>
    <x v="7"/>
    <x v="712"/>
    <n v="9839"/>
    <x v="0"/>
  </r>
  <r>
    <s v="Karlen McCaffrey"/>
    <s v="UK"/>
    <x v="3"/>
    <x v="712"/>
    <n v="10182"/>
    <x v="0"/>
  </r>
  <r>
    <s v="Rafaela Blaksland"/>
    <s v="Canada"/>
    <x v="3"/>
    <x v="712"/>
    <n v="6347"/>
    <x v="0"/>
  </r>
  <r>
    <s v="Rafaela Blaksland"/>
    <s v="USA"/>
    <x v="5"/>
    <x v="713"/>
    <n v="1321"/>
    <x v="0"/>
  </r>
  <r>
    <s v="Barr Faughny"/>
    <s v="Germany"/>
    <x v="1"/>
    <x v="713"/>
    <n v="1294"/>
    <x v="0"/>
  </r>
  <r>
    <s v="Rafaela Blaksland"/>
    <s v="UK"/>
    <x v="1"/>
    <x v="713"/>
    <n v="1506"/>
    <x v="0"/>
  </r>
  <r>
    <s v="Van Tuxwell"/>
    <s v="Switzerland"/>
    <x v="7"/>
    <x v="713"/>
    <n v="3993"/>
    <x v="0"/>
  </r>
  <r>
    <s v="Van Tuxwell"/>
    <s v="USA"/>
    <x v="7"/>
    <x v="713"/>
    <n v="13558"/>
    <x v="0"/>
  </r>
  <r>
    <s v="Oby Sorrel"/>
    <s v="Canada"/>
    <x v="2"/>
    <x v="713"/>
    <n v="7905"/>
    <x v="0"/>
  </r>
  <r>
    <s v="Beverie Moffet"/>
    <s v="China"/>
    <x v="3"/>
    <x v="713"/>
    <n v="12449"/>
    <x v="0"/>
  </r>
  <r>
    <s v="Marney O'Breem"/>
    <s v="Canada"/>
    <x v="4"/>
    <x v="714"/>
    <n v="7540"/>
    <x v="0"/>
  </r>
  <r>
    <s v="Oby Sorrel"/>
    <s v="Canada"/>
    <x v="7"/>
    <x v="714"/>
    <n v="10403"/>
    <x v="0"/>
  </r>
  <r>
    <s v="Brien Boise"/>
    <s v="China"/>
    <x v="4"/>
    <x v="715"/>
    <n v="11357"/>
    <x v="0"/>
  </r>
  <r>
    <s v="Gigi Bohling"/>
    <s v="China"/>
    <x v="5"/>
    <x v="715"/>
    <n v="4880"/>
    <x v="0"/>
  </r>
  <r>
    <s v="Oby Sorrel"/>
    <s v="UK"/>
    <x v="5"/>
    <x v="715"/>
    <n v="4958"/>
    <x v="0"/>
  </r>
  <r>
    <s v="Oby Sorrel"/>
    <s v="UK"/>
    <x v="5"/>
    <x v="715"/>
    <n v="7664"/>
    <x v="0"/>
  </r>
  <r>
    <s v="Gigi Bohling"/>
    <s v="China"/>
    <x v="5"/>
    <x v="715"/>
    <n v="7599"/>
    <x v="0"/>
  </r>
  <r>
    <s v="Van Tuxwell"/>
    <s v="UK"/>
    <x v="1"/>
    <x v="715"/>
    <n v="11021"/>
    <x v="0"/>
  </r>
  <r>
    <s v="Jehu Rudeforth"/>
    <s v="Switzerland"/>
    <x v="1"/>
    <x v="715"/>
    <n v="1153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91B8045-F299-45D4-8C9D-E9E8345F4744}" name="PivotTable1" cacheId="0" applyNumberFormats="0" applyBorderFormats="0" applyFontFormats="0" applyPatternFormats="0" applyAlignmentFormats="0" applyWidthHeightFormats="1" dataCaption="Values" updatedVersion="8" minRefreshableVersion="5" useAutoFormatting="1" itemPrintTitles="1" createdVersion="8" indent="0" outline="1" outlineData="1" multipleFieldFilters="0">
  <location ref="A3:A20" firstHeaderRow="1" firstDataRow="1" firstDataCol="1"/>
  <pivotFields count="9">
    <pivotField showAll="0"/>
    <pivotField showAll="0"/>
    <pivotField axis="axisRow" showAll="0">
      <items count="9">
        <item x="0"/>
        <item x="4"/>
        <item x="5"/>
        <item x="1"/>
        <item x="7"/>
        <item x="2"/>
        <item x="6"/>
        <item x="3"/>
        <item t="default"/>
      </items>
    </pivotField>
    <pivotField numFmtId="14" showAll="0">
      <items count="7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t="default"/>
      </items>
    </pivotField>
    <pivotField numFmtId="6" showAll="0"/>
    <pivotField axis="axisRow" showAll="0">
      <items count="2">
        <item x="0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6">
        <item sd="0" x="0"/>
        <item sd="0" x="1"/>
        <item sd="0" x="2"/>
        <item sd="0" x="3"/>
        <item sd="0" x="4"/>
        <item t="default"/>
      </items>
    </pivotField>
  </pivotFields>
  <rowFields count="2">
    <field x="2"/>
    <field x="5"/>
  </rowFields>
  <rowItems count="17">
    <i>
      <x/>
    </i>
    <i r="1">
      <x/>
    </i>
    <i>
      <x v="1"/>
    </i>
    <i r="1">
      <x/>
    </i>
    <i>
      <x v="2"/>
    </i>
    <i r="1">
      <x/>
    </i>
    <i>
      <x v="3"/>
    </i>
    <i r="1">
      <x/>
    </i>
    <i>
      <x v="4"/>
    </i>
    <i r="1">
      <x/>
    </i>
    <i>
      <x v="5"/>
    </i>
    <i r="1">
      <x/>
    </i>
    <i>
      <x v="6"/>
    </i>
    <i r="1">
      <x/>
    </i>
    <i>
      <x v="7"/>
    </i>
    <i r="1">
      <x/>
    </i>
    <i t="grand">
      <x/>
    </i>
  </rowItems>
  <colItems count="1">
    <i/>
  </colItems>
  <pivotTableStyleInfo name="PivotStyleLight16" showRowHeaders="1" showColHeaders="1" showRowStripes="0" showColStripes="0" showLastColumn="1"/>
  <filters count="1">
    <filter fld="3" type="dateBetween" evalOrder="-1" id="44" name="Date">
      <autoFilter ref="A1">
        <filterColumn colId="0">
          <customFilters and="1">
            <customFilter operator="greaterThanOrEqual" val="44927"/>
            <customFilter operator="lessThanOrEqual" val="45291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5A3B7BA-97A9-4EBF-B1EB-92AB8D5F5349}" name="Table1" displayName="Table1" ref="A1:E2739" totalsRowShown="0" headerRowDxfId="3" headerRowBorderDxfId="2">
  <autoFilter ref="A1:E2739" xr:uid="{45A3B7BA-97A9-4EBF-B1EB-92AB8D5F5349}"/>
  <tableColumns count="5">
    <tableColumn id="1" xr3:uid="{C646A393-6980-4149-9687-32CB58B8061E}" name="Sales Person"/>
    <tableColumn id="2" xr3:uid="{882EEC48-7AC1-4949-B62A-FC85AA0C4513}" name="Country"/>
    <tableColumn id="3" xr3:uid="{0D941C7B-6BB3-4CDC-862E-372F457A215A}" name="Product"/>
    <tableColumn id="4" xr3:uid="{72B8CDD2-23FB-4ABB-BE1F-F9E0C33A9526}" name="Date" dataDxfId="1"/>
    <tableColumn id="5" xr3:uid="{65E4584B-E0B2-44DF-B9A1-19C7D17CC387}" name="Amount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B015BC68-BC7E-4587-8214-2287B7D94CC4}" sourceName="Date">
  <pivotTables>
    <pivotTable tabId="3" name="PivotTable1"/>
  </pivotTables>
  <state minimalRefreshVersion="6" lastRefreshVersion="6" pivotCacheId="118005085" filterType="dateBetween">
    <selection startDate="2023-01-01T00:00:00" endDate="2023-12-31T00:00:00"/>
    <bounds startDate="2023-01-01T00:00:00" endDate="2026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3D1AD37-65CB-4558-B271-22B116AE098E}" cache="NativeTimeline_Date" caption="Date" level="0" selectionLevel="0" scrollPosition="2023-01-01T00:00:00"/>
</timeline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1/relationships/timeline" Target="../timelines/timeline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46425-B1EA-4997-BBD8-0ECC28B3E052}">
  <dimension ref="A1:M2739"/>
  <sheetViews>
    <sheetView topLeftCell="G2715" zoomScaleNormal="100" workbookViewId="0">
      <selection activeCell="A2" sqref="A2"/>
    </sheetView>
  </sheetViews>
  <sheetFormatPr defaultRowHeight="14.4" x14ac:dyDescent="0.3"/>
  <cols>
    <col min="1" max="1" width="26" customWidth="1"/>
    <col min="4" max="4" width="38.88671875" bestFit="1" customWidth="1"/>
    <col min="5" max="5" width="15.44140625" bestFit="1" customWidth="1"/>
    <col min="6" max="6" width="12.33203125" bestFit="1" customWidth="1"/>
    <col min="7" max="7" width="22.77734375" bestFit="1" customWidth="1"/>
    <col min="8" max="8" width="20.21875" bestFit="1" customWidth="1"/>
    <col min="9" max="9" width="20.6640625" bestFit="1" customWidth="1"/>
    <col min="10" max="10" width="24.77734375" bestFit="1" customWidth="1"/>
    <col min="11" max="11" width="35.88671875" bestFit="1" customWidth="1"/>
    <col min="12" max="12" width="37" bestFit="1" customWidth="1"/>
    <col min="13" max="13" width="37.21875" bestFit="1" customWidth="1"/>
  </cols>
  <sheetData>
    <row r="1" spans="1:13" x14ac:dyDescent="0.3">
      <c r="A1" t="s">
        <v>3</v>
      </c>
      <c r="B1" t="s">
        <v>48</v>
      </c>
      <c r="C1" t="s">
        <v>42</v>
      </c>
      <c r="D1" t="s">
        <v>2</v>
      </c>
      <c r="E1" t="s">
        <v>0</v>
      </c>
      <c r="F1" t="s">
        <v>55</v>
      </c>
      <c r="G1" t="s">
        <v>62</v>
      </c>
      <c r="H1" t="s">
        <v>56</v>
      </c>
      <c r="I1" t="s">
        <v>57</v>
      </c>
      <c r="J1" t="s">
        <v>58</v>
      </c>
      <c r="K1" t="s">
        <v>59</v>
      </c>
      <c r="L1" t="s">
        <v>60</v>
      </c>
      <c r="M1" t="s">
        <v>61</v>
      </c>
    </row>
    <row r="2" spans="1:13" x14ac:dyDescent="0.3">
      <c r="A2" s="3">
        <v>44927</v>
      </c>
      <c r="B2">
        <f>YEAR(A2)</f>
        <v>2023</v>
      </c>
      <c r="C2" cm="1">
        <f t="array" ref="C2:C2739">MONTH(A2:A2739)</f>
        <v>1</v>
      </c>
      <c r="D2" t="s">
        <v>14</v>
      </c>
      <c r="E2" t="s">
        <v>24</v>
      </c>
      <c r="F2" s="2">
        <v>5216</v>
      </c>
      <c r="G2" s="2">
        <f>Monthly_Growth!$C$2</f>
        <v>904109</v>
      </c>
      <c r="H2" s="5">
        <f>Monthly_Growth!$D$2</f>
        <v>0.16733031206827542</v>
      </c>
      <c r="I2" s="15">
        <f>Yearly_Growth!$C$2</f>
        <v>5.0333827436586778E-2</v>
      </c>
      <c r="J2" s="15">
        <f>Yearly_Growth!$D$2</f>
        <v>0.03</v>
      </c>
      <c r="K2">
        <f>Sales_Per_Representative!$C$2</f>
        <v>631195</v>
      </c>
      <c r="L2">
        <f>Sales_Per_Rep_Yearly_Goal!$B$2</f>
        <v>665544.80000000005</v>
      </c>
      <c r="M2">
        <f>Sales_Per_Rep_Yearly_Goal!$C$2</f>
        <v>650000</v>
      </c>
    </row>
    <row r="3" spans="1:13" x14ac:dyDescent="0.3">
      <c r="A3" s="3">
        <v>44927</v>
      </c>
      <c r="B3">
        <f t="shared" ref="B3:B66" si="0">YEAR(A3)</f>
        <v>2023</v>
      </c>
      <c r="C3">
        <v>1</v>
      </c>
      <c r="D3" t="s">
        <v>14</v>
      </c>
      <c r="E3" t="s">
        <v>32</v>
      </c>
      <c r="F3" s="2">
        <v>7972</v>
      </c>
      <c r="G3" s="2">
        <f>Monthly_Growth!$C$2</f>
        <v>904109</v>
      </c>
      <c r="H3" s="5">
        <f>Monthly_Growth!$D$2</f>
        <v>0.16733031206827542</v>
      </c>
      <c r="I3" s="15">
        <f>Yearly_Growth!$C$2</f>
        <v>5.0333827436586778E-2</v>
      </c>
      <c r="J3" s="15">
        <f>Yearly_Growth!$D$2</f>
        <v>0.03</v>
      </c>
      <c r="K3">
        <f>Sales_Per_Representative!$C$3</f>
        <v>762157</v>
      </c>
      <c r="L3">
        <f>Sales_Per_Rep_Yearly_Goal!$B$2</f>
        <v>665544.80000000005</v>
      </c>
      <c r="M3">
        <f>Sales_Per_Rep_Yearly_Goal!$C$2</f>
        <v>650000</v>
      </c>
    </row>
    <row r="4" spans="1:13" x14ac:dyDescent="0.3">
      <c r="A4" s="3">
        <v>44927</v>
      </c>
      <c r="B4">
        <f t="shared" si="0"/>
        <v>2023</v>
      </c>
      <c r="C4">
        <v>1</v>
      </c>
      <c r="D4" t="s">
        <v>25</v>
      </c>
      <c r="E4" t="s">
        <v>24</v>
      </c>
      <c r="F4" s="2">
        <v>7297</v>
      </c>
      <c r="G4" s="2">
        <f>Monthly_Growth!$C$2</f>
        <v>904109</v>
      </c>
      <c r="H4" s="5">
        <f>Monthly_Growth!$D$2</f>
        <v>0.16733031206827542</v>
      </c>
      <c r="I4" s="15">
        <f>Yearly_Growth!$C$2</f>
        <v>5.0333827436586778E-2</v>
      </c>
      <c r="J4" s="15">
        <f>Yearly_Growth!$D$2</f>
        <v>0.03</v>
      </c>
      <c r="K4">
        <f>Sales_Per_Representative!$C$2</f>
        <v>631195</v>
      </c>
      <c r="L4">
        <f>Sales_Per_Rep_Yearly_Goal!$B$2</f>
        <v>665544.80000000005</v>
      </c>
      <c r="M4">
        <f>Sales_Per_Rep_Yearly_Goal!$C$2</f>
        <v>650000</v>
      </c>
    </row>
    <row r="5" spans="1:13" x14ac:dyDescent="0.3">
      <c r="A5" s="3">
        <v>44927</v>
      </c>
      <c r="B5">
        <f t="shared" si="0"/>
        <v>2023</v>
      </c>
      <c r="C5">
        <v>1</v>
      </c>
      <c r="D5" t="s">
        <v>25</v>
      </c>
      <c r="E5" t="s">
        <v>10</v>
      </c>
      <c r="F5" s="2">
        <v>13823</v>
      </c>
      <c r="G5" s="2">
        <f>Monthly_Growth!$C$2</f>
        <v>904109</v>
      </c>
      <c r="H5" s="5">
        <f>Monthly_Growth!$D$2</f>
        <v>0.16733031206827542</v>
      </c>
      <c r="I5" s="15">
        <f>Yearly_Growth!$C$2</f>
        <v>5.0333827436586778E-2</v>
      </c>
      <c r="J5" s="15">
        <f>Yearly_Growth!$D$2</f>
        <v>0.03</v>
      </c>
      <c r="K5">
        <f>Sales_Per_Representative!$C$4</f>
        <v>725713</v>
      </c>
      <c r="L5">
        <f>Sales_Per_Rep_Yearly_Goal!$B$2</f>
        <v>665544.80000000005</v>
      </c>
      <c r="M5">
        <f>Sales_Per_Rep_Yearly_Goal!$C$2</f>
        <v>650000</v>
      </c>
    </row>
    <row r="6" spans="1:13" x14ac:dyDescent="0.3">
      <c r="A6" s="3">
        <v>44928</v>
      </c>
      <c r="B6">
        <f t="shared" si="0"/>
        <v>2023</v>
      </c>
      <c r="C6">
        <v>1</v>
      </c>
      <c r="D6" t="s">
        <v>28</v>
      </c>
      <c r="E6" t="s">
        <v>27</v>
      </c>
      <c r="F6" s="2">
        <v>12694</v>
      </c>
      <c r="G6" s="2">
        <f>Monthly_Growth!$C$2</f>
        <v>904109</v>
      </c>
      <c r="H6" s="5">
        <f>Monthly_Growth!$D$2</f>
        <v>0.16733031206827542</v>
      </c>
      <c r="I6" s="15">
        <f>Yearly_Growth!$C$2</f>
        <v>5.0333827436586778E-2</v>
      </c>
      <c r="J6" s="15">
        <f>Yearly_Growth!$D$2</f>
        <v>0.03</v>
      </c>
      <c r="K6">
        <f>Sales_Per_Representative!$C$5</f>
        <v>747962</v>
      </c>
      <c r="L6">
        <f>Sales_Per_Rep_Yearly_Goal!$B$2</f>
        <v>665544.80000000005</v>
      </c>
      <c r="M6">
        <f>Sales_Per_Rep_Yearly_Goal!$C$2</f>
        <v>650000</v>
      </c>
    </row>
    <row r="7" spans="1:13" x14ac:dyDescent="0.3">
      <c r="A7" s="3">
        <v>44929</v>
      </c>
      <c r="B7">
        <f t="shared" si="0"/>
        <v>2023</v>
      </c>
      <c r="C7">
        <v>1</v>
      </c>
      <c r="D7" t="s">
        <v>28</v>
      </c>
      <c r="E7" t="s">
        <v>31</v>
      </c>
      <c r="F7" s="2">
        <v>6224</v>
      </c>
      <c r="G7" s="2">
        <f>Monthly_Growth!$C$2</f>
        <v>904109</v>
      </c>
      <c r="H7" s="5">
        <f>Monthly_Growth!$D$2</f>
        <v>0.16733031206827542</v>
      </c>
      <c r="I7" s="15">
        <f>Yearly_Growth!$C$2</f>
        <v>5.0333827436586778E-2</v>
      </c>
      <c r="J7" s="15">
        <f>Yearly_Growth!$D$2</f>
        <v>0.03</v>
      </c>
      <c r="K7">
        <f>Sales_Per_Representative!$C$6</f>
        <v>727823</v>
      </c>
      <c r="L7">
        <f>Sales_Per_Rep_Yearly_Goal!$B$2</f>
        <v>665544.80000000005</v>
      </c>
      <c r="M7">
        <f>Sales_Per_Rep_Yearly_Goal!$C$2</f>
        <v>650000</v>
      </c>
    </row>
    <row r="8" spans="1:13" x14ac:dyDescent="0.3">
      <c r="A8" s="3">
        <v>44929</v>
      </c>
      <c r="B8">
        <f t="shared" si="0"/>
        <v>2023</v>
      </c>
      <c r="C8">
        <v>1</v>
      </c>
      <c r="D8" t="s">
        <v>12</v>
      </c>
      <c r="E8" t="s">
        <v>30</v>
      </c>
      <c r="F8" s="2">
        <v>2218</v>
      </c>
      <c r="G8" s="2">
        <f>Monthly_Growth!$C$2</f>
        <v>904109</v>
      </c>
      <c r="H8" s="5">
        <f>Monthly_Growth!$D$2</f>
        <v>0.16733031206827542</v>
      </c>
      <c r="I8" s="15">
        <f>Yearly_Growth!$C$2</f>
        <v>5.0333827436586778E-2</v>
      </c>
      <c r="J8" s="15">
        <f>Yearly_Growth!$D$2</f>
        <v>0.03</v>
      </c>
      <c r="K8">
        <f>Sales_Per_Representative!$C$7</f>
        <v>706974</v>
      </c>
      <c r="L8">
        <f>Sales_Per_Rep_Yearly_Goal!$B$2</f>
        <v>665544.80000000005</v>
      </c>
      <c r="M8">
        <f>Sales_Per_Rep_Yearly_Goal!$C$2</f>
        <v>650000</v>
      </c>
    </row>
    <row r="9" spans="1:13" x14ac:dyDescent="0.3">
      <c r="A9" s="3">
        <v>44930</v>
      </c>
      <c r="B9">
        <f t="shared" si="0"/>
        <v>2023</v>
      </c>
      <c r="C9">
        <v>1</v>
      </c>
      <c r="D9" t="s">
        <v>14</v>
      </c>
      <c r="E9" t="s">
        <v>22</v>
      </c>
      <c r="F9" s="2">
        <v>6455</v>
      </c>
      <c r="G9" s="2">
        <f>Monthly_Growth!$C$2</f>
        <v>904109</v>
      </c>
      <c r="H9" s="5">
        <f>Monthly_Growth!$D$2</f>
        <v>0.16733031206827542</v>
      </c>
      <c r="I9" s="15">
        <f>Yearly_Growth!$C$2</f>
        <v>5.0333827436586778E-2</v>
      </c>
      <c r="J9" s="15">
        <f>Yearly_Growth!$D$2</f>
        <v>0.03</v>
      </c>
      <c r="K9">
        <f>Sales_Per_Representative!$C$8</f>
        <v>649456</v>
      </c>
      <c r="L9">
        <f>Sales_Per_Rep_Yearly_Goal!$B$2</f>
        <v>665544.80000000005</v>
      </c>
      <c r="M9">
        <f>Sales_Per_Rep_Yearly_Goal!$C$2</f>
        <v>650000</v>
      </c>
    </row>
    <row r="10" spans="1:13" x14ac:dyDescent="0.3">
      <c r="A10" s="3">
        <v>44930</v>
      </c>
      <c r="B10">
        <f t="shared" si="0"/>
        <v>2023</v>
      </c>
      <c r="C10">
        <v>1</v>
      </c>
      <c r="D10" t="s">
        <v>19</v>
      </c>
      <c r="E10" t="s">
        <v>22</v>
      </c>
      <c r="F10" s="2">
        <v>12070</v>
      </c>
      <c r="G10" s="2">
        <f>Monthly_Growth!$C$2</f>
        <v>904109</v>
      </c>
      <c r="H10" s="5">
        <f>Monthly_Growth!$D$2</f>
        <v>0.16733031206827542</v>
      </c>
      <c r="I10" s="15">
        <f>Yearly_Growth!$C$2</f>
        <v>5.0333827436586778E-2</v>
      </c>
      <c r="J10" s="15">
        <f>Yearly_Growth!$D$2</f>
        <v>0.03</v>
      </c>
      <c r="K10">
        <f>Sales_Per_Representative!$C$8</f>
        <v>649456</v>
      </c>
      <c r="L10">
        <f>Sales_Per_Rep_Yearly_Goal!$B$2</f>
        <v>665544.80000000005</v>
      </c>
      <c r="M10">
        <f>Sales_Per_Rep_Yearly_Goal!$C$2</f>
        <v>650000</v>
      </c>
    </row>
    <row r="11" spans="1:13" x14ac:dyDescent="0.3">
      <c r="A11" s="3">
        <v>44930</v>
      </c>
      <c r="B11">
        <f t="shared" si="0"/>
        <v>2023</v>
      </c>
      <c r="C11">
        <v>1</v>
      </c>
      <c r="D11" t="s">
        <v>19</v>
      </c>
      <c r="E11" t="s">
        <v>18</v>
      </c>
      <c r="F11" s="2">
        <v>5435</v>
      </c>
      <c r="G11" s="2">
        <f>Monthly_Growth!$C$2</f>
        <v>904109</v>
      </c>
      <c r="H11" s="5">
        <f>Monthly_Growth!$D$2</f>
        <v>0.16733031206827542</v>
      </c>
      <c r="I11" s="15">
        <f>Yearly_Growth!$C$2</f>
        <v>5.0333827436586778E-2</v>
      </c>
      <c r="J11" s="15">
        <f>Yearly_Growth!$D$2</f>
        <v>0.03</v>
      </c>
      <c r="K11">
        <f>Sales_Per_Representative!$C$9</f>
        <v>550835</v>
      </c>
      <c r="L11">
        <f>Sales_Per_Rep_Yearly_Goal!$B$2</f>
        <v>665544.80000000005</v>
      </c>
      <c r="M11">
        <f>Sales_Per_Rep_Yearly_Goal!$C$2</f>
        <v>650000</v>
      </c>
    </row>
    <row r="12" spans="1:13" x14ac:dyDescent="0.3">
      <c r="A12" s="3">
        <v>44930</v>
      </c>
      <c r="B12">
        <f t="shared" si="0"/>
        <v>2023</v>
      </c>
      <c r="C12">
        <v>1</v>
      </c>
      <c r="D12" t="s">
        <v>23</v>
      </c>
      <c r="E12" t="s">
        <v>5</v>
      </c>
      <c r="F12" s="2">
        <v>4786</v>
      </c>
      <c r="G12" s="2">
        <f>Monthly_Growth!$C$2</f>
        <v>904109</v>
      </c>
      <c r="H12" s="5">
        <f>Monthly_Growth!$D$2</f>
        <v>0.16733031206827542</v>
      </c>
      <c r="I12" s="15">
        <f>Yearly_Growth!$C$2</f>
        <v>5.0333827436586778E-2</v>
      </c>
      <c r="J12" s="15">
        <f>Yearly_Growth!$D$2</f>
        <v>0.03</v>
      </c>
      <c r="K12">
        <f>Sales_Per_Representative!$C$10</f>
        <v>663333</v>
      </c>
      <c r="L12">
        <f>Sales_Per_Rep_Yearly_Goal!$B$2</f>
        <v>665544.80000000005</v>
      </c>
      <c r="M12">
        <f>Sales_Per_Rep_Yearly_Goal!$C$2</f>
        <v>650000</v>
      </c>
    </row>
    <row r="13" spans="1:13" x14ac:dyDescent="0.3">
      <c r="A13" s="3">
        <v>44930</v>
      </c>
      <c r="B13">
        <f t="shared" si="0"/>
        <v>2023</v>
      </c>
      <c r="C13">
        <v>1</v>
      </c>
      <c r="D13" t="s">
        <v>25</v>
      </c>
      <c r="E13" t="s">
        <v>24</v>
      </c>
      <c r="F13" s="2">
        <v>7816</v>
      </c>
      <c r="G13" s="2">
        <f>Monthly_Growth!$C$2</f>
        <v>904109</v>
      </c>
      <c r="H13" s="5">
        <f>Monthly_Growth!$D$2</f>
        <v>0.16733031206827542</v>
      </c>
      <c r="I13" s="15">
        <f>Yearly_Growth!$C$2</f>
        <v>5.0333827436586778E-2</v>
      </c>
      <c r="J13" s="15">
        <f>Yearly_Growth!$D$2</f>
        <v>0.03</v>
      </c>
      <c r="K13">
        <f>Sales_Per_Representative!$C$2</f>
        <v>631195</v>
      </c>
      <c r="L13">
        <f>Sales_Per_Rep_Yearly_Goal!$B$2</f>
        <v>665544.80000000005</v>
      </c>
      <c r="M13">
        <f>Sales_Per_Rep_Yearly_Goal!$C$2</f>
        <v>650000</v>
      </c>
    </row>
    <row r="14" spans="1:13" x14ac:dyDescent="0.3">
      <c r="A14" s="3">
        <v>44930</v>
      </c>
      <c r="B14">
        <f t="shared" si="0"/>
        <v>2023</v>
      </c>
      <c r="C14">
        <v>1</v>
      </c>
      <c r="D14" t="s">
        <v>17</v>
      </c>
      <c r="E14" t="s">
        <v>10</v>
      </c>
      <c r="F14" s="2">
        <v>1519</v>
      </c>
      <c r="G14" s="2">
        <f>Monthly_Growth!$C$2</f>
        <v>904109</v>
      </c>
      <c r="H14" s="5">
        <f>Monthly_Growth!$D$2</f>
        <v>0.16733031206827542</v>
      </c>
      <c r="I14" s="15">
        <f>Yearly_Growth!$C$2</f>
        <v>5.0333827436586778E-2</v>
      </c>
      <c r="J14" s="15">
        <f>Yearly_Growth!$D$2</f>
        <v>0.03</v>
      </c>
      <c r="K14">
        <f>Sales_Per_Representative!$C$4</f>
        <v>725713</v>
      </c>
      <c r="L14">
        <f>Sales_Per_Rep_Yearly_Goal!$B$2</f>
        <v>665544.80000000005</v>
      </c>
      <c r="M14">
        <f>Sales_Per_Rep_Yearly_Goal!$C$2</f>
        <v>650000</v>
      </c>
    </row>
    <row r="15" spans="1:13" x14ac:dyDescent="0.3">
      <c r="A15" s="3">
        <v>44931</v>
      </c>
      <c r="B15">
        <f t="shared" si="0"/>
        <v>2023</v>
      </c>
      <c r="C15">
        <v>1</v>
      </c>
      <c r="D15" t="s">
        <v>14</v>
      </c>
      <c r="E15" t="s">
        <v>33</v>
      </c>
      <c r="F15" s="2">
        <v>10472</v>
      </c>
      <c r="G15" s="2">
        <f>Monthly_Growth!$C$2</f>
        <v>904109</v>
      </c>
      <c r="H15" s="5">
        <f>Monthly_Growth!$D$2</f>
        <v>0.16733031206827542</v>
      </c>
      <c r="I15" s="15">
        <f>Yearly_Growth!$C$2</f>
        <v>5.0333827436586778E-2</v>
      </c>
      <c r="J15" s="15">
        <f>Yearly_Growth!$D$2</f>
        <v>0.03</v>
      </c>
      <c r="K15">
        <f>Sales_Per_Representative!$C$11</f>
        <v>496886</v>
      </c>
      <c r="L15">
        <f>Sales_Per_Rep_Yearly_Goal!$B$2</f>
        <v>665544.80000000005</v>
      </c>
      <c r="M15">
        <f>Sales_Per_Rep_Yearly_Goal!$C$2</f>
        <v>650000</v>
      </c>
    </row>
    <row r="16" spans="1:13" x14ac:dyDescent="0.3">
      <c r="A16" s="3">
        <v>44931</v>
      </c>
      <c r="B16">
        <f t="shared" si="0"/>
        <v>2023</v>
      </c>
      <c r="C16">
        <v>1</v>
      </c>
      <c r="D16" t="s">
        <v>14</v>
      </c>
      <c r="E16" t="s">
        <v>32</v>
      </c>
      <c r="F16" s="2">
        <v>9682</v>
      </c>
      <c r="G16" s="2">
        <f>Monthly_Growth!$C$2</f>
        <v>904109</v>
      </c>
      <c r="H16" s="5">
        <f>Monthly_Growth!$D$2</f>
        <v>0.16733031206827542</v>
      </c>
      <c r="I16" s="15">
        <f>Yearly_Growth!$C$2</f>
        <v>5.0333827436586778E-2</v>
      </c>
      <c r="J16" s="15">
        <f>Yearly_Growth!$D$2</f>
        <v>0.03</v>
      </c>
      <c r="K16">
        <f>Sales_Per_Representative!$C$3</f>
        <v>762157</v>
      </c>
      <c r="L16">
        <f>Sales_Per_Rep_Yearly_Goal!$B$2</f>
        <v>665544.80000000005</v>
      </c>
      <c r="M16">
        <f>Sales_Per_Rep_Yearly_Goal!$C$2</f>
        <v>650000</v>
      </c>
    </row>
    <row r="17" spans="1:13" x14ac:dyDescent="0.3">
      <c r="A17" s="3">
        <v>44931</v>
      </c>
      <c r="B17">
        <f t="shared" si="0"/>
        <v>2023</v>
      </c>
      <c r="C17">
        <v>1</v>
      </c>
      <c r="D17" t="s">
        <v>19</v>
      </c>
      <c r="E17" t="s">
        <v>15</v>
      </c>
      <c r="F17" s="2">
        <v>12833</v>
      </c>
      <c r="G17" s="2">
        <f>Monthly_Growth!$C$2</f>
        <v>904109</v>
      </c>
      <c r="H17" s="5">
        <f>Monthly_Growth!$D$2</f>
        <v>0.16733031206827542</v>
      </c>
      <c r="I17" s="15">
        <f>Yearly_Growth!$C$2</f>
        <v>5.0333827436586778E-2</v>
      </c>
      <c r="J17" s="15">
        <f>Yearly_Growth!$D$2</f>
        <v>0.03</v>
      </c>
      <c r="K17">
        <f>Sales_Per_Representative!$C$12</f>
        <v>656359</v>
      </c>
      <c r="L17">
        <f>Sales_Per_Rep_Yearly_Goal!$B$2</f>
        <v>665544.80000000005</v>
      </c>
      <c r="M17">
        <f>Sales_Per_Rep_Yearly_Goal!$C$2</f>
        <v>650000</v>
      </c>
    </row>
    <row r="18" spans="1:13" x14ac:dyDescent="0.3">
      <c r="A18" s="3">
        <v>44931</v>
      </c>
      <c r="B18">
        <f t="shared" si="0"/>
        <v>2023</v>
      </c>
      <c r="C18">
        <v>1</v>
      </c>
      <c r="D18" t="s">
        <v>25</v>
      </c>
      <c r="E18" t="s">
        <v>15</v>
      </c>
      <c r="F18" s="2">
        <v>5795</v>
      </c>
      <c r="G18" s="2">
        <f>Monthly_Growth!$C$2</f>
        <v>904109</v>
      </c>
      <c r="H18" s="5">
        <f>Monthly_Growth!$D$2</f>
        <v>0.16733031206827542</v>
      </c>
      <c r="I18" s="15">
        <f>Yearly_Growth!$C$2</f>
        <v>5.0333827436586778E-2</v>
      </c>
      <c r="J18" s="15">
        <f>Yearly_Growth!$D$2</f>
        <v>0.03</v>
      </c>
      <c r="K18">
        <f>Sales_Per_Representative!$C$12</f>
        <v>656359</v>
      </c>
      <c r="L18">
        <f>Sales_Per_Rep_Yearly_Goal!$B$2</f>
        <v>665544.80000000005</v>
      </c>
      <c r="M18">
        <f>Sales_Per_Rep_Yearly_Goal!$C$2</f>
        <v>650000</v>
      </c>
    </row>
    <row r="19" spans="1:13" x14ac:dyDescent="0.3">
      <c r="A19" s="3">
        <v>44931</v>
      </c>
      <c r="B19">
        <f t="shared" si="0"/>
        <v>2023</v>
      </c>
      <c r="C19">
        <v>1</v>
      </c>
      <c r="D19" t="s">
        <v>25</v>
      </c>
      <c r="E19" t="s">
        <v>29</v>
      </c>
      <c r="F19" s="2">
        <v>2010</v>
      </c>
      <c r="G19" s="2">
        <f>Monthly_Growth!$C$2</f>
        <v>904109</v>
      </c>
      <c r="H19" s="5">
        <f>Monthly_Growth!$D$2</f>
        <v>0.16733031206827542</v>
      </c>
      <c r="I19" s="15">
        <f>Yearly_Growth!$C$2</f>
        <v>5.0333827436586778E-2</v>
      </c>
      <c r="J19" s="15">
        <f>Yearly_Growth!$D$2</f>
        <v>0.03</v>
      </c>
      <c r="K19">
        <f>Sales_Per_Representative!$C$13</f>
        <v>621548</v>
      </c>
      <c r="L19">
        <f>Sales_Per_Rep_Yearly_Goal!$B$2</f>
        <v>665544.80000000005</v>
      </c>
      <c r="M19">
        <f>Sales_Per_Rep_Yearly_Goal!$C$2</f>
        <v>650000</v>
      </c>
    </row>
    <row r="20" spans="1:13" x14ac:dyDescent="0.3">
      <c r="A20" s="3">
        <v>44931</v>
      </c>
      <c r="B20">
        <f t="shared" si="0"/>
        <v>2023</v>
      </c>
      <c r="C20">
        <v>1</v>
      </c>
      <c r="D20" t="s">
        <v>7</v>
      </c>
      <c r="E20" t="s">
        <v>22</v>
      </c>
      <c r="F20" s="2">
        <v>2597</v>
      </c>
      <c r="G20" s="2">
        <f>Monthly_Growth!$C$2</f>
        <v>904109</v>
      </c>
      <c r="H20" s="5">
        <f>Monthly_Growth!$D$2</f>
        <v>0.16733031206827542</v>
      </c>
      <c r="I20" s="15">
        <f>Yearly_Growth!$C$2</f>
        <v>5.0333827436586778E-2</v>
      </c>
      <c r="J20" s="15">
        <f>Yearly_Growth!$D$2</f>
        <v>0.03</v>
      </c>
      <c r="K20">
        <f>Sales_Per_Representative!$C$8</f>
        <v>649456</v>
      </c>
      <c r="L20">
        <f>Sales_Per_Rep_Yearly_Goal!$B$2</f>
        <v>665544.80000000005</v>
      </c>
      <c r="M20">
        <f>Sales_Per_Rep_Yearly_Goal!$C$2</f>
        <v>650000</v>
      </c>
    </row>
    <row r="21" spans="1:13" x14ac:dyDescent="0.3">
      <c r="A21" s="3">
        <v>44932</v>
      </c>
      <c r="B21">
        <f t="shared" si="0"/>
        <v>2023</v>
      </c>
      <c r="C21">
        <v>1</v>
      </c>
      <c r="D21" t="s">
        <v>14</v>
      </c>
      <c r="E21" t="s">
        <v>24</v>
      </c>
      <c r="F21" s="2">
        <v>2600</v>
      </c>
      <c r="G21" s="2">
        <f>Monthly_Growth!$C$2</f>
        <v>904109</v>
      </c>
      <c r="H21" s="5">
        <f>Monthly_Growth!$D$2</f>
        <v>0.16733031206827542</v>
      </c>
      <c r="I21" s="15">
        <f>Yearly_Growth!$C$2</f>
        <v>5.0333827436586778E-2</v>
      </c>
      <c r="J21" s="15">
        <f>Yearly_Growth!$D$2</f>
        <v>0.03</v>
      </c>
      <c r="K21">
        <f>Sales_Per_Representative!$C$2</f>
        <v>631195</v>
      </c>
      <c r="L21">
        <f>Sales_Per_Rep_Yearly_Goal!$B$2</f>
        <v>665544.80000000005</v>
      </c>
      <c r="M21">
        <f>Sales_Per_Rep_Yearly_Goal!$C$2</f>
        <v>650000</v>
      </c>
    </row>
    <row r="22" spans="1:13" x14ac:dyDescent="0.3">
      <c r="A22" s="3">
        <v>44932</v>
      </c>
      <c r="B22">
        <f t="shared" si="0"/>
        <v>2023</v>
      </c>
      <c r="C22">
        <v>1</v>
      </c>
      <c r="D22" t="s">
        <v>14</v>
      </c>
      <c r="E22" t="s">
        <v>15</v>
      </c>
      <c r="F22" s="2">
        <v>11100</v>
      </c>
      <c r="G22" s="2">
        <f>Monthly_Growth!$C$2</f>
        <v>904109</v>
      </c>
      <c r="H22" s="5">
        <f>Monthly_Growth!$D$2</f>
        <v>0.16733031206827542</v>
      </c>
      <c r="I22" s="15">
        <f>Yearly_Growth!$C$2</f>
        <v>5.0333827436586778E-2</v>
      </c>
      <c r="J22" s="15">
        <f>Yearly_Growth!$D$2</f>
        <v>0.03</v>
      </c>
      <c r="K22">
        <f>Sales_Per_Representative!$C$12</f>
        <v>656359</v>
      </c>
      <c r="L22">
        <f>Sales_Per_Rep_Yearly_Goal!$B$2</f>
        <v>665544.80000000005</v>
      </c>
      <c r="M22">
        <f>Sales_Per_Rep_Yearly_Goal!$C$2</f>
        <v>650000</v>
      </c>
    </row>
    <row r="23" spans="1:13" x14ac:dyDescent="0.3">
      <c r="A23" s="3">
        <v>44932</v>
      </c>
      <c r="B23">
        <f t="shared" si="0"/>
        <v>2023</v>
      </c>
      <c r="C23">
        <v>1</v>
      </c>
      <c r="D23" t="s">
        <v>14</v>
      </c>
      <c r="E23" t="s">
        <v>20</v>
      </c>
      <c r="F23" s="2">
        <v>6777</v>
      </c>
      <c r="G23" s="2">
        <f>Monthly_Growth!$C$2</f>
        <v>904109</v>
      </c>
      <c r="H23" s="5">
        <f>Monthly_Growth!$D$2</f>
        <v>0.16733031206827542</v>
      </c>
      <c r="I23" s="15">
        <f>Yearly_Growth!$C$2</f>
        <v>5.0333827436586778E-2</v>
      </c>
      <c r="J23" s="15">
        <f>Yearly_Growth!$D$2</f>
        <v>0.03</v>
      </c>
      <c r="K23">
        <f>Sales_Per_Representative!$C$14</f>
        <v>675530</v>
      </c>
      <c r="L23">
        <f>Sales_Per_Rep_Yearly_Goal!$B$2</f>
        <v>665544.80000000005</v>
      </c>
      <c r="M23">
        <f>Sales_Per_Rep_Yearly_Goal!$C$2</f>
        <v>650000</v>
      </c>
    </row>
    <row r="24" spans="1:13" x14ac:dyDescent="0.3">
      <c r="A24" s="3">
        <v>44932</v>
      </c>
      <c r="B24">
        <f t="shared" si="0"/>
        <v>2023</v>
      </c>
      <c r="C24">
        <v>1</v>
      </c>
      <c r="D24" t="s">
        <v>19</v>
      </c>
      <c r="E24" t="s">
        <v>29</v>
      </c>
      <c r="F24" s="2">
        <v>4350</v>
      </c>
      <c r="G24" s="2">
        <f>Monthly_Growth!$C$2</f>
        <v>904109</v>
      </c>
      <c r="H24" s="5">
        <f>Monthly_Growth!$D$2</f>
        <v>0.16733031206827542</v>
      </c>
      <c r="I24" s="15">
        <f>Yearly_Growth!$C$2</f>
        <v>5.0333827436586778E-2</v>
      </c>
      <c r="J24" s="15">
        <f>Yearly_Growth!$D$2</f>
        <v>0.03</v>
      </c>
      <c r="K24">
        <f>Sales_Per_Representative!$C$13</f>
        <v>621548</v>
      </c>
      <c r="L24">
        <f>Sales_Per_Rep_Yearly_Goal!$B$2</f>
        <v>665544.80000000005</v>
      </c>
      <c r="M24">
        <f>Sales_Per_Rep_Yearly_Goal!$C$2</f>
        <v>650000</v>
      </c>
    </row>
    <row r="25" spans="1:13" x14ac:dyDescent="0.3">
      <c r="A25" s="3">
        <v>44932</v>
      </c>
      <c r="B25">
        <f t="shared" si="0"/>
        <v>2023</v>
      </c>
      <c r="C25">
        <v>1</v>
      </c>
      <c r="D25" t="s">
        <v>25</v>
      </c>
      <c r="E25" t="s">
        <v>24</v>
      </c>
      <c r="F25" s="2">
        <v>2161</v>
      </c>
      <c r="G25" s="2">
        <f>Monthly_Growth!$C$2</f>
        <v>904109</v>
      </c>
      <c r="H25" s="5">
        <f>Monthly_Growth!$D$2</f>
        <v>0.16733031206827542</v>
      </c>
      <c r="I25" s="15">
        <f>Yearly_Growth!$C$2</f>
        <v>5.0333827436586778E-2</v>
      </c>
      <c r="J25" s="15">
        <f>Yearly_Growth!$D$2</f>
        <v>0.03</v>
      </c>
      <c r="K25">
        <f>Sales_Per_Representative!$C$2</f>
        <v>631195</v>
      </c>
      <c r="L25">
        <f>Sales_Per_Rep_Yearly_Goal!$B$2</f>
        <v>665544.80000000005</v>
      </c>
      <c r="M25">
        <f>Sales_Per_Rep_Yearly_Goal!$C$2</f>
        <v>650000</v>
      </c>
    </row>
    <row r="26" spans="1:13" x14ac:dyDescent="0.3">
      <c r="A26" s="3">
        <v>44932</v>
      </c>
      <c r="B26">
        <f t="shared" si="0"/>
        <v>2023</v>
      </c>
      <c r="C26">
        <v>1</v>
      </c>
      <c r="D26" t="s">
        <v>28</v>
      </c>
      <c r="E26" t="s">
        <v>10</v>
      </c>
      <c r="F26" s="2">
        <v>11470</v>
      </c>
      <c r="G26" s="2">
        <f>Monthly_Growth!$C$2</f>
        <v>904109</v>
      </c>
      <c r="H26" s="5">
        <f>Monthly_Growth!$D$2</f>
        <v>0.16733031206827542</v>
      </c>
      <c r="I26" s="15">
        <f>Yearly_Growth!$C$2</f>
        <v>5.0333827436586778E-2</v>
      </c>
      <c r="J26" s="15">
        <f>Yearly_Growth!$D$2</f>
        <v>0.03</v>
      </c>
      <c r="K26">
        <f>Sales_Per_Representative!$C$4</f>
        <v>725713</v>
      </c>
      <c r="L26">
        <f>Sales_Per_Rep_Yearly_Goal!$B$2</f>
        <v>665544.80000000005</v>
      </c>
      <c r="M26">
        <f>Sales_Per_Rep_Yearly_Goal!$C$2</f>
        <v>650000</v>
      </c>
    </row>
    <row r="27" spans="1:13" x14ac:dyDescent="0.3">
      <c r="A27" s="3">
        <v>44933</v>
      </c>
      <c r="B27">
        <f t="shared" si="0"/>
        <v>2023</v>
      </c>
      <c r="C27">
        <v>1</v>
      </c>
      <c r="D27" t="s">
        <v>19</v>
      </c>
      <c r="E27" t="s">
        <v>24</v>
      </c>
      <c r="F27" s="2">
        <v>7805</v>
      </c>
      <c r="G27" s="2">
        <f>Monthly_Growth!$C$2</f>
        <v>904109</v>
      </c>
      <c r="H27" s="5">
        <f>Monthly_Growth!$D$2</f>
        <v>0.16733031206827542</v>
      </c>
      <c r="I27" s="15">
        <f>Yearly_Growth!$C$2</f>
        <v>5.0333827436586778E-2</v>
      </c>
      <c r="J27" s="15">
        <f>Yearly_Growth!$D$2</f>
        <v>0.03</v>
      </c>
      <c r="K27">
        <f>Sales_Per_Representative!$C$2</f>
        <v>631195</v>
      </c>
      <c r="L27">
        <f>Sales_Per_Rep_Yearly_Goal!$B$2</f>
        <v>665544.80000000005</v>
      </c>
      <c r="M27">
        <f>Sales_Per_Rep_Yearly_Goal!$C$2</f>
        <v>650000</v>
      </c>
    </row>
    <row r="28" spans="1:13" x14ac:dyDescent="0.3">
      <c r="A28" s="3">
        <v>44933</v>
      </c>
      <c r="B28">
        <f t="shared" si="0"/>
        <v>2023</v>
      </c>
      <c r="C28">
        <v>1</v>
      </c>
      <c r="D28" t="s">
        <v>25</v>
      </c>
      <c r="E28" t="s">
        <v>18</v>
      </c>
      <c r="F28" s="2">
        <v>7763</v>
      </c>
      <c r="G28" s="2">
        <f>Monthly_Growth!$C$2</f>
        <v>904109</v>
      </c>
      <c r="H28" s="5">
        <f>Monthly_Growth!$D$2</f>
        <v>0.16733031206827542</v>
      </c>
      <c r="I28" s="15">
        <f>Yearly_Growth!$C$2</f>
        <v>5.0333827436586778E-2</v>
      </c>
      <c r="J28" s="15">
        <f>Yearly_Growth!$D$2</f>
        <v>0.03</v>
      </c>
      <c r="K28">
        <f>Sales_Per_Representative!$C$9</f>
        <v>550835</v>
      </c>
      <c r="L28">
        <f>Sales_Per_Rep_Yearly_Goal!$B$2</f>
        <v>665544.80000000005</v>
      </c>
      <c r="M28">
        <f>Sales_Per_Rep_Yearly_Goal!$C$2</f>
        <v>650000</v>
      </c>
    </row>
    <row r="29" spans="1:13" x14ac:dyDescent="0.3">
      <c r="A29" s="3">
        <v>44933</v>
      </c>
      <c r="B29">
        <f t="shared" si="0"/>
        <v>2023</v>
      </c>
      <c r="C29">
        <v>1</v>
      </c>
      <c r="D29" t="s">
        <v>7</v>
      </c>
      <c r="E29" t="s">
        <v>24</v>
      </c>
      <c r="F29" s="2">
        <v>11071</v>
      </c>
      <c r="G29" s="2">
        <f>Monthly_Growth!$C$2</f>
        <v>904109</v>
      </c>
      <c r="H29" s="5">
        <f>Monthly_Growth!$D$2</f>
        <v>0.16733031206827542</v>
      </c>
      <c r="I29" s="15">
        <f>Yearly_Growth!$C$2</f>
        <v>5.0333827436586778E-2</v>
      </c>
      <c r="J29" s="15">
        <f>Yearly_Growth!$D$2</f>
        <v>0.03</v>
      </c>
      <c r="K29">
        <f>Sales_Per_Representative!$C$2</f>
        <v>631195</v>
      </c>
      <c r="L29">
        <f>Sales_Per_Rep_Yearly_Goal!$B$2</f>
        <v>665544.80000000005</v>
      </c>
      <c r="M29">
        <f>Sales_Per_Rep_Yearly_Goal!$C$2</f>
        <v>650000</v>
      </c>
    </row>
    <row r="30" spans="1:13" x14ac:dyDescent="0.3">
      <c r="A30" s="3">
        <v>44933</v>
      </c>
      <c r="B30">
        <f t="shared" si="0"/>
        <v>2023</v>
      </c>
      <c r="C30">
        <v>1</v>
      </c>
      <c r="D30" t="s">
        <v>12</v>
      </c>
      <c r="E30" t="s">
        <v>5</v>
      </c>
      <c r="F30" s="2">
        <v>11682</v>
      </c>
      <c r="G30" s="2">
        <f>Monthly_Growth!$C$2</f>
        <v>904109</v>
      </c>
      <c r="H30" s="5">
        <f>Monthly_Growth!$D$2</f>
        <v>0.16733031206827542</v>
      </c>
      <c r="I30" s="15">
        <f>Yearly_Growth!$C$2</f>
        <v>5.0333827436586778E-2</v>
      </c>
      <c r="J30" s="15">
        <f>Yearly_Growth!$D$2</f>
        <v>0.03</v>
      </c>
      <c r="K30">
        <f>Sales_Per_Representative!$C$10</f>
        <v>663333</v>
      </c>
      <c r="L30">
        <f>Sales_Per_Rep_Yearly_Goal!$B$2</f>
        <v>665544.80000000005</v>
      </c>
      <c r="M30">
        <f>Sales_Per_Rep_Yearly_Goal!$C$2</f>
        <v>650000</v>
      </c>
    </row>
    <row r="31" spans="1:13" x14ac:dyDescent="0.3">
      <c r="A31" s="3">
        <v>44933</v>
      </c>
      <c r="B31">
        <f t="shared" si="0"/>
        <v>2023</v>
      </c>
      <c r="C31">
        <v>1</v>
      </c>
      <c r="D31" t="s">
        <v>12</v>
      </c>
      <c r="E31" t="s">
        <v>33</v>
      </c>
      <c r="F31" s="2">
        <v>4574</v>
      </c>
      <c r="G31" s="2">
        <f>Monthly_Growth!$C$2</f>
        <v>904109</v>
      </c>
      <c r="H31" s="5">
        <f>Monthly_Growth!$D$2</f>
        <v>0.16733031206827542</v>
      </c>
      <c r="I31" s="15">
        <f>Yearly_Growth!$C$2</f>
        <v>5.0333827436586778E-2</v>
      </c>
      <c r="J31" s="15">
        <f>Yearly_Growth!$D$2</f>
        <v>0.03</v>
      </c>
      <c r="K31">
        <f>Sales_Per_Representative!$C$11</f>
        <v>496886</v>
      </c>
      <c r="L31">
        <f>Sales_Per_Rep_Yearly_Goal!$B$2</f>
        <v>665544.80000000005</v>
      </c>
      <c r="M31">
        <f>Sales_Per_Rep_Yearly_Goal!$C$2</f>
        <v>650000</v>
      </c>
    </row>
    <row r="32" spans="1:13" x14ac:dyDescent="0.3">
      <c r="A32" s="3">
        <v>44934</v>
      </c>
      <c r="B32">
        <f t="shared" si="0"/>
        <v>2023</v>
      </c>
      <c r="C32">
        <v>1</v>
      </c>
      <c r="D32" t="s">
        <v>14</v>
      </c>
      <c r="E32" t="s">
        <v>10</v>
      </c>
      <c r="F32" s="2">
        <v>13903</v>
      </c>
      <c r="G32" s="2">
        <f>Monthly_Growth!$C$2</f>
        <v>904109</v>
      </c>
      <c r="H32" s="5">
        <f>Monthly_Growth!$D$2</f>
        <v>0.16733031206827542</v>
      </c>
      <c r="I32" s="15">
        <f>Yearly_Growth!$C$2</f>
        <v>5.0333827436586778E-2</v>
      </c>
      <c r="J32" s="15">
        <f>Yearly_Growth!$D$2</f>
        <v>0.03</v>
      </c>
      <c r="K32">
        <f>Sales_Per_Representative!$C$4</f>
        <v>725713</v>
      </c>
      <c r="L32">
        <f>Sales_Per_Rep_Yearly_Goal!$B$2</f>
        <v>665544.80000000005</v>
      </c>
      <c r="M32">
        <f>Sales_Per_Rep_Yearly_Goal!$C$2</f>
        <v>650000</v>
      </c>
    </row>
    <row r="33" spans="1:13" x14ac:dyDescent="0.3">
      <c r="A33" s="3">
        <v>44934</v>
      </c>
      <c r="B33">
        <f t="shared" si="0"/>
        <v>2023</v>
      </c>
      <c r="C33">
        <v>1</v>
      </c>
      <c r="D33" t="s">
        <v>14</v>
      </c>
      <c r="E33" t="s">
        <v>24</v>
      </c>
      <c r="F33" s="2">
        <v>12689</v>
      </c>
      <c r="G33" s="2">
        <f>Monthly_Growth!$C$2</f>
        <v>904109</v>
      </c>
      <c r="H33" s="5">
        <f>Monthly_Growth!$D$2</f>
        <v>0.16733031206827542</v>
      </c>
      <c r="I33" s="15">
        <f>Yearly_Growth!$C$2</f>
        <v>5.0333827436586778E-2</v>
      </c>
      <c r="J33" s="15">
        <f>Yearly_Growth!$D$2</f>
        <v>0.03</v>
      </c>
      <c r="K33">
        <f>Sales_Per_Representative!$C$2</f>
        <v>631195</v>
      </c>
      <c r="L33">
        <f>Sales_Per_Rep_Yearly_Goal!$B$2</f>
        <v>665544.80000000005</v>
      </c>
      <c r="M33">
        <f>Sales_Per_Rep_Yearly_Goal!$C$2</f>
        <v>650000</v>
      </c>
    </row>
    <row r="34" spans="1:13" x14ac:dyDescent="0.3">
      <c r="A34" s="3">
        <v>44934</v>
      </c>
      <c r="B34">
        <f t="shared" si="0"/>
        <v>2023</v>
      </c>
      <c r="C34">
        <v>1</v>
      </c>
      <c r="D34" t="s">
        <v>19</v>
      </c>
      <c r="E34" t="s">
        <v>32</v>
      </c>
      <c r="F34" s="2">
        <v>12726</v>
      </c>
      <c r="G34" s="2">
        <f>Monthly_Growth!$C$2</f>
        <v>904109</v>
      </c>
      <c r="H34" s="5">
        <f>Monthly_Growth!$D$2</f>
        <v>0.16733031206827542</v>
      </c>
      <c r="I34" s="15">
        <f>Yearly_Growth!$C$2</f>
        <v>5.0333827436586778E-2</v>
      </c>
      <c r="J34" s="15">
        <f>Yearly_Growth!$D$2</f>
        <v>0.03</v>
      </c>
      <c r="K34">
        <f>Sales_Per_Representative!$C$3</f>
        <v>762157</v>
      </c>
      <c r="L34">
        <f>Sales_Per_Rep_Yearly_Goal!$B$2</f>
        <v>665544.80000000005</v>
      </c>
      <c r="M34">
        <f>Sales_Per_Rep_Yearly_Goal!$C$2</f>
        <v>650000</v>
      </c>
    </row>
    <row r="35" spans="1:13" x14ac:dyDescent="0.3">
      <c r="A35" s="3">
        <v>44934</v>
      </c>
      <c r="B35">
        <f t="shared" si="0"/>
        <v>2023</v>
      </c>
      <c r="C35">
        <v>1</v>
      </c>
      <c r="D35" t="s">
        <v>12</v>
      </c>
      <c r="E35" t="s">
        <v>30</v>
      </c>
      <c r="F35" s="2">
        <v>10112</v>
      </c>
      <c r="G35" s="2">
        <f>Monthly_Growth!$C$2</f>
        <v>904109</v>
      </c>
      <c r="H35" s="5">
        <f>Monthly_Growth!$D$2</f>
        <v>0.16733031206827542</v>
      </c>
      <c r="I35" s="15">
        <f>Yearly_Growth!$C$2</f>
        <v>5.0333827436586778E-2</v>
      </c>
      <c r="J35" s="15">
        <f>Yearly_Growth!$D$2</f>
        <v>0.03</v>
      </c>
      <c r="K35">
        <f>Sales_Per_Representative!$C$7</f>
        <v>706974</v>
      </c>
      <c r="L35">
        <f>Sales_Per_Rep_Yearly_Goal!$B$2</f>
        <v>665544.80000000005</v>
      </c>
      <c r="M35">
        <f>Sales_Per_Rep_Yearly_Goal!$C$2</f>
        <v>650000</v>
      </c>
    </row>
    <row r="36" spans="1:13" x14ac:dyDescent="0.3">
      <c r="A36" s="3">
        <v>44935</v>
      </c>
      <c r="B36">
        <f t="shared" si="0"/>
        <v>2023</v>
      </c>
      <c r="C36">
        <v>1</v>
      </c>
      <c r="D36" t="s">
        <v>19</v>
      </c>
      <c r="E36" t="s">
        <v>8</v>
      </c>
      <c r="F36" s="2">
        <v>6012</v>
      </c>
      <c r="G36" s="2">
        <f>Monthly_Growth!$C$2</f>
        <v>904109</v>
      </c>
      <c r="H36" s="5">
        <f>Monthly_Growth!$D$2</f>
        <v>0.16733031206827542</v>
      </c>
      <c r="I36" s="15">
        <f>Yearly_Growth!$C$2</f>
        <v>5.0333827436586778E-2</v>
      </c>
      <c r="J36" s="15">
        <f>Yearly_Growth!$D$2</f>
        <v>0.03</v>
      </c>
      <c r="K36">
        <f>Sales_Per_Representative!$C$15</f>
        <v>701242</v>
      </c>
      <c r="L36">
        <f>Sales_Per_Rep_Yearly_Goal!$B$2</f>
        <v>665544.80000000005</v>
      </c>
      <c r="M36">
        <f>Sales_Per_Rep_Yearly_Goal!$C$2</f>
        <v>650000</v>
      </c>
    </row>
    <row r="37" spans="1:13" x14ac:dyDescent="0.3">
      <c r="A37" s="3">
        <v>44935</v>
      </c>
      <c r="B37">
        <f t="shared" si="0"/>
        <v>2023</v>
      </c>
      <c r="C37">
        <v>1</v>
      </c>
      <c r="D37" t="s">
        <v>17</v>
      </c>
      <c r="E37" t="s">
        <v>10</v>
      </c>
      <c r="F37" s="2">
        <v>5996</v>
      </c>
      <c r="G37" s="2">
        <f>Monthly_Growth!$C$2</f>
        <v>904109</v>
      </c>
      <c r="H37" s="5">
        <f>Monthly_Growth!$D$2</f>
        <v>0.16733031206827542</v>
      </c>
      <c r="I37" s="15">
        <f>Yearly_Growth!$C$2</f>
        <v>5.0333827436586778E-2</v>
      </c>
      <c r="J37" s="15">
        <f>Yearly_Growth!$D$2</f>
        <v>0.03</v>
      </c>
      <c r="K37">
        <f>Sales_Per_Representative!$C$4</f>
        <v>725713</v>
      </c>
      <c r="L37">
        <f>Sales_Per_Rep_Yearly_Goal!$B$2</f>
        <v>665544.80000000005</v>
      </c>
      <c r="M37">
        <f>Sales_Per_Rep_Yearly_Goal!$C$2</f>
        <v>650000</v>
      </c>
    </row>
    <row r="38" spans="1:13" x14ac:dyDescent="0.3">
      <c r="A38" s="3">
        <v>44936</v>
      </c>
      <c r="B38">
        <f t="shared" si="0"/>
        <v>2023</v>
      </c>
      <c r="C38">
        <v>1</v>
      </c>
      <c r="D38" t="s">
        <v>17</v>
      </c>
      <c r="E38" t="s">
        <v>20</v>
      </c>
      <c r="F38" s="2">
        <v>13562</v>
      </c>
      <c r="G38" s="2">
        <f>Monthly_Growth!$C$2</f>
        <v>904109</v>
      </c>
      <c r="H38" s="5">
        <f>Monthly_Growth!$D$2</f>
        <v>0.16733031206827542</v>
      </c>
      <c r="I38" s="15">
        <f>Yearly_Growth!$C$2</f>
        <v>5.0333827436586778E-2</v>
      </c>
      <c r="J38" s="15">
        <f>Yearly_Growth!$D$2</f>
        <v>0.03</v>
      </c>
      <c r="K38">
        <f>Sales_Per_Representative!$C$14</f>
        <v>675530</v>
      </c>
      <c r="L38">
        <f>Sales_Per_Rep_Yearly_Goal!$B$2</f>
        <v>665544.80000000005</v>
      </c>
      <c r="M38">
        <f>Sales_Per_Rep_Yearly_Goal!$C$2</f>
        <v>650000</v>
      </c>
    </row>
    <row r="39" spans="1:13" x14ac:dyDescent="0.3">
      <c r="A39" s="3">
        <v>44937</v>
      </c>
      <c r="B39">
        <f t="shared" si="0"/>
        <v>2023</v>
      </c>
      <c r="C39">
        <v>1</v>
      </c>
      <c r="D39" t="s">
        <v>23</v>
      </c>
      <c r="E39" t="s">
        <v>18</v>
      </c>
      <c r="F39" s="2">
        <v>10399</v>
      </c>
      <c r="G39" s="2">
        <f>Monthly_Growth!$C$2</f>
        <v>904109</v>
      </c>
      <c r="H39" s="5">
        <f>Monthly_Growth!$D$2</f>
        <v>0.16733031206827542</v>
      </c>
      <c r="I39" s="15">
        <f>Yearly_Growth!$C$2</f>
        <v>5.0333827436586778E-2</v>
      </c>
      <c r="J39" s="15">
        <f>Yearly_Growth!$D$2</f>
        <v>0.03</v>
      </c>
      <c r="K39">
        <f>Sales_Per_Representative!$C$9</f>
        <v>550835</v>
      </c>
      <c r="L39">
        <f>Sales_Per_Rep_Yearly_Goal!$B$2</f>
        <v>665544.80000000005</v>
      </c>
      <c r="M39">
        <f>Sales_Per_Rep_Yearly_Goal!$C$2</f>
        <v>650000</v>
      </c>
    </row>
    <row r="40" spans="1:13" x14ac:dyDescent="0.3">
      <c r="A40" s="3">
        <v>44937</v>
      </c>
      <c r="B40">
        <f t="shared" si="0"/>
        <v>2023</v>
      </c>
      <c r="C40">
        <v>1</v>
      </c>
      <c r="D40" t="s">
        <v>23</v>
      </c>
      <c r="E40" t="s">
        <v>18</v>
      </c>
      <c r="F40" s="2">
        <v>10355</v>
      </c>
      <c r="G40" s="2">
        <f>Monthly_Growth!$C$2</f>
        <v>904109</v>
      </c>
      <c r="H40" s="5">
        <f>Monthly_Growth!$D$2</f>
        <v>0.16733031206827542</v>
      </c>
      <c r="I40" s="15">
        <f>Yearly_Growth!$C$2</f>
        <v>5.0333827436586778E-2</v>
      </c>
      <c r="J40" s="15">
        <f>Yearly_Growth!$D$2</f>
        <v>0.03</v>
      </c>
      <c r="K40">
        <f>Sales_Per_Representative!$C$9</f>
        <v>550835</v>
      </c>
      <c r="L40">
        <f>Sales_Per_Rep_Yearly_Goal!$B$2</f>
        <v>665544.80000000005</v>
      </c>
      <c r="M40">
        <f>Sales_Per_Rep_Yearly_Goal!$C$2</f>
        <v>650000</v>
      </c>
    </row>
    <row r="41" spans="1:13" x14ac:dyDescent="0.3">
      <c r="A41" s="3">
        <v>44937</v>
      </c>
      <c r="B41">
        <f t="shared" si="0"/>
        <v>2023</v>
      </c>
      <c r="C41">
        <v>1</v>
      </c>
      <c r="D41" t="s">
        <v>7</v>
      </c>
      <c r="E41" t="s">
        <v>22</v>
      </c>
      <c r="F41" s="2">
        <v>3088</v>
      </c>
      <c r="G41" s="2">
        <f>Monthly_Growth!$C$2</f>
        <v>904109</v>
      </c>
      <c r="H41" s="5">
        <f>Monthly_Growth!$D$2</f>
        <v>0.16733031206827542</v>
      </c>
      <c r="I41" s="15">
        <f>Yearly_Growth!$C$2</f>
        <v>5.0333827436586778E-2</v>
      </c>
      <c r="J41" s="15">
        <f>Yearly_Growth!$D$2</f>
        <v>0.03</v>
      </c>
      <c r="K41">
        <f>Sales_Per_Representative!$C$8</f>
        <v>649456</v>
      </c>
      <c r="L41">
        <f>Sales_Per_Rep_Yearly_Goal!$B$2</f>
        <v>665544.80000000005</v>
      </c>
      <c r="M41">
        <f>Sales_Per_Rep_Yearly_Goal!$C$2</f>
        <v>650000</v>
      </c>
    </row>
    <row r="42" spans="1:13" x14ac:dyDescent="0.3">
      <c r="A42" s="3">
        <v>44938</v>
      </c>
      <c r="B42">
        <f t="shared" si="0"/>
        <v>2023</v>
      </c>
      <c r="C42">
        <v>1</v>
      </c>
      <c r="D42" t="s">
        <v>23</v>
      </c>
      <c r="E42" t="s">
        <v>27</v>
      </c>
      <c r="F42" s="2">
        <v>8860</v>
      </c>
      <c r="G42" s="2">
        <f>Monthly_Growth!$C$2</f>
        <v>904109</v>
      </c>
      <c r="H42" s="5">
        <f>Monthly_Growth!$D$2</f>
        <v>0.16733031206827542</v>
      </c>
      <c r="I42" s="15">
        <f>Yearly_Growth!$C$2</f>
        <v>5.0333827436586778E-2</v>
      </c>
      <c r="J42" s="15">
        <f>Yearly_Growth!$D$2</f>
        <v>0.03</v>
      </c>
      <c r="K42">
        <f>Sales_Per_Representative!$C$5</f>
        <v>747962</v>
      </c>
      <c r="L42">
        <f>Sales_Per_Rep_Yearly_Goal!$B$2</f>
        <v>665544.80000000005</v>
      </c>
      <c r="M42">
        <f>Sales_Per_Rep_Yearly_Goal!$C$2</f>
        <v>650000</v>
      </c>
    </row>
    <row r="43" spans="1:13" x14ac:dyDescent="0.3">
      <c r="A43" s="3">
        <v>44938</v>
      </c>
      <c r="B43">
        <f t="shared" si="0"/>
        <v>2023</v>
      </c>
      <c r="C43">
        <v>1</v>
      </c>
      <c r="D43" t="s">
        <v>12</v>
      </c>
      <c r="E43" t="s">
        <v>5</v>
      </c>
      <c r="F43" s="2">
        <v>10887</v>
      </c>
      <c r="G43" s="2">
        <f>Monthly_Growth!$C$2</f>
        <v>904109</v>
      </c>
      <c r="H43" s="5">
        <f>Monthly_Growth!$D$2</f>
        <v>0.16733031206827542</v>
      </c>
      <c r="I43" s="15">
        <f>Yearly_Growth!$C$2</f>
        <v>5.0333827436586778E-2</v>
      </c>
      <c r="J43" s="15">
        <f>Yearly_Growth!$D$2</f>
        <v>0.03</v>
      </c>
      <c r="K43">
        <f>Sales_Per_Representative!$C$10</f>
        <v>663333</v>
      </c>
      <c r="L43">
        <f>Sales_Per_Rep_Yearly_Goal!$B$2</f>
        <v>665544.80000000005</v>
      </c>
      <c r="M43">
        <f>Sales_Per_Rep_Yearly_Goal!$C$2</f>
        <v>650000</v>
      </c>
    </row>
    <row r="44" spans="1:13" x14ac:dyDescent="0.3">
      <c r="A44" s="3">
        <v>44939</v>
      </c>
      <c r="B44">
        <f t="shared" si="0"/>
        <v>2023</v>
      </c>
      <c r="C44">
        <v>1</v>
      </c>
      <c r="D44" t="s">
        <v>19</v>
      </c>
      <c r="E44" t="s">
        <v>5</v>
      </c>
      <c r="F44" s="2">
        <v>3760</v>
      </c>
      <c r="G44" s="2">
        <f>Monthly_Growth!$C$2</f>
        <v>904109</v>
      </c>
      <c r="H44" s="5">
        <f>Monthly_Growth!$D$2</f>
        <v>0.16733031206827542</v>
      </c>
      <c r="I44" s="15">
        <f>Yearly_Growth!$C$2</f>
        <v>5.0333827436586778E-2</v>
      </c>
      <c r="J44" s="15">
        <f>Yearly_Growth!$D$2</f>
        <v>0.03</v>
      </c>
      <c r="K44">
        <f>Sales_Per_Representative!$C$10</f>
        <v>663333</v>
      </c>
      <c r="L44">
        <f>Sales_Per_Rep_Yearly_Goal!$B$2</f>
        <v>665544.80000000005</v>
      </c>
      <c r="M44">
        <f>Sales_Per_Rep_Yearly_Goal!$C$2</f>
        <v>650000</v>
      </c>
    </row>
    <row r="45" spans="1:13" x14ac:dyDescent="0.3">
      <c r="A45" s="3">
        <v>44939</v>
      </c>
      <c r="B45">
        <f t="shared" si="0"/>
        <v>2023</v>
      </c>
      <c r="C45">
        <v>1</v>
      </c>
      <c r="D45" t="s">
        <v>12</v>
      </c>
      <c r="E45" t="s">
        <v>33</v>
      </c>
      <c r="F45" s="2">
        <v>12338</v>
      </c>
      <c r="G45" s="2">
        <f>Monthly_Growth!$C$2</f>
        <v>904109</v>
      </c>
      <c r="H45" s="5">
        <f>Monthly_Growth!$D$2</f>
        <v>0.16733031206827542</v>
      </c>
      <c r="I45" s="15">
        <f>Yearly_Growth!$C$2</f>
        <v>5.0333827436586778E-2</v>
      </c>
      <c r="J45" s="15">
        <f>Yearly_Growth!$D$2</f>
        <v>0.03</v>
      </c>
      <c r="K45">
        <f>Sales_Per_Representative!$C$11</f>
        <v>496886</v>
      </c>
      <c r="L45">
        <f>Sales_Per_Rep_Yearly_Goal!$B$2</f>
        <v>665544.80000000005</v>
      </c>
      <c r="M45">
        <f>Sales_Per_Rep_Yearly_Goal!$C$2</f>
        <v>650000</v>
      </c>
    </row>
    <row r="46" spans="1:13" x14ac:dyDescent="0.3">
      <c r="A46" s="3">
        <v>44940</v>
      </c>
      <c r="B46">
        <f t="shared" si="0"/>
        <v>2023</v>
      </c>
      <c r="C46">
        <v>1</v>
      </c>
      <c r="D46" t="s">
        <v>7</v>
      </c>
      <c r="E46" t="s">
        <v>27</v>
      </c>
      <c r="F46" s="2">
        <v>6529</v>
      </c>
      <c r="G46" s="2">
        <f>Monthly_Growth!$C$2</f>
        <v>904109</v>
      </c>
      <c r="H46" s="5">
        <f>Monthly_Growth!$D$2</f>
        <v>0.16733031206827542</v>
      </c>
      <c r="I46" s="15">
        <f>Yearly_Growth!$C$2</f>
        <v>5.0333827436586778E-2</v>
      </c>
      <c r="J46" s="15">
        <f>Yearly_Growth!$D$2</f>
        <v>0.03</v>
      </c>
      <c r="K46">
        <f>Sales_Per_Representative!$C$5</f>
        <v>747962</v>
      </c>
      <c r="L46">
        <f>Sales_Per_Rep_Yearly_Goal!$B$2</f>
        <v>665544.80000000005</v>
      </c>
      <c r="M46">
        <f>Sales_Per_Rep_Yearly_Goal!$C$2</f>
        <v>650000</v>
      </c>
    </row>
    <row r="47" spans="1:13" x14ac:dyDescent="0.3">
      <c r="A47" s="3">
        <v>44940</v>
      </c>
      <c r="B47">
        <f t="shared" si="0"/>
        <v>2023</v>
      </c>
      <c r="C47">
        <v>1</v>
      </c>
      <c r="D47" t="s">
        <v>28</v>
      </c>
      <c r="E47" t="s">
        <v>32</v>
      </c>
      <c r="F47" s="2">
        <v>8320</v>
      </c>
      <c r="G47" s="2">
        <f>Monthly_Growth!$C$2</f>
        <v>904109</v>
      </c>
      <c r="H47" s="5">
        <f>Monthly_Growth!$D$2</f>
        <v>0.16733031206827542</v>
      </c>
      <c r="I47" s="15">
        <f>Yearly_Growth!$C$2</f>
        <v>5.0333827436586778E-2</v>
      </c>
      <c r="J47" s="15">
        <f>Yearly_Growth!$D$2</f>
        <v>0.03</v>
      </c>
      <c r="K47">
        <f>Sales_Per_Representative!$C$3</f>
        <v>762157</v>
      </c>
      <c r="L47">
        <f>Sales_Per_Rep_Yearly_Goal!$B$2</f>
        <v>665544.80000000005</v>
      </c>
      <c r="M47">
        <f>Sales_Per_Rep_Yearly_Goal!$C$2</f>
        <v>650000</v>
      </c>
    </row>
    <row r="48" spans="1:13" x14ac:dyDescent="0.3">
      <c r="A48" s="3">
        <v>44940</v>
      </c>
      <c r="B48">
        <f t="shared" si="0"/>
        <v>2023</v>
      </c>
      <c r="C48">
        <v>1</v>
      </c>
      <c r="D48" t="s">
        <v>28</v>
      </c>
      <c r="E48" t="s">
        <v>10</v>
      </c>
      <c r="F48" s="2">
        <v>7620</v>
      </c>
      <c r="G48" s="2">
        <f>Monthly_Growth!$C$2</f>
        <v>904109</v>
      </c>
      <c r="H48" s="5">
        <f>Monthly_Growth!$D$2</f>
        <v>0.16733031206827542</v>
      </c>
      <c r="I48" s="15">
        <f>Yearly_Growth!$C$2</f>
        <v>5.0333827436586778E-2</v>
      </c>
      <c r="J48" s="15">
        <f>Yearly_Growth!$D$2</f>
        <v>0.03</v>
      </c>
      <c r="K48">
        <f>Sales_Per_Representative!$C$4</f>
        <v>725713</v>
      </c>
      <c r="L48">
        <f>Sales_Per_Rep_Yearly_Goal!$B$2</f>
        <v>665544.80000000005</v>
      </c>
      <c r="M48">
        <f>Sales_Per_Rep_Yearly_Goal!$C$2</f>
        <v>650000</v>
      </c>
    </row>
    <row r="49" spans="1:13" x14ac:dyDescent="0.3">
      <c r="A49" s="3">
        <v>44941</v>
      </c>
      <c r="B49">
        <f t="shared" si="0"/>
        <v>2023</v>
      </c>
      <c r="C49">
        <v>1</v>
      </c>
      <c r="D49" t="s">
        <v>14</v>
      </c>
      <c r="E49" t="s">
        <v>33</v>
      </c>
      <c r="F49" s="2">
        <v>1369</v>
      </c>
      <c r="G49" s="2">
        <f>Monthly_Growth!$C$2</f>
        <v>904109</v>
      </c>
      <c r="H49" s="5">
        <f>Monthly_Growth!$D$2</f>
        <v>0.16733031206827542</v>
      </c>
      <c r="I49" s="15">
        <f>Yearly_Growth!$C$2</f>
        <v>5.0333827436586778E-2</v>
      </c>
      <c r="J49" s="15">
        <f>Yearly_Growth!$D$2</f>
        <v>0.03</v>
      </c>
      <c r="K49">
        <f>Sales_Per_Representative!$C$11</f>
        <v>496886</v>
      </c>
      <c r="L49">
        <f>Sales_Per_Rep_Yearly_Goal!$B$2</f>
        <v>665544.80000000005</v>
      </c>
      <c r="M49">
        <f>Sales_Per_Rep_Yearly_Goal!$C$2</f>
        <v>650000</v>
      </c>
    </row>
    <row r="50" spans="1:13" x14ac:dyDescent="0.3">
      <c r="A50" s="3">
        <v>44941</v>
      </c>
      <c r="B50">
        <f t="shared" si="0"/>
        <v>2023</v>
      </c>
      <c r="C50">
        <v>1</v>
      </c>
      <c r="D50" t="s">
        <v>19</v>
      </c>
      <c r="E50" t="s">
        <v>10</v>
      </c>
      <c r="F50" s="2">
        <v>2364</v>
      </c>
      <c r="G50" s="2">
        <f>Monthly_Growth!$C$2</f>
        <v>904109</v>
      </c>
      <c r="H50" s="5">
        <f>Monthly_Growth!$D$2</f>
        <v>0.16733031206827542</v>
      </c>
      <c r="I50" s="15">
        <f>Yearly_Growth!$C$2</f>
        <v>5.0333827436586778E-2</v>
      </c>
      <c r="J50" s="15">
        <f>Yearly_Growth!$D$2</f>
        <v>0.03</v>
      </c>
      <c r="K50">
        <f>Sales_Per_Representative!$C$4</f>
        <v>725713</v>
      </c>
      <c r="L50">
        <f>Sales_Per_Rep_Yearly_Goal!$B$2</f>
        <v>665544.80000000005</v>
      </c>
      <c r="M50">
        <f>Sales_Per_Rep_Yearly_Goal!$C$2</f>
        <v>650000</v>
      </c>
    </row>
    <row r="51" spans="1:13" x14ac:dyDescent="0.3">
      <c r="A51" s="3">
        <v>44941</v>
      </c>
      <c r="B51">
        <f t="shared" si="0"/>
        <v>2023</v>
      </c>
      <c r="C51">
        <v>1</v>
      </c>
      <c r="D51" t="s">
        <v>25</v>
      </c>
      <c r="E51" t="s">
        <v>20</v>
      </c>
      <c r="F51" s="2">
        <v>1421</v>
      </c>
      <c r="G51" s="2">
        <f>Monthly_Growth!$C$2</f>
        <v>904109</v>
      </c>
      <c r="H51" s="5">
        <f>Monthly_Growth!$D$2</f>
        <v>0.16733031206827542</v>
      </c>
      <c r="I51" s="15">
        <f>Yearly_Growth!$C$2</f>
        <v>5.0333827436586778E-2</v>
      </c>
      <c r="J51" s="15">
        <f>Yearly_Growth!$D$2</f>
        <v>0.03</v>
      </c>
      <c r="K51">
        <f>Sales_Per_Representative!$C$14</f>
        <v>675530</v>
      </c>
      <c r="L51">
        <f>Sales_Per_Rep_Yearly_Goal!$B$2</f>
        <v>665544.80000000005</v>
      </c>
      <c r="M51">
        <f>Sales_Per_Rep_Yearly_Goal!$C$2</f>
        <v>650000</v>
      </c>
    </row>
    <row r="52" spans="1:13" x14ac:dyDescent="0.3">
      <c r="A52" s="3">
        <v>44941</v>
      </c>
      <c r="B52">
        <f t="shared" si="0"/>
        <v>2023</v>
      </c>
      <c r="C52">
        <v>1</v>
      </c>
      <c r="D52" t="s">
        <v>7</v>
      </c>
      <c r="E52" t="s">
        <v>26</v>
      </c>
      <c r="F52" s="2">
        <v>1824</v>
      </c>
      <c r="G52" s="2">
        <f>Monthly_Growth!$C$2</f>
        <v>904109</v>
      </c>
      <c r="H52" s="5">
        <f>Monthly_Growth!$D$2</f>
        <v>0.16733031206827542</v>
      </c>
      <c r="I52" s="15">
        <f>Yearly_Growth!$C$2</f>
        <v>5.0333827436586778E-2</v>
      </c>
      <c r="J52" s="15">
        <f>Yearly_Growth!$D$2</f>
        <v>0.03</v>
      </c>
      <c r="K52">
        <f>Sales_Per_Representative!$C$16</f>
        <v>666159</v>
      </c>
      <c r="L52">
        <f>Sales_Per_Rep_Yearly_Goal!$B$2</f>
        <v>665544.80000000005</v>
      </c>
      <c r="M52">
        <f>Sales_Per_Rep_Yearly_Goal!$C$2</f>
        <v>650000</v>
      </c>
    </row>
    <row r="53" spans="1:13" x14ac:dyDescent="0.3">
      <c r="A53" s="3">
        <v>44941</v>
      </c>
      <c r="B53">
        <f t="shared" si="0"/>
        <v>2023</v>
      </c>
      <c r="C53">
        <v>1</v>
      </c>
      <c r="D53" t="s">
        <v>28</v>
      </c>
      <c r="E53" t="s">
        <v>20</v>
      </c>
      <c r="F53" s="2">
        <v>10269</v>
      </c>
      <c r="G53" s="2">
        <f>Monthly_Growth!$C$2</f>
        <v>904109</v>
      </c>
      <c r="H53" s="5">
        <f>Monthly_Growth!$D$2</f>
        <v>0.16733031206827542</v>
      </c>
      <c r="I53" s="15">
        <f>Yearly_Growth!$C$2</f>
        <v>5.0333827436586778E-2</v>
      </c>
      <c r="J53" s="15">
        <f>Yearly_Growth!$D$2</f>
        <v>0.03</v>
      </c>
      <c r="K53">
        <f>Sales_Per_Representative!$C$14</f>
        <v>675530</v>
      </c>
      <c r="L53">
        <f>Sales_Per_Rep_Yearly_Goal!$B$2</f>
        <v>665544.80000000005</v>
      </c>
      <c r="M53">
        <f>Sales_Per_Rep_Yearly_Goal!$C$2</f>
        <v>650000</v>
      </c>
    </row>
    <row r="54" spans="1:13" x14ac:dyDescent="0.3">
      <c r="A54" s="3">
        <v>44941</v>
      </c>
      <c r="B54">
        <f t="shared" si="0"/>
        <v>2023</v>
      </c>
      <c r="C54">
        <v>1</v>
      </c>
      <c r="D54" t="s">
        <v>17</v>
      </c>
      <c r="E54" t="s">
        <v>27</v>
      </c>
      <c r="F54" s="2">
        <v>7597</v>
      </c>
      <c r="G54" s="2">
        <f>Monthly_Growth!$C$2</f>
        <v>904109</v>
      </c>
      <c r="H54" s="5">
        <f>Monthly_Growth!$D$2</f>
        <v>0.16733031206827542</v>
      </c>
      <c r="I54" s="15">
        <f>Yearly_Growth!$C$2</f>
        <v>5.0333827436586778E-2</v>
      </c>
      <c r="J54" s="15">
        <f>Yearly_Growth!$D$2</f>
        <v>0.03</v>
      </c>
      <c r="K54">
        <f>Sales_Per_Representative!$C$5</f>
        <v>747962</v>
      </c>
      <c r="L54">
        <f>Sales_Per_Rep_Yearly_Goal!$B$2</f>
        <v>665544.80000000005</v>
      </c>
      <c r="M54">
        <f>Sales_Per_Rep_Yearly_Goal!$C$2</f>
        <v>650000</v>
      </c>
    </row>
    <row r="55" spans="1:13" x14ac:dyDescent="0.3">
      <c r="A55" s="3">
        <v>44941</v>
      </c>
      <c r="B55">
        <f t="shared" si="0"/>
        <v>2023</v>
      </c>
      <c r="C55">
        <v>1</v>
      </c>
      <c r="D55" t="s">
        <v>12</v>
      </c>
      <c r="E55" t="s">
        <v>20</v>
      </c>
      <c r="F55" s="2">
        <v>2810</v>
      </c>
      <c r="G55" s="2">
        <f>Monthly_Growth!$C$2</f>
        <v>904109</v>
      </c>
      <c r="H55" s="5">
        <f>Monthly_Growth!$D$2</f>
        <v>0.16733031206827542</v>
      </c>
      <c r="I55" s="15">
        <f>Yearly_Growth!$C$2</f>
        <v>5.0333827436586778E-2</v>
      </c>
      <c r="J55" s="15">
        <f>Yearly_Growth!$D$2</f>
        <v>0.03</v>
      </c>
      <c r="K55">
        <f>Sales_Per_Representative!$C$14</f>
        <v>675530</v>
      </c>
      <c r="L55">
        <f>Sales_Per_Rep_Yearly_Goal!$B$2</f>
        <v>665544.80000000005</v>
      </c>
      <c r="M55">
        <f>Sales_Per_Rep_Yearly_Goal!$C$2</f>
        <v>650000</v>
      </c>
    </row>
    <row r="56" spans="1:13" x14ac:dyDescent="0.3">
      <c r="A56" s="3">
        <v>44941</v>
      </c>
      <c r="B56">
        <f t="shared" si="0"/>
        <v>2023</v>
      </c>
      <c r="C56">
        <v>1</v>
      </c>
      <c r="D56" t="s">
        <v>12</v>
      </c>
      <c r="E56" t="s">
        <v>26</v>
      </c>
      <c r="F56" s="2">
        <v>7440</v>
      </c>
      <c r="G56" s="2">
        <f>Monthly_Growth!$C$2</f>
        <v>904109</v>
      </c>
      <c r="H56" s="5">
        <f>Monthly_Growth!$D$2</f>
        <v>0.16733031206827542</v>
      </c>
      <c r="I56" s="15">
        <f>Yearly_Growth!$C$2</f>
        <v>5.0333827436586778E-2</v>
      </c>
      <c r="J56" s="15">
        <f>Yearly_Growth!$D$2</f>
        <v>0.03</v>
      </c>
      <c r="K56">
        <f>Sales_Per_Representative!$C$16</f>
        <v>666159</v>
      </c>
      <c r="L56">
        <f>Sales_Per_Rep_Yearly_Goal!$B$2</f>
        <v>665544.80000000005</v>
      </c>
      <c r="M56">
        <f>Sales_Per_Rep_Yearly_Goal!$C$2</f>
        <v>650000</v>
      </c>
    </row>
    <row r="57" spans="1:13" x14ac:dyDescent="0.3">
      <c r="A57" s="3">
        <v>44941</v>
      </c>
      <c r="B57">
        <f t="shared" si="0"/>
        <v>2023</v>
      </c>
      <c r="C57">
        <v>1</v>
      </c>
      <c r="D57" t="s">
        <v>12</v>
      </c>
      <c r="E57" t="s">
        <v>32</v>
      </c>
      <c r="F57" s="2">
        <v>7260</v>
      </c>
      <c r="G57" s="2">
        <f>Monthly_Growth!$C$2</f>
        <v>904109</v>
      </c>
      <c r="H57" s="5">
        <f>Monthly_Growth!$D$2</f>
        <v>0.16733031206827542</v>
      </c>
      <c r="I57" s="15">
        <f>Yearly_Growth!$C$2</f>
        <v>5.0333827436586778E-2</v>
      </c>
      <c r="J57" s="15">
        <f>Yearly_Growth!$D$2</f>
        <v>0.03</v>
      </c>
      <c r="K57">
        <f>Sales_Per_Representative!$C$3</f>
        <v>762157</v>
      </c>
      <c r="L57">
        <f>Sales_Per_Rep_Yearly_Goal!$B$2</f>
        <v>665544.80000000005</v>
      </c>
      <c r="M57">
        <f>Sales_Per_Rep_Yearly_Goal!$C$2</f>
        <v>650000</v>
      </c>
    </row>
    <row r="58" spans="1:13" x14ac:dyDescent="0.3">
      <c r="A58" s="3">
        <v>44942</v>
      </c>
      <c r="B58">
        <f t="shared" si="0"/>
        <v>2023</v>
      </c>
      <c r="C58">
        <v>1</v>
      </c>
      <c r="D58" t="s">
        <v>25</v>
      </c>
      <c r="E58" t="s">
        <v>15</v>
      </c>
      <c r="F58" s="2">
        <v>8624</v>
      </c>
      <c r="G58" s="2">
        <f>Monthly_Growth!$C$2</f>
        <v>904109</v>
      </c>
      <c r="H58" s="5">
        <f>Monthly_Growth!$D$2</f>
        <v>0.16733031206827542</v>
      </c>
      <c r="I58" s="15">
        <f>Yearly_Growth!$C$2</f>
        <v>5.0333827436586778E-2</v>
      </c>
      <c r="J58" s="15">
        <f>Yearly_Growth!$D$2</f>
        <v>0.03</v>
      </c>
      <c r="K58">
        <f>Sales_Per_Representative!$C$12</f>
        <v>656359</v>
      </c>
      <c r="L58">
        <f>Sales_Per_Rep_Yearly_Goal!$B$2</f>
        <v>665544.80000000005</v>
      </c>
      <c r="M58">
        <f>Sales_Per_Rep_Yearly_Goal!$C$2</f>
        <v>650000</v>
      </c>
    </row>
    <row r="59" spans="1:13" x14ac:dyDescent="0.3">
      <c r="A59" s="3">
        <v>44942</v>
      </c>
      <c r="B59">
        <f t="shared" si="0"/>
        <v>2023</v>
      </c>
      <c r="C59">
        <v>1</v>
      </c>
      <c r="D59" t="s">
        <v>25</v>
      </c>
      <c r="E59" t="s">
        <v>26</v>
      </c>
      <c r="F59" s="2">
        <v>5437</v>
      </c>
      <c r="G59" s="2">
        <f>Monthly_Growth!$C$2</f>
        <v>904109</v>
      </c>
      <c r="H59" s="5">
        <f>Monthly_Growth!$D$2</f>
        <v>0.16733031206827542</v>
      </c>
      <c r="I59" s="15">
        <f>Yearly_Growth!$C$2</f>
        <v>5.0333827436586778E-2</v>
      </c>
      <c r="J59" s="15">
        <f>Yearly_Growth!$D$2</f>
        <v>0.03</v>
      </c>
      <c r="K59">
        <f>Sales_Per_Representative!$C$16</f>
        <v>666159</v>
      </c>
      <c r="L59">
        <f>Sales_Per_Rep_Yearly_Goal!$B$2</f>
        <v>665544.80000000005</v>
      </c>
      <c r="M59">
        <f>Sales_Per_Rep_Yearly_Goal!$C$2</f>
        <v>650000</v>
      </c>
    </row>
    <row r="60" spans="1:13" x14ac:dyDescent="0.3">
      <c r="A60" s="3">
        <v>44942</v>
      </c>
      <c r="B60">
        <f t="shared" si="0"/>
        <v>2023</v>
      </c>
      <c r="C60">
        <v>1</v>
      </c>
      <c r="D60" t="s">
        <v>7</v>
      </c>
      <c r="E60" t="s">
        <v>31</v>
      </c>
      <c r="F60" s="2">
        <v>4910</v>
      </c>
      <c r="G60" s="2">
        <f>Monthly_Growth!$C$2</f>
        <v>904109</v>
      </c>
      <c r="H60" s="5">
        <f>Monthly_Growth!$D$2</f>
        <v>0.16733031206827542</v>
      </c>
      <c r="I60" s="15">
        <f>Yearly_Growth!$C$2</f>
        <v>5.0333827436586778E-2</v>
      </c>
      <c r="J60" s="15">
        <f>Yearly_Growth!$D$2</f>
        <v>0.03</v>
      </c>
      <c r="K60">
        <f>Sales_Per_Representative!$C$6</f>
        <v>727823</v>
      </c>
      <c r="L60">
        <f>Sales_Per_Rep_Yearly_Goal!$B$2</f>
        <v>665544.80000000005</v>
      </c>
      <c r="M60">
        <f>Sales_Per_Rep_Yearly_Goal!$C$2</f>
        <v>650000</v>
      </c>
    </row>
    <row r="61" spans="1:13" x14ac:dyDescent="0.3">
      <c r="A61" s="3">
        <v>44942</v>
      </c>
      <c r="B61">
        <f t="shared" si="0"/>
        <v>2023</v>
      </c>
      <c r="C61">
        <v>1</v>
      </c>
      <c r="D61" t="s">
        <v>17</v>
      </c>
      <c r="E61" t="s">
        <v>27</v>
      </c>
      <c r="F61" s="2">
        <v>4113</v>
      </c>
      <c r="G61" s="2">
        <f>Monthly_Growth!$C$2</f>
        <v>904109</v>
      </c>
      <c r="H61" s="5">
        <f>Monthly_Growth!$D$2</f>
        <v>0.16733031206827542</v>
      </c>
      <c r="I61" s="15">
        <f>Yearly_Growth!$C$2</f>
        <v>5.0333827436586778E-2</v>
      </c>
      <c r="J61" s="15">
        <f>Yearly_Growth!$D$2</f>
        <v>0.03</v>
      </c>
      <c r="K61">
        <f>Sales_Per_Representative!$C$5</f>
        <v>747962</v>
      </c>
      <c r="L61">
        <f>Sales_Per_Rep_Yearly_Goal!$B$2</f>
        <v>665544.80000000005</v>
      </c>
      <c r="M61">
        <f>Sales_Per_Rep_Yearly_Goal!$C$2</f>
        <v>650000</v>
      </c>
    </row>
    <row r="62" spans="1:13" x14ac:dyDescent="0.3">
      <c r="A62" s="3">
        <v>44942</v>
      </c>
      <c r="B62">
        <f t="shared" si="0"/>
        <v>2023</v>
      </c>
      <c r="C62">
        <v>1</v>
      </c>
      <c r="D62" t="s">
        <v>17</v>
      </c>
      <c r="E62" t="s">
        <v>5</v>
      </c>
      <c r="F62" s="2">
        <v>13452</v>
      </c>
      <c r="G62" s="2">
        <f>Monthly_Growth!$C$2</f>
        <v>904109</v>
      </c>
      <c r="H62" s="5">
        <f>Monthly_Growth!$D$2</f>
        <v>0.16733031206827542</v>
      </c>
      <c r="I62" s="15">
        <f>Yearly_Growth!$C$2</f>
        <v>5.0333827436586778E-2</v>
      </c>
      <c r="J62" s="15">
        <f>Yearly_Growth!$D$2</f>
        <v>0.03</v>
      </c>
      <c r="K62">
        <f>Sales_Per_Representative!$C$10</f>
        <v>663333</v>
      </c>
      <c r="L62">
        <f>Sales_Per_Rep_Yearly_Goal!$B$2</f>
        <v>665544.80000000005</v>
      </c>
      <c r="M62">
        <f>Sales_Per_Rep_Yearly_Goal!$C$2</f>
        <v>650000</v>
      </c>
    </row>
    <row r="63" spans="1:13" x14ac:dyDescent="0.3">
      <c r="A63" s="3">
        <v>44943</v>
      </c>
      <c r="B63">
        <f t="shared" si="0"/>
        <v>2023</v>
      </c>
      <c r="C63">
        <v>1</v>
      </c>
      <c r="D63" t="s">
        <v>25</v>
      </c>
      <c r="E63" t="s">
        <v>15</v>
      </c>
      <c r="F63" s="2">
        <v>13540</v>
      </c>
      <c r="G63" s="2">
        <f>Monthly_Growth!$C$2</f>
        <v>904109</v>
      </c>
      <c r="H63" s="5">
        <f>Monthly_Growth!$D$2</f>
        <v>0.16733031206827542</v>
      </c>
      <c r="I63" s="15">
        <f>Yearly_Growth!$C$2</f>
        <v>5.0333827436586778E-2</v>
      </c>
      <c r="J63" s="15">
        <f>Yearly_Growth!$D$2</f>
        <v>0.03</v>
      </c>
      <c r="K63">
        <f>Sales_Per_Representative!$C$12</f>
        <v>656359</v>
      </c>
      <c r="L63">
        <f>Sales_Per_Rep_Yearly_Goal!$B$2</f>
        <v>665544.80000000005</v>
      </c>
      <c r="M63">
        <f>Sales_Per_Rep_Yearly_Goal!$C$2</f>
        <v>650000</v>
      </c>
    </row>
    <row r="64" spans="1:13" x14ac:dyDescent="0.3">
      <c r="A64" s="3">
        <v>44943</v>
      </c>
      <c r="B64">
        <f t="shared" si="0"/>
        <v>2023</v>
      </c>
      <c r="C64">
        <v>1</v>
      </c>
      <c r="D64" t="s">
        <v>7</v>
      </c>
      <c r="E64" t="s">
        <v>31</v>
      </c>
      <c r="F64" s="2">
        <v>9053</v>
      </c>
      <c r="G64" s="2">
        <f>Monthly_Growth!$C$2</f>
        <v>904109</v>
      </c>
      <c r="H64" s="5">
        <f>Monthly_Growth!$D$2</f>
        <v>0.16733031206827542</v>
      </c>
      <c r="I64" s="15">
        <f>Yearly_Growth!$C$2</f>
        <v>5.0333827436586778E-2</v>
      </c>
      <c r="J64" s="15">
        <f>Yearly_Growth!$D$2</f>
        <v>0.03</v>
      </c>
      <c r="K64">
        <f>Sales_Per_Representative!$C$6</f>
        <v>727823</v>
      </c>
      <c r="L64">
        <f>Sales_Per_Rep_Yearly_Goal!$B$2</f>
        <v>665544.80000000005</v>
      </c>
      <c r="M64">
        <f>Sales_Per_Rep_Yearly_Goal!$C$2</f>
        <v>650000</v>
      </c>
    </row>
    <row r="65" spans="1:13" x14ac:dyDescent="0.3">
      <c r="A65" s="3">
        <v>44944</v>
      </c>
      <c r="B65">
        <f t="shared" si="0"/>
        <v>2023</v>
      </c>
      <c r="C65">
        <v>1</v>
      </c>
      <c r="D65" t="s">
        <v>17</v>
      </c>
      <c r="E65" t="s">
        <v>31</v>
      </c>
      <c r="F65" s="2">
        <v>9456</v>
      </c>
      <c r="G65" s="2">
        <f>Monthly_Growth!$C$2</f>
        <v>904109</v>
      </c>
      <c r="H65" s="5">
        <f>Monthly_Growth!$D$2</f>
        <v>0.16733031206827542</v>
      </c>
      <c r="I65" s="15">
        <f>Yearly_Growth!$C$2</f>
        <v>5.0333827436586778E-2</v>
      </c>
      <c r="J65" s="15">
        <f>Yearly_Growth!$D$2</f>
        <v>0.03</v>
      </c>
      <c r="K65">
        <f>Sales_Per_Representative!$C$6</f>
        <v>727823</v>
      </c>
      <c r="L65">
        <f>Sales_Per_Rep_Yearly_Goal!$B$2</f>
        <v>665544.80000000005</v>
      </c>
      <c r="M65">
        <f>Sales_Per_Rep_Yearly_Goal!$C$2</f>
        <v>650000</v>
      </c>
    </row>
    <row r="66" spans="1:13" x14ac:dyDescent="0.3">
      <c r="A66" s="3">
        <v>44944</v>
      </c>
      <c r="B66">
        <f t="shared" si="0"/>
        <v>2023</v>
      </c>
      <c r="C66">
        <v>1</v>
      </c>
      <c r="D66" t="s">
        <v>12</v>
      </c>
      <c r="E66" t="s">
        <v>30</v>
      </c>
      <c r="F66" s="2">
        <v>9138</v>
      </c>
      <c r="G66" s="2">
        <f>Monthly_Growth!$C$2</f>
        <v>904109</v>
      </c>
      <c r="H66" s="5">
        <f>Monthly_Growth!$D$2</f>
        <v>0.16733031206827542</v>
      </c>
      <c r="I66" s="15">
        <f>Yearly_Growth!$C$2</f>
        <v>5.0333827436586778E-2</v>
      </c>
      <c r="J66" s="15">
        <f>Yearly_Growth!$D$2</f>
        <v>0.03</v>
      </c>
      <c r="K66">
        <f>Sales_Per_Representative!$C$7</f>
        <v>706974</v>
      </c>
      <c r="L66">
        <f>Sales_Per_Rep_Yearly_Goal!$B$2</f>
        <v>665544.80000000005</v>
      </c>
      <c r="M66">
        <f>Sales_Per_Rep_Yearly_Goal!$C$2</f>
        <v>650000</v>
      </c>
    </row>
    <row r="67" spans="1:13" x14ac:dyDescent="0.3">
      <c r="A67" s="3">
        <v>44944</v>
      </c>
      <c r="B67">
        <f t="shared" ref="B67:B130" si="1">YEAR(A67)</f>
        <v>2023</v>
      </c>
      <c r="C67">
        <v>1</v>
      </c>
      <c r="D67" t="s">
        <v>12</v>
      </c>
      <c r="E67" t="s">
        <v>31</v>
      </c>
      <c r="F67" s="2">
        <v>6853</v>
      </c>
      <c r="G67" s="2">
        <f>Monthly_Growth!$C$2</f>
        <v>904109</v>
      </c>
      <c r="H67" s="5">
        <f>Monthly_Growth!$D$2</f>
        <v>0.16733031206827542</v>
      </c>
      <c r="I67" s="15">
        <f>Yearly_Growth!$C$2</f>
        <v>5.0333827436586778E-2</v>
      </c>
      <c r="J67" s="15">
        <f>Yearly_Growth!$D$2</f>
        <v>0.03</v>
      </c>
      <c r="K67">
        <f>Sales_Per_Representative!$C$6</f>
        <v>727823</v>
      </c>
      <c r="L67">
        <f>Sales_Per_Rep_Yearly_Goal!$B$2</f>
        <v>665544.80000000005</v>
      </c>
      <c r="M67">
        <f>Sales_Per_Rep_Yearly_Goal!$C$2</f>
        <v>650000</v>
      </c>
    </row>
    <row r="68" spans="1:13" x14ac:dyDescent="0.3">
      <c r="A68" s="3">
        <v>44945</v>
      </c>
      <c r="B68">
        <f t="shared" si="1"/>
        <v>2023</v>
      </c>
      <c r="C68">
        <v>1</v>
      </c>
      <c r="D68" t="s">
        <v>14</v>
      </c>
      <c r="E68" t="s">
        <v>32</v>
      </c>
      <c r="F68" s="2">
        <v>2781</v>
      </c>
      <c r="G68" s="2">
        <f>Monthly_Growth!$C$2</f>
        <v>904109</v>
      </c>
      <c r="H68" s="5">
        <f>Monthly_Growth!$D$2</f>
        <v>0.16733031206827542</v>
      </c>
      <c r="I68" s="15">
        <f>Yearly_Growth!$C$2</f>
        <v>5.0333827436586778E-2</v>
      </c>
      <c r="J68" s="15">
        <f>Yearly_Growth!$D$2</f>
        <v>0.03</v>
      </c>
      <c r="K68">
        <f>Sales_Per_Representative!$C$3</f>
        <v>762157</v>
      </c>
      <c r="L68">
        <f>Sales_Per_Rep_Yearly_Goal!$B$2</f>
        <v>665544.80000000005</v>
      </c>
      <c r="M68">
        <f>Sales_Per_Rep_Yearly_Goal!$C$2</f>
        <v>650000</v>
      </c>
    </row>
    <row r="69" spans="1:13" x14ac:dyDescent="0.3">
      <c r="A69" s="3">
        <v>44945</v>
      </c>
      <c r="B69">
        <f t="shared" si="1"/>
        <v>2023</v>
      </c>
      <c r="C69">
        <v>1</v>
      </c>
      <c r="D69" t="s">
        <v>14</v>
      </c>
      <c r="E69" t="s">
        <v>10</v>
      </c>
      <c r="F69" s="2">
        <v>9217</v>
      </c>
      <c r="G69" s="2">
        <f>Monthly_Growth!$C$2</f>
        <v>904109</v>
      </c>
      <c r="H69" s="5">
        <f>Monthly_Growth!$D$2</f>
        <v>0.16733031206827542</v>
      </c>
      <c r="I69" s="15">
        <f>Yearly_Growth!$C$2</f>
        <v>5.0333827436586778E-2</v>
      </c>
      <c r="J69" s="15">
        <f>Yearly_Growth!$D$2</f>
        <v>0.03</v>
      </c>
      <c r="K69">
        <f>Sales_Per_Representative!$C$4</f>
        <v>725713</v>
      </c>
      <c r="L69">
        <f>Sales_Per_Rep_Yearly_Goal!$B$2</f>
        <v>665544.80000000005</v>
      </c>
      <c r="M69">
        <f>Sales_Per_Rep_Yearly_Goal!$C$2</f>
        <v>650000</v>
      </c>
    </row>
    <row r="70" spans="1:13" x14ac:dyDescent="0.3">
      <c r="A70" s="3">
        <v>44945</v>
      </c>
      <c r="B70">
        <f t="shared" si="1"/>
        <v>2023</v>
      </c>
      <c r="C70">
        <v>1</v>
      </c>
      <c r="D70" t="s">
        <v>19</v>
      </c>
      <c r="E70" t="s">
        <v>31</v>
      </c>
      <c r="F70" s="2">
        <v>6679</v>
      </c>
      <c r="G70" s="2">
        <f>Monthly_Growth!$C$2</f>
        <v>904109</v>
      </c>
      <c r="H70" s="5">
        <f>Monthly_Growth!$D$2</f>
        <v>0.16733031206827542</v>
      </c>
      <c r="I70" s="15">
        <f>Yearly_Growth!$C$2</f>
        <v>5.0333827436586778E-2</v>
      </c>
      <c r="J70" s="15">
        <f>Yearly_Growth!$D$2</f>
        <v>0.03</v>
      </c>
      <c r="K70">
        <f>Sales_Per_Representative!$C$6</f>
        <v>727823</v>
      </c>
      <c r="L70">
        <f>Sales_Per_Rep_Yearly_Goal!$B$2</f>
        <v>665544.80000000005</v>
      </c>
      <c r="M70">
        <f>Sales_Per_Rep_Yearly_Goal!$C$2</f>
        <v>650000</v>
      </c>
    </row>
    <row r="71" spans="1:13" x14ac:dyDescent="0.3">
      <c r="A71" s="3">
        <v>44945</v>
      </c>
      <c r="B71">
        <f t="shared" si="1"/>
        <v>2023</v>
      </c>
      <c r="C71">
        <v>1</v>
      </c>
      <c r="D71" t="s">
        <v>25</v>
      </c>
      <c r="E71" t="s">
        <v>29</v>
      </c>
      <c r="F71" s="2">
        <v>10174</v>
      </c>
      <c r="G71" s="2">
        <f>Monthly_Growth!$C$2</f>
        <v>904109</v>
      </c>
      <c r="H71" s="5">
        <f>Monthly_Growth!$D$2</f>
        <v>0.16733031206827542</v>
      </c>
      <c r="I71" s="15">
        <f>Yearly_Growth!$C$2</f>
        <v>5.0333827436586778E-2</v>
      </c>
      <c r="J71" s="15">
        <f>Yearly_Growth!$D$2</f>
        <v>0.03</v>
      </c>
      <c r="K71">
        <f>Sales_Per_Representative!$C$13</f>
        <v>621548</v>
      </c>
      <c r="L71">
        <f>Sales_Per_Rep_Yearly_Goal!$B$2</f>
        <v>665544.80000000005</v>
      </c>
      <c r="M71">
        <f>Sales_Per_Rep_Yearly_Goal!$C$2</f>
        <v>650000</v>
      </c>
    </row>
    <row r="72" spans="1:13" x14ac:dyDescent="0.3">
      <c r="A72" s="3">
        <v>44945</v>
      </c>
      <c r="B72">
        <f t="shared" si="1"/>
        <v>2023</v>
      </c>
      <c r="C72">
        <v>1</v>
      </c>
      <c r="D72" t="s">
        <v>17</v>
      </c>
      <c r="E72" t="s">
        <v>26</v>
      </c>
      <c r="F72" s="2">
        <v>11108</v>
      </c>
      <c r="G72" s="2">
        <f>Monthly_Growth!$C$2</f>
        <v>904109</v>
      </c>
      <c r="H72" s="5">
        <f>Monthly_Growth!$D$2</f>
        <v>0.16733031206827542</v>
      </c>
      <c r="I72" s="15">
        <f>Yearly_Growth!$C$2</f>
        <v>5.0333827436586778E-2</v>
      </c>
      <c r="J72" s="15">
        <f>Yearly_Growth!$D$2</f>
        <v>0.03</v>
      </c>
      <c r="K72">
        <f>Sales_Per_Representative!$C$16</f>
        <v>666159</v>
      </c>
      <c r="L72">
        <f>Sales_Per_Rep_Yearly_Goal!$B$2</f>
        <v>665544.80000000005</v>
      </c>
      <c r="M72">
        <f>Sales_Per_Rep_Yearly_Goal!$C$2</f>
        <v>650000</v>
      </c>
    </row>
    <row r="73" spans="1:13" x14ac:dyDescent="0.3">
      <c r="A73" s="3">
        <v>44945</v>
      </c>
      <c r="B73">
        <f t="shared" si="1"/>
        <v>2023</v>
      </c>
      <c r="C73">
        <v>1</v>
      </c>
      <c r="D73" t="s">
        <v>17</v>
      </c>
      <c r="E73" t="s">
        <v>20</v>
      </c>
      <c r="F73" s="2">
        <v>4794</v>
      </c>
      <c r="G73" s="2">
        <f>Monthly_Growth!$C$2</f>
        <v>904109</v>
      </c>
      <c r="H73" s="5">
        <f>Monthly_Growth!$D$2</f>
        <v>0.16733031206827542</v>
      </c>
      <c r="I73" s="15">
        <f>Yearly_Growth!$C$2</f>
        <v>5.0333827436586778E-2</v>
      </c>
      <c r="J73" s="15">
        <f>Yearly_Growth!$D$2</f>
        <v>0.03</v>
      </c>
      <c r="K73">
        <f>Sales_Per_Representative!$C$14</f>
        <v>675530</v>
      </c>
      <c r="L73">
        <f>Sales_Per_Rep_Yearly_Goal!$B$2</f>
        <v>665544.80000000005</v>
      </c>
      <c r="M73">
        <f>Sales_Per_Rep_Yearly_Goal!$C$2</f>
        <v>650000</v>
      </c>
    </row>
    <row r="74" spans="1:13" x14ac:dyDescent="0.3">
      <c r="A74" s="3">
        <v>44945</v>
      </c>
      <c r="B74">
        <f t="shared" si="1"/>
        <v>2023</v>
      </c>
      <c r="C74">
        <v>1</v>
      </c>
      <c r="D74" t="s">
        <v>12</v>
      </c>
      <c r="E74" t="s">
        <v>32</v>
      </c>
      <c r="F74" s="2">
        <v>3132</v>
      </c>
      <c r="G74" s="2">
        <f>Monthly_Growth!$C$2</f>
        <v>904109</v>
      </c>
      <c r="H74" s="5">
        <f>Monthly_Growth!$D$2</f>
        <v>0.16733031206827542</v>
      </c>
      <c r="I74" s="15">
        <f>Yearly_Growth!$C$2</f>
        <v>5.0333827436586778E-2</v>
      </c>
      <c r="J74" s="15">
        <f>Yearly_Growth!$D$2</f>
        <v>0.03</v>
      </c>
      <c r="K74">
        <f>Sales_Per_Representative!$C$3</f>
        <v>762157</v>
      </c>
      <c r="L74">
        <f>Sales_Per_Rep_Yearly_Goal!$B$2</f>
        <v>665544.80000000005</v>
      </c>
      <c r="M74">
        <f>Sales_Per_Rep_Yearly_Goal!$C$2</f>
        <v>650000</v>
      </c>
    </row>
    <row r="75" spans="1:13" x14ac:dyDescent="0.3">
      <c r="A75" s="3">
        <v>44946</v>
      </c>
      <c r="B75">
        <f t="shared" si="1"/>
        <v>2023</v>
      </c>
      <c r="C75">
        <v>1</v>
      </c>
      <c r="D75" t="s">
        <v>23</v>
      </c>
      <c r="E75" t="s">
        <v>20</v>
      </c>
      <c r="F75" s="2">
        <v>11752</v>
      </c>
      <c r="G75" s="2">
        <f>Monthly_Growth!$C$2</f>
        <v>904109</v>
      </c>
      <c r="H75" s="5">
        <f>Monthly_Growth!$D$2</f>
        <v>0.16733031206827542</v>
      </c>
      <c r="I75" s="15">
        <f>Yearly_Growth!$C$2</f>
        <v>5.0333827436586778E-2</v>
      </c>
      <c r="J75" s="15">
        <f>Yearly_Growth!$D$2</f>
        <v>0.03</v>
      </c>
      <c r="K75">
        <f>Sales_Per_Representative!$C$14</f>
        <v>675530</v>
      </c>
      <c r="L75">
        <f>Sales_Per_Rep_Yearly_Goal!$B$2</f>
        <v>665544.80000000005</v>
      </c>
      <c r="M75">
        <f>Sales_Per_Rep_Yearly_Goal!$C$2</f>
        <v>650000</v>
      </c>
    </row>
    <row r="76" spans="1:13" x14ac:dyDescent="0.3">
      <c r="A76" s="3">
        <v>44946</v>
      </c>
      <c r="B76">
        <f t="shared" si="1"/>
        <v>2023</v>
      </c>
      <c r="C76">
        <v>1</v>
      </c>
      <c r="D76" t="s">
        <v>23</v>
      </c>
      <c r="E76" t="s">
        <v>5</v>
      </c>
      <c r="F76" s="2">
        <v>6444</v>
      </c>
      <c r="G76" s="2">
        <f>Monthly_Growth!$C$2</f>
        <v>904109</v>
      </c>
      <c r="H76" s="5">
        <f>Monthly_Growth!$D$2</f>
        <v>0.16733031206827542</v>
      </c>
      <c r="I76" s="15">
        <f>Yearly_Growth!$C$2</f>
        <v>5.0333827436586778E-2</v>
      </c>
      <c r="J76" s="15">
        <f>Yearly_Growth!$D$2</f>
        <v>0.03</v>
      </c>
      <c r="K76">
        <f>Sales_Per_Representative!$C$10</f>
        <v>663333</v>
      </c>
      <c r="L76">
        <f>Sales_Per_Rep_Yearly_Goal!$B$2</f>
        <v>665544.80000000005</v>
      </c>
      <c r="M76">
        <f>Sales_Per_Rep_Yearly_Goal!$C$2</f>
        <v>650000</v>
      </c>
    </row>
    <row r="77" spans="1:13" x14ac:dyDescent="0.3">
      <c r="A77" s="3">
        <v>44947</v>
      </c>
      <c r="B77">
        <f t="shared" si="1"/>
        <v>2023</v>
      </c>
      <c r="C77">
        <v>1</v>
      </c>
      <c r="D77" t="s">
        <v>19</v>
      </c>
      <c r="E77" t="s">
        <v>22</v>
      </c>
      <c r="F77" s="2">
        <v>6648</v>
      </c>
      <c r="G77" s="2">
        <f>Monthly_Growth!$C$2</f>
        <v>904109</v>
      </c>
      <c r="H77" s="5">
        <f>Monthly_Growth!$D$2</f>
        <v>0.16733031206827542</v>
      </c>
      <c r="I77" s="15">
        <f>Yearly_Growth!$C$2</f>
        <v>5.0333827436586778E-2</v>
      </c>
      <c r="J77" s="15">
        <f>Yearly_Growth!$D$2</f>
        <v>0.03</v>
      </c>
      <c r="K77">
        <f>Sales_Per_Representative!$C$8</f>
        <v>649456</v>
      </c>
      <c r="L77">
        <f>Sales_Per_Rep_Yearly_Goal!$B$2</f>
        <v>665544.80000000005</v>
      </c>
      <c r="M77">
        <f>Sales_Per_Rep_Yearly_Goal!$C$2</f>
        <v>650000</v>
      </c>
    </row>
    <row r="78" spans="1:13" x14ac:dyDescent="0.3">
      <c r="A78" s="3">
        <v>44947</v>
      </c>
      <c r="B78">
        <f t="shared" si="1"/>
        <v>2023</v>
      </c>
      <c r="C78">
        <v>1</v>
      </c>
      <c r="D78" t="s">
        <v>23</v>
      </c>
      <c r="E78" t="s">
        <v>8</v>
      </c>
      <c r="F78" s="2">
        <v>13386</v>
      </c>
      <c r="G78" s="2">
        <f>Monthly_Growth!$C$2</f>
        <v>904109</v>
      </c>
      <c r="H78" s="5">
        <f>Monthly_Growth!$D$2</f>
        <v>0.16733031206827542</v>
      </c>
      <c r="I78" s="15">
        <f>Yearly_Growth!$C$2</f>
        <v>5.0333827436586778E-2</v>
      </c>
      <c r="J78" s="15">
        <f>Yearly_Growth!$D$2</f>
        <v>0.03</v>
      </c>
      <c r="K78">
        <f>Sales_Per_Representative!$C$15</f>
        <v>701242</v>
      </c>
      <c r="L78">
        <f>Sales_Per_Rep_Yearly_Goal!$B$2</f>
        <v>665544.80000000005</v>
      </c>
      <c r="M78">
        <f>Sales_Per_Rep_Yearly_Goal!$C$2</f>
        <v>650000</v>
      </c>
    </row>
    <row r="79" spans="1:13" x14ac:dyDescent="0.3">
      <c r="A79" s="3">
        <v>44947</v>
      </c>
      <c r="B79">
        <f t="shared" si="1"/>
        <v>2023</v>
      </c>
      <c r="C79">
        <v>1</v>
      </c>
      <c r="D79" t="s">
        <v>25</v>
      </c>
      <c r="E79" t="s">
        <v>27</v>
      </c>
      <c r="F79" s="2">
        <v>9254</v>
      </c>
      <c r="G79" s="2">
        <f>Monthly_Growth!$C$2</f>
        <v>904109</v>
      </c>
      <c r="H79" s="5">
        <f>Monthly_Growth!$D$2</f>
        <v>0.16733031206827542</v>
      </c>
      <c r="I79" s="15">
        <f>Yearly_Growth!$C$2</f>
        <v>5.0333827436586778E-2</v>
      </c>
      <c r="J79" s="15">
        <f>Yearly_Growth!$D$2</f>
        <v>0.03</v>
      </c>
      <c r="K79">
        <f>Sales_Per_Representative!$C$5</f>
        <v>747962</v>
      </c>
      <c r="L79">
        <f>Sales_Per_Rep_Yearly_Goal!$B$2</f>
        <v>665544.80000000005</v>
      </c>
      <c r="M79">
        <f>Sales_Per_Rep_Yearly_Goal!$C$2</f>
        <v>650000</v>
      </c>
    </row>
    <row r="80" spans="1:13" x14ac:dyDescent="0.3">
      <c r="A80" s="3">
        <v>44947</v>
      </c>
      <c r="B80">
        <f t="shared" si="1"/>
        <v>2023</v>
      </c>
      <c r="C80">
        <v>1</v>
      </c>
      <c r="D80" t="s">
        <v>17</v>
      </c>
      <c r="E80" t="s">
        <v>5</v>
      </c>
      <c r="F80" s="2">
        <v>13000</v>
      </c>
      <c r="G80" s="2">
        <f>Monthly_Growth!$C$2</f>
        <v>904109</v>
      </c>
      <c r="H80" s="5">
        <f>Monthly_Growth!$D$2</f>
        <v>0.16733031206827542</v>
      </c>
      <c r="I80" s="15">
        <f>Yearly_Growth!$C$2</f>
        <v>5.0333827436586778E-2</v>
      </c>
      <c r="J80" s="15">
        <f>Yearly_Growth!$D$2</f>
        <v>0.03</v>
      </c>
      <c r="K80">
        <f>Sales_Per_Representative!$C$10</f>
        <v>663333</v>
      </c>
      <c r="L80">
        <f>Sales_Per_Rep_Yearly_Goal!$B$2</f>
        <v>665544.80000000005</v>
      </c>
      <c r="M80">
        <f>Sales_Per_Rep_Yearly_Goal!$C$2</f>
        <v>650000</v>
      </c>
    </row>
    <row r="81" spans="1:13" x14ac:dyDescent="0.3">
      <c r="A81" s="3">
        <v>44947</v>
      </c>
      <c r="B81">
        <f t="shared" si="1"/>
        <v>2023</v>
      </c>
      <c r="C81">
        <v>1</v>
      </c>
      <c r="D81" t="s">
        <v>12</v>
      </c>
      <c r="E81" t="s">
        <v>10</v>
      </c>
      <c r="F81" s="2">
        <v>8302</v>
      </c>
      <c r="G81" s="2">
        <f>Monthly_Growth!$C$2</f>
        <v>904109</v>
      </c>
      <c r="H81" s="5">
        <f>Monthly_Growth!$D$2</f>
        <v>0.16733031206827542</v>
      </c>
      <c r="I81" s="15">
        <f>Yearly_Growth!$C$2</f>
        <v>5.0333827436586778E-2</v>
      </c>
      <c r="J81" s="15">
        <f>Yearly_Growth!$D$2</f>
        <v>0.03</v>
      </c>
      <c r="K81">
        <f>Sales_Per_Representative!$C$4</f>
        <v>725713</v>
      </c>
      <c r="L81">
        <f>Sales_Per_Rep_Yearly_Goal!$B$2</f>
        <v>665544.80000000005</v>
      </c>
      <c r="M81">
        <f>Sales_Per_Rep_Yearly_Goal!$C$2</f>
        <v>650000</v>
      </c>
    </row>
    <row r="82" spans="1:13" x14ac:dyDescent="0.3">
      <c r="A82" s="3">
        <v>44947</v>
      </c>
      <c r="B82">
        <f t="shared" si="1"/>
        <v>2023</v>
      </c>
      <c r="C82">
        <v>1</v>
      </c>
      <c r="D82" t="s">
        <v>12</v>
      </c>
      <c r="E82" t="s">
        <v>10</v>
      </c>
      <c r="F82" s="2">
        <v>12667</v>
      </c>
      <c r="G82" s="2">
        <f>Monthly_Growth!$C$2</f>
        <v>904109</v>
      </c>
      <c r="H82" s="5">
        <f>Monthly_Growth!$D$2</f>
        <v>0.16733031206827542</v>
      </c>
      <c r="I82" s="15">
        <f>Yearly_Growth!$C$2</f>
        <v>5.0333827436586778E-2</v>
      </c>
      <c r="J82" s="15">
        <f>Yearly_Growth!$D$2</f>
        <v>0.03</v>
      </c>
      <c r="K82">
        <f>Sales_Per_Representative!$C$4</f>
        <v>725713</v>
      </c>
      <c r="L82">
        <f>Sales_Per_Rep_Yearly_Goal!$B$2</f>
        <v>665544.80000000005</v>
      </c>
      <c r="M82">
        <f>Sales_Per_Rep_Yearly_Goal!$C$2</f>
        <v>650000</v>
      </c>
    </row>
    <row r="83" spans="1:13" x14ac:dyDescent="0.3">
      <c r="A83" s="3">
        <v>44948</v>
      </c>
      <c r="B83">
        <f t="shared" si="1"/>
        <v>2023</v>
      </c>
      <c r="C83">
        <v>1</v>
      </c>
      <c r="D83" t="s">
        <v>14</v>
      </c>
      <c r="E83" t="s">
        <v>33</v>
      </c>
      <c r="F83" s="2">
        <v>8888</v>
      </c>
      <c r="G83" s="2">
        <f>Monthly_Growth!$C$2</f>
        <v>904109</v>
      </c>
      <c r="H83" s="5">
        <f>Monthly_Growth!$D$2</f>
        <v>0.16733031206827542</v>
      </c>
      <c r="I83" s="15">
        <f>Yearly_Growth!$C$2</f>
        <v>5.0333827436586778E-2</v>
      </c>
      <c r="J83" s="15">
        <f>Yearly_Growth!$D$2</f>
        <v>0.03</v>
      </c>
      <c r="K83">
        <f>Sales_Per_Representative!$C$11</f>
        <v>496886</v>
      </c>
      <c r="L83">
        <f>Sales_Per_Rep_Yearly_Goal!$B$2</f>
        <v>665544.80000000005</v>
      </c>
      <c r="M83">
        <f>Sales_Per_Rep_Yearly_Goal!$C$2</f>
        <v>650000</v>
      </c>
    </row>
    <row r="84" spans="1:13" x14ac:dyDescent="0.3">
      <c r="A84" s="3">
        <v>44948</v>
      </c>
      <c r="B84">
        <f t="shared" si="1"/>
        <v>2023</v>
      </c>
      <c r="C84">
        <v>1</v>
      </c>
      <c r="D84" t="s">
        <v>14</v>
      </c>
      <c r="E84" t="s">
        <v>24</v>
      </c>
      <c r="F84" s="2">
        <v>2836</v>
      </c>
      <c r="G84" s="2">
        <f>Monthly_Growth!$C$2</f>
        <v>904109</v>
      </c>
      <c r="H84" s="5">
        <f>Monthly_Growth!$D$2</f>
        <v>0.16733031206827542</v>
      </c>
      <c r="I84" s="15">
        <f>Yearly_Growth!$C$2</f>
        <v>5.0333827436586778E-2</v>
      </c>
      <c r="J84" s="15">
        <f>Yearly_Growth!$D$2</f>
        <v>0.03</v>
      </c>
      <c r="K84">
        <f>Sales_Per_Representative!$C$2</f>
        <v>631195</v>
      </c>
      <c r="L84">
        <f>Sales_Per_Rep_Yearly_Goal!$B$2</f>
        <v>665544.80000000005</v>
      </c>
      <c r="M84">
        <f>Sales_Per_Rep_Yearly_Goal!$C$2</f>
        <v>650000</v>
      </c>
    </row>
    <row r="85" spans="1:13" x14ac:dyDescent="0.3">
      <c r="A85" s="3">
        <v>44948</v>
      </c>
      <c r="B85">
        <f t="shared" si="1"/>
        <v>2023</v>
      </c>
      <c r="C85">
        <v>1</v>
      </c>
      <c r="D85" t="s">
        <v>14</v>
      </c>
      <c r="E85" t="s">
        <v>30</v>
      </c>
      <c r="F85" s="2">
        <v>2335</v>
      </c>
      <c r="G85" s="2">
        <f>Monthly_Growth!$C$2</f>
        <v>904109</v>
      </c>
      <c r="H85" s="5">
        <f>Monthly_Growth!$D$2</f>
        <v>0.16733031206827542</v>
      </c>
      <c r="I85" s="15">
        <f>Yearly_Growth!$C$2</f>
        <v>5.0333827436586778E-2</v>
      </c>
      <c r="J85" s="15">
        <f>Yearly_Growth!$D$2</f>
        <v>0.03</v>
      </c>
      <c r="K85">
        <f>Sales_Per_Representative!$C$7</f>
        <v>706974</v>
      </c>
      <c r="L85">
        <f>Sales_Per_Rep_Yearly_Goal!$B$2</f>
        <v>665544.80000000005</v>
      </c>
      <c r="M85">
        <f>Sales_Per_Rep_Yearly_Goal!$C$2</f>
        <v>650000</v>
      </c>
    </row>
    <row r="86" spans="1:13" x14ac:dyDescent="0.3">
      <c r="A86" s="3">
        <v>44948</v>
      </c>
      <c r="B86">
        <f t="shared" si="1"/>
        <v>2023</v>
      </c>
      <c r="C86">
        <v>1</v>
      </c>
      <c r="D86" t="s">
        <v>25</v>
      </c>
      <c r="E86" t="s">
        <v>18</v>
      </c>
      <c r="F86" s="2">
        <v>10927</v>
      </c>
      <c r="G86" s="2">
        <f>Monthly_Growth!$C$2</f>
        <v>904109</v>
      </c>
      <c r="H86" s="5">
        <f>Monthly_Growth!$D$2</f>
        <v>0.16733031206827542</v>
      </c>
      <c r="I86" s="15">
        <f>Yearly_Growth!$C$2</f>
        <v>5.0333827436586778E-2</v>
      </c>
      <c r="J86" s="15">
        <f>Yearly_Growth!$D$2</f>
        <v>0.03</v>
      </c>
      <c r="K86">
        <f>Sales_Per_Representative!$C$9</f>
        <v>550835</v>
      </c>
      <c r="L86">
        <f>Sales_Per_Rep_Yearly_Goal!$B$2</f>
        <v>665544.80000000005</v>
      </c>
      <c r="M86">
        <f>Sales_Per_Rep_Yearly_Goal!$C$2</f>
        <v>650000</v>
      </c>
    </row>
    <row r="87" spans="1:13" x14ac:dyDescent="0.3">
      <c r="A87" s="3">
        <v>44948</v>
      </c>
      <c r="B87">
        <f t="shared" si="1"/>
        <v>2023</v>
      </c>
      <c r="C87">
        <v>1</v>
      </c>
      <c r="D87" t="s">
        <v>7</v>
      </c>
      <c r="E87" t="s">
        <v>5</v>
      </c>
      <c r="F87" s="2">
        <v>13111</v>
      </c>
      <c r="G87" s="2">
        <f>Monthly_Growth!$C$2</f>
        <v>904109</v>
      </c>
      <c r="H87" s="5">
        <f>Monthly_Growth!$D$2</f>
        <v>0.16733031206827542</v>
      </c>
      <c r="I87" s="15">
        <f>Yearly_Growth!$C$2</f>
        <v>5.0333827436586778E-2</v>
      </c>
      <c r="J87" s="15">
        <f>Yearly_Growth!$D$2</f>
        <v>0.03</v>
      </c>
      <c r="K87">
        <f>Sales_Per_Representative!$C$10</f>
        <v>663333</v>
      </c>
      <c r="L87">
        <f>Sales_Per_Rep_Yearly_Goal!$B$2</f>
        <v>665544.80000000005</v>
      </c>
      <c r="M87">
        <f>Sales_Per_Rep_Yearly_Goal!$C$2</f>
        <v>650000</v>
      </c>
    </row>
    <row r="88" spans="1:13" x14ac:dyDescent="0.3">
      <c r="A88" s="3">
        <v>44948</v>
      </c>
      <c r="B88">
        <f t="shared" si="1"/>
        <v>2023</v>
      </c>
      <c r="C88">
        <v>1</v>
      </c>
      <c r="D88" t="s">
        <v>7</v>
      </c>
      <c r="E88" t="s">
        <v>30</v>
      </c>
      <c r="F88" s="2">
        <v>13335</v>
      </c>
      <c r="G88" s="2">
        <f>Monthly_Growth!$C$2</f>
        <v>904109</v>
      </c>
      <c r="H88" s="5">
        <f>Monthly_Growth!$D$2</f>
        <v>0.16733031206827542</v>
      </c>
      <c r="I88" s="15">
        <f>Yearly_Growth!$C$2</f>
        <v>5.0333827436586778E-2</v>
      </c>
      <c r="J88" s="15">
        <f>Yearly_Growth!$D$2</f>
        <v>0.03</v>
      </c>
      <c r="K88">
        <f>Sales_Per_Representative!$C$7</f>
        <v>706974</v>
      </c>
      <c r="L88">
        <f>Sales_Per_Rep_Yearly_Goal!$B$2</f>
        <v>665544.80000000005</v>
      </c>
      <c r="M88">
        <f>Sales_Per_Rep_Yearly_Goal!$C$2</f>
        <v>650000</v>
      </c>
    </row>
    <row r="89" spans="1:13" x14ac:dyDescent="0.3">
      <c r="A89" s="3">
        <v>44949</v>
      </c>
      <c r="B89">
        <f t="shared" si="1"/>
        <v>2023</v>
      </c>
      <c r="C89">
        <v>1</v>
      </c>
      <c r="D89" t="s">
        <v>19</v>
      </c>
      <c r="E89" t="s">
        <v>30</v>
      </c>
      <c r="F89" s="2">
        <v>1400</v>
      </c>
      <c r="G89" s="2">
        <f>Monthly_Growth!$C$2</f>
        <v>904109</v>
      </c>
      <c r="H89" s="5">
        <f>Monthly_Growth!$D$2</f>
        <v>0.16733031206827542</v>
      </c>
      <c r="I89" s="15">
        <f>Yearly_Growth!$C$2</f>
        <v>5.0333827436586778E-2</v>
      </c>
      <c r="J89" s="15">
        <f>Yearly_Growth!$D$2</f>
        <v>0.03</v>
      </c>
      <c r="K89">
        <f>Sales_Per_Representative!$C$7</f>
        <v>706974</v>
      </c>
      <c r="L89">
        <f>Sales_Per_Rep_Yearly_Goal!$B$2</f>
        <v>665544.80000000005</v>
      </c>
      <c r="M89">
        <f>Sales_Per_Rep_Yearly_Goal!$C$2</f>
        <v>650000</v>
      </c>
    </row>
    <row r="90" spans="1:13" x14ac:dyDescent="0.3">
      <c r="A90" s="3">
        <v>44949</v>
      </c>
      <c r="B90">
        <f t="shared" si="1"/>
        <v>2023</v>
      </c>
      <c r="C90">
        <v>1</v>
      </c>
      <c r="D90" t="s">
        <v>19</v>
      </c>
      <c r="E90" t="s">
        <v>10</v>
      </c>
      <c r="F90" s="2">
        <v>8878</v>
      </c>
      <c r="G90" s="2">
        <f>Monthly_Growth!$C$2</f>
        <v>904109</v>
      </c>
      <c r="H90" s="5">
        <f>Monthly_Growth!$D$2</f>
        <v>0.16733031206827542</v>
      </c>
      <c r="I90" s="15">
        <f>Yearly_Growth!$C$2</f>
        <v>5.0333827436586778E-2</v>
      </c>
      <c r="J90" s="15">
        <f>Yearly_Growth!$D$2</f>
        <v>0.03</v>
      </c>
      <c r="K90">
        <f>Sales_Per_Representative!$C$4</f>
        <v>725713</v>
      </c>
      <c r="L90">
        <f>Sales_Per_Rep_Yearly_Goal!$B$2</f>
        <v>665544.80000000005</v>
      </c>
      <c r="M90">
        <f>Sales_Per_Rep_Yearly_Goal!$C$2</f>
        <v>650000</v>
      </c>
    </row>
    <row r="91" spans="1:13" x14ac:dyDescent="0.3">
      <c r="A91" s="3">
        <v>44949</v>
      </c>
      <c r="B91">
        <f t="shared" si="1"/>
        <v>2023</v>
      </c>
      <c r="C91">
        <v>1</v>
      </c>
      <c r="D91" t="s">
        <v>28</v>
      </c>
      <c r="E91" t="s">
        <v>15</v>
      </c>
      <c r="F91" s="2">
        <v>3357</v>
      </c>
      <c r="G91" s="2">
        <f>Monthly_Growth!$C$2</f>
        <v>904109</v>
      </c>
      <c r="H91" s="5">
        <f>Monthly_Growth!$D$2</f>
        <v>0.16733031206827542</v>
      </c>
      <c r="I91" s="15">
        <f>Yearly_Growth!$C$2</f>
        <v>5.0333827436586778E-2</v>
      </c>
      <c r="J91" s="15">
        <f>Yearly_Growth!$D$2</f>
        <v>0.03</v>
      </c>
      <c r="K91">
        <f>Sales_Per_Representative!$C$12</f>
        <v>656359</v>
      </c>
      <c r="L91">
        <f>Sales_Per_Rep_Yearly_Goal!$B$2</f>
        <v>665544.80000000005</v>
      </c>
      <c r="M91">
        <f>Sales_Per_Rep_Yearly_Goal!$C$2</f>
        <v>650000</v>
      </c>
    </row>
    <row r="92" spans="1:13" x14ac:dyDescent="0.3">
      <c r="A92" s="3">
        <v>44950</v>
      </c>
      <c r="B92">
        <f t="shared" si="1"/>
        <v>2023</v>
      </c>
      <c r="C92">
        <v>1</v>
      </c>
      <c r="D92" t="s">
        <v>19</v>
      </c>
      <c r="E92" t="s">
        <v>26</v>
      </c>
      <c r="F92" s="2">
        <v>9167</v>
      </c>
      <c r="G92" s="2">
        <f>Monthly_Growth!$C$2</f>
        <v>904109</v>
      </c>
      <c r="H92" s="5">
        <f>Monthly_Growth!$D$2</f>
        <v>0.16733031206827542</v>
      </c>
      <c r="I92" s="15">
        <f>Yearly_Growth!$C$2</f>
        <v>5.0333827436586778E-2</v>
      </c>
      <c r="J92" s="15">
        <f>Yearly_Growth!$D$2</f>
        <v>0.03</v>
      </c>
      <c r="K92">
        <f>Sales_Per_Representative!$C$16</f>
        <v>666159</v>
      </c>
      <c r="L92">
        <f>Sales_Per_Rep_Yearly_Goal!$B$2</f>
        <v>665544.80000000005</v>
      </c>
      <c r="M92">
        <f>Sales_Per_Rep_Yearly_Goal!$C$2</f>
        <v>650000</v>
      </c>
    </row>
    <row r="93" spans="1:13" x14ac:dyDescent="0.3">
      <c r="A93" s="3">
        <v>44950</v>
      </c>
      <c r="B93">
        <f t="shared" si="1"/>
        <v>2023</v>
      </c>
      <c r="C93">
        <v>1</v>
      </c>
      <c r="D93" t="s">
        <v>7</v>
      </c>
      <c r="E93" t="s">
        <v>27</v>
      </c>
      <c r="F93" s="2">
        <v>11645</v>
      </c>
      <c r="G93" s="2">
        <f>Monthly_Growth!$C$2</f>
        <v>904109</v>
      </c>
      <c r="H93" s="5">
        <f>Monthly_Growth!$D$2</f>
        <v>0.16733031206827542</v>
      </c>
      <c r="I93" s="15">
        <f>Yearly_Growth!$C$2</f>
        <v>5.0333827436586778E-2</v>
      </c>
      <c r="J93" s="15">
        <f>Yearly_Growth!$D$2</f>
        <v>0.03</v>
      </c>
      <c r="K93">
        <f>Sales_Per_Representative!$C$5</f>
        <v>747962</v>
      </c>
      <c r="L93">
        <f>Sales_Per_Rep_Yearly_Goal!$B$2</f>
        <v>665544.80000000005</v>
      </c>
      <c r="M93">
        <f>Sales_Per_Rep_Yearly_Goal!$C$2</f>
        <v>650000</v>
      </c>
    </row>
    <row r="94" spans="1:13" x14ac:dyDescent="0.3">
      <c r="A94" s="3">
        <v>44950</v>
      </c>
      <c r="B94">
        <f t="shared" si="1"/>
        <v>2023</v>
      </c>
      <c r="C94">
        <v>1</v>
      </c>
      <c r="D94" t="s">
        <v>7</v>
      </c>
      <c r="E94" t="s">
        <v>32</v>
      </c>
      <c r="F94" s="2">
        <v>8727</v>
      </c>
      <c r="G94" s="2">
        <f>Monthly_Growth!$C$2</f>
        <v>904109</v>
      </c>
      <c r="H94" s="5">
        <f>Monthly_Growth!$D$2</f>
        <v>0.16733031206827542</v>
      </c>
      <c r="I94" s="15">
        <f>Yearly_Growth!$C$2</f>
        <v>5.0333827436586778E-2</v>
      </c>
      <c r="J94" s="15">
        <f>Yearly_Growth!$D$2</f>
        <v>0.03</v>
      </c>
      <c r="K94">
        <f>Sales_Per_Representative!$C$3</f>
        <v>762157</v>
      </c>
      <c r="L94">
        <f>Sales_Per_Rep_Yearly_Goal!$B$2</f>
        <v>665544.80000000005</v>
      </c>
      <c r="M94">
        <f>Sales_Per_Rep_Yearly_Goal!$C$2</f>
        <v>650000</v>
      </c>
    </row>
    <row r="95" spans="1:13" x14ac:dyDescent="0.3">
      <c r="A95" s="3">
        <v>44951</v>
      </c>
      <c r="B95">
        <f t="shared" si="1"/>
        <v>2023</v>
      </c>
      <c r="C95">
        <v>1</v>
      </c>
      <c r="D95" t="s">
        <v>19</v>
      </c>
      <c r="E95" t="s">
        <v>10</v>
      </c>
      <c r="F95" s="2">
        <v>12815</v>
      </c>
      <c r="G95" s="2">
        <f>Monthly_Growth!$C$2</f>
        <v>904109</v>
      </c>
      <c r="H95" s="5">
        <f>Monthly_Growth!$D$2</f>
        <v>0.16733031206827542</v>
      </c>
      <c r="I95" s="15">
        <f>Yearly_Growth!$C$2</f>
        <v>5.0333827436586778E-2</v>
      </c>
      <c r="J95" s="15">
        <f>Yearly_Growth!$D$2</f>
        <v>0.03</v>
      </c>
      <c r="K95">
        <f>Sales_Per_Representative!$C$4</f>
        <v>725713</v>
      </c>
      <c r="L95">
        <f>Sales_Per_Rep_Yearly_Goal!$B$2</f>
        <v>665544.80000000005</v>
      </c>
      <c r="M95">
        <f>Sales_Per_Rep_Yearly_Goal!$C$2</f>
        <v>650000</v>
      </c>
    </row>
    <row r="96" spans="1:13" x14ac:dyDescent="0.3">
      <c r="A96" s="3">
        <v>44951</v>
      </c>
      <c r="B96">
        <f t="shared" si="1"/>
        <v>2023</v>
      </c>
      <c r="C96">
        <v>1</v>
      </c>
      <c r="D96" t="s">
        <v>19</v>
      </c>
      <c r="E96" t="s">
        <v>18</v>
      </c>
      <c r="F96" s="2">
        <v>8386</v>
      </c>
      <c r="G96" s="2">
        <f>Monthly_Growth!$C$2</f>
        <v>904109</v>
      </c>
      <c r="H96" s="5">
        <f>Monthly_Growth!$D$2</f>
        <v>0.16733031206827542</v>
      </c>
      <c r="I96" s="15">
        <f>Yearly_Growth!$C$2</f>
        <v>5.0333827436586778E-2</v>
      </c>
      <c r="J96" s="15">
        <f>Yearly_Growth!$D$2</f>
        <v>0.03</v>
      </c>
      <c r="K96">
        <f>Sales_Per_Representative!$C$9</f>
        <v>550835</v>
      </c>
      <c r="L96">
        <f>Sales_Per_Rep_Yearly_Goal!$B$2</f>
        <v>665544.80000000005</v>
      </c>
      <c r="M96">
        <f>Sales_Per_Rep_Yearly_Goal!$C$2</f>
        <v>650000</v>
      </c>
    </row>
    <row r="97" spans="1:13" x14ac:dyDescent="0.3">
      <c r="A97" s="3">
        <v>44951</v>
      </c>
      <c r="B97">
        <f t="shared" si="1"/>
        <v>2023</v>
      </c>
      <c r="C97">
        <v>1</v>
      </c>
      <c r="D97" t="s">
        <v>23</v>
      </c>
      <c r="E97" t="s">
        <v>20</v>
      </c>
      <c r="F97" s="2">
        <v>2703</v>
      </c>
      <c r="G97" s="2">
        <f>Monthly_Growth!$C$2</f>
        <v>904109</v>
      </c>
      <c r="H97" s="5">
        <f>Monthly_Growth!$D$2</f>
        <v>0.16733031206827542</v>
      </c>
      <c r="I97" s="15">
        <f>Yearly_Growth!$C$2</f>
        <v>5.0333827436586778E-2</v>
      </c>
      <c r="J97" s="15">
        <f>Yearly_Growth!$D$2</f>
        <v>0.03</v>
      </c>
      <c r="K97">
        <f>Sales_Per_Representative!$C$14</f>
        <v>675530</v>
      </c>
      <c r="L97">
        <f>Sales_Per_Rep_Yearly_Goal!$B$2</f>
        <v>665544.80000000005</v>
      </c>
      <c r="M97">
        <f>Sales_Per_Rep_Yearly_Goal!$C$2</f>
        <v>650000</v>
      </c>
    </row>
    <row r="98" spans="1:13" x14ac:dyDescent="0.3">
      <c r="A98" s="3">
        <v>44951</v>
      </c>
      <c r="B98">
        <f t="shared" si="1"/>
        <v>2023</v>
      </c>
      <c r="C98">
        <v>1</v>
      </c>
      <c r="D98" t="s">
        <v>25</v>
      </c>
      <c r="E98" t="s">
        <v>10</v>
      </c>
      <c r="F98" s="2">
        <v>1631</v>
      </c>
      <c r="G98" s="2">
        <f>Monthly_Growth!$C$2</f>
        <v>904109</v>
      </c>
      <c r="H98" s="5">
        <f>Monthly_Growth!$D$2</f>
        <v>0.16733031206827542</v>
      </c>
      <c r="I98" s="15">
        <f>Yearly_Growth!$C$2</f>
        <v>5.0333827436586778E-2</v>
      </c>
      <c r="J98" s="15">
        <f>Yearly_Growth!$D$2</f>
        <v>0.03</v>
      </c>
      <c r="K98">
        <f>Sales_Per_Representative!$C$4</f>
        <v>725713</v>
      </c>
      <c r="L98">
        <f>Sales_Per_Rep_Yearly_Goal!$B$2</f>
        <v>665544.80000000005</v>
      </c>
      <c r="M98">
        <f>Sales_Per_Rep_Yearly_Goal!$C$2</f>
        <v>650000</v>
      </c>
    </row>
    <row r="99" spans="1:13" x14ac:dyDescent="0.3">
      <c r="A99" s="3">
        <v>44951</v>
      </c>
      <c r="B99">
        <f t="shared" si="1"/>
        <v>2023</v>
      </c>
      <c r="C99">
        <v>1</v>
      </c>
      <c r="D99" t="s">
        <v>7</v>
      </c>
      <c r="E99" t="s">
        <v>27</v>
      </c>
      <c r="F99" s="2">
        <v>13093</v>
      </c>
      <c r="G99" s="2">
        <f>Monthly_Growth!$C$2</f>
        <v>904109</v>
      </c>
      <c r="H99" s="5">
        <f>Monthly_Growth!$D$2</f>
        <v>0.16733031206827542</v>
      </c>
      <c r="I99" s="15">
        <f>Yearly_Growth!$C$2</f>
        <v>5.0333827436586778E-2</v>
      </c>
      <c r="J99" s="15">
        <f>Yearly_Growth!$D$2</f>
        <v>0.03</v>
      </c>
      <c r="K99">
        <f>Sales_Per_Representative!$C$5</f>
        <v>747962</v>
      </c>
      <c r="L99">
        <f>Sales_Per_Rep_Yearly_Goal!$B$2</f>
        <v>665544.80000000005</v>
      </c>
      <c r="M99">
        <f>Sales_Per_Rep_Yearly_Goal!$C$2</f>
        <v>650000</v>
      </c>
    </row>
    <row r="100" spans="1:13" x14ac:dyDescent="0.3">
      <c r="A100" s="3">
        <v>44951</v>
      </c>
      <c r="B100">
        <f t="shared" si="1"/>
        <v>2023</v>
      </c>
      <c r="C100">
        <v>1</v>
      </c>
      <c r="D100" t="s">
        <v>12</v>
      </c>
      <c r="E100" t="s">
        <v>32</v>
      </c>
      <c r="F100" s="2">
        <v>2887</v>
      </c>
      <c r="G100" s="2">
        <f>Monthly_Growth!$C$2</f>
        <v>904109</v>
      </c>
      <c r="H100" s="5">
        <f>Monthly_Growth!$D$2</f>
        <v>0.16733031206827542</v>
      </c>
      <c r="I100" s="15">
        <f>Yearly_Growth!$C$2</f>
        <v>5.0333827436586778E-2</v>
      </c>
      <c r="J100" s="15">
        <f>Yearly_Growth!$D$2</f>
        <v>0.03</v>
      </c>
      <c r="K100">
        <f>Sales_Per_Representative!$C$3</f>
        <v>762157</v>
      </c>
      <c r="L100">
        <f>Sales_Per_Rep_Yearly_Goal!$B$2</f>
        <v>665544.80000000005</v>
      </c>
      <c r="M100">
        <f>Sales_Per_Rep_Yearly_Goal!$C$2</f>
        <v>650000</v>
      </c>
    </row>
    <row r="101" spans="1:13" x14ac:dyDescent="0.3">
      <c r="A101" s="3">
        <v>44952</v>
      </c>
      <c r="B101">
        <f t="shared" si="1"/>
        <v>2023</v>
      </c>
      <c r="C101">
        <v>1</v>
      </c>
      <c r="D101" t="s">
        <v>19</v>
      </c>
      <c r="E101" t="s">
        <v>29</v>
      </c>
      <c r="F101" s="2">
        <v>2970</v>
      </c>
      <c r="G101" s="2">
        <f>Monthly_Growth!$C$2</f>
        <v>904109</v>
      </c>
      <c r="H101" s="5">
        <f>Monthly_Growth!$D$2</f>
        <v>0.16733031206827542</v>
      </c>
      <c r="I101" s="15">
        <f>Yearly_Growth!$C$2</f>
        <v>5.0333827436586778E-2</v>
      </c>
      <c r="J101" s="15">
        <f>Yearly_Growth!$D$2</f>
        <v>0.03</v>
      </c>
      <c r="K101">
        <f>Sales_Per_Representative!$C$13</f>
        <v>621548</v>
      </c>
      <c r="L101">
        <f>Sales_Per_Rep_Yearly_Goal!$B$2</f>
        <v>665544.80000000005</v>
      </c>
      <c r="M101">
        <f>Sales_Per_Rep_Yearly_Goal!$C$2</f>
        <v>650000</v>
      </c>
    </row>
    <row r="102" spans="1:13" x14ac:dyDescent="0.3">
      <c r="A102" s="3">
        <v>44952</v>
      </c>
      <c r="B102">
        <f t="shared" si="1"/>
        <v>2023</v>
      </c>
      <c r="C102">
        <v>1</v>
      </c>
      <c r="D102" t="s">
        <v>7</v>
      </c>
      <c r="E102" t="s">
        <v>29</v>
      </c>
      <c r="F102" s="2">
        <v>3862</v>
      </c>
      <c r="G102" s="2">
        <f>Monthly_Growth!$C$2</f>
        <v>904109</v>
      </c>
      <c r="H102" s="5">
        <f>Monthly_Growth!$D$2</f>
        <v>0.16733031206827542</v>
      </c>
      <c r="I102" s="15">
        <f>Yearly_Growth!$C$2</f>
        <v>5.0333827436586778E-2</v>
      </c>
      <c r="J102" s="15">
        <f>Yearly_Growth!$D$2</f>
        <v>0.03</v>
      </c>
      <c r="K102">
        <f>Sales_Per_Representative!$C$13</f>
        <v>621548</v>
      </c>
      <c r="L102">
        <f>Sales_Per_Rep_Yearly_Goal!$B$2</f>
        <v>665544.80000000005</v>
      </c>
      <c r="M102">
        <f>Sales_Per_Rep_Yearly_Goal!$C$2</f>
        <v>650000</v>
      </c>
    </row>
    <row r="103" spans="1:13" x14ac:dyDescent="0.3">
      <c r="A103" s="3">
        <v>44952</v>
      </c>
      <c r="B103">
        <f t="shared" si="1"/>
        <v>2023</v>
      </c>
      <c r="C103">
        <v>1</v>
      </c>
      <c r="D103" t="s">
        <v>7</v>
      </c>
      <c r="E103" t="s">
        <v>10</v>
      </c>
      <c r="F103" s="2">
        <v>9957</v>
      </c>
      <c r="G103" s="2">
        <f>Monthly_Growth!$C$2</f>
        <v>904109</v>
      </c>
      <c r="H103" s="5">
        <f>Monthly_Growth!$D$2</f>
        <v>0.16733031206827542</v>
      </c>
      <c r="I103" s="15">
        <f>Yearly_Growth!$C$2</f>
        <v>5.0333827436586778E-2</v>
      </c>
      <c r="J103" s="15">
        <f>Yearly_Growth!$D$2</f>
        <v>0.03</v>
      </c>
      <c r="K103">
        <f>Sales_Per_Representative!$C$4</f>
        <v>725713</v>
      </c>
      <c r="L103">
        <f>Sales_Per_Rep_Yearly_Goal!$B$2</f>
        <v>665544.80000000005</v>
      </c>
      <c r="M103">
        <f>Sales_Per_Rep_Yearly_Goal!$C$2</f>
        <v>650000</v>
      </c>
    </row>
    <row r="104" spans="1:13" x14ac:dyDescent="0.3">
      <c r="A104" s="3">
        <v>44953</v>
      </c>
      <c r="B104">
        <f t="shared" si="1"/>
        <v>2023</v>
      </c>
      <c r="C104">
        <v>1</v>
      </c>
      <c r="D104" t="s">
        <v>23</v>
      </c>
      <c r="E104" t="s">
        <v>27</v>
      </c>
      <c r="F104" s="2">
        <v>3829</v>
      </c>
      <c r="G104" s="2">
        <f>Monthly_Growth!$C$2</f>
        <v>904109</v>
      </c>
      <c r="H104" s="5">
        <f>Monthly_Growth!$D$2</f>
        <v>0.16733031206827542</v>
      </c>
      <c r="I104" s="15">
        <f>Yearly_Growth!$C$2</f>
        <v>5.0333827436586778E-2</v>
      </c>
      <c r="J104" s="15">
        <f>Yearly_Growth!$D$2</f>
        <v>0.03</v>
      </c>
      <c r="K104">
        <f>Sales_Per_Representative!$C$5</f>
        <v>747962</v>
      </c>
      <c r="L104">
        <f>Sales_Per_Rep_Yearly_Goal!$B$2</f>
        <v>665544.80000000005</v>
      </c>
      <c r="M104">
        <f>Sales_Per_Rep_Yearly_Goal!$C$2</f>
        <v>650000</v>
      </c>
    </row>
    <row r="105" spans="1:13" x14ac:dyDescent="0.3">
      <c r="A105" s="3">
        <v>44953</v>
      </c>
      <c r="B105">
        <f t="shared" si="1"/>
        <v>2023</v>
      </c>
      <c r="C105">
        <v>1</v>
      </c>
      <c r="D105" t="s">
        <v>25</v>
      </c>
      <c r="E105" t="s">
        <v>32</v>
      </c>
      <c r="F105" s="2">
        <v>7847</v>
      </c>
      <c r="G105" s="2">
        <f>Monthly_Growth!$C$2</f>
        <v>904109</v>
      </c>
      <c r="H105" s="5">
        <f>Monthly_Growth!$D$2</f>
        <v>0.16733031206827542</v>
      </c>
      <c r="I105" s="15">
        <f>Yearly_Growth!$C$2</f>
        <v>5.0333827436586778E-2</v>
      </c>
      <c r="J105" s="15">
        <f>Yearly_Growth!$D$2</f>
        <v>0.03</v>
      </c>
      <c r="K105">
        <f>Sales_Per_Representative!$C$3</f>
        <v>762157</v>
      </c>
      <c r="L105">
        <f>Sales_Per_Rep_Yearly_Goal!$B$2</f>
        <v>665544.80000000005</v>
      </c>
      <c r="M105">
        <f>Sales_Per_Rep_Yearly_Goal!$C$2</f>
        <v>650000</v>
      </c>
    </row>
    <row r="106" spans="1:13" x14ac:dyDescent="0.3">
      <c r="A106" s="3">
        <v>44953</v>
      </c>
      <c r="B106">
        <f t="shared" si="1"/>
        <v>2023</v>
      </c>
      <c r="C106">
        <v>1</v>
      </c>
      <c r="D106" t="s">
        <v>12</v>
      </c>
      <c r="E106" t="s">
        <v>8</v>
      </c>
      <c r="F106" s="2">
        <v>12830</v>
      </c>
      <c r="G106" s="2">
        <f>Monthly_Growth!$C$2</f>
        <v>904109</v>
      </c>
      <c r="H106" s="5">
        <f>Monthly_Growth!$D$2</f>
        <v>0.16733031206827542</v>
      </c>
      <c r="I106" s="15">
        <f>Yearly_Growth!$C$2</f>
        <v>5.0333827436586778E-2</v>
      </c>
      <c r="J106" s="15">
        <f>Yearly_Growth!$D$2</f>
        <v>0.03</v>
      </c>
      <c r="K106">
        <f>Sales_Per_Representative!$C$15</f>
        <v>701242</v>
      </c>
      <c r="L106">
        <f>Sales_Per_Rep_Yearly_Goal!$B$2</f>
        <v>665544.80000000005</v>
      </c>
      <c r="M106">
        <f>Sales_Per_Rep_Yearly_Goal!$C$2</f>
        <v>650000</v>
      </c>
    </row>
    <row r="107" spans="1:13" x14ac:dyDescent="0.3">
      <c r="A107" s="3">
        <v>44954</v>
      </c>
      <c r="B107">
        <f t="shared" si="1"/>
        <v>2023</v>
      </c>
      <c r="C107">
        <v>1</v>
      </c>
      <c r="D107" t="s">
        <v>14</v>
      </c>
      <c r="E107" t="s">
        <v>27</v>
      </c>
      <c r="F107" s="2">
        <v>7831</v>
      </c>
      <c r="G107" s="2">
        <f>Monthly_Growth!$C$2</f>
        <v>904109</v>
      </c>
      <c r="H107" s="5">
        <f>Monthly_Growth!$D$2</f>
        <v>0.16733031206827542</v>
      </c>
      <c r="I107" s="15">
        <f>Yearly_Growth!$C$2</f>
        <v>5.0333827436586778E-2</v>
      </c>
      <c r="J107" s="15">
        <f>Yearly_Growth!$D$2</f>
        <v>0.03</v>
      </c>
      <c r="K107">
        <f>Sales_Per_Representative!$C$5</f>
        <v>747962</v>
      </c>
      <c r="L107">
        <f>Sales_Per_Rep_Yearly_Goal!$B$2</f>
        <v>665544.80000000005</v>
      </c>
      <c r="M107">
        <f>Sales_Per_Rep_Yearly_Goal!$C$2</f>
        <v>650000</v>
      </c>
    </row>
    <row r="108" spans="1:13" x14ac:dyDescent="0.3">
      <c r="A108" s="3">
        <v>44954</v>
      </c>
      <c r="B108">
        <f t="shared" si="1"/>
        <v>2023</v>
      </c>
      <c r="C108">
        <v>1</v>
      </c>
      <c r="D108" t="s">
        <v>14</v>
      </c>
      <c r="E108" t="s">
        <v>26</v>
      </c>
      <c r="F108" s="2">
        <v>4652</v>
      </c>
      <c r="G108" s="2">
        <f>Monthly_Growth!$C$2</f>
        <v>904109</v>
      </c>
      <c r="H108" s="5">
        <f>Monthly_Growth!$D$2</f>
        <v>0.16733031206827542</v>
      </c>
      <c r="I108" s="15">
        <f>Yearly_Growth!$C$2</f>
        <v>5.0333827436586778E-2</v>
      </c>
      <c r="J108" s="15">
        <f>Yearly_Growth!$D$2</f>
        <v>0.03</v>
      </c>
      <c r="K108">
        <f>Sales_Per_Representative!$C$16</f>
        <v>666159</v>
      </c>
      <c r="L108">
        <f>Sales_Per_Rep_Yearly_Goal!$B$2</f>
        <v>665544.80000000005</v>
      </c>
      <c r="M108">
        <f>Sales_Per_Rep_Yearly_Goal!$C$2</f>
        <v>650000</v>
      </c>
    </row>
    <row r="109" spans="1:13" x14ac:dyDescent="0.3">
      <c r="A109" s="3">
        <v>44954</v>
      </c>
      <c r="B109">
        <f t="shared" si="1"/>
        <v>2023</v>
      </c>
      <c r="C109">
        <v>1</v>
      </c>
      <c r="D109" t="s">
        <v>25</v>
      </c>
      <c r="E109" t="s">
        <v>30</v>
      </c>
      <c r="F109" s="2">
        <v>7627</v>
      </c>
      <c r="G109" s="2">
        <f>Monthly_Growth!$C$2</f>
        <v>904109</v>
      </c>
      <c r="H109" s="5">
        <f>Monthly_Growth!$D$2</f>
        <v>0.16733031206827542</v>
      </c>
      <c r="I109" s="15">
        <f>Yearly_Growth!$C$2</f>
        <v>5.0333827436586778E-2</v>
      </c>
      <c r="J109" s="15">
        <f>Yearly_Growth!$D$2</f>
        <v>0.03</v>
      </c>
      <c r="K109">
        <f>Sales_Per_Representative!$C$7</f>
        <v>706974</v>
      </c>
      <c r="L109">
        <f>Sales_Per_Rep_Yearly_Goal!$B$2</f>
        <v>665544.80000000005</v>
      </c>
      <c r="M109">
        <f>Sales_Per_Rep_Yearly_Goal!$C$2</f>
        <v>650000</v>
      </c>
    </row>
    <row r="110" spans="1:13" x14ac:dyDescent="0.3">
      <c r="A110" s="3">
        <v>44954</v>
      </c>
      <c r="B110">
        <f t="shared" si="1"/>
        <v>2023</v>
      </c>
      <c r="C110">
        <v>1</v>
      </c>
      <c r="D110" t="s">
        <v>28</v>
      </c>
      <c r="E110" t="s">
        <v>24</v>
      </c>
      <c r="F110" s="2">
        <v>3474</v>
      </c>
      <c r="G110" s="2">
        <f>Monthly_Growth!$C$2</f>
        <v>904109</v>
      </c>
      <c r="H110" s="5">
        <f>Monthly_Growth!$D$2</f>
        <v>0.16733031206827542</v>
      </c>
      <c r="I110" s="15">
        <f>Yearly_Growth!$C$2</f>
        <v>5.0333827436586778E-2</v>
      </c>
      <c r="J110" s="15">
        <f>Yearly_Growth!$D$2</f>
        <v>0.03</v>
      </c>
      <c r="K110">
        <f>Sales_Per_Representative!$C$2</f>
        <v>631195</v>
      </c>
      <c r="L110">
        <f>Sales_Per_Rep_Yearly_Goal!$B$2</f>
        <v>665544.80000000005</v>
      </c>
      <c r="M110">
        <f>Sales_Per_Rep_Yearly_Goal!$C$2</f>
        <v>650000</v>
      </c>
    </row>
    <row r="111" spans="1:13" x14ac:dyDescent="0.3">
      <c r="A111" s="3">
        <v>44955</v>
      </c>
      <c r="B111">
        <f t="shared" si="1"/>
        <v>2023</v>
      </c>
      <c r="C111">
        <v>1</v>
      </c>
      <c r="D111" t="s">
        <v>19</v>
      </c>
      <c r="E111" t="s">
        <v>22</v>
      </c>
      <c r="F111" s="2">
        <v>8144</v>
      </c>
      <c r="G111" s="2">
        <f>Monthly_Growth!$C$2</f>
        <v>904109</v>
      </c>
      <c r="H111" s="5">
        <f>Monthly_Growth!$D$2</f>
        <v>0.16733031206827542</v>
      </c>
      <c r="I111" s="15">
        <f>Yearly_Growth!$C$2</f>
        <v>5.0333827436586778E-2</v>
      </c>
      <c r="J111" s="15">
        <f>Yearly_Growth!$D$2</f>
        <v>0.03</v>
      </c>
      <c r="K111">
        <f>Sales_Per_Representative!$C$8</f>
        <v>649456</v>
      </c>
      <c r="L111">
        <f>Sales_Per_Rep_Yearly_Goal!$B$2</f>
        <v>665544.80000000005</v>
      </c>
      <c r="M111">
        <f>Sales_Per_Rep_Yearly_Goal!$C$2</f>
        <v>650000</v>
      </c>
    </row>
    <row r="112" spans="1:13" x14ac:dyDescent="0.3">
      <c r="A112" s="3">
        <v>44955</v>
      </c>
      <c r="B112">
        <f t="shared" si="1"/>
        <v>2023</v>
      </c>
      <c r="C112">
        <v>1</v>
      </c>
      <c r="D112" t="s">
        <v>7</v>
      </c>
      <c r="E112" t="s">
        <v>30</v>
      </c>
      <c r="F112" s="2">
        <v>8762</v>
      </c>
      <c r="G112" s="2">
        <f>Monthly_Growth!$C$2</f>
        <v>904109</v>
      </c>
      <c r="H112" s="5">
        <f>Monthly_Growth!$D$2</f>
        <v>0.16733031206827542</v>
      </c>
      <c r="I112" s="15">
        <f>Yearly_Growth!$C$2</f>
        <v>5.0333827436586778E-2</v>
      </c>
      <c r="J112" s="15">
        <f>Yearly_Growth!$D$2</f>
        <v>0.03</v>
      </c>
      <c r="K112">
        <f>Sales_Per_Representative!$C$7</f>
        <v>706974</v>
      </c>
      <c r="L112">
        <f>Sales_Per_Rep_Yearly_Goal!$B$2</f>
        <v>665544.80000000005</v>
      </c>
      <c r="M112">
        <f>Sales_Per_Rep_Yearly_Goal!$C$2</f>
        <v>650000</v>
      </c>
    </row>
    <row r="113" spans="1:13" x14ac:dyDescent="0.3">
      <c r="A113" s="3">
        <v>44955</v>
      </c>
      <c r="B113">
        <f t="shared" si="1"/>
        <v>2023</v>
      </c>
      <c r="C113">
        <v>1</v>
      </c>
      <c r="D113" t="s">
        <v>12</v>
      </c>
      <c r="E113" t="s">
        <v>20</v>
      </c>
      <c r="F113" s="2">
        <v>1465</v>
      </c>
      <c r="G113" s="2">
        <f>Monthly_Growth!$C$2</f>
        <v>904109</v>
      </c>
      <c r="H113" s="5">
        <f>Monthly_Growth!$D$2</f>
        <v>0.16733031206827542</v>
      </c>
      <c r="I113" s="15">
        <f>Yearly_Growth!$C$2</f>
        <v>5.0333827436586778E-2</v>
      </c>
      <c r="J113" s="15">
        <f>Yearly_Growth!$D$2</f>
        <v>0.03</v>
      </c>
      <c r="K113">
        <f>Sales_Per_Representative!$C$14</f>
        <v>675530</v>
      </c>
      <c r="L113">
        <f>Sales_Per_Rep_Yearly_Goal!$B$2</f>
        <v>665544.80000000005</v>
      </c>
      <c r="M113">
        <f>Sales_Per_Rep_Yearly_Goal!$C$2</f>
        <v>650000</v>
      </c>
    </row>
    <row r="114" spans="1:13" x14ac:dyDescent="0.3">
      <c r="A114" s="3">
        <v>44956</v>
      </c>
      <c r="B114">
        <f t="shared" si="1"/>
        <v>2023</v>
      </c>
      <c r="C114">
        <v>1</v>
      </c>
      <c r="D114" t="s">
        <v>23</v>
      </c>
      <c r="E114" t="s">
        <v>20</v>
      </c>
      <c r="F114" s="2">
        <v>6131</v>
      </c>
      <c r="G114" s="2">
        <f>Monthly_Growth!$C$2</f>
        <v>904109</v>
      </c>
      <c r="H114" s="5">
        <f>Monthly_Growth!$D$2</f>
        <v>0.16733031206827542</v>
      </c>
      <c r="I114" s="15">
        <f>Yearly_Growth!$C$2</f>
        <v>5.0333827436586778E-2</v>
      </c>
      <c r="J114" s="15">
        <f>Yearly_Growth!$D$2</f>
        <v>0.03</v>
      </c>
      <c r="K114">
        <f>Sales_Per_Representative!$C$14</f>
        <v>675530</v>
      </c>
      <c r="L114">
        <f>Sales_Per_Rep_Yearly_Goal!$B$2</f>
        <v>665544.80000000005</v>
      </c>
      <c r="M114">
        <f>Sales_Per_Rep_Yearly_Goal!$C$2</f>
        <v>650000</v>
      </c>
    </row>
    <row r="115" spans="1:13" x14ac:dyDescent="0.3">
      <c r="A115" s="3">
        <v>44956</v>
      </c>
      <c r="B115">
        <f t="shared" si="1"/>
        <v>2023</v>
      </c>
      <c r="C115">
        <v>1</v>
      </c>
      <c r="D115" t="s">
        <v>23</v>
      </c>
      <c r="E115" t="s">
        <v>31</v>
      </c>
      <c r="F115" s="2">
        <v>9880</v>
      </c>
      <c r="G115" s="2">
        <f>Monthly_Growth!$C$2</f>
        <v>904109</v>
      </c>
      <c r="H115" s="5">
        <f>Monthly_Growth!$D$2</f>
        <v>0.16733031206827542</v>
      </c>
      <c r="I115" s="15">
        <f>Yearly_Growth!$C$2</f>
        <v>5.0333827436586778E-2</v>
      </c>
      <c r="J115" s="15">
        <f>Yearly_Growth!$D$2</f>
        <v>0.03</v>
      </c>
      <c r="K115">
        <f>Sales_Per_Representative!$C$6</f>
        <v>727823</v>
      </c>
      <c r="L115">
        <f>Sales_Per_Rep_Yearly_Goal!$B$2</f>
        <v>665544.80000000005</v>
      </c>
      <c r="M115">
        <f>Sales_Per_Rep_Yearly_Goal!$C$2</f>
        <v>650000</v>
      </c>
    </row>
    <row r="116" spans="1:13" x14ac:dyDescent="0.3">
      <c r="A116" s="3">
        <v>44956</v>
      </c>
      <c r="B116">
        <f t="shared" si="1"/>
        <v>2023</v>
      </c>
      <c r="C116">
        <v>1</v>
      </c>
      <c r="D116" t="s">
        <v>17</v>
      </c>
      <c r="E116" t="s">
        <v>15</v>
      </c>
      <c r="F116" s="2">
        <v>9728</v>
      </c>
      <c r="G116" s="2">
        <f>Monthly_Growth!$C$2</f>
        <v>904109</v>
      </c>
      <c r="H116" s="5">
        <f>Monthly_Growth!$D$2</f>
        <v>0.16733031206827542</v>
      </c>
      <c r="I116" s="15">
        <f>Yearly_Growth!$C$2</f>
        <v>5.0333827436586778E-2</v>
      </c>
      <c r="J116" s="15">
        <f>Yearly_Growth!$D$2</f>
        <v>0.03</v>
      </c>
      <c r="K116">
        <f>Sales_Per_Representative!$C$12</f>
        <v>656359</v>
      </c>
      <c r="L116">
        <f>Sales_Per_Rep_Yearly_Goal!$B$2</f>
        <v>665544.80000000005</v>
      </c>
      <c r="M116">
        <f>Sales_Per_Rep_Yearly_Goal!$C$2</f>
        <v>650000</v>
      </c>
    </row>
    <row r="117" spans="1:13" x14ac:dyDescent="0.3">
      <c r="A117" s="3">
        <v>44956</v>
      </c>
      <c r="B117">
        <f t="shared" si="1"/>
        <v>2023</v>
      </c>
      <c r="C117">
        <v>1</v>
      </c>
      <c r="D117" t="s">
        <v>17</v>
      </c>
      <c r="E117" t="s">
        <v>20</v>
      </c>
      <c r="F117" s="2">
        <v>4058</v>
      </c>
      <c r="G117" s="2">
        <f>Monthly_Growth!$C$2</f>
        <v>904109</v>
      </c>
      <c r="H117" s="5">
        <f>Monthly_Growth!$D$2</f>
        <v>0.16733031206827542</v>
      </c>
      <c r="I117" s="15">
        <f>Yearly_Growth!$C$2</f>
        <v>5.0333827436586778E-2</v>
      </c>
      <c r="J117" s="15">
        <f>Yearly_Growth!$D$2</f>
        <v>0.03</v>
      </c>
      <c r="K117">
        <f>Sales_Per_Representative!$C$14</f>
        <v>675530</v>
      </c>
      <c r="L117">
        <f>Sales_Per_Rep_Yearly_Goal!$B$2</f>
        <v>665544.80000000005</v>
      </c>
      <c r="M117">
        <f>Sales_Per_Rep_Yearly_Goal!$C$2</f>
        <v>650000</v>
      </c>
    </row>
    <row r="118" spans="1:13" x14ac:dyDescent="0.3">
      <c r="A118" s="3">
        <v>44957</v>
      </c>
      <c r="B118">
        <f t="shared" si="1"/>
        <v>2023</v>
      </c>
      <c r="C118">
        <v>1</v>
      </c>
      <c r="D118" t="s">
        <v>17</v>
      </c>
      <c r="E118" t="s">
        <v>22</v>
      </c>
      <c r="F118" s="2">
        <v>10802</v>
      </c>
      <c r="G118" s="2">
        <f>Monthly_Growth!$C$2</f>
        <v>904109</v>
      </c>
      <c r="H118" s="5">
        <f>Monthly_Growth!$D$2</f>
        <v>0.16733031206827542</v>
      </c>
      <c r="I118" s="15">
        <f>Yearly_Growth!$C$2</f>
        <v>5.0333827436586778E-2</v>
      </c>
      <c r="J118" s="15">
        <f>Yearly_Growth!$D$2</f>
        <v>0.03</v>
      </c>
      <c r="K118">
        <f>Sales_Per_Representative!$C$8</f>
        <v>649456</v>
      </c>
      <c r="L118">
        <f>Sales_Per_Rep_Yearly_Goal!$B$2</f>
        <v>665544.80000000005</v>
      </c>
      <c r="M118">
        <f>Sales_Per_Rep_Yearly_Goal!$C$2</f>
        <v>650000</v>
      </c>
    </row>
    <row r="119" spans="1:13" x14ac:dyDescent="0.3">
      <c r="A119" s="3">
        <v>44957</v>
      </c>
      <c r="B119">
        <f t="shared" si="1"/>
        <v>2023</v>
      </c>
      <c r="C119">
        <v>1</v>
      </c>
      <c r="D119" t="s">
        <v>12</v>
      </c>
      <c r="E119" t="s">
        <v>8</v>
      </c>
      <c r="F119" s="2">
        <v>2008</v>
      </c>
      <c r="G119" s="2">
        <f>Monthly_Growth!$C$2</f>
        <v>904109</v>
      </c>
      <c r="H119" s="5">
        <f>Monthly_Growth!$D$2</f>
        <v>0.16733031206827542</v>
      </c>
      <c r="I119" s="15">
        <f>Yearly_Growth!$C$2</f>
        <v>5.0333827436586778E-2</v>
      </c>
      <c r="J119" s="15">
        <f>Yearly_Growth!$D$2</f>
        <v>0.03</v>
      </c>
      <c r="K119">
        <f>Sales_Per_Representative!$C$15</f>
        <v>701242</v>
      </c>
      <c r="L119">
        <f>Sales_Per_Rep_Yearly_Goal!$B$2</f>
        <v>665544.80000000005</v>
      </c>
      <c r="M119">
        <f>Sales_Per_Rep_Yearly_Goal!$C$2</f>
        <v>650000</v>
      </c>
    </row>
    <row r="120" spans="1:13" x14ac:dyDescent="0.3">
      <c r="A120" s="3">
        <v>44957</v>
      </c>
      <c r="B120">
        <f t="shared" si="1"/>
        <v>2023</v>
      </c>
      <c r="C120">
        <v>1</v>
      </c>
      <c r="D120" t="s">
        <v>12</v>
      </c>
      <c r="E120" t="s">
        <v>29</v>
      </c>
      <c r="F120" s="2">
        <v>10440</v>
      </c>
      <c r="G120" s="2">
        <f>Monthly_Growth!$C$2</f>
        <v>904109</v>
      </c>
      <c r="H120" s="5">
        <f>Monthly_Growth!$D$2</f>
        <v>0.16733031206827542</v>
      </c>
      <c r="I120" s="15">
        <f>Yearly_Growth!$C$2</f>
        <v>5.0333827436586778E-2</v>
      </c>
      <c r="J120" s="15">
        <f>Yearly_Growth!$D$2</f>
        <v>0.03</v>
      </c>
      <c r="K120">
        <f>Sales_Per_Representative!$C$13</f>
        <v>621548</v>
      </c>
      <c r="L120">
        <f>Sales_Per_Rep_Yearly_Goal!$B$2</f>
        <v>665544.80000000005</v>
      </c>
      <c r="M120">
        <f>Sales_Per_Rep_Yearly_Goal!$C$2</f>
        <v>650000</v>
      </c>
    </row>
    <row r="121" spans="1:13" x14ac:dyDescent="0.3">
      <c r="A121" s="3">
        <v>44958</v>
      </c>
      <c r="B121">
        <f t="shared" si="1"/>
        <v>2023</v>
      </c>
      <c r="C121">
        <v>2</v>
      </c>
      <c r="D121" t="s">
        <v>19</v>
      </c>
      <c r="E121" t="s">
        <v>32</v>
      </c>
      <c r="F121" s="2">
        <v>8049</v>
      </c>
      <c r="G121" s="2">
        <f>Monthly_Growth!$C$3</f>
        <v>876772</v>
      </c>
      <c r="H121" s="5">
        <f>Monthly_Growth!$D$3</f>
        <v>-3.0236398487350529E-2</v>
      </c>
      <c r="I121" s="15">
        <f>Yearly_Growth!$C$2</f>
        <v>5.0333827436586778E-2</v>
      </c>
      <c r="J121" s="15">
        <f>Yearly_Growth!$D$2</f>
        <v>0.03</v>
      </c>
      <c r="K121">
        <f>Sales_Per_Representative!$C$3</f>
        <v>762157</v>
      </c>
      <c r="L121">
        <f>Sales_Per_Rep_Yearly_Goal!$B$2</f>
        <v>665544.80000000005</v>
      </c>
      <c r="M121">
        <f>Sales_Per_Rep_Yearly_Goal!$C$2</f>
        <v>650000</v>
      </c>
    </row>
    <row r="122" spans="1:13" x14ac:dyDescent="0.3">
      <c r="A122" s="3">
        <v>44958</v>
      </c>
      <c r="B122">
        <f t="shared" si="1"/>
        <v>2023</v>
      </c>
      <c r="C122">
        <v>2</v>
      </c>
      <c r="D122" t="s">
        <v>23</v>
      </c>
      <c r="E122" t="s">
        <v>32</v>
      </c>
      <c r="F122" s="2">
        <v>5906</v>
      </c>
      <c r="G122" s="2">
        <f>Monthly_Growth!$C$3</f>
        <v>876772</v>
      </c>
      <c r="H122" s="5">
        <f>Monthly_Growth!$D$3</f>
        <v>-3.0236398487350529E-2</v>
      </c>
      <c r="I122" s="15">
        <f>Yearly_Growth!$C$2</f>
        <v>5.0333827436586778E-2</v>
      </c>
      <c r="J122" s="15">
        <f>Yearly_Growth!$D$2</f>
        <v>0.03</v>
      </c>
      <c r="K122">
        <f>Sales_Per_Representative!$C$3</f>
        <v>762157</v>
      </c>
      <c r="L122">
        <f>Sales_Per_Rep_Yearly_Goal!$B$2</f>
        <v>665544.80000000005</v>
      </c>
      <c r="M122">
        <f>Sales_Per_Rep_Yearly_Goal!$C$2</f>
        <v>650000</v>
      </c>
    </row>
    <row r="123" spans="1:13" x14ac:dyDescent="0.3">
      <c r="A123" s="3">
        <v>44958</v>
      </c>
      <c r="B123">
        <f t="shared" si="1"/>
        <v>2023</v>
      </c>
      <c r="C123">
        <v>2</v>
      </c>
      <c r="D123" t="s">
        <v>7</v>
      </c>
      <c r="E123" t="s">
        <v>33</v>
      </c>
      <c r="F123" s="2">
        <v>10509</v>
      </c>
      <c r="G123" s="2">
        <f>Monthly_Growth!$C$3</f>
        <v>876772</v>
      </c>
      <c r="H123" s="5">
        <f>Monthly_Growth!$D$3</f>
        <v>-3.0236398487350529E-2</v>
      </c>
      <c r="I123" s="15">
        <f>Yearly_Growth!$C$2</f>
        <v>5.0333827436586778E-2</v>
      </c>
      <c r="J123" s="15">
        <f>Yearly_Growth!$D$2</f>
        <v>0.03</v>
      </c>
      <c r="K123">
        <f>Sales_Per_Representative!$C$11</f>
        <v>496886</v>
      </c>
      <c r="L123">
        <f>Sales_Per_Rep_Yearly_Goal!$B$2</f>
        <v>665544.80000000005</v>
      </c>
      <c r="M123">
        <f>Sales_Per_Rep_Yearly_Goal!$C$2</f>
        <v>650000</v>
      </c>
    </row>
    <row r="124" spans="1:13" x14ac:dyDescent="0.3">
      <c r="A124" s="3">
        <v>44959</v>
      </c>
      <c r="B124">
        <f t="shared" si="1"/>
        <v>2023</v>
      </c>
      <c r="C124">
        <v>2</v>
      </c>
      <c r="D124" t="s">
        <v>23</v>
      </c>
      <c r="E124" t="s">
        <v>5</v>
      </c>
      <c r="F124" s="2">
        <v>10492</v>
      </c>
      <c r="G124" s="2">
        <f>Monthly_Growth!$C$3</f>
        <v>876772</v>
      </c>
      <c r="H124" s="5">
        <f>Monthly_Growth!$D$3</f>
        <v>-3.0236398487350529E-2</v>
      </c>
      <c r="I124" s="15">
        <f>Yearly_Growth!$C$2</f>
        <v>5.0333827436586778E-2</v>
      </c>
      <c r="J124" s="15">
        <f>Yearly_Growth!$D$2</f>
        <v>0.03</v>
      </c>
      <c r="K124">
        <f>Sales_Per_Representative!$C$10</f>
        <v>663333</v>
      </c>
      <c r="L124">
        <f>Sales_Per_Rep_Yearly_Goal!$B$2</f>
        <v>665544.80000000005</v>
      </c>
      <c r="M124">
        <f>Sales_Per_Rep_Yearly_Goal!$C$2</f>
        <v>650000</v>
      </c>
    </row>
    <row r="125" spans="1:13" x14ac:dyDescent="0.3">
      <c r="A125" s="3">
        <v>44959</v>
      </c>
      <c r="B125">
        <f t="shared" si="1"/>
        <v>2023</v>
      </c>
      <c r="C125">
        <v>2</v>
      </c>
      <c r="D125" t="s">
        <v>28</v>
      </c>
      <c r="E125" t="s">
        <v>10</v>
      </c>
      <c r="F125" s="2">
        <v>11126</v>
      </c>
      <c r="G125" s="2">
        <f>Monthly_Growth!$C$3</f>
        <v>876772</v>
      </c>
      <c r="H125" s="5">
        <f>Monthly_Growth!$D$3</f>
        <v>-3.0236398487350529E-2</v>
      </c>
      <c r="I125" s="15">
        <f>Yearly_Growth!$C$2</f>
        <v>5.0333827436586778E-2</v>
      </c>
      <c r="J125" s="15">
        <f>Yearly_Growth!$D$2</f>
        <v>0.03</v>
      </c>
      <c r="K125">
        <f>Sales_Per_Representative!$C$4</f>
        <v>725713</v>
      </c>
      <c r="L125">
        <f>Sales_Per_Rep_Yearly_Goal!$B$2</f>
        <v>665544.80000000005</v>
      </c>
      <c r="M125">
        <f>Sales_Per_Rep_Yearly_Goal!$C$2</f>
        <v>650000</v>
      </c>
    </row>
    <row r="126" spans="1:13" x14ac:dyDescent="0.3">
      <c r="A126" s="3">
        <v>44959</v>
      </c>
      <c r="B126">
        <f t="shared" si="1"/>
        <v>2023</v>
      </c>
      <c r="C126">
        <v>2</v>
      </c>
      <c r="D126" t="s">
        <v>17</v>
      </c>
      <c r="E126" t="s">
        <v>24</v>
      </c>
      <c r="F126" s="2">
        <v>13791</v>
      </c>
      <c r="G126" s="2">
        <f>Monthly_Growth!$C$3</f>
        <v>876772</v>
      </c>
      <c r="H126" s="5">
        <f>Monthly_Growth!$D$3</f>
        <v>-3.0236398487350529E-2</v>
      </c>
      <c r="I126" s="15">
        <f>Yearly_Growth!$C$2</f>
        <v>5.0333827436586778E-2</v>
      </c>
      <c r="J126" s="15">
        <f>Yearly_Growth!$D$2</f>
        <v>0.03</v>
      </c>
      <c r="K126">
        <f>Sales_Per_Representative!$C$2</f>
        <v>631195</v>
      </c>
      <c r="L126">
        <f>Sales_Per_Rep_Yearly_Goal!$B$2</f>
        <v>665544.80000000005</v>
      </c>
      <c r="M126">
        <f>Sales_Per_Rep_Yearly_Goal!$C$2</f>
        <v>650000</v>
      </c>
    </row>
    <row r="127" spans="1:13" x14ac:dyDescent="0.3">
      <c r="A127" s="3">
        <v>44960</v>
      </c>
      <c r="B127">
        <f t="shared" si="1"/>
        <v>2023</v>
      </c>
      <c r="C127">
        <v>2</v>
      </c>
      <c r="D127" t="s">
        <v>14</v>
      </c>
      <c r="E127" t="s">
        <v>33</v>
      </c>
      <c r="F127" s="2">
        <v>2117</v>
      </c>
      <c r="G127" s="2">
        <f>Monthly_Growth!$C$3</f>
        <v>876772</v>
      </c>
      <c r="H127" s="5">
        <f>Monthly_Growth!$D$3</f>
        <v>-3.0236398487350529E-2</v>
      </c>
      <c r="I127" s="15">
        <f>Yearly_Growth!$C$2</f>
        <v>5.0333827436586778E-2</v>
      </c>
      <c r="J127" s="15">
        <f>Yearly_Growth!$D$2</f>
        <v>0.03</v>
      </c>
      <c r="K127">
        <f>Sales_Per_Representative!$C$11</f>
        <v>496886</v>
      </c>
      <c r="L127">
        <f>Sales_Per_Rep_Yearly_Goal!$B$2</f>
        <v>665544.80000000005</v>
      </c>
      <c r="M127">
        <f>Sales_Per_Rep_Yearly_Goal!$C$2</f>
        <v>650000</v>
      </c>
    </row>
    <row r="128" spans="1:13" x14ac:dyDescent="0.3">
      <c r="A128" s="3">
        <v>44960</v>
      </c>
      <c r="B128">
        <f t="shared" si="1"/>
        <v>2023</v>
      </c>
      <c r="C128">
        <v>2</v>
      </c>
      <c r="D128" t="s">
        <v>14</v>
      </c>
      <c r="E128" t="s">
        <v>5</v>
      </c>
      <c r="F128" s="2">
        <v>8031</v>
      </c>
      <c r="G128" s="2">
        <f>Monthly_Growth!$C$3</f>
        <v>876772</v>
      </c>
      <c r="H128" s="5">
        <f>Monthly_Growth!$D$3</f>
        <v>-3.0236398487350529E-2</v>
      </c>
      <c r="I128" s="15">
        <f>Yearly_Growth!$C$2</f>
        <v>5.0333827436586778E-2</v>
      </c>
      <c r="J128" s="15">
        <f>Yearly_Growth!$D$2</f>
        <v>0.03</v>
      </c>
      <c r="K128">
        <f>Sales_Per_Representative!$C$10</f>
        <v>663333</v>
      </c>
      <c r="L128">
        <f>Sales_Per_Rep_Yearly_Goal!$B$2</f>
        <v>665544.80000000005</v>
      </c>
      <c r="M128">
        <f>Sales_Per_Rep_Yearly_Goal!$C$2</f>
        <v>650000</v>
      </c>
    </row>
    <row r="129" spans="1:13" x14ac:dyDescent="0.3">
      <c r="A129" s="3">
        <v>44960</v>
      </c>
      <c r="B129">
        <f t="shared" si="1"/>
        <v>2023</v>
      </c>
      <c r="C129">
        <v>2</v>
      </c>
      <c r="D129" t="s">
        <v>17</v>
      </c>
      <c r="E129" t="s">
        <v>26</v>
      </c>
      <c r="F129" s="2">
        <v>13912</v>
      </c>
      <c r="G129" s="2">
        <f>Monthly_Growth!$C$3</f>
        <v>876772</v>
      </c>
      <c r="H129" s="5">
        <f>Monthly_Growth!$D$3</f>
        <v>-3.0236398487350529E-2</v>
      </c>
      <c r="I129" s="15">
        <f>Yearly_Growth!$C$2</f>
        <v>5.0333827436586778E-2</v>
      </c>
      <c r="J129" s="15">
        <f>Yearly_Growth!$D$2</f>
        <v>0.03</v>
      </c>
      <c r="K129">
        <f>Sales_Per_Representative!$C$16</f>
        <v>666159</v>
      </c>
      <c r="L129">
        <f>Sales_Per_Rep_Yearly_Goal!$B$2</f>
        <v>665544.80000000005</v>
      </c>
      <c r="M129">
        <f>Sales_Per_Rep_Yearly_Goal!$C$2</f>
        <v>650000</v>
      </c>
    </row>
    <row r="130" spans="1:13" x14ac:dyDescent="0.3">
      <c r="A130" s="3">
        <v>44960</v>
      </c>
      <c r="B130">
        <f t="shared" si="1"/>
        <v>2023</v>
      </c>
      <c r="C130">
        <v>2</v>
      </c>
      <c r="D130" t="s">
        <v>17</v>
      </c>
      <c r="E130" t="s">
        <v>8</v>
      </c>
      <c r="F130" s="2">
        <v>12974</v>
      </c>
      <c r="G130" s="2">
        <f>Monthly_Growth!$C$3</f>
        <v>876772</v>
      </c>
      <c r="H130" s="5">
        <f>Monthly_Growth!$D$3</f>
        <v>-3.0236398487350529E-2</v>
      </c>
      <c r="I130" s="15">
        <f>Yearly_Growth!$C$2</f>
        <v>5.0333827436586778E-2</v>
      </c>
      <c r="J130" s="15">
        <f>Yearly_Growth!$D$2</f>
        <v>0.03</v>
      </c>
      <c r="K130">
        <f>Sales_Per_Representative!$C$15</f>
        <v>701242</v>
      </c>
      <c r="L130">
        <f>Sales_Per_Rep_Yearly_Goal!$B$2</f>
        <v>665544.80000000005</v>
      </c>
      <c r="M130">
        <f>Sales_Per_Rep_Yearly_Goal!$C$2</f>
        <v>650000</v>
      </c>
    </row>
    <row r="131" spans="1:13" x14ac:dyDescent="0.3">
      <c r="A131" s="3">
        <v>44961</v>
      </c>
      <c r="B131">
        <f t="shared" ref="B131:B194" si="2">YEAR(A131)</f>
        <v>2023</v>
      </c>
      <c r="C131">
        <v>2</v>
      </c>
      <c r="D131" t="s">
        <v>14</v>
      </c>
      <c r="E131" t="s">
        <v>22</v>
      </c>
      <c r="F131" s="2">
        <v>13486</v>
      </c>
      <c r="G131" s="2">
        <f>Monthly_Growth!$C$3</f>
        <v>876772</v>
      </c>
      <c r="H131" s="5">
        <f>Monthly_Growth!$D$3</f>
        <v>-3.0236398487350529E-2</v>
      </c>
      <c r="I131" s="15">
        <f>Yearly_Growth!$C$2</f>
        <v>5.0333827436586778E-2</v>
      </c>
      <c r="J131" s="15">
        <f>Yearly_Growth!$D$2</f>
        <v>0.03</v>
      </c>
      <c r="K131">
        <f>Sales_Per_Representative!$C$8</f>
        <v>649456</v>
      </c>
      <c r="L131">
        <f>Sales_Per_Rep_Yearly_Goal!$B$2</f>
        <v>665544.80000000005</v>
      </c>
      <c r="M131">
        <f>Sales_Per_Rep_Yearly_Goal!$C$2</f>
        <v>650000</v>
      </c>
    </row>
    <row r="132" spans="1:13" x14ac:dyDescent="0.3">
      <c r="A132" s="3">
        <v>44961</v>
      </c>
      <c r="B132">
        <f t="shared" si="2"/>
        <v>2023</v>
      </c>
      <c r="C132">
        <v>2</v>
      </c>
      <c r="D132" t="s">
        <v>23</v>
      </c>
      <c r="E132" t="s">
        <v>18</v>
      </c>
      <c r="F132" s="2">
        <v>12309</v>
      </c>
      <c r="G132" s="2">
        <f>Monthly_Growth!$C$3</f>
        <v>876772</v>
      </c>
      <c r="H132" s="5">
        <f>Monthly_Growth!$D$3</f>
        <v>-3.0236398487350529E-2</v>
      </c>
      <c r="I132" s="15">
        <f>Yearly_Growth!$C$2</f>
        <v>5.0333827436586778E-2</v>
      </c>
      <c r="J132" s="15">
        <f>Yearly_Growth!$D$2</f>
        <v>0.03</v>
      </c>
      <c r="K132">
        <f>Sales_Per_Representative!$C$9</f>
        <v>550835</v>
      </c>
      <c r="L132">
        <f>Sales_Per_Rep_Yearly_Goal!$B$2</f>
        <v>665544.80000000005</v>
      </c>
      <c r="M132">
        <f>Sales_Per_Rep_Yearly_Goal!$C$2</f>
        <v>650000</v>
      </c>
    </row>
    <row r="133" spans="1:13" x14ac:dyDescent="0.3">
      <c r="A133" s="3">
        <v>44961</v>
      </c>
      <c r="B133">
        <f t="shared" si="2"/>
        <v>2023</v>
      </c>
      <c r="C133">
        <v>2</v>
      </c>
      <c r="D133" t="s">
        <v>25</v>
      </c>
      <c r="E133" t="s">
        <v>24</v>
      </c>
      <c r="F133" s="2">
        <v>10110</v>
      </c>
      <c r="G133" s="2">
        <f>Monthly_Growth!$C$3</f>
        <v>876772</v>
      </c>
      <c r="H133" s="5">
        <f>Monthly_Growth!$D$3</f>
        <v>-3.0236398487350529E-2</v>
      </c>
      <c r="I133" s="15">
        <f>Yearly_Growth!$C$2</f>
        <v>5.0333827436586778E-2</v>
      </c>
      <c r="J133" s="15">
        <f>Yearly_Growth!$D$2</f>
        <v>0.03</v>
      </c>
      <c r="K133">
        <f>Sales_Per_Representative!$C$2</f>
        <v>631195</v>
      </c>
      <c r="L133">
        <f>Sales_Per_Rep_Yearly_Goal!$B$2</f>
        <v>665544.80000000005</v>
      </c>
      <c r="M133">
        <f>Sales_Per_Rep_Yearly_Goal!$C$2</f>
        <v>650000</v>
      </c>
    </row>
    <row r="134" spans="1:13" x14ac:dyDescent="0.3">
      <c r="A134" s="3">
        <v>44961</v>
      </c>
      <c r="B134">
        <f t="shared" si="2"/>
        <v>2023</v>
      </c>
      <c r="C134">
        <v>2</v>
      </c>
      <c r="D134" t="s">
        <v>7</v>
      </c>
      <c r="E134" t="s">
        <v>22</v>
      </c>
      <c r="F134" s="2">
        <v>9014</v>
      </c>
      <c r="G134" s="2">
        <f>Monthly_Growth!$C$3</f>
        <v>876772</v>
      </c>
      <c r="H134" s="5">
        <f>Monthly_Growth!$D$3</f>
        <v>-3.0236398487350529E-2</v>
      </c>
      <c r="I134" s="15">
        <f>Yearly_Growth!$C$2</f>
        <v>5.0333827436586778E-2</v>
      </c>
      <c r="J134" s="15">
        <f>Yearly_Growth!$D$2</f>
        <v>0.03</v>
      </c>
      <c r="K134">
        <f>Sales_Per_Representative!$C$8</f>
        <v>649456</v>
      </c>
      <c r="L134">
        <f>Sales_Per_Rep_Yearly_Goal!$B$2</f>
        <v>665544.80000000005</v>
      </c>
      <c r="M134">
        <f>Sales_Per_Rep_Yearly_Goal!$C$2</f>
        <v>650000</v>
      </c>
    </row>
    <row r="135" spans="1:13" x14ac:dyDescent="0.3">
      <c r="A135" s="3">
        <v>44961</v>
      </c>
      <c r="B135">
        <f t="shared" si="2"/>
        <v>2023</v>
      </c>
      <c r="C135">
        <v>2</v>
      </c>
      <c r="D135" t="s">
        <v>7</v>
      </c>
      <c r="E135" t="s">
        <v>22</v>
      </c>
      <c r="F135" s="2">
        <v>11082</v>
      </c>
      <c r="G135" s="2">
        <f>Monthly_Growth!$C$3</f>
        <v>876772</v>
      </c>
      <c r="H135" s="5">
        <f>Monthly_Growth!$D$3</f>
        <v>-3.0236398487350529E-2</v>
      </c>
      <c r="I135" s="15">
        <f>Yearly_Growth!$C$2</f>
        <v>5.0333827436586778E-2</v>
      </c>
      <c r="J135" s="15">
        <f>Yearly_Growth!$D$2</f>
        <v>0.03</v>
      </c>
      <c r="K135">
        <f>Sales_Per_Representative!$C$8</f>
        <v>649456</v>
      </c>
      <c r="L135">
        <f>Sales_Per_Rep_Yearly_Goal!$B$2</f>
        <v>665544.80000000005</v>
      </c>
      <c r="M135">
        <f>Sales_Per_Rep_Yearly_Goal!$C$2</f>
        <v>650000</v>
      </c>
    </row>
    <row r="136" spans="1:13" x14ac:dyDescent="0.3">
      <c r="A136" s="3">
        <v>44961</v>
      </c>
      <c r="B136">
        <f t="shared" si="2"/>
        <v>2023</v>
      </c>
      <c r="C136">
        <v>2</v>
      </c>
      <c r="D136" t="s">
        <v>7</v>
      </c>
      <c r="E136" t="s">
        <v>8</v>
      </c>
      <c r="F136" s="2">
        <v>6334</v>
      </c>
      <c r="G136" s="2">
        <f>Monthly_Growth!$C$3</f>
        <v>876772</v>
      </c>
      <c r="H136" s="5">
        <f>Monthly_Growth!$D$3</f>
        <v>-3.0236398487350529E-2</v>
      </c>
      <c r="I136" s="15">
        <f>Yearly_Growth!$C$2</f>
        <v>5.0333827436586778E-2</v>
      </c>
      <c r="J136" s="15">
        <f>Yearly_Growth!$D$2</f>
        <v>0.03</v>
      </c>
      <c r="K136">
        <f>Sales_Per_Representative!$C$15</f>
        <v>701242</v>
      </c>
      <c r="L136">
        <f>Sales_Per_Rep_Yearly_Goal!$B$2</f>
        <v>665544.80000000005</v>
      </c>
      <c r="M136">
        <f>Sales_Per_Rep_Yearly_Goal!$C$2</f>
        <v>650000</v>
      </c>
    </row>
    <row r="137" spans="1:13" x14ac:dyDescent="0.3">
      <c r="A137" s="3">
        <v>44961</v>
      </c>
      <c r="B137">
        <f t="shared" si="2"/>
        <v>2023</v>
      </c>
      <c r="C137">
        <v>2</v>
      </c>
      <c r="D137" t="s">
        <v>28</v>
      </c>
      <c r="E137" t="s">
        <v>26</v>
      </c>
      <c r="F137" s="2">
        <v>13996</v>
      </c>
      <c r="G137" s="2">
        <f>Monthly_Growth!$C$3</f>
        <v>876772</v>
      </c>
      <c r="H137" s="5">
        <f>Monthly_Growth!$D$3</f>
        <v>-3.0236398487350529E-2</v>
      </c>
      <c r="I137" s="15">
        <f>Yearly_Growth!$C$2</f>
        <v>5.0333827436586778E-2</v>
      </c>
      <c r="J137" s="15">
        <f>Yearly_Growth!$D$2</f>
        <v>0.03</v>
      </c>
      <c r="K137">
        <f>Sales_Per_Representative!$C$16</f>
        <v>666159</v>
      </c>
      <c r="L137">
        <f>Sales_Per_Rep_Yearly_Goal!$B$2</f>
        <v>665544.80000000005</v>
      </c>
      <c r="M137">
        <f>Sales_Per_Rep_Yearly_Goal!$C$2</f>
        <v>650000</v>
      </c>
    </row>
    <row r="138" spans="1:13" x14ac:dyDescent="0.3">
      <c r="A138" s="3">
        <v>44961</v>
      </c>
      <c r="B138">
        <f t="shared" si="2"/>
        <v>2023</v>
      </c>
      <c r="C138">
        <v>2</v>
      </c>
      <c r="D138" t="s">
        <v>17</v>
      </c>
      <c r="E138" t="s">
        <v>26</v>
      </c>
      <c r="F138" s="2">
        <v>4675</v>
      </c>
      <c r="G138" s="2">
        <f>Monthly_Growth!$C$3</f>
        <v>876772</v>
      </c>
      <c r="H138" s="5">
        <f>Monthly_Growth!$D$3</f>
        <v>-3.0236398487350529E-2</v>
      </c>
      <c r="I138" s="15">
        <f>Yearly_Growth!$C$2</f>
        <v>5.0333827436586778E-2</v>
      </c>
      <c r="J138" s="15">
        <f>Yearly_Growth!$D$2</f>
        <v>0.03</v>
      </c>
      <c r="K138">
        <f>Sales_Per_Representative!$C$16</f>
        <v>666159</v>
      </c>
      <c r="L138">
        <f>Sales_Per_Rep_Yearly_Goal!$B$2</f>
        <v>665544.80000000005</v>
      </c>
      <c r="M138">
        <f>Sales_Per_Rep_Yearly_Goal!$C$2</f>
        <v>650000</v>
      </c>
    </row>
    <row r="139" spans="1:13" x14ac:dyDescent="0.3">
      <c r="A139" s="3">
        <v>44962</v>
      </c>
      <c r="B139">
        <f t="shared" si="2"/>
        <v>2023</v>
      </c>
      <c r="C139">
        <v>2</v>
      </c>
      <c r="D139" t="s">
        <v>19</v>
      </c>
      <c r="E139" t="s">
        <v>22</v>
      </c>
      <c r="F139" s="2">
        <v>13775</v>
      </c>
      <c r="G139" s="2">
        <f>Monthly_Growth!$C$3</f>
        <v>876772</v>
      </c>
      <c r="H139" s="5">
        <f>Monthly_Growth!$D$3</f>
        <v>-3.0236398487350529E-2</v>
      </c>
      <c r="I139" s="15">
        <f>Yearly_Growth!$C$2</f>
        <v>5.0333827436586778E-2</v>
      </c>
      <c r="J139" s="15">
        <f>Yearly_Growth!$D$2</f>
        <v>0.03</v>
      </c>
      <c r="K139">
        <f>Sales_Per_Representative!$C$8</f>
        <v>649456</v>
      </c>
      <c r="L139">
        <f>Sales_Per_Rep_Yearly_Goal!$B$2</f>
        <v>665544.80000000005</v>
      </c>
      <c r="M139">
        <f>Sales_Per_Rep_Yearly_Goal!$C$2</f>
        <v>650000</v>
      </c>
    </row>
    <row r="140" spans="1:13" x14ac:dyDescent="0.3">
      <c r="A140" s="3">
        <v>44962</v>
      </c>
      <c r="B140">
        <f t="shared" si="2"/>
        <v>2023</v>
      </c>
      <c r="C140">
        <v>2</v>
      </c>
      <c r="D140" t="s">
        <v>23</v>
      </c>
      <c r="E140" t="s">
        <v>15</v>
      </c>
      <c r="F140" s="2">
        <v>5803</v>
      </c>
      <c r="G140" s="2">
        <f>Monthly_Growth!$C$3</f>
        <v>876772</v>
      </c>
      <c r="H140" s="5">
        <f>Monthly_Growth!$D$3</f>
        <v>-3.0236398487350529E-2</v>
      </c>
      <c r="I140" s="15">
        <f>Yearly_Growth!$C$2</f>
        <v>5.0333827436586778E-2</v>
      </c>
      <c r="J140" s="15">
        <f>Yearly_Growth!$D$2</f>
        <v>0.03</v>
      </c>
      <c r="K140">
        <f>Sales_Per_Representative!$C$12</f>
        <v>656359</v>
      </c>
      <c r="L140">
        <f>Sales_Per_Rep_Yearly_Goal!$B$2</f>
        <v>665544.80000000005</v>
      </c>
      <c r="M140">
        <f>Sales_Per_Rep_Yearly_Goal!$C$2</f>
        <v>650000</v>
      </c>
    </row>
    <row r="141" spans="1:13" x14ac:dyDescent="0.3">
      <c r="A141" s="3">
        <v>44962</v>
      </c>
      <c r="B141">
        <f t="shared" si="2"/>
        <v>2023</v>
      </c>
      <c r="C141">
        <v>2</v>
      </c>
      <c r="D141" t="s">
        <v>25</v>
      </c>
      <c r="E141" t="s">
        <v>29</v>
      </c>
      <c r="F141" s="2">
        <v>1637</v>
      </c>
      <c r="G141" s="2">
        <f>Monthly_Growth!$C$3</f>
        <v>876772</v>
      </c>
      <c r="H141" s="5">
        <f>Monthly_Growth!$D$3</f>
        <v>-3.0236398487350529E-2</v>
      </c>
      <c r="I141" s="15">
        <f>Yearly_Growth!$C$2</f>
        <v>5.0333827436586778E-2</v>
      </c>
      <c r="J141" s="15">
        <f>Yearly_Growth!$D$2</f>
        <v>0.03</v>
      </c>
      <c r="K141">
        <f>Sales_Per_Representative!$C$13</f>
        <v>621548</v>
      </c>
      <c r="L141">
        <f>Sales_Per_Rep_Yearly_Goal!$B$2</f>
        <v>665544.80000000005</v>
      </c>
      <c r="M141">
        <f>Sales_Per_Rep_Yearly_Goal!$C$2</f>
        <v>650000</v>
      </c>
    </row>
    <row r="142" spans="1:13" x14ac:dyDescent="0.3">
      <c r="A142" s="3">
        <v>44962</v>
      </c>
      <c r="B142">
        <f t="shared" si="2"/>
        <v>2023</v>
      </c>
      <c r="C142">
        <v>2</v>
      </c>
      <c r="D142" t="s">
        <v>28</v>
      </c>
      <c r="E142" t="s">
        <v>15</v>
      </c>
      <c r="F142" s="2">
        <v>1865</v>
      </c>
      <c r="G142" s="2">
        <f>Monthly_Growth!$C$3</f>
        <v>876772</v>
      </c>
      <c r="H142" s="5">
        <f>Monthly_Growth!$D$3</f>
        <v>-3.0236398487350529E-2</v>
      </c>
      <c r="I142" s="15">
        <f>Yearly_Growth!$C$2</f>
        <v>5.0333827436586778E-2</v>
      </c>
      <c r="J142" s="15">
        <f>Yearly_Growth!$D$2</f>
        <v>0.03</v>
      </c>
      <c r="K142">
        <f>Sales_Per_Representative!$C$12</f>
        <v>656359</v>
      </c>
      <c r="L142">
        <f>Sales_Per_Rep_Yearly_Goal!$B$2</f>
        <v>665544.80000000005</v>
      </c>
      <c r="M142">
        <f>Sales_Per_Rep_Yearly_Goal!$C$2</f>
        <v>650000</v>
      </c>
    </row>
    <row r="143" spans="1:13" x14ac:dyDescent="0.3">
      <c r="A143" s="3">
        <v>44962</v>
      </c>
      <c r="B143">
        <f t="shared" si="2"/>
        <v>2023</v>
      </c>
      <c r="C143">
        <v>2</v>
      </c>
      <c r="D143" t="s">
        <v>28</v>
      </c>
      <c r="E143" t="s">
        <v>26</v>
      </c>
      <c r="F143" s="2">
        <v>3711</v>
      </c>
      <c r="G143" s="2">
        <f>Monthly_Growth!$C$3</f>
        <v>876772</v>
      </c>
      <c r="H143" s="5">
        <f>Monthly_Growth!$D$3</f>
        <v>-3.0236398487350529E-2</v>
      </c>
      <c r="I143" s="15">
        <f>Yearly_Growth!$C$2</f>
        <v>5.0333827436586778E-2</v>
      </c>
      <c r="J143" s="15">
        <f>Yearly_Growth!$D$2</f>
        <v>0.03</v>
      </c>
      <c r="K143">
        <f>Sales_Per_Representative!$C$16</f>
        <v>666159</v>
      </c>
      <c r="L143">
        <f>Sales_Per_Rep_Yearly_Goal!$B$2</f>
        <v>665544.80000000005</v>
      </c>
      <c r="M143">
        <f>Sales_Per_Rep_Yearly_Goal!$C$2</f>
        <v>650000</v>
      </c>
    </row>
    <row r="144" spans="1:13" x14ac:dyDescent="0.3">
      <c r="A144" s="3">
        <v>44962</v>
      </c>
      <c r="B144">
        <f t="shared" si="2"/>
        <v>2023</v>
      </c>
      <c r="C144">
        <v>2</v>
      </c>
      <c r="D144" t="s">
        <v>17</v>
      </c>
      <c r="E144" t="s">
        <v>27</v>
      </c>
      <c r="F144" s="2">
        <v>13128</v>
      </c>
      <c r="G144" s="2">
        <f>Monthly_Growth!$C$3</f>
        <v>876772</v>
      </c>
      <c r="H144" s="5">
        <f>Monthly_Growth!$D$3</f>
        <v>-3.0236398487350529E-2</v>
      </c>
      <c r="I144" s="15">
        <f>Yearly_Growth!$C$2</f>
        <v>5.0333827436586778E-2</v>
      </c>
      <c r="J144" s="15">
        <f>Yearly_Growth!$D$2</f>
        <v>0.03</v>
      </c>
      <c r="K144">
        <f>Sales_Per_Representative!$C$5</f>
        <v>747962</v>
      </c>
      <c r="L144">
        <f>Sales_Per_Rep_Yearly_Goal!$B$2</f>
        <v>665544.80000000005</v>
      </c>
      <c r="M144">
        <f>Sales_Per_Rep_Yearly_Goal!$C$2</f>
        <v>650000</v>
      </c>
    </row>
    <row r="145" spans="1:13" x14ac:dyDescent="0.3">
      <c r="A145" s="3">
        <v>44963</v>
      </c>
      <c r="B145">
        <f t="shared" si="2"/>
        <v>2023</v>
      </c>
      <c r="C145">
        <v>2</v>
      </c>
      <c r="D145" t="s">
        <v>19</v>
      </c>
      <c r="E145" t="s">
        <v>29</v>
      </c>
      <c r="F145" s="2">
        <v>1157</v>
      </c>
      <c r="G145" s="2">
        <f>Monthly_Growth!$C$3</f>
        <v>876772</v>
      </c>
      <c r="H145" s="5">
        <f>Monthly_Growth!$D$3</f>
        <v>-3.0236398487350529E-2</v>
      </c>
      <c r="I145" s="15">
        <f>Yearly_Growth!$C$2</f>
        <v>5.0333827436586778E-2</v>
      </c>
      <c r="J145" s="15">
        <f>Yearly_Growth!$D$2</f>
        <v>0.03</v>
      </c>
      <c r="K145">
        <f>Sales_Per_Representative!$C$13</f>
        <v>621548</v>
      </c>
      <c r="L145">
        <f>Sales_Per_Rep_Yearly_Goal!$B$2</f>
        <v>665544.80000000005</v>
      </c>
      <c r="M145">
        <f>Sales_Per_Rep_Yearly_Goal!$C$2</f>
        <v>650000</v>
      </c>
    </row>
    <row r="146" spans="1:13" x14ac:dyDescent="0.3">
      <c r="A146" s="3">
        <v>44963</v>
      </c>
      <c r="B146">
        <f t="shared" si="2"/>
        <v>2023</v>
      </c>
      <c r="C146">
        <v>2</v>
      </c>
      <c r="D146" t="s">
        <v>17</v>
      </c>
      <c r="E146" t="s">
        <v>8</v>
      </c>
      <c r="F146" s="2">
        <v>12766</v>
      </c>
      <c r="G146" s="2">
        <f>Monthly_Growth!$C$3</f>
        <v>876772</v>
      </c>
      <c r="H146" s="5">
        <f>Monthly_Growth!$D$3</f>
        <v>-3.0236398487350529E-2</v>
      </c>
      <c r="I146" s="15">
        <f>Yearly_Growth!$C$2</f>
        <v>5.0333827436586778E-2</v>
      </c>
      <c r="J146" s="15">
        <f>Yearly_Growth!$D$2</f>
        <v>0.03</v>
      </c>
      <c r="K146">
        <f>Sales_Per_Representative!$C$15</f>
        <v>701242</v>
      </c>
      <c r="L146">
        <f>Sales_Per_Rep_Yearly_Goal!$B$2</f>
        <v>665544.80000000005</v>
      </c>
      <c r="M146">
        <f>Sales_Per_Rep_Yearly_Goal!$C$2</f>
        <v>650000</v>
      </c>
    </row>
    <row r="147" spans="1:13" x14ac:dyDescent="0.3">
      <c r="A147" s="3">
        <v>44964</v>
      </c>
      <c r="B147">
        <f t="shared" si="2"/>
        <v>2023</v>
      </c>
      <c r="C147">
        <v>2</v>
      </c>
      <c r="D147" t="s">
        <v>14</v>
      </c>
      <c r="E147" t="s">
        <v>22</v>
      </c>
      <c r="F147" s="2">
        <v>4057</v>
      </c>
      <c r="G147" s="2">
        <f>Monthly_Growth!$C$3</f>
        <v>876772</v>
      </c>
      <c r="H147" s="5">
        <f>Monthly_Growth!$D$3</f>
        <v>-3.0236398487350529E-2</v>
      </c>
      <c r="I147" s="15">
        <f>Yearly_Growth!$C$2</f>
        <v>5.0333827436586778E-2</v>
      </c>
      <c r="J147" s="15">
        <f>Yearly_Growth!$D$2</f>
        <v>0.03</v>
      </c>
      <c r="K147">
        <f>Sales_Per_Representative!$C$8</f>
        <v>649456</v>
      </c>
      <c r="L147">
        <f>Sales_Per_Rep_Yearly_Goal!$B$2</f>
        <v>665544.80000000005</v>
      </c>
      <c r="M147">
        <f>Sales_Per_Rep_Yearly_Goal!$C$2</f>
        <v>650000</v>
      </c>
    </row>
    <row r="148" spans="1:13" x14ac:dyDescent="0.3">
      <c r="A148" s="3">
        <v>44964</v>
      </c>
      <c r="B148">
        <f t="shared" si="2"/>
        <v>2023</v>
      </c>
      <c r="C148">
        <v>2</v>
      </c>
      <c r="D148" t="s">
        <v>19</v>
      </c>
      <c r="E148" t="s">
        <v>33</v>
      </c>
      <c r="F148" s="2">
        <v>7518</v>
      </c>
      <c r="G148" s="2">
        <f>Monthly_Growth!$C$3</f>
        <v>876772</v>
      </c>
      <c r="H148" s="5">
        <f>Monthly_Growth!$D$3</f>
        <v>-3.0236398487350529E-2</v>
      </c>
      <c r="I148" s="15">
        <f>Yearly_Growth!$C$2</f>
        <v>5.0333827436586778E-2</v>
      </c>
      <c r="J148" s="15">
        <f>Yearly_Growth!$D$2</f>
        <v>0.03</v>
      </c>
      <c r="K148">
        <f>Sales_Per_Representative!$C$11</f>
        <v>496886</v>
      </c>
      <c r="L148">
        <f>Sales_Per_Rep_Yearly_Goal!$B$2</f>
        <v>665544.80000000005</v>
      </c>
      <c r="M148">
        <f>Sales_Per_Rep_Yearly_Goal!$C$2</f>
        <v>650000</v>
      </c>
    </row>
    <row r="149" spans="1:13" x14ac:dyDescent="0.3">
      <c r="A149" s="3">
        <v>44964</v>
      </c>
      <c r="B149">
        <f t="shared" si="2"/>
        <v>2023</v>
      </c>
      <c r="C149">
        <v>2</v>
      </c>
      <c r="D149" t="s">
        <v>25</v>
      </c>
      <c r="E149" t="s">
        <v>8</v>
      </c>
      <c r="F149" s="2">
        <v>1531</v>
      </c>
      <c r="G149" s="2">
        <f>Monthly_Growth!$C$3</f>
        <v>876772</v>
      </c>
      <c r="H149" s="5">
        <f>Monthly_Growth!$D$3</f>
        <v>-3.0236398487350529E-2</v>
      </c>
      <c r="I149" s="15">
        <f>Yearly_Growth!$C$2</f>
        <v>5.0333827436586778E-2</v>
      </c>
      <c r="J149" s="15">
        <f>Yearly_Growth!$D$2</f>
        <v>0.03</v>
      </c>
      <c r="K149">
        <f>Sales_Per_Representative!$C$15</f>
        <v>701242</v>
      </c>
      <c r="L149">
        <f>Sales_Per_Rep_Yearly_Goal!$B$2</f>
        <v>665544.80000000005</v>
      </c>
      <c r="M149">
        <f>Sales_Per_Rep_Yearly_Goal!$C$2</f>
        <v>650000</v>
      </c>
    </row>
    <row r="150" spans="1:13" x14ac:dyDescent="0.3">
      <c r="A150" s="3">
        <v>44964</v>
      </c>
      <c r="B150">
        <f t="shared" si="2"/>
        <v>2023</v>
      </c>
      <c r="C150">
        <v>2</v>
      </c>
      <c r="D150" t="s">
        <v>25</v>
      </c>
      <c r="E150" t="s">
        <v>20</v>
      </c>
      <c r="F150" s="2">
        <v>7400</v>
      </c>
      <c r="G150" s="2">
        <f>Monthly_Growth!$C$3</f>
        <v>876772</v>
      </c>
      <c r="H150" s="5">
        <f>Monthly_Growth!$D$3</f>
        <v>-3.0236398487350529E-2</v>
      </c>
      <c r="I150" s="15">
        <f>Yearly_Growth!$C$2</f>
        <v>5.0333827436586778E-2</v>
      </c>
      <c r="J150" s="15">
        <f>Yearly_Growth!$D$2</f>
        <v>0.03</v>
      </c>
      <c r="K150">
        <f>Sales_Per_Representative!$C$14</f>
        <v>675530</v>
      </c>
      <c r="L150">
        <f>Sales_Per_Rep_Yearly_Goal!$B$2</f>
        <v>665544.80000000005</v>
      </c>
      <c r="M150">
        <f>Sales_Per_Rep_Yearly_Goal!$C$2</f>
        <v>650000</v>
      </c>
    </row>
    <row r="151" spans="1:13" x14ac:dyDescent="0.3">
      <c r="A151" s="3">
        <v>44964</v>
      </c>
      <c r="B151">
        <f t="shared" si="2"/>
        <v>2023</v>
      </c>
      <c r="C151">
        <v>2</v>
      </c>
      <c r="D151" t="s">
        <v>25</v>
      </c>
      <c r="E151" t="s">
        <v>24</v>
      </c>
      <c r="F151" s="2">
        <v>1720</v>
      </c>
      <c r="G151" s="2">
        <f>Monthly_Growth!$C$3</f>
        <v>876772</v>
      </c>
      <c r="H151" s="5">
        <f>Monthly_Growth!$D$3</f>
        <v>-3.0236398487350529E-2</v>
      </c>
      <c r="I151" s="15">
        <f>Yearly_Growth!$C$2</f>
        <v>5.0333827436586778E-2</v>
      </c>
      <c r="J151" s="15">
        <f>Yearly_Growth!$D$2</f>
        <v>0.03</v>
      </c>
      <c r="K151">
        <f>Sales_Per_Representative!$C$2</f>
        <v>631195</v>
      </c>
      <c r="L151">
        <f>Sales_Per_Rep_Yearly_Goal!$B$2</f>
        <v>665544.80000000005</v>
      </c>
      <c r="M151">
        <f>Sales_Per_Rep_Yearly_Goal!$C$2</f>
        <v>650000</v>
      </c>
    </row>
    <row r="152" spans="1:13" x14ac:dyDescent="0.3">
      <c r="A152" s="3">
        <v>44964</v>
      </c>
      <c r="B152">
        <f t="shared" si="2"/>
        <v>2023</v>
      </c>
      <c r="C152">
        <v>2</v>
      </c>
      <c r="D152" t="s">
        <v>17</v>
      </c>
      <c r="E152" t="s">
        <v>15</v>
      </c>
      <c r="F152" s="2">
        <v>13636</v>
      </c>
      <c r="G152" s="2">
        <f>Monthly_Growth!$C$3</f>
        <v>876772</v>
      </c>
      <c r="H152" s="5">
        <f>Monthly_Growth!$D$3</f>
        <v>-3.0236398487350529E-2</v>
      </c>
      <c r="I152" s="15">
        <f>Yearly_Growth!$C$2</f>
        <v>5.0333827436586778E-2</v>
      </c>
      <c r="J152" s="15">
        <f>Yearly_Growth!$D$2</f>
        <v>0.03</v>
      </c>
      <c r="K152">
        <f>Sales_Per_Representative!$C$12</f>
        <v>656359</v>
      </c>
      <c r="L152">
        <f>Sales_Per_Rep_Yearly_Goal!$B$2</f>
        <v>665544.80000000005</v>
      </c>
      <c r="M152">
        <f>Sales_Per_Rep_Yearly_Goal!$C$2</f>
        <v>650000</v>
      </c>
    </row>
    <row r="153" spans="1:13" x14ac:dyDescent="0.3">
      <c r="A153" s="3">
        <v>44964</v>
      </c>
      <c r="B153">
        <f t="shared" si="2"/>
        <v>2023</v>
      </c>
      <c r="C153">
        <v>2</v>
      </c>
      <c r="D153" t="s">
        <v>12</v>
      </c>
      <c r="E153" t="s">
        <v>22</v>
      </c>
      <c r="F153" s="2">
        <v>4129</v>
      </c>
      <c r="G153" s="2">
        <f>Monthly_Growth!$C$3</f>
        <v>876772</v>
      </c>
      <c r="H153" s="5">
        <f>Monthly_Growth!$D$3</f>
        <v>-3.0236398487350529E-2</v>
      </c>
      <c r="I153" s="15">
        <f>Yearly_Growth!$C$2</f>
        <v>5.0333827436586778E-2</v>
      </c>
      <c r="J153" s="15">
        <f>Yearly_Growth!$D$2</f>
        <v>0.03</v>
      </c>
      <c r="K153">
        <f>Sales_Per_Representative!$C$8</f>
        <v>649456</v>
      </c>
      <c r="L153">
        <f>Sales_Per_Rep_Yearly_Goal!$B$2</f>
        <v>665544.80000000005</v>
      </c>
      <c r="M153">
        <f>Sales_Per_Rep_Yearly_Goal!$C$2</f>
        <v>650000</v>
      </c>
    </row>
    <row r="154" spans="1:13" x14ac:dyDescent="0.3">
      <c r="A154" s="3">
        <v>44965</v>
      </c>
      <c r="B154">
        <f t="shared" si="2"/>
        <v>2023</v>
      </c>
      <c r="C154">
        <v>2</v>
      </c>
      <c r="D154" t="s">
        <v>14</v>
      </c>
      <c r="E154" t="s">
        <v>18</v>
      </c>
      <c r="F154" s="2">
        <v>11480</v>
      </c>
      <c r="G154" s="2">
        <f>Monthly_Growth!$C$3</f>
        <v>876772</v>
      </c>
      <c r="H154" s="5">
        <f>Monthly_Growth!$D$3</f>
        <v>-3.0236398487350529E-2</v>
      </c>
      <c r="I154" s="15">
        <f>Yearly_Growth!$C$2</f>
        <v>5.0333827436586778E-2</v>
      </c>
      <c r="J154" s="15">
        <f>Yearly_Growth!$D$2</f>
        <v>0.03</v>
      </c>
      <c r="K154">
        <f>Sales_Per_Representative!$C$9</f>
        <v>550835</v>
      </c>
      <c r="L154">
        <f>Sales_Per_Rep_Yearly_Goal!$B$2</f>
        <v>665544.80000000005</v>
      </c>
      <c r="M154">
        <f>Sales_Per_Rep_Yearly_Goal!$C$2</f>
        <v>650000</v>
      </c>
    </row>
    <row r="155" spans="1:13" x14ac:dyDescent="0.3">
      <c r="A155" s="3">
        <v>44965</v>
      </c>
      <c r="B155">
        <f t="shared" si="2"/>
        <v>2023</v>
      </c>
      <c r="C155">
        <v>2</v>
      </c>
      <c r="D155" t="s">
        <v>19</v>
      </c>
      <c r="E155" t="s">
        <v>15</v>
      </c>
      <c r="F155" s="2">
        <v>12023</v>
      </c>
      <c r="G155" s="2">
        <f>Monthly_Growth!$C$3</f>
        <v>876772</v>
      </c>
      <c r="H155" s="5">
        <f>Monthly_Growth!$D$3</f>
        <v>-3.0236398487350529E-2</v>
      </c>
      <c r="I155" s="15">
        <f>Yearly_Growth!$C$2</f>
        <v>5.0333827436586778E-2</v>
      </c>
      <c r="J155" s="15">
        <f>Yearly_Growth!$D$2</f>
        <v>0.03</v>
      </c>
      <c r="K155">
        <f>Sales_Per_Representative!$C$12</f>
        <v>656359</v>
      </c>
      <c r="L155">
        <f>Sales_Per_Rep_Yearly_Goal!$B$2</f>
        <v>665544.80000000005</v>
      </c>
      <c r="M155">
        <f>Sales_Per_Rep_Yearly_Goal!$C$2</f>
        <v>650000</v>
      </c>
    </row>
    <row r="156" spans="1:13" x14ac:dyDescent="0.3">
      <c r="A156" s="3">
        <v>44965</v>
      </c>
      <c r="B156">
        <f t="shared" si="2"/>
        <v>2023</v>
      </c>
      <c r="C156">
        <v>2</v>
      </c>
      <c r="D156" t="s">
        <v>19</v>
      </c>
      <c r="E156" t="s">
        <v>15</v>
      </c>
      <c r="F156" s="2">
        <v>10552</v>
      </c>
      <c r="G156" s="2">
        <f>Monthly_Growth!$C$3</f>
        <v>876772</v>
      </c>
      <c r="H156" s="5">
        <f>Monthly_Growth!$D$3</f>
        <v>-3.0236398487350529E-2</v>
      </c>
      <c r="I156" s="15">
        <f>Yearly_Growth!$C$2</f>
        <v>5.0333827436586778E-2</v>
      </c>
      <c r="J156" s="15">
        <f>Yearly_Growth!$D$2</f>
        <v>0.03</v>
      </c>
      <c r="K156">
        <f>Sales_Per_Representative!$C$12</f>
        <v>656359</v>
      </c>
      <c r="L156">
        <f>Sales_Per_Rep_Yearly_Goal!$B$2</f>
        <v>665544.80000000005</v>
      </c>
      <c r="M156">
        <f>Sales_Per_Rep_Yearly_Goal!$C$2</f>
        <v>650000</v>
      </c>
    </row>
    <row r="157" spans="1:13" x14ac:dyDescent="0.3">
      <c r="A157" s="3">
        <v>44965</v>
      </c>
      <c r="B157">
        <f t="shared" si="2"/>
        <v>2023</v>
      </c>
      <c r="C157">
        <v>2</v>
      </c>
      <c r="D157" t="s">
        <v>23</v>
      </c>
      <c r="E157" t="s">
        <v>30</v>
      </c>
      <c r="F157" s="2">
        <v>10607</v>
      </c>
      <c r="G157" s="2">
        <f>Monthly_Growth!$C$3</f>
        <v>876772</v>
      </c>
      <c r="H157" s="5">
        <f>Monthly_Growth!$D$3</f>
        <v>-3.0236398487350529E-2</v>
      </c>
      <c r="I157" s="15">
        <f>Yearly_Growth!$C$2</f>
        <v>5.0333827436586778E-2</v>
      </c>
      <c r="J157" s="15">
        <f>Yearly_Growth!$D$2</f>
        <v>0.03</v>
      </c>
      <c r="K157">
        <f>Sales_Per_Representative!$C$7</f>
        <v>706974</v>
      </c>
      <c r="L157">
        <f>Sales_Per_Rep_Yearly_Goal!$B$2</f>
        <v>665544.80000000005</v>
      </c>
      <c r="M157">
        <f>Sales_Per_Rep_Yearly_Goal!$C$2</f>
        <v>650000</v>
      </c>
    </row>
    <row r="158" spans="1:13" x14ac:dyDescent="0.3">
      <c r="A158" s="3">
        <v>44965</v>
      </c>
      <c r="B158">
        <f t="shared" si="2"/>
        <v>2023</v>
      </c>
      <c r="C158">
        <v>2</v>
      </c>
      <c r="D158" t="s">
        <v>28</v>
      </c>
      <c r="E158" t="s">
        <v>30</v>
      </c>
      <c r="F158" s="2">
        <v>9584</v>
      </c>
      <c r="G158" s="2">
        <f>Monthly_Growth!$C$3</f>
        <v>876772</v>
      </c>
      <c r="H158" s="5">
        <f>Monthly_Growth!$D$3</f>
        <v>-3.0236398487350529E-2</v>
      </c>
      <c r="I158" s="15">
        <f>Yearly_Growth!$C$2</f>
        <v>5.0333827436586778E-2</v>
      </c>
      <c r="J158" s="15">
        <f>Yearly_Growth!$D$2</f>
        <v>0.03</v>
      </c>
      <c r="K158">
        <f>Sales_Per_Representative!$C$7</f>
        <v>706974</v>
      </c>
      <c r="L158">
        <f>Sales_Per_Rep_Yearly_Goal!$B$2</f>
        <v>665544.80000000005</v>
      </c>
      <c r="M158">
        <f>Sales_Per_Rep_Yearly_Goal!$C$2</f>
        <v>650000</v>
      </c>
    </row>
    <row r="159" spans="1:13" x14ac:dyDescent="0.3">
      <c r="A159" s="3">
        <v>44965</v>
      </c>
      <c r="B159">
        <f t="shared" si="2"/>
        <v>2023</v>
      </c>
      <c r="C159">
        <v>2</v>
      </c>
      <c r="D159" t="s">
        <v>28</v>
      </c>
      <c r="E159" t="s">
        <v>10</v>
      </c>
      <c r="F159" s="2">
        <v>9302</v>
      </c>
      <c r="G159" s="2">
        <f>Monthly_Growth!$C$3</f>
        <v>876772</v>
      </c>
      <c r="H159" s="5">
        <f>Monthly_Growth!$D$3</f>
        <v>-3.0236398487350529E-2</v>
      </c>
      <c r="I159" s="15">
        <f>Yearly_Growth!$C$2</f>
        <v>5.0333827436586778E-2</v>
      </c>
      <c r="J159" s="15">
        <f>Yearly_Growth!$D$2</f>
        <v>0.03</v>
      </c>
      <c r="K159">
        <f>Sales_Per_Representative!$C$4</f>
        <v>725713</v>
      </c>
      <c r="L159">
        <f>Sales_Per_Rep_Yearly_Goal!$B$2</f>
        <v>665544.80000000005</v>
      </c>
      <c r="M159">
        <f>Sales_Per_Rep_Yearly_Goal!$C$2</f>
        <v>650000</v>
      </c>
    </row>
    <row r="160" spans="1:13" x14ac:dyDescent="0.3">
      <c r="A160" s="3">
        <v>44965</v>
      </c>
      <c r="B160">
        <f t="shared" si="2"/>
        <v>2023</v>
      </c>
      <c r="C160">
        <v>2</v>
      </c>
      <c r="D160" t="s">
        <v>17</v>
      </c>
      <c r="E160" t="s">
        <v>26</v>
      </c>
      <c r="F160" s="2">
        <v>5925</v>
      </c>
      <c r="G160" s="2">
        <f>Monthly_Growth!$C$3</f>
        <v>876772</v>
      </c>
      <c r="H160" s="5">
        <f>Monthly_Growth!$D$3</f>
        <v>-3.0236398487350529E-2</v>
      </c>
      <c r="I160" s="15">
        <f>Yearly_Growth!$C$2</f>
        <v>5.0333827436586778E-2</v>
      </c>
      <c r="J160" s="15">
        <f>Yearly_Growth!$D$2</f>
        <v>0.03</v>
      </c>
      <c r="K160">
        <f>Sales_Per_Representative!$C$16</f>
        <v>666159</v>
      </c>
      <c r="L160">
        <f>Sales_Per_Rep_Yearly_Goal!$B$2</f>
        <v>665544.80000000005</v>
      </c>
      <c r="M160">
        <f>Sales_Per_Rep_Yearly_Goal!$C$2</f>
        <v>650000</v>
      </c>
    </row>
    <row r="161" spans="1:13" x14ac:dyDescent="0.3">
      <c r="A161" s="3">
        <v>44966</v>
      </c>
      <c r="B161">
        <f t="shared" si="2"/>
        <v>2023</v>
      </c>
      <c r="C161">
        <v>2</v>
      </c>
      <c r="D161" t="s">
        <v>19</v>
      </c>
      <c r="E161" t="s">
        <v>29</v>
      </c>
      <c r="F161" s="2">
        <v>1679</v>
      </c>
      <c r="G161" s="2">
        <f>Monthly_Growth!$C$3</f>
        <v>876772</v>
      </c>
      <c r="H161" s="5">
        <f>Monthly_Growth!$D$3</f>
        <v>-3.0236398487350529E-2</v>
      </c>
      <c r="I161" s="15">
        <f>Yearly_Growth!$C$2</f>
        <v>5.0333827436586778E-2</v>
      </c>
      <c r="J161" s="15">
        <f>Yearly_Growth!$D$2</f>
        <v>0.03</v>
      </c>
      <c r="K161">
        <f>Sales_Per_Representative!$C$13</f>
        <v>621548</v>
      </c>
      <c r="L161">
        <f>Sales_Per_Rep_Yearly_Goal!$B$2</f>
        <v>665544.80000000005</v>
      </c>
      <c r="M161">
        <f>Sales_Per_Rep_Yearly_Goal!$C$2</f>
        <v>650000</v>
      </c>
    </row>
    <row r="162" spans="1:13" x14ac:dyDescent="0.3">
      <c r="A162" s="3">
        <v>44966</v>
      </c>
      <c r="B162">
        <f t="shared" si="2"/>
        <v>2023</v>
      </c>
      <c r="C162">
        <v>2</v>
      </c>
      <c r="D162" t="s">
        <v>25</v>
      </c>
      <c r="E162" t="s">
        <v>29</v>
      </c>
      <c r="F162" s="2">
        <v>1618</v>
      </c>
      <c r="G162" s="2">
        <f>Monthly_Growth!$C$3</f>
        <v>876772</v>
      </c>
      <c r="H162" s="5">
        <f>Monthly_Growth!$D$3</f>
        <v>-3.0236398487350529E-2</v>
      </c>
      <c r="I162" s="15">
        <f>Yearly_Growth!$C$2</f>
        <v>5.0333827436586778E-2</v>
      </c>
      <c r="J162" s="15">
        <f>Yearly_Growth!$D$2</f>
        <v>0.03</v>
      </c>
      <c r="K162">
        <f>Sales_Per_Representative!$C$13</f>
        <v>621548</v>
      </c>
      <c r="L162">
        <f>Sales_Per_Rep_Yearly_Goal!$B$2</f>
        <v>665544.80000000005</v>
      </c>
      <c r="M162">
        <f>Sales_Per_Rep_Yearly_Goal!$C$2</f>
        <v>650000</v>
      </c>
    </row>
    <row r="163" spans="1:13" x14ac:dyDescent="0.3">
      <c r="A163" s="3">
        <v>44966</v>
      </c>
      <c r="B163">
        <f t="shared" si="2"/>
        <v>2023</v>
      </c>
      <c r="C163">
        <v>2</v>
      </c>
      <c r="D163" t="s">
        <v>7</v>
      </c>
      <c r="E163" t="s">
        <v>10</v>
      </c>
      <c r="F163" s="2">
        <v>8925</v>
      </c>
      <c r="G163" s="2">
        <f>Monthly_Growth!$C$3</f>
        <v>876772</v>
      </c>
      <c r="H163" s="5">
        <f>Monthly_Growth!$D$3</f>
        <v>-3.0236398487350529E-2</v>
      </c>
      <c r="I163" s="15">
        <f>Yearly_Growth!$C$2</f>
        <v>5.0333827436586778E-2</v>
      </c>
      <c r="J163" s="15">
        <f>Yearly_Growth!$D$2</f>
        <v>0.03</v>
      </c>
      <c r="K163">
        <f>Sales_Per_Representative!$C$4</f>
        <v>725713</v>
      </c>
      <c r="L163">
        <f>Sales_Per_Rep_Yearly_Goal!$B$2</f>
        <v>665544.80000000005</v>
      </c>
      <c r="M163">
        <f>Sales_Per_Rep_Yearly_Goal!$C$2</f>
        <v>650000</v>
      </c>
    </row>
    <row r="164" spans="1:13" x14ac:dyDescent="0.3">
      <c r="A164" s="3">
        <v>44966</v>
      </c>
      <c r="B164">
        <f t="shared" si="2"/>
        <v>2023</v>
      </c>
      <c r="C164">
        <v>2</v>
      </c>
      <c r="D164" t="s">
        <v>17</v>
      </c>
      <c r="E164" t="s">
        <v>33</v>
      </c>
      <c r="F164" s="2">
        <v>5852</v>
      </c>
      <c r="G164" s="2">
        <f>Monthly_Growth!$C$3</f>
        <v>876772</v>
      </c>
      <c r="H164" s="5">
        <f>Monthly_Growth!$D$3</f>
        <v>-3.0236398487350529E-2</v>
      </c>
      <c r="I164" s="15">
        <f>Yearly_Growth!$C$2</f>
        <v>5.0333827436586778E-2</v>
      </c>
      <c r="J164" s="15">
        <f>Yearly_Growth!$D$2</f>
        <v>0.03</v>
      </c>
      <c r="K164">
        <f>Sales_Per_Representative!$C$11</f>
        <v>496886</v>
      </c>
      <c r="L164">
        <f>Sales_Per_Rep_Yearly_Goal!$B$2</f>
        <v>665544.80000000005</v>
      </c>
      <c r="M164">
        <f>Sales_Per_Rep_Yearly_Goal!$C$2</f>
        <v>650000</v>
      </c>
    </row>
    <row r="165" spans="1:13" x14ac:dyDescent="0.3">
      <c r="A165" s="3">
        <v>44967</v>
      </c>
      <c r="B165">
        <f t="shared" si="2"/>
        <v>2023</v>
      </c>
      <c r="C165">
        <v>2</v>
      </c>
      <c r="D165" t="s">
        <v>25</v>
      </c>
      <c r="E165" t="s">
        <v>27</v>
      </c>
      <c r="F165" s="2">
        <v>13078</v>
      </c>
      <c r="G165" s="2">
        <f>Monthly_Growth!$C$3</f>
        <v>876772</v>
      </c>
      <c r="H165" s="5">
        <f>Monthly_Growth!$D$3</f>
        <v>-3.0236398487350529E-2</v>
      </c>
      <c r="I165" s="15">
        <f>Yearly_Growth!$C$2</f>
        <v>5.0333827436586778E-2</v>
      </c>
      <c r="J165" s="15">
        <f>Yearly_Growth!$D$2</f>
        <v>0.03</v>
      </c>
      <c r="K165">
        <f>Sales_Per_Representative!$C$5</f>
        <v>747962</v>
      </c>
      <c r="L165">
        <f>Sales_Per_Rep_Yearly_Goal!$B$2</f>
        <v>665544.80000000005</v>
      </c>
      <c r="M165">
        <f>Sales_Per_Rep_Yearly_Goal!$C$2</f>
        <v>650000</v>
      </c>
    </row>
    <row r="166" spans="1:13" x14ac:dyDescent="0.3">
      <c r="A166" s="3">
        <v>44967</v>
      </c>
      <c r="B166">
        <f t="shared" si="2"/>
        <v>2023</v>
      </c>
      <c r="C166">
        <v>2</v>
      </c>
      <c r="D166" t="s">
        <v>25</v>
      </c>
      <c r="E166" t="s">
        <v>31</v>
      </c>
      <c r="F166" s="2">
        <v>4231</v>
      </c>
      <c r="G166" s="2">
        <f>Monthly_Growth!$C$3</f>
        <v>876772</v>
      </c>
      <c r="H166" s="5">
        <f>Monthly_Growth!$D$3</f>
        <v>-3.0236398487350529E-2</v>
      </c>
      <c r="I166" s="15">
        <f>Yearly_Growth!$C$2</f>
        <v>5.0333827436586778E-2</v>
      </c>
      <c r="J166" s="15">
        <f>Yearly_Growth!$D$2</f>
        <v>0.03</v>
      </c>
      <c r="K166">
        <f>Sales_Per_Representative!$C$6</f>
        <v>727823</v>
      </c>
      <c r="L166">
        <f>Sales_Per_Rep_Yearly_Goal!$B$2</f>
        <v>665544.80000000005</v>
      </c>
      <c r="M166">
        <f>Sales_Per_Rep_Yearly_Goal!$C$2</f>
        <v>650000</v>
      </c>
    </row>
    <row r="167" spans="1:13" x14ac:dyDescent="0.3">
      <c r="A167" s="3">
        <v>44967</v>
      </c>
      <c r="B167">
        <f t="shared" si="2"/>
        <v>2023</v>
      </c>
      <c r="C167">
        <v>2</v>
      </c>
      <c r="D167" t="s">
        <v>28</v>
      </c>
      <c r="E167" t="s">
        <v>30</v>
      </c>
      <c r="F167" s="2">
        <v>4531</v>
      </c>
      <c r="G167" s="2">
        <f>Monthly_Growth!$C$3</f>
        <v>876772</v>
      </c>
      <c r="H167" s="5">
        <f>Monthly_Growth!$D$3</f>
        <v>-3.0236398487350529E-2</v>
      </c>
      <c r="I167" s="15">
        <f>Yearly_Growth!$C$2</f>
        <v>5.0333827436586778E-2</v>
      </c>
      <c r="J167" s="15">
        <f>Yearly_Growth!$D$2</f>
        <v>0.03</v>
      </c>
      <c r="K167">
        <f>Sales_Per_Representative!$C$7</f>
        <v>706974</v>
      </c>
      <c r="L167">
        <f>Sales_Per_Rep_Yearly_Goal!$B$2</f>
        <v>665544.80000000005</v>
      </c>
      <c r="M167">
        <f>Sales_Per_Rep_Yearly_Goal!$C$2</f>
        <v>650000</v>
      </c>
    </row>
    <row r="168" spans="1:13" x14ac:dyDescent="0.3">
      <c r="A168" s="3">
        <v>44967</v>
      </c>
      <c r="B168">
        <f t="shared" si="2"/>
        <v>2023</v>
      </c>
      <c r="C168">
        <v>2</v>
      </c>
      <c r="D168" t="s">
        <v>17</v>
      </c>
      <c r="E168" t="s">
        <v>30</v>
      </c>
      <c r="F168" s="2">
        <v>2247</v>
      </c>
      <c r="G168" s="2">
        <f>Monthly_Growth!$C$3</f>
        <v>876772</v>
      </c>
      <c r="H168" s="5">
        <f>Monthly_Growth!$D$3</f>
        <v>-3.0236398487350529E-2</v>
      </c>
      <c r="I168" s="15">
        <f>Yearly_Growth!$C$2</f>
        <v>5.0333827436586778E-2</v>
      </c>
      <c r="J168" s="15">
        <f>Yearly_Growth!$D$2</f>
        <v>0.03</v>
      </c>
      <c r="K168">
        <f>Sales_Per_Representative!$C$7</f>
        <v>706974</v>
      </c>
      <c r="L168">
        <f>Sales_Per_Rep_Yearly_Goal!$B$2</f>
        <v>665544.80000000005</v>
      </c>
      <c r="M168">
        <f>Sales_Per_Rep_Yearly_Goal!$C$2</f>
        <v>650000</v>
      </c>
    </row>
    <row r="169" spans="1:13" x14ac:dyDescent="0.3">
      <c r="A169" s="3">
        <v>44968</v>
      </c>
      <c r="B169">
        <f t="shared" si="2"/>
        <v>2023</v>
      </c>
      <c r="C169">
        <v>2</v>
      </c>
      <c r="D169" t="s">
        <v>19</v>
      </c>
      <c r="E169" t="s">
        <v>10</v>
      </c>
      <c r="F169" s="2">
        <v>4300</v>
      </c>
      <c r="G169" s="2">
        <f>Monthly_Growth!$C$3</f>
        <v>876772</v>
      </c>
      <c r="H169" s="5">
        <f>Monthly_Growth!$D$3</f>
        <v>-3.0236398487350529E-2</v>
      </c>
      <c r="I169" s="15">
        <f>Yearly_Growth!$C$2</f>
        <v>5.0333827436586778E-2</v>
      </c>
      <c r="J169" s="15">
        <f>Yearly_Growth!$D$2</f>
        <v>0.03</v>
      </c>
      <c r="K169">
        <f>Sales_Per_Representative!$C$4</f>
        <v>725713</v>
      </c>
      <c r="L169">
        <f>Sales_Per_Rep_Yearly_Goal!$B$2</f>
        <v>665544.80000000005</v>
      </c>
      <c r="M169">
        <f>Sales_Per_Rep_Yearly_Goal!$C$2</f>
        <v>650000</v>
      </c>
    </row>
    <row r="170" spans="1:13" x14ac:dyDescent="0.3">
      <c r="A170" s="3">
        <v>44968</v>
      </c>
      <c r="B170">
        <f t="shared" si="2"/>
        <v>2023</v>
      </c>
      <c r="C170">
        <v>2</v>
      </c>
      <c r="D170" t="s">
        <v>25</v>
      </c>
      <c r="E170" t="s">
        <v>5</v>
      </c>
      <c r="F170" s="2">
        <v>11304</v>
      </c>
      <c r="G170" s="2">
        <f>Monthly_Growth!$C$3</f>
        <v>876772</v>
      </c>
      <c r="H170" s="5">
        <f>Monthly_Growth!$D$3</f>
        <v>-3.0236398487350529E-2</v>
      </c>
      <c r="I170" s="15">
        <f>Yearly_Growth!$C$2</f>
        <v>5.0333827436586778E-2</v>
      </c>
      <c r="J170" s="15">
        <f>Yearly_Growth!$D$2</f>
        <v>0.03</v>
      </c>
      <c r="K170">
        <f>Sales_Per_Representative!$C$10</f>
        <v>663333</v>
      </c>
      <c r="L170">
        <f>Sales_Per_Rep_Yearly_Goal!$B$2</f>
        <v>665544.80000000005</v>
      </c>
      <c r="M170">
        <f>Sales_Per_Rep_Yearly_Goal!$C$2</f>
        <v>650000</v>
      </c>
    </row>
    <row r="171" spans="1:13" x14ac:dyDescent="0.3">
      <c r="A171" s="3">
        <v>44968</v>
      </c>
      <c r="B171">
        <f t="shared" si="2"/>
        <v>2023</v>
      </c>
      <c r="C171">
        <v>2</v>
      </c>
      <c r="D171" t="s">
        <v>17</v>
      </c>
      <c r="E171" t="s">
        <v>29</v>
      </c>
      <c r="F171" s="2">
        <v>11396</v>
      </c>
      <c r="G171" s="2">
        <f>Monthly_Growth!$C$3</f>
        <v>876772</v>
      </c>
      <c r="H171" s="5">
        <f>Monthly_Growth!$D$3</f>
        <v>-3.0236398487350529E-2</v>
      </c>
      <c r="I171" s="15">
        <f>Yearly_Growth!$C$2</f>
        <v>5.0333827436586778E-2</v>
      </c>
      <c r="J171" s="15">
        <f>Yearly_Growth!$D$2</f>
        <v>0.03</v>
      </c>
      <c r="K171">
        <f>Sales_Per_Representative!$C$13</f>
        <v>621548</v>
      </c>
      <c r="L171">
        <f>Sales_Per_Rep_Yearly_Goal!$B$2</f>
        <v>665544.80000000005</v>
      </c>
      <c r="M171">
        <f>Sales_Per_Rep_Yearly_Goal!$C$2</f>
        <v>650000</v>
      </c>
    </row>
    <row r="172" spans="1:13" x14ac:dyDescent="0.3">
      <c r="A172" s="3">
        <v>44968</v>
      </c>
      <c r="B172">
        <f t="shared" si="2"/>
        <v>2023</v>
      </c>
      <c r="C172">
        <v>2</v>
      </c>
      <c r="D172" t="s">
        <v>12</v>
      </c>
      <c r="E172" t="s">
        <v>20</v>
      </c>
      <c r="F172" s="2">
        <v>9489</v>
      </c>
      <c r="G172" s="2">
        <f>Monthly_Growth!$C$3</f>
        <v>876772</v>
      </c>
      <c r="H172" s="5">
        <f>Monthly_Growth!$D$3</f>
        <v>-3.0236398487350529E-2</v>
      </c>
      <c r="I172" s="15">
        <f>Yearly_Growth!$C$2</f>
        <v>5.0333827436586778E-2</v>
      </c>
      <c r="J172" s="15">
        <f>Yearly_Growth!$D$2</f>
        <v>0.03</v>
      </c>
      <c r="K172">
        <f>Sales_Per_Representative!$C$14</f>
        <v>675530</v>
      </c>
      <c r="L172">
        <f>Sales_Per_Rep_Yearly_Goal!$B$2</f>
        <v>665544.80000000005</v>
      </c>
      <c r="M172">
        <f>Sales_Per_Rep_Yearly_Goal!$C$2</f>
        <v>650000</v>
      </c>
    </row>
    <row r="173" spans="1:13" x14ac:dyDescent="0.3">
      <c r="A173" s="3">
        <v>44969</v>
      </c>
      <c r="B173">
        <f t="shared" si="2"/>
        <v>2023</v>
      </c>
      <c r="C173">
        <v>2</v>
      </c>
      <c r="D173" t="s">
        <v>23</v>
      </c>
      <c r="E173" t="s">
        <v>31</v>
      </c>
      <c r="F173" s="2">
        <v>2574</v>
      </c>
      <c r="G173" s="2">
        <f>Monthly_Growth!$C$3</f>
        <v>876772</v>
      </c>
      <c r="H173" s="5">
        <f>Monthly_Growth!$D$3</f>
        <v>-3.0236398487350529E-2</v>
      </c>
      <c r="I173" s="15">
        <f>Yearly_Growth!$C$2</f>
        <v>5.0333827436586778E-2</v>
      </c>
      <c r="J173" s="15">
        <f>Yearly_Growth!$D$2</f>
        <v>0.03</v>
      </c>
      <c r="K173">
        <f>Sales_Per_Representative!$C$6</f>
        <v>727823</v>
      </c>
      <c r="L173">
        <f>Sales_Per_Rep_Yearly_Goal!$B$2</f>
        <v>665544.80000000005</v>
      </c>
      <c r="M173">
        <f>Sales_Per_Rep_Yearly_Goal!$C$2</f>
        <v>650000</v>
      </c>
    </row>
    <row r="174" spans="1:13" x14ac:dyDescent="0.3">
      <c r="A174" s="3">
        <v>44969</v>
      </c>
      <c r="B174">
        <f t="shared" si="2"/>
        <v>2023</v>
      </c>
      <c r="C174">
        <v>2</v>
      </c>
      <c r="D174" t="s">
        <v>25</v>
      </c>
      <c r="E174" t="s">
        <v>18</v>
      </c>
      <c r="F174" s="2">
        <v>10632</v>
      </c>
      <c r="G174" s="2">
        <f>Monthly_Growth!$C$3</f>
        <v>876772</v>
      </c>
      <c r="H174" s="5">
        <f>Monthly_Growth!$D$3</f>
        <v>-3.0236398487350529E-2</v>
      </c>
      <c r="I174" s="15">
        <f>Yearly_Growth!$C$2</f>
        <v>5.0333827436586778E-2</v>
      </c>
      <c r="J174" s="15">
        <f>Yearly_Growth!$D$2</f>
        <v>0.03</v>
      </c>
      <c r="K174">
        <f>Sales_Per_Representative!$C$9</f>
        <v>550835</v>
      </c>
      <c r="L174">
        <f>Sales_Per_Rep_Yearly_Goal!$B$2</f>
        <v>665544.80000000005</v>
      </c>
      <c r="M174">
        <f>Sales_Per_Rep_Yearly_Goal!$C$2</f>
        <v>650000</v>
      </c>
    </row>
    <row r="175" spans="1:13" x14ac:dyDescent="0.3">
      <c r="A175" s="3">
        <v>44969</v>
      </c>
      <c r="B175">
        <f t="shared" si="2"/>
        <v>2023</v>
      </c>
      <c r="C175">
        <v>2</v>
      </c>
      <c r="D175" t="s">
        <v>28</v>
      </c>
      <c r="E175" t="s">
        <v>22</v>
      </c>
      <c r="F175" s="2">
        <v>9798</v>
      </c>
      <c r="G175" s="2">
        <f>Monthly_Growth!$C$3</f>
        <v>876772</v>
      </c>
      <c r="H175" s="5">
        <f>Monthly_Growth!$D$3</f>
        <v>-3.0236398487350529E-2</v>
      </c>
      <c r="I175" s="15">
        <f>Yearly_Growth!$C$2</f>
        <v>5.0333827436586778E-2</v>
      </c>
      <c r="J175" s="15">
        <f>Yearly_Growth!$D$2</f>
        <v>0.03</v>
      </c>
      <c r="K175">
        <f>Sales_Per_Representative!$C$8</f>
        <v>649456</v>
      </c>
      <c r="L175">
        <f>Sales_Per_Rep_Yearly_Goal!$B$2</f>
        <v>665544.80000000005</v>
      </c>
      <c r="M175">
        <f>Sales_Per_Rep_Yearly_Goal!$C$2</f>
        <v>650000</v>
      </c>
    </row>
    <row r="176" spans="1:13" x14ac:dyDescent="0.3">
      <c r="A176" s="3">
        <v>44969</v>
      </c>
      <c r="B176">
        <f t="shared" si="2"/>
        <v>2023</v>
      </c>
      <c r="C176">
        <v>2</v>
      </c>
      <c r="D176" t="s">
        <v>17</v>
      </c>
      <c r="E176" t="s">
        <v>26</v>
      </c>
      <c r="F176" s="2">
        <v>10098</v>
      </c>
      <c r="G176" s="2">
        <f>Monthly_Growth!$C$3</f>
        <v>876772</v>
      </c>
      <c r="H176" s="5">
        <f>Monthly_Growth!$D$3</f>
        <v>-3.0236398487350529E-2</v>
      </c>
      <c r="I176" s="15">
        <f>Yearly_Growth!$C$2</f>
        <v>5.0333827436586778E-2</v>
      </c>
      <c r="J176" s="15">
        <f>Yearly_Growth!$D$2</f>
        <v>0.03</v>
      </c>
      <c r="K176">
        <f>Sales_Per_Representative!$C$16</f>
        <v>666159</v>
      </c>
      <c r="L176">
        <f>Sales_Per_Rep_Yearly_Goal!$B$2</f>
        <v>665544.80000000005</v>
      </c>
      <c r="M176">
        <f>Sales_Per_Rep_Yearly_Goal!$C$2</f>
        <v>650000</v>
      </c>
    </row>
    <row r="177" spans="1:13" x14ac:dyDescent="0.3">
      <c r="A177" s="3">
        <v>44970</v>
      </c>
      <c r="B177">
        <f t="shared" si="2"/>
        <v>2023</v>
      </c>
      <c r="C177">
        <v>2</v>
      </c>
      <c r="D177" t="s">
        <v>14</v>
      </c>
      <c r="E177" t="s">
        <v>18</v>
      </c>
      <c r="F177" s="2">
        <v>4863</v>
      </c>
      <c r="G177" s="2">
        <f>Monthly_Growth!$C$3</f>
        <v>876772</v>
      </c>
      <c r="H177" s="5">
        <f>Monthly_Growth!$D$3</f>
        <v>-3.0236398487350529E-2</v>
      </c>
      <c r="I177" s="15">
        <f>Yearly_Growth!$C$2</f>
        <v>5.0333827436586778E-2</v>
      </c>
      <c r="J177" s="15">
        <f>Yearly_Growth!$D$2</f>
        <v>0.03</v>
      </c>
      <c r="K177">
        <f>Sales_Per_Representative!$C$9</f>
        <v>550835</v>
      </c>
      <c r="L177">
        <f>Sales_Per_Rep_Yearly_Goal!$B$2</f>
        <v>665544.80000000005</v>
      </c>
      <c r="M177">
        <f>Sales_Per_Rep_Yearly_Goal!$C$2</f>
        <v>650000</v>
      </c>
    </row>
    <row r="178" spans="1:13" x14ac:dyDescent="0.3">
      <c r="A178" s="3">
        <v>44970</v>
      </c>
      <c r="B178">
        <f t="shared" si="2"/>
        <v>2023</v>
      </c>
      <c r="C178">
        <v>2</v>
      </c>
      <c r="D178" t="s">
        <v>14</v>
      </c>
      <c r="E178" t="s">
        <v>24</v>
      </c>
      <c r="F178" s="2">
        <v>3867</v>
      </c>
      <c r="G178" s="2">
        <f>Monthly_Growth!$C$3</f>
        <v>876772</v>
      </c>
      <c r="H178" s="5">
        <f>Monthly_Growth!$D$3</f>
        <v>-3.0236398487350529E-2</v>
      </c>
      <c r="I178" s="15">
        <f>Yearly_Growth!$C$2</f>
        <v>5.0333827436586778E-2</v>
      </c>
      <c r="J178" s="15">
        <f>Yearly_Growth!$D$2</f>
        <v>0.03</v>
      </c>
      <c r="K178">
        <f>Sales_Per_Representative!$C$2</f>
        <v>631195</v>
      </c>
      <c r="L178">
        <f>Sales_Per_Rep_Yearly_Goal!$B$2</f>
        <v>665544.80000000005</v>
      </c>
      <c r="M178">
        <f>Sales_Per_Rep_Yearly_Goal!$C$2</f>
        <v>650000</v>
      </c>
    </row>
    <row r="179" spans="1:13" x14ac:dyDescent="0.3">
      <c r="A179" s="3">
        <v>44970</v>
      </c>
      <c r="B179">
        <f t="shared" si="2"/>
        <v>2023</v>
      </c>
      <c r="C179">
        <v>2</v>
      </c>
      <c r="D179" t="s">
        <v>19</v>
      </c>
      <c r="E179" t="s">
        <v>18</v>
      </c>
      <c r="F179" s="2">
        <v>9785</v>
      </c>
      <c r="G179" s="2">
        <f>Monthly_Growth!$C$3</f>
        <v>876772</v>
      </c>
      <c r="H179" s="5">
        <f>Monthly_Growth!$D$3</f>
        <v>-3.0236398487350529E-2</v>
      </c>
      <c r="I179" s="15">
        <f>Yearly_Growth!$C$2</f>
        <v>5.0333827436586778E-2</v>
      </c>
      <c r="J179" s="15">
        <f>Yearly_Growth!$D$2</f>
        <v>0.03</v>
      </c>
      <c r="K179">
        <f>Sales_Per_Representative!$C$9</f>
        <v>550835</v>
      </c>
      <c r="L179">
        <f>Sales_Per_Rep_Yearly_Goal!$B$2</f>
        <v>665544.80000000005</v>
      </c>
      <c r="M179">
        <f>Sales_Per_Rep_Yearly_Goal!$C$2</f>
        <v>650000</v>
      </c>
    </row>
    <row r="180" spans="1:13" x14ac:dyDescent="0.3">
      <c r="A180" s="3">
        <v>44970</v>
      </c>
      <c r="B180">
        <f t="shared" si="2"/>
        <v>2023</v>
      </c>
      <c r="C180">
        <v>2</v>
      </c>
      <c r="D180" t="s">
        <v>25</v>
      </c>
      <c r="E180" t="s">
        <v>27</v>
      </c>
      <c r="F180" s="2">
        <v>4955</v>
      </c>
      <c r="G180" s="2">
        <f>Monthly_Growth!$C$3</f>
        <v>876772</v>
      </c>
      <c r="H180" s="5">
        <f>Monthly_Growth!$D$3</f>
        <v>-3.0236398487350529E-2</v>
      </c>
      <c r="I180" s="15">
        <f>Yearly_Growth!$C$2</f>
        <v>5.0333827436586778E-2</v>
      </c>
      <c r="J180" s="15">
        <f>Yearly_Growth!$D$2</f>
        <v>0.03</v>
      </c>
      <c r="K180">
        <f>Sales_Per_Representative!$C$5</f>
        <v>747962</v>
      </c>
      <c r="L180">
        <f>Sales_Per_Rep_Yearly_Goal!$B$2</f>
        <v>665544.80000000005</v>
      </c>
      <c r="M180">
        <f>Sales_Per_Rep_Yearly_Goal!$C$2</f>
        <v>650000</v>
      </c>
    </row>
    <row r="181" spans="1:13" x14ac:dyDescent="0.3">
      <c r="A181" s="3">
        <v>44970</v>
      </c>
      <c r="B181">
        <f t="shared" si="2"/>
        <v>2023</v>
      </c>
      <c r="C181">
        <v>2</v>
      </c>
      <c r="D181" t="s">
        <v>25</v>
      </c>
      <c r="E181" t="s">
        <v>8</v>
      </c>
      <c r="F181" s="2">
        <v>11466</v>
      </c>
      <c r="G181" s="2">
        <f>Monthly_Growth!$C$3</f>
        <v>876772</v>
      </c>
      <c r="H181" s="5">
        <f>Monthly_Growth!$D$3</f>
        <v>-3.0236398487350529E-2</v>
      </c>
      <c r="I181" s="15">
        <f>Yearly_Growth!$C$2</f>
        <v>5.0333827436586778E-2</v>
      </c>
      <c r="J181" s="15">
        <f>Yearly_Growth!$D$2</f>
        <v>0.03</v>
      </c>
      <c r="K181">
        <f>Sales_Per_Representative!$C$15</f>
        <v>701242</v>
      </c>
      <c r="L181">
        <f>Sales_Per_Rep_Yearly_Goal!$B$2</f>
        <v>665544.80000000005</v>
      </c>
      <c r="M181">
        <f>Sales_Per_Rep_Yearly_Goal!$C$2</f>
        <v>650000</v>
      </c>
    </row>
    <row r="182" spans="1:13" x14ac:dyDescent="0.3">
      <c r="A182" s="3">
        <v>44970</v>
      </c>
      <c r="B182">
        <f t="shared" si="2"/>
        <v>2023</v>
      </c>
      <c r="C182">
        <v>2</v>
      </c>
      <c r="D182" t="s">
        <v>17</v>
      </c>
      <c r="E182" t="s">
        <v>18</v>
      </c>
      <c r="F182" s="2">
        <v>1310</v>
      </c>
      <c r="G182" s="2">
        <f>Monthly_Growth!$C$3</f>
        <v>876772</v>
      </c>
      <c r="H182" s="5">
        <f>Monthly_Growth!$D$3</f>
        <v>-3.0236398487350529E-2</v>
      </c>
      <c r="I182" s="15">
        <f>Yearly_Growth!$C$2</f>
        <v>5.0333827436586778E-2</v>
      </c>
      <c r="J182" s="15">
        <f>Yearly_Growth!$D$2</f>
        <v>0.03</v>
      </c>
      <c r="K182">
        <f>Sales_Per_Representative!$C$9</f>
        <v>550835</v>
      </c>
      <c r="L182">
        <f>Sales_Per_Rep_Yearly_Goal!$B$2</f>
        <v>665544.80000000005</v>
      </c>
      <c r="M182">
        <f>Sales_Per_Rep_Yearly_Goal!$C$2</f>
        <v>650000</v>
      </c>
    </row>
    <row r="183" spans="1:13" x14ac:dyDescent="0.3">
      <c r="A183" s="3">
        <v>44970</v>
      </c>
      <c r="B183">
        <f t="shared" si="2"/>
        <v>2023</v>
      </c>
      <c r="C183">
        <v>2</v>
      </c>
      <c r="D183" t="s">
        <v>12</v>
      </c>
      <c r="E183" t="s">
        <v>33</v>
      </c>
      <c r="F183" s="2">
        <v>8213</v>
      </c>
      <c r="G183" s="2">
        <f>Monthly_Growth!$C$3</f>
        <v>876772</v>
      </c>
      <c r="H183" s="5">
        <f>Monthly_Growth!$D$3</f>
        <v>-3.0236398487350529E-2</v>
      </c>
      <c r="I183" s="15">
        <f>Yearly_Growth!$C$2</f>
        <v>5.0333827436586778E-2</v>
      </c>
      <c r="J183" s="15">
        <f>Yearly_Growth!$D$2</f>
        <v>0.03</v>
      </c>
      <c r="K183">
        <f>Sales_Per_Representative!$C$11</f>
        <v>496886</v>
      </c>
      <c r="L183">
        <f>Sales_Per_Rep_Yearly_Goal!$B$2</f>
        <v>665544.80000000005</v>
      </c>
      <c r="M183">
        <f>Sales_Per_Rep_Yearly_Goal!$C$2</f>
        <v>650000</v>
      </c>
    </row>
    <row r="184" spans="1:13" x14ac:dyDescent="0.3">
      <c r="A184" s="3">
        <v>44971</v>
      </c>
      <c r="B184">
        <f t="shared" si="2"/>
        <v>2023</v>
      </c>
      <c r="C184">
        <v>2</v>
      </c>
      <c r="D184" t="s">
        <v>23</v>
      </c>
      <c r="E184" t="s">
        <v>27</v>
      </c>
      <c r="F184" s="2">
        <v>8787</v>
      </c>
      <c r="G184" s="2">
        <f>Monthly_Growth!$C$3</f>
        <v>876772</v>
      </c>
      <c r="H184" s="5">
        <f>Monthly_Growth!$D$3</f>
        <v>-3.0236398487350529E-2</v>
      </c>
      <c r="I184" s="15">
        <f>Yearly_Growth!$C$2</f>
        <v>5.0333827436586778E-2</v>
      </c>
      <c r="J184" s="15">
        <f>Yearly_Growth!$D$2</f>
        <v>0.03</v>
      </c>
      <c r="K184">
        <f>Sales_Per_Representative!$C$5</f>
        <v>747962</v>
      </c>
      <c r="L184">
        <f>Sales_Per_Rep_Yearly_Goal!$B$2</f>
        <v>665544.80000000005</v>
      </c>
      <c r="M184">
        <f>Sales_Per_Rep_Yearly_Goal!$C$2</f>
        <v>650000</v>
      </c>
    </row>
    <row r="185" spans="1:13" x14ac:dyDescent="0.3">
      <c r="A185" s="3">
        <v>44971</v>
      </c>
      <c r="B185">
        <f t="shared" si="2"/>
        <v>2023</v>
      </c>
      <c r="C185">
        <v>2</v>
      </c>
      <c r="D185" t="s">
        <v>23</v>
      </c>
      <c r="E185" t="s">
        <v>22</v>
      </c>
      <c r="F185" s="2">
        <v>2220</v>
      </c>
      <c r="G185" s="2">
        <f>Monthly_Growth!$C$3</f>
        <v>876772</v>
      </c>
      <c r="H185" s="5">
        <f>Monthly_Growth!$D$3</f>
        <v>-3.0236398487350529E-2</v>
      </c>
      <c r="I185" s="15">
        <f>Yearly_Growth!$C$2</f>
        <v>5.0333827436586778E-2</v>
      </c>
      <c r="J185" s="15">
        <f>Yearly_Growth!$D$2</f>
        <v>0.03</v>
      </c>
      <c r="K185">
        <f>Sales_Per_Representative!$C$8</f>
        <v>649456</v>
      </c>
      <c r="L185">
        <f>Sales_Per_Rep_Yearly_Goal!$B$2</f>
        <v>665544.80000000005</v>
      </c>
      <c r="M185">
        <f>Sales_Per_Rep_Yearly_Goal!$C$2</f>
        <v>650000</v>
      </c>
    </row>
    <row r="186" spans="1:13" x14ac:dyDescent="0.3">
      <c r="A186" s="3">
        <v>44971</v>
      </c>
      <c r="B186">
        <f t="shared" si="2"/>
        <v>2023</v>
      </c>
      <c r="C186">
        <v>2</v>
      </c>
      <c r="D186" t="s">
        <v>25</v>
      </c>
      <c r="E186" t="s">
        <v>10</v>
      </c>
      <c r="F186" s="2">
        <v>9351</v>
      </c>
      <c r="G186" s="2">
        <f>Monthly_Growth!$C$3</f>
        <v>876772</v>
      </c>
      <c r="H186" s="5">
        <f>Monthly_Growth!$D$3</f>
        <v>-3.0236398487350529E-2</v>
      </c>
      <c r="I186" s="15">
        <f>Yearly_Growth!$C$2</f>
        <v>5.0333827436586778E-2</v>
      </c>
      <c r="J186" s="15">
        <f>Yearly_Growth!$D$2</f>
        <v>0.03</v>
      </c>
      <c r="K186">
        <f>Sales_Per_Representative!$C$4</f>
        <v>725713</v>
      </c>
      <c r="L186">
        <f>Sales_Per_Rep_Yearly_Goal!$B$2</f>
        <v>665544.80000000005</v>
      </c>
      <c r="M186">
        <f>Sales_Per_Rep_Yearly_Goal!$C$2</f>
        <v>650000</v>
      </c>
    </row>
    <row r="187" spans="1:13" x14ac:dyDescent="0.3">
      <c r="A187" s="3">
        <v>44971</v>
      </c>
      <c r="B187">
        <f t="shared" si="2"/>
        <v>2023</v>
      </c>
      <c r="C187">
        <v>2</v>
      </c>
      <c r="D187" t="s">
        <v>25</v>
      </c>
      <c r="E187" t="s">
        <v>24</v>
      </c>
      <c r="F187" s="2">
        <v>3112</v>
      </c>
      <c r="G187" s="2">
        <f>Monthly_Growth!$C$3</f>
        <v>876772</v>
      </c>
      <c r="H187" s="5">
        <f>Monthly_Growth!$D$3</f>
        <v>-3.0236398487350529E-2</v>
      </c>
      <c r="I187" s="15">
        <f>Yearly_Growth!$C$2</f>
        <v>5.0333827436586778E-2</v>
      </c>
      <c r="J187" s="15">
        <f>Yearly_Growth!$D$2</f>
        <v>0.03</v>
      </c>
      <c r="K187">
        <f>Sales_Per_Representative!$C$2</f>
        <v>631195</v>
      </c>
      <c r="L187">
        <f>Sales_Per_Rep_Yearly_Goal!$B$2</f>
        <v>665544.80000000005</v>
      </c>
      <c r="M187">
        <f>Sales_Per_Rep_Yearly_Goal!$C$2</f>
        <v>650000</v>
      </c>
    </row>
    <row r="188" spans="1:13" x14ac:dyDescent="0.3">
      <c r="A188" s="3">
        <v>44972</v>
      </c>
      <c r="B188">
        <f t="shared" si="2"/>
        <v>2023</v>
      </c>
      <c r="C188">
        <v>2</v>
      </c>
      <c r="D188" t="s">
        <v>19</v>
      </c>
      <c r="E188" t="s">
        <v>32</v>
      </c>
      <c r="F188" s="2">
        <v>6398</v>
      </c>
      <c r="G188" s="2">
        <f>Monthly_Growth!$C$3</f>
        <v>876772</v>
      </c>
      <c r="H188" s="5">
        <f>Monthly_Growth!$D$3</f>
        <v>-3.0236398487350529E-2</v>
      </c>
      <c r="I188" s="15">
        <f>Yearly_Growth!$C$2</f>
        <v>5.0333827436586778E-2</v>
      </c>
      <c r="J188" s="15">
        <f>Yearly_Growth!$D$2</f>
        <v>0.03</v>
      </c>
      <c r="K188">
        <f>Sales_Per_Representative!$C$3</f>
        <v>762157</v>
      </c>
      <c r="L188">
        <f>Sales_Per_Rep_Yearly_Goal!$B$2</f>
        <v>665544.80000000005</v>
      </c>
      <c r="M188">
        <f>Sales_Per_Rep_Yearly_Goal!$C$2</f>
        <v>650000</v>
      </c>
    </row>
    <row r="189" spans="1:13" x14ac:dyDescent="0.3">
      <c r="A189" s="3">
        <v>44972</v>
      </c>
      <c r="B189">
        <f t="shared" si="2"/>
        <v>2023</v>
      </c>
      <c r="C189">
        <v>2</v>
      </c>
      <c r="D189" t="s">
        <v>19</v>
      </c>
      <c r="E189" t="s">
        <v>33</v>
      </c>
      <c r="F189" s="2">
        <v>4971</v>
      </c>
      <c r="G189" s="2">
        <f>Monthly_Growth!$C$3</f>
        <v>876772</v>
      </c>
      <c r="H189" s="5">
        <f>Monthly_Growth!$D$3</f>
        <v>-3.0236398487350529E-2</v>
      </c>
      <c r="I189" s="15">
        <f>Yearly_Growth!$C$2</f>
        <v>5.0333827436586778E-2</v>
      </c>
      <c r="J189" s="15">
        <f>Yearly_Growth!$D$2</f>
        <v>0.03</v>
      </c>
      <c r="K189">
        <f>Sales_Per_Representative!$C$11</f>
        <v>496886</v>
      </c>
      <c r="L189">
        <f>Sales_Per_Rep_Yearly_Goal!$B$2</f>
        <v>665544.80000000005</v>
      </c>
      <c r="M189">
        <f>Sales_Per_Rep_Yearly_Goal!$C$2</f>
        <v>650000</v>
      </c>
    </row>
    <row r="190" spans="1:13" x14ac:dyDescent="0.3">
      <c r="A190" s="3">
        <v>44972</v>
      </c>
      <c r="B190">
        <f t="shared" si="2"/>
        <v>2023</v>
      </c>
      <c r="C190">
        <v>2</v>
      </c>
      <c r="D190" t="s">
        <v>23</v>
      </c>
      <c r="E190" t="s">
        <v>24</v>
      </c>
      <c r="F190" s="2">
        <v>9276</v>
      </c>
      <c r="G190" s="2">
        <f>Monthly_Growth!$C$3</f>
        <v>876772</v>
      </c>
      <c r="H190" s="5">
        <f>Monthly_Growth!$D$3</f>
        <v>-3.0236398487350529E-2</v>
      </c>
      <c r="I190" s="15">
        <f>Yearly_Growth!$C$2</f>
        <v>5.0333827436586778E-2</v>
      </c>
      <c r="J190" s="15">
        <f>Yearly_Growth!$D$2</f>
        <v>0.03</v>
      </c>
      <c r="K190">
        <f>Sales_Per_Representative!$C$2</f>
        <v>631195</v>
      </c>
      <c r="L190">
        <f>Sales_Per_Rep_Yearly_Goal!$B$2</f>
        <v>665544.80000000005</v>
      </c>
      <c r="M190">
        <f>Sales_Per_Rep_Yearly_Goal!$C$2</f>
        <v>650000</v>
      </c>
    </row>
    <row r="191" spans="1:13" x14ac:dyDescent="0.3">
      <c r="A191" s="3">
        <v>44972</v>
      </c>
      <c r="B191">
        <f t="shared" si="2"/>
        <v>2023</v>
      </c>
      <c r="C191">
        <v>2</v>
      </c>
      <c r="D191" t="s">
        <v>25</v>
      </c>
      <c r="E191" t="s">
        <v>30</v>
      </c>
      <c r="F191" s="2">
        <v>4009</v>
      </c>
      <c r="G191" s="2">
        <f>Monthly_Growth!$C$3</f>
        <v>876772</v>
      </c>
      <c r="H191" s="5">
        <f>Monthly_Growth!$D$3</f>
        <v>-3.0236398487350529E-2</v>
      </c>
      <c r="I191" s="15">
        <f>Yearly_Growth!$C$2</f>
        <v>5.0333827436586778E-2</v>
      </c>
      <c r="J191" s="15">
        <f>Yearly_Growth!$D$2</f>
        <v>0.03</v>
      </c>
      <c r="K191">
        <f>Sales_Per_Representative!$C$7</f>
        <v>706974</v>
      </c>
      <c r="L191">
        <f>Sales_Per_Rep_Yearly_Goal!$B$2</f>
        <v>665544.80000000005</v>
      </c>
      <c r="M191">
        <f>Sales_Per_Rep_Yearly_Goal!$C$2</f>
        <v>650000</v>
      </c>
    </row>
    <row r="192" spans="1:13" x14ac:dyDescent="0.3">
      <c r="A192" s="3">
        <v>44973</v>
      </c>
      <c r="B192">
        <f t="shared" si="2"/>
        <v>2023</v>
      </c>
      <c r="C192">
        <v>2</v>
      </c>
      <c r="D192" t="s">
        <v>14</v>
      </c>
      <c r="E192" t="s">
        <v>30</v>
      </c>
      <c r="F192" s="2">
        <v>4086</v>
      </c>
      <c r="G192" s="2">
        <f>Monthly_Growth!$C$3</f>
        <v>876772</v>
      </c>
      <c r="H192" s="5">
        <f>Monthly_Growth!$D$3</f>
        <v>-3.0236398487350529E-2</v>
      </c>
      <c r="I192" s="15">
        <f>Yearly_Growth!$C$2</f>
        <v>5.0333827436586778E-2</v>
      </c>
      <c r="J192" s="15">
        <f>Yearly_Growth!$D$2</f>
        <v>0.03</v>
      </c>
      <c r="K192">
        <f>Sales_Per_Representative!$C$7</f>
        <v>706974</v>
      </c>
      <c r="L192">
        <f>Sales_Per_Rep_Yearly_Goal!$B$2</f>
        <v>665544.80000000005</v>
      </c>
      <c r="M192">
        <f>Sales_Per_Rep_Yearly_Goal!$C$2</f>
        <v>650000</v>
      </c>
    </row>
    <row r="193" spans="1:13" x14ac:dyDescent="0.3">
      <c r="A193" s="3">
        <v>44973</v>
      </c>
      <c r="B193">
        <f t="shared" si="2"/>
        <v>2023</v>
      </c>
      <c r="C193">
        <v>2</v>
      </c>
      <c r="D193" t="s">
        <v>25</v>
      </c>
      <c r="E193" t="s">
        <v>33</v>
      </c>
      <c r="F193" s="2">
        <v>6241</v>
      </c>
      <c r="G193" s="2">
        <f>Monthly_Growth!$C$3</f>
        <v>876772</v>
      </c>
      <c r="H193" s="5">
        <f>Monthly_Growth!$D$3</f>
        <v>-3.0236398487350529E-2</v>
      </c>
      <c r="I193" s="15">
        <f>Yearly_Growth!$C$2</f>
        <v>5.0333827436586778E-2</v>
      </c>
      <c r="J193" s="15">
        <f>Yearly_Growth!$D$2</f>
        <v>0.03</v>
      </c>
      <c r="K193">
        <f>Sales_Per_Representative!$C$11</f>
        <v>496886</v>
      </c>
      <c r="L193">
        <f>Sales_Per_Rep_Yearly_Goal!$B$2</f>
        <v>665544.80000000005</v>
      </c>
      <c r="M193">
        <f>Sales_Per_Rep_Yearly_Goal!$C$2</f>
        <v>650000</v>
      </c>
    </row>
    <row r="194" spans="1:13" x14ac:dyDescent="0.3">
      <c r="A194" s="3">
        <v>44973</v>
      </c>
      <c r="B194">
        <f t="shared" si="2"/>
        <v>2023</v>
      </c>
      <c r="C194">
        <v>2</v>
      </c>
      <c r="D194" t="s">
        <v>17</v>
      </c>
      <c r="E194" t="s">
        <v>22</v>
      </c>
      <c r="F194" s="2">
        <v>8805</v>
      </c>
      <c r="G194" s="2">
        <f>Monthly_Growth!$C$3</f>
        <v>876772</v>
      </c>
      <c r="H194" s="5">
        <f>Monthly_Growth!$D$3</f>
        <v>-3.0236398487350529E-2</v>
      </c>
      <c r="I194" s="15">
        <f>Yearly_Growth!$C$2</f>
        <v>5.0333827436586778E-2</v>
      </c>
      <c r="J194" s="15">
        <f>Yearly_Growth!$D$2</f>
        <v>0.03</v>
      </c>
      <c r="K194">
        <f>Sales_Per_Representative!$C$8</f>
        <v>649456</v>
      </c>
      <c r="L194">
        <f>Sales_Per_Rep_Yearly_Goal!$B$2</f>
        <v>665544.80000000005</v>
      </c>
      <c r="M194">
        <f>Sales_Per_Rep_Yearly_Goal!$C$2</f>
        <v>650000</v>
      </c>
    </row>
    <row r="195" spans="1:13" x14ac:dyDescent="0.3">
      <c r="A195" s="3">
        <v>44973</v>
      </c>
      <c r="B195">
        <f t="shared" ref="B195:B258" si="3">YEAR(A195)</f>
        <v>2023</v>
      </c>
      <c r="C195">
        <v>2</v>
      </c>
      <c r="D195" t="s">
        <v>17</v>
      </c>
      <c r="E195" t="s">
        <v>32</v>
      </c>
      <c r="F195" s="2">
        <v>9621</v>
      </c>
      <c r="G195" s="2">
        <f>Monthly_Growth!$C$3</f>
        <v>876772</v>
      </c>
      <c r="H195" s="5">
        <f>Monthly_Growth!$D$3</f>
        <v>-3.0236398487350529E-2</v>
      </c>
      <c r="I195" s="15">
        <f>Yearly_Growth!$C$2</f>
        <v>5.0333827436586778E-2</v>
      </c>
      <c r="J195" s="15">
        <f>Yearly_Growth!$D$2</f>
        <v>0.03</v>
      </c>
      <c r="K195">
        <f>Sales_Per_Representative!$C$3</f>
        <v>762157</v>
      </c>
      <c r="L195">
        <f>Sales_Per_Rep_Yearly_Goal!$B$2</f>
        <v>665544.80000000005</v>
      </c>
      <c r="M195">
        <f>Sales_Per_Rep_Yearly_Goal!$C$2</f>
        <v>650000</v>
      </c>
    </row>
    <row r="196" spans="1:13" x14ac:dyDescent="0.3">
      <c r="A196" s="3">
        <v>44973</v>
      </c>
      <c r="B196">
        <f t="shared" si="3"/>
        <v>2023</v>
      </c>
      <c r="C196">
        <v>2</v>
      </c>
      <c r="D196" t="s">
        <v>12</v>
      </c>
      <c r="E196" t="s">
        <v>22</v>
      </c>
      <c r="F196" s="2">
        <v>8282</v>
      </c>
      <c r="G196" s="2">
        <f>Monthly_Growth!$C$3</f>
        <v>876772</v>
      </c>
      <c r="H196" s="5">
        <f>Monthly_Growth!$D$3</f>
        <v>-3.0236398487350529E-2</v>
      </c>
      <c r="I196" s="15">
        <f>Yearly_Growth!$C$2</f>
        <v>5.0333827436586778E-2</v>
      </c>
      <c r="J196" s="15">
        <f>Yearly_Growth!$D$2</f>
        <v>0.03</v>
      </c>
      <c r="K196">
        <f>Sales_Per_Representative!$C$8</f>
        <v>649456</v>
      </c>
      <c r="L196">
        <f>Sales_Per_Rep_Yearly_Goal!$B$2</f>
        <v>665544.80000000005</v>
      </c>
      <c r="M196">
        <f>Sales_Per_Rep_Yearly_Goal!$C$2</f>
        <v>650000</v>
      </c>
    </row>
    <row r="197" spans="1:13" x14ac:dyDescent="0.3">
      <c r="A197" s="3">
        <v>44974</v>
      </c>
      <c r="B197">
        <f t="shared" si="3"/>
        <v>2023</v>
      </c>
      <c r="C197">
        <v>2</v>
      </c>
      <c r="D197" t="s">
        <v>25</v>
      </c>
      <c r="E197" t="s">
        <v>32</v>
      </c>
      <c r="F197" s="2">
        <v>1516</v>
      </c>
      <c r="G197" s="2">
        <f>Monthly_Growth!$C$3</f>
        <v>876772</v>
      </c>
      <c r="H197" s="5">
        <f>Monthly_Growth!$D$3</f>
        <v>-3.0236398487350529E-2</v>
      </c>
      <c r="I197" s="15">
        <f>Yearly_Growth!$C$2</f>
        <v>5.0333827436586778E-2</v>
      </c>
      <c r="J197" s="15">
        <f>Yearly_Growth!$D$2</f>
        <v>0.03</v>
      </c>
      <c r="K197">
        <f>Sales_Per_Representative!$C$3</f>
        <v>762157</v>
      </c>
      <c r="L197">
        <f>Sales_Per_Rep_Yearly_Goal!$B$2</f>
        <v>665544.80000000005</v>
      </c>
      <c r="M197">
        <f>Sales_Per_Rep_Yearly_Goal!$C$2</f>
        <v>650000</v>
      </c>
    </row>
    <row r="198" spans="1:13" x14ac:dyDescent="0.3">
      <c r="A198" s="3">
        <v>44974</v>
      </c>
      <c r="B198">
        <f t="shared" si="3"/>
        <v>2023</v>
      </c>
      <c r="C198">
        <v>2</v>
      </c>
      <c r="D198" t="s">
        <v>17</v>
      </c>
      <c r="E198" t="s">
        <v>27</v>
      </c>
      <c r="F198" s="2">
        <v>12805</v>
      </c>
      <c r="G198" s="2">
        <f>Monthly_Growth!$C$3</f>
        <v>876772</v>
      </c>
      <c r="H198" s="5">
        <f>Monthly_Growth!$D$3</f>
        <v>-3.0236398487350529E-2</v>
      </c>
      <c r="I198" s="15">
        <f>Yearly_Growth!$C$2</f>
        <v>5.0333827436586778E-2</v>
      </c>
      <c r="J198" s="15">
        <f>Yearly_Growth!$D$2</f>
        <v>0.03</v>
      </c>
      <c r="K198">
        <f>Sales_Per_Representative!$C$5</f>
        <v>747962</v>
      </c>
      <c r="L198">
        <f>Sales_Per_Rep_Yearly_Goal!$B$2</f>
        <v>665544.80000000005</v>
      </c>
      <c r="M198">
        <f>Sales_Per_Rep_Yearly_Goal!$C$2</f>
        <v>650000</v>
      </c>
    </row>
    <row r="199" spans="1:13" x14ac:dyDescent="0.3">
      <c r="A199" s="3">
        <v>44975</v>
      </c>
      <c r="B199">
        <f t="shared" si="3"/>
        <v>2023</v>
      </c>
      <c r="C199">
        <v>2</v>
      </c>
      <c r="D199" t="s">
        <v>14</v>
      </c>
      <c r="E199" t="s">
        <v>26</v>
      </c>
      <c r="F199" s="2">
        <v>8109</v>
      </c>
      <c r="G199" s="2">
        <f>Monthly_Growth!$C$3</f>
        <v>876772</v>
      </c>
      <c r="H199" s="5">
        <f>Monthly_Growth!$D$3</f>
        <v>-3.0236398487350529E-2</v>
      </c>
      <c r="I199" s="15">
        <f>Yearly_Growth!$C$2</f>
        <v>5.0333827436586778E-2</v>
      </c>
      <c r="J199" s="15">
        <f>Yearly_Growth!$D$2</f>
        <v>0.03</v>
      </c>
      <c r="K199">
        <f>Sales_Per_Representative!$C$16</f>
        <v>666159</v>
      </c>
      <c r="L199">
        <f>Sales_Per_Rep_Yearly_Goal!$B$2</f>
        <v>665544.80000000005</v>
      </c>
      <c r="M199">
        <f>Sales_Per_Rep_Yearly_Goal!$C$2</f>
        <v>650000</v>
      </c>
    </row>
    <row r="200" spans="1:13" x14ac:dyDescent="0.3">
      <c r="A200" s="3">
        <v>44975</v>
      </c>
      <c r="B200">
        <f t="shared" si="3"/>
        <v>2023</v>
      </c>
      <c r="C200">
        <v>2</v>
      </c>
      <c r="D200" t="s">
        <v>14</v>
      </c>
      <c r="E200" t="s">
        <v>20</v>
      </c>
      <c r="F200" s="2">
        <v>2392</v>
      </c>
      <c r="G200" s="2">
        <f>Monthly_Growth!$C$3</f>
        <v>876772</v>
      </c>
      <c r="H200" s="5">
        <f>Monthly_Growth!$D$3</f>
        <v>-3.0236398487350529E-2</v>
      </c>
      <c r="I200" s="15">
        <f>Yearly_Growth!$C$2</f>
        <v>5.0333827436586778E-2</v>
      </c>
      <c r="J200" s="15">
        <f>Yearly_Growth!$D$2</f>
        <v>0.03</v>
      </c>
      <c r="K200">
        <f>Sales_Per_Representative!$C$14</f>
        <v>675530</v>
      </c>
      <c r="L200">
        <f>Sales_Per_Rep_Yearly_Goal!$B$2</f>
        <v>665544.80000000005</v>
      </c>
      <c r="M200">
        <f>Sales_Per_Rep_Yearly_Goal!$C$2</f>
        <v>650000</v>
      </c>
    </row>
    <row r="201" spans="1:13" x14ac:dyDescent="0.3">
      <c r="A201" s="3">
        <v>44975</v>
      </c>
      <c r="B201">
        <f t="shared" si="3"/>
        <v>2023</v>
      </c>
      <c r="C201">
        <v>2</v>
      </c>
      <c r="D201" t="s">
        <v>25</v>
      </c>
      <c r="E201" t="s">
        <v>15</v>
      </c>
      <c r="F201" s="2">
        <v>4938</v>
      </c>
      <c r="G201" s="2">
        <f>Monthly_Growth!$C$3</f>
        <v>876772</v>
      </c>
      <c r="H201" s="5">
        <f>Monthly_Growth!$D$3</f>
        <v>-3.0236398487350529E-2</v>
      </c>
      <c r="I201" s="15">
        <f>Yearly_Growth!$C$2</f>
        <v>5.0333827436586778E-2</v>
      </c>
      <c r="J201" s="15">
        <f>Yearly_Growth!$D$2</f>
        <v>0.03</v>
      </c>
      <c r="K201">
        <f>Sales_Per_Representative!$C$12</f>
        <v>656359</v>
      </c>
      <c r="L201">
        <f>Sales_Per_Rep_Yearly_Goal!$B$2</f>
        <v>665544.80000000005</v>
      </c>
      <c r="M201">
        <f>Sales_Per_Rep_Yearly_Goal!$C$2</f>
        <v>650000</v>
      </c>
    </row>
    <row r="202" spans="1:13" x14ac:dyDescent="0.3">
      <c r="A202" s="3">
        <v>44975</v>
      </c>
      <c r="B202">
        <f t="shared" si="3"/>
        <v>2023</v>
      </c>
      <c r="C202">
        <v>2</v>
      </c>
      <c r="D202" t="s">
        <v>25</v>
      </c>
      <c r="E202" t="s">
        <v>31</v>
      </c>
      <c r="F202" s="2">
        <v>3125</v>
      </c>
      <c r="G202" s="2">
        <f>Monthly_Growth!$C$3</f>
        <v>876772</v>
      </c>
      <c r="H202" s="5">
        <f>Monthly_Growth!$D$3</f>
        <v>-3.0236398487350529E-2</v>
      </c>
      <c r="I202" s="15">
        <f>Yearly_Growth!$C$2</f>
        <v>5.0333827436586778E-2</v>
      </c>
      <c r="J202" s="15">
        <f>Yearly_Growth!$D$2</f>
        <v>0.03</v>
      </c>
      <c r="K202">
        <f>Sales_Per_Representative!$C$6</f>
        <v>727823</v>
      </c>
      <c r="L202">
        <f>Sales_Per_Rep_Yearly_Goal!$B$2</f>
        <v>665544.80000000005</v>
      </c>
      <c r="M202">
        <f>Sales_Per_Rep_Yearly_Goal!$C$2</f>
        <v>650000</v>
      </c>
    </row>
    <row r="203" spans="1:13" x14ac:dyDescent="0.3">
      <c r="A203" s="3">
        <v>44975</v>
      </c>
      <c r="B203">
        <f t="shared" si="3"/>
        <v>2023</v>
      </c>
      <c r="C203">
        <v>2</v>
      </c>
      <c r="D203" t="s">
        <v>25</v>
      </c>
      <c r="E203" t="s">
        <v>27</v>
      </c>
      <c r="F203" s="2">
        <v>7513</v>
      </c>
      <c r="G203" s="2">
        <f>Monthly_Growth!$C$3</f>
        <v>876772</v>
      </c>
      <c r="H203" s="5">
        <f>Monthly_Growth!$D$3</f>
        <v>-3.0236398487350529E-2</v>
      </c>
      <c r="I203" s="15">
        <f>Yearly_Growth!$C$2</f>
        <v>5.0333827436586778E-2</v>
      </c>
      <c r="J203" s="15">
        <f>Yearly_Growth!$D$2</f>
        <v>0.03</v>
      </c>
      <c r="K203">
        <f>Sales_Per_Representative!$C$5</f>
        <v>747962</v>
      </c>
      <c r="L203">
        <f>Sales_Per_Rep_Yearly_Goal!$B$2</f>
        <v>665544.80000000005</v>
      </c>
      <c r="M203">
        <f>Sales_Per_Rep_Yearly_Goal!$C$2</f>
        <v>650000</v>
      </c>
    </row>
    <row r="204" spans="1:13" x14ac:dyDescent="0.3">
      <c r="A204" s="3">
        <v>44975</v>
      </c>
      <c r="B204">
        <f t="shared" si="3"/>
        <v>2023</v>
      </c>
      <c r="C204">
        <v>2</v>
      </c>
      <c r="D204" t="s">
        <v>7</v>
      </c>
      <c r="E204" t="s">
        <v>32</v>
      </c>
      <c r="F204" s="2">
        <v>9785</v>
      </c>
      <c r="G204" s="2">
        <f>Monthly_Growth!$C$3</f>
        <v>876772</v>
      </c>
      <c r="H204" s="5">
        <f>Monthly_Growth!$D$3</f>
        <v>-3.0236398487350529E-2</v>
      </c>
      <c r="I204" s="15">
        <f>Yearly_Growth!$C$2</f>
        <v>5.0333827436586778E-2</v>
      </c>
      <c r="J204" s="15">
        <f>Yearly_Growth!$D$2</f>
        <v>0.03</v>
      </c>
      <c r="K204">
        <f>Sales_Per_Representative!$C$3</f>
        <v>762157</v>
      </c>
      <c r="L204">
        <f>Sales_Per_Rep_Yearly_Goal!$B$2</f>
        <v>665544.80000000005</v>
      </c>
      <c r="M204">
        <f>Sales_Per_Rep_Yearly_Goal!$C$2</f>
        <v>650000</v>
      </c>
    </row>
    <row r="205" spans="1:13" x14ac:dyDescent="0.3">
      <c r="A205" s="3">
        <v>44975</v>
      </c>
      <c r="B205">
        <f t="shared" si="3"/>
        <v>2023</v>
      </c>
      <c r="C205">
        <v>2</v>
      </c>
      <c r="D205" t="s">
        <v>7</v>
      </c>
      <c r="E205" t="s">
        <v>8</v>
      </c>
      <c r="F205" s="2">
        <v>10024</v>
      </c>
      <c r="G205" s="2">
        <f>Monthly_Growth!$C$3</f>
        <v>876772</v>
      </c>
      <c r="H205" s="5">
        <f>Monthly_Growth!$D$3</f>
        <v>-3.0236398487350529E-2</v>
      </c>
      <c r="I205" s="15">
        <f>Yearly_Growth!$C$2</f>
        <v>5.0333827436586778E-2</v>
      </c>
      <c r="J205" s="15">
        <f>Yearly_Growth!$D$2</f>
        <v>0.03</v>
      </c>
      <c r="K205">
        <f>Sales_Per_Representative!$C$15</f>
        <v>701242</v>
      </c>
      <c r="L205">
        <f>Sales_Per_Rep_Yearly_Goal!$B$2</f>
        <v>665544.80000000005</v>
      </c>
      <c r="M205">
        <f>Sales_Per_Rep_Yearly_Goal!$C$2</f>
        <v>650000</v>
      </c>
    </row>
    <row r="206" spans="1:13" x14ac:dyDescent="0.3">
      <c r="A206" s="3">
        <v>44975</v>
      </c>
      <c r="B206">
        <f t="shared" si="3"/>
        <v>2023</v>
      </c>
      <c r="C206">
        <v>2</v>
      </c>
      <c r="D206" t="s">
        <v>17</v>
      </c>
      <c r="E206" t="s">
        <v>22</v>
      </c>
      <c r="F206" s="2">
        <v>1451</v>
      </c>
      <c r="G206" s="2">
        <f>Monthly_Growth!$C$3</f>
        <v>876772</v>
      </c>
      <c r="H206" s="5">
        <f>Monthly_Growth!$D$3</f>
        <v>-3.0236398487350529E-2</v>
      </c>
      <c r="I206" s="15">
        <f>Yearly_Growth!$C$2</f>
        <v>5.0333827436586778E-2</v>
      </c>
      <c r="J206" s="15">
        <f>Yearly_Growth!$D$2</f>
        <v>0.03</v>
      </c>
      <c r="K206">
        <f>Sales_Per_Representative!$C$8</f>
        <v>649456</v>
      </c>
      <c r="L206">
        <f>Sales_Per_Rep_Yearly_Goal!$B$2</f>
        <v>665544.80000000005</v>
      </c>
      <c r="M206">
        <f>Sales_Per_Rep_Yearly_Goal!$C$2</f>
        <v>650000</v>
      </c>
    </row>
    <row r="207" spans="1:13" x14ac:dyDescent="0.3">
      <c r="A207" s="3">
        <v>44975</v>
      </c>
      <c r="B207">
        <f t="shared" si="3"/>
        <v>2023</v>
      </c>
      <c r="C207">
        <v>2</v>
      </c>
      <c r="D207" t="s">
        <v>12</v>
      </c>
      <c r="E207" t="s">
        <v>10</v>
      </c>
      <c r="F207" s="2">
        <v>1633</v>
      </c>
      <c r="G207" s="2">
        <f>Monthly_Growth!$C$3</f>
        <v>876772</v>
      </c>
      <c r="H207" s="5">
        <f>Monthly_Growth!$D$3</f>
        <v>-3.0236398487350529E-2</v>
      </c>
      <c r="I207" s="15">
        <f>Yearly_Growth!$C$2</f>
        <v>5.0333827436586778E-2</v>
      </c>
      <c r="J207" s="15">
        <f>Yearly_Growth!$D$2</f>
        <v>0.03</v>
      </c>
      <c r="K207">
        <f>Sales_Per_Representative!$C$4</f>
        <v>725713</v>
      </c>
      <c r="L207">
        <f>Sales_Per_Rep_Yearly_Goal!$B$2</f>
        <v>665544.80000000005</v>
      </c>
      <c r="M207">
        <f>Sales_Per_Rep_Yearly_Goal!$C$2</f>
        <v>650000</v>
      </c>
    </row>
    <row r="208" spans="1:13" x14ac:dyDescent="0.3">
      <c r="A208" s="3">
        <v>44976</v>
      </c>
      <c r="B208">
        <f t="shared" si="3"/>
        <v>2023</v>
      </c>
      <c r="C208">
        <v>2</v>
      </c>
      <c r="D208" t="s">
        <v>25</v>
      </c>
      <c r="E208" t="s">
        <v>32</v>
      </c>
      <c r="F208" s="2">
        <v>8722</v>
      </c>
      <c r="G208" s="2">
        <f>Monthly_Growth!$C$3</f>
        <v>876772</v>
      </c>
      <c r="H208" s="5">
        <f>Monthly_Growth!$D$3</f>
        <v>-3.0236398487350529E-2</v>
      </c>
      <c r="I208" s="15">
        <f>Yearly_Growth!$C$2</f>
        <v>5.0333827436586778E-2</v>
      </c>
      <c r="J208" s="15">
        <f>Yearly_Growth!$D$2</f>
        <v>0.03</v>
      </c>
      <c r="K208">
        <f>Sales_Per_Representative!$C$3</f>
        <v>762157</v>
      </c>
      <c r="L208">
        <f>Sales_Per_Rep_Yearly_Goal!$B$2</f>
        <v>665544.80000000005</v>
      </c>
      <c r="M208">
        <f>Sales_Per_Rep_Yearly_Goal!$C$2</f>
        <v>650000</v>
      </c>
    </row>
    <row r="209" spans="1:13" x14ac:dyDescent="0.3">
      <c r="A209" s="3">
        <v>44977</v>
      </c>
      <c r="B209">
        <f t="shared" si="3"/>
        <v>2023</v>
      </c>
      <c r="C209">
        <v>2</v>
      </c>
      <c r="D209" t="s">
        <v>14</v>
      </c>
      <c r="E209" t="s">
        <v>10</v>
      </c>
      <c r="F209" s="2">
        <v>13358</v>
      </c>
      <c r="G209" s="2">
        <f>Monthly_Growth!$C$3</f>
        <v>876772</v>
      </c>
      <c r="H209" s="5">
        <f>Monthly_Growth!$D$3</f>
        <v>-3.0236398487350529E-2</v>
      </c>
      <c r="I209" s="15">
        <f>Yearly_Growth!$C$2</f>
        <v>5.0333827436586778E-2</v>
      </c>
      <c r="J209" s="15">
        <f>Yearly_Growth!$D$2</f>
        <v>0.03</v>
      </c>
      <c r="K209">
        <f>Sales_Per_Representative!$C$4</f>
        <v>725713</v>
      </c>
      <c r="L209">
        <f>Sales_Per_Rep_Yearly_Goal!$B$2</f>
        <v>665544.80000000005</v>
      </c>
      <c r="M209">
        <f>Sales_Per_Rep_Yearly_Goal!$C$2</f>
        <v>650000</v>
      </c>
    </row>
    <row r="210" spans="1:13" x14ac:dyDescent="0.3">
      <c r="A210" s="3">
        <v>44977</v>
      </c>
      <c r="B210">
        <f t="shared" si="3"/>
        <v>2023</v>
      </c>
      <c r="C210">
        <v>2</v>
      </c>
      <c r="D210" t="s">
        <v>7</v>
      </c>
      <c r="E210" t="s">
        <v>24</v>
      </c>
      <c r="F210" s="2">
        <v>1180</v>
      </c>
      <c r="G210" s="2">
        <f>Monthly_Growth!$C$3</f>
        <v>876772</v>
      </c>
      <c r="H210" s="5">
        <f>Monthly_Growth!$D$3</f>
        <v>-3.0236398487350529E-2</v>
      </c>
      <c r="I210" s="15">
        <f>Yearly_Growth!$C$2</f>
        <v>5.0333827436586778E-2</v>
      </c>
      <c r="J210" s="15">
        <f>Yearly_Growth!$D$2</f>
        <v>0.03</v>
      </c>
      <c r="K210">
        <f>Sales_Per_Representative!$C$2</f>
        <v>631195</v>
      </c>
      <c r="L210">
        <f>Sales_Per_Rep_Yearly_Goal!$B$2</f>
        <v>665544.80000000005</v>
      </c>
      <c r="M210">
        <f>Sales_Per_Rep_Yearly_Goal!$C$2</f>
        <v>650000</v>
      </c>
    </row>
    <row r="211" spans="1:13" x14ac:dyDescent="0.3">
      <c r="A211" s="3">
        <v>44977</v>
      </c>
      <c r="B211">
        <f t="shared" si="3"/>
        <v>2023</v>
      </c>
      <c r="C211">
        <v>2</v>
      </c>
      <c r="D211" t="s">
        <v>28</v>
      </c>
      <c r="E211" t="s">
        <v>24</v>
      </c>
      <c r="F211" s="2">
        <v>3973</v>
      </c>
      <c r="G211" s="2">
        <f>Monthly_Growth!$C$3</f>
        <v>876772</v>
      </c>
      <c r="H211" s="5">
        <f>Monthly_Growth!$D$3</f>
        <v>-3.0236398487350529E-2</v>
      </c>
      <c r="I211" s="15">
        <f>Yearly_Growth!$C$2</f>
        <v>5.0333827436586778E-2</v>
      </c>
      <c r="J211" s="15">
        <f>Yearly_Growth!$D$2</f>
        <v>0.03</v>
      </c>
      <c r="K211">
        <f>Sales_Per_Representative!$C$2</f>
        <v>631195</v>
      </c>
      <c r="L211">
        <f>Sales_Per_Rep_Yearly_Goal!$B$2</f>
        <v>665544.80000000005</v>
      </c>
      <c r="M211">
        <f>Sales_Per_Rep_Yearly_Goal!$C$2</f>
        <v>650000</v>
      </c>
    </row>
    <row r="212" spans="1:13" x14ac:dyDescent="0.3">
      <c r="A212" s="3">
        <v>44977</v>
      </c>
      <c r="B212">
        <f t="shared" si="3"/>
        <v>2023</v>
      </c>
      <c r="C212">
        <v>2</v>
      </c>
      <c r="D212" t="s">
        <v>28</v>
      </c>
      <c r="E212" t="s">
        <v>20</v>
      </c>
      <c r="F212" s="2">
        <v>10762</v>
      </c>
      <c r="G212" s="2">
        <f>Monthly_Growth!$C$3</f>
        <v>876772</v>
      </c>
      <c r="H212" s="5">
        <f>Monthly_Growth!$D$3</f>
        <v>-3.0236398487350529E-2</v>
      </c>
      <c r="I212" s="15">
        <f>Yearly_Growth!$C$2</f>
        <v>5.0333827436586778E-2</v>
      </c>
      <c r="J212" s="15">
        <f>Yearly_Growth!$D$2</f>
        <v>0.03</v>
      </c>
      <c r="K212">
        <f>Sales_Per_Representative!$C$14</f>
        <v>675530</v>
      </c>
      <c r="L212">
        <f>Sales_Per_Rep_Yearly_Goal!$B$2</f>
        <v>665544.80000000005</v>
      </c>
      <c r="M212">
        <f>Sales_Per_Rep_Yearly_Goal!$C$2</f>
        <v>650000</v>
      </c>
    </row>
    <row r="213" spans="1:13" x14ac:dyDescent="0.3">
      <c r="A213" s="3">
        <v>44978</v>
      </c>
      <c r="B213">
        <f t="shared" si="3"/>
        <v>2023</v>
      </c>
      <c r="C213">
        <v>2</v>
      </c>
      <c r="D213" t="s">
        <v>19</v>
      </c>
      <c r="E213" t="s">
        <v>15</v>
      </c>
      <c r="F213" s="2">
        <v>2207</v>
      </c>
      <c r="G213" s="2">
        <f>Monthly_Growth!$C$3</f>
        <v>876772</v>
      </c>
      <c r="H213" s="5">
        <f>Monthly_Growth!$D$3</f>
        <v>-3.0236398487350529E-2</v>
      </c>
      <c r="I213" s="15">
        <f>Yearly_Growth!$C$2</f>
        <v>5.0333827436586778E-2</v>
      </c>
      <c r="J213" s="15">
        <f>Yearly_Growth!$D$2</f>
        <v>0.03</v>
      </c>
      <c r="K213">
        <f>Sales_Per_Representative!$C$12</f>
        <v>656359</v>
      </c>
      <c r="L213">
        <f>Sales_Per_Rep_Yearly_Goal!$B$2</f>
        <v>665544.80000000005</v>
      </c>
      <c r="M213">
        <f>Sales_Per_Rep_Yearly_Goal!$C$2</f>
        <v>650000</v>
      </c>
    </row>
    <row r="214" spans="1:13" x14ac:dyDescent="0.3">
      <c r="A214" s="3">
        <v>44978</v>
      </c>
      <c r="B214">
        <f t="shared" si="3"/>
        <v>2023</v>
      </c>
      <c r="C214">
        <v>2</v>
      </c>
      <c r="D214" t="s">
        <v>23</v>
      </c>
      <c r="E214" t="s">
        <v>29</v>
      </c>
      <c r="F214" s="2">
        <v>6279</v>
      </c>
      <c r="G214" s="2">
        <f>Monthly_Growth!$C$3</f>
        <v>876772</v>
      </c>
      <c r="H214" s="5">
        <f>Monthly_Growth!$D$3</f>
        <v>-3.0236398487350529E-2</v>
      </c>
      <c r="I214" s="15">
        <f>Yearly_Growth!$C$2</f>
        <v>5.0333827436586778E-2</v>
      </c>
      <c r="J214" s="15">
        <f>Yearly_Growth!$D$2</f>
        <v>0.03</v>
      </c>
      <c r="K214">
        <f>Sales_Per_Representative!$C$13</f>
        <v>621548</v>
      </c>
      <c r="L214">
        <f>Sales_Per_Rep_Yearly_Goal!$B$2</f>
        <v>665544.80000000005</v>
      </c>
      <c r="M214">
        <f>Sales_Per_Rep_Yearly_Goal!$C$2</f>
        <v>650000</v>
      </c>
    </row>
    <row r="215" spans="1:13" x14ac:dyDescent="0.3">
      <c r="A215" s="3">
        <v>44978</v>
      </c>
      <c r="B215">
        <f t="shared" si="3"/>
        <v>2023</v>
      </c>
      <c r="C215">
        <v>2</v>
      </c>
      <c r="D215" t="s">
        <v>23</v>
      </c>
      <c r="E215" t="s">
        <v>32</v>
      </c>
      <c r="F215" s="2">
        <v>10701</v>
      </c>
      <c r="G215" s="2">
        <f>Monthly_Growth!$C$3</f>
        <v>876772</v>
      </c>
      <c r="H215" s="5">
        <f>Monthly_Growth!$D$3</f>
        <v>-3.0236398487350529E-2</v>
      </c>
      <c r="I215" s="15">
        <f>Yearly_Growth!$C$2</f>
        <v>5.0333827436586778E-2</v>
      </c>
      <c r="J215" s="15">
        <f>Yearly_Growth!$D$2</f>
        <v>0.03</v>
      </c>
      <c r="K215">
        <f>Sales_Per_Representative!$C$3</f>
        <v>762157</v>
      </c>
      <c r="L215">
        <f>Sales_Per_Rep_Yearly_Goal!$B$2</f>
        <v>665544.80000000005</v>
      </c>
      <c r="M215">
        <f>Sales_Per_Rep_Yearly_Goal!$C$2</f>
        <v>650000</v>
      </c>
    </row>
    <row r="216" spans="1:13" x14ac:dyDescent="0.3">
      <c r="A216" s="3">
        <v>44978</v>
      </c>
      <c r="B216">
        <f t="shared" si="3"/>
        <v>2023</v>
      </c>
      <c r="C216">
        <v>2</v>
      </c>
      <c r="D216" t="s">
        <v>25</v>
      </c>
      <c r="E216" t="s">
        <v>32</v>
      </c>
      <c r="F216" s="2">
        <v>2073</v>
      </c>
      <c r="G216" s="2">
        <f>Monthly_Growth!$C$3</f>
        <v>876772</v>
      </c>
      <c r="H216" s="5">
        <f>Monthly_Growth!$D$3</f>
        <v>-3.0236398487350529E-2</v>
      </c>
      <c r="I216" s="15">
        <f>Yearly_Growth!$C$2</f>
        <v>5.0333827436586778E-2</v>
      </c>
      <c r="J216" s="15">
        <f>Yearly_Growth!$D$2</f>
        <v>0.03</v>
      </c>
      <c r="K216">
        <f>Sales_Per_Representative!$C$3</f>
        <v>762157</v>
      </c>
      <c r="L216">
        <f>Sales_Per_Rep_Yearly_Goal!$B$2</f>
        <v>665544.80000000005</v>
      </c>
      <c r="M216">
        <f>Sales_Per_Rep_Yearly_Goal!$C$2</f>
        <v>650000</v>
      </c>
    </row>
    <row r="217" spans="1:13" x14ac:dyDescent="0.3">
      <c r="A217" s="3">
        <v>44979</v>
      </c>
      <c r="B217">
        <f t="shared" si="3"/>
        <v>2023</v>
      </c>
      <c r="C217">
        <v>2</v>
      </c>
      <c r="D217" t="s">
        <v>14</v>
      </c>
      <c r="E217" t="s">
        <v>26</v>
      </c>
      <c r="F217" s="2">
        <v>8366</v>
      </c>
      <c r="G217" s="2">
        <f>Monthly_Growth!$C$3</f>
        <v>876772</v>
      </c>
      <c r="H217" s="5">
        <f>Monthly_Growth!$D$3</f>
        <v>-3.0236398487350529E-2</v>
      </c>
      <c r="I217" s="15">
        <f>Yearly_Growth!$C$2</f>
        <v>5.0333827436586778E-2</v>
      </c>
      <c r="J217" s="15">
        <f>Yearly_Growth!$D$2</f>
        <v>0.03</v>
      </c>
      <c r="K217">
        <f>Sales_Per_Representative!$C$16</f>
        <v>666159</v>
      </c>
      <c r="L217">
        <f>Sales_Per_Rep_Yearly_Goal!$B$2</f>
        <v>665544.80000000005</v>
      </c>
      <c r="M217">
        <f>Sales_Per_Rep_Yearly_Goal!$C$2</f>
        <v>650000</v>
      </c>
    </row>
    <row r="218" spans="1:13" x14ac:dyDescent="0.3">
      <c r="A218" s="3">
        <v>44979</v>
      </c>
      <c r="B218">
        <f t="shared" si="3"/>
        <v>2023</v>
      </c>
      <c r="C218">
        <v>2</v>
      </c>
      <c r="D218" t="s">
        <v>25</v>
      </c>
      <c r="E218" t="s">
        <v>10</v>
      </c>
      <c r="F218" s="2">
        <v>10058</v>
      </c>
      <c r="G218" s="2">
        <f>Monthly_Growth!$C$3</f>
        <v>876772</v>
      </c>
      <c r="H218" s="5">
        <f>Monthly_Growth!$D$3</f>
        <v>-3.0236398487350529E-2</v>
      </c>
      <c r="I218" s="15">
        <f>Yearly_Growth!$C$2</f>
        <v>5.0333827436586778E-2</v>
      </c>
      <c r="J218" s="15">
        <f>Yearly_Growth!$D$2</f>
        <v>0.03</v>
      </c>
      <c r="K218">
        <f>Sales_Per_Representative!$C$4</f>
        <v>725713</v>
      </c>
      <c r="L218">
        <f>Sales_Per_Rep_Yearly_Goal!$B$2</f>
        <v>665544.80000000005</v>
      </c>
      <c r="M218">
        <f>Sales_Per_Rep_Yearly_Goal!$C$2</f>
        <v>650000</v>
      </c>
    </row>
    <row r="219" spans="1:13" x14ac:dyDescent="0.3">
      <c r="A219" s="3">
        <v>44979</v>
      </c>
      <c r="B219">
        <f t="shared" si="3"/>
        <v>2023</v>
      </c>
      <c r="C219">
        <v>2</v>
      </c>
      <c r="D219" t="s">
        <v>25</v>
      </c>
      <c r="E219" t="s">
        <v>5</v>
      </c>
      <c r="F219" s="2">
        <v>7459</v>
      </c>
      <c r="G219" s="2">
        <f>Monthly_Growth!$C$3</f>
        <v>876772</v>
      </c>
      <c r="H219" s="5">
        <f>Monthly_Growth!$D$3</f>
        <v>-3.0236398487350529E-2</v>
      </c>
      <c r="I219" s="15">
        <f>Yearly_Growth!$C$2</f>
        <v>5.0333827436586778E-2</v>
      </c>
      <c r="J219" s="15">
        <f>Yearly_Growth!$D$2</f>
        <v>0.03</v>
      </c>
      <c r="K219">
        <f>Sales_Per_Representative!$C$10</f>
        <v>663333</v>
      </c>
      <c r="L219">
        <f>Sales_Per_Rep_Yearly_Goal!$B$2</f>
        <v>665544.80000000005</v>
      </c>
      <c r="M219">
        <f>Sales_Per_Rep_Yearly_Goal!$C$2</f>
        <v>650000</v>
      </c>
    </row>
    <row r="220" spans="1:13" x14ac:dyDescent="0.3">
      <c r="A220" s="3">
        <v>44979</v>
      </c>
      <c r="B220">
        <f t="shared" si="3"/>
        <v>2023</v>
      </c>
      <c r="C220">
        <v>2</v>
      </c>
      <c r="D220" t="s">
        <v>7</v>
      </c>
      <c r="E220" t="s">
        <v>8</v>
      </c>
      <c r="F220" s="2">
        <v>12953</v>
      </c>
      <c r="G220" s="2">
        <f>Monthly_Growth!$C$3</f>
        <v>876772</v>
      </c>
      <c r="H220" s="5">
        <f>Monthly_Growth!$D$3</f>
        <v>-3.0236398487350529E-2</v>
      </c>
      <c r="I220" s="15">
        <f>Yearly_Growth!$C$2</f>
        <v>5.0333827436586778E-2</v>
      </c>
      <c r="J220" s="15">
        <f>Yearly_Growth!$D$2</f>
        <v>0.03</v>
      </c>
      <c r="K220">
        <f>Sales_Per_Representative!$C$15</f>
        <v>701242</v>
      </c>
      <c r="L220">
        <f>Sales_Per_Rep_Yearly_Goal!$B$2</f>
        <v>665544.80000000005</v>
      </c>
      <c r="M220">
        <f>Sales_Per_Rep_Yearly_Goal!$C$2</f>
        <v>650000</v>
      </c>
    </row>
    <row r="221" spans="1:13" x14ac:dyDescent="0.3">
      <c r="A221" s="3">
        <v>44979</v>
      </c>
      <c r="B221">
        <f t="shared" si="3"/>
        <v>2023</v>
      </c>
      <c r="C221">
        <v>2</v>
      </c>
      <c r="D221" t="s">
        <v>28</v>
      </c>
      <c r="E221" t="s">
        <v>29</v>
      </c>
      <c r="F221" s="2">
        <v>1235</v>
      </c>
      <c r="G221" s="2">
        <f>Monthly_Growth!$C$3</f>
        <v>876772</v>
      </c>
      <c r="H221" s="5">
        <f>Monthly_Growth!$D$3</f>
        <v>-3.0236398487350529E-2</v>
      </c>
      <c r="I221" s="15">
        <f>Yearly_Growth!$C$2</f>
        <v>5.0333827436586778E-2</v>
      </c>
      <c r="J221" s="15">
        <f>Yearly_Growth!$D$2</f>
        <v>0.03</v>
      </c>
      <c r="K221">
        <f>Sales_Per_Representative!$C$13</f>
        <v>621548</v>
      </c>
      <c r="L221">
        <f>Sales_Per_Rep_Yearly_Goal!$B$2</f>
        <v>665544.80000000005</v>
      </c>
      <c r="M221">
        <f>Sales_Per_Rep_Yearly_Goal!$C$2</f>
        <v>650000</v>
      </c>
    </row>
    <row r="222" spans="1:13" x14ac:dyDescent="0.3">
      <c r="A222" s="3">
        <v>44980</v>
      </c>
      <c r="B222">
        <f t="shared" si="3"/>
        <v>2023</v>
      </c>
      <c r="C222">
        <v>2</v>
      </c>
      <c r="D222" t="s">
        <v>14</v>
      </c>
      <c r="E222" t="s">
        <v>31</v>
      </c>
      <c r="F222" s="2">
        <v>1128</v>
      </c>
      <c r="G222" s="2">
        <f>Monthly_Growth!$C$3</f>
        <v>876772</v>
      </c>
      <c r="H222" s="5">
        <f>Monthly_Growth!$D$3</f>
        <v>-3.0236398487350529E-2</v>
      </c>
      <c r="I222" s="15">
        <f>Yearly_Growth!$C$2</f>
        <v>5.0333827436586778E-2</v>
      </c>
      <c r="J222" s="15">
        <f>Yearly_Growth!$D$2</f>
        <v>0.03</v>
      </c>
      <c r="K222">
        <f>Sales_Per_Representative!$C$6</f>
        <v>727823</v>
      </c>
      <c r="L222">
        <f>Sales_Per_Rep_Yearly_Goal!$B$2</f>
        <v>665544.80000000005</v>
      </c>
      <c r="M222">
        <f>Sales_Per_Rep_Yearly_Goal!$C$2</f>
        <v>650000</v>
      </c>
    </row>
    <row r="223" spans="1:13" x14ac:dyDescent="0.3">
      <c r="A223" s="3">
        <v>44980</v>
      </c>
      <c r="B223">
        <f t="shared" si="3"/>
        <v>2023</v>
      </c>
      <c r="C223">
        <v>2</v>
      </c>
      <c r="D223" t="s">
        <v>25</v>
      </c>
      <c r="E223" t="s">
        <v>10</v>
      </c>
      <c r="F223" s="2">
        <v>3222</v>
      </c>
      <c r="G223" s="2">
        <f>Monthly_Growth!$C$3</f>
        <v>876772</v>
      </c>
      <c r="H223" s="5">
        <f>Monthly_Growth!$D$3</f>
        <v>-3.0236398487350529E-2</v>
      </c>
      <c r="I223" s="15">
        <f>Yearly_Growth!$C$2</f>
        <v>5.0333827436586778E-2</v>
      </c>
      <c r="J223" s="15">
        <f>Yearly_Growth!$D$2</f>
        <v>0.03</v>
      </c>
      <c r="K223">
        <f>Sales_Per_Representative!$C$4</f>
        <v>725713</v>
      </c>
      <c r="L223">
        <f>Sales_Per_Rep_Yearly_Goal!$B$2</f>
        <v>665544.80000000005</v>
      </c>
      <c r="M223">
        <f>Sales_Per_Rep_Yearly_Goal!$C$2</f>
        <v>650000</v>
      </c>
    </row>
    <row r="224" spans="1:13" x14ac:dyDescent="0.3">
      <c r="A224" s="3">
        <v>44980</v>
      </c>
      <c r="B224">
        <f t="shared" si="3"/>
        <v>2023</v>
      </c>
      <c r="C224">
        <v>2</v>
      </c>
      <c r="D224" t="s">
        <v>7</v>
      </c>
      <c r="E224" t="s">
        <v>26</v>
      </c>
      <c r="F224" s="2">
        <v>9075</v>
      </c>
      <c r="G224" s="2">
        <f>Monthly_Growth!$C$3</f>
        <v>876772</v>
      </c>
      <c r="H224" s="5">
        <f>Monthly_Growth!$D$3</f>
        <v>-3.0236398487350529E-2</v>
      </c>
      <c r="I224" s="15">
        <f>Yearly_Growth!$C$2</f>
        <v>5.0333827436586778E-2</v>
      </c>
      <c r="J224" s="15">
        <f>Yearly_Growth!$D$2</f>
        <v>0.03</v>
      </c>
      <c r="K224">
        <f>Sales_Per_Representative!$C$16</f>
        <v>666159</v>
      </c>
      <c r="L224">
        <f>Sales_Per_Rep_Yearly_Goal!$B$2</f>
        <v>665544.80000000005</v>
      </c>
      <c r="M224">
        <f>Sales_Per_Rep_Yearly_Goal!$C$2</f>
        <v>650000</v>
      </c>
    </row>
    <row r="225" spans="1:13" x14ac:dyDescent="0.3">
      <c r="A225" s="3">
        <v>44981</v>
      </c>
      <c r="B225">
        <f t="shared" si="3"/>
        <v>2023</v>
      </c>
      <c r="C225">
        <v>2</v>
      </c>
      <c r="D225" t="s">
        <v>25</v>
      </c>
      <c r="E225" t="s">
        <v>27</v>
      </c>
      <c r="F225" s="2">
        <v>3627</v>
      </c>
      <c r="G225" s="2">
        <f>Monthly_Growth!$C$3</f>
        <v>876772</v>
      </c>
      <c r="H225" s="5">
        <f>Monthly_Growth!$D$3</f>
        <v>-3.0236398487350529E-2</v>
      </c>
      <c r="I225" s="15">
        <f>Yearly_Growth!$C$2</f>
        <v>5.0333827436586778E-2</v>
      </c>
      <c r="J225" s="15">
        <f>Yearly_Growth!$D$2</f>
        <v>0.03</v>
      </c>
      <c r="K225">
        <f>Sales_Per_Representative!$C$5</f>
        <v>747962</v>
      </c>
      <c r="L225">
        <f>Sales_Per_Rep_Yearly_Goal!$B$2</f>
        <v>665544.80000000005</v>
      </c>
      <c r="M225">
        <f>Sales_Per_Rep_Yearly_Goal!$C$2</f>
        <v>650000</v>
      </c>
    </row>
    <row r="226" spans="1:13" x14ac:dyDescent="0.3">
      <c r="A226" s="3">
        <v>44981</v>
      </c>
      <c r="B226">
        <f t="shared" si="3"/>
        <v>2023</v>
      </c>
      <c r="C226">
        <v>2</v>
      </c>
      <c r="D226" t="s">
        <v>28</v>
      </c>
      <c r="E226" t="s">
        <v>26</v>
      </c>
      <c r="F226" s="2">
        <v>6431</v>
      </c>
      <c r="G226" s="2">
        <f>Monthly_Growth!$C$3</f>
        <v>876772</v>
      </c>
      <c r="H226" s="5">
        <f>Monthly_Growth!$D$3</f>
        <v>-3.0236398487350529E-2</v>
      </c>
      <c r="I226" s="15">
        <f>Yearly_Growth!$C$2</f>
        <v>5.0333827436586778E-2</v>
      </c>
      <c r="J226" s="15">
        <f>Yearly_Growth!$D$2</f>
        <v>0.03</v>
      </c>
      <c r="K226">
        <f>Sales_Per_Representative!$C$16</f>
        <v>666159</v>
      </c>
      <c r="L226">
        <f>Sales_Per_Rep_Yearly_Goal!$B$2</f>
        <v>665544.80000000005</v>
      </c>
      <c r="M226">
        <f>Sales_Per_Rep_Yearly_Goal!$C$2</f>
        <v>650000</v>
      </c>
    </row>
    <row r="227" spans="1:13" x14ac:dyDescent="0.3">
      <c r="A227" s="3">
        <v>44982</v>
      </c>
      <c r="B227">
        <f t="shared" si="3"/>
        <v>2023</v>
      </c>
      <c r="C227">
        <v>2</v>
      </c>
      <c r="D227" t="s">
        <v>14</v>
      </c>
      <c r="E227" t="s">
        <v>33</v>
      </c>
      <c r="F227" s="2">
        <v>5153</v>
      </c>
      <c r="G227" s="2">
        <f>Monthly_Growth!$C$3</f>
        <v>876772</v>
      </c>
      <c r="H227" s="5">
        <f>Monthly_Growth!$D$3</f>
        <v>-3.0236398487350529E-2</v>
      </c>
      <c r="I227" s="15">
        <f>Yearly_Growth!$C$2</f>
        <v>5.0333827436586778E-2</v>
      </c>
      <c r="J227" s="15">
        <f>Yearly_Growth!$D$2</f>
        <v>0.03</v>
      </c>
      <c r="K227">
        <f>Sales_Per_Representative!$C$11</f>
        <v>496886</v>
      </c>
      <c r="L227">
        <f>Sales_Per_Rep_Yearly_Goal!$B$2</f>
        <v>665544.80000000005</v>
      </c>
      <c r="M227">
        <f>Sales_Per_Rep_Yearly_Goal!$C$2</f>
        <v>650000</v>
      </c>
    </row>
    <row r="228" spans="1:13" x14ac:dyDescent="0.3">
      <c r="A228" s="3">
        <v>44982</v>
      </c>
      <c r="B228">
        <f t="shared" si="3"/>
        <v>2023</v>
      </c>
      <c r="C228">
        <v>2</v>
      </c>
      <c r="D228" t="s">
        <v>25</v>
      </c>
      <c r="E228" t="s">
        <v>26</v>
      </c>
      <c r="F228" s="2">
        <v>3759</v>
      </c>
      <c r="G228" s="2">
        <f>Monthly_Growth!$C$3</f>
        <v>876772</v>
      </c>
      <c r="H228" s="5">
        <f>Monthly_Growth!$D$3</f>
        <v>-3.0236398487350529E-2</v>
      </c>
      <c r="I228" s="15">
        <f>Yearly_Growth!$C$2</f>
        <v>5.0333827436586778E-2</v>
      </c>
      <c r="J228" s="15">
        <f>Yearly_Growth!$D$2</f>
        <v>0.03</v>
      </c>
      <c r="K228">
        <f>Sales_Per_Representative!$C$16</f>
        <v>666159</v>
      </c>
      <c r="L228">
        <f>Sales_Per_Rep_Yearly_Goal!$B$2</f>
        <v>665544.80000000005</v>
      </c>
      <c r="M228">
        <f>Sales_Per_Rep_Yearly_Goal!$C$2</f>
        <v>650000</v>
      </c>
    </row>
    <row r="229" spans="1:13" x14ac:dyDescent="0.3">
      <c r="A229" s="3">
        <v>44982</v>
      </c>
      <c r="B229">
        <f t="shared" si="3"/>
        <v>2023</v>
      </c>
      <c r="C229">
        <v>2</v>
      </c>
      <c r="D229" t="s">
        <v>25</v>
      </c>
      <c r="E229" t="s">
        <v>26</v>
      </c>
      <c r="F229" s="2">
        <v>10578</v>
      </c>
      <c r="G229" s="2">
        <f>Monthly_Growth!$C$3</f>
        <v>876772</v>
      </c>
      <c r="H229" s="5">
        <f>Monthly_Growth!$D$3</f>
        <v>-3.0236398487350529E-2</v>
      </c>
      <c r="I229" s="15">
        <f>Yearly_Growth!$C$2</f>
        <v>5.0333827436586778E-2</v>
      </c>
      <c r="J229" s="15">
        <f>Yearly_Growth!$D$2</f>
        <v>0.03</v>
      </c>
      <c r="K229">
        <f>Sales_Per_Representative!$C$16</f>
        <v>666159</v>
      </c>
      <c r="L229">
        <f>Sales_Per_Rep_Yearly_Goal!$B$2</f>
        <v>665544.80000000005</v>
      </c>
      <c r="M229">
        <f>Sales_Per_Rep_Yearly_Goal!$C$2</f>
        <v>650000</v>
      </c>
    </row>
    <row r="230" spans="1:13" x14ac:dyDescent="0.3">
      <c r="A230" s="3">
        <v>44982</v>
      </c>
      <c r="B230">
        <f t="shared" si="3"/>
        <v>2023</v>
      </c>
      <c r="C230">
        <v>2</v>
      </c>
      <c r="D230" t="s">
        <v>25</v>
      </c>
      <c r="E230" t="s">
        <v>20</v>
      </c>
      <c r="F230" s="2">
        <v>12622</v>
      </c>
      <c r="G230" s="2">
        <f>Monthly_Growth!$C$3</f>
        <v>876772</v>
      </c>
      <c r="H230" s="5">
        <f>Monthly_Growth!$D$3</f>
        <v>-3.0236398487350529E-2</v>
      </c>
      <c r="I230" s="15">
        <f>Yearly_Growth!$C$2</f>
        <v>5.0333827436586778E-2</v>
      </c>
      <c r="J230" s="15">
        <f>Yearly_Growth!$D$2</f>
        <v>0.03</v>
      </c>
      <c r="K230">
        <f>Sales_Per_Representative!$C$14</f>
        <v>675530</v>
      </c>
      <c r="L230">
        <f>Sales_Per_Rep_Yearly_Goal!$B$2</f>
        <v>665544.80000000005</v>
      </c>
      <c r="M230">
        <f>Sales_Per_Rep_Yearly_Goal!$C$2</f>
        <v>650000</v>
      </c>
    </row>
    <row r="231" spans="1:13" x14ac:dyDescent="0.3">
      <c r="A231" s="3">
        <v>44983</v>
      </c>
      <c r="B231">
        <f t="shared" si="3"/>
        <v>2023</v>
      </c>
      <c r="C231">
        <v>2</v>
      </c>
      <c r="D231" t="s">
        <v>19</v>
      </c>
      <c r="E231" t="s">
        <v>26</v>
      </c>
      <c r="F231" s="2">
        <v>10074</v>
      </c>
      <c r="G231" s="2">
        <f>Monthly_Growth!$C$3</f>
        <v>876772</v>
      </c>
      <c r="H231" s="5">
        <f>Monthly_Growth!$D$3</f>
        <v>-3.0236398487350529E-2</v>
      </c>
      <c r="I231" s="15">
        <f>Yearly_Growth!$C$2</f>
        <v>5.0333827436586778E-2</v>
      </c>
      <c r="J231" s="15">
        <f>Yearly_Growth!$D$2</f>
        <v>0.03</v>
      </c>
      <c r="K231">
        <f>Sales_Per_Representative!$C$16</f>
        <v>666159</v>
      </c>
      <c r="L231">
        <f>Sales_Per_Rep_Yearly_Goal!$B$2</f>
        <v>665544.80000000005</v>
      </c>
      <c r="M231">
        <f>Sales_Per_Rep_Yearly_Goal!$C$2</f>
        <v>650000</v>
      </c>
    </row>
    <row r="232" spans="1:13" x14ac:dyDescent="0.3">
      <c r="A232" s="3">
        <v>44983</v>
      </c>
      <c r="B232">
        <f t="shared" si="3"/>
        <v>2023</v>
      </c>
      <c r="C232">
        <v>2</v>
      </c>
      <c r="D232" t="s">
        <v>19</v>
      </c>
      <c r="E232" t="s">
        <v>8</v>
      </c>
      <c r="F232" s="2">
        <v>3274</v>
      </c>
      <c r="G232" s="2">
        <f>Monthly_Growth!$C$3</f>
        <v>876772</v>
      </c>
      <c r="H232" s="5">
        <f>Monthly_Growth!$D$3</f>
        <v>-3.0236398487350529E-2</v>
      </c>
      <c r="I232" s="15">
        <f>Yearly_Growth!$C$2</f>
        <v>5.0333827436586778E-2</v>
      </c>
      <c r="J232" s="15">
        <f>Yearly_Growth!$D$2</f>
        <v>0.03</v>
      </c>
      <c r="K232">
        <f>Sales_Per_Representative!$C$15</f>
        <v>701242</v>
      </c>
      <c r="L232">
        <f>Sales_Per_Rep_Yearly_Goal!$B$2</f>
        <v>665544.80000000005</v>
      </c>
      <c r="M232">
        <f>Sales_Per_Rep_Yearly_Goal!$C$2</f>
        <v>650000</v>
      </c>
    </row>
    <row r="233" spans="1:13" x14ac:dyDescent="0.3">
      <c r="A233" s="3">
        <v>44983</v>
      </c>
      <c r="B233">
        <f t="shared" si="3"/>
        <v>2023</v>
      </c>
      <c r="C233">
        <v>2</v>
      </c>
      <c r="D233" t="s">
        <v>25</v>
      </c>
      <c r="E233" t="s">
        <v>8</v>
      </c>
      <c r="F233" s="2">
        <v>13157</v>
      </c>
      <c r="G233" s="2">
        <f>Monthly_Growth!$C$3</f>
        <v>876772</v>
      </c>
      <c r="H233" s="5">
        <f>Monthly_Growth!$D$3</f>
        <v>-3.0236398487350529E-2</v>
      </c>
      <c r="I233" s="15">
        <f>Yearly_Growth!$C$2</f>
        <v>5.0333827436586778E-2</v>
      </c>
      <c r="J233" s="15">
        <f>Yearly_Growth!$D$2</f>
        <v>0.03</v>
      </c>
      <c r="K233">
        <f>Sales_Per_Representative!$C$15</f>
        <v>701242</v>
      </c>
      <c r="L233">
        <f>Sales_Per_Rep_Yearly_Goal!$B$2</f>
        <v>665544.80000000005</v>
      </c>
      <c r="M233">
        <f>Sales_Per_Rep_Yearly_Goal!$C$2</f>
        <v>650000</v>
      </c>
    </row>
    <row r="234" spans="1:13" x14ac:dyDescent="0.3">
      <c r="A234" s="3">
        <v>44983</v>
      </c>
      <c r="B234">
        <f t="shared" si="3"/>
        <v>2023</v>
      </c>
      <c r="C234">
        <v>2</v>
      </c>
      <c r="D234" t="s">
        <v>7</v>
      </c>
      <c r="E234" t="s">
        <v>15</v>
      </c>
      <c r="F234" s="2">
        <v>10767</v>
      </c>
      <c r="G234" s="2">
        <f>Monthly_Growth!$C$3</f>
        <v>876772</v>
      </c>
      <c r="H234" s="5">
        <f>Monthly_Growth!$D$3</f>
        <v>-3.0236398487350529E-2</v>
      </c>
      <c r="I234" s="15">
        <f>Yearly_Growth!$C$2</f>
        <v>5.0333827436586778E-2</v>
      </c>
      <c r="J234" s="15">
        <f>Yearly_Growth!$D$2</f>
        <v>0.03</v>
      </c>
      <c r="K234">
        <f>Sales_Per_Representative!$C$12</f>
        <v>656359</v>
      </c>
      <c r="L234">
        <f>Sales_Per_Rep_Yearly_Goal!$B$2</f>
        <v>665544.80000000005</v>
      </c>
      <c r="M234">
        <f>Sales_Per_Rep_Yearly_Goal!$C$2</f>
        <v>650000</v>
      </c>
    </row>
    <row r="235" spans="1:13" x14ac:dyDescent="0.3">
      <c r="A235" s="3">
        <v>44983</v>
      </c>
      <c r="B235">
        <f t="shared" si="3"/>
        <v>2023</v>
      </c>
      <c r="C235">
        <v>2</v>
      </c>
      <c r="D235" t="s">
        <v>28</v>
      </c>
      <c r="E235" t="s">
        <v>26</v>
      </c>
      <c r="F235" s="2">
        <v>6721</v>
      </c>
      <c r="G235" s="2">
        <f>Monthly_Growth!$C$3</f>
        <v>876772</v>
      </c>
      <c r="H235" s="5">
        <f>Monthly_Growth!$D$3</f>
        <v>-3.0236398487350529E-2</v>
      </c>
      <c r="I235" s="15">
        <f>Yearly_Growth!$C$2</f>
        <v>5.0333827436586778E-2</v>
      </c>
      <c r="J235" s="15">
        <f>Yearly_Growth!$D$2</f>
        <v>0.03</v>
      </c>
      <c r="K235">
        <f>Sales_Per_Representative!$C$16</f>
        <v>666159</v>
      </c>
      <c r="L235">
        <f>Sales_Per_Rep_Yearly_Goal!$B$2</f>
        <v>665544.80000000005</v>
      </c>
      <c r="M235">
        <f>Sales_Per_Rep_Yearly_Goal!$C$2</f>
        <v>650000</v>
      </c>
    </row>
    <row r="236" spans="1:13" x14ac:dyDescent="0.3">
      <c r="A236" s="3">
        <v>44984</v>
      </c>
      <c r="B236">
        <f t="shared" si="3"/>
        <v>2023</v>
      </c>
      <c r="C236">
        <v>2</v>
      </c>
      <c r="D236" t="s">
        <v>19</v>
      </c>
      <c r="E236" t="s">
        <v>24</v>
      </c>
      <c r="F236" s="2">
        <v>6885</v>
      </c>
      <c r="G236" s="2">
        <f>Monthly_Growth!$C$3</f>
        <v>876772</v>
      </c>
      <c r="H236" s="5">
        <f>Monthly_Growth!$D$3</f>
        <v>-3.0236398487350529E-2</v>
      </c>
      <c r="I236" s="15">
        <f>Yearly_Growth!$C$2</f>
        <v>5.0333827436586778E-2</v>
      </c>
      <c r="J236" s="15">
        <f>Yearly_Growth!$D$2</f>
        <v>0.03</v>
      </c>
      <c r="K236">
        <f>Sales_Per_Representative!$C$2</f>
        <v>631195</v>
      </c>
      <c r="L236">
        <f>Sales_Per_Rep_Yearly_Goal!$B$2</f>
        <v>665544.80000000005</v>
      </c>
      <c r="M236">
        <f>Sales_Per_Rep_Yearly_Goal!$C$2</f>
        <v>650000</v>
      </c>
    </row>
    <row r="237" spans="1:13" x14ac:dyDescent="0.3">
      <c r="A237" s="3">
        <v>44984</v>
      </c>
      <c r="B237">
        <f t="shared" si="3"/>
        <v>2023</v>
      </c>
      <c r="C237">
        <v>2</v>
      </c>
      <c r="D237" t="s">
        <v>23</v>
      </c>
      <c r="E237" t="s">
        <v>22</v>
      </c>
      <c r="F237" s="2">
        <v>8091</v>
      </c>
      <c r="G237" s="2">
        <f>Monthly_Growth!$C$3</f>
        <v>876772</v>
      </c>
      <c r="H237" s="5">
        <f>Monthly_Growth!$D$3</f>
        <v>-3.0236398487350529E-2</v>
      </c>
      <c r="I237" s="15">
        <f>Yearly_Growth!$C$2</f>
        <v>5.0333827436586778E-2</v>
      </c>
      <c r="J237" s="15">
        <f>Yearly_Growth!$D$2</f>
        <v>0.03</v>
      </c>
      <c r="K237">
        <f>Sales_Per_Representative!$C$8</f>
        <v>649456</v>
      </c>
      <c r="L237">
        <f>Sales_Per_Rep_Yearly_Goal!$B$2</f>
        <v>665544.80000000005</v>
      </c>
      <c r="M237">
        <f>Sales_Per_Rep_Yearly_Goal!$C$2</f>
        <v>650000</v>
      </c>
    </row>
    <row r="238" spans="1:13" x14ac:dyDescent="0.3">
      <c r="A238" s="3">
        <v>44984</v>
      </c>
      <c r="B238">
        <f t="shared" si="3"/>
        <v>2023</v>
      </c>
      <c r="C238">
        <v>2</v>
      </c>
      <c r="D238" t="s">
        <v>28</v>
      </c>
      <c r="E238" t="s">
        <v>32</v>
      </c>
      <c r="F238" s="2">
        <v>6385</v>
      </c>
      <c r="G238" s="2">
        <f>Monthly_Growth!$C$3</f>
        <v>876772</v>
      </c>
      <c r="H238" s="5">
        <f>Monthly_Growth!$D$3</f>
        <v>-3.0236398487350529E-2</v>
      </c>
      <c r="I238" s="15">
        <f>Yearly_Growth!$C$2</f>
        <v>5.0333827436586778E-2</v>
      </c>
      <c r="J238" s="15">
        <f>Yearly_Growth!$D$2</f>
        <v>0.03</v>
      </c>
      <c r="K238">
        <f>Sales_Per_Representative!$C$3</f>
        <v>762157</v>
      </c>
      <c r="L238">
        <f>Sales_Per_Rep_Yearly_Goal!$B$2</f>
        <v>665544.80000000005</v>
      </c>
      <c r="M238">
        <f>Sales_Per_Rep_Yearly_Goal!$C$2</f>
        <v>650000</v>
      </c>
    </row>
    <row r="239" spans="1:13" x14ac:dyDescent="0.3">
      <c r="A239" s="3">
        <v>44984</v>
      </c>
      <c r="B239">
        <f t="shared" si="3"/>
        <v>2023</v>
      </c>
      <c r="C239">
        <v>2</v>
      </c>
      <c r="D239" t="s">
        <v>17</v>
      </c>
      <c r="E239" t="s">
        <v>29</v>
      </c>
      <c r="F239" s="2">
        <v>6707</v>
      </c>
      <c r="G239" s="2">
        <f>Monthly_Growth!$C$3</f>
        <v>876772</v>
      </c>
      <c r="H239" s="5">
        <f>Monthly_Growth!$D$3</f>
        <v>-3.0236398487350529E-2</v>
      </c>
      <c r="I239" s="15">
        <f>Yearly_Growth!$C$2</f>
        <v>5.0333827436586778E-2</v>
      </c>
      <c r="J239" s="15">
        <f>Yearly_Growth!$D$2</f>
        <v>0.03</v>
      </c>
      <c r="K239">
        <f>Sales_Per_Representative!$C$13</f>
        <v>621548</v>
      </c>
      <c r="L239">
        <f>Sales_Per_Rep_Yearly_Goal!$B$2</f>
        <v>665544.80000000005</v>
      </c>
      <c r="M239">
        <f>Sales_Per_Rep_Yearly_Goal!$C$2</f>
        <v>650000</v>
      </c>
    </row>
    <row r="240" spans="1:13" x14ac:dyDescent="0.3">
      <c r="A240" s="3">
        <v>44985</v>
      </c>
      <c r="B240">
        <f t="shared" si="3"/>
        <v>2023</v>
      </c>
      <c r="C240">
        <v>2</v>
      </c>
      <c r="D240" t="s">
        <v>19</v>
      </c>
      <c r="E240" t="s">
        <v>18</v>
      </c>
      <c r="F240" s="2">
        <v>2112</v>
      </c>
      <c r="G240" s="2">
        <f>Monthly_Growth!$C$3</f>
        <v>876772</v>
      </c>
      <c r="H240" s="5">
        <f>Monthly_Growth!$D$3</f>
        <v>-3.0236398487350529E-2</v>
      </c>
      <c r="I240" s="15">
        <f>Yearly_Growth!$C$2</f>
        <v>5.0333827436586778E-2</v>
      </c>
      <c r="J240" s="15">
        <f>Yearly_Growth!$D$2</f>
        <v>0.03</v>
      </c>
      <c r="K240">
        <f>Sales_Per_Representative!$C$9</f>
        <v>550835</v>
      </c>
      <c r="L240">
        <f>Sales_Per_Rep_Yearly_Goal!$B$2</f>
        <v>665544.80000000005</v>
      </c>
      <c r="M240">
        <f>Sales_Per_Rep_Yearly_Goal!$C$2</f>
        <v>650000</v>
      </c>
    </row>
    <row r="241" spans="1:13" x14ac:dyDescent="0.3">
      <c r="A241" s="3">
        <v>44985</v>
      </c>
      <c r="B241">
        <f t="shared" si="3"/>
        <v>2023</v>
      </c>
      <c r="C241">
        <v>2</v>
      </c>
      <c r="D241" t="s">
        <v>7</v>
      </c>
      <c r="E241" t="s">
        <v>26</v>
      </c>
      <c r="F241" s="2">
        <v>1798</v>
      </c>
      <c r="G241" s="2">
        <f>Monthly_Growth!$C$3</f>
        <v>876772</v>
      </c>
      <c r="H241" s="5">
        <f>Monthly_Growth!$D$3</f>
        <v>-3.0236398487350529E-2</v>
      </c>
      <c r="I241" s="15">
        <f>Yearly_Growth!$C$2</f>
        <v>5.0333827436586778E-2</v>
      </c>
      <c r="J241" s="15">
        <f>Yearly_Growth!$D$2</f>
        <v>0.03</v>
      </c>
      <c r="K241">
        <f>Sales_Per_Representative!$C$16</f>
        <v>666159</v>
      </c>
      <c r="L241">
        <f>Sales_Per_Rep_Yearly_Goal!$B$2</f>
        <v>665544.80000000005</v>
      </c>
      <c r="M241">
        <f>Sales_Per_Rep_Yearly_Goal!$C$2</f>
        <v>650000</v>
      </c>
    </row>
    <row r="242" spans="1:13" x14ac:dyDescent="0.3">
      <c r="A242" s="3">
        <v>44986</v>
      </c>
      <c r="B242">
        <f t="shared" si="3"/>
        <v>2023</v>
      </c>
      <c r="C242">
        <v>3</v>
      </c>
      <c r="D242" t="s">
        <v>14</v>
      </c>
      <c r="E242" t="s">
        <v>8</v>
      </c>
      <c r="F242" s="2">
        <v>3296</v>
      </c>
      <c r="G242" s="2">
        <f>Monthly_Growth!$C$4</f>
        <v>666198</v>
      </c>
      <c r="H242" s="5">
        <f>Monthly_Growth!$D$4</f>
        <v>-0.24016962220508867</v>
      </c>
      <c r="I242" s="15">
        <f>Yearly_Growth!$C$2</f>
        <v>5.0333827436586778E-2</v>
      </c>
      <c r="J242" s="15">
        <f>Yearly_Growth!$D$2</f>
        <v>0.03</v>
      </c>
      <c r="K242">
        <f>Sales_Per_Representative!$C$15</f>
        <v>701242</v>
      </c>
      <c r="L242">
        <f>Sales_Per_Rep_Yearly_Goal!$B$2</f>
        <v>665544.80000000005</v>
      </c>
      <c r="M242">
        <f>Sales_Per_Rep_Yearly_Goal!$C$2</f>
        <v>650000</v>
      </c>
    </row>
    <row r="243" spans="1:13" x14ac:dyDescent="0.3">
      <c r="A243" s="3">
        <v>44986</v>
      </c>
      <c r="B243">
        <f t="shared" si="3"/>
        <v>2023</v>
      </c>
      <c r="C243">
        <v>3</v>
      </c>
      <c r="D243" t="s">
        <v>19</v>
      </c>
      <c r="E243" t="s">
        <v>20</v>
      </c>
      <c r="F243" s="2">
        <v>2439</v>
      </c>
      <c r="G243" s="2">
        <f>Monthly_Growth!$C$4</f>
        <v>666198</v>
      </c>
      <c r="H243" s="5">
        <f>Monthly_Growth!$D$4</f>
        <v>-0.24016962220508867</v>
      </c>
      <c r="I243" s="15">
        <f>Yearly_Growth!$C$2</f>
        <v>5.0333827436586778E-2</v>
      </c>
      <c r="J243" s="15">
        <f>Yearly_Growth!$D$2</f>
        <v>0.03</v>
      </c>
      <c r="K243">
        <f>Sales_Per_Representative!$C$14</f>
        <v>675530</v>
      </c>
      <c r="L243">
        <f>Sales_Per_Rep_Yearly_Goal!$B$2</f>
        <v>665544.80000000005</v>
      </c>
      <c r="M243">
        <f>Sales_Per_Rep_Yearly_Goal!$C$2</f>
        <v>650000</v>
      </c>
    </row>
    <row r="244" spans="1:13" x14ac:dyDescent="0.3">
      <c r="A244" s="3">
        <v>44986</v>
      </c>
      <c r="B244">
        <f t="shared" si="3"/>
        <v>2023</v>
      </c>
      <c r="C244">
        <v>3</v>
      </c>
      <c r="D244" t="s">
        <v>19</v>
      </c>
      <c r="E244" t="s">
        <v>32</v>
      </c>
      <c r="F244" s="2">
        <v>6520</v>
      </c>
      <c r="G244" s="2">
        <f>Monthly_Growth!$C$4</f>
        <v>666198</v>
      </c>
      <c r="H244" s="5">
        <f>Monthly_Growth!$D$4</f>
        <v>-0.24016962220508867</v>
      </c>
      <c r="I244" s="15">
        <f>Yearly_Growth!$C$2</f>
        <v>5.0333827436586778E-2</v>
      </c>
      <c r="J244" s="15">
        <f>Yearly_Growth!$D$2</f>
        <v>0.03</v>
      </c>
      <c r="K244">
        <f>Sales_Per_Representative!$C$3</f>
        <v>762157</v>
      </c>
      <c r="L244">
        <f>Sales_Per_Rep_Yearly_Goal!$B$2</f>
        <v>665544.80000000005</v>
      </c>
      <c r="M244">
        <f>Sales_Per_Rep_Yearly_Goal!$C$2</f>
        <v>650000</v>
      </c>
    </row>
    <row r="245" spans="1:13" x14ac:dyDescent="0.3">
      <c r="A245" s="3">
        <v>44986</v>
      </c>
      <c r="B245">
        <f t="shared" si="3"/>
        <v>2023</v>
      </c>
      <c r="C245">
        <v>3</v>
      </c>
      <c r="D245" t="s">
        <v>19</v>
      </c>
      <c r="E245" t="s">
        <v>32</v>
      </c>
      <c r="F245" s="2">
        <v>10370</v>
      </c>
      <c r="G245" s="2">
        <f>Monthly_Growth!$C$4</f>
        <v>666198</v>
      </c>
      <c r="H245" s="5">
        <f>Monthly_Growth!$D$4</f>
        <v>-0.24016962220508867</v>
      </c>
      <c r="I245" s="15">
        <f>Yearly_Growth!$C$2</f>
        <v>5.0333827436586778E-2</v>
      </c>
      <c r="J245" s="15">
        <f>Yearly_Growth!$D$2</f>
        <v>0.03</v>
      </c>
      <c r="K245">
        <f>Sales_Per_Representative!$C$3</f>
        <v>762157</v>
      </c>
      <c r="L245">
        <f>Sales_Per_Rep_Yearly_Goal!$B$2</f>
        <v>665544.80000000005</v>
      </c>
      <c r="M245">
        <f>Sales_Per_Rep_Yearly_Goal!$C$2</f>
        <v>650000</v>
      </c>
    </row>
    <row r="246" spans="1:13" x14ac:dyDescent="0.3">
      <c r="A246" s="3">
        <v>44986</v>
      </c>
      <c r="B246">
        <f t="shared" si="3"/>
        <v>2023</v>
      </c>
      <c r="C246">
        <v>3</v>
      </c>
      <c r="D246" t="s">
        <v>28</v>
      </c>
      <c r="E246" t="s">
        <v>32</v>
      </c>
      <c r="F246" s="2">
        <v>7577</v>
      </c>
      <c r="G246" s="2">
        <f>Monthly_Growth!$C$4</f>
        <v>666198</v>
      </c>
      <c r="H246" s="5">
        <f>Monthly_Growth!$D$4</f>
        <v>-0.24016962220508867</v>
      </c>
      <c r="I246" s="15">
        <f>Yearly_Growth!$C$2</f>
        <v>5.0333827436586778E-2</v>
      </c>
      <c r="J246" s="15">
        <f>Yearly_Growth!$D$2</f>
        <v>0.03</v>
      </c>
      <c r="K246">
        <f>Sales_Per_Representative!$C$3</f>
        <v>762157</v>
      </c>
      <c r="L246">
        <f>Sales_Per_Rep_Yearly_Goal!$B$2</f>
        <v>665544.80000000005</v>
      </c>
      <c r="M246">
        <f>Sales_Per_Rep_Yearly_Goal!$C$2</f>
        <v>650000</v>
      </c>
    </row>
    <row r="247" spans="1:13" x14ac:dyDescent="0.3">
      <c r="A247" s="3">
        <v>44986</v>
      </c>
      <c r="B247">
        <f t="shared" si="3"/>
        <v>2023</v>
      </c>
      <c r="C247">
        <v>3</v>
      </c>
      <c r="D247" t="s">
        <v>17</v>
      </c>
      <c r="E247" t="s">
        <v>22</v>
      </c>
      <c r="F247" s="2">
        <v>2948</v>
      </c>
      <c r="G247" s="2">
        <f>Monthly_Growth!$C$4</f>
        <v>666198</v>
      </c>
      <c r="H247" s="5">
        <f>Monthly_Growth!$D$4</f>
        <v>-0.24016962220508867</v>
      </c>
      <c r="I247" s="15">
        <f>Yearly_Growth!$C$2</f>
        <v>5.0333827436586778E-2</v>
      </c>
      <c r="J247" s="15">
        <f>Yearly_Growth!$D$2</f>
        <v>0.03</v>
      </c>
      <c r="K247">
        <f>Sales_Per_Representative!$C$8</f>
        <v>649456</v>
      </c>
      <c r="L247">
        <f>Sales_Per_Rep_Yearly_Goal!$B$2</f>
        <v>665544.80000000005</v>
      </c>
      <c r="M247">
        <f>Sales_Per_Rep_Yearly_Goal!$C$2</f>
        <v>650000</v>
      </c>
    </row>
    <row r="248" spans="1:13" x14ac:dyDescent="0.3">
      <c r="A248" s="3">
        <v>44986</v>
      </c>
      <c r="B248">
        <f t="shared" si="3"/>
        <v>2023</v>
      </c>
      <c r="C248">
        <v>3</v>
      </c>
      <c r="D248" t="s">
        <v>17</v>
      </c>
      <c r="E248" t="s">
        <v>10</v>
      </c>
      <c r="F248" s="2">
        <v>8339</v>
      </c>
      <c r="G248" s="2">
        <f>Monthly_Growth!$C$4</f>
        <v>666198</v>
      </c>
      <c r="H248" s="5">
        <f>Monthly_Growth!$D$4</f>
        <v>-0.24016962220508867</v>
      </c>
      <c r="I248" s="15">
        <f>Yearly_Growth!$C$2</f>
        <v>5.0333827436586778E-2</v>
      </c>
      <c r="J248" s="15">
        <f>Yearly_Growth!$D$2</f>
        <v>0.03</v>
      </c>
      <c r="K248">
        <f>Sales_Per_Representative!$C$4</f>
        <v>725713</v>
      </c>
      <c r="L248">
        <f>Sales_Per_Rep_Yearly_Goal!$B$2</f>
        <v>665544.80000000005</v>
      </c>
      <c r="M248">
        <f>Sales_Per_Rep_Yearly_Goal!$C$2</f>
        <v>650000</v>
      </c>
    </row>
    <row r="249" spans="1:13" x14ac:dyDescent="0.3">
      <c r="A249" s="3">
        <v>44986</v>
      </c>
      <c r="B249">
        <f t="shared" si="3"/>
        <v>2023</v>
      </c>
      <c r="C249">
        <v>3</v>
      </c>
      <c r="D249" t="s">
        <v>17</v>
      </c>
      <c r="E249" t="s">
        <v>29</v>
      </c>
      <c r="F249" s="2">
        <v>12340</v>
      </c>
      <c r="G249" s="2">
        <f>Monthly_Growth!$C$4</f>
        <v>666198</v>
      </c>
      <c r="H249" s="5">
        <f>Monthly_Growth!$D$4</f>
        <v>-0.24016962220508867</v>
      </c>
      <c r="I249" s="15">
        <f>Yearly_Growth!$C$2</f>
        <v>5.0333827436586778E-2</v>
      </c>
      <c r="J249" s="15">
        <f>Yearly_Growth!$D$2</f>
        <v>0.03</v>
      </c>
      <c r="K249">
        <f>Sales_Per_Representative!$C$13</f>
        <v>621548</v>
      </c>
      <c r="L249">
        <f>Sales_Per_Rep_Yearly_Goal!$B$2</f>
        <v>665544.80000000005</v>
      </c>
      <c r="M249">
        <f>Sales_Per_Rep_Yearly_Goal!$C$2</f>
        <v>650000</v>
      </c>
    </row>
    <row r="250" spans="1:13" x14ac:dyDescent="0.3">
      <c r="A250" s="3">
        <v>44987</v>
      </c>
      <c r="B250">
        <f t="shared" si="3"/>
        <v>2023</v>
      </c>
      <c r="C250">
        <v>3</v>
      </c>
      <c r="D250" t="s">
        <v>23</v>
      </c>
      <c r="E250" t="s">
        <v>29</v>
      </c>
      <c r="F250" s="2">
        <v>8503</v>
      </c>
      <c r="G250" s="2">
        <f>Monthly_Growth!$C$4</f>
        <v>666198</v>
      </c>
      <c r="H250" s="5">
        <f>Monthly_Growth!$D$4</f>
        <v>-0.24016962220508867</v>
      </c>
      <c r="I250" s="15">
        <f>Yearly_Growth!$C$2</f>
        <v>5.0333827436586778E-2</v>
      </c>
      <c r="J250" s="15">
        <f>Yearly_Growth!$D$2</f>
        <v>0.03</v>
      </c>
      <c r="K250">
        <f>Sales_Per_Representative!$C$13</f>
        <v>621548</v>
      </c>
      <c r="L250">
        <f>Sales_Per_Rep_Yearly_Goal!$B$2</f>
        <v>665544.80000000005</v>
      </c>
      <c r="M250">
        <f>Sales_Per_Rep_Yearly_Goal!$C$2</f>
        <v>650000</v>
      </c>
    </row>
    <row r="251" spans="1:13" x14ac:dyDescent="0.3">
      <c r="A251" s="3">
        <v>44987</v>
      </c>
      <c r="B251">
        <f t="shared" si="3"/>
        <v>2023</v>
      </c>
      <c r="C251">
        <v>3</v>
      </c>
      <c r="D251" t="s">
        <v>23</v>
      </c>
      <c r="E251" t="s">
        <v>29</v>
      </c>
      <c r="F251" s="2">
        <v>9110</v>
      </c>
      <c r="G251" s="2">
        <f>Monthly_Growth!$C$4</f>
        <v>666198</v>
      </c>
      <c r="H251" s="5">
        <f>Monthly_Growth!$D$4</f>
        <v>-0.24016962220508867</v>
      </c>
      <c r="I251" s="15">
        <f>Yearly_Growth!$C$2</f>
        <v>5.0333827436586778E-2</v>
      </c>
      <c r="J251" s="15">
        <f>Yearly_Growth!$D$2</f>
        <v>0.03</v>
      </c>
      <c r="K251">
        <f>Sales_Per_Representative!$C$13</f>
        <v>621548</v>
      </c>
      <c r="L251">
        <f>Sales_Per_Rep_Yearly_Goal!$B$2</f>
        <v>665544.80000000005</v>
      </c>
      <c r="M251">
        <f>Sales_Per_Rep_Yearly_Goal!$C$2</f>
        <v>650000</v>
      </c>
    </row>
    <row r="252" spans="1:13" x14ac:dyDescent="0.3">
      <c r="A252" s="3">
        <v>44987</v>
      </c>
      <c r="B252">
        <f t="shared" si="3"/>
        <v>2023</v>
      </c>
      <c r="C252">
        <v>3</v>
      </c>
      <c r="D252" t="s">
        <v>12</v>
      </c>
      <c r="E252" t="s">
        <v>29</v>
      </c>
      <c r="F252" s="2">
        <v>8588</v>
      </c>
      <c r="G252" s="2">
        <f>Monthly_Growth!$C$4</f>
        <v>666198</v>
      </c>
      <c r="H252" s="5">
        <f>Monthly_Growth!$D$4</f>
        <v>-0.24016962220508867</v>
      </c>
      <c r="I252" s="15">
        <f>Yearly_Growth!$C$2</f>
        <v>5.0333827436586778E-2</v>
      </c>
      <c r="J252" s="15">
        <f>Yearly_Growth!$D$2</f>
        <v>0.03</v>
      </c>
      <c r="K252">
        <f>Sales_Per_Representative!$C$13</f>
        <v>621548</v>
      </c>
      <c r="L252">
        <f>Sales_Per_Rep_Yearly_Goal!$B$2</f>
        <v>665544.80000000005</v>
      </c>
      <c r="M252">
        <f>Sales_Per_Rep_Yearly_Goal!$C$2</f>
        <v>650000</v>
      </c>
    </row>
    <row r="253" spans="1:13" x14ac:dyDescent="0.3">
      <c r="A253" s="3">
        <v>44988</v>
      </c>
      <c r="B253">
        <f t="shared" si="3"/>
        <v>2023</v>
      </c>
      <c r="C253">
        <v>3</v>
      </c>
      <c r="D253" t="s">
        <v>19</v>
      </c>
      <c r="E253" t="s">
        <v>20</v>
      </c>
      <c r="F253" s="2">
        <v>2955</v>
      </c>
      <c r="G253" s="2">
        <f>Monthly_Growth!$C$4</f>
        <v>666198</v>
      </c>
      <c r="H253" s="5">
        <f>Monthly_Growth!$D$4</f>
        <v>-0.24016962220508867</v>
      </c>
      <c r="I253" s="15">
        <f>Yearly_Growth!$C$2</f>
        <v>5.0333827436586778E-2</v>
      </c>
      <c r="J253" s="15">
        <f>Yearly_Growth!$D$2</f>
        <v>0.03</v>
      </c>
      <c r="K253">
        <f>Sales_Per_Representative!$C$14</f>
        <v>675530</v>
      </c>
      <c r="L253">
        <f>Sales_Per_Rep_Yearly_Goal!$B$2</f>
        <v>665544.80000000005</v>
      </c>
      <c r="M253">
        <f>Sales_Per_Rep_Yearly_Goal!$C$2</f>
        <v>650000</v>
      </c>
    </row>
    <row r="254" spans="1:13" x14ac:dyDescent="0.3">
      <c r="A254" s="3">
        <v>44988</v>
      </c>
      <c r="B254">
        <f t="shared" si="3"/>
        <v>2023</v>
      </c>
      <c r="C254">
        <v>3</v>
      </c>
      <c r="D254" t="s">
        <v>7</v>
      </c>
      <c r="E254" t="s">
        <v>5</v>
      </c>
      <c r="F254" s="2">
        <v>6403</v>
      </c>
      <c r="G254" s="2">
        <f>Monthly_Growth!$C$4</f>
        <v>666198</v>
      </c>
      <c r="H254" s="5">
        <f>Monthly_Growth!$D$4</f>
        <v>-0.24016962220508867</v>
      </c>
      <c r="I254" s="15">
        <f>Yearly_Growth!$C$2</f>
        <v>5.0333827436586778E-2</v>
      </c>
      <c r="J254" s="15">
        <f>Yearly_Growth!$D$2</f>
        <v>0.03</v>
      </c>
      <c r="K254">
        <f>Sales_Per_Representative!$C$10</f>
        <v>663333</v>
      </c>
      <c r="L254">
        <f>Sales_Per_Rep_Yearly_Goal!$B$2</f>
        <v>665544.80000000005</v>
      </c>
      <c r="M254">
        <f>Sales_Per_Rep_Yearly_Goal!$C$2</f>
        <v>650000</v>
      </c>
    </row>
    <row r="255" spans="1:13" x14ac:dyDescent="0.3">
      <c r="A255" s="3">
        <v>44988</v>
      </c>
      <c r="B255">
        <f t="shared" si="3"/>
        <v>2023</v>
      </c>
      <c r="C255">
        <v>3</v>
      </c>
      <c r="D255" t="s">
        <v>28</v>
      </c>
      <c r="E255" t="s">
        <v>18</v>
      </c>
      <c r="F255" s="2">
        <v>5031</v>
      </c>
      <c r="G255" s="2">
        <f>Monthly_Growth!$C$4</f>
        <v>666198</v>
      </c>
      <c r="H255" s="5">
        <f>Monthly_Growth!$D$4</f>
        <v>-0.24016962220508867</v>
      </c>
      <c r="I255" s="15">
        <f>Yearly_Growth!$C$2</f>
        <v>5.0333827436586778E-2</v>
      </c>
      <c r="J255" s="15">
        <f>Yearly_Growth!$D$2</f>
        <v>0.03</v>
      </c>
      <c r="K255">
        <f>Sales_Per_Representative!$C$9</f>
        <v>550835</v>
      </c>
      <c r="L255">
        <f>Sales_Per_Rep_Yearly_Goal!$B$2</f>
        <v>665544.80000000005</v>
      </c>
      <c r="M255">
        <f>Sales_Per_Rep_Yearly_Goal!$C$2</f>
        <v>650000</v>
      </c>
    </row>
    <row r="256" spans="1:13" x14ac:dyDescent="0.3">
      <c r="A256" s="3">
        <v>44989</v>
      </c>
      <c r="B256">
        <f t="shared" si="3"/>
        <v>2023</v>
      </c>
      <c r="C256">
        <v>3</v>
      </c>
      <c r="D256" t="s">
        <v>14</v>
      </c>
      <c r="E256" t="s">
        <v>30</v>
      </c>
      <c r="F256" s="2">
        <v>1025</v>
      </c>
      <c r="G256" s="2">
        <f>Monthly_Growth!$C$4</f>
        <v>666198</v>
      </c>
      <c r="H256" s="5">
        <f>Monthly_Growth!$D$4</f>
        <v>-0.24016962220508867</v>
      </c>
      <c r="I256" s="15">
        <f>Yearly_Growth!$C$2</f>
        <v>5.0333827436586778E-2</v>
      </c>
      <c r="J256" s="15">
        <f>Yearly_Growth!$D$2</f>
        <v>0.03</v>
      </c>
      <c r="K256">
        <f>Sales_Per_Representative!$C$7</f>
        <v>706974</v>
      </c>
      <c r="L256">
        <f>Sales_Per_Rep_Yearly_Goal!$B$2</f>
        <v>665544.80000000005</v>
      </c>
      <c r="M256">
        <f>Sales_Per_Rep_Yearly_Goal!$C$2</f>
        <v>650000</v>
      </c>
    </row>
    <row r="257" spans="1:13" x14ac:dyDescent="0.3">
      <c r="A257" s="3">
        <v>44989</v>
      </c>
      <c r="B257">
        <f t="shared" si="3"/>
        <v>2023</v>
      </c>
      <c r="C257">
        <v>3</v>
      </c>
      <c r="D257" t="s">
        <v>23</v>
      </c>
      <c r="E257" t="s">
        <v>10</v>
      </c>
      <c r="F257" s="2">
        <v>3193</v>
      </c>
      <c r="G257" s="2">
        <f>Monthly_Growth!$C$4</f>
        <v>666198</v>
      </c>
      <c r="H257" s="5">
        <f>Monthly_Growth!$D$4</f>
        <v>-0.24016962220508867</v>
      </c>
      <c r="I257" s="15">
        <f>Yearly_Growth!$C$2</f>
        <v>5.0333827436586778E-2</v>
      </c>
      <c r="J257" s="15">
        <f>Yearly_Growth!$D$2</f>
        <v>0.03</v>
      </c>
      <c r="K257">
        <f>Sales_Per_Representative!$C$4</f>
        <v>725713</v>
      </c>
      <c r="L257">
        <f>Sales_Per_Rep_Yearly_Goal!$B$2</f>
        <v>665544.80000000005</v>
      </c>
      <c r="M257">
        <f>Sales_Per_Rep_Yearly_Goal!$C$2</f>
        <v>650000</v>
      </c>
    </row>
    <row r="258" spans="1:13" x14ac:dyDescent="0.3">
      <c r="A258" s="3">
        <v>44989</v>
      </c>
      <c r="B258">
        <f t="shared" si="3"/>
        <v>2023</v>
      </c>
      <c r="C258">
        <v>3</v>
      </c>
      <c r="D258" t="s">
        <v>7</v>
      </c>
      <c r="E258" t="s">
        <v>18</v>
      </c>
      <c r="F258" s="2">
        <v>11405</v>
      </c>
      <c r="G258" s="2">
        <f>Monthly_Growth!$C$4</f>
        <v>666198</v>
      </c>
      <c r="H258" s="5">
        <f>Monthly_Growth!$D$4</f>
        <v>-0.24016962220508867</v>
      </c>
      <c r="I258" s="15">
        <f>Yearly_Growth!$C$2</f>
        <v>5.0333827436586778E-2</v>
      </c>
      <c r="J258" s="15">
        <f>Yearly_Growth!$D$2</f>
        <v>0.03</v>
      </c>
      <c r="K258">
        <f>Sales_Per_Representative!$C$9</f>
        <v>550835</v>
      </c>
      <c r="L258">
        <f>Sales_Per_Rep_Yearly_Goal!$B$2</f>
        <v>665544.80000000005</v>
      </c>
      <c r="M258">
        <f>Sales_Per_Rep_Yearly_Goal!$C$2</f>
        <v>650000</v>
      </c>
    </row>
    <row r="259" spans="1:13" x14ac:dyDescent="0.3">
      <c r="A259" s="3">
        <v>44990</v>
      </c>
      <c r="B259">
        <f t="shared" ref="B259:B322" si="4">YEAR(A259)</f>
        <v>2023</v>
      </c>
      <c r="C259">
        <v>3</v>
      </c>
      <c r="D259" t="s">
        <v>14</v>
      </c>
      <c r="E259" t="s">
        <v>20</v>
      </c>
      <c r="F259" s="2">
        <v>9831</v>
      </c>
      <c r="G259" s="2">
        <f>Monthly_Growth!$C$4</f>
        <v>666198</v>
      </c>
      <c r="H259" s="5">
        <f>Monthly_Growth!$D$4</f>
        <v>-0.24016962220508867</v>
      </c>
      <c r="I259" s="15">
        <f>Yearly_Growth!$C$2</f>
        <v>5.0333827436586778E-2</v>
      </c>
      <c r="J259" s="15">
        <f>Yearly_Growth!$D$2</f>
        <v>0.03</v>
      </c>
      <c r="K259">
        <f>Sales_Per_Representative!$C$14</f>
        <v>675530</v>
      </c>
      <c r="L259">
        <f>Sales_Per_Rep_Yearly_Goal!$B$2</f>
        <v>665544.80000000005</v>
      </c>
      <c r="M259">
        <f>Sales_Per_Rep_Yearly_Goal!$C$2</f>
        <v>650000</v>
      </c>
    </row>
    <row r="260" spans="1:13" x14ac:dyDescent="0.3">
      <c r="A260" s="3">
        <v>44990</v>
      </c>
      <c r="B260">
        <f t="shared" si="4"/>
        <v>2023</v>
      </c>
      <c r="C260">
        <v>3</v>
      </c>
      <c r="D260" t="s">
        <v>23</v>
      </c>
      <c r="E260" t="s">
        <v>24</v>
      </c>
      <c r="F260" s="2">
        <v>11032</v>
      </c>
      <c r="G260" s="2">
        <f>Monthly_Growth!$C$4</f>
        <v>666198</v>
      </c>
      <c r="H260" s="5">
        <f>Monthly_Growth!$D$4</f>
        <v>-0.24016962220508867</v>
      </c>
      <c r="I260" s="15">
        <f>Yearly_Growth!$C$2</f>
        <v>5.0333827436586778E-2</v>
      </c>
      <c r="J260" s="15">
        <f>Yearly_Growth!$D$2</f>
        <v>0.03</v>
      </c>
      <c r="K260">
        <f>Sales_Per_Representative!$C$2</f>
        <v>631195</v>
      </c>
      <c r="L260">
        <f>Sales_Per_Rep_Yearly_Goal!$B$2</f>
        <v>665544.80000000005</v>
      </c>
      <c r="M260">
        <f>Sales_Per_Rep_Yearly_Goal!$C$2</f>
        <v>650000</v>
      </c>
    </row>
    <row r="261" spans="1:13" x14ac:dyDescent="0.3">
      <c r="A261" s="3">
        <v>44990</v>
      </c>
      <c r="B261">
        <f t="shared" si="4"/>
        <v>2023</v>
      </c>
      <c r="C261">
        <v>3</v>
      </c>
      <c r="D261" t="s">
        <v>23</v>
      </c>
      <c r="E261" t="s">
        <v>32</v>
      </c>
      <c r="F261" s="2">
        <v>4959</v>
      </c>
      <c r="G261" s="2">
        <f>Monthly_Growth!$C$4</f>
        <v>666198</v>
      </c>
      <c r="H261" s="5">
        <f>Monthly_Growth!$D$4</f>
        <v>-0.24016962220508867</v>
      </c>
      <c r="I261" s="15">
        <f>Yearly_Growth!$C$2</f>
        <v>5.0333827436586778E-2</v>
      </c>
      <c r="J261" s="15">
        <f>Yearly_Growth!$D$2</f>
        <v>0.03</v>
      </c>
      <c r="K261">
        <f>Sales_Per_Representative!$C$3</f>
        <v>762157</v>
      </c>
      <c r="L261">
        <f>Sales_Per_Rep_Yearly_Goal!$B$2</f>
        <v>665544.80000000005</v>
      </c>
      <c r="M261">
        <f>Sales_Per_Rep_Yearly_Goal!$C$2</f>
        <v>650000</v>
      </c>
    </row>
    <row r="262" spans="1:13" x14ac:dyDescent="0.3">
      <c r="A262" s="3">
        <v>44991</v>
      </c>
      <c r="B262">
        <f t="shared" si="4"/>
        <v>2023</v>
      </c>
      <c r="C262">
        <v>3</v>
      </c>
      <c r="D262" t="s">
        <v>7</v>
      </c>
      <c r="E262" t="s">
        <v>24</v>
      </c>
      <c r="F262" s="2">
        <v>3044</v>
      </c>
      <c r="G262" s="2">
        <f>Monthly_Growth!$C$4</f>
        <v>666198</v>
      </c>
      <c r="H262" s="5">
        <f>Monthly_Growth!$D$4</f>
        <v>-0.24016962220508867</v>
      </c>
      <c r="I262" s="15">
        <f>Yearly_Growth!$C$2</f>
        <v>5.0333827436586778E-2</v>
      </c>
      <c r="J262" s="15">
        <f>Yearly_Growth!$D$2</f>
        <v>0.03</v>
      </c>
      <c r="K262">
        <f>Sales_Per_Representative!$C$2</f>
        <v>631195</v>
      </c>
      <c r="L262">
        <f>Sales_Per_Rep_Yearly_Goal!$B$2</f>
        <v>665544.80000000005</v>
      </c>
      <c r="M262">
        <f>Sales_Per_Rep_Yearly_Goal!$C$2</f>
        <v>650000</v>
      </c>
    </row>
    <row r="263" spans="1:13" x14ac:dyDescent="0.3">
      <c r="A263" s="3">
        <v>44991</v>
      </c>
      <c r="B263">
        <f t="shared" si="4"/>
        <v>2023</v>
      </c>
      <c r="C263">
        <v>3</v>
      </c>
      <c r="D263" t="s">
        <v>28</v>
      </c>
      <c r="E263" t="s">
        <v>32</v>
      </c>
      <c r="F263" s="2">
        <v>4934</v>
      </c>
      <c r="G263" s="2">
        <f>Monthly_Growth!$C$4</f>
        <v>666198</v>
      </c>
      <c r="H263" s="5">
        <f>Monthly_Growth!$D$4</f>
        <v>-0.24016962220508867</v>
      </c>
      <c r="I263" s="15">
        <f>Yearly_Growth!$C$2</f>
        <v>5.0333827436586778E-2</v>
      </c>
      <c r="J263" s="15">
        <f>Yearly_Growth!$D$2</f>
        <v>0.03</v>
      </c>
      <c r="K263">
        <f>Sales_Per_Representative!$C$3</f>
        <v>762157</v>
      </c>
      <c r="L263">
        <f>Sales_Per_Rep_Yearly_Goal!$B$2</f>
        <v>665544.80000000005</v>
      </c>
      <c r="M263">
        <f>Sales_Per_Rep_Yearly_Goal!$C$2</f>
        <v>650000</v>
      </c>
    </row>
    <row r="264" spans="1:13" x14ac:dyDescent="0.3">
      <c r="A264" s="3">
        <v>44991</v>
      </c>
      <c r="B264">
        <f t="shared" si="4"/>
        <v>2023</v>
      </c>
      <c r="C264">
        <v>3</v>
      </c>
      <c r="D264" t="s">
        <v>12</v>
      </c>
      <c r="E264" t="s">
        <v>10</v>
      </c>
      <c r="F264" s="2">
        <v>1168</v>
      </c>
      <c r="G264" s="2">
        <f>Monthly_Growth!$C$4</f>
        <v>666198</v>
      </c>
      <c r="H264" s="5">
        <f>Monthly_Growth!$D$4</f>
        <v>-0.24016962220508867</v>
      </c>
      <c r="I264" s="15">
        <f>Yearly_Growth!$C$2</f>
        <v>5.0333827436586778E-2</v>
      </c>
      <c r="J264" s="15">
        <f>Yearly_Growth!$D$2</f>
        <v>0.03</v>
      </c>
      <c r="K264">
        <f>Sales_Per_Representative!$C$4</f>
        <v>725713</v>
      </c>
      <c r="L264">
        <f>Sales_Per_Rep_Yearly_Goal!$B$2</f>
        <v>665544.80000000005</v>
      </c>
      <c r="M264">
        <f>Sales_Per_Rep_Yearly_Goal!$C$2</f>
        <v>650000</v>
      </c>
    </row>
    <row r="265" spans="1:13" x14ac:dyDescent="0.3">
      <c r="A265" s="3">
        <v>44992</v>
      </c>
      <c r="B265">
        <f t="shared" si="4"/>
        <v>2023</v>
      </c>
      <c r="C265">
        <v>3</v>
      </c>
      <c r="D265" t="s">
        <v>25</v>
      </c>
      <c r="E265" t="s">
        <v>33</v>
      </c>
      <c r="F265" s="2">
        <v>11408</v>
      </c>
      <c r="G265" s="2">
        <f>Monthly_Growth!$C$4</f>
        <v>666198</v>
      </c>
      <c r="H265" s="5">
        <f>Monthly_Growth!$D$4</f>
        <v>-0.24016962220508867</v>
      </c>
      <c r="I265" s="15">
        <f>Yearly_Growth!$C$2</f>
        <v>5.0333827436586778E-2</v>
      </c>
      <c r="J265" s="15">
        <f>Yearly_Growth!$D$2</f>
        <v>0.03</v>
      </c>
      <c r="K265">
        <f>Sales_Per_Representative!$C$11</f>
        <v>496886</v>
      </c>
      <c r="L265">
        <f>Sales_Per_Rep_Yearly_Goal!$B$2</f>
        <v>665544.80000000005</v>
      </c>
      <c r="M265">
        <f>Sales_Per_Rep_Yearly_Goal!$C$2</f>
        <v>650000</v>
      </c>
    </row>
    <row r="266" spans="1:13" x14ac:dyDescent="0.3">
      <c r="A266" s="3">
        <v>44992</v>
      </c>
      <c r="B266">
        <f t="shared" si="4"/>
        <v>2023</v>
      </c>
      <c r="C266">
        <v>3</v>
      </c>
      <c r="D266" t="s">
        <v>7</v>
      </c>
      <c r="E266" t="s">
        <v>31</v>
      </c>
      <c r="F266" s="2">
        <v>3444</v>
      </c>
      <c r="G266" s="2">
        <f>Monthly_Growth!$C$4</f>
        <v>666198</v>
      </c>
      <c r="H266" s="5">
        <f>Monthly_Growth!$D$4</f>
        <v>-0.24016962220508867</v>
      </c>
      <c r="I266" s="15">
        <f>Yearly_Growth!$C$2</f>
        <v>5.0333827436586778E-2</v>
      </c>
      <c r="J266" s="15">
        <f>Yearly_Growth!$D$2</f>
        <v>0.03</v>
      </c>
      <c r="K266">
        <f>Sales_Per_Representative!$C$6</f>
        <v>727823</v>
      </c>
      <c r="L266">
        <f>Sales_Per_Rep_Yearly_Goal!$B$2</f>
        <v>665544.80000000005</v>
      </c>
      <c r="M266">
        <f>Sales_Per_Rep_Yearly_Goal!$C$2</f>
        <v>650000</v>
      </c>
    </row>
    <row r="267" spans="1:13" x14ac:dyDescent="0.3">
      <c r="A267" s="3">
        <v>44992</v>
      </c>
      <c r="B267">
        <f t="shared" si="4"/>
        <v>2023</v>
      </c>
      <c r="C267">
        <v>3</v>
      </c>
      <c r="D267" t="s">
        <v>17</v>
      </c>
      <c r="E267" t="s">
        <v>31</v>
      </c>
      <c r="F267" s="2">
        <v>9448</v>
      </c>
      <c r="G267" s="2">
        <f>Monthly_Growth!$C$4</f>
        <v>666198</v>
      </c>
      <c r="H267" s="5">
        <f>Monthly_Growth!$D$4</f>
        <v>-0.24016962220508867</v>
      </c>
      <c r="I267" s="15">
        <f>Yearly_Growth!$C$2</f>
        <v>5.0333827436586778E-2</v>
      </c>
      <c r="J267" s="15">
        <f>Yearly_Growth!$D$2</f>
        <v>0.03</v>
      </c>
      <c r="K267">
        <f>Sales_Per_Representative!$C$6</f>
        <v>727823</v>
      </c>
      <c r="L267">
        <f>Sales_Per_Rep_Yearly_Goal!$B$2</f>
        <v>665544.80000000005</v>
      </c>
      <c r="M267">
        <f>Sales_Per_Rep_Yearly_Goal!$C$2</f>
        <v>650000</v>
      </c>
    </row>
    <row r="268" spans="1:13" x14ac:dyDescent="0.3">
      <c r="A268" s="3">
        <v>44992</v>
      </c>
      <c r="B268">
        <f t="shared" si="4"/>
        <v>2023</v>
      </c>
      <c r="C268">
        <v>3</v>
      </c>
      <c r="D268" t="s">
        <v>17</v>
      </c>
      <c r="E268" t="s">
        <v>5</v>
      </c>
      <c r="F268" s="2">
        <v>4399</v>
      </c>
      <c r="G268" s="2">
        <f>Monthly_Growth!$C$4</f>
        <v>666198</v>
      </c>
      <c r="H268" s="5">
        <f>Monthly_Growth!$D$4</f>
        <v>-0.24016962220508867</v>
      </c>
      <c r="I268" s="15">
        <f>Yearly_Growth!$C$2</f>
        <v>5.0333827436586778E-2</v>
      </c>
      <c r="J268" s="15">
        <f>Yearly_Growth!$D$2</f>
        <v>0.03</v>
      </c>
      <c r="K268">
        <f>Sales_Per_Representative!$C$10</f>
        <v>663333</v>
      </c>
      <c r="L268">
        <f>Sales_Per_Rep_Yearly_Goal!$B$2</f>
        <v>665544.80000000005</v>
      </c>
      <c r="M268">
        <f>Sales_Per_Rep_Yearly_Goal!$C$2</f>
        <v>650000</v>
      </c>
    </row>
    <row r="269" spans="1:13" x14ac:dyDescent="0.3">
      <c r="A269" s="3">
        <v>44992</v>
      </c>
      <c r="B269">
        <f t="shared" si="4"/>
        <v>2023</v>
      </c>
      <c r="C269">
        <v>3</v>
      </c>
      <c r="D269" t="s">
        <v>12</v>
      </c>
      <c r="E269" t="s">
        <v>8</v>
      </c>
      <c r="F269" s="2">
        <v>1195</v>
      </c>
      <c r="G269" s="2">
        <f>Monthly_Growth!$C$4</f>
        <v>666198</v>
      </c>
      <c r="H269" s="5">
        <f>Monthly_Growth!$D$4</f>
        <v>-0.24016962220508867</v>
      </c>
      <c r="I269" s="15">
        <f>Yearly_Growth!$C$2</f>
        <v>5.0333827436586778E-2</v>
      </c>
      <c r="J269" s="15">
        <f>Yearly_Growth!$D$2</f>
        <v>0.03</v>
      </c>
      <c r="K269">
        <f>Sales_Per_Representative!$C$15</f>
        <v>701242</v>
      </c>
      <c r="L269">
        <f>Sales_Per_Rep_Yearly_Goal!$B$2</f>
        <v>665544.80000000005</v>
      </c>
      <c r="M269">
        <f>Sales_Per_Rep_Yearly_Goal!$C$2</f>
        <v>650000</v>
      </c>
    </row>
    <row r="270" spans="1:13" x14ac:dyDescent="0.3">
      <c r="A270" s="3">
        <v>44993</v>
      </c>
      <c r="B270">
        <f t="shared" si="4"/>
        <v>2023</v>
      </c>
      <c r="C270">
        <v>3</v>
      </c>
      <c r="D270" t="s">
        <v>19</v>
      </c>
      <c r="E270" t="s">
        <v>5</v>
      </c>
      <c r="F270" s="2">
        <v>8213</v>
      </c>
      <c r="G270" s="2">
        <f>Monthly_Growth!$C$4</f>
        <v>666198</v>
      </c>
      <c r="H270" s="5">
        <f>Monthly_Growth!$D$4</f>
        <v>-0.24016962220508867</v>
      </c>
      <c r="I270" s="15">
        <f>Yearly_Growth!$C$2</f>
        <v>5.0333827436586778E-2</v>
      </c>
      <c r="J270" s="15">
        <f>Yearly_Growth!$D$2</f>
        <v>0.03</v>
      </c>
      <c r="K270">
        <f>Sales_Per_Representative!$C$10</f>
        <v>663333</v>
      </c>
      <c r="L270">
        <f>Sales_Per_Rep_Yearly_Goal!$B$2</f>
        <v>665544.80000000005</v>
      </c>
      <c r="M270">
        <f>Sales_Per_Rep_Yearly_Goal!$C$2</f>
        <v>650000</v>
      </c>
    </row>
    <row r="271" spans="1:13" x14ac:dyDescent="0.3">
      <c r="A271" s="3">
        <v>44993</v>
      </c>
      <c r="B271">
        <f t="shared" si="4"/>
        <v>2023</v>
      </c>
      <c r="C271">
        <v>3</v>
      </c>
      <c r="D271" t="s">
        <v>19</v>
      </c>
      <c r="E271" t="s">
        <v>31</v>
      </c>
      <c r="F271" s="2">
        <v>11302</v>
      </c>
      <c r="G271" s="2">
        <f>Monthly_Growth!$C$4</f>
        <v>666198</v>
      </c>
      <c r="H271" s="5">
        <f>Monthly_Growth!$D$4</f>
        <v>-0.24016962220508867</v>
      </c>
      <c r="I271" s="15">
        <f>Yearly_Growth!$C$2</f>
        <v>5.0333827436586778E-2</v>
      </c>
      <c r="J271" s="15">
        <f>Yearly_Growth!$D$2</f>
        <v>0.03</v>
      </c>
      <c r="K271">
        <f>Sales_Per_Representative!$C$6</f>
        <v>727823</v>
      </c>
      <c r="L271">
        <f>Sales_Per_Rep_Yearly_Goal!$B$2</f>
        <v>665544.80000000005</v>
      </c>
      <c r="M271">
        <f>Sales_Per_Rep_Yearly_Goal!$C$2</f>
        <v>650000</v>
      </c>
    </row>
    <row r="272" spans="1:13" x14ac:dyDescent="0.3">
      <c r="A272" s="3">
        <v>44993</v>
      </c>
      <c r="B272">
        <f t="shared" si="4"/>
        <v>2023</v>
      </c>
      <c r="C272">
        <v>3</v>
      </c>
      <c r="D272" t="s">
        <v>7</v>
      </c>
      <c r="E272" t="s">
        <v>30</v>
      </c>
      <c r="F272" s="2">
        <v>2818</v>
      </c>
      <c r="G272" s="2">
        <f>Monthly_Growth!$C$4</f>
        <v>666198</v>
      </c>
      <c r="H272" s="5">
        <f>Monthly_Growth!$D$4</f>
        <v>-0.24016962220508867</v>
      </c>
      <c r="I272" s="15">
        <f>Yearly_Growth!$C$2</f>
        <v>5.0333827436586778E-2</v>
      </c>
      <c r="J272" s="15">
        <f>Yearly_Growth!$D$2</f>
        <v>0.03</v>
      </c>
      <c r="K272">
        <f>Sales_Per_Representative!$C$7</f>
        <v>706974</v>
      </c>
      <c r="L272">
        <f>Sales_Per_Rep_Yearly_Goal!$B$2</f>
        <v>665544.80000000005</v>
      </c>
      <c r="M272">
        <f>Sales_Per_Rep_Yearly_Goal!$C$2</f>
        <v>650000</v>
      </c>
    </row>
    <row r="273" spans="1:13" x14ac:dyDescent="0.3">
      <c r="A273" s="3">
        <v>44993</v>
      </c>
      <c r="B273">
        <f t="shared" si="4"/>
        <v>2023</v>
      </c>
      <c r="C273">
        <v>3</v>
      </c>
      <c r="D273" t="s">
        <v>12</v>
      </c>
      <c r="E273" t="s">
        <v>31</v>
      </c>
      <c r="F273" s="2">
        <v>6538</v>
      </c>
      <c r="G273" s="2">
        <f>Monthly_Growth!$C$4</f>
        <v>666198</v>
      </c>
      <c r="H273" s="5">
        <f>Monthly_Growth!$D$4</f>
        <v>-0.24016962220508867</v>
      </c>
      <c r="I273" s="15">
        <f>Yearly_Growth!$C$2</f>
        <v>5.0333827436586778E-2</v>
      </c>
      <c r="J273" s="15">
        <f>Yearly_Growth!$D$2</f>
        <v>0.03</v>
      </c>
      <c r="K273">
        <f>Sales_Per_Representative!$C$6</f>
        <v>727823</v>
      </c>
      <c r="L273">
        <f>Sales_Per_Rep_Yearly_Goal!$B$2</f>
        <v>665544.80000000005</v>
      </c>
      <c r="M273">
        <f>Sales_Per_Rep_Yearly_Goal!$C$2</f>
        <v>650000</v>
      </c>
    </row>
    <row r="274" spans="1:13" x14ac:dyDescent="0.3">
      <c r="A274" s="3">
        <v>44994</v>
      </c>
      <c r="B274">
        <f t="shared" si="4"/>
        <v>2023</v>
      </c>
      <c r="C274">
        <v>3</v>
      </c>
      <c r="D274" t="s">
        <v>14</v>
      </c>
      <c r="E274" t="s">
        <v>26</v>
      </c>
      <c r="F274" s="2">
        <v>3180</v>
      </c>
      <c r="G274" s="2">
        <f>Monthly_Growth!$C$4</f>
        <v>666198</v>
      </c>
      <c r="H274" s="5">
        <f>Monthly_Growth!$D$4</f>
        <v>-0.24016962220508867</v>
      </c>
      <c r="I274" s="15">
        <f>Yearly_Growth!$C$2</f>
        <v>5.0333827436586778E-2</v>
      </c>
      <c r="J274" s="15">
        <f>Yearly_Growth!$D$2</f>
        <v>0.03</v>
      </c>
      <c r="K274">
        <f>Sales_Per_Representative!$C$16</f>
        <v>666159</v>
      </c>
      <c r="L274">
        <f>Sales_Per_Rep_Yearly_Goal!$B$2</f>
        <v>665544.80000000005</v>
      </c>
      <c r="M274">
        <f>Sales_Per_Rep_Yearly_Goal!$C$2</f>
        <v>650000</v>
      </c>
    </row>
    <row r="275" spans="1:13" x14ac:dyDescent="0.3">
      <c r="A275" s="3">
        <v>44994</v>
      </c>
      <c r="B275">
        <f t="shared" si="4"/>
        <v>2023</v>
      </c>
      <c r="C275">
        <v>3</v>
      </c>
      <c r="D275" t="s">
        <v>23</v>
      </c>
      <c r="E275" t="s">
        <v>24</v>
      </c>
      <c r="F275" s="2">
        <v>8735</v>
      </c>
      <c r="G275" s="2">
        <f>Monthly_Growth!$C$4</f>
        <v>666198</v>
      </c>
      <c r="H275" s="5">
        <f>Monthly_Growth!$D$4</f>
        <v>-0.24016962220508867</v>
      </c>
      <c r="I275" s="15">
        <f>Yearly_Growth!$C$2</f>
        <v>5.0333827436586778E-2</v>
      </c>
      <c r="J275" s="15">
        <f>Yearly_Growth!$D$2</f>
        <v>0.03</v>
      </c>
      <c r="K275">
        <f>Sales_Per_Representative!$C$2</f>
        <v>631195</v>
      </c>
      <c r="L275">
        <f>Sales_Per_Rep_Yearly_Goal!$B$2</f>
        <v>665544.80000000005</v>
      </c>
      <c r="M275">
        <f>Sales_Per_Rep_Yearly_Goal!$C$2</f>
        <v>650000</v>
      </c>
    </row>
    <row r="276" spans="1:13" x14ac:dyDescent="0.3">
      <c r="A276" s="3">
        <v>44994</v>
      </c>
      <c r="B276">
        <f t="shared" si="4"/>
        <v>2023</v>
      </c>
      <c r="C276">
        <v>3</v>
      </c>
      <c r="D276" t="s">
        <v>25</v>
      </c>
      <c r="E276" t="s">
        <v>27</v>
      </c>
      <c r="F276" s="2">
        <v>6474</v>
      </c>
      <c r="G276" s="2">
        <f>Monthly_Growth!$C$4</f>
        <v>666198</v>
      </c>
      <c r="H276" s="5">
        <f>Monthly_Growth!$D$4</f>
        <v>-0.24016962220508867</v>
      </c>
      <c r="I276" s="15">
        <f>Yearly_Growth!$C$2</f>
        <v>5.0333827436586778E-2</v>
      </c>
      <c r="J276" s="15">
        <f>Yearly_Growth!$D$2</f>
        <v>0.03</v>
      </c>
      <c r="K276">
        <f>Sales_Per_Representative!$C$5</f>
        <v>747962</v>
      </c>
      <c r="L276">
        <f>Sales_Per_Rep_Yearly_Goal!$B$2</f>
        <v>665544.80000000005</v>
      </c>
      <c r="M276">
        <f>Sales_Per_Rep_Yearly_Goal!$C$2</f>
        <v>650000</v>
      </c>
    </row>
    <row r="277" spans="1:13" x14ac:dyDescent="0.3">
      <c r="A277" s="3">
        <v>44994</v>
      </c>
      <c r="B277">
        <f t="shared" si="4"/>
        <v>2023</v>
      </c>
      <c r="C277">
        <v>3</v>
      </c>
      <c r="D277" t="s">
        <v>25</v>
      </c>
      <c r="E277" t="s">
        <v>8</v>
      </c>
      <c r="F277" s="2">
        <v>7136</v>
      </c>
      <c r="G277" s="2">
        <f>Monthly_Growth!$C$4</f>
        <v>666198</v>
      </c>
      <c r="H277" s="5">
        <f>Monthly_Growth!$D$4</f>
        <v>-0.24016962220508867</v>
      </c>
      <c r="I277" s="15">
        <f>Yearly_Growth!$C$2</f>
        <v>5.0333827436586778E-2</v>
      </c>
      <c r="J277" s="15">
        <f>Yearly_Growth!$D$2</f>
        <v>0.03</v>
      </c>
      <c r="K277">
        <f>Sales_Per_Representative!$C$15</f>
        <v>701242</v>
      </c>
      <c r="L277">
        <f>Sales_Per_Rep_Yearly_Goal!$B$2</f>
        <v>665544.80000000005</v>
      </c>
      <c r="M277">
        <f>Sales_Per_Rep_Yearly_Goal!$C$2</f>
        <v>650000</v>
      </c>
    </row>
    <row r="278" spans="1:13" x14ac:dyDescent="0.3">
      <c r="A278" s="3">
        <v>44994</v>
      </c>
      <c r="B278">
        <f t="shared" si="4"/>
        <v>2023</v>
      </c>
      <c r="C278">
        <v>3</v>
      </c>
      <c r="D278" t="s">
        <v>7</v>
      </c>
      <c r="E278" t="s">
        <v>5</v>
      </c>
      <c r="F278" s="2">
        <v>13830</v>
      </c>
      <c r="G278" s="2">
        <f>Monthly_Growth!$C$4</f>
        <v>666198</v>
      </c>
      <c r="H278" s="5">
        <f>Monthly_Growth!$D$4</f>
        <v>-0.24016962220508867</v>
      </c>
      <c r="I278" s="15">
        <f>Yearly_Growth!$C$2</f>
        <v>5.0333827436586778E-2</v>
      </c>
      <c r="J278" s="15">
        <f>Yearly_Growth!$D$2</f>
        <v>0.03</v>
      </c>
      <c r="K278">
        <f>Sales_Per_Representative!$C$10</f>
        <v>663333</v>
      </c>
      <c r="L278">
        <f>Sales_Per_Rep_Yearly_Goal!$B$2</f>
        <v>665544.80000000005</v>
      </c>
      <c r="M278">
        <f>Sales_Per_Rep_Yearly_Goal!$C$2</f>
        <v>650000</v>
      </c>
    </row>
    <row r="279" spans="1:13" x14ac:dyDescent="0.3">
      <c r="A279" s="3">
        <v>44995</v>
      </c>
      <c r="B279">
        <f t="shared" si="4"/>
        <v>2023</v>
      </c>
      <c r="C279">
        <v>3</v>
      </c>
      <c r="D279" t="s">
        <v>12</v>
      </c>
      <c r="E279" t="s">
        <v>31</v>
      </c>
      <c r="F279" s="2">
        <v>5185</v>
      </c>
      <c r="G279" s="2">
        <f>Monthly_Growth!$C$4</f>
        <v>666198</v>
      </c>
      <c r="H279" s="5">
        <f>Monthly_Growth!$D$4</f>
        <v>-0.24016962220508867</v>
      </c>
      <c r="I279" s="15">
        <f>Yearly_Growth!$C$2</f>
        <v>5.0333827436586778E-2</v>
      </c>
      <c r="J279" s="15">
        <f>Yearly_Growth!$D$2</f>
        <v>0.03</v>
      </c>
      <c r="K279">
        <f>Sales_Per_Representative!$C$6</f>
        <v>727823</v>
      </c>
      <c r="L279">
        <f>Sales_Per_Rep_Yearly_Goal!$B$2</f>
        <v>665544.80000000005</v>
      </c>
      <c r="M279">
        <f>Sales_Per_Rep_Yearly_Goal!$C$2</f>
        <v>650000</v>
      </c>
    </row>
    <row r="280" spans="1:13" x14ac:dyDescent="0.3">
      <c r="A280" s="3">
        <v>44996</v>
      </c>
      <c r="B280">
        <f t="shared" si="4"/>
        <v>2023</v>
      </c>
      <c r="C280">
        <v>3</v>
      </c>
      <c r="D280" t="s">
        <v>23</v>
      </c>
      <c r="E280" t="s">
        <v>24</v>
      </c>
      <c r="F280" s="2">
        <v>6343</v>
      </c>
      <c r="G280" s="2">
        <f>Monthly_Growth!$C$4</f>
        <v>666198</v>
      </c>
      <c r="H280" s="5">
        <f>Monthly_Growth!$D$4</f>
        <v>-0.24016962220508867</v>
      </c>
      <c r="I280" s="15">
        <f>Yearly_Growth!$C$2</f>
        <v>5.0333827436586778E-2</v>
      </c>
      <c r="J280" s="15">
        <f>Yearly_Growth!$D$2</f>
        <v>0.03</v>
      </c>
      <c r="K280">
        <f>Sales_Per_Representative!$C$2</f>
        <v>631195</v>
      </c>
      <c r="L280">
        <f>Sales_Per_Rep_Yearly_Goal!$B$2</f>
        <v>665544.80000000005</v>
      </c>
      <c r="M280">
        <f>Sales_Per_Rep_Yearly_Goal!$C$2</f>
        <v>650000</v>
      </c>
    </row>
    <row r="281" spans="1:13" x14ac:dyDescent="0.3">
      <c r="A281" s="3">
        <v>44996</v>
      </c>
      <c r="B281">
        <f t="shared" si="4"/>
        <v>2023</v>
      </c>
      <c r="C281">
        <v>3</v>
      </c>
      <c r="D281" t="s">
        <v>7</v>
      </c>
      <c r="E281" t="s">
        <v>18</v>
      </c>
      <c r="F281" s="2">
        <v>5462</v>
      </c>
      <c r="G281" s="2">
        <f>Monthly_Growth!$C$4</f>
        <v>666198</v>
      </c>
      <c r="H281" s="5">
        <f>Monthly_Growth!$D$4</f>
        <v>-0.24016962220508867</v>
      </c>
      <c r="I281" s="15">
        <f>Yearly_Growth!$C$2</f>
        <v>5.0333827436586778E-2</v>
      </c>
      <c r="J281" s="15">
        <f>Yearly_Growth!$D$2</f>
        <v>0.03</v>
      </c>
      <c r="K281">
        <f>Sales_Per_Representative!$C$9</f>
        <v>550835</v>
      </c>
      <c r="L281">
        <f>Sales_Per_Rep_Yearly_Goal!$B$2</f>
        <v>665544.80000000005</v>
      </c>
      <c r="M281">
        <f>Sales_Per_Rep_Yearly_Goal!$C$2</f>
        <v>650000</v>
      </c>
    </row>
    <row r="282" spans="1:13" x14ac:dyDescent="0.3">
      <c r="A282" s="3">
        <v>44996</v>
      </c>
      <c r="B282">
        <f t="shared" si="4"/>
        <v>2023</v>
      </c>
      <c r="C282">
        <v>3</v>
      </c>
      <c r="D282" t="s">
        <v>28</v>
      </c>
      <c r="E282" t="s">
        <v>20</v>
      </c>
      <c r="F282" s="2">
        <v>10643</v>
      </c>
      <c r="G282" s="2">
        <f>Monthly_Growth!$C$4</f>
        <v>666198</v>
      </c>
      <c r="H282" s="5">
        <f>Monthly_Growth!$D$4</f>
        <v>-0.24016962220508867</v>
      </c>
      <c r="I282" s="15">
        <f>Yearly_Growth!$C$2</f>
        <v>5.0333827436586778E-2</v>
      </c>
      <c r="J282" s="15">
        <f>Yearly_Growth!$D$2</f>
        <v>0.03</v>
      </c>
      <c r="K282">
        <f>Sales_Per_Representative!$C$14</f>
        <v>675530</v>
      </c>
      <c r="L282">
        <f>Sales_Per_Rep_Yearly_Goal!$B$2</f>
        <v>665544.80000000005</v>
      </c>
      <c r="M282">
        <f>Sales_Per_Rep_Yearly_Goal!$C$2</f>
        <v>650000</v>
      </c>
    </row>
    <row r="283" spans="1:13" x14ac:dyDescent="0.3">
      <c r="A283" s="3">
        <v>44996</v>
      </c>
      <c r="B283">
        <f t="shared" si="4"/>
        <v>2023</v>
      </c>
      <c r="C283">
        <v>3</v>
      </c>
      <c r="D283" t="s">
        <v>17</v>
      </c>
      <c r="E283" t="s">
        <v>30</v>
      </c>
      <c r="F283" s="2">
        <v>8520</v>
      </c>
      <c r="G283" s="2">
        <f>Monthly_Growth!$C$4</f>
        <v>666198</v>
      </c>
      <c r="H283" s="5">
        <f>Monthly_Growth!$D$4</f>
        <v>-0.24016962220508867</v>
      </c>
      <c r="I283" s="15">
        <f>Yearly_Growth!$C$2</f>
        <v>5.0333827436586778E-2</v>
      </c>
      <c r="J283" s="15">
        <f>Yearly_Growth!$D$2</f>
        <v>0.03</v>
      </c>
      <c r="K283">
        <f>Sales_Per_Representative!$C$7</f>
        <v>706974</v>
      </c>
      <c r="L283">
        <f>Sales_Per_Rep_Yearly_Goal!$B$2</f>
        <v>665544.80000000005</v>
      </c>
      <c r="M283">
        <f>Sales_Per_Rep_Yearly_Goal!$C$2</f>
        <v>650000</v>
      </c>
    </row>
    <row r="284" spans="1:13" x14ac:dyDescent="0.3">
      <c r="A284" s="3">
        <v>44997</v>
      </c>
      <c r="B284">
        <f t="shared" si="4"/>
        <v>2023</v>
      </c>
      <c r="C284">
        <v>3</v>
      </c>
      <c r="D284" t="s">
        <v>14</v>
      </c>
      <c r="E284" t="s">
        <v>20</v>
      </c>
      <c r="F284" s="2">
        <v>10599</v>
      </c>
      <c r="G284" s="2">
        <f>Monthly_Growth!$C$4</f>
        <v>666198</v>
      </c>
      <c r="H284" s="5">
        <f>Monthly_Growth!$D$4</f>
        <v>-0.24016962220508867</v>
      </c>
      <c r="I284" s="15">
        <f>Yearly_Growth!$C$2</f>
        <v>5.0333827436586778E-2</v>
      </c>
      <c r="J284" s="15">
        <f>Yearly_Growth!$D$2</f>
        <v>0.03</v>
      </c>
      <c r="K284">
        <f>Sales_Per_Representative!$C$14</f>
        <v>675530</v>
      </c>
      <c r="L284">
        <f>Sales_Per_Rep_Yearly_Goal!$B$2</f>
        <v>665544.80000000005</v>
      </c>
      <c r="M284">
        <f>Sales_Per_Rep_Yearly_Goal!$C$2</f>
        <v>650000</v>
      </c>
    </row>
    <row r="285" spans="1:13" x14ac:dyDescent="0.3">
      <c r="A285" s="3">
        <v>44997</v>
      </c>
      <c r="B285">
        <f t="shared" si="4"/>
        <v>2023</v>
      </c>
      <c r="C285">
        <v>3</v>
      </c>
      <c r="D285" t="s">
        <v>19</v>
      </c>
      <c r="E285" t="s">
        <v>26</v>
      </c>
      <c r="F285" s="2">
        <v>5078</v>
      </c>
      <c r="G285" s="2">
        <f>Monthly_Growth!$C$4</f>
        <v>666198</v>
      </c>
      <c r="H285" s="5">
        <f>Monthly_Growth!$D$4</f>
        <v>-0.24016962220508867</v>
      </c>
      <c r="I285" s="15">
        <f>Yearly_Growth!$C$2</f>
        <v>5.0333827436586778E-2</v>
      </c>
      <c r="J285" s="15">
        <f>Yearly_Growth!$D$2</f>
        <v>0.03</v>
      </c>
      <c r="K285">
        <f>Sales_Per_Representative!$C$16</f>
        <v>666159</v>
      </c>
      <c r="L285">
        <f>Sales_Per_Rep_Yearly_Goal!$B$2</f>
        <v>665544.80000000005</v>
      </c>
      <c r="M285">
        <f>Sales_Per_Rep_Yearly_Goal!$C$2</f>
        <v>650000</v>
      </c>
    </row>
    <row r="286" spans="1:13" x14ac:dyDescent="0.3">
      <c r="A286" s="3">
        <v>44997</v>
      </c>
      <c r="B286">
        <f t="shared" si="4"/>
        <v>2023</v>
      </c>
      <c r="C286">
        <v>3</v>
      </c>
      <c r="D286" t="s">
        <v>19</v>
      </c>
      <c r="E286" t="s">
        <v>8</v>
      </c>
      <c r="F286" s="2">
        <v>10598</v>
      </c>
      <c r="G286" s="2">
        <f>Monthly_Growth!$C$4</f>
        <v>666198</v>
      </c>
      <c r="H286" s="5">
        <f>Monthly_Growth!$D$4</f>
        <v>-0.24016962220508867</v>
      </c>
      <c r="I286" s="15">
        <f>Yearly_Growth!$C$2</f>
        <v>5.0333827436586778E-2</v>
      </c>
      <c r="J286" s="15">
        <f>Yearly_Growth!$D$2</f>
        <v>0.03</v>
      </c>
      <c r="K286">
        <f>Sales_Per_Representative!$C$15</f>
        <v>701242</v>
      </c>
      <c r="L286">
        <f>Sales_Per_Rep_Yearly_Goal!$B$2</f>
        <v>665544.80000000005</v>
      </c>
      <c r="M286">
        <f>Sales_Per_Rep_Yearly_Goal!$C$2</f>
        <v>650000</v>
      </c>
    </row>
    <row r="287" spans="1:13" x14ac:dyDescent="0.3">
      <c r="A287" s="3">
        <v>44997</v>
      </c>
      <c r="B287">
        <f t="shared" si="4"/>
        <v>2023</v>
      </c>
      <c r="C287">
        <v>3</v>
      </c>
      <c r="D287" t="s">
        <v>28</v>
      </c>
      <c r="E287" t="s">
        <v>26</v>
      </c>
      <c r="F287" s="2">
        <v>1745</v>
      </c>
      <c r="G287" s="2">
        <f>Monthly_Growth!$C$4</f>
        <v>666198</v>
      </c>
      <c r="H287" s="5">
        <f>Monthly_Growth!$D$4</f>
        <v>-0.24016962220508867</v>
      </c>
      <c r="I287" s="15">
        <f>Yearly_Growth!$C$2</f>
        <v>5.0333827436586778E-2</v>
      </c>
      <c r="J287" s="15">
        <f>Yearly_Growth!$D$2</f>
        <v>0.03</v>
      </c>
      <c r="K287">
        <f>Sales_Per_Representative!$C$16</f>
        <v>666159</v>
      </c>
      <c r="L287">
        <f>Sales_Per_Rep_Yearly_Goal!$B$2</f>
        <v>665544.80000000005</v>
      </c>
      <c r="M287">
        <f>Sales_Per_Rep_Yearly_Goal!$C$2</f>
        <v>650000</v>
      </c>
    </row>
    <row r="288" spans="1:13" x14ac:dyDescent="0.3">
      <c r="A288" s="3">
        <v>44997</v>
      </c>
      <c r="B288">
        <f t="shared" si="4"/>
        <v>2023</v>
      </c>
      <c r="C288">
        <v>3</v>
      </c>
      <c r="D288" t="s">
        <v>17</v>
      </c>
      <c r="E288" t="s">
        <v>8</v>
      </c>
      <c r="F288" s="2">
        <v>13593</v>
      </c>
      <c r="G288" s="2">
        <f>Monthly_Growth!$C$4</f>
        <v>666198</v>
      </c>
      <c r="H288" s="5">
        <f>Monthly_Growth!$D$4</f>
        <v>-0.24016962220508867</v>
      </c>
      <c r="I288" s="15">
        <f>Yearly_Growth!$C$2</f>
        <v>5.0333827436586778E-2</v>
      </c>
      <c r="J288" s="15">
        <f>Yearly_Growth!$D$2</f>
        <v>0.03</v>
      </c>
      <c r="K288">
        <f>Sales_Per_Representative!$C$15</f>
        <v>701242</v>
      </c>
      <c r="L288">
        <f>Sales_Per_Rep_Yearly_Goal!$B$2</f>
        <v>665544.80000000005</v>
      </c>
      <c r="M288">
        <f>Sales_Per_Rep_Yearly_Goal!$C$2</f>
        <v>650000</v>
      </c>
    </row>
    <row r="289" spans="1:13" x14ac:dyDescent="0.3">
      <c r="A289" s="3">
        <v>44998</v>
      </c>
      <c r="B289">
        <f t="shared" si="4"/>
        <v>2023</v>
      </c>
      <c r="C289">
        <v>3</v>
      </c>
      <c r="D289" t="s">
        <v>25</v>
      </c>
      <c r="E289" t="s">
        <v>22</v>
      </c>
      <c r="F289" s="2">
        <v>2994</v>
      </c>
      <c r="G289" s="2">
        <f>Monthly_Growth!$C$4</f>
        <v>666198</v>
      </c>
      <c r="H289" s="5">
        <f>Monthly_Growth!$D$4</f>
        <v>-0.24016962220508867</v>
      </c>
      <c r="I289" s="15">
        <f>Yearly_Growth!$C$2</f>
        <v>5.0333827436586778E-2</v>
      </c>
      <c r="J289" s="15">
        <f>Yearly_Growth!$D$2</f>
        <v>0.03</v>
      </c>
      <c r="K289">
        <f>Sales_Per_Representative!$C$8</f>
        <v>649456</v>
      </c>
      <c r="L289">
        <f>Sales_Per_Rep_Yearly_Goal!$B$2</f>
        <v>665544.80000000005</v>
      </c>
      <c r="M289">
        <f>Sales_Per_Rep_Yearly_Goal!$C$2</f>
        <v>650000</v>
      </c>
    </row>
    <row r="290" spans="1:13" x14ac:dyDescent="0.3">
      <c r="A290" s="3">
        <v>44999</v>
      </c>
      <c r="B290">
        <f t="shared" si="4"/>
        <v>2023</v>
      </c>
      <c r="C290">
        <v>3</v>
      </c>
      <c r="D290" t="s">
        <v>14</v>
      </c>
      <c r="E290" t="s">
        <v>8</v>
      </c>
      <c r="F290" s="2">
        <v>4626</v>
      </c>
      <c r="G290" s="2">
        <f>Monthly_Growth!$C$4</f>
        <v>666198</v>
      </c>
      <c r="H290" s="5">
        <f>Monthly_Growth!$D$4</f>
        <v>-0.24016962220508867</v>
      </c>
      <c r="I290" s="15">
        <f>Yearly_Growth!$C$2</f>
        <v>5.0333827436586778E-2</v>
      </c>
      <c r="J290" s="15">
        <f>Yearly_Growth!$D$2</f>
        <v>0.03</v>
      </c>
      <c r="K290">
        <f>Sales_Per_Representative!$C$15</f>
        <v>701242</v>
      </c>
      <c r="L290">
        <f>Sales_Per_Rep_Yearly_Goal!$B$2</f>
        <v>665544.80000000005</v>
      </c>
      <c r="M290">
        <f>Sales_Per_Rep_Yearly_Goal!$C$2</f>
        <v>650000</v>
      </c>
    </row>
    <row r="291" spans="1:13" x14ac:dyDescent="0.3">
      <c r="A291" s="3">
        <v>44999</v>
      </c>
      <c r="B291">
        <f t="shared" si="4"/>
        <v>2023</v>
      </c>
      <c r="C291">
        <v>3</v>
      </c>
      <c r="D291" t="s">
        <v>25</v>
      </c>
      <c r="E291" t="s">
        <v>29</v>
      </c>
      <c r="F291" s="2">
        <v>12369</v>
      </c>
      <c r="G291" s="2">
        <f>Monthly_Growth!$C$4</f>
        <v>666198</v>
      </c>
      <c r="H291" s="5">
        <f>Monthly_Growth!$D$4</f>
        <v>-0.24016962220508867</v>
      </c>
      <c r="I291" s="15">
        <f>Yearly_Growth!$C$2</f>
        <v>5.0333827436586778E-2</v>
      </c>
      <c r="J291" s="15">
        <f>Yearly_Growth!$D$2</f>
        <v>0.03</v>
      </c>
      <c r="K291">
        <f>Sales_Per_Representative!$C$13</f>
        <v>621548</v>
      </c>
      <c r="L291">
        <f>Sales_Per_Rep_Yearly_Goal!$B$2</f>
        <v>665544.80000000005</v>
      </c>
      <c r="M291">
        <f>Sales_Per_Rep_Yearly_Goal!$C$2</f>
        <v>650000</v>
      </c>
    </row>
    <row r="292" spans="1:13" x14ac:dyDescent="0.3">
      <c r="A292" s="3">
        <v>44999</v>
      </c>
      <c r="B292">
        <f t="shared" si="4"/>
        <v>2023</v>
      </c>
      <c r="C292">
        <v>3</v>
      </c>
      <c r="D292" t="s">
        <v>28</v>
      </c>
      <c r="E292" t="s">
        <v>24</v>
      </c>
      <c r="F292" s="2">
        <v>7062</v>
      </c>
      <c r="G292" s="2">
        <f>Monthly_Growth!$C$4</f>
        <v>666198</v>
      </c>
      <c r="H292" s="5">
        <f>Monthly_Growth!$D$4</f>
        <v>-0.24016962220508867</v>
      </c>
      <c r="I292" s="15">
        <f>Yearly_Growth!$C$2</f>
        <v>5.0333827436586778E-2</v>
      </c>
      <c r="J292" s="15">
        <f>Yearly_Growth!$D$2</f>
        <v>0.03</v>
      </c>
      <c r="K292">
        <f>Sales_Per_Representative!$C$2</f>
        <v>631195</v>
      </c>
      <c r="L292">
        <f>Sales_Per_Rep_Yearly_Goal!$B$2</f>
        <v>665544.80000000005</v>
      </c>
      <c r="M292">
        <f>Sales_Per_Rep_Yearly_Goal!$C$2</f>
        <v>650000</v>
      </c>
    </row>
    <row r="293" spans="1:13" x14ac:dyDescent="0.3">
      <c r="A293" s="3">
        <v>44999</v>
      </c>
      <c r="B293">
        <f t="shared" si="4"/>
        <v>2023</v>
      </c>
      <c r="C293">
        <v>3</v>
      </c>
      <c r="D293" t="s">
        <v>12</v>
      </c>
      <c r="E293" t="s">
        <v>26</v>
      </c>
      <c r="F293" s="2">
        <v>2455</v>
      </c>
      <c r="G293" s="2">
        <f>Monthly_Growth!$C$4</f>
        <v>666198</v>
      </c>
      <c r="H293" s="5">
        <f>Monthly_Growth!$D$4</f>
        <v>-0.24016962220508867</v>
      </c>
      <c r="I293" s="15">
        <f>Yearly_Growth!$C$2</f>
        <v>5.0333827436586778E-2</v>
      </c>
      <c r="J293" s="15">
        <f>Yearly_Growth!$D$2</f>
        <v>0.03</v>
      </c>
      <c r="K293">
        <f>Sales_Per_Representative!$C$16</f>
        <v>666159</v>
      </c>
      <c r="L293">
        <f>Sales_Per_Rep_Yearly_Goal!$B$2</f>
        <v>665544.80000000005</v>
      </c>
      <c r="M293">
        <f>Sales_Per_Rep_Yearly_Goal!$C$2</f>
        <v>650000</v>
      </c>
    </row>
    <row r="294" spans="1:13" x14ac:dyDescent="0.3">
      <c r="A294" s="3">
        <v>45000</v>
      </c>
      <c r="B294">
        <f t="shared" si="4"/>
        <v>2023</v>
      </c>
      <c r="C294">
        <v>3</v>
      </c>
      <c r="D294" t="s">
        <v>7</v>
      </c>
      <c r="E294" t="s">
        <v>30</v>
      </c>
      <c r="F294" s="2">
        <v>13230</v>
      </c>
      <c r="G294" s="2">
        <f>Monthly_Growth!$C$4</f>
        <v>666198</v>
      </c>
      <c r="H294" s="5">
        <f>Monthly_Growth!$D$4</f>
        <v>-0.24016962220508867</v>
      </c>
      <c r="I294" s="15">
        <f>Yearly_Growth!$C$2</f>
        <v>5.0333827436586778E-2</v>
      </c>
      <c r="J294" s="15">
        <f>Yearly_Growth!$D$2</f>
        <v>0.03</v>
      </c>
      <c r="K294">
        <f>Sales_Per_Representative!$C$7</f>
        <v>706974</v>
      </c>
      <c r="L294">
        <f>Sales_Per_Rep_Yearly_Goal!$B$2</f>
        <v>665544.80000000005</v>
      </c>
      <c r="M294">
        <f>Sales_Per_Rep_Yearly_Goal!$C$2</f>
        <v>650000</v>
      </c>
    </row>
    <row r="295" spans="1:13" x14ac:dyDescent="0.3">
      <c r="A295" s="3">
        <v>45000</v>
      </c>
      <c r="B295">
        <f t="shared" si="4"/>
        <v>2023</v>
      </c>
      <c r="C295">
        <v>3</v>
      </c>
      <c r="D295" t="s">
        <v>28</v>
      </c>
      <c r="E295" t="s">
        <v>20</v>
      </c>
      <c r="F295" s="2">
        <v>9206</v>
      </c>
      <c r="G295" s="2">
        <f>Monthly_Growth!$C$4</f>
        <v>666198</v>
      </c>
      <c r="H295" s="5">
        <f>Monthly_Growth!$D$4</f>
        <v>-0.24016962220508867</v>
      </c>
      <c r="I295" s="15">
        <f>Yearly_Growth!$C$2</f>
        <v>5.0333827436586778E-2</v>
      </c>
      <c r="J295" s="15">
        <f>Yearly_Growth!$D$2</f>
        <v>0.03</v>
      </c>
      <c r="K295">
        <f>Sales_Per_Representative!$C$14</f>
        <v>675530</v>
      </c>
      <c r="L295">
        <f>Sales_Per_Rep_Yearly_Goal!$B$2</f>
        <v>665544.80000000005</v>
      </c>
      <c r="M295">
        <f>Sales_Per_Rep_Yearly_Goal!$C$2</f>
        <v>650000</v>
      </c>
    </row>
    <row r="296" spans="1:13" x14ac:dyDescent="0.3">
      <c r="A296" s="3">
        <v>45000</v>
      </c>
      <c r="B296">
        <f t="shared" si="4"/>
        <v>2023</v>
      </c>
      <c r="C296">
        <v>3</v>
      </c>
      <c r="D296" t="s">
        <v>12</v>
      </c>
      <c r="E296" t="s">
        <v>32</v>
      </c>
      <c r="F296" s="2">
        <v>13584</v>
      </c>
      <c r="G296" s="2">
        <f>Monthly_Growth!$C$4</f>
        <v>666198</v>
      </c>
      <c r="H296" s="5">
        <f>Monthly_Growth!$D$4</f>
        <v>-0.24016962220508867</v>
      </c>
      <c r="I296" s="15">
        <f>Yearly_Growth!$C$2</f>
        <v>5.0333827436586778E-2</v>
      </c>
      <c r="J296" s="15">
        <f>Yearly_Growth!$D$2</f>
        <v>0.03</v>
      </c>
      <c r="K296">
        <f>Sales_Per_Representative!$C$3</f>
        <v>762157</v>
      </c>
      <c r="L296">
        <f>Sales_Per_Rep_Yearly_Goal!$B$2</f>
        <v>665544.80000000005</v>
      </c>
      <c r="M296">
        <f>Sales_Per_Rep_Yearly_Goal!$C$2</f>
        <v>650000</v>
      </c>
    </row>
    <row r="297" spans="1:13" x14ac:dyDescent="0.3">
      <c r="A297" s="3">
        <v>45001</v>
      </c>
      <c r="B297">
        <f t="shared" si="4"/>
        <v>2023</v>
      </c>
      <c r="C297">
        <v>3</v>
      </c>
      <c r="D297" t="s">
        <v>19</v>
      </c>
      <c r="E297" t="s">
        <v>18</v>
      </c>
      <c r="F297" s="2">
        <v>4565</v>
      </c>
      <c r="G297" s="2">
        <f>Monthly_Growth!$C$4</f>
        <v>666198</v>
      </c>
      <c r="H297" s="5">
        <f>Monthly_Growth!$D$4</f>
        <v>-0.24016962220508867</v>
      </c>
      <c r="I297" s="15">
        <f>Yearly_Growth!$C$2</f>
        <v>5.0333827436586778E-2</v>
      </c>
      <c r="J297" s="15">
        <f>Yearly_Growth!$D$2</f>
        <v>0.03</v>
      </c>
      <c r="K297">
        <f>Sales_Per_Representative!$C$9</f>
        <v>550835</v>
      </c>
      <c r="L297">
        <f>Sales_Per_Rep_Yearly_Goal!$B$2</f>
        <v>665544.80000000005</v>
      </c>
      <c r="M297">
        <f>Sales_Per_Rep_Yearly_Goal!$C$2</f>
        <v>650000</v>
      </c>
    </row>
    <row r="298" spans="1:13" x14ac:dyDescent="0.3">
      <c r="A298" s="3">
        <v>45002</v>
      </c>
      <c r="B298">
        <f t="shared" si="4"/>
        <v>2023</v>
      </c>
      <c r="C298">
        <v>3</v>
      </c>
      <c r="D298" t="s">
        <v>7</v>
      </c>
      <c r="E298" t="s">
        <v>27</v>
      </c>
      <c r="F298" s="2">
        <v>4790</v>
      </c>
      <c r="G298" s="2">
        <f>Monthly_Growth!$C$4</f>
        <v>666198</v>
      </c>
      <c r="H298" s="5">
        <f>Monthly_Growth!$D$4</f>
        <v>-0.24016962220508867</v>
      </c>
      <c r="I298" s="15">
        <f>Yearly_Growth!$C$2</f>
        <v>5.0333827436586778E-2</v>
      </c>
      <c r="J298" s="15">
        <f>Yearly_Growth!$D$2</f>
        <v>0.03</v>
      </c>
      <c r="K298">
        <f>Sales_Per_Representative!$C$5</f>
        <v>747962</v>
      </c>
      <c r="L298">
        <f>Sales_Per_Rep_Yearly_Goal!$B$2</f>
        <v>665544.80000000005</v>
      </c>
      <c r="M298">
        <f>Sales_Per_Rep_Yearly_Goal!$C$2</f>
        <v>650000</v>
      </c>
    </row>
    <row r="299" spans="1:13" x14ac:dyDescent="0.3">
      <c r="A299" s="3">
        <v>45003</v>
      </c>
      <c r="B299">
        <f t="shared" si="4"/>
        <v>2023</v>
      </c>
      <c r="C299">
        <v>3</v>
      </c>
      <c r="D299" t="s">
        <v>23</v>
      </c>
      <c r="E299" t="s">
        <v>5</v>
      </c>
      <c r="F299" s="2">
        <v>11758</v>
      </c>
      <c r="G299" s="2">
        <f>Monthly_Growth!$C$4</f>
        <v>666198</v>
      </c>
      <c r="H299" s="5">
        <f>Monthly_Growth!$D$4</f>
        <v>-0.24016962220508867</v>
      </c>
      <c r="I299" s="15">
        <f>Yearly_Growth!$C$2</f>
        <v>5.0333827436586778E-2</v>
      </c>
      <c r="J299" s="15">
        <f>Yearly_Growth!$D$2</f>
        <v>0.03</v>
      </c>
      <c r="K299">
        <f>Sales_Per_Representative!$C$10</f>
        <v>663333</v>
      </c>
      <c r="L299">
        <f>Sales_Per_Rep_Yearly_Goal!$B$2</f>
        <v>665544.80000000005</v>
      </c>
      <c r="M299">
        <f>Sales_Per_Rep_Yearly_Goal!$C$2</f>
        <v>650000</v>
      </c>
    </row>
    <row r="300" spans="1:13" x14ac:dyDescent="0.3">
      <c r="A300" s="3">
        <v>45003</v>
      </c>
      <c r="B300">
        <f t="shared" si="4"/>
        <v>2023</v>
      </c>
      <c r="C300">
        <v>3</v>
      </c>
      <c r="D300" t="s">
        <v>28</v>
      </c>
      <c r="E300" t="s">
        <v>15</v>
      </c>
      <c r="F300" s="2">
        <v>2079</v>
      </c>
      <c r="G300" s="2">
        <f>Monthly_Growth!$C$4</f>
        <v>666198</v>
      </c>
      <c r="H300" s="5">
        <f>Monthly_Growth!$D$4</f>
        <v>-0.24016962220508867</v>
      </c>
      <c r="I300" s="15">
        <f>Yearly_Growth!$C$2</f>
        <v>5.0333827436586778E-2</v>
      </c>
      <c r="J300" s="15">
        <f>Yearly_Growth!$D$2</f>
        <v>0.03</v>
      </c>
      <c r="K300">
        <f>Sales_Per_Representative!$C$12</f>
        <v>656359</v>
      </c>
      <c r="L300">
        <f>Sales_Per_Rep_Yearly_Goal!$B$2</f>
        <v>665544.80000000005</v>
      </c>
      <c r="M300">
        <f>Sales_Per_Rep_Yearly_Goal!$C$2</f>
        <v>650000</v>
      </c>
    </row>
    <row r="301" spans="1:13" x14ac:dyDescent="0.3">
      <c r="A301" s="3">
        <v>45003</v>
      </c>
      <c r="B301">
        <f t="shared" si="4"/>
        <v>2023</v>
      </c>
      <c r="C301">
        <v>3</v>
      </c>
      <c r="D301" t="s">
        <v>12</v>
      </c>
      <c r="E301" t="s">
        <v>32</v>
      </c>
      <c r="F301" s="2">
        <v>10684</v>
      </c>
      <c r="G301" s="2">
        <f>Monthly_Growth!$C$4</f>
        <v>666198</v>
      </c>
      <c r="H301" s="5">
        <f>Monthly_Growth!$D$4</f>
        <v>-0.24016962220508867</v>
      </c>
      <c r="I301" s="15">
        <f>Yearly_Growth!$C$2</f>
        <v>5.0333827436586778E-2</v>
      </c>
      <c r="J301" s="15">
        <f>Yearly_Growth!$D$2</f>
        <v>0.03</v>
      </c>
      <c r="K301">
        <f>Sales_Per_Representative!$C$3</f>
        <v>762157</v>
      </c>
      <c r="L301">
        <f>Sales_Per_Rep_Yearly_Goal!$B$2</f>
        <v>665544.80000000005</v>
      </c>
      <c r="M301">
        <f>Sales_Per_Rep_Yearly_Goal!$C$2</f>
        <v>650000</v>
      </c>
    </row>
    <row r="302" spans="1:13" x14ac:dyDescent="0.3">
      <c r="A302" s="3">
        <v>45003</v>
      </c>
      <c r="B302">
        <f t="shared" si="4"/>
        <v>2023</v>
      </c>
      <c r="C302">
        <v>3</v>
      </c>
      <c r="D302" t="s">
        <v>12</v>
      </c>
      <c r="E302" t="s">
        <v>27</v>
      </c>
      <c r="F302" s="2">
        <v>10114</v>
      </c>
      <c r="G302" s="2">
        <f>Monthly_Growth!$C$4</f>
        <v>666198</v>
      </c>
      <c r="H302" s="5">
        <f>Monthly_Growth!$D$4</f>
        <v>-0.24016962220508867</v>
      </c>
      <c r="I302" s="15">
        <f>Yearly_Growth!$C$2</f>
        <v>5.0333827436586778E-2</v>
      </c>
      <c r="J302" s="15">
        <f>Yearly_Growth!$D$2</f>
        <v>0.03</v>
      </c>
      <c r="K302">
        <f>Sales_Per_Representative!$C$5</f>
        <v>747962</v>
      </c>
      <c r="L302">
        <f>Sales_Per_Rep_Yearly_Goal!$B$2</f>
        <v>665544.80000000005</v>
      </c>
      <c r="M302">
        <f>Sales_Per_Rep_Yearly_Goal!$C$2</f>
        <v>650000</v>
      </c>
    </row>
    <row r="303" spans="1:13" x14ac:dyDescent="0.3">
      <c r="A303" s="3">
        <v>45004</v>
      </c>
      <c r="B303">
        <f t="shared" si="4"/>
        <v>2023</v>
      </c>
      <c r="C303">
        <v>3</v>
      </c>
      <c r="D303" t="s">
        <v>19</v>
      </c>
      <c r="E303" t="s">
        <v>31</v>
      </c>
      <c r="F303" s="2">
        <v>4756</v>
      </c>
      <c r="G303" s="2">
        <f>Monthly_Growth!$C$4</f>
        <v>666198</v>
      </c>
      <c r="H303" s="5">
        <f>Monthly_Growth!$D$4</f>
        <v>-0.24016962220508867</v>
      </c>
      <c r="I303" s="15">
        <f>Yearly_Growth!$C$2</f>
        <v>5.0333827436586778E-2</v>
      </c>
      <c r="J303" s="15">
        <f>Yearly_Growth!$D$2</f>
        <v>0.03</v>
      </c>
      <c r="K303">
        <f>Sales_Per_Representative!$C$6</f>
        <v>727823</v>
      </c>
      <c r="L303">
        <f>Sales_Per_Rep_Yearly_Goal!$B$2</f>
        <v>665544.80000000005</v>
      </c>
      <c r="M303">
        <f>Sales_Per_Rep_Yearly_Goal!$C$2</f>
        <v>650000</v>
      </c>
    </row>
    <row r="304" spans="1:13" x14ac:dyDescent="0.3">
      <c r="A304" s="3">
        <v>45004</v>
      </c>
      <c r="B304">
        <f t="shared" si="4"/>
        <v>2023</v>
      </c>
      <c r="C304">
        <v>3</v>
      </c>
      <c r="D304" t="s">
        <v>23</v>
      </c>
      <c r="E304" t="s">
        <v>8</v>
      </c>
      <c r="F304" s="2">
        <v>12188</v>
      </c>
      <c r="G304" s="2">
        <f>Monthly_Growth!$C$4</f>
        <v>666198</v>
      </c>
      <c r="H304" s="5">
        <f>Monthly_Growth!$D$4</f>
        <v>-0.24016962220508867</v>
      </c>
      <c r="I304" s="15">
        <f>Yearly_Growth!$C$2</f>
        <v>5.0333827436586778E-2</v>
      </c>
      <c r="J304" s="15">
        <f>Yearly_Growth!$D$2</f>
        <v>0.03</v>
      </c>
      <c r="K304">
        <f>Sales_Per_Representative!$C$15</f>
        <v>701242</v>
      </c>
      <c r="L304">
        <f>Sales_Per_Rep_Yearly_Goal!$B$2</f>
        <v>665544.80000000005</v>
      </c>
      <c r="M304">
        <f>Sales_Per_Rep_Yearly_Goal!$C$2</f>
        <v>650000</v>
      </c>
    </row>
    <row r="305" spans="1:13" x14ac:dyDescent="0.3">
      <c r="A305" s="3">
        <v>45004</v>
      </c>
      <c r="B305">
        <f t="shared" si="4"/>
        <v>2023</v>
      </c>
      <c r="C305">
        <v>3</v>
      </c>
      <c r="D305" t="s">
        <v>12</v>
      </c>
      <c r="E305" t="s">
        <v>30</v>
      </c>
      <c r="F305" s="2">
        <v>2628</v>
      </c>
      <c r="G305" s="2">
        <f>Monthly_Growth!$C$4</f>
        <v>666198</v>
      </c>
      <c r="H305" s="5">
        <f>Monthly_Growth!$D$4</f>
        <v>-0.24016962220508867</v>
      </c>
      <c r="I305" s="15">
        <f>Yearly_Growth!$C$2</f>
        <v>5.0333827436586778E-2</v>
      </c>
      <c r="J305" s="15">
        <f>Yearly_Growth!$D$2</f>
        <v>0.03</v>
      </c>
      <c r="K305">
        <f>Sales_Per_Representative!$C$7</f>
        <v>706974</v>
      </c>
      <c r="L305">
        <f>Sales_Per_Rep_Yearly_Goal!$B$2</f>
        <v>665544.80000000005</v>
      </c>
      <c r="M305">
        <f>Sales_Per_Rep_Yearly_Goal!$C$2</f>
        <v>650000</v>
      </c>
    </row>
    <row r="306" spans="1:13" x14ac:dyDescent="0.3">
      <c r="A306" s="3">
        <v>45005</v>
      </c>
      <c r="B306">
        <f t="shared" si="4"/>
        <v>2023</v>
      </c>
      <c r="C306">
        <v>3</v>
      </c>
      <c r="D306" t="s">
        <v>19</v>
      </c>
      <c r="E306" t="s">
        <v>18</v>
      </c>
      <c r="F306" s="2">
        <v>2704</v>
      </c>
      <c r="G306" s="2">
        <f>Monthly_Growth!$C$4</f>
        <v>666198</v>
      </c>
      <c r="H306" s="5">
        <f>Monthly_Growth!$D$4</f>
        <v>-0.24016962220508867</v>
      </c>
      <c r="I306" s="15">
        <f>Yearly_Growth!$C$2</f>
        <v>5.0333827436586778E-2</v>
      </c>
      <c r="J306" s="15">
        <f>Yearly_Growth!$D$2</f>
        <v>0.03</v>
      </c>
      <c r="K306">
        <f>Sales_Per_Representative!$C$9</f>
        <v>550835</v>
      </c>
      <c r="L306">
        <f>Sales_Per_Rep_Yearly_Goal!$B$2</f>
        <v>665544.80000000005</v>
      </c>
      <c r="M306">
        <f>Sales_Per_Rep_Yearly_Goal!$C$2</f>
        <v>650000</v>
      </c>
    </row>
    <row r="307" spans="1:13" x14ac:dyDescent="0.3">
      <c r="A307" s="3">
        <v>45005</v>
      </c>
      <c r="B307">
        <f t="shared" si="4"/>
        <v>2023</v>
      </c>
      <c r="C307">
        <v>3</v>
      </c>
      <c r="D307" t="s">
        <v>12</v>
      </c>
      <c r="E307" t="s">
        <v>29</v>
      </c>
      <c r="F307" s="2">
        <v>3973</v>
      </c>
      <c r="G307" s="2">
        <f>Monthly_Growth!$C$4</f>
        <v>666198</v>
      </c>
      <c r="H307" s="5">
        <f>Monthly_Growth!$D$4</f>
        <v>-0.24016962220508867</v>
      </c>
      <c r="I307" s="15">
        <f>Yearly_Growth!$C$2</f>
        <v>5.0333827436586778E-2</v>
      </c>
      <c r="J307" s="15">
        <f>Yearly_Growth!$D$2</f>
        <v>0.03</v>
      </c>
      <c r="K307">
        <f>Sales_Per_Representative!$C$13</f>
        <v>621548</v>
      </c>
      <c r="L307">
        <f>Sales_Per_Rep_Yearly_Goal!$B$2</f>
        <v>665544.80000000005</v>
      </c>
      <c r="M307">
        <f>Sales_Per_Rep_Yearly_Goal!$C$2</f>
        <v>650000</v>
      </c>
    </row>
    <row r="308" spans="1:13" x14ac:dyDescent="0.3">
      <c r="A308" s="3">
        <v>45006</v>
      </c>
      <c r="B308">
        <f t="shared" si="4"/>
        <v>2023</v>
      </c>
      <c r="C308">
        <v>3</v>
      </c>
      <c r="D308" t="s">
        <v>23</v>
      </c>
      <c r="E308" t="s">
        <v>22</v>
      </c>
      <c r="F308" s="2">
        <v>6131</v>
      </c>
      <c r="G308" s="2">
        <f>Monthly_Growth!$C$4</f>
        <v>666198</v>
      </c>
      <c r="H308" s="5">
        <f>Monthly_Growth!$D$4</f>
        <v>-0.24016962220508867</v>
      </c>
      <c r="I308" s="15">
        <f>Yearly_Growth!$C$2</f>
        <v>5.0333827436586778E-2</v>
      </c>
      <c r="J308" s="15">
        <f>Yearly_Growth!$D$2</f>
        <v>0.03</v>
      </c>
      <c r="K308">
        <f>Sales_Per_Representative!$C$8</f>
        <v>649456</v>
      </c>
      <c r="L308">
        <f>Sales_Per_Rep_Yearly_Goal!$B$2</f>
        <v>665544.80000000005</v>
      </c>
      <c r="M308">
        <f>Sales_Per_Rep_Yearly_Goal!$C$2</f>
        <v>650000</v>
      </c>
    </row>
    <row r="309" spans="1:13" x14ac:dyDescent="0.3">
      <c r="A309" s="3">
        <v>45006</v>
      </c>
      <c r="B309">
        <f t="shared" si="4"/>
        <v>2023</v>
      </c>
      <c r="C309">
        <v>3</v>
      </c>
      <c r="D309" t="s">
        <v>17</v>
      </c>
      <c r="E309" t="s">
        <v>29</v>
      </c>
      <c r="F309" s="2">
        <v>4268</v>
      </c>
      <c r="G309" s="2">
        <f>Monthly_Growth!$C$4</f>
        <v>666198</v>
      </c>
      <c r="H309" s="5">
        <f>Monthly_Growth!$D$4</f>
        <v>-0.24016962220508867</v>
      </c>
      <c r="I309" s="15">
        <f>Yearly_Growth!$C$2</f>
        <v>5.0333827436586778E-2</v>
      </c>
      <c r="J309" s="15">
        <f>Yearly_Growth!$D$2</f>
        <v>0.03</v>
      </c>
      <c r="K309">
        <f>Sales_Per_Representative!$C$13</f>
        <v>621548</v>
      </c>
      <c r="L309">
        <f>Sales_Per_Rep_Yearly_Goal!$B$2</f>
        <v>665544.80000000005</v>
      </c>
      <c r="M309">
        <f>Sales_Per_Rep_Yearly_Goal!$C$2</f>
        <v>650000</v>
      </c>
    </row>
    <row r="310" spans="1:13" x14ac:dyDescent="0.3">
      <c r="A310" s="3">
        <v>45007</v>
      </c>
      <c r="B310">
        <f t="shared" si="4"/>
        <v>2023</v>
      </c>
      <c r="C310">
        <v>3</v>
      </c>
      <c r="D310" t="s">
        <v>28</v>
      </c>
      <c r="E310" t="s">
        <v>10</v>
      </c>
      <c r="F310" s="2">
        <v>8106</v>
      </c>
      <c r="G310" s="2">
        <f>Monthly_Growth!$C$4</f>
        <v>666198</v>
      </c>
      <c r="H310" s="5">
        <f>Monthly_Growth!$D$4</f>
        <v>-0.24016962220508867</v>
      </c>
      <c r="I310" s="15">
        <f>Yearly_Growth!$C$2</f>
        <v>5.0333827436586778E-2</v>
      </c>
      <c r="J310" s="15">
        <f>Yearly_Growth!$D$2</f>
        <v>0.03</v>
      </c>
      <c r="K310">
        <f>Sales_Per_Representative!$C$4</f>
        <v>725713</v>
      </c>
      <c r="L310">
        <f>Sales_Per_Rep_Yearly_Goal!$B$2</f>
        <v>665544.80000000005</v>
      </c>
      <c r="M310">
        <f>Sales_Per_Rep_Yearly_Goal!$C$2</f>
        <v>650000</v>
      </c>
    </row>
    <row r="311" spans="1:13" x14ac:dyDescent="0.3">
      <c r="A311" s="3">
        <v>45008</v>
      </c>
      <c r="B311">
        <f t="shared" si="4"/>
        <v>2023</v>
      </c>
      <c r="C311">
        <v>3</v>
      </c>
      <c r="D311" t="s">
        <v>7</v>
      </c>
      <c r="E311" t="s">
        <v>26</v>
      </c>
      <c r="F311" s="2">
        <v>10516</v>
      </c>
      <c r="G311" s="2">
        <f>Monthly_Growth!$C$4</f>
        <v>666198</v>
      </c>
      <c r="H311" s="5">
        <f>Monthly_Growth!$D$4</f>
        <v>-0.24016962220508867</v>
      </c>
      <c r="I311" s="15">
        <f>Yearly_Growth!$C$2</f>
        <v>5.0333827436586778E-2</v>
      </c>
      <c r="J311" s="15">
        <f>Yearly_Growth!$D$2</f>
        <v>0.03</v>
      </c>
      <c r="K311">
        <f>Sales_Per_Representative!$C$16</f>
        <v>666159</v>
      </c>
      <c r="L311">
        <f>Sales_Per_Rep_Yearly_Goal!$B$2</f>
        <v>665544.80000000005</v>
      </c>
      <c r="M311">
        <f>Sales_Per_Rep_Yearly_Goal!$C$2</f>
        <v>650000</v>
      </c>
    </row>
    <row r="312" spans="1:13" x14ac:dyDescent="0.3">
      <c r="A312" s="3">
        <v>45008</v>
      </c>
      <c r="B312">
        <f t="shared" si="4"/>
        <v>2023</v>
      </c>
      <c r="C312">
        <v>3</v>
      </c>
      <c r="D312" t="s">
        <v>12</v>
      </c>
      <c r="E312" t="s">
        <v>26</v>
      </c>
      <c r="F312" s="2">
        <v>6303</v>
      </c>
      <c r="G312" s="2">
        <f>Monthly_Growth!$C$4</f>
        <v>666198</v>
      </c>
      <c r="H312" s="5">
        <f>Monthly_Growth!$D$4</f>
        <v>-0.24016962220508867</v>
      </c>
      <c r="I312" s="15">
        <f>Yearly_Growth!$C$2</f>
        <v>5.0333827436586778E-2</v>
      </c>
      <c r="J312" s="15">
        <f>Yearly_Growth!$D$2</f>
        <v>0.03</v>
      </c>
      <c r="K312">
        <f>Sales_Per_Representative!$C$16</f>
        <v>666159</v>
      </c>
      <c r="L312">
        <f>Sales_Per_Rep_Yearly_Goal!$B$2</f>
        <v>665544.80000000005</v>
      </c>
      <c r="M312">
        <f>Sales_Per_Rep_Yearly_Goal!$C$2</f>
        <v>650000</v>
      </c>
    </row>
    <row r="313" spans="1:13" x14ac:dyDescent="0.3">
      <c r="A313" s="3">
        <v>45009</v>
      </c>
      <c r="B313">
        <f t="shared" si="4"/>
        <v>2023</v>
      </c>
      <c r="C313">
        <v>3</v>
      </c>
      <c r="D313" t="s">
        <v>14</v>
      </c>
      <c r="E313" t="s">
        <v>31</v>
      </c>
      <c r="F313" s="2">
        <v>8085</v>
      </c>
      <c r="G313" s="2">
        <f>Monthly_Growth!$C$4</f>
        <v>666198</v>
      </c>
      <c r="H313" s="5">
        <f>Monthly_Growth!$D$4</f>
        <v>-0.24016962220508867</v>
      </c>
      <c r="I313" s="15">
        <f>Yearly_Growth!$C$2</f>
        <v>5.0333827436586778E-2</v>
      </c>
      <c r="J313" s="15">
        <f>Yearly_Growth!$D$2</f>
        <v>0.03</v>
      </c>
      <c r="K313">
        <f>Sales_Per_Representative!$C$6</f>
        <v>727823</v>
      </c>
      <c r="L313">
        <f>Sales_Per_Rep_Yearly_Goal!$B$2</f>
        <v>665544.80000000005</v>
      </c>
      <c r="M313">
        <f>Sales_Per_Rep_Yearly_Goal!$C$2</f>
        <v>650000</v>
      </c>
    </row>
    <row r="314" spans="1:13" x14ac:dyDescent="0.3">
      <c r="A314" s="3">
        <v>45009</v>
      </c>
      <c r="B314">
        <f t="shared" si="4"/>
        <v>2023</v>
      </c>
      <c r="C314">
        <v>3</v>
      </c>
      <c r="D314" t="s">
        <v>19</v>
      </c>
      <c r="E314" t="s">
        <v>20</v>
      </c>
      <c r="F314" s="2">
        <v>2967</v>
      </c>
      <c r="G314" s="2">
        <f>Monthly_Growth!$C$4</f>
        <v>666198</v>
      </c>
      <c r="H314" s="5">
        <f>Monthly_Growth!$D$4</f>
        <v>-0.24016962220508867</v>
      </c>
      <c r="I314" s="15">
        <f>Yearly_Growth!$C$2</f>
        <v>5.0333827436586778E-2</v>
      </c>
      <c r="J314" s="15">
        <f>Yearly_Growth!$D$2</f>
        <v>0.03</v>
      </c>
      <c r="K314">
        <f>Sales_Per_Representative!$C$14</f>
        <v>675530</v>
      </c>
      <c r="L314">
        <f>Sales_Per_Rep_Yearly_Goal!$B$2</f>
        <v>665544.80000000005</v>
      </c>
      <c r="M314">
        <f>Sales_Per_Rep_Yearly_Goal!$C$2</f>
        <v>650000</v>
      </c>
    </row>
    <row r="315" spans="1:13" x14ac:dyDescent="0.3">
      <c r="A315" s="3">
        <v>45009</v>
      </c>
      <c r="B315">
        <f t="shared" si="4"/>
        <v>2023</v>
      </c>
      <c r="C315">
        <v>3</v>
      </c>
      <c r="D315" t="s">
        <v>7</v>
      </c>
      <c r="E315" t="s">
        <v>22</v>
      </c>
      <c r="F315" s="2">
        <v>8185</v>
      </c>
      <c r="G315" s="2">
        <f>Monthly_Growth!$C$4</f>
        <v>666198</v>
      </c>
      <c r="H315" s="5">
        <f>Monthly_Growth!$D$4</f>
        <v>-0.24016962220508867</v>
      </c>
      <c r="I315" s="15">
        <f>Yearly_Growth!$C$2</f>
        <v>5.0333827436586778E-2</v>
      </c>
      <c r="J315" s="15">
        <f>Yearly_Growth!$D$2</f>
        <v>0.03</v>
      </c>
      <c r="K315">
        <f>Sales_Per_Representative!$C$8</f>
        <v>649456</v>
      </c>
      <c r="L315">
        <f>Sales_Per_Rep_Yearly_Goal!$B$2</f>
        <v>665544.80000000005</v>
      </c>
      <c r="M315">
        <f>Sales_Per_Rep_Yearly_Goal!$C$2</f>
        <v>650000</v>
      </c>
    </row>
    <row r="316" spans="1:13" x14ac:dyDescent="0.3">
      <c r="A316" s="3">
        <v>45009</v>
      </c>
      <c r="B316">
        <f t="shared" si="4"/>
        <v>2023</v>
      </c>
      <c r="C316">
        <v>3</v>
      </c>
      <c r="D316" t="s">
        <v>7</v>
      </c>
      <c r="E316" t="s">
        <v>15</v>
      </c>
      <c r="F316" s="2">
        <v>5081</v>
      </c>
      <c r="G316" s="2">
        <f>Monthly_Growth!$C$4</f>
        <v>666198</v>
      </c>
      <c r="H316" s="5">
        <f>Monthly_Growth!$D$4</f>
        <v>-0.24016962220508867</v>
      </c>
      <c r="I316" s="15">
        <f>Yearly_Growth!$C$2</f>
        <v>5.0333827436586778E-2</v>
      </c>
      <c r="J316" s="15">
        <f>Yearly_Growth!$D$2</f>
        <v>0.03</v>
      </c>
      <c r="K316">
        <f>Sales_Per_Representative!$C$12</f>
        <v>656359</v>
      </c>
      <c r="L316">
        <f>Sales_Per_Rep_Yearly_Goal!$B$2</f>
        <v>665544.80000000005</v>
      </c>
      <c r="M316">
        <f>Sales_Per_Rep_Yearly_Goal!$C$2</f>
        <v>650000</v>
      </c>
    </row>
    <row r="317" spans="1:13" x14ac:dyDescent="0.3">
      <c r="A317" s="3">
        <v>45009</v>
      </c>
      <c r="B317">
        <f t="shared" si="4"/>
        <v>2023</v>
      </c>
      <c r="C317">
        <v>3</v>
      </c>
      <c r="D317" t="s">
        <v>17</v>
      </c>
      <c r="E317" t="s">
        <v>31</v>
      </c>
      <c r="F317" s="2">
        <v>4367</v>
      </c>
      <c r="G317" s="2">
        <f>Monthly_Growth!$C$4</f>
        <v>666198</v>
      </c>
      <c r="H317" s="5">
        <f>Monthly_Growth!$D$4</f>
        <v>-0.24016962220508867</v>
      </c>
      <c r="I317" s="15">
        <f>Yearly_Growth!$C$2</f>
        <v>5.0333827436586778E-2</v>
      </c>
      <c r="J317" s="15">
        <f>Yearly_Growth!$D$2</f>
        <v>0.03</v>
      </c>
      <c r="K317">
        <f>Sales_Per_Representative!$C$6</f>
        <v>727823</v>
      </c>
      <c r="L317">
        <f>Sales_Per_Rep_Yearly_Goal!$B$2</f>
        <v>665544.80000000005</v>
      </c>
      <c r="M317">
        <f>Sales_Per_Rep_Yearly_Goal!$C$2</f>
        <v>650000</v>
      </c>
    </row>
    <row r="318" spans="1:13" x14ac:dyDescent="0.3">
      <c r="A318" s="3">
        <v>45009</v>
      </c>
      <c r="B318">
        <f t="shared" si="4"/>
        <v>2023</v>
      </c>
      <c r="C318">
        <v>3</v>
      </c>
      <c r="D318" t="s">
        <v>12</v>
      </c>
      <c r="E318" t="s">
        <v>32</v>
      </c>
      <c r="F318" s="2">
        <v>10595</v>
      </c>
      <c r="G318" s="2">
        <f>Monthly_Growth!$C$4</f>
        <v>666198</v>
      </c>
      <c r="H318" s="5">
        <f>Monthly_Growth!$D$4</f>
        <v>-0.24016962220508867</v>
      </c>
      <c r="I318" s="15">
        <f>Yearly_Growth!$C$2</f>
        <v>5.0333827436586778E-2</v>
      </c>
      <c r="J318" s="15">
        <f>Yearly_Growth!$D$2</f>
        <v>0.03</v>
      </c>
      <c r="K318">
        <f>Sales_Per_Representative!$C$3</f>
        <v>762157</v>
      </c>
      <c r="L318">
        <f>Sales_Per_Rep_Yearly_Goal!$B$2</f>
        <v>665544.80000000005</v>
      </c>
      <c r="M318">
        <f>Sales_Per_Rep_Yearly_Goal!$C$2</f>
        <v>650000</v>
      </c>
    </row>
    <row r="319" spans="1:13" x14ac:dyDescent="0.3">
      <c r="A319" s="3">
        <v>45010</v>
      </c>
      <c r="B319">
        <f t="shared" si="4"/>
        <v>2023</v>
      </c>
      <c r="C319">
        <v>3</v>
      </c>
      <c r="D319" t="s">
        <v>19</v>
      </c>
      <c r="E319" t="s">
        <v>27</v>
      </c>
      <c r="F319" s="2">
        <v>1689</v>
      </c>
      <c r="G319" s="2">
        <f>Monthly_Growth!$C$4</f>
        <v>666198</v>
      </c>
      <c r="H319" s="5">
        <f>Monthly_Growth!$D$4</f>
        <v>-0.24016962220508867</v>
      </c>
      <c r="I319" s="15">
        <f>Yearly_Growth!$C$2</f>
        <v>5.0333827436586778E-2</v>
      </c>
      <c r="J319" s="15">
        <f>Yearly_Growth!$D$2</f>
        <v>0.03</v>
      </c>
      <c r="K319">
        <f>Sales_Per_Representative!$C$5</f>
        <v>747962</v>
      </c>
      <c r="L319">
        <f>Sales_Per_Rep_Yearly_Goal!$B$2</f>
        <v>665544.80000000005</v>
      </c>
      <c r="M319">
        <f>Sales_Per_Rep_Yearly_Goal!$C$2</f>
        <v>650000</v>
      </c>
    </row>
    <row r="320" spans="1:13" x14ac:dyDescent="0.3">
      <c r="A320" s="3">
        <v>45011</v>
      </c>
      <c r="B320">
        <f t="shared" si="4"/>
        <v>2023</v>
      </c>
      <c r="C320">
        <v>3</v>
      </c>
      <c r="D320" t="s">
        <v>14</v>
      </c>
      <c r="E320" t="s">
        <v>31</v>
      </c>
      <c r="F320" s="2">
        <v>6659</v>
      </c>
      <c r="G320" s="2">
        <f>Monthly_Growth!$C$4</f>
        <v>666198</v>
      </c>
      <c r="H320" s="5">
        <f>Monthly_Growth!$D$4</f>
        <v>-0.24016962220508867</v>
      </c>
      <c r="I320" s="15">
        <f>Yearly_Growth!$C$2</f>
        <v>5.0333827436586778E-2</v>
      </c>
      <c r="J320" s="15">
        <f>Yearly_Growth!$D$2</f>
        <v>0.03</v>
      </c>
      <c r="K320">
        <f>Sales_Per_Representative!$C$6</f>
        <v>727823</v>
      </c>
      <c r="L320">
        <f>Sales_Per_Rep_Yearly_Goal!$B$2</f>
        <v>665544.80000000005</v>
      </c>
      <c r="M320">
        <f>Sales_Per_Rep_Yearly_Goal!$C$2</f>
        <v>650000</v>
      </c>
    </row>
    <row r="321" spans="1:13" x14ac:dyDescent="0.3">
      <c r="A321" s="3">
        <v>45012</v>
      </c>
      <c r="B321">
        <f t="shared" si="4"/>
        <v>2023</v>
      </c>
      <c r="C321">
        <v>3</v>
      </c>
      <c r="D321" t="s">
        <v>14</v>
      </c>
      <c r="E321" t="s">
        <v>15</v>
      </c>
      <c r="F321" s="2">
        <v>4202</v>
      </c>
      <c r="G321" s="2">
        <f>Monthly_Growth!$C$4</f>
        <v>666198</v>
      </c>
      <c r="H321" s="5">
        <f>Monthly_Growth!$D$4</f>
        <v>-0.24016962220508867</v>
      </c>
      <c r="I321" s="15">
        <f>Yearly_Growth!$C$2</f>
        <v>5.0333827436586778E-2</v>
      </c>
      <c r="J321" s="15">
        <f>Yearly_Growth!$D$2</f>
        <v>0.03</v>
      </c>
      <c r="K321">
        <f>Sales_Per_Representative!$C$12</f>
        <v>656359</v>
      </c>
      <c r="L321">
        <f>Sales_Per_Rep_Yearly_Goal!$B$2</f>
        <v>665544.80000000005</v>
      </c>
      <c r="M321">
        <f>Sales_Per_Rep_Yearly_Goal!$C$2</f>
        <v>650000</v>
      </c>
    </row>
    <row r="322" spans="1:13" x14ac:dyDescent="0.3">
      <c r="A322" s="3">
        <v>45012</v>
      </c>
      <c r="B322">
        <f t="shared" si="4"/>
        <v>2023</v>
      </c>
      <c r="C322">
        <v>3</v>
      </c>
      <c r="D322" t="s">
        <v>19</v>
      </c>
      <c r="E322" t="s">
        <v>29</v>
      </c>
      <c r="F322" s="2">
        <v>12340</v>
      </c>
      <c r="G322" s="2">
        <f>Monthly_Growth!$C$4</f>
        <v>666198</v>
      </c>
      <c r="H322" s="5">
        <f>Monthly_Growth!$D$4</f>
        <v>-0.24016962220508867</v>
      </c>
      <c r="I322" s="15">
        <f>Yearly_Growth!$C$2</f>
        <v>5.0333827436586778E-2</v>
      </c>
      <c r="J322" s="15">
        <f>Yearly_Growth!$D$2</f>
        <v>0.03</v>
      </c>
      <c r="K322">
        <f>Sales_Per_Representative!$C$13</f>
        <v>621548</v>
      </c>
      <c r="L322">
        <f>Sales_Per_Rep_Yearly_Goal!$B$2</f>
        <v>665544.80000000005</v>
      </c>
      <c r="M322">
        <f>Sales_Per_Rep_Yearly_Goal!$C$2</f>
        <v>650000</v>
      </c>
    </row>
    <row r="323" spans="1:13" x14ac:dyDescent="0.3">
      <c r="A323" s="3">
        <v>45013</v>
      </c>
      <c r="B323">
        <f t="shared" ref="B323:B386" si="5">YEAR(A323)</f>
        <v>2023</v>
      </c>
      <c r="C323">
        <v>3</v>
      </c>
      <c r="D323" t="s">
        <v>28</v>
      </c>
      <c r="E323" t="s">
        <v>20</v>
      </c>
      <c r="F323" s="2">
        <v>1501</v>
      </c>
      <c r="G323" s="2">
        <f>Monthly_Growth!$C$4</f>
        <v>666198</v>
      </c>
      <c r="H323" s="5">
        <f>Monthly_Growth!$D$4</f>
        <v>-0.24016962220508867</v>
      </c>
      <c r="I323" s="15">
        <f>Yearly_Growth!$C$2</f>
        <v>5.0333827436586778E-2</v>
      </c>
      <c r="J323" s="15">
        <f>Yearly_Growth!$D$2</f>
        <v>0.03</v>
      </c>
      <c r="K323">
        <f>Sales_Per_Representative!$C$14</f>
        <v>675530</v>
      </c>
      <c r="L323">
        <f>Sales_Per_Rep_Yearly_Goal!$B$2</f>
        <v>665544.80000000005</v>
      </c>
      <c r="M323">
        <f>Sales_Per_Rep_Yearly_Goal!$C$2</f>
        <v>650000</v>
      </c>
    </row>
    <row r="324" spans="1:13" x14ac:dyDescent="0.3">
      <c r="A324" s="3">
        <v>45013</v>
      </c>
      <c r="B324">
        <f t="shared" si="5"/>
        <v>2023</v>
      </c>
      <c r="C324">
        <v>3</v>
      </c>
      <c r="D324" t="s">
        <v>12</v>
      </c>
      <c r="E324" t="s">
        <v>29</v>
      </c>
      <c r="F324" s="2">
        <v>4574</v>
      </c>
      <c r="G324" s="2">
        <f>Monthly_Growth!$C$4</f>
        <v>666198</v>
      </c>
      <c r="H324" s="5">
        <f>Monthly_Growth!$D$4</f>
        <v>-0.24016962220508867</v>
      </c>
      <c r="I324" s="15">
        <f>Yearly_Growth!$C$2</f>
        <v>5.0333827436586778E-2</v>
      </c>
      <c r="J324" s="15">
        <f>Yearly_Growth!$D$2</f>
        <v>0.03</v>
      </c>
      <c r="K324">
        <f>Sales_Per_Representative!$C$13</f>
        <v>621548</v>
      </c>
      <c r="L324">
        <f>Sales_Per_Rep_Yearly_Goal!$B$2</f>
        <v>665544.80000000005</v>
      </c>
      <c r="M324">
        <f>Sales_Per_Rep_Yearly_Goal!$C$2</f>
        <v>650000</v>
      </c>
    </row>
    <row r="325" spans="1:13" x14ac:dyDescent="0.3">
      <c r="A325" s="3">
        <v>45014</v>
      </c>
      <c r="B325">
        <f t="shared" si="5"/>
        <v>2023</v>
      </c>
      <c r="C325">
        <v>3</v>
      </c>
      <c r="D325" t="s">
        <v>19</v>
      </c>
      <c r="E325" t="s">
        <v>5</v>
      </c>
      <c r="F325" s="2">
        <v>2966</v>
      </c>
      <c r="G325" s="2">
        <f>Monthly_Growth!$C$4</f>
        <v>666198</v>
      </c>
      <c r="H325" s="5">
        <f>Monthly_Growth!$D$4</f>
        <v>-0.24016962220508867</v>
      </c>
      <c r="I325" s="15">
        <f>Yearly_Growth!$C$2</f>
        <v>5.0333827436586778E-2</v>
      </c>
      <c r="J325" s="15">
        <f>Yearly_Growth!$D$2</f>
        <v>0.03</v>
      </c>
      <c r="K325">
        <f>Sales_Per_Representative!$C$10</f>
        <v>663333</v>
      </c>
      <c r="L325">
        <f>Sales_Per_Rep_Yearly_Goal!$B$2</f>
        <v>665544.80000000005</v>
      </c>
      <c r="M325">
        <f>Sales_Per_Rep_Yearly_Goal!$C$2</f>
        <v>650000</v>
      </c>
    </row>
    <row r="326" spans="1:13" x14ac:dyDescent="0.3">
      <c r="A326" s="3">
        <v>45014</v>
      </c>
      <c r="B326">
        <f t="shared" si="5"/>
        <v>2023</v>
      </c>
      <c r="C326">
        <v>3</v>
      </c>
      <c r="D326" t="s">
        <v>19</v>
      </c>
      <c r="E326" t="s">
        <v>26</v>
      </c>
      <c r="F326" s="2">
        <v>5618</v>
      </c>
      <c r="G326" s="2">
        <f>Monthly_Growth!$C$4</f>
        <v>666198</v>
      </c>
      <c r="H326" s="5">
        <f>Monthly_Growth!$D$4</f>
        <v>-0.24016962220508867</v>
      </c>
      <c r="I326" s="15">
        <f>Yearly_Growth!$C$2</f>
        <v>5.0333827436586778E-2</v>
      </c>
      <c r="J326" s="15">
        <f>Yearly_Growth!$D$2</f>
        <v>0.03</v>
      </c>
      <c r="K326">
        <f>Sales_Per_Representative!$C$16</f>
        <v>666159</v>
      </c>
      <c r="L326">
        <f>Sales_Per_Rep_Yearly_Goal!$B$2</f>
        <v>665544.80000000005</v>
      </c>
      <c r="M326">
        <f>Sales_Per_Rep_Yearly_Goal!$C$2</f>
        <v>650000</v>
      </c>
    </row>
    <row r="327" spans="1:13" x14ac:dyDescent="0.3">
      <c r="A327" s="3">
        <v>45014</v>
      </c>
      <c r="B327">
        <f t="shared" si="5"/>
        <v>2023</v>
      </c>
      <c r="C327">
        <v>3</v>
      </c>
      <c r="D327" t="s">
        <v>17</v>
      </c>
      <c r="E327" t="s">
        <v>27</v>
      </c>
      <c r="F327" s="2">
        <v>2409</v>
      </c>
      <c r="G327" s="2">
        <f>Monthly_Growth!$C$4</f>
        <v>666198</v>
      </c>
      <c r="H327" s="5">
        <f>Monthly_Growth!$D$4</f>
        <v>-0.24016962220508867</v>
      </c>
      <c r="I327" s="15">
        <f>Yearly_Growth!$C$2</f>
        <v>5.0333827436586778E-2</v>
      </c>
      <c r="J327" s="15">
        <f>Yearly_Growth!$D$2</f>
        <v>0.03</v>
      </c>
      <c r="K327">
        <f>Sales_Per_Representative!$C$5</f>
        <v>747962</v>
      </c>
      <c r="L327">
        <f>Sales_Per_Rep_Yearly_Goal!$B$2</f>
        <v>665544.80000000005</v>
      </c>
      <c r="M327">
        <f>Sales_Per_Rep_Yearly_Goal!$C$2</f>
        <v>650000</v>
      </c>
    </row>
    <row r="328" spans="1:13" x14ac:dyDescent="0.3">
      <c r="A328" s="3">
        <v>45015</v>
      </c>
      <c r="B328">
        <f t="shared" si="5"/>
        <v>2023</v>
      </c>
      <c r="C328">
        <v>3</v>
      </c>
      <c r="D328" t="s">
        <v>23</v>
      </c>
      <c r="E328" t="s">
        <v>29</v>
      </c>
      <c r="F328" s="2">
        <v>10046</v>
      </c>
      <c r="G328" s="2">
        <f>Monthly_Growth!$C$4</f>
        <v>666198</v>
      </c>
      <c r="H328" s="5">
        <f>Monthly_Growth!$D$4</f>
        <v>-0.24016962220508867</v>
      </c>
      <c r="I328" s="15">
        <f>Yearly_Growth!$C$2</f>
        <v>5.0333827436586778E-2</v>
      </c>
      <c r="J328" s="15">
        <f>Yearly_Growth!$D$2</f>
        <v>0.03</v>
      </c>
      <c r="K328">
        <f>Sales_Per_Representative!$C$13</f>
        <v>621548</v>
      </c>
      <c r="L328">
        <f>Sales_Per_Rep_Yearly_Goal!$B$2</f>
        <v>665544.80000000005</v>
      </c>
      <c r="M328">
        <f>Sales_Per_Rep_Yearly_Goal!$C$2</f>
        <v>650000</v>
      </c>
    </row>
    <row r="329" spans="1:13" x14ac:dyDescent="0.3">
      <c r="A329" s="3">
        <v>45015</v>
      </c>
      <c r="B329">
        <f t="shared" si="5"/>
        <v>2023</v>
      </c>
      <c r="C329">
        <v>3</v>
      </c>
      <c r="D329" t="s">
        <v>23</v>
      </c>
      <c r="E329" t="s">
        <v>33</v>
      </c>
      <c r="F329" s="2">
        <v>2055</v>
      </c>
      <c r="G329" s="2">
        <f>Monthly_Growth!$C$4</f>
        <v>666198</v>
      </c>
      <c r="H329" s="5">
        <f>Monthly_Growth!$D$4</f>
        <v>-0.24016962220508867</v>
      </c>
      <c r="I329" s="15">
        <f>Yearly_Growth!$C$2</f>
        <v>5.0333827436586778E-2</v>
      </c>
      <c r="J329" s="15">
        <f>Yearly_Growth!$D$2</f>
        <v>0.03</v>
      </c>
      <c r="K329">
        <f>Sales_Per_Representative!$C$11</f>
        <v>496886</v>
      </c>
      <c r="L329">
        <f>Sales_Per_Rep_Yearly_Goal!$B$2</f>
        <v>665544.80000000005</v>
      </c>
      <c r="M329">
        <f>Sales_Per_Rep_Yearly_Goal!$C$2</f>
        <v>650000</v>
      </c>
    </row>
    <row r="330" spans="1:13" x14ac:dyDescent="0.3">
      <c r="A330" s="3">
        <v>45015</v>
      </c>
      <c r="B330">
        <f t="shared" si="5"/>
        <v>2023</v>
      </c>
      <c r="C330">
        <v>3</v>
      </c>
      <c r="D330" t="s">
        <v>7</v>
      </c>
      <c r="E330" t="s">
        <v>10</v>
      </c>
      <c r="F330" s="2">
        <v>10826</v>
      </c>
      <c r="G330" s="2">
        <f>Monthly_Growth!$C$4</f>
        <v>666198</v>
      </c>
      <c r="H330" s="5">
        <f>Monthly_Growth!$D$4</f>
        <v>-0.24016962220508867</v>
      </c>
      <c r="I330" s="15">
        <f>Yearly_Growth!$C$2</f>
        <v>5.0333827436586778E-2</v>
      </c>
      <c r="J330" s="15">
        <f>Yearly_Growth!$D$2</f>
        <v>0.03</v>
      </c>
      <c r="K330">
        <f>Sales_Per_Representative!$C$4</f>
        <v>725713</v>
      </c>
      <c r="L330">
        <f>Sales_Per_Rep_Yearly_Goal!$B$2</f>
        <v>665544.80000000005</v>
      </c>
      <c r="M330">
        <f>Sales_Per_Rep_Yearly_Goal!$C$2</f>
        <v>650000</v>
      </c>
    </row>
    <row r="331" spans="1:13" x14ac:dyDescent="0.3">
      <c r="A331" s="3">
        <v>45015</v>
      </c>
      <c r="B331">
        <f t="shared" si="5"/>
        <v>2023</v>
      </c>
      <c r="C331">
        <v>3</v>
      </c>
      <c r="D331" t="s">
        <v>7</v>
      </c>
      <c r="E331" t="s">
        <v>18</v>
      </c>
      <c r="F331" s="2">
        <v>10852</v>
      </c>
      <c r="G331" s="2">
        <f>Monthly_Growth!$C$4</f>
        <v>666198</v>
      </c>
      <c r="H331" s="5">
        <f>Monthly_Growth!$D$4</f>
        <v>-0.24016962220508867</v>
      </c>
      <c r="I331" s="15">
        <f>Yearly_Growth!$C$2</f>
        <v>5.0333827436586778E-2</v>
      </c>
      <c r="J331" s="15">
        <f>Yearly_Growth!$D$2</f>
        <v>0.03</v>
      </c>
      <c r="K331">
        <f>Sales_Per_Representative!$C$9</f>
        <v>550835</v>
      </c>
      <c r="L331">
        <f>Sales_Per_Rep_Yearly_Goal!$B$2</f>
        <v>665544.80000000005</v>
      </c>
      <c r="M331">
        <f>Sales_Per_Rep_Yearly_Goal!$C$2</f>
        <v>650000</v>
      </c>
    </row>
    <row r="332" spans="1:13" x14ac:dyDescent="0.3">
      <c r="A332" s="3">
        <v>45015</v>
      </c>
      <c r="B332">
        <f t="shared" si="5"/>
        <v>2023</v>
      </c>
      <c r="C332">
        <v>3</v>
      </c>
      <c r="D332" t="s">
        <v>7</v>
      </c>
      <c r="E332" t="s">
        <v>8</v>
      </c>
      <c r="F332" s="2">
        <v>1847</v>
      </c>
      <c r="G332" s="2">
        <f>Monthly_Growth!$C$4</f>
        <v>666198</v>
      </c>
      <c r="H332" s="5">
        <f>Monthly_Growth!$D$4</f>
        <v>-0.24016962220508867</v>
      </c>
      <c r="I332" s="15">
        <f>Yearly_Growth!$C$2</f>
        <v>5.0333827436586778E-2</v>
      </c>
      <c r="J332" s="15">
        <f>Yearly_Growth!$D$2</f>
        <v>0.03</v>
      </c>
      <c r="K332">
        <f>Sales_Per_Representative!$C$15</f>
        <v>701242</v>
      </c>
      <c r="L332">
        <f>Sales_Per_Rep_Yearly_Goal!$B$2</f>
        <v>665544.80000000005</v>
      </c>
      <c r="M332">
        <f>Sales_Per_Rep_Yearly_Goal!$C$2</f>
        <v>650000</v>
      </c>
    </row>
    <row r="333" spans="1:13" x14ac:dyDescent="0.3">
      <c r="A333" s="3">
        <v>45015</v>
      </c>
      <c r="B333">
        <f t="shared" si="5"/>
        <v>2023</v>
      </c>
      <c r="C333">
        <v>3</v>
      </c>
      <c r="D333" t="s">
        <v>17</v>
      </c>
      <c r="E333" t="s">
        <v>31</v>
      </c>
      <c r="F333" s="2">
        <v>9599</v>
      </c>
      <c r="G333" s="2">
        <f>Monthly_Growth!$C$4</f>
        <v>666198</v>
      </c>
      <c r="H333" s="5">
        <f>Monthly_Growth!$D$4</f>
        <v>-0.24016962220508867</v>
      </c>
      <c r="I333" s="15">
        <f>Yearly_Growth!$C$2</f>
        <v>5.0333827436586778E-2</v>
      </c>
      <c r="J333" s="15">
        <f>Yearly_Growth!$D$2</f>
        <v>0.03</v>
      </c>
      <c r="K333">
        <f>Sales_Per_Representative!$C$6</f>
        <v>727823</v>
      </c>
      <c r="L333">
        <f>Sales_Per_Rep_Yearly_Goal!$B$2</f>
        <v>665544.80000000005</v>
      </c>
      <c r="M333">
        <f>Sales_Per_Rep_Yearly_Goal!$C$2</f>
        <v>650000</v>
      </c>
    </row>
    <row r="334" spans="1:13" x14ac:dyDescent="0.3">
      <c r="A334" s="3">
        <v>45016</v>
      </c>
      <c r="B334">
        <f t="shared" si="5"/>
        <v>2023</v>
      </c>
      <c r="C334">
        <v>3</v>
      </c>
      <c r="D334" t="s">
        <v>23</v>
      </c>
      <c r="E334" t="s">
        <v>10</v>
      </c>
      <c r="F334" s="2">
        <v>4690</v>
      </c>
      <c r="G334" s="2">
        <f>Monthly_Growth!$C$4</f>
        <v>666198</v>
      </c>
      <c r="H334" s="5">
        <f>Monthly_Growth!$D$4</f>
        <v>-0.24016962220508867</v>
      </c>
      <c r="I334" s="15">
        <f>Yearly_Growth!$C$2</f>
        <v>5.0333827436586778E-2</v>
      </c>
      <c r="J334" s="15">
        <f>Yearly_Growth!$D$2</f>
        <v>0.03</v>
      </c>
      <c r="K334">
        <f>Sales_Per_Representative!$C$4</f>
        <v>725713</v>
      </c>
      <c r="L334">
        <f>Sales_Per_Rep_Yearly_Goal!$B$2</f>
        <v>665544.80000000005</v>
      </c>
      <c r="M334">
        <f>Sales_Per_Rep_Yearly_Goal!$C$2</f>
        <v>650000</v>
      </c>
    </row>
    <row r="335" spans="1:13" x14ac:dyDescent="0.3">
      <c r="A335" s="3">
        <v>45016</v>
      </c>
      <c r="B335">
        <f t="shared" si="5"/>
        <v>2023</v>
      </c>
      <c r="C335">
        <v>3</v>
      </c>
      <c r="D335" t="s">
        <v>23</v>
      </c>
      <c r="E335" t="s">
        <v>31</v>
      </c>
      <c r="F335" s="2">
        <v>7047</v>
      </c>
      <c r="G335" s="2">
        <f>Monthly_Growth!$C$4</f>
        <v>666198</v>
      </c>
      <c r="H335" s="5">
        <f>Monthly_Growth!$D$4</f>
        <v>-0.24016962220508867</v>
      </c>
      <c r="I335" s="15">
        <f>Yearly_Growth!$C$2</f>
        <v>5.0333827436586778E-2</v>
      </c>
      <c r="J335" s="15">
        <f>Yearly_Growth!$D$2</f>
        <v>0.03</v>
      </c>
      <c r="K335">
        <f>Sales_Per_Representative!$C$6</f>
        <v>727823</v>
      </c>
      <c r="L335">
        <f>Sales_Per_Rep_Yearly_Goal!$B$2</f>
        <v>665544.80000000005</v>
      </c>
      <c r="M335">
        <f>Sales_Per_Rep_Yearly_Goal!$C$2</f>
        <v>650000</v>
      </c>
    </row>
    <row r="336" spans="1:13" x14ac:dyDescent="0.3">
      <c r="A336" s="3">
        <v>45016</v>
      </c>
      <c r="B336">
        <f t="shared" si="5"/>
        <v>2023</v>
      </c>
      <c r="C336">
        <v>3</v>
      </c>
      <c r="D336" t="s">
        <v>28</v>
      </c>
      <c r="E336" t="s">
        <v>8</v>
      </c>
      <c r="F336" s="2">
        <v>9889</v>
      </c>
      <c r="G336" s="2">
        <f>Monthly_Growth!$C$4</f>
        <v>666198</v>
      </c>
      <c r="H336" s="5">
        <f>Monthly_Growth!$D$4</f>
        <v>-0.24016962220508867</v>
      </c>
      <c r="I336" s="15">
        <f>Yearly_Growth!$C$2</f>
        <v>5.0333827436586778E-2</v>
      </c>
      <c r="J336" s="15">
        <f>Yearly_Growth!$D$2</f>
        <v>0.03</v>
      </c>
      <c r="K336">
        <f>Sales_Per_Representative!$C$15</f>
        <v>701242</v>
      </c>
      <c r="L336">
        <f>Sales_Per_Rep_Yearly_Goal!$B$2</f>
        <v>665544.80000000005</v>
      </c>
      <c r="M336">
        <f>Sales_Per_Rep_Yearly_Goal!$C$2</f>
        <v>650000</v>
      </c>
    </row>
    <row r="337" spans="1:13" x14ac:dyDescent="0.3">
      <c r="A337" s="3">
        <v>45016</v>
      </c>
      <c r="B337">
        <f t="shared" si="5"/>
        <v>2023</v>
      </c>
      <c r="C337">
        <v>3</v>
      </c>
      <c r="D337" t="s">
        <v>17</v>
      </c>
      <c r="E337" t="s">
        <v>26</v>
      </c>
      <c r="F337" s="2">
        <v>4386</v>
      </c>
      <c r="G337" s="2">
        <f>Monthly_Growth!$C$4</f>
        <v>666198</v>
      </c>
      <c r="H337" s="5">
        <f>Monthly_Growth!$D$4</f>
        <v>-0.24016962220508867</v>
      </c>
      <c r="I337" s="15">
        <f>Yearly_Growth!$C$2</f>
        <v>5.0333827436586778E-2</v>
      </c>
      <c r="J337" s="15">
        <f>Yearly_Growth!$D$2</f>
        <v>0.03</v>
      </c>
      <c r="K337">
        <f>Sales_Per_Representative!$C$16</f>
        <v>666159</v>
      </c>
      <c r="L337">
        <f>Sales_Per_Rep_Yearly_Goal!$B$2</f>
        <v>665544.80000000005</v>
      </c>
      <c r="M337">
        <f>Sales_Per_Rep_Yearly_Goal!$C$2</f>
        <v>650000</v>
      </c>
    </row>
    <row r="338" spans="1:13" x14ac:dyDescent="0.3">
      <c r="A338" s="3">
        <v>45016</v>
      </c>
      <c r="B338">
        <f t="shared" si="5"/>
        <v>2023</v>
      </c>
      <c r="C338">
        <v>3</v>
      </c>
      <c r="D338" t="s">
        <v>17</v>
      </c>
      <c r="E338" t="s">
        <v>24</v>
      </c>
      <c r="F338" s="2">
        <v>10938</v>
      </c>
      <c r="G338" s="2">
        <f>Monthly_Growth!$C$4</f>
        <v>666198</v>
      </c>
      <c r="H338" s="5">
        <f>Monthly_Growth!$D$4</f>
        <v>-0.24016962220508867</v>
      </c>
      <c r="I338" s="15">
        <f>Yearly_Growth!$C$2</f>
        <v>5.0333827436586778E-2</v>
      </c>
      <c r="J338" s="15">
        <f>Yearly_Growth!$D$2</f>
        <v>0.03</v>
      </c>
      <c r="K338">
        <f>Sales_Per_Representative!$C$2</f>
        <v>631195</v>
      </c>
      <c r="L338">
        <f>Sales_Per_Rep_Yearly_Goal!$B$2</f>
        <v>665544.80000000005</v>
      </c>
      <c r="M338">
        <f>Sales_Per_Rep_Yearly_Goal!$C$2</f>
        <v>650000</v>
      </c>
    </row>
    <row r="339" spans="1:13" x14ac:dyDescent="0.3">
      <c r="A339" s="3">
        <v>45016</v>
      </c>
      <c r="B339">
        <f t="shared" si="5"/>
        <v>2023</v>
      </c>
      <c r="C339">
        <v>3</v>
      </c>
      <c r="D339" t="s">
        <v>12</v>
      </c>
      <c r="E339" t="s">
        <v>32</v>
      </c>
      <c r="F339" s="2">
        <v>10800</v>
      </c>
      <c r="G339" s="2">
        <f>Monthly_Growth!$C$4</f>
        <v>666198</v>
      </c>
      <c r="H339" s="5">
        <f>Monthly_Growth!$D$4</f>
        <v>-0.24016962220508867</v>
      </c>
      <c r="I339" s="15">
        <f>Yearly_Growth!$C$2</f>
        <v>5.0333827436586778E-2</v>
      </c>
      <c r="J339" s="15">
        <f>Yearly_Growth!$D$2</f>
        <v>0.03</v>
      </c>
      <c r="K339">
        <f>Sales_Per_Representative!$C$3</f>
        <v>762157</v>
      </c>
      <c r="L339">
        <f>Sales_Per_Rep_Yearly_Goal!$B$2</f>
        <v>665544.80000000005</v>
      </c>
      <c r="M339">
        <f>Sales_Per_Rep_Yearly_Goal!$C$2</f>
        <v>650000</v>
      </c>
    </row>
    <row r="340" spans="1:13" x14ac:dyDescent="0.3">
      <c r="A340" s="3">
        <v>45017</v>
      </c>
      <c r="B340">
        <f t="shared" si="5"/>
        <v>2023</v>
      </c>
      <c r="C340">
        <v>4</v>
      </c>
      <c r="D340" t="s">
        <v>23</v>
      </c>
      <c r="E340" t="s">
        <v>5</v>
      </c>
      <c r="F340" s="2">
        <v>10452</v>
      </c>
      <c r="G340" s="2">
        <f>Monthly_Growth!$C$5</f>
        <v>892919</v>
      </c>
      <c r="H340" s="5">
        <f>Monthly_Growth!$D$5</f>
        <v>0.34032074548407532</v>
      </c>
      <c r="I340" s="15">
        <f>Yearly_Growth!$C$2</f>
        <v>5.0333827436586778E-2</v>
      </c>
      <c r="J340" s="15">
        <f>Yearly_Growth!$D$2</f>
        <v>0.03</v>
      </c>
      <c r="K340">
        <f>Sales_Per_Representative!$C$10</f>
        <v>663333</v>
      </c>
      <c r="L340">
        <f>Sales_Per_Rep_Yearly_Goal!$B$2</f>
        <v>665544.80000000005</v>
      </c>
      <c r="M340">
        <f>Sales_Per_Rep_Yearly_Goal!$C$2</f>
        <v>650000</v>
      </c>
    </row>
    <row r="341" spans="1:13" x14ac:dyDescent="0.3">
      <c r="A341" s="3">
        <v>45017</v>
      </c>
      <c r="B341">
        <f t="shared" si="5"/>
        <v>2023</v>
      </c>
      <c r="C341">
        <v>4</v>
      </c>
      <c r="D341" t="s">
        <v>25</v>
      </c>
      <c r="E341" t="s">
        <v>24</v>
      </c>
      <c r="F341" s="2">
        <v>3049</v>
      </c>
      <c r="G341" s="2">
        <f>Monthly_Growth!$C$5</f>
        <v>892919</v>
      </c>
      <c r="H341" s="5">
        <f>Monthly_Growth!$D$5</f>
        <v>0.34032074548407532</v>
      </c>
      <c r="I341" s="15">
        <f>Yearly_Growth!$C$2</f>
        <v>5.0333827436586778E-2</v>
      </c>
      <c r="J341" s="15">
        <f>Yearly_Growth!$D$2</f>
        <v>0.03</v>
      </c>
      <c r="K341">
        <f>Sales_Per_Representative!$C$2</f>
        <v>631195</v>
      </c>
      <c r="L341">
        <f>Sales_Per_Rep_Yearly_Goal!$B$2</f>
        <v>665544.80000000005</v>
      </c>
      <c r="M341">
        <f>Sales_Per_Rep_Yearly_Goal!$C$2</f>
        <v>650000</v>
      </c>
    </row>
    <row r="342" spans="1:13" x14ac:dyDescent="0.3">
      <c r="A342" s="3">
        <v>45017</v>
      </c>
      <c r="B342">
        <f t="shared" si="5"/>
        <v>2023</v>
      </c>
      <c r="C342">
        <v>4</v>
      </c>
      <c r="D342" t="s">
        <v>7</v>
      </c>
      <c r="E342" t="s">
        <v>10</v>
      </c>
      <c r="F342" s="2">
        <v>13005</v>
      </c>
      <c r="G342" s="2">
        <f>Monthly_Growth!$C$5</f>
        <v>892919</v>
      </c>
      <c r="H342" s="5">
        <f>Monthly_Growth!$D$5</f>
        <v>0.34032074548407532</v>
      </c>
      <c r="I342" s="15">
        <f>Yearly_Growth!$C$2</f>
        <v>5.0333827436586778E-2</v>
      </c>
      <c r="J342" s="15">
        <f>Yearly_Growth!$D$2</f>
        <v>0.03</v>
      </c>
      <c r="K342">
        <f>Sales_Per_Representative!$C$4</f>
        <v>725713</v>
      </c>
      <c r="L342">
        <f>Sales_Per_Rep_Yearly_Goal!$B$2</f>
        <v>665544.80000000005</v>
      </c>
      <c r="M342">
        <f>Sales_Per_Rep_Yearly_Goal!$C$2</f>
        <v>650000</v>
      </c>
    </row>
    <row r="343" spans="1:13" x14ac:dyDescent="0.3">
      <c r="A343" s="3">
        <v>45017</v>
      </c>
      <c r="B343">
        <f t="shared" si="5"/>
        <v>2023</v>
      </c>
      <c r="C343">
        <v>4</v>
      </c>
      <c r="D343" t="s">
        <v>7</v>
      </c>
      <c r="E343" t="s">
        <v>27</v>
      </c>
      <c r="F343" s="2">
        <v>11130</v>
      </c>
      <c r="G343" s="2">
        <f>Monthly_Growth!$C$5</f>
        <v>892919</v>
      </c>
      <c r="H343" s="5">
        <f>Monthly_Growth!$D$5</f>
        <v>0.34032074548407532</v>
      </c>
      <c r="I343" s="15">
        <f>Yearly_Growth!$C$2</f>
        <v>5.0333827436586778E-2</v>
      </c>
      <c r="J343" s="15">
        <f>Yearly_Growth!$D$2</f>
        <v>0.03</v>
      </c>
      <c r="K343">
        <f>Sales_Per_Representative!$C$5</f>
        <v>747962</v>
      </c>
      <c r="L343">
        <f>Sales_Per_Rep_Yearly_Goal!$B$2</f>
        <v>665544.80000000005</v>
      </c>
      <c r="M343">
        <f>Sales_Per_Rep_Yearly_Goal!$C$2</f>
        <v>650000</v>
      </c>
    </row>
    <row r="344" spans="1:13" x14ac:dyDescent="0.3">
      <c r="A344" s="3">
        <v>45017</v>
      </c>
      <c r="B344">
        <f t="shared" si="5"/>
        <v>2023</v>
      </c>
      <c r="C344">
        <v>4</v>
      </c>
      <c r="D344" t="s">
        <v>17</v>
      </c>
      <c r="E344" t="s">
        <v>26</v>
      </c>
      <c r="F344" s="2">
        <v>1473</v>
      </c>
      <c r="G344" s="2">
        <f>Monthly_Growth!$C$5</f>
        <v>892919</v>
      </c>
      <c r="H344" s="5">
        <f>Monthly_Growth!$D$5</f>
        <v>0.34032074548407532</v>
      </c>
      <c r="I344" s="15">
        <f>Yearly_Growth!$C$2</f>
        <v>5.0333827436586778E-2</v>
      </c>
      <c r="J344" s="15">
        <f>Yearly_Growth!$D$2</f>
        <v>0.03</v>
      </c>
      <c r="K344">
        <f>Sales_Per_Representative!$C$16</f>
        <v>666159</v>
      </c>
      <c r="L344">
        <f>Sales_Per_Rep_Yearly_Goal!$B$2</f>
        <v>665544.80000000005</v>
      </c>
      <c r="M344">
        <f>Sales_Per_Rep_Yearly_Goal!$C$2</f>
        <v>650000</v>
      </c>
    </row>
    <row r="345" spans="1:13" x14ac:dyDescent="0.3">
      <c r="A345" s="3">
        <v>45017</v>
      </c>
      <c r="B345">
        <f t="shared" si="5"/>
        <v>2023</v>
      </c>
      <c r="C345">
        <v>4</v>
      </c>
      <c r="D345" t="s">
        <v>17</v>
      </c>
      <c r="E345" t="s">
        <v>15</v>
      </c>
      <c r="F345" s="2">
        <v>6328</v>
      </c>
      <c r="G345" s="2">
        <f>Monthly_Growth!$C$5</f>
        <v>892919</v>
      </c>
      <c r="H345" s="5">
        <f>Monthly_Growth!$D$5</f>
        <v>0.34032074548407532</v>
      </c>
      <c r="I345" s="15">
        <f>Yearly_Growth!$C$2</f>
        <v>5.0333827436586778E-2</v>
      </c>
      <c r="J345" s="15">
        <f>Yearly_Growth!$D$2</f>
        <v>0.03</v>
      </c>
      <c r="K345">
        <f>Sales_Per_Representative!$C$12</f>
        <v>656359</v>
      </c>
      <c r="L345">
        <f>Sales_Per_Rep_Yearly_Goal!$B$2</f>
        <v>665544.80000000005</v>
      </c>
      <c r="M345">
        <f>Sales_Per_Rep_Yearly_Goal!$C$2</f>
        <v>650000</v>
      </c>
    </row>
    <row r="346" spans="1:13" x14ac:dyDescent="0.3">
      <c r="A346" s="3">
        <v>45018</v>
      </c>
      <c r="B346">
        <f t="shared" si="5"/>
        <v>2023</v>
      </c>
      <c r="C346">
        <v>4</v>
      </c>
      <c r="D346" t="s">
        <v>14</v>
      </c>
      <c r="E346" t="s">
        <v>27</v>
      </c>
      <c r="F346" s="2">
        <v>7726</v>
      </c>
      <c r="G346" s="2">
        <f>Monthly_Growth!$C$5</f>
        <v>892919</v>
      </c>
      <c r="H346" s="5">
        <f>Monthly_Growth!$D$5</f>
        <v>0.34032074548407532</v>
      </c>
      <c r="I346" s="15">
        <f>Yearly_Growth!$C$2</f>
        <v>5.0333827436586778E-2</v>
      </c>
      <c r="J346" s="15">
        <f>Yearly_Growth!$D$2</f>
        <v>0.03</v>
      </c>
      <c r="K346">
        <f>Sales_Per_Representative!$C$5</f>
        <v>747962</v>
      </c>
      <c r="L346">
        <f>Sales_Per_Rep_Yearly_Goal!$B$2</f>
        <v>665544.80000000005</v>
      </c>
      <c r="M346">
        <f>Sales_Per_Rep_Yearly_Goal!$C$2</f>
        <v>650000</v>
      </c>
    </row>
    <row r="347" spans="1:13" x14ac:dyDescent="0.3">
      <c r="A347" s="3">
        <v>45018</v>
      </c>
      <c r="B347">
        <f t="shared" si="5"/>
        <v>2023</v>
      </c>
      <c r="C347">
        <v>4</v>
      </c>
      <c r="D347" t="s">
        <v>14</v>
      </c>
      <c r="E347" t="s">
        <v>29</v>
      </c>
      <c r="F347" s="2">
        <v>7553</v>
      </c>
      <c r="G347" s="2">
        <f>Monthly_Growth!$C$5</f>
        <v>892919</v>
      </c>
      <c r="H347" s="5">
        <f>Monthly_Growth!$D$5</f>
        <v>0.34032074548407532</v>
      </c>
      <c r="I347" s="15">
        <f>Yearly_Growth!$C$2</f>
        <v>5.0333827436586778E-2</v>
      </c>
      <c r="J347" s="15">
        <f>Yearly_Growth!$D$2</f>
        <v>0.03</v>
      </c>
      <c r="K347">
        <f>Sales_Per_Representative!$C$13</f>
        <v>621548</v>
      </c>
      <c r="L347">
        <f>Sales_Per_Rep_Yearly_Goal!$B$2</f>
        <v>665544.80000000005</v>
      </c>
      <c r="M347">
        <f>Sales_Per_Rep_Yearly_Goal!$C$2</f>
        <v>650000</v>
      </c>
    </row>
    <row r="348" spans="1:13" x14ac:dyDescent="0.3">
      <c r="A348" s="3">
        <v>45018</v>
      </c>
      <c r="B348">
        <f t="shared" si="5"/>
        <v>2023</v>
      </c>
      <c r="C348">
        <v>4</v>
      </c>
      <c r="D348" t="s">
        <v>19</v>
      </c>
      <c r="E348" t="s">
        <v>22</v>
      </c>
      <c r="F348" s="2">
        <v>3447</v>
      </c>
      <c r="G348" s="2">
        <f>Monthly_Growth!$C$5</f>
        <v>892919</v>
      </c>
      <c r="H348" s="5">
        <f>Monthly_Growth!$D$5</f>
        <v>0.34032074548407532</v>
      </c>
      <c r="I348" s="15">
        <f>Yearly_Growth!$C$2</f>
        <v>5.0333827436586778E-2</v>
      </c>
      <c r="J348" s="15">
        <f>Yearly_Growth!$D$2</f>
        <v>0.03</v>
      </c>
      <c r="K348">
        <f>Sales_Per_Representative!$C$8</f>
        <v>649456</v>
      </c>
      <c r="L348">
        <f>Sales_Per_Rep_Yearly_Goal!$B$2</f>
        <v>665544.80000000005</v>
      </c>
      <c r="M348">
        <f>Sales_Per_Rep_Yearly_Goal!$C$2</f>
        <v>650000</v>
      </c>
    </row>
    <row r="349" spans="1:13" x14ac:dyDescent="0.3">
      <c r="A349" s="3">
        <v>45018</v>
      </c>
      <c r="B349">
        <f t="shared" si="5"/>
        <v>2023</v>
      </c>
      <c r="C349">
        <v>4</v>
      </c>
      <c r="D349" t="s">
        <v>25</v>
      </c>
      <c r="E349" t="s">
        <v>5</v>
      </c>
      <c r="F349" s="2">
        <v>10900</v>
      </c>
      <c r="G349" s="2">
        <f>Monthly_Growth!$C$5</f>
        <v>892919</v>
      </c>
      <c r="H349" s="5">
        <f>Monthly_Growth!$D$5</f>
        <v>0.34032074548407532</v>
      </c>
      <c r="I349" s="15">
        <f>Yearly_Growth!$C$2</f>
        <v>5.0333827436586778E-2</v>
      </c>
      <c r="J349" s="15">
        <f>Yearly_Growth!$D$2</f>
        <v>0.03</v>
      </c>
      <c r="K349">
        <f>Sales_Per_Representative!$C$10</f>
        <v>663333</v>
      </c>
      <c r="L349">
        <f>Sales_Per_Rep_Yearly_Goal!$B$2</f>
        <v>665544.80000000005</v>
      </c>
      <c r="M349">
        <f>Sales_Per_Rep_Yearly_Goal!$C$2</f>
        <v>650000</v>
      </c>
    </row>
    <row r="350" spans="1:13" x14ac:dyDescent="0.3">
      <c r="A350" s="3">
        <v>45018</v>
      </c>
      <c r="B350">
        <f t="shared" si="5"/>
        <v>2023</v>
      </c>
      <c r="C350">
        <v>4</v>
      </c>
      <c r="D350" t="s">
        <v>28</v>
      </c>
      <c r="E350" t="s">
        <v>20</v>
      </c>
      <c r="F350" s="2">
        <v>3734</v>
      </c>
      <c r="G350" s="2">
        <f>Monthly_Growth!$C$5</f>
        <v>892919</v>
      </c>
      <c r="H350" s="5">
        <f>Monthly_Growth!$D$5</f>
        <v>0.34032074548407532</v>
      </c>
      <c r="I350" s="15">
        <f>Yearly_Growth!$C$2</f>
        <v>5.0333827436586778E-2</v>
      </c>
      <c r="J350" s="15">
        <f>Yearly_Growth!$D$2</f>
        <v>0.03</v>
      </c>
      <c r="K350">
        <f>Sales_Per_Representative!$C$14</f>
        <v>675530</v>
      </c>
      <c r="L350">
        <f>Sales_Per_Rep_Yearly_Goal!$B$2</f>
        <v>665544.80000000005</v>
      </c>
      <c r="M350">
        <f>Sales_Per_Rep_Yearly_Goal!$C$2</f>
        <v>650000</v>
      </c>
    </row>
    <row r="351" spans="1:13" x14ac:dyDescent="0.3">
      <c r="A351" s="3">
        <v>45018</v>
      </c>
      <c r="B351">
        <f t="shared" si="5"/>
        <v>2023</v>
      </c>
      <c r="C351">
        <v>4</v>
      </c>
      <c r="D351" t="s">
        <v>12</v>
      </c>
      <c r="E351" t="s">
        <v>8</v>
      </c>
      <c r="F351" s="2">
        <v>2033</v>
      </c>
      <c r="G351" s="2">
        <f>Monthly_Growth!$C$5</f>
        <v>892919</v>
      </c>
      <c r="H351" s="5">
        <f>Monthly_Growth!$D$5</f>
        <v>0.34032074548407532</v>
      </c>
      <c r="I351" s="15">
        <f>Yearly_Growth!$C$2</f>
        <v>5.0333827436586778E-2</v>
      </c>
      <c r="J351" s="15">
        <f>Yearly_Growth!$D$2</f>
        <v>0.03</v>
      </c>
      <c r="K351">
        <f>Sales_Per_Representative!$C$15</f>
        <v>701242</v>
      </c>
      <c r="L351">
        <f>Sales_Per_Rep_Yearly_Goal!$B$2</f>
        <v>665544.80000000005</v>
      </c>
      <c r="M351">
        <f>Sales_Per_Rep_Yearly_Goal!$C$2</f>
        <v>650000</v>
      </c>
    </row>
    <row r="352" spans="1:13" x14ac:dyDescent="0.3">
      <c r="A352" s="3">
        <v>45018</v>
      </c>
      <c r="B352">
        <f t="shared" si="5"/>
        <v>2023</v>
      </c>
      <c r="C352">
        <v>4</v>
      </c>
      <c r="D352" t="s">
        <v>12</v>
      </c>
      <c r="E352" t="s">
        <v>10</v>
      </c>
      <c r="F352" s="2">
        <v>5098</v>
      </c>
      <c r="G352" s="2">
        <f>Monthly_Growth!$C$5</f>
        <v>892919</v>
      </c>
      <c r="H352" s="5">
        <f>Monthly_Growth!$D$5</f>
        <v>0.34032074548407532</v>
      </c>
      <c r="I352" s="15">
        <f>Yearly_Growth!$C$2</f>
        <v>5.0333827436586778E-2</v>
      </c>
      <c r="J352" s="15">
        <f>Yearly_Growth!$D$2</f>
        <v>0.03</v>
      </c>
      <c r="K352">
        <f>Sales_Per_Representative!$C$4</f>
        <v>725713</v>
      </c>
      <c r="L352">
        <f>Sales_Per_Rep_Yearly_Goal!$B$2</f>
        <v>665544.80000000005</v>
      </c>
      <c r="M352">
        <f>Sales_Per_Rep_Yearly_Goal!$C$2</f>
        <v>650000</v>
      </c>
    </row>
    <row r="353" spans="1:13" x14ac:dyDescent="0.3">
      <c r="A353" s="3">
        <v>45018</v>
      </c>
      <c r="B353">
        <f t="shared" si="5"/>
        <v>2023</v>
      </c>
      <c r="C353">
        <v>4</v>
      </c>
      <c r="D353" t="s">
        <v>12</v>
      </c>
      <c r="E353" t="s">
        <v>31</v>
      </c>
      <c r="F353" s="2">
        <v>1437</v>
      </c>
      <c r="G353" s="2">
        <f>Monthly_Growth!$C$5</f>
        <v>892919</v>
      </c>
      <c r="H353" s="5">
        <f>Monthly_Growth!$D$5</f>
        <v>0.34032074548407532</v>
      </c>
      <c r="I353" s="15">
        <f>Yearly_Growth!$C$2</f>
        <v>5.0333827436586778E-2</v>
      </c>
      <c r="J353" s="15">
        <f>Yearly_Growth!$D$2</f>
        <v>0.03</v>
      </c>
      <c r="K353">
        <f>Sales_Per_Representative!$C$6</f>
        <v>727823</v>
      </c>
      <c r="L353">
        <f>Sales_Per_Rep_Yearly_Goal!$B$2</f>
        <v>665544.80000000005</v>
      </c>
      <c r="M353">
        <f>Sales_Per_Rep_Yearly_Goal!$C$2</f>
        <v>650000</v>
      </c>
    </row>
    <row r="354" spans="1:13" x14ac:dyDescent="0.3">
      <c r="A354" s="3">
        <v>45019</v>
      </c>
      <c r="B354">
        <f t="shared" si="5"/>
        <v>2023</v>
      </c>
      <c r="C354">
        <v>4</v>
      </c>
      <c r="D354" t="s">
        <v>23</v>
      </c>
      <c r="E354" t="s">
        <v>8</v>
      </c>
      <c r="F354" s="2">
        <v>11562</v>
      </c>
      <c r="G354" s="2">
        <f>Monthly_Growth!$C$5</f>
        <v>892919</v>
      </c>
      <c r="H354" s="5">
        <f>Monthly_Growth!$D$5</f>
        <v>0.34032074548407532</v>
      </c>
      <c r="I354" s="15">
        <f>Yearly_Growth!$C$2</f>
        <v>5.0333827436586778E-2</v>
      </c>
      <c r="J354" s="15">
        <f>Yearly_Growth!$D$2</f>
        <v>0.03</v>
      </c>
      <c r="K354">
        <f>Sales_Per_Representative!$C$15</f>
        <v>701242</v>
      </c>
      <c r="L354">
        <f>Sales_Per_Rep_Yearly_Goal!$B$2</f>
        <v>665544.80000000005</v>
      </c>
      <c r="M354">
        <f>Sales_Per_Rep_Yearly_Goal!$C$2</f>
        <v>650000</v>
      </c>
    </row>
    <row r="355" spans="1:13" x14ac:dyDescent="0.3">
      <c r="A355" s="3">
        <v>45019</v>
      </c>
      <c r="B355">
        <f t="shared" si="5"/>
        <v>2023</v>
      </c>
      <c r="C355">
        <v>4</v>
      </c>
      <c r="D355" t="s">
        <v>25</v>
      </c>
      <c r="E355" t="s">
        <v>29</v>
      </c>
      <c r="F355" s="2">
        <v>10540</v>
      </c>
      <c r="G355" s="2">
        <f>Monthly_Growth!$C$5</f>
        <v>892919</v>
      </c>
      <c r="H355" s="5">
        <f>Monthly_Growth!$D$5</f>
        <v>0.34032074548407532</v>
      </c>
      <c r="I355" s="15">
        <f>Yearly_Growth!$C$2</f>
        <v>5.0333827436586778E-2</v>
      </c>
      <c r="J355" s="15">
        <f>Yearly_Growth!$D$2</f>
        <v>0.03</v>
      </c>
      <c r="K355">
        <f>Sales_Per_Representative!$C$13</f>
        <v>621548</v>
      </c>
      <c r="L355">
        <f>Sales_Per_Rep_Yearly_Goal!$B$2</f>
        <v>665544.80000000005</v>
      </c>
      <c r="M355">
        <f>Sales_Per_Rep_Yearly_Goal!$C$2</f>
        <v>650000</v>
      </c>
    </row>
    <row r="356" spans="1:13" x14ac:dyDescent="0.3">
      <c r="A356" s="3">
        <v>45020</v>
      </c>
      <c r="B356">
        <f t="shared" si="5"/>
        <v>2023</v>
      </c>
      <c r="C356">
        <v>4</v>
      </c>
      <c r="D356" t="s">
        <v>14</v>
      </c>
      <c r="E356" t="s">
        <v>15</v>
      </c>
      <c r="F356" s="2">
        <v>6330</v>
      </c>
      <c r="G356" s="2">
        <f>Monthly_Growth!$C$5</f>
        <v>892919</v>
      </c>
      <c r="H356" s="5">
        <f>Monthly_Growth!$D$5</f>
        <v>0.34032074548407532</v>
      </c>
      <c r="I356" s="15">
        <f>Yearly_Growth!$C$2</f>
        <v>5.0333827436586778E-2</v>
      </c>
      <c r="J356" s="15">
        <f>Yearly_Growth!$D$2</f>
        <v>0.03</v>
      </c>
      <c r="K356">
        <f>Sales_Per_Representative!$C$12</f>
        <v>656359</v>
      </c>
      <c r="L356">
        <f>Sales_Per_Rep_Yearly_Goal!$B$2</f>
        <v>665544.80000000005</v>
      </c>
      <c r="M356">
        <f>Sales_Per_Rep_Yearly_Goal!$C$2</f>
        <v>650000</v>
      </c>
    </row>
    <row r="357" spans="1:13" x14ac:dyDescent="0.3">
      <c r="A357" s="3">
        <v>45020</v>
      </c>
      <c r="B357">
        <f t="shared" si="5"/>
        <v>2023</v>
      </c>
      <c r="C357">
        <v>4</v>
      </c>
      <c r="D357" t="s">
        <v>14</v>
      </c>
      <c r="E357" t="s">
        <v>32</v>
      </c>
      <c r="F357" s="2">
        <v>6627</v>
      </c>
      <c r="G357" s="2">
        <f>Monthly_Growth!$C$5</f>
        <v>892919</v>
      </c>
      <c r="H357" s="5">
        <f>Monthly_Growth!$D$5</f>
        <v>0.34032074548407532</v>
      </c>
      <c r="I357" s="15">
        <f>Yearly_Growth!$C$2</f>
        <v>5.0333827436586778E-2</v>
      </c>
      <c r="J357" s="15">
        <f>Yearly_Growth!$D$2</f>
        <v>0.03</v>
      </c>
      <c r="K357">
        <f>Sales_Per_Representative!$C$3</f>
        <v>762157</v>
      </c>
      <c r="L357">
        <f>Sales_Per_Rep_Yearly_Goal!$B$2</f>
        <v>665544.80000000005</v>
      </c>
      <c r="M357">
        <f>Sales_Per_Rep_Yearly_Goal!$C$2</f>
        <v>650000</v>
      </c>
    </row>
    <row r="358" spans="1:13" x14ac:dyDescent="0.3">
      <c r="A358" s="3">
        <v>45020</v>
      </c>
      <c r="B358">
        <f t="shared" si="5"/>
        <v>2023</v>
      </c>
      <c r="C358">
        <v>4</v>
      </c>
      <c r="D358" t="s">
        <v>19</v>
      </c>
      <c r="E358" t="s">
        <v>5</v>
      </c>
      <c r="F358" s="2">
        <v>4553</v>
      </c>
      <c r="G358" s="2">
        <f>Monthly_Growth!$C$5</f>
        <v>892919</v>
      </c>
      <c r="H358" s="5">
        <f>Monthly_Growth!$D$5</f>
        <v>0.34032074548407532</v>
      </c>
      <c r="I358" s="15">
        <f>Yearly_Growth!$C$2</f>
        <v>5.0333827436586778E-2</v>
      </c>
      <c r="J358" s="15">
        <f>Yearly_Growth!$D$2</f>
        <v>0.03</v>
      </c>
      <c r="K358">
        <f>Sales_Per_Representative!$C$10</f>
        <v>663333</v>
      </c>
      <c r="L358">
        <f>Sales_Per_Rep_Yearly_Goal!$B$2</f>
        <v>665544.80000000005</v>
      </c>
      <c r="M358">
        <f>Sales_Per_Rep_Yearly_Goal!$C$2</f>
        <v>650000</v>
      </c>
    </row>
    <row r="359" spans="1:13" x14ac:dyDescent="0.3">
      <c r="A359" s="3">
        <v>45020</v>
      </c>
      <c r="B359">
        <f t="shared" si="5"/>
        <v>2023</v>
      </c>
      <c r="C359">
        <v>4</v>
      </c>
      <c r="D359" t="s">
        <v>23</v>
      </c>
      <c r="E359" t="s">
        <v>5</v>
      </c>
      <c r="F359" s="2">
        <v>5461</v>
      </c>
      <c r="G359" s="2">
        <f>Monthly_Growth!$C$5</f>
        <v>892919</v>
      </c>
      <c r="H359" s="5">
        <f>Monthly_Growth!$D$5</f>
        <v>0.34032074548407532</v>
      </c>
      <c r="I359" s="15">
        <f>Yearly_Growth!$C$2</f>
        <v>5.0333827436586778E-2</v>
      </c>
      <c r="J359" s="15">
        <f>Yearly_Growth!$D$2</f>
        <v>0.03</v>
      </c>
      <c r="K359">
        <f>Sales_Per_Representative!$C$10</f>
        <v>663333</v>
      </c>
      <c r="L359">
        <f>Sales_Per_Rep_Yearly_Goal!$B$2</f>
        <v>665544.80000000005</v>
      </c>
      <c r="M359">
        <f>Sales_Per_Rep_Yearly_Goal!$C$2</f>
        <v>650000</v>
      </c>
    </row>
    <row r="360" spans="1:13" x14ac:dyDescent="0.3">
      <c r="A360" s="3">
        <v>45021</v>
      </c>
      <c r="B360">
        <f t="shared" si="5"/>
        <v>2023</v>
      </c>
      <c r="C360">
        <v>4</v>
      </c>
      <c r="D360" t="s">
        <v>14</v>
      </c>
      <c r="E360" t="s">
        <v>26</v>
      </c>
      <c r="F360" s="2">
        <v>1889</v>
      </c>
      <c r="G360" s="2">
        <f>Monthly_Growth!$C$5</f>
        <v>892919</v>
      </c>
      <c r="H360" s="5">
        <f>Monthly_Growth!$D$5</f>
        <v>0.34032074548407532</v>
      </c>
      <c r="I360" s="15">
        <f>Yearly_Growth!$C$2</f>
        <v>5.0333827436586778E-2</v>
      </c>
      <c r="J360" s="15">
        <f>Yearly_Growth!$D$2</f>
        <v>0.03</v>
      </c>
      <c r="K360">
        <f>Sales_Per_Representative!$C$16</f>
        <v>666159</v>
      </c>
      <c r="L360">
        <f>Sales_Per_Rep_Yearly_Goal!$B$2</f>
        <v>665544.80000000005</v>
      </c>
      <c r="M360">
        <f>Sales_Per_Rep_Yearly_Goal!$C$2</f>
        <v>650000</v>
      </c>
    </row>
    <row r="361" spans="1:13" x14ac:dyDescent="0.3">
      <c r="A361" s="3">
        <v>45021</v>
      </c>
      <c r="B361">
        <f t="shared" si="5"/>
        <v>2023</v>
      </c>
      <c r="C361">
        <v>4</v>
      </c>
      <c r="D361" t="s">
        <v>28</v>
      </c>
      <c r="E361" t="s">
        <v>33</v>
      </c>
      <c r="F361" s="2">
        <v>12085</v>
      </c>
      <c r="G361" s="2">
        <f>Monthly_Growth!$C$5</f>
        <v>892919</v>
      </c>
      <c r="H361" s="5">
        <f>Monthly_Growth!$D$5</f>
        <v>0.34032074548407532</v>
      </c>
      <c r="I361" s="15">
        <f>Yearly_Growth!$C$2</f>
        <v>5.0333827436586778E-2</v>
      </c>
      <c r="J361" s="15">
        <f>Yearly_Growth!$D$2</f>
        <v>0.03</v>
      </c>
      <c r="K361">
        <f>Sales_Per_Representative!$C$11</f>
        <v>496886</v>
      </c>
      <c r="L361">
        <f>Sales_Per_Rep_Yearly_Goal!$B$2</f>
        <v>665544.80000000005</v>
      </c>
      <c r="M361">
        <f>Sales_Per_Rep_Yearly_Goal!$C$2</f>
        <v>650000</v>
      </c>
    </row>
    <row r="362" spans="1:13" x14ac:dyDescent="0.3">
      <c r="A362" s="3">
        <v>45021</v>
      </c>
      <c r="B362">
        <f t="shared" si="5"/>
        <v>2023</v>
      </c>
      <c r="C362">
        <v>4</v>
      </c>
      <c r="D362" t="s">
        <v>12</v>
      </c>
      <c r="E362" t="s">
        <v>27</v>
      </c>
      <c r="F362" s="2">
        <v>6586</v>
      </c>
      <c r="G362" s="2">
        <f>Monthly_Growth!$C$5</f>
        <v>892919</v>
      </c>
      <c r="H362" s="5">
        <f>Monthly_Growth!$D$5</f>
        <v>0.34032074548407532</v>
      </c>
      <c r="I362" s="15">
        <f>Yearly_Growth!$C$2</f>
        <v>5.0333827436586778E-2</v>
      </c>
      <c r="J362" s="15">
        <f>Yearly_Growth!$D$2</f>
        <v>0.03</v>
      </c>
      <c r="K362">
        <f>Sales_Per_Representative!$C$5</f>
        <v>747962</v>
      </c>
      <c r="L362">
        <f>Sales_Per_Rep_Yearly_Goal!$B$2</f>
        <v>665544.80000000005</v>
      </c>
      <c r="M362">
        <f>Sales_Per_Rep_Yearly_Goal!$C$2</f>
        <v>650000</v>
      </c>
    </row>
    <row r="363" spans="1:13" x14ac:dyDescent="0.3">
      <c r="A363" s="3">
        <v>45022</v>
      </c>
      <c r="B363">
        <f t="shared" si="5"/>
        <v>2023</v>
      </c>
      <c r="C363">
        <v>4</v>
      </c>
      <c r="D363" t="s">
        <v>19</v>
      </c>
      <c r="E363" t="s">
        <v>22</v>
      </c>
      <c r="F363" s="2">
        <v>2988</v>
      </c>
      <c r="G363" s="2">
        <f>Monthly_Growth!$C$5</f>
        <v>892919</v>
      </c>
      <c r="H363" s="5">
        <f>Monthly_Growth!$D$5</f>
        <v>0.34032074548407532</v>
      </c>
      <c r="I363" s="15">
        <f>Yearly_Growth!$C$2</f>
        <v>5.0333827436586778E-2</v>
      </c>
      <c r="J363" s="15">
        <f>Yearly_Growth!$D$2</f>
        <v>0.03</v>
      </c>
      <c r="K363">
        <f>Sales_Per_Representative!$C$8</f>
        <v>649456</v>
      </c>
      <c r="L363">
        <f>Sales_Per_Rep_Yearly_Goal!$B$2</f>
        <v>665544.80000000005</v>
      </c>
      <c r="M363">
        <f>Sales_Per_Rep_Yearly_Goal!$C$2</f>
        <v>650000</v>
      </c>
    </row>
    <row r="364" spans="1:13" x14ac:dyDescent="0.3">
      <c r="A364" s="3">
        <v>45022</v>
      </c>
      <c r="B364">
        <f t="shared" si="5"/>
        <v>2023</v>
      </c>
      <c r="C364">
        <v>4</v>
      </c>
      <c r="D364" t="s">
        <v>23</v>
      </c>
      <c r="E364" t="s">
        <v>30</v>
      </c>
      <c r="F364" s="2">
        <v>5271</v>
      </c>
      <c r="G364" s="2">
        <f>Monthly_Growth!$C$5</f>
        <v>892919</v>
      </c>
      <c r="H364" s="5">
        <f>Monthly_Growth!$D$5</f>
        <v>0.34032074548407532</v>
      </c>
      <c r="I364" s="15">
        <f>Yearly_Growth!$C$2</f>
        <v>5.0333827436586778E-2</v>
      </c>
      <c r="J364" s="15">
        <f>Yearly_Growth!$D$2</f>
        <v>0.03</v>
      </c>
      <c r="K364">
        <f>Sales_Per_Representative!$C$7</f>
        <v>706974</v>
      </c>
      <c r="L364">
        <f>Sales_Per_Rep_Yearly_Goal!$B$2</f>
        <v>665544.80000000005</v>
      </c>
      <c r="M364">
        <f>Sales_Per_Rep_Yearly_Goal!$C$2</f>
        <v>650000</v>
      </c>
    </row>
    <row r="365" spans="1:13" x14ac:dyDescent="0.3">
      <c r="A365" s="3">
        <v>45022</v>
      </c>
      <c r="B365">
        <f t="shared" si="5"/>
        <v>2023</v>
      </c>
      <c r="C365">
        <v>4</v>
      </c>
      <c r="D365" t="s">
        <v>28</v>
      </c>
      <c r="E365" t="s">
        <v>30</v>
      </c>
      <c r="F365" s="2">
        <v>9886</v>
      </c>
      <c r="G365" s="2">
        <f>Monthly_Growth!$C$5</f>
        <v>892919</v>
      </c>
      <c r="H365" s="5">
        <f>Monthly_Growth!$D$5</f>
        <v>0.34032074548407532</v>
      </c>
      <c r="I365" s="15">
        <f>Yearly_Growth!$C$2</f>
        <v>5.0333827436586778E-2</v>
      </c>
      <c r="J365" s="15">
        <f>Yearly_Growth!$D$2</f>
        <v>0.03</v>
      </c>
      <c r="K365">
        <f>Sales_Per_Representative!$C$7</f>
        <v>706974</v>
      </c>
      <c r="L365">
        <f>Sales_Per_Rep_Yearly_Goal!$B$2</f>
        <v>665544.80000000005</v>
      </c>
      <c r="M365">
        <f>Sales_Per_Rep_Yearly_Goal!$C$2</f>
        <v>650000</v>
      </c>
    </row>
    <row r="366" spans="1:13" x14ac:dyDescent="0.3">
      <c r="A366" s="3">
        <v>45022</v>
      </c>
      <c r="B366">
        <f t="shared" si="5"/>
        <v>2023</v>
      </c>
      <c r="C366">
        <v>4</v>
      </c>
      <c r="D366" t="s">
        <v>12</v>
      </c>
      <c r="E366" t="s">
        <v>22</v>
      </c>
      <c r="F366" s="2">
        <v>2981</v>
      </c>
      <c r="G366" s="2">
        <f>Monthly_Growth!$C$5</f>
        <v>892919</v>
      </c>
      <c r="H366" s="5">
        <f>Monthly_Growth!$D$5</f>
        <v>0.34032074548407532</v>
      </c>
      <c r="I366" s="15">
        <f>Yearly_Growth!$C$2</f>
        <v>5.0333827436586778E-2</v>
      </c>
      <c r="J366" s="15">
        <f>Yearly_Growth!$D$2</f>
        <v>0.03</v>
      </c>
      <c r="K366">
        <f>Sales_Per_Representative!$C$8</f>
        <v>649456</v>
      </c>
      <c r="L366">
        <f>Sales_Per_Rep_Yearly_Goal!$B$2</f>
        <v>665544.80000000005</v>
      </c>
      <c r="M366">
        <f>Sales_Per_Rep_Yearly_Goal!$C$2</f>
        <v>650000</v>
      </c>
    </row>
    <row r="367" spans="1:13" x14ac:dyDescent="0.3">
      <c r="A367" s="3">
        <v>45023</v>
      </c>
      <c r="B367">
        <f t="shared" si="5"/>
        <v>2023</v>
      </c>
      <c r="C367">
        <v>4</v>
      </c>
      <c r="D367" t="s">
        <v>23</v>
      </c>
      <c r="E367" t="s">
        <v>8</v>
      </c>
      <c r="F367" s="2">
        <v>8633</v>
      </c>
      <c r="G367" s="2">
        <f>Monthly_Growth!$C$5</f>
        <v>892919</v>
      </c>
      <c r="H367" s="5">
        <f>Monthly_Growth!$D$5</f>
        <v>0.34032074548407532</v>
      </c>
      <c r="I367" s="15">
        <f>Yearly_Growth!$C$2</f>
        <v>5.0333827436586778E-2</v>
      </c>
      <c r="J367" s="15">
        <f>Yearly_Growth!$D$2</f>
        <v>0.03</v>
      </c>
      <c r="K367">
        <f>Sales_Per_Representative!$C$15</f>
        <v>701242</v>
      </c>
      <c r="L367">
        <f>Sales_Per_Rep_Yearly_Goal!$B$2</f>
        <v>665544.80000000005</v>
      </c>
      <c r="M367">
        <f>Sales_Per_Rep_Yearly_Goal!$C$2</f>
        <v>650000</v>
      </c>
    </row>
    <row r="368" spans="1:13" x14ac:dyDescent="0.3">
      <c r="A368" s="3">
        <v>45023</v>
      </c>
      <c r="B368">
        <f t="shared" si="5"/>
        <v>2023</v>
      </c>
      <c r="C368">
        <v>4</v>
      </c>
      <c r="D368" t="s">
        <v>25</v>
      </c>
      <c r="E368" t="s">
        <v>20</v>
      </c>
      <c r="F368" s="2">
        <v>11397</v>
      </c>
      <c r="G368" s="2">
        <f>Monthly_Growth!$C$5</f>
        <v>892919</v>
      </c>
      <c r="H368" s="5">
        <f>Monthly_Growth!$D$5</f>
        <v>0.34032074548407532</v>
      </c>
      <c r="I368" s="15">
        <f>Yearly_Growth!$C$2</f>
        <v>5.0333827436586778E-2</v>
      </c>
      <c r="J368" s="15">
        <f>Yearly_Growth!$D$2</f>
        <v>0.03</v>
      </c>
      <c r="K368">
        <f>Sales_Per_Representative!$C$14</f>
        <v>675530</v>
      </c>
      <c r="L368">
        <f>Sales_Per_Rep_Yearly_Goal!$B$2</f>
        <v>665544.80000000005</v>
      </c>
      <c r="M368">
        <f>Sales_Per_Rep_Yearly_Goal!$C$2</f>
        <v>650000</v>
      </c>
    </row>
    <row r="369" spans="1:13" x14ac:dyDescent="0.3">
      <c r="A369" s="3">
        <v>45023</v>
      </c>
      <c r="B369">
        <f t="shared" si="5"/>
        <v>2023</v>
      </c>
      <c r="C369">
        <v>4</v>
      </c>
      <c r="D369" t="s">
        <v>7</v>
      </c>
      <c r="E369" t="s">
        <v>15</v>
      </c>
      <c r="F369" s="2">
        <v>1966</v>
      </c>
      <c r="G369" s="2">
        <f>Monthly_Growth!$C$5</f>
        <v>892919</v>
      </c>
      <c r="H369" s="5">
        <f>Monthly_Growth!$D$5</f>
        <v>0.34032074548407532</v>
      </c>
      <c r="I369" s="15">
        <f>Yearly_Growth!$C$2</f>
        <v>5.0333827436586778E-2</v>
      </c>
      <c r="J369" s="15">
        <f>Yearly_Growth!$D$2</f>
        <v>0.03</v>
      </c>
      <c r="K369">
        <f>Sales_Per_Representative!$C$12</f>
        <v>656359</v>
      </c>
      <c r="L369">
        <f>Sales_Per_Rep_Yearly_Goal!$B$2</f>
        <v>665544.80000000005</v>
      </c>
      <c r="M369">
        <f>Sales_Per_Rep_Yearly_Goal!$C$2</f>
        <v>650000</v>
      </c>
    </row>
    <row r="370" spans="1:13" x14ac:dyDescent="0.3">
      <c r="A370" s="3">
        <v>45023</v>
      </c>
      <c r="B370">
        <f t="shared" si="5"/>
        <v>2023</v>
      </c>
      <c r="C370">
        <v>4</v>
      </c>
      <c r="D370" t="s">
        <v>28</v>
      </c>
      <c r="E370" t="s">
        <v>22</v>
      </c>
      <c r="F370" s="2">
        <v>6195</v>
      </c>
      <c r="G370" s="2">
        <f>Monthly_Growth!$C$5</f>
        <v>892919</v>
      </c>
      <c r="H370" s="5">
        <f>Monthly_Growth!$D$5</f>
        <v>0.34032074548407532</v>
      </c>
      <c r="I370" s="15">
        <f>Yearly_Growth!$C$2</f>
        <v>5.0333827436586778E-2</v>
      </c>
      <c r="J370" s="15">
        <f>Yearly_Growth!$D$2</f>
        <v>0.03</v>
      </c>
      <c r="K370">
        <f>Sales_Per_Representative!$C$8</f>
        <v>649456</v>
      </c>
      <c r="L370">
        <f>Sales_Per_Rep_Yearly_Goal!$B$2</f>
        <v>665544.80000000005</v>
      </c>
      <c r="M370">
        <f>Sales_Per_Rep_Yearly_Goal!$C$2</f>
        <v>650000</v>
      </c>
    </row>
    <row r="371" spans="1:13" x14ac:dyDescent="0.3">
      <c r="A371" s="3">
        <v>45024</v>
      </c>
      <c r="B371">
        <f t="shared" si="5"/>
        <v>2023</v>
      </c>
      <c r="C371">
        <v>4</v>
      </c>
      <c r="D371" t="s">
        <v>19</v>
      </c>
      <c r="E371" t="s">
        <v>31</v>
      </c>
      <c r="F371" s="2">
        <v>3562</v>
      </c>
      <c r="G371" s="2">
        <f>Monthly_Growth!$C$5</f>
        <v>892919</v>
      </c>
      <c r="H371" s="5">
        <f>Monthly_Growth!$D$5</f>
        <v>0.34032074548407532</v>
      </c>
      <c r="I371" s="15">
        <f>Yearly_Growth!$C$2</f>
        <v>5.0333827436586778E-2</v>
      </c>
      <c r="J371" s="15">
        <f>Yearly_Growth!$D$2</f>
        <v>0.03</v>
      </c>
      <c r="K371">
        <f>Sales_Per_Representative!$C$6</f>
        <v>727823</v>
      </c>
      <c r="L371">
        <f>Sales_Per_Rep_Yearly_Goal!$B$2</f>
        <v>665544.80000000005</v>
      </c>
      <c r="M371">
        <f>Sales_Per_Rep_Yearly_Goal!$C$2</f>
        <v>650000</v>
      </c>
    </row>
    <row r="372" spans="1:13" x14ac:dyDescent="0.3">
      <c r="A372" s="3">
        <v>45024</v>
      </c>
      <c r="B372">
        <f t="shared" si="5"/>
        <v>2023</v>
      </c>
      <c r="C372">
        <v>4</v>
      </c>
      <c r="D372" t="s">
        <v>19</v>
      </c>
      <c r="E372" t="s">
        <v>32</v>
      </c>
      <c r="F372" s="2">
        <v>13571</v>
      </c>
      <c r="G372" s="2">
        <f>Monthly_Growth!$C$5</f>
        <v>892919</v>
      </c>
      <c r="H372" s="5">
        <f>Monthly_Growth!$D$5</f>
        <v>0.34032074548407532</v>
      </c>
      <c r="I372" s="15">
        <f>Yearly_Growth!$C$2</f>
        <v>5.0333827436586778E-2</v>
      </c>
      <c r="J372" s="15">
        <f>Yearly_Growth!$D$2</f>
        <v>0.03</v>
      </c>
      <c r="K372">
        <f>Sales_Per_Representative!$C$3</f>
        <v>762157</v>
      </c>
      <c r="L372">
        <f>Sales_Per_Rep_Yearly_Goal!$B$2</f>
        <v>665544.80000000005</v>
      </c>
      <c r="M372">
        <f>Sales_Per_Rep_Yearly_Goal!$C$2</f>
        <v>650000</v>
      </c>
    </row>
    <row r="373" spans="1:13" x14ac:dyDescent="0.3">
      <c r="A373" s="3">
        <v>45024</v>
      </c>
      <c r="B373">
        <f t="shared" si="5"/>
        <v>2023</v>
      </c>
      <c r="C373">
        <v>4</v>
      </c>
      <c r="D373" t="s">
        <v>25</v>
      </c>
      <c r="E373" t="s">
        <v>5</v>
      </c>
      <c r="F373" s="2">
        <v>9321</v>
      </c>
      <c r="G373" s="2">
        <f>Monthly_Growth!$C$5</f>
        <v>892919</v>
      </c>
      <c r="H373" s="5">
        <f>Monthly_Growth!$D$5</f>
        <v>0.34032074548407532</v>
      </c>
      <c r="I373" s="15">
        <f>Yearly_Growth!$C$2</f>
        <v>5.0333827436586778E-2</v>
      </c>
      <c r="J373" s="15">
        <f>Yearly_Growth!$D$2</f>
        <v>0.03</v>
      </c>
      <c r="K373">
        <f>Sales_Per_Representative!$C$10</f>
        <v>663333</v>
      </c>
      <c r="L373">
        <f>Sales_Per_Rep_Yearly_Goal!$B$2</f>
        <v>665544.80000000005</v>
      </c>
      <c r="M373">
        <f>Sales_Per_Rep_Yearly_Goal!$C$2</f>
        <v>650000</v>
      </c>
    </row>
    <row r="374" spans="1:13" x14ac:dyDescent="0.3">
      <c r="A374" s="3">
        <v>45024</v>
      </c>
      <c r="B374">
        <f t="shared" si="5"/>
        <v>2023</v>
      </c>
      <c r="C374">
        <v>4</v>
      </c>
      <c r="D374" t="s">
        <v>25</v>
      </c>
      <c r="E374" t="s">
        <v>10</v>
      </c>
      <c r="F374" s="2">
        <v>3928</v>
      </c>
      <c r="G374" s="2">
        <f>Monthly_Growth!$C$5</f>
        <v>892919</v>
      </c>
      <c r="H374" s="5">
        <f>Monthly_Growth!$D$5</f>
        <v>0.34032074548407532</v>
      </c>
      <c r="I374" s="15">
        <f>Yearly_Growth!$C$2</f>
        <v>5.0333827436586778E-2</v>
      </c>
      <c r="J374" s="15">
        <f>Yearly_Growth!$D$2</f>
        <v>0.03</v>
      </c>
      <c r="K374">
        <f>Sales_Per_Representative!$C$4</f>
        <v>725713</v>
      </c>
      <c r="L374">
        <f>Sales_Per_Rep_Yearly_Goal!$B$2</f>
        <v>665544.80000000005</v>
      </c>
      <c r="M374">
        <f>Sales_Per_Rep_Yearly_Goal!$C$2</f>
        <v>650000</v>
      </c>
    </row>
    <row r="375" spans="1:13" x14ac:dyDescent="0.3">
      <c r="A375" s="3">
        <v>45024</v>
      </c>
      <c r="B375">
        <f t="shared" si="5"/>
        <v>2023</v>
      </c>
      <c r="C375">
        <v>4</v>
      </c>
      <c r="D375" t="s">
        <v>28</v>
      </c>
      <c r="E375" t="s">
        <v>31</v>
      </c>
      <c r="F375" s="2">
        <v>13874</v>
      </c>
      <c r="G375" s="2">
        <f>Monthly_Growth!$C$5</f>
        <v>892919</v>
      </c>
      <c r="H375" s="5">
        <f>Monthly_Growth!$D$5</f>
        <v>0.34032074548407532</v>
      </c>
      <c r="I375" s="15">
        <f>Yearly_Growth!$C$2</f>
        <v>5.0333827436586778E-2</v>
      </c>
      <c r="J375" s="15">
        <f>Yearly_Growth!$D$2</f>
        <v>0.03</v>
      </c>
      <c r="K375">
        <f>Sales_Per_Representative!$C$6</f>
        <v>727823</v>
      </c>
      <c r="L375">
        <f>Sales_Per_Rep_Yearly_Goal!$B$2</f>
        <v>665544.80000000005</v>
      </c>
      <c r="M375">
        <f>Sales_Per_Rep_Yearly_Goal!$C$2</f>
        <v>650000</v>
      </c>
    </row>
    <row r="376" spans="1:13" x14ac:dyDescent="0.3">
      <c r="A376" s="3">
        <v>45025</v>
      </c>
      <c r="B376">
        <f t="shared" si="5"/>
        <v>2023</v>
      </c>
      <c r="C376">
        <v>4</v>
      </c>
      <c r="D376" t="s">
        <v>25</v>
      </c>
      <c r="E376" t="s">
        <v>20</v>
      </c>
      <c r="F376" s="2">
        <v>10182</v>
      </c>
      <c r="G376" s="2">
        <f>Monthly_Growth!$C$5</f>
        <v>892919</v>
      </c>
      <c r="H376" s="5">
        <f>Monthly_Growth!$D$5</f>
        <v>0.34032074548407532</v>
      </c>
      <c r="I376" s="15">
        <f>Yearly_Growth!$C$2</f>
        <v>5.0333827436586778E-2</v>
      </c>
      <c r="J376" s="15">
        <f>Yearly_Growth!$D$2</f>
        <v>0.03</v>
      </c>
      <c r="K376">
        <f>Sales_Per_Representative!$C$14</f>
        <v>675530</v>
      </c>
      <c r="L376">
        <f>Sales_Per_Rep_Yearly_Goal!$B$2</f>
        <v>665544.80000000005</v>
      </c>
      <c r="M376">
        <f>Sales_Per_Rep_Yearly_Goal!$C$2</f>
        <v>650000</v>
      </c>
    </row>
    <row r="377" spans="1:13" x14ac:dyDescent="0.3">
      <c r="A377" s="3">
        <v>45025</v>
      </c>
      <c r="B377">
        <f t="shared" si="5"/>
        <v>2023</v>
      </c>
      <c r="C377">
        <v>4</v>
      </c>
      <c r="D377" t="s">
        <v>7</v>
      </c>
      <c r="E377" t="s">
        <v>20</v>
      </c>
      <c r="F377" s="2">
        <v>7300</v>
      </c>
      <c r="G377" s="2">
        <f>Monthly_Growth!$C$5</f>
        <v>892919</v>
      </c>
      <c r="H377" s="5">
        <f>Monthly_Growth!$D$5</f>
        <v>0.34032074548407532</v>
      </c>
      <c r="I377" s="15">
        <f>Yearly_Growth!$C$2</f>
        <v>5.0333827436586778E-2</v>
      </c>
      <c r="J377" s="15">
        <f>Yearly_Growth!$D$2</f>
        <v>0.03</v>
      </c>
      <c r="K377">
        <f>Sales_Per_Representative!$C$14</f>
        <v>675530</v>
      </c>
      <c r="L377">
        <f>Sales_Per_Rep_Yearly_Goal!$B$2</f>
        <v>665544.80000000005</v>
      </c>
      <c r="M377">
        <f>Sales_Per_Rep_Yearly_Goal!$C$2</f>
        <v>650000</v>
      </c>
    </row>
    <row r="378" spans="1:13" x14ac:dyDescent="0.3">
      <c r="A378" s="3">
        <v>45025</v>
      </c>
      <c r="B378">
        <f t="shared" si="5"/>
        <v>2023</v>
      </c>
      <c r="C378">
        <v>4</v>
      </c>
      <c r="D378" t="s">
        <v>12</v>
      </c>
      <c r="E378" t="s">
        <v>27</v>
      </c>
      <c r="F378" s="2">
        <v>13376</v>
      </c>
      <c r="G378" s="2">
        <f>Monthly_Growth!$C$5</f>
        <v>892919</v>
      </c>
      <c r="H378" s="5">
        <f>Monthly_Growth!$D$5</f>
        <v>0.34032074548407532</v>
      </c>
      <c r="I378" s="15">
        <f>Yearly_Growth!$C$2</f>
        <v>5.0333827436586778E-2</v>
      </c>
      <c r="J378" s="15">
        <f>Yearly_Growth!$D$2</f>
        <v>0.03</v>
      </c>
      <c r="K378">
        <f>Sales_Per_Representative!$C$5</f>
        <v>747962</v>
      </c>
      <c r="L378">
        <f>Sales_Per_Rep_Yearly_Goal!$B$2</f>
        <v>665544.80000000005</v>
      </c>
      <c r="M378">
        <f>Sales_Per_Rep_Yearly_Goal!$C$2</f>
        <v>650000</v>
      </c>
    </row>
    <row r="379" spans="1:13" x14ac:dyDescent="0.3">
      <c r="A379" s="3">
        <v>45025</v>
      </c>
      <c r="B379">
        <f t="shared" si="5"/>
        <v>2023</v>
      </c>
      <c r="C379">
        <v>4</v>
      </c>
      <c r="D379" t="s">
        <v>12</v>
      </c>
      <c r="E379" t="s">
        <v>32</v>
      </c>
      <c r="F379" s="2">
        <v>2019</v>
      </c>
      <c r="G379" s="2">
        <f>Monthly_Growth!$C$5</f>
        <v>892919</v>
      </c>
      <c r="H379" s="5">
        <f>Monthly_Growth!$D$5</f>
        <v>0.34032074548407532</v>
      </c>
      <c r="I379" s="15">
        <f>Yearly_Growth!$C$2</f>
        <v>5.0333827436586778E-2</v>
      </c>
      <c r="J379" s="15">
        <f>Yearly_Growth!$D$2</f>
        <v>0.03</v>
      </c>
      <c r="K379">
        <f>Sales_Per_Representative!$C$3</f>
        <v>762157</v>
      </c>
      <c r="L379">
        <f>Sales_Per_Rep_Yearly_Goal!$B$2</f>
        <v>665544.80000000005</v>
      </c>
      <c r="M379">
        <f>Sales_Per_Rep_Yearly_Goal!$C$2</f>
        <v>650000</v>
      </c>
    </row>
    <row r="380" spans="1:13" x14ac:dyDescent="0.3">
      <c r="A380" s="3">
        <v>45026</v>
      </c>
      <c r="B380">
        <f t="shared" si="5"/>
        <v>2023</v>
      </c>
      <c r="C380">
        <v>4</v>
      </c>
      <c r="D380" t="s">
        <v>28</v>
      </c>
      <c r="E380" t="s">
        <v>20</v>
      </c>
      <c r="F380" s="2">
        <v>2238</v>
      </c>
      <c r="G380" s="2">
        <f>Monthly_Growth!$C$5</f>
        <v>892919</v>
      </c>
      <c r="H380" s="5">
        <f>Monthly_Growth!$D$5</f>
        <v>0.34032074548407532</v>
      </c>
      <c r="I380" s="15">
        <f>Yearly_Growth!$C$2</f>
        <v>5.0333827436586778E-2</v>
      </c>
      <c r="J380" s="15">
        <f>Yearly_Growth!$D$2</f>
        <v>0.03</v>
      </c>
      <c r="K380">
        <f>Sales_Per_Representative!$C$14</f>
        <v>675530</v>
      </c>
      <c r="L380">
        <f>Sales_Per_Rep_Yearly_Goal!$B$2</f>
        <v>665544.80000000005</v>
      </c>
      <c r="M380">
        <f>Sales_Per_Rep_Yearly_Goal!$C$2</f>
        <v>650000</v>
      </c>
    </row>
    <row r="381" spans="1:13" x14ac:dyDescent="0.3">
      <c r="A381" s="3">
        <v>45026</v>
      </c>
      <c r="B381">
        <f t="shared" si="5"/>
        <v>2023</v>
      </c>
      <c r="C381">
        <v>4</v>
      </c>
      <c r="D381" t="s">
        <v>28</v>
      </c>
      <c r="E381" t="s">
        <v>8</v>
      </c>
      <c r="F381" s="2">
        <v>6751</v>
      </c>
      <c r="G381" s="2">
        <f>Monthly_Growth!$C$5</f>
        <v>892919</v>
      </c>
      <c r="H381" s="5">
        <f>Monthly_Growth!$D$5</f>
        <v>0.34032074548407532</v>
      </c>
      <c r="I381" s="15">
        <f>Yearly_Growth!$C$2</f>
        <v>5.0333827436586778E-2</v>
      </c>
      <c r="J381" s="15">
        <f>Yearly_Growth!$D$2</f>
        <v>0.03</v>
      </c>
      <c r="K381">
        <f>Sales_Per_Representative!$C$15</f>
        <v>701242</v>
      </c>
      <c r="L381">
        <f>Sales_Per_Rep_Yearly_Goal!$B$2</f>
        <v>665544.80000000005</v>
      </c>
      <c r="M381">
        <f>Sales_Per_Rep_Yearly_Goal!$C$2</f>
        <v>650000</v>
      </c>
    </row>
    <row r="382" spans="1:13" x14ac:dyDescent="0.3">
      <c r="A382" s="3">
        <v>45026</v>
      </c>
      <c r="B382">
        <f t="shared" si="5"/>
        <v>2023</v>
      </c>
      <c r="C382">
        <v>4</v>
      </c>
      <c r="D382" t="s">
        <v>12</v>
      </c>
      <c r="E382" t="s">
        <v>10</v>
      </c>
      <c r="F382" s="2">
        <v>4257</v>
      </c>
      <c r="G382" s="2">
        <f>Monthly_Growth!$C$5</f>
        <v>892919</v>
      </c>
      <c r="H382" s="5">
        <f>Monthly_Growth!$D$5</f>
        <v>0.34032074548407532</v>
      </c>
      <c r="I382" s="15">
        <f>Yearly_Growth!$C$2</f>
        <v>5.0333827436586778E-2</v>
      </c>
      <c r="J382" s="15">
        <f>Yearly_Growth!$D$2</f>
        <v>0.03</v>
      </c>
      <c r="K382">
        <f>Sales_Per_Representative!$C$4</f>
        <v>725713</v>
      </c>
      <c r="L382">
        <f>Sales_Per_Rep_Yearly_Goal!$B$2</f>
        <v>665544.80000000005</v>
      </c>
      <c r="M382">
        <f>Sales_Per_Rep_Yearly_Goal!$C$2</f>
        <v>650000</v>
      </c>
    </row>
    <row r="383" spans="1:13" x14ac:dyDescent="0.3">
      <c r="A383" s="3">
        <v>45026</v>
      </c>
      <c r="B383">
        <f t="shared" si="5"/>
        <v>2023</v>
      </c>
      <c r="C383">
        <v>4</v>
      </c>
      <c r="D383" t="s">
        <v>12</v>
      </c>
      <c r="E383" t="s">
        <v>32</v>
      </c>
      <c r="F383" s="2">
        <v>8467</v>
      </c>
      <c r="G383" s="2">
        <f>Monthly_Growth!$C$5</f>
        <v>892919</v>
      </c>
      <c r="H383" s="5">
        <f>Monthly_Growth!$D$5</f>
        <v>0.34032074548407532</v>
      </c>
      <c r="I383" s="15">
        <f>Yearly_Growth!$C$2</f>
        <v>5.0333827436586778E-2</v>
      </c>
      <c r="J383" s="15">
        <f>Yearly_Growth!$D$2</f>
        <v>0.03</v>
      </c>
      <c r="K383">
        <f>Sales_Per_Representative!$C$3</f>
        <v>762157</v>
      </c>
      <c r="L383">
        <f>Sales_Per_Rep_Yearly_Goal!$B$2</f>
        <v>665544.80000000005</v>
      </c>
      <c r="M383">
        <f>Sales_Per_Rep_Yearly_Goal!$C$2</f>
        <v>650000</v>
      </c>
    </row>
    <row r="384" spans="1:13" x14ac:dyDescent="0.3">
      <c r="A384" s="3">
        <v>45026</v>
      </c>
      <c r="B384">
        <f t="shared" si="5"/>
        <v>2023</v>
      </c>
      <c r="C384">
        <v>4</v>
      </c>
      <c r="D384" t="s">
        <v>12</v>
      </c>
      <c r="E384" t="s">
        <v>31</v>
      </c>
      <c r="F384" s="2">
        <v>11548</v>
      </c>
      <c r="G384" s="2">
        <f>Monthly_Growth!$C$5</f>
        <v>892919</v>
      </c>
      <c r="H384" s="5">
        <f>Monthly_Growth!$D$5</f>
        <v>0.34032074548407532</v>
      </c>
      <c r="I384" s="15">
        <f>Yearly_Growth!$C$2</f>
        <v>5.0333827436586778E-2</v>
      </c>
      <c r="J384" s="15">
        <f>Yearly_Growth!$D$2</f>
        <v>0.03</v>
      </c>
      <c r="K384">
        <f>Sales_Per_Representative!$C$6</f>
        <v>727823</v>
      </c>
      <c r="L384">
        <f>Sales_Per_Rep_Yearly_Goal!$B$2</f>
        <v>665544.80000000005</v>
      </c>
      <c r="M384">
        <f>Sales_Per_Rep_Yearly_Goal!$C$2</f>
        <v>650000</v>
      </c>
    </row>
    <row r="385" spans="1:13" x14ac:dyDescent="0.3">
      <c r="A385" s="3">
        <v>45027</v>
      </c>
      <c r="B385">
        <f t="shared" si="5"/>
        <v>2023</v>
      </c>
      <c r="C385">
        <v>4</v>
      </c>
      <c r="D385" t="s">
        <v>14</v>
      </c>
      <c r="E385" t="s">
        <v>20</v>
      </c>
      <c r="F385" s="2">
        <v>2616</v>
      </c>
      <c r="G385" s="2">
        <f>Monthly_Growth!$C$5</f>
        <v>892919</v>
      </c>
      <c r="H385" s="5">
        <f>Monthly_Growth!$D$5</f>
        <v>0.34032074548407532</v>
      </c>
      <c r="I385" s="15">
        <f>Yearly_Growth!$C$2</f>
        <v>5.0333827436586778E-2</v>
      </c>
      <c r="J385" s="15">
        <f>Yearly_Growth!$D$2</f>
        <v>0.03</v>
      </c>
      <c r="K385">
        <f>Sales_Per_Representative!$C$14</f>
        <v>675530</v>
      </c>
      <c r="L385">
        <f>Sales_Per_Rep_Yearly_Goal!$B$2</f>
        <v>665544.80000000005</v>
      </c>
      <c r="M385">
        <f>Sales_Per_Rep_Yearly_Goal!$C$2</f>
        <v>650000</v>
      </c>
    </row>
    <row r="386" spans="1:13" x14ac:dyDescent="0.3">
      <c r="A386" s="3">
        <v>45027</v>
      </c>
      <c r="B386">
        <f t="shared" si="5"/>
        <v>2023</v>
      </c>
      <c r="C386">
        <v>4</v>
      </c>
      <c r="D386" t="s">
        <v>19</v>
      </c>
      <c r="E386" t="s">
        <v>20</v>
      </c>
      <c r="F386" s="2">
        <v>13961</v>
      </c>
      <c r="G386" s="2">
        <f>Monthly_Growth!$C$5</f>
        <v>892919</v>
      </c>
      <c r="H386" s="5">
        <f>Monthly_Growth!$D$5</f>
        <v>0.34032074548407532</v>
      </c>
      <c r="I386" s="15">
        <f>Yearly_Growth!$C$2</f>
        <v>5.0333827436586778E-2</v>
      </c>
      <c r="J386" s="15">
        <f>Yearly_Growth!$D$2</f>
        <v>0.03</v>
      </c>
      <c r="K386">
        <f>Sales_Per_Representative!$C$14</f>
        <v>675530</v>
      </c>
      <c r="L386">
        <f>Sales_Per_Rep_Yearly_Goal!$B$2</f>
        <v>665544.80000000005</v>
      </c>
      <c r="M386">
        <f>Sales_Per_Rep_Yearly_Goal!$C$2</f>
        <v>650000</v>
      </c>
    </row>
    <row r="387" spans="1:13" x14ac:dyDescent="0.3">
      <c r="A387" s="3">
        <v>45027</v>
      </c>
      <c r="B387">
        <f t="shared" ref="B387:B450" si="6">YEAR(A387)</f>
        <v>2023</v>
      </c>
      <c r="C387">
        <v>4</v>
      </c>
      <c r="D387" t="s">
        <v>25</v>
      </c>
      <c r="E387" t="s">
        <v>5</v>
      </c>
      <c r="F387" s="2">
        <v>10742</v>
      </c>
      <c r="G387" s="2">
        <f>Monthly_Growth!$C$5</f>
        <v>892919</v>
      </c>
      <c r="H387" s="5">
        <f>Monthly_Growth!$D$5</f>
        <v>0.34032074548407532</v>
      </c>
      <c r="I387" s="15">
        <f>Yearly_Growth!$C$2</f>
        <v>5.0333827436586778E-2</v>
      </c>
      <c r="J387" s="15">
        <f>Yearly_Growth!$D$2</f>
        <v>0.03</v>
      </c>
      <c r="K387">
        <f>Sales_Per_Representative!$C$10</f>
        <v>663333</v>
      </c>
      <c r="L387">
        <f>Sales_Per_Rep_Yearly_Goal!$B$2</f>
        <v>665544.80000000005</v>
      </c>
      <c r="M387">
        <f>Sales_Per_Rep_Yearly_Goal!$C$2</f>
        <v>650000</v>
      </c>
    </row>
    <row r="388" spans="1:13" x14ac:dyDescent="0.3">
      <c r="A388" s="3">
        <v>45027</v>
      </c>
      <c r="B388">
        <f t="shared" si="6"/>
        <v>2023</v>
      </c>
      <c r="C388">
        <v>4</v>
      </c>
      <c r="D388" t="s">
        <v>7</v>
      </c>
      <c r="E388" t="s">
        <v>27</v>
      </c>
      <c r="F388" s="2">
        <v>1595</v>
      </c>
      <c r="G388" s="2">
        <f>Monthly_Growth!$C$5</f>
        <v>892919</v>
      </c>
      <c r="H388" s="5">
        <f>Monthly_Growth!$D$5</f>
        <v>0.34032074548407532</v>
      </c>
      <c r="I388" s="15">
        <f>Yearly_Growth!$C$2</f>
        <v>5.0333827436586778E-2</v>
      </c>
      <c r="J388" s="15">
        <f>Yearly_Growth!$D$2</f>
        <v>0.03</v>
      </c>
      <c r="K388">
        <f>Sales_Per_Representative!$C$5</f>
        <v>747962</v>
      </c>
      <c r="L388">
        <f>Sales_Per_Rep_Yearly_Goal!$B$2</f>
        <v>665544.80000000005</v>
      </c>
      <c r="M388">
        <f>Sales_Per_Rep_Yearly_Goal!$C$2</f>
        <v>650000</v>
      </c>
    </row>
    <row r="389" spans="1:13" x14ac:dyDescent="0.3">
      <c r="A389" s="3">
        <v>45027</v>
      </c>
      <c r="B389">
        <f t="shared" si="6"/>
        <v>2023</v>
      </c>
      <c r="C389">
        <v>4</v>
      </c>
      <c r="D389" t="s">
        <v>28</v>
      </c>
      <c r="E389" t="s">
        <v>5</v>
      </c>
      <c r="F389" s="2">
        <v>9535</v>
      </c>
      <c r="G389" s="2">
        <f>Monthly_Growth!$C$5</f>
        <v>892919</v>
      </c>
      <c r="H389" s="5">
        <f>Monthly_Growth!$D$5</f>
        <v>0.34032074548407532</v>
      </c>
      <c r="I389" s="15">
        <f>Yearly_Growth!$C$2</f>
        <v>5.0333827436586778E-2</v>
      </c>
      <c r="J389" s="15">
        <f>Yearly_Growth!$D$2</f>
        <v>0.03</v>
      </c>
      <c r="K389">
        <f>Sales_Per_Representative!$C$10</f>
        <v>663333</v>
      </c>
      <c r="L389">
        <f>Sales_Per_Rep_Yearly_Goal!$B$2</f>
        <v>665544.80000000005</v>
      </c>
      <c r="M389">
        <f>Sales_Per_Rep_Yearly_Goal!$C$2</f>
        <v>650000</v>
      </c>
    </row>
    <row r="390" spans="1:13" x14ac:dyDescent="0.3">
      <c r="A390" s="3">
        <v>45027</v>
      </c>
      <c r="B390">
        <f t="shared" si="6"/>
        <v>2023</v>
      </c>
      <c r="C390">
        <v>4</v>
      </c>
      <c r="D390" t="s">
        <v>28</v>
      </c>
      <c r="E390" t="s">
        <v>27</v>
      </c>
      <c r="F390" s="2">
        <v>5885</v>
      </c>
      <c r="G390" s="2">
        <f>Monthly_Growth!$C$5</f>
        <v>892919</v>
      </c>
      <c r="H390" s="5">
        <f>Monthly_Growth!$D$5</f>
        <v>0.34032074548407532</v>
      </c>
      <c r="I390" s="15">
        <f>Yearly_Growth!$C$2</f>
        <v>5.0333827436586778E-2</v>
      </c>
      <c r="J390" s="15">
        <f>Yearly_Growth!$D$2</f>
        <v>0.03</v>
      </c>
      <c r="K390">
        <f>Sales_Per_Representative!$C$5</f>
        <v>747962</v>
      </c>
      <c r="L390">
        <f>Sales_Per_Rep_Yearly_Goal!$B$2</f>
        <v>665544.80000000005</v>
      </c>
      <c r="M390">
        <f>Sales_Per_Rep_Yearly_Goal!$C$2</f>
        <v>650000</v>
      </c>
    </row>
    <row r="391" spans="1:13" x14ac:dyDescent="0.3">
      <c r="A391" s="3">
        <v>45028</v>
      </c>
      <c r="B391">
        <f t="shared" si="6"/>
        <v>2023</v>
      </c>
      <c r="C391">
        <v>4</v>
      </c>
      <c r="D391" t="s">
        <v>23</v>
      </c>
      <c r="E391" t="s">
        <v>31</v>
      </c>
      <c r="F391" s="2">
        <v>4002</v>
      </c>
      <c r="G391" s="2">
        <f>Monthly_Growth!$C$5</f>
        <v>892919</v>
      </c>
      <c r="H391" s="5">
        <f>Monthly_Growth!$D$5</f>
        <v>0.34032074548407532</v>
      </c>
      <c r="I391" s="15">
        <f>Yearly_Growth!$C$2</f>
        <v>5.0333827436586778E-2</v>
      </c>
      <c r="J391" s="15">
        <f>Yearly_Growth!$D$2</f>
        <v>0.03</v>
      </c>
      <c r="K391">
        <f>Sales_Per_Representative!$C$6</f>
        <v>727823</v>
      </c>
      <c r="L391">
        <f>Sales_Per_Rep_Yearly_Goal!$B$2</f>
        <v>665544.80000000005</v>
      </c>
      <c r="M391">
        <f>Sales_Per_Rep_Yearly_Goal!$C$2</f>
        <v>650000</v>
      </c>
    </row>
    <row r="392" spans="1:13" x14ac:dyDescent="0.3">
      <c r="A392" s="3">
        <v>45028</v>
      </c>
      <c r="B392">
        <f t="shared" si="6"/>
        <v>2023</v>
      </c>
      <c r="C392">
        <v>4</v>
      </c>
      <c r="D392" t="s">
        <v>7</v>
      </c>
      <c r="E392" t="s">
        <v>31</v>
      </c>
      <c r="F392" s="2">
        <v>11300</v>
      </c>
      <c r="G392" s="2">
        <f>Monthly_Growth!$C$5</f>
        <v>892919</v>
      </c>
      <c r="H392" s="5">
        <f>Monthly_Growth!$D$5</f>
        <v>0.34032074548407532</v>
      </c>
      <c r="I392" s="15">
        <f>Yearly_Growth!$C$2</f>
        <v>5.0333827436586778E-2</v>
      </c>
      <c r="J392" s="15">
        <f>Yearly_Growth!$D$2</f>
        <v>0.03</v>
      </c>
      <c r="K392">
        <f>Sales_Per_Representative!$C$6</f>
        <v>727823</v>
      </c>
      <c r="L392">
        <f>Sales_Per_Rep_Yearly_Goal!$B$2</f>
        <v>665544.80000000005</v>
      </c>
      <c r="M392">
        <f>Sales_Per_Rep_Yearly_Goal!$C$2</f>
        <v>650000</v>
      </c>
    </row>
    <row r="393" spans="1:13" x14ac:dyDescent="0.3">
      <c r="A393" s="3">
        <v>45028</v>
      </c>
      <c r="B393">
        <f t="shared" si="6"/>
        <v>2023</v>
      </c>
      <c r="C393">
        <v>4</v>
      </c>
      <c r="D393" t="s">
        <v>17</v>
      </c>
      <c r="E393" t="s">
        <v>30</v>
      </c>
      <c r="F393" s="2">
        <v>11011</v>
      </c>
      <c r="G393" s="2">
        <f>Monthly_Growth!$C$5</f>
        <v>892919</v>
      </c>
      <c r="H393" s="5">
        <f>Monthly_Growth!$D$5</f>
        <v>0.34032074548407532</v>
      </c>
      <c r="I393" s="15">
        <f>Yearly_Growth!$C$2</f>
        <v>5.0333827436586778E-2</v>
      </c>
      <c r="J393" s="15">
        <f>Yearly_Growth!$D$2</f>
        <v>0.03</v>
      </c>
      <c r="K393">
        <f>Sales_Per_Representative!$C$7</f>
        <v>706974</v>
      </c>
      <c r="L393">
        <f>Sales_Per_Rep_Yearly_Goal!$B$2</f>
        <v>665544.80000000005</v>
      </c>
      <c r="M393">
        <f>Sales_Per_Rep_Yearly_Goal!$C$2</f>
        <v>650000</v>
      </c>
    </row>
    <row r="394" spans="1:13" x14ac:dyDescent="0.3">
      <c r="A394" s="3">
        <v>45028</v>
      </c>
      <c r="B394">
        <f t="shared" si="6"/>
        <v>2023</v>
      </c>
      <c r="C394">
        <v>4</v>
      </c>
      <c r="D394" t="s">
        <v>17</v>
      </c>
      <c r="E394" t="s">
        <v>31</v>
      </c>
      <c r="F394" s="2">
        <v>7508</v>
      </c>
      <c r="G394" s="2">
        <f>Monthly_Growth!$C$5</f>
        <v>892919</v>
      </c>
      <c r="H394" s="5">
        <f>Monthly_Growth!$D$5</f>
        <v>0.34032074548407532</v>
      </c>
      <c r="I394" s="15">
        <f>Yearly_Growth!$C$2</f>
        <v>5.0333827436586778E-2</v>
      </c>
      <c r="J394" s="15">
        <f>Yearly_Growth!$D$2</f>
        <v>0.03</v>
      </c>
      <c r="K394">
        <f>Sales_Per_Representative!$C$6</f>
        <v>727823</v>
      </c>
      <c r="L394">
        <f>Sales_Per_Rep_Yearly_Goal!$B$2</f>
        <v>665544.80000000005</v>
      </c>
      <c r="M394">
        <f>Sales_Per_Rep_Yearly_Goal!$C$2</f>
        <v>650000</v>
      </c>
    </row>
    <row r="395" spans="1:13" x14ac:dyDescent="0.3">
      <c r="A395" s="3">
        <v>45029</v>
      </c>
      <c r="B395">
        <f t="shared" si="6"/>
        <v>2023</v>
      </c>
      <c r="C395">
        <v>4</v>
      </c>
      <c r="D395" t="s">
        <v>19</v>
      </c>
      <c r="E395" t="s">
        <v>22</v>
      </c>
      <c r="F395" s="2">
        <v>5628</v>
      </c>
      <c r="G395" s="2">
        <f>Monthly_Growth!$C$5</f>
        <v>892919</v>
      </c>
      <c r="H395" s="5">
        <f>Monthly_Growth!$D$5</f>
        <v>0.34032074548407532</v>
      </c>
      <c r="I395" s="15">
        <f>Yearly_Growth!$C$2</f>
        <v>5.0333827436586778E-2</v>
      </c>
      <c r="J395" s="15">
        <f>Yearly_Growth!$D$2</f>
        <v>0.03</v>
      </c>
      <c r="K395">
        <f>Sales_Per_Representative!$C$8</f>
        <v>649456</v>
      </c>
      <c r="L395">
        <f>Sales_Per_Rep_Yearly_Goal!$B$2</f>
        <v>665544.80000000005</v>
      </c>
      <c r="M395">
        <f>Sales_Per_Rep_Yearly_Goal!$C$2</f>
        <v>650000</v>
      </c>
    </row>
    <row r="396" spans="1:13" x14ac:dyDescent="0.3">
      <c r="A396" s="3">
        <v>45029</v>
      </c>
      <c r="B396">
        <f t="shared" si="6"/>
        <v>2023</v>
      </c>
      <c r="C396">
        <v>4</v>
      </c>
      <c r="D396" t="s">
        <v>23</v>
      </c>
      <c r="E396" t="s">
        <v>29</v>
      </c>
      <c r="F396" s="2">
        <v>4388</v>
      </c>
      <c r="G396" s="2">
        <f>Monthly_Growth!$C$5</f>
        <v>892919</v>
      </c>
      <c r="H396" s="5">
        <f>Monthly_Growth!$D$5</f>
        <v>0.34032074548407532</v>
      </c>
      <c r="I396" s="15">
        <f>Yearly_Growth!$C$2</f>
        <v>5.0333827436586778E-2</v>
      </c>
      <c r="J396" s="15">
        <f>Yearly_Growth!$D$2</f>
        <v>0.03</v>
      </c>
      <c r="K396">
        <f>Sales_Per_Representative!$C$13</f>
        <v>621548</v>
      </c>
      <c r="L396">
        <f>Sales_Per_Rep_Yearly_Goal!$B$2</f>
        <v>665544.80000000005</v>
      </c>
      <c r="M396">
        <f>Sales_Per_Rep_Yearly_Goal!$C$2</f>
        <v>650000</v>
      </c>
    </row>
    <row r="397" spans="1:13" x14ac:dyDescent="0.3">
      <c r="A397" s="3">
        <v>45029</v>
      </c>
      <c r="B397">
        <f t="shared" si="6"/>
        <v>2023</v>
      </c>
      <c r="C397">
        <v>4</v>
      </c>
      <c r="D397" t="s">
        <v>25</v>
      </c>
      <c r="E397" t="s">
        <v>27</v>
      </c>
      <c r="F397" s="2">
        <v>6874</v>
      </c>
      <c r="G397" s="2">
        <f>Monthly_Growth!$C$5</f>
        <v>892919</v>
      </c>
      <c r="H397" s="5">
        <f>Monthly_Growth!$D$5</f>
        <v>0.34032074548407532</v>
      </c>
      <c r="I397" s="15">
        <f>Yearly_Growth!$C$2</f>
        <v>5.0333827436586778E-2</v>
      </c>
      <c r="J397" s="15">
        <f>Yearly_Growth!$D$2</f>
        <v>0.03</v>
      </c>
      <c r="K397">
        <f>Sales_Per_Representative!$C$5</f>
        <v>747962</v>
      </c>
      <c r="L397">
        <f>Sales_Per_Rep_Yearly_Goal!$B$2</f>
        <v>665544.80000000005</v>
      </c>
      <c r="M397">
        <f>Sales_Per_Rep_Yearly_Goal!$C$2</f>
        <v>650000</v>
      </c>
    </row>
    <row r="398" spans="1:13" x14ac:dyDescent="0.3">
      <c r="A398" s="3">
        <v>45029</v>
      </c>
      <c r="B398">
        <f t="shared" si="6"/>
        <v>2023</v>
      </c>
      <c r="C398">
        <v>4</v>
      </c>
      <c r="D398" t="s">
        <v>7</v>
      </c>
      <c r="E398" t="s">
        <v>30</v>
      </c>
      <c r="F398" s="2">
        <v>7835</v>
      </c>
      <c r="G398" s="2">
        <f>Monthly_Growth!$C$5</f>
        <v>892919</v>
      </c>
      <c r="H398" s="5">
        <f>Monthly_Growth!$D$5</f>
        <v>0.34032074548407532</v>
      </c>
      <c r="I398" s="15">
        <f>Yearly_Growth!$C$2</f>
        <v>5.0333827436586778E-2</v>
      </c>
      <c r="J398" s="15">
        <f>Yearly_Growth!$D$2</f>
        <v>0.03</v>
      </c>
      <c r="K398">
        <f>Sales_Per_Representative!$C$7</f>
        <v>706974</v>
      </c>
      <c r="L398">
        <f>Sales_Per_Rep_Yearly_Goal!$B$2</f>
        <v>665544.80000000005</v>
      </c>
      <c r="M398">
        <f>Sales_Per_Rep_Yearly_Goal!$C$2</f>
        <v>650000</v>
      </c>
    </row>
    <row r="399" spans="1:13" x14ac:dyDescent="0.3">
      <c r="A399" s="3">
        <v>45029</v>
      </c>
      <c r="B399">
        <f t="shared" si="6"/>
        <v>2023</v>
      </c>
      <c r="C399">
        <v>4</v>
      </c>
      <c r="D399" t="s">
        <v>28</v>
      </c>
      <c r="E399" t="s">
        <v>26</v>
      </c>
      <c r="F399" s="2">
        <v>12428</v>
      </c>
      <c r="G399" s="2">
        <f>Monthly_Growth!$C$5</f>
        <v>892919</v>
      </c>
      <c r="H399" s="5">
        <f>Monthly_Growth!$D$5</f>
        <v>0.34032074548407532</v>
      </c>
      <c r="I399" s="15">
        <f>Yearly_Growth!$C$2</f>
        <v>5.0333827436586778E-2</v>
      </c>
      <c r="J399" s="15">
        <f>Yearly_Growth!$D$2</f>
        <v>0.03</v>
      </c>
      <c r="K399">
        <f>Sales_Per_Representative!$C$16</f>
        <v>666159</v>
      </c>
      <c r="L399">
        <f>Sales_Per_Rep_Yearly_Goal!$B$2</f>
        <v>665544.80000000005</v>
      </c>
      <c r="M399">
        <f>Sales_Per_Rep_Yearly_Goal!$C$2</f>
        <v>650000</v>
      </c>
    </row>
    <row r="400" spans="1:13" x14ac:dyDescent="0.3">
      <c r="A400" s="3">
        <v>45029</v>
      </c>
      <c r="B400">
        <f t="shared" si="6"/>
        <v>2023</v>
      </c>
      <c r="C400">
        <v>4</v>
      </c>
      <c r="D400" t="s">
        <v>28</v>
      </c>
      <c r="E400" t="s">
        <v>10</v>
      </c>
      <c r="F400" s="2">
        <v>9219</v>
      </c>
      <c r="G400" s="2">
        <f>Monthly_Growth!$C$5</f>
        <v>892919</v>
      </c>
      <c r="H400" s="5">
        <f>Monthly_Growth!$D$5</f>
        <v>0.34032074548407532</v>
      </c>
      <c r="I400" s="15">
        <f>Yearly_Growth!$C$2</f>
        <v>5.0333827436586778E-2</v>
      </c>
      <c r="J400" s="15">
        <f>Yearly_Growth!$D$2</f>
        <v>0.03</v>
      </c>
      <c r="K400">
        <f>Sales_Per_Representative!$C$4</f>
        <v>725713</v>
      </c>
      <c r="L400">
        <f>Sales_Per_Rep_Yearly_Goal!$B$2</f>
        <v>665544.80000000005</v>
      </c>
      <c r="M400">
        <f>Sales_Per_Rep_Yearly_Goal!$C$2</f>
        <v>650000</v>
      </c>
    </row>
    <row r="401" spans="1:13" x14ac:dyDescent="0.3">
      <c r="A401" s="3">
        <v>45030</v>
      </c>
      <c r="B401">
        <f t="shared" si="6"/>
        <v>2023</v>
      </c>
      <c r="C401">
        <v>4</v>
      </c>
      <c r="D401" t="s">
        <v>19</v>
      </c>
      <c r="E401" t="s">
        <v>10</v>
      </c>
      <c r="F401" s="2">
        <v>7896</v>
      </c>
      <c r="G401" s="2">
        <f>Monthly_Growth!$C$5</f>
        <v>892919</v>
      </c>
      <c r="H401" s="5">
        <f>Monthly_Growth!$D$5</f>
        <v>0.34032074548407532</v>
      </c>
      <c r="I401" s="15">
        <f>Yearly_Growth!$C$2</f>
        <v>5.0333827436586778E-2</v>
      </c>
      <c r="J401" s="15">
        <f>Yearly_Growth!$D$2</f>
        <v>0.03</v>
      </c>
      <c r="K401">
        <f>Sales_Per_Representative!$C$4</f>
        <v>725713</v>
      </c>
      <c r="L401">
        <f>Sales_Per_Rep_Yearly_Goal!$B$2</f>
        <v>665544.80000000005</v>
      </c>
      <c r="M401">
        <f>Sales_Per_Rep_Yearly_Goal!$C$2</f>
        <v>650000</v>
      </c>
    </row>
    <row r="402" spans="1:13" x14ac:dyDescent="0.3">
      <c r="A402" s="3">
        <v>45030</v>
      </c>
      <c r="B402">
        <f t="shared" si="6"/>
        <v>2023</v>
      </c>
      <c r="C402">
        <v>4</v>
      </c>
      <c r="D402" t="s">
        <v>28</v>
      </c>
      <c r="E402" t="s">
        <v>10</v>
      </c>
      <c r="F402" s="2">
        <v>8204</v>
      </c>
      <c r="G402" s="2">
        <f>Monthly_Growth!$C$5</f>
        <v>892919</v>
      </c>
      <c r="H402" s="5">
        <f>Monthly_Growth!$D$5</f>
        <v>0.34032074548407532</v>
      </c>
      <c r="I402" s="15">
        <f>Yearly_Growth!$C$2</f>
        <v>5.0333827436586778E-2</v>
      </c>
      <c r="J402" s="15">
        <f>Yearly_Growth!$D$2</f>
        <v>0.03</v>
      </c>
      <c r="K402">
        <f>Sales_Per_Representative!$C$4</f>
        <v>725713</v>
      </c>
      <c r="L402">
        <f>Sales_Per_Rep_Yearly_Goal!$B$2</f>
        <v>665544.80000000005</v>
      </c>
      <c r="M402">
        <f>Sales_Per_Rep_Yearly_Goal!$C$2</f>
        <v>650000</v>
      </c>
    </row>
    <row r="403" spans="1:13" x14ac:dyDescent="0.3">
      <c r="A403" s="3">
        <v>45031</v>
      </c>
      <c r="B403">
        <f t="shared" si="6"/>
        <v>2023</v>
      </c>
      <c r="C403">
        <v>4</v>
      </c>
      <c r="D403" t="s">
        <v>19</v>
      </c>
      <c r="E403" t="s">
        <v>20</v>
      </c>
      <c r="F403" s="2">
        <v>6018</v>
      </c>
      <c r="G403" s="2">
        <f>Monthly_Growth!$C$5</f>
        <v>892919</v>
      </c>
      <c r="H403" s="5">
        <f>Monthly_Growth!$D$5</f>
        <v>0.34032074548407532</v>
      </c>
      <c r="I403" s="15">
        <f>Yearly_Growth!$C$2</f>
        <v>5.0333827436586778E-2</v>
      </c>
      <c r="J403" s="15">
        <f>Yearly_Growth!$D$2</f>
        <v>0.03</v>
      </c>
      <c r="K403">
        <f>Sales_Per_Representative!$C$14</f>
        <v>675530</v>
      </c>
      <c r="L403">
        <f>Sales_Per_Rep_Yearly_Goal!$B$2</f>
        <v>665544.80000000005</v>
      </c>
      <c r="M403">
        <f>Sales_Per_Rep_Yearly_Goal!$C$2</f>
        <v>650000</v>
      </c>
    </row>
    <row r="404" spans="1:13" x14ac:dyDescent="0.3">
      <c r="A404" s="3">
        <v>45031</v>
      </c>
      <c r="B404">
        <f t="shared" si="6"/>
        <v>2023</v>
      </c>
      <c r="C404">
        <v>4</v>
      </c>
      <c r="D404" t="s">
        <v>17</v>
      </c>
      <c r="E404" t="s">
        <v>5</v>
      </c>
      <c r="F404" s="2">
        <v>13161</v>
      </c>
      <c r="G404" s="2">
        <f>Monthly_Growth!$C$5</f>
        <v>892919</v>
      </c>
      <c r="H404" s="5">
        <f>Monthly_Growth!$D$5</f>
        <v>0.34032074548407532</v>
      </c>
      <c r="I404" s="15">
        <f>Yearly_Growth!$C$2</f>
        <v>5.0333827436586778E-2</v>
      </c>
      <c r="J404" s="15">
        <f>Yearly_Growth!$D$2</f>
        <v>0.03</v>
      </c>
      <c r="K404">
        <f>Sales_Per_Representative!$C$10</f>
        <v>663333</v>
      </c>
      <c r="L404">
        <f>Sales_Per_Rep_Yearly_Goal!$B$2</f>
        <v>665544.80000000005</v>
      </c>
      <c r="M404">
        <f>Sales_Per_Rep_Yearly_Goal!$C$2</f>
        <v>650000</v>
      </c>
    </row>
    <row r="405" spans="1:13" x14ac:dyDescent="0.3">
      <c r="A405" s="3">
        <v>45031</v>
      </c>
      <c r="B405">
        <f t="shared" si="6"/>
        <v>2023</v>
      </c>
      <c r="C405">
        <v>4</v>
      </c>
      <c r="D405" t="s">
        <v>12</v>
      </c>
      <c r="E405" t="s">
        <v>10</v>
      </c>
      <c r="F405" s="2">
        <v>1732</v>
      </c>
      <c r="G405" s="2">
        <f>Monthly_Growth!$C$5</f>
        <v>892919</v>
      </c>
      <c r="H405" s="5">
        <f>Monthly_Growth!$D$5</f>
        <v>0.34032074548407532</v>
      </c>
      <c r="I405" s="15">
        <f>Yearly_Growth!$C$2</f>
        <v>5.0333827436586778E-2</v>
      </c>
      <c r="J405" s="15">
        <f>Yearly_Growth!$D$2</f>
        <v>0.03</v>
      </c>
      <c r="K405">
        <f>Sales_Per_Representative!$C$4</f>
        <v>725713</v>
      </c>
      <c r="L405">
        <f>Sales_Per_Rep_Yearly_Goal!$B$2</f>
        <v>665544.80000000005</v>
      </c>
      <c r="M405">
        <f>Sales_Per_Rep_Yearly_Goal!$C$2</f>
        <v>650000</v>
      </c>
    </row>
    <row r="406" spans="1:13" x14ac:dyDescent="0.3">
      <c r="A406" s="3">
        <v>45032</v>
      </c>
      <c r="B406">
        <f t="shared" si="6"/>
        <v>2023</v>
      </c>
      <c r="C406">
        <v>4</v>
      </c>
      <c r="D406" t="s">
        <v>14</v>
      </c>
      <c r="E406" t="s">
        <v>10</v>
      </c>
      <c r="F406" s="2">
        <v>3529</v>
      </c>
      <c r="G406" s="2">
        <f>Monthly_Growth!$C$5</f>
        <v>892919</v>
      </c>
      <c r="H406" s="5">
        <f>Monthly_Growth!$D$5</f>
        <v>0.34032074548407532</v>
      </c>
      <c r="I406" s="15">
        <f>Yearly_Growth!$C$2</f>
        <v>5.0333827436586778E-2</v>
      </c>
      <c r="J406" s="15">
        <f>Yearly_Growth!$D$2</f>
        <v>0.03</v>
      </c>
      <c r="K406">
        <f>Sales_Per_Representative!$C$4</f>
        <v>725713</v>
      </c>
      <c r="L406">
        <f>Sales_Per_Rep_Yearly_Goal!$B$2</f>
        <v>665544.80000000005</v>
      </c>
      <c r="M406">
        <f>Sales_Per_Rep_Yearly_Goal!$C$2</f>
        <v>650000</v>
      </c>
    </row>
    <row r="407" spans="1:13" x14ac:dyDescent="0.3">
      <c r="A407" s="3">
        <v>45032</v>
      </c>
      <c r="B407">
        <f t="shared" si="6"/>
        <v>2023</v>
      </c>
      <c r="C407">
        <v>4</v>
      </c>
      <c r="D407" t="s">
        <v>19</v>
      </c>
      <c r="E407" t="s">
        <v>8</v>
      </c>
      <c r="F407" s="2">
        <v>4006</v>
      </c>
      <c r="G407" s="2">
        <f>Monthly_Growth!$C$5</f>
        <v>892919</v>
      </c>
      <c r="H407" s="5">
        <f>Monthly_Growth!$D$5</f>
        <v>0.34032074548407532</v>
      </c>
      <c r="I407" s="15">
        <f>Yearly_Growth!$C$2</f>
        <v>5.0333827436586778E-2</v>
      </c>
      <c r="J407" s="15">
        <f>Yearly_Growth!$D$2</f>
        <v>0.03</v>
      </c>
      <c r="K407">
        <f>Sales_Per_Representative!$C$15</f>
        <v>701242</v>
      </c>
      <c r="L407">
        <f>Sales_Per_Rep_Yearly_Goal!$B$2</f>
        <v>665544.80000000005</v>
      </c>
      <c r="M407">
        <f>Sales_Per_Rep_Yearly_Goal!$C$2</f>
        <v>650000</v>
      </c>
    </row>
    <row r="408" spans="1:13" x14ac:dyDescent="0.3">
      <c r="A408" s="3">
        <v>45032</v>
      </c>
      <c r="B408">
        <f t="shared" si="6"/>
        <v>2023</v>
      </c>
      <c r="C408">
        <v>4</v>
      </c>
      <c r="D408" t="s">
        <v>19</v>
      </c>
      <c r="E408" t="s">
        <v>31</v>
      </c>
      <c r="F408" s="2">
        <v>10213</v>
      </c>
      <c r="G408" s="2">
        <f>Monthly_Growth!$C$5</f>
        <v>892919</v>
      </c>
      <c r="H408" s="5">
        <f>Monthly_Growth!$D$5</f>
        <v>0.34032074548407532</v>
      </c>
      <c r="I408" s="15">
        <f>Yearly_Growth!$C$2</f>
        <v>5.0333827436586778E-2</v>
      </c>
      <c r="J408" s="15">
        <f>Yearly_Growth!$D$2</f>
        <v>0.03</v>
      </c>
      <c r="K408">
        <f>Sales_Per_Representative!$C$6</f>
        <v>727823</v>
      </c>
      <c r="L408">
        <f>Sales_Per_Rep_Yearly_Goal!$B$2</f>
        <v>665544.80000000005</v>
      </c>
      <c r="M408">
        <f>Sales_Per_Rep_Yearly_Goal!$C$2</f>
        <v>650000</v>
      </c>
    </row>
    <row r="409" spans="1:13" x14ac:dyDescent="0.3">
      <c r="A409" s="3">
        <v>45032</v>
      </c>
      <c r="B409">
        <f t="shared" si="6"/>
        <v>2023</v>
      </c>
      <c r="C409">
        <v>4</v>
      </c>
      <c r="D409" t="s">
        <v>7</v>
      </c>
      <c r="E409" t="s">
        <v>31</v>
      </c>
      <c r="F409" s="2">
        <v>2699</v>
      </c>
      <c r="G409" s="2">
        <f>Monthly_Growth!$C$5</f>
        <v>892919</v>
      </c>
      <c r="H409" s="5">
        <f>Monthly_Growth!$D$5</f>
        <v>0.34032074548407532</v>
      </c>
      <c r="I409" s="15">
        <f>Yearly_Growth!$C$2</f>
        <v>5.0333827436586778E-2</v>
      </c>
      <c r="J409" s="15">
        <f>Yearly_Growth!$D$2</f>
        <v>0.03</v>
      </c>
      <c r="K409">
        <f>Sales_Per_Representative!$C$6</f>
        <v>727823</v>
      </c>
      <c r="L409">
        <f>Sales_Per_Rep_Yearly_Goal!$B$2</f>
        <v>665544.80000000005</v>
      </c>
      <c r="M409">
        <f>Sales_Per_Rep_Yearly_Goal!$C$2</f>
        <v>650000</v>
      </c>
    </row>
    <row r="410" spans="1:13" x14ac:dyDescent="0.3">
      <c r="A410" s="3">
        <v>45033</v>
      </c>
      <c r="B410">
        <f t="shared" si="6"/>
        <v>2023</v>
      </c>
      <c r="C410">
        <v>4</v>
      </c>
      <c r="D410" t="s">
        <v>14</v>
      </c>
      <c r="E410" t="s">
        <v>27</v>
      </c>
      <c r="F410" s="2">
        <v>9717</v>
      </c>
      <c r="G410" s="2">
        <f>Monthly_Growth!$C$5</f>
        <v>892919</v>
      </c>
      <c r="H410" s="5">
        <f>Monthly_Growth!$D$5</f>
        <v>0.34032074548407532</v>
      </c>
      <c r="I410" s="15">
        <f>Yearly_Growth!$C$2</f>
        <v>5.0333827436586778E-2</v>
      </c>
      <c r="J410" s="15">
        <f>Yearly_Growth!$D$2</f>
        <v>0.03</v>
      </c>
      <c r="K410">
        <f>Sales_Per_Representative!$C$5</f>
        <v>747962</v>
      </c>
      <c r="L410">
        <f>Sales_Per_Rep_Yearly_Goal!$B$2</f>
        <v>665544.80000000005</v>
      </c>
      <c r="M410">
        <f>Sales_Per_Rep_Yearly_Goal!$C$2</f>
        <v>650000</v>
      </c>
    </row>
    <row r="411" spans="1:13" x14ac:dyDescent="0.3">
      <c r="A411" s="3">
        <v>45033</v>
      </c>
      <c r="B411">
        <f t="shared" si="6"/>
        <v>2023</v>
      </c>
      <c r="C411">
        <v>4</v>
      </c>
      <c r="D411" t="s">
        <v>14</v>
      </c>
      <c r="E411" t="s">
        <v>20</v>
      </c>
      <c r="F411" s="2">
        <v>7616</v>
      </c>
      <c r="G411" s="2">
        <f>Monthly_Growth!$C$5</f>
        <v>892919</v>
      </c>
      <c r="H411" s="5">
        <f>Monthly_Growth!$D$5</f>
        <v>0.34032074548407532</v>
      </c>
      <c r="I411" s="15">
        <f>Yearly_Growth!$C$2</f>
        <v>5.0333827436586778E-2</v>
      </c>
      <c r="J411" s="15">
        <f>Yearly_Growth!$D$2</f>
        <v>0.03</v>
      </c>
      <c r="K411">
        <f>Sales_Per_Representative!$C$14</f>
        <v>675530</v>
      </c>
      <c r="L411">
        <f>Sales_Per_Rep_Yearly_Goal!$B$2</f>
        <v>665544.80000000005</v>
      </c>
      <c r="M411">
        <f>Sales_Per_Rep_Yearly_Goal!$C$2</f>
        <v>650000</v>
      </c>
    </row>
    <row r="412" spans="1:13" x14ac:dyDescent="0.3">
      <c r="A412" s="3">
        <v>45033</v>
      </c>
      <c r="B412">
        <f t="shared" si="6"/>
        <v>2023</v>
      </c>
      <c r="C412">
        <v>4</v>
      </c>
      <c r="D412" t="s">
        <v>14</v>
      </c>
      <c r="E412" t="s">
        <v>30</v>
      </c>
      <c r="F412" s="2">
        <v>13103</v>
      </c>
      <c r="G412" s="2">
        <f>Monthly_Growth!$C$5</f>
        <v>892919</v>
      </c>
      <c r="H412" s="5">
        <f>Monthly_Growth!$D$5</f>
        <v>0.34032074548407532</v>
      </c>
      <c r="I412" s="15">
        <f>Yearly_Growth!$C$2</f>
        <v>5.0333827436586778E-2</v>
      </c>
      <c r="J412" s="15">
        <f>Yearly_Growth!$D$2</f>
        <v>0.03</v>
      </c>
      <c r="K412">
        <f>Sales_Per_Representative!$C$7</f>
        <v>706974</v>
      </c>
      <c r="L412">
        <f>Sales_Per_Rep_Yearly_Goal!$B$2</f>
        <v>665544.80000000005</v>
      </c>
      <c r="M412">
        <f>Sales_Per_Rep_Yearly_Goal!$C$2</f>
        <v>650000</v>
      </c>
    </row>
    <row r="413" spans="1:13" x14ac:dyDescent="0.3">
      <c r="A413" s="3">
        <v>45033</v>
      </c>
      <c r="B413">
        <f t="shared" si="6"/>
        <v>2023</v>
      </c>
      <c r="C413">
        <v>4</v>
      </c>
      <c r="D413" t="s">
        <v>19</v>
      </c>
      <c r="E413" t="s">
        <v>29</v>
      </c>
      <c r="F413" s="2">
        <v>8409</v>
      </c>
      <c r="G413" s="2">
        <f>Monthly_Growth!$C$5</f>
        <v>892919</v>
      </c>
      <c r="H413" s="5">
        <f>Monthly_Growth!$D$5</f>
        <v>0.34032074548407532</v>
      </c>
      <c r="I413" s="15">
        <f>Yearly_Growth!$C$2</f>
        <v>5.0333827436586778E-2</v>
      </c>
      <c r="J413" s="15">
        <f>Yearly_Growth!$D$2</f>
        <v>0.03</v>
      </c>
      <c r="K413">
        <f>Sales_Per_Representative!$C$13</f>
        <v>621548</v>
      </c>
      <c r="L413">
        <f>Sales_Per_Rep_Yearly_Goal!$B$2</f>
        <v>665544.80000000005</v>
      </c>
      <c r="M413">
        <f>Sales_Per_Rep_Yearly_Goal!$C$2</f>
        <v>650000</v>
      </c>
    </row>
    <row r="414" spans="1:13" x14ac:dyDescent="0.3">
      <c r="A414" s="3">
        <v>45033</v>
      </c>
      <c r="B414">
        <f t="shared" si="6"/>
        <v>2023</v>
      </c>
      <c r="C414">
        <v>4</v>
      </c>
      <c r="D414" t="s">
        <v>28</v>
      </c>
      <c r="E414" t="s">
        <v>29</v>
      </c>
      <c r="F414" s="2">
        <v>7265</v>
      </c>
      <c r="G414" s="2">
        <f>Monthly_Growth!$C$5</f>
        <v>892919</v>
      </c>
      <c r="H414" s="5">
        <f>Monthly_Growth!$D$5</f>
        <v>0.34032074548407532</v>
      </c>
      <c r="I414" s="15">
        <f>Yearly_Growth!$C$2</f>
        <v>5.0333827436586778E-2</v>
      </c>
      <c r="J414" s="15">
        <f>Yearly_Growth!$D$2</f>
        <v>0.03</v>
      </c>
      <c r="K414">
        <f>Sales_Per_Representative!$C$13</f>
        <v>621548</v>
      </c>
      <c r="L414">
        <f>Sales_Per_Rep_Yearly_Goal!$B$2</f>
        <v>665544.80000000005</v>
      </c>
      <c r="M414">
        <f>Sales_Per_Rep_Yearly_Goal!$C$2</f>
        <v>650000</v>
      </c>
    </row>
    <row r="415" spans="1:13" x14ac:dyDescent="0.3">
      <c r="A415" s="3">
        <v>45033</v>
      </c>
      <c r="B415">
        <f t="shared" si="6"/>
        <v>2023</v>
      </c>
      <c r="C415">
        <v>4</v>
      </c>
      <c r="D415" t="s">
        <v>28</v>
      </c>
      <c r="E415" t="s">
        <v>8</v>
      </c>
      <c r="F415" s="2">
        <v>11694</v>
      </c>
      <c r="G415" s="2">
        <f>Monthly_Growth!$C$5</f>
        <v>892919</v>
      </c>
      <c r="H415" s="5">
        <f>Monthly_Growth!$D$5</f>
        <v>0.34032074548407532</v>
      </c>
      <c r="I415" s="15">
        <f>Yearly_Growth!$C$2</f>
        <v>5.0333827436586778E-2</v>
      </c>
      <c r="J415" s="15">
        <f>Yearly_Growth!$D$2</f>
        <v>0.03</v>
      </c>
      <c r="K415">
        <f>Sales_Per_Representative!$C$15</f>
        <v>701242</v>
      </c>
      <c r="L415">
        <f>Sales_Per_Rep_Yearly_Goal!$B$2</f>
        <v>665544.80000000005</v>
      </c>
      <c r="M415">
        <f>Sales_Per_Rep_Yearly_Goal!$C$2</f>
        <v>650000</v>
      </c>
    </row>
    <row r="416" spans="1:13" x14ac:dyDescent="0.3">
      <c r="A416" s="3">
        <v>45034</v>
      </c>
      <c r="B416">
        <f t="shared" si="6"/>
        <v>2023</v>
      </c>
      <c r="C416">
        <v>4</v>
      </c>
      <c r="D416" t="s">
        <v>14</v>
      </c>
      <c r="E416" t="s">
        <v>5</v>
      </c>
      <c r="F416" s="2">
        <v>3515</v>
      </c>
      <c r="G416" s="2">
        <f>Monthly_Growth!$C$5</f>
        <v>892919</v>
      </c>
      <c r="H416" s="5">
        <f>Monthly_Growth!$D$5</f>
        <v>0.34032074548407532</v>
      </c>
      <c r="I416" s="15">
        <f>Yearly_Growth!$C$2</f>
        <v>5.0333827436586778E-2</v>
      </c>
      <c r="J416" s="15">
        <f>Yearly_Growth!$D$2</f>
        <v>0.03</v>
      </c>
      <c r="K416">
        <f>Sales_Per_Representative!$C$10</f>
        <v>663333</v>
      </c>
      <c r="L416">
        <f>Sales_Per_Rep_Yearly_Goal!$B$2</f>
        <v>665544.80000000005</v>
      </c>
      <c r="M416">
        <f>Sales_Per_Rep_Yearly_Goal!$C$2</f>
        <v>650000</v>
      </c>
    </row>
    <row r="417" spans="1:13" x14ac:dyDescent="0.3">
      <c r="A417" s="3">
        <v>45034</v>
      </c>
      <c r="B417">
        <f t="shared" si="6"/>
        <v>2023</v>
      </c>
      <c r="C417">
        <v>4</v>
      </c>
      <c r="D417" t="s">
        <v>7</v>
      </c>
      <c r="E417" t="s">
        <v>33</v>
      </c>
      <c r="F417" s="2">
        <v>4281</v>
      </c>
      <c r="G417" s="2">
        <f>Monthly_Growth!$C$5</f>
        <v>892919</v>
      </c>
      <c r="H417" s="5">
        <f>Monthly_Growth!$D$5</f>
        <v>0.34032074548407532</v>
      </c>
      <c r="I417" s="15">
        <f>Yearly_Growth!$C$2</f>
        <v>5.0333827436586778E-2</v>
      </c>
      <c r="J417" s="15">
        <f>Yearly_Growth!$D$2</f>
        <v>0.03</v>
      </c>
      <c r="K417">
        <f>Sales_Per_Representative!$C$11</f>
        <v>496886</v>
      </c>
      <c r="L417">
        <f>Sales_Per_Rep_Yearly_Goal!$B$2</f>
        <v>665544.80000000005</v>
      </c>
      <c r="M417">
        <f>Sales_Per_Rep_Yearly_Goal!$C$2</f>
        <v>650000</v>
      </c>
    </row>
    <row r="418" spans="1:13" x14ac:dyDescent="0.3">
      <c r="A418" s="3">
        <v>45034</v>
      </c>
      <c r="B418">
        <f t="shared" si="6"/>
        <v>2023</v>
      </c>
      <c r="C418">
        <v>4</v>
      </c>
      <c r="D418" t="s">
        <v>28</v>
      </c>
      <c r="E418" t="s">
        <v>27</v>
      </c>
      <c r="F418" s="2">
        <v>3607</v>
      </c>
      <c r="G418" s="2">
        <f>Monthly_Growth!$C$5</f>
        <v>892919</v>
      </c>
      <c r="H418" s="5">
        <f>Monthly_Growth!$D$5</f>
        <v>0.34032074548407532</v>
      </c>
      <c r="I418" s="15">
        <f>Yearly_Growth!$C$2</f>
        <v>5.0333827436586778E-2</v>
      </c>
      <c r="J418" s="15">
        <f>Yearly_Growth!$D$2</f>
        <v>0.03</v>
      </c>
      <c r="K418">
        <f>Sales_Per_Representative!$C$5</f>
        <v>747962</v>
      </c>
      <c r="L418">
        <f>Sales_Per_Rep_Yearly_Goal!$B$2</f>
        <v>665544.80000000005</v>
      </c>
      <c r="M418">
        <f>Sales_Per_Rep_Yearly_Goal!$C$2</f>
        <v>650000</v>
      </c>
    </row>
    <row r="419" spans="1:13" x14ac:dyDescent="0.3">
      <c r="A419" s="3">
        <v>45034</v>
      </c>
      <c r="B419">
        <f t="shared" si="6"/>
        <v>2023</v>
      </c>
      <c r="C419">
        <v>4</v>
      </c>
      <c r="D419" t="s">
        <v>28</v>
      </c>
      <c r="E419" t="s">
        <v>15</v>
      </c>
      <c r="F419" s="2">
        <v>5172</v>
      </c>
      <c r="G419" s="2">
        <f>Monthly_Growth!$C$5</f>
        <v>892919</v>
      </c>
      <c r="H419" s="5">
        <f>Monthly_Growth!$D$5</f>
        <v>0.34032074548407532</v>
      </c>
      <c r="I419" s="15">
        <f>Yearly_Growth!$C$2</f>
        <v>5.0333827436586778E-2</v>
      </c>
      <c r="J419" s="15">
        <f>Yearly_Growth!$D$2</f>
        <v>0.03</v>
      </c>
      <c r="K419">
        <f>Sales_Per_Representative!$C$12</f>
        <v>656359</v>
      </c>
      <c r="L419">
        <f>Sales_Per_Rep_Yearly_Goal!$B$2</f>
        <v>665544.80000000005</v>
      </c>
      <c r="M419">
        <f>Sales_Per_Rep_Yearly_Goal!$C$2</f>
        <v>650000</v>
      </c>
    </row>
    <row r="420" spans="1:13" x14ac:dyDescent="0.3">
      <c r="A420" s="3">
        <v>45035</v>
      </c>
      <c r="B420">
        <f t="shared" si="6"/>
        <v>2023</v>
      </c>
      <c r="C420">
        <v>4</v>
      </c>
      <c r="D420" t="s">
        <v>28</v>
      </c>
      <c r="E420" t="s">
        <v>24</v>
      </c>
      <c r="F420" s="2">
        <v>9665</v>
      </c>
      <c r="G420" s="2">
        <f>Monthly_Growth!$C$5</f>
        <v>892919</v>
      </c>
      <c r="H420" s="5">
        <f>Monthly_Growth!$D$5</f>
        <v>0.34032074548407532</v>
      </c>
      <c r="I420" s="15">
        <f>Yearly_Growth!$C$2</f>
        <v>5.0333827436586778E-2</v>
      </c>
      <c r="J420" s="15">
        <f>Yearly_Growth!$D$2</f>
        <v>0.03</v>
      </c>
      <c r="K420">
        <f>Sales_Per_Representative!$C$2</f>
        <v>631195</v>
      </c>
      <c r="L420">
        <f>Sales_Per_Rep_Yearly_Goal!$B$2</f>
        <v>665544.80000000005</v>
      </c>
      <c r="M420">
        <f>Sales_Per_Rep_Yearly_Goal!$C$2</f>
        <v>650000</v>
      </c>
    </row>
    <row r="421" spans="1:13" x14ac:dyDescent="0.3">
      <c r="A421" s="3">
        <v>45035</v>
      </c>
      <c r="B421">
        <f t="shared" si="6"/>
        <v>2023</v>
      </c>
      <c r="C421">
        <v>4</v>
      </c>
      <c r="D421" t="s">
        <v>17</v>
      </c>
      <c r="E421" t="s">
        <v>33</v>
      </c>
      <c r="F421" s="2">
        <v>5111</v>
      </c>
      <c r="G421" s="2">
        <f>Monthly_Growth!$C$5</f>
        <v>892919</v>
      </c>
      <c r="H421" s="5">
        <f>Monthly_Growth!$D$5</f>
        <v>0.34032074548407532</v>
      </c>
      <c r="I421" s="15">
        <f>Yearly_Growth!$C$2</f>
        <v>5.0333827436586778E-2</v>
      </c>
      <c r="J421" s="15">
        <f>Yearly_Growth!$D$2</f>
        <v>0.03</v>
      </c>
      <c r="K421">
        <f>Sales_Per_Representative!$C$11</f>
        <v>496886</v>
      </c>
      <c r="L421">
        <f>Sales_Per_Rep_Yearly_Goal!$B$2</f>
        <v>665544.80000000005</v>
      </c>
      <c r="M421">
        <f>Sales_Per_Rep_Yearly_Goal!$C$2</f>
        <v>650000</v>
      </c>
    </row>
    <row r="422" spans="1:13" x14ac:dyDescent="0.3">
      <c r="A422" s="3">
        <v>45036</v>
      </c>
      <c r="B422">
        <f t="shared" si="6"/>
        <v>2023</v>
      </c>
      <c r="C422">
        <v>4</v>
      </c>
      <c r="D422" t="s">
        <v>14</v>
      </c>
      <c r="E422" t="s">
        <v>20</v>
      </c>
      <c r="F422" s="2">
        <v>6636</v>
      </c>
      <c r="G422" s="2">
        <f>Monthly_Growth!$C$5</f>
        <v>892919</v>
      </c>
      <c r="H422" s="5">
        <f>Monthly_Growth!$D$5</f>
        <v>0.34032074548407532</v>
      </c>
      <c r="I422" s="15">
        <f>Yearly_Growth!$C$2</f>
        <v>5.0333827436586778E-2</v>
      </c>
      <c r="J422" s="15">
        <f>Yearly_Growth!$D$2</f>
        <v>0.03</v>
      </c>
      <c r="K422">
        <f>Sales_Per_Representative!$C$14</f>
        <v>675530</v>
      </c>
      <c r="L422">
        <f>Sales_Per_Rep_Yearly_Goal!$B$2</f>
        <v>665544.80000000005</v>
      </c>
      <c r="M422">
        <f>Sales_Per_Rep_Yearly_Goal!$C$2</f>
        <v>650000</v>
      </c>
    </row>
    <row r="423" spans="1:13" x14ac:dyDescent="0.3">
      <c r="A423" s="3">
        <v>45036</v>
      </c>
      <c r="B423">
        <f t="shared" si="6"/>
        <v>2023</v>
      </c>
      <c r="C423">
        <v>4</v>
      </c>
      <c r="D423" t="s">
        <v>19</v>
      </c>
      <c r="E423" t="s">
        <v>20</v>
      </c>
      <c r="F423" s="2">
        <v>3189</v>
      </c>
      <c r="G423" s="2">
        <f>Monthly_Growth!$C$5</f>
        <v>892919</v>
      </c>
      <c r="H423" s="5">
        <f>Monthly_Growth!$D$5</f>
        <v>0.34032074548407532</v>
      </c>
      <c r="I423" s="15">
        <f>Yearly_Growth!$C$2</f>
        <v>5.0333827436586778E-2</v>
      </c>
      <c r="J423" s="15">
        <f>Yearly_Growth!$D$2</f>
        <v>0.03</v>
      </c>
      <c r="K423">
        <f>Sales_Per_Representative!$C$14</f>
        <v>675530</v>
      </c>
      <c r="L423">
        <f>Sales_Per_Rep_Yearly_Goal!$B$2</f>
        <v>665544.80000000005</v>
      </c>
      <c r="M423">
        <f>Sales_Per_Rep_Yearly_Goal!$C$2</f>
        <v>650000</v>
      </c>
    </row>
    <row r="424" spans="1:13" x14ac:dyDescent="0.3">
      <c r="A424" s="3">
        <v>45036</v>
      </c>
      <c r="B424">
        <f t="shared" si="6"/>
        <v>2023</v>
      </c>
      <c r="C424">
        <v>4</v>
      </c>
      <c r="D424" t="s">
        <v>28</v>
      </c>
      <c r="E424" t="s">
        <v>22</v>
      </c>
      <c r="F424" s="2">
        <v>13089</v>
      </c>
      <c r="G424" s="2">
        <f>Monthly_Growth!$C$5</f>
        <v>892919</v>
      </c>
      <c r="H424" s="5">
        <f>Monthly_Growth!$D$5</f>
        <v>0.34032074548407532</v>
      </c>
      <c r="I424" s="15">
        <f>Yearly_Growth!$C$2</f>
        <v>5.0333827436586778E-2</v>
      </c>
      <c r="J424" s="15">
        <f>Yearly_Growth!$D$2</f>
        <v>0.03</v>
      </c>
      <c r="K424">
        <f>Sales_Per_Representative!$C$8</f>
        <v>649456</v>
      </c>
      <c r="L424">
        <f>Sales_Per_Rep_Yearly_Goal!$B$2</f>
        <v>665544.80000000005</v>
      </c>
      <c r="M424">
        <f>Sales_Per_Rep_Yearly_Goal!$C$2</f>
        <v>650000</v>
      </c>
    </row>
    <row r="425" spans="1:13" x14ac:dyDescent="0.3">
      <c r="A425" s="3">
        <v>45036</v>
      </c>
      <c r="B425">
        <f t="shared" si="6"/>
        <v>2023</v>
      </c>
      <c r="C425">
        <v>4</v>
      </c>
      <c r="D425" t="s">
        <v>28</v>
      </c>
      <c r="E425" t="s">
        <v>5</v>
      </c>
      <c r="F425" s="2">
        <v>1925</v>
      </c>
      <c r="G425" s="2">
        <f>Monthly_Growth!$C$5</f>
        <v>892919</v>
      </c>
      <c r="H425" s="5">
        <f>Monthly_Growth!$D$5</f>
        <v>0.34032074548407532</v>
      </c>
      <c r="I425" s="15">
        <f>Yearly_Growth!$C$2</f>
        <v>5.0333827436586778E-2</v>
      </c>
      <c r="J425" s="15">
        <f>Yearly_Growth!$D$2</f>
        <v>0.03</v>
      </c>
      <c r="K425">
        <f>Sales_Per_Representative!$C$10</f>
        <v>663333</v>
      </c>
      <c r="L425">
        <f>Sales_Per_Rep_Yearly_Goal!$B$2</f>
        <v>665544.80000000005</v>
      </c>
      <c r="M425">
        <f>Sales_Per_Rep_Yearly_Goal!$C$2</f>
        <v>650000</v>
      </c>
    </row>
    <row r="426" spans="1:13" x14ac:dyDescent="0.3">
      <c r="A426" s="3">
        <v>45036</v>
      </c>
      <c r="B426">
        <f t="shared" si="6"/>
        <v>2023</v>
      </c>
      <c r="C426">
        <v>4</v>
      </c>
      <c r="D426" t="s">
        <v>12</v>
      </c>
      <c r="E426" t="s">
        <v>32</v>
      </c>
      <c r="F426" s="2">
        <v>8919</v>
      </c>
      <c r="G426" s="2">
        <f>Monthly_Growth!$C$5</f>
        <v>892919</v>
      </c>
      <c r="H426" s="5">
        <f>Monthly_Growth!$D$5</f>
        <v>0.34032074548407532</v>
      </c>
      <c r="I426" s="15">
        <f>Yearly_Growth!$C$2</f>
        <v>5.0333827436586778E-2</v>
      </c>
      <c r="J426" s="15">
        <f>Yearly_Growth!$D$2</f>
        <v>0.03</v>
      </c>
      <c r="K426">
        <f>Sales_Per_Representative!$C$3</f>
        <v>762157</v>
      </c>
      <c r="L426">
        <f>Sales_Per_Rep_Yearly_Goal!$B$2</f>
        <v>665544.80000000005</v>
      </c>
      <c r="M426">
        <f>Sales_Per_Rep_Yearly_Goal!$C$2</f>
        <v>650000</v>
      </c>
    </row>
    <row r="427" spans="1:13" x14ac:dyDescent="0.3">
      <c r="A427" s="3">
        <v>45037</v>
      </c>
      <c r="B427">
        <f t="shared" si="6"/>
        <v>2023</v>
      </c>
      <c r="C427">
        <v>4</v>
      </c>
      <c r="D427" t="s">
        <v>23</v>
      </c>
      <c r="E427" t="s">
        <v>5</v>
      </c>
      <c r="F427" s="2">
        <v>10894</v>
      </c>
      <c r="G427" s="2">
        <f>Monthly_Growth!$C$5</f>
        <v>892919</v>
      </c>
      <c r="H427" s="5">
        <f>Monthly_Growth!$D$5</f>
        <v>0.34032074548407532</v>
      </c>
      <c r="I427" s="15">
        <f>Yearly_Growth!$C$2</f>
        <v>5.0333827436586778E-2</v>
      </c>
      <c r="J427" s="15">
        <f>Yearly_Growth!$D$2</f>
        <v>0.03</v>
      </c>
      <c r="K427">
        <f>Sales_Per_Representative!$C$10</f>
        <v>663333</v>
      </c>
      <c r="L427">
        <f>Sales_Per_Rep_Yearly_Goal!$B$2</f>
        <v>665544.80000000005</v>
      </c>
      <c r="M427">
        <f>Sales_Per_Rep_Yearly_Goal!$C$2</f>
        <v>650000</v>
      </c>
    </row>
    <row r="428" spans="1:13" x14ac:dyDescent="0.3">
      <c r="A428" s="3">
        <v>45037</v>
      </c>
      <c r="B428">
        <f t="shared" si="6"/>
        <v>2023</v>
      </c>
      <c r="C428">
        <v>4</v>
      </c>
      <c r="D428" t="s">
        <v>25</v>
      </c>
      <c r="E428" t="s">
        <v>27</v>
      </c>
      <c r="F428" s="2">
        <v>8614</v>
      </c>
      <c r="G428" s="2">
        <f>Monthly_Growth!$C$5</f>
        <v>892919</v>
      </c>
      <c r="H428" s="5">
        <f>Monthly_Growth!$D$5</f>
        <v>0.34032074548407532</v>
      </c>
      <c r="I428" s="15">
        <f>Yearly_Growth!$C$2</f>
        <v>5.0333827436586778E-2</v>
      </c>
      <c r="J428" s="15">
        <f>Yearly_Growth!$D$2</f>
        <v>0.03</v>
      </c>
      <c r="K428">
        <f>Sales_Per_Representative!$C$5</f>
        <v>747962</v>
      </c>
      <c r="L428">
        <f>Sales_Per_Rep_Yearly_Goal!$B$2</f>
        <v>665544.80000000005</v>
      </c>
      <c r="M428">
        <f>Sales_Per_Rep_Yearly_Goal!$C$2</f>
        <v>650000</v>
      </c>
    </row>
    <row r="429" spans="1:13" x14ac:dyDescent="0.3">
      <c r="A429" s="3">
        <v>45037</v>
      </c>
      <c r="B429">
        <f t="shared" si="6"/>
        <v>2023</v>
      </c>
      <c r="C429">
        <v>4</v>
      </c>
      <c r="D429" t="s">
        <v>7</v>
      </c>
      <c r="E429" t="s">
        <v>22</v>
      </c>
      <c r="F429" s="2">
        <v>6852</v>
      </c>
      <c r="G429" s="2">
        <f>Monthly_Growth!$C$5</f>
        <v>892919</v>
      </c>
      <c r="H429" s="5">
        <f>Monthly_Growth!$D$5</f>
        <v>0.34032074548407532</v>
      </c>
      <c r="I429" s="15">
        <f>Yearly_Growth!$C$2</f>
        <v>5.0333827436586778E-2</v>
      </c>
      <c r="J429" s="15">
        <f>Yearly_Growth!$D$2</f>
        <v>0.03</v>
      </c>
      <c r="K429">
        <f>Sales_Per_Representative!$C$8</f>
        <v>649456</v>
      </c>
      <c r="L429">
        <f>Sales_Per_Rep_Yearly_Goal!$B$2</f>
        <v>665544.80000000005</v>
      </c>
      <c r="M429">
        <f>Sales_Per_Rep_Yearly_Goal!$C$2</f>
        <v>650000</v>
      </c>
    </row>
    <row r="430" spans="1:13" x14ac:dyDescent="0.3">
      <c r="A430" s="3">
        <v>45037</v>
      </c>
      <c r="B430">
        <f t="shared" si="6"/>
        <v>2023</v>
      </c>
      <c r="C430">
        <v>4</v>
      </c>
      <c r="D430" t="s">
        <v>12</v>
      </c>
      <c r="E430" t="s">
        <v>29</v>
      </c>
      <c r="F430" s="2">
        <v>6973</v>
      </c>
      <c r="G430" s="2">
        <f>Monthly_Growth!$C$5</f>
        <v>892919</v>
      </c>
      <c r="H430" s="5">
        <f>Monthly_Growth!$D$5</f>
        <v>0.34032074548407532</v>
      </c>
      <c r="I430" s="15">
        <f>Yearly_Growth!$C$2</f>
        <v>5.0333827436586778E-2</v>
      </c>
      <c r="J430" s="15">
        <f>Yearly_Growth!$D$2</f>
        <v>0.03</v>
      </c>
      <c r="K430">
        <f>Sales_Per_Representative!$C$13</f>
        <v>621548</v>
      </c>
      <c r="L430">
        <f>Sales_Per_Rep_Yearly_Goal!$B$2</f>
        <v>665544.80000000005</v>
      </c>
      <c r="M430">
        <f>Sales_Per_Rep_Yearly_Goal!$C$2</f>
        <v>650000</v>
      </c>
    </row>
    <row r="431" spans="1:13" x14ac:dyDescent="0.3">
      <c r="A431" s="3">
        <v>45038</v>
      </c>
      <c r="B431">
        <f t="shared" si="6"/>
        <v>2023</v>
      </c>
      <c r="C431">
        <v>4</v>
      </c>
      <c r="D431" t="s">
        <v>14</v>
      </c>
      <c r="E431" t="s">
        <v>10</v>
      </c>
      <c r="F431" s="2">
        <v>3940</v>
      </c>
      <c r="G431" s="2">
        <f>Monthly_Growth!$C$5</f>
        <v>892919</v>
      </c>
      <c r="H431" s="5">
        <f>Monthly_Growth!$D$5</f>
        <v>0.34032074548407532</v>
      </c>
      <c r="I431" s="15">
        <f>Yearly_Growth!$C$2</f>
        <v>5.0333827436586778E-2</v>
      </c>
      <c r="J431" s="15">
        <f>Yearly_Growth!$D$2</f>
        <v>0.03</v>
      </c>
      <c r="K431">
        <f>Sales_Per_Representative!$C$4</f>
        <v>725713</v>
      </c>
      <c r="L431">
        <f>Sales_Per_Rep_Yearly_Goal!$B$2</f>
        <v>665544.80000000005</v>
      </c>
      <c r="M431">
        <f>Sales_Per_Rep_Yearly_Goal!$C$2</f>
        <v>650000</v>
      </c>
    </row>
    <row r="432" spans="1:13" x14ac:dyDescent="0.3">
      <c r="A432" s="3">
        <v>45038</v>
      </c>
      <c r="B432">
        <f t="shared" si="6"/>
        <v>2023</v>
      </c>
      <c r="C432">
        <v>4</v>
      </c>
      <c r="D432" t="s">
        <v>12</v>
      </c>
      <c r="E432" t="s">
        <v>29</v>
      </c>
      <c r="F432" s="2">
        <v>3564</v>
      </c>
      <c r="G432" s="2">
        <f>Monthly_Growth!$C$5</f>
        <v>892919</v>
      </c>
      <c r="H432" s="5">
        <f>Monthly_Growth!$D$5</f>
        <v>0.34032074548407532</v>
      </c>
      <c r="I432" s="15">
        <f>Yearly_Growth!$C$2</f>
        <v>5.0333827436586778E-2</v>
      </c>
      <c r="J432" s="15">
        <f>Yearly_Growth!$D$2</f>
        <v>0.03</v>
      </c>
      <c r="K432">
        <f>Sales_Per_Representative!$C$13</f>
        <v>621548</v>
      </c>
      <c r="L432">
        <f>Sales_Per_Rep_Yearly_Goal!$B$2</f>
        <v>665544.80000000005</v>
      </c>
      <c r="M432">
        <f>Sales_Per_Rep_Yearly_Goal!$C$2</f>
        <v>650000</v>
      </c>
    </row>
    <row r="433" spans="1:13" x14ac:dyDescent="0.3">
      <c r="A433" s="3">
        <v>45039</v>
      </c>
      <c r="B433">
        <f t="shared" si="6"/>
        <v>2023</v>
      </c>
      <c r="C433">
        <v>4</v>
      </c>
      <c r="D433" t="s">
        <v>14</v>
      </c>
      <c r="E433" t="s">
        <v>30</v>
      </c>
      <c r="F433" s="2">
        <v>13257</v>
      </c>
      <c r="G433" s="2">
        <f>Monthly_Growth!$C$5</f>
        <v>892919</v>
      </c>
      <c r="H433" s="5">
        <f>Monthly_Growth!$D$5</f>
        <v>0.34032074548407532</v>
      </c>
      <c r="I433" s="15">
        <f>Yearly_Growth!$C$2</f>
        <v>5.0333827436586778E-2</v>
      </c>
      <c r="J433" s="15">
        <f>Yearly_Growth!$D$2</f>
        <v>0.03</v>
      </c>
      <c r="K433">
        <f>Sales_Per_Representative!$C$7</f>
        <v>706974</v>
      </c>
      <c r="L433">
        <f>Sales_Per_Rep_Yearly_Goal!$B$2</f>
        <v>665544.80000000005</v>
      </c>
      <c r="M433">
        <f>Sales_Per_Rep_Yearly_Goal!$C$2</f>
        <v>650000</v>
      </c>
    </row>
    <row r="434" spans="1:13" x14ac:dyDescent="0.3">
      <c r="A434" s="3">
        <v>45039</v>
      </c>
      <c r="B434">
        <f t="shared" si="6"/>
        <v>2023</v>
      </c>
      <c r="C434">
        <v>4</v>
      </c>
      <c r="D434" t="s">
        <v>14</v>
      </c>
      <c r="E434" t="s">
        <v>33</v>
      </c>
      <c r="F434" s="2">
        <v>5597</v>
      </c>
      <c r="G434" s="2">
        <f>Monthly_Growth!$C$5</f>
        <v>892919</v>
      </c>
      <c r="H434" s="5">
        <f>Monthly_Growth!$D$5</f>
        <v>0.34032074548407532</v>
      </c>
      <c r="I434" s="15">
        <f>Yearly_Growth!$C$2</f>
        <v>5.0333827436586778E-2</v>
      </c>
      <c r="J434" s="15">
        <f>Yearly_Growth!$D$2</f>
        <v>0.03</v>
      </c>
      <c r="K434">
        <f>Sales_Per_Representative!$C$11</f>
        <v>496886</v>
      </c>
      <c r="L434">
        <f>Sales_Per_Rep_Yearly_Goal!$B$2</f>
        <v>665544.80000000005</v>
      </c>
      <c r="M434">
        <f>Sales_Per_Rep_Yearly_Goal!$C$2</f>
        <v>650000</v>
      </c>
    </row>
    <row r="435" spans="1:13" x14ac:dyDescent="0.3">
      <c r="A435" s="3">
        <v>45039</v>
      </c>
      <c r="B435">
        <f t="shared" si="6"/>
        <v>2023</v>
      </c>
      <c r="C435">
        <v>4</v>
      </c>
      <c r="D435" t="s">
        <v>7</v>
      </c>
      <c r="E435" t="s">
        <v>30</v>
      </c>
      <c r="F435" s="2">
        <v>7403</v>
      </c>
      <c r="G435" s="2">
        <f>Monthly_Growth!$C$5</f>
        <v>892919</v>
      </c>
      <c r="H435" s="5">
        <f>Monthly_Growth!$D$5</f>
        <v>0.34032074548407532</v>
      </c>
      <c r="I435" s="15">
        <f>Yearly_Growth!$C$2</f>
        <v>5.0333827436586778E-2</v>
      </c>
      <c r="J435" s="15">
        <f>Yearly_Growth!$D$2</f>
        <v>0.03</v>
      </c>
      <c r="K435">
        <f>Sales_Per_Representative!$C$7</f>
        <v>706974</v>
      </c>
      <c r="L435">
        <f>Sales_Per_Rep_Yearly_Goal!$B$2</f>
        <v>665544.80000000005</v>
      </c>
      <c r="M435">
        <f>Sales_Per_Rep_Yearly_Goal!$C$2</f>
        <v>650000</v>
      </c>
    </row>
    <row r="436" spans="1:13" x14ac:dyDescent="0.3">
      <c r="A436" s="3">
        <v>45039</v>
      </c>
      <c r="B436">
        <f t="shared" si="6"/>
        <v>2023</v>
      </c>
      <c r="C436">
        <v>4</v>
      </c>
      <c r="D436" t="s">
        <v>7</v>
      </c>
      <c r="E436" t="s">
        <v>33</v>
      </c>
      <c r="F436" s="2">
        <v>4281</v>
      </c>
      <c r="G436" s="2">
        <f>Monthly_Growth!$C$5</f>
        <v>892919</v>
      </c>
      <c r="H436" s="5">
        <f>Monthly_Growth!$D$5</f>
        <v>0.34032074548407532</v>
      </c>
      <c r="I436" s="15">
        <f>Yearly_Growth!$C$2</f>
        <v>5.0333827436586778E-2</v>
      </c>
      <c r="J436" s="15">
        <f>Yearly_Growth!$D$2</f>
        <v>0.03</v>
      </c>
      <c r="K436">
        <f>Sales_Per_Representative!$C$11</f>
        <v>496886</v>
      </c>
      <c r="L436">
        <f>Sales_Per_Rep_Yearly_Goal!$B$2</f>
        <v>665544.80000000005</v>
      </c>
      <c r="M436">
        <f>Sales_Per_Rep_Yearly_Goal!$C$2</f>
        <v>650000</v>
      </c>
    </row>
    <row r="437" spans="1:13" x14ac:dyDescent="0.3">
      <c r="A437" s="3">
        <v>45039</v>
      </c>
      <c r="B437">
        <f t="shared" si="6"/>
        <v>2023</v>
      </c>
      <c r="C437">
        <v>4</v>
      </c>
      <c r="D437" t="s">
        <v>17</v>
      </c>
      <c r="E437" t="s">
        <v>8</v>
      </c>
      <c r="F437" s="2">
        <v>4659</v>
      </c>
      <c r="G437" s="2">
        <f>Monthly_Growth!$C$5</f>
        <v>892919</v>
      </c>
      <c r="H437" s="5">
        <f>Monthly_Growth!$D$5</f>
        <v>0.34032074548407532</v>
      </c>
      <c r="I437" s="15">
        <f>Yearly_Growth!$C$2</f>
        <v>5.0333827436586778E-2</v>
      </c>
      <c r="J437" s="15">
        <f>Yearly_Growth!$D$2</f>
        <v>0.03</v>
      </c>
      <c r="K437">
        <f>Sales_Per_Representative!$C$15</f>
        <v>701242</v>
      </c>
      <c r="L437">
        <f>Sales_Per_Rep_Yearly_Goal!$B$2</f>
        <v>665544.80000000005</v>
      </c>
      <c r="M437">
        <f>Sales_Per_Rep_Yearly_Goal!$C$2</f>
        <v>650000</v>
      </c>
    </row>
    <row r="438" spans="1:13" x14ac:dyDescent="0.3">
      <c r="A438" s="3">
        <v>45040</v>
      </c>
      <c r="B438">
        <f t="shared" si="6"/>
        <v>2023</v>
      </c>
      <c r="C438">
        <v>4</v>
      </c>
      <c r="D438" t="s">
        <v>14</v>
      </c>
      <c r="E438" t="s">
        <v>18</v>
      </c>
      <c r="F438" s="2">
        <v>6608</v>
      </c>
      <c r="G438" s="2">
        <f>Monthly_Growth!$C$5</f>
        <v>892919</v>
      </c>
      <c r="H438" s="5">
        <f>Monthly_Growth!$D$5</f>
        <v>0.34032074548407532</v>
      </c>
      <c r="I438" s="15">
        <f>Yearly_Growth!$C$2</f>
        <v>5.0333827436586778E-2</v>
      </c>
      <c r="J438" s="15">
        <f>Yearly_Growth!$D$2</f>
        <v>0.03</v>
      </c>
      <c r="K438">
        <f>Sales_Per_Representative!$C$9</f>
        <v>550835</v>
      </c>
      <c r="L438">
        <f>Sales_Per_Rep_Yearly_Goal!$B$2</f>
        <v>665544.80000000005</v>
      </c>
      <c r="M438">
        <f>Sales_Per_Rep_Yearly_Goal!$C$2</f>
        <v>650000</v>
      </c>
    </row>
    <row r="439" spans="1:13" x14ac:dyDescent="0.3">
      <c r="A439" s="3">
        <v>45040</v>
      </c>
      <c r="B439">
        <f t="shared" si="6"/>
        <v>2023</v>
      </c>
      <c r="C439">
        <v>4</v>
      </c>
      <c r="D439" t="s">
        <v>14</v>
      </c>
      <c r="E439" t="s">
        <v>20</v>
      </c>
      <c r="F439" s="2">
        <v>4986</v>
      </c>
      <c r="G439" s="2">
        <f>Monthly_Growth!$C$5</f>
        <v>892919</v>
      </c>
      <c r="H439" s="5">
        <f>Monthly_Growth!$D$5</f>
        <v>0.34032074548407532</v>
      </c>
      <c r="I439" s="15">
        <f>Yearly_Growth!$C$2</f>
        <v>5.0333827436586778E-2</v>
      </c>
      <c r="J439" s="15">
        <f>Yearly_Growth!$D$2</f>
        <v>0.03</v>
      </c>
      <c r="K439">
        <f>Sales_Per_Representative!$C$14</f>
        <v>675530</v>
      </c>
      <c r="L439">
        <f>Sales_Per_Rep_Yearly_Goal!$B$2</f>
        <v>665544.80000000005</v>
      </c>
      <c r="M439">
        <f>Sales_Per_Rep_Yearly_Goal!$C$2</f>
        <v>650000</v>
      </c>
    </row>
    <row r="440" spans="1:13" x14ac:dyDescent="0.3">
      <c r="A440" s="3">
        <v>45040</v>
      </c>
      <c r="B440">
        <f t="shared" si="6"/>
        <v>2023</v>
      </c>
      <c r="C440">
        <v>4</v>
      </c>
      <c r="D440" t="s">
        <v>23</v>
      </c>
      <c r="E440" t="s">
        <v>33</v>
      </c>
      <c r="F440" s="2">
        <v>12286</v>
      </c>
      <c r="G440" s="2">
        <f>Monthly_Growth!$C$5</f>
        <v>892919</v>
      </c>
      <c r="H440" s="5">
        <f>Monthly_Growth!$D$5</f>
        <v>0.34032074548407532</v>
      </c>
      <c r="I440" s="15">
        <f>Yearly_Growth!$C$2</f>
        <v>5.0333827436586778E-2</v>
      </c>
      <c r="J440" s="15">
        <f>Yearly_Growth!$D$2</f>
        <v>0.03</v>
      </c>
      <c r="K440">
        <f>Sales_Per_Representative!$C$11</f>
        <v>496886</v>
      </c>
      <c r="L440">
        <f>Sales_Per_Rep_Yearly_Goal!$B$2</f>
        <v>665544.80000000005</v>
      </c>
      <c r="M440">
        <f>Sales_Per_Rep_Yearly_Goal!$C$2</f>
        <v>650000</v>
      </c>
    </row>
    <row r="441" spans="1:13" x14ac:dyDescent="0.3">
      <c r="A441" s="3">
        <v>45040</v>
      </c>
      <c r="B441">
        <f t="shared" si="6"/>
        <v>2023</v>
      </c>
      <c r="C441">
        <v>4</v>
      </c>
      <c r="D441" t="s">
        <v>25</v>
      </c>
      <c r="E441" t="s">
        <v>26</v>
      </c>
      <c r="F441" s="2">
        <v>7873</v>
      </c>
      <c r="G441" s="2">
        <f>Monthly_Growth!$C$5</f>
        <v>892919</v>
      </c>
      <c r="H441" s="5">
        <f>Monthly_Growth!$D$5</f>
        <v>0.34032074548407532</v>
      </c>
      <c r="I441" s="15">
        <f>Yearly_Growth!$C$2</f>
        <v>5.0333827436586778E-2</v>
      </c>
      <c r="J441" s="15">
        <f>Yearly_Growth!$D$2</f>
        <v>0.03</v>
      </c>
      <c r="K441">
        <f>Sales_Per_Representative!$C$16</f>
        <v>666159</v>
      </c>
      <c r="L441">
        <f>Sales_Per_Rep_Yearly_Goal!$B$2</f>
        <v>665544.80000000005</v>
      </c>
      <c r="M441">
        <f>Sales_Per_Rep_Yearly_Goal!$C$2</f>
        <v>650000</v>
      </c>
    </row>
    <row r="442" spans="1:13" x14ac:dyDescent="0.3">
      <c r="A442" s="3">
        <v>45040</v>
      </c>
      <c r="B442">
        <f t="shared" si="6"/>
        <v>2023</v>
      </c>
      <c r="C442">
        <v>4</v>
      </c>
      <c r="D442" t="s">
        <v>7</v>
      </c>
      <c r="E442" t="s">
        <v>29</v>
      </c>
      <c r="F442" s="2">
        <v>13889</v>
      </c>
      <c r="G442" s="2">
        <f>Monthly_Growth!$C$5</f>
        <v>892919</v>
      </c>
      <c r="H442" s="5">
        <f>Monthly_Growth!$D$5</f>
        <v>0.34032074548407532</v>
      </c>
      <c r="I442" s="15">
        <f>Yearly_Growth!$C$2</f>
        <v>5.0333827436586778E-2</v>
      </c>
      <c r="J442" s="15">
        <f>Yearly_Growth!$D$2</f>
        <v>0.03</v>
      </c>
      <c r="K442">
        <f>Sales_Per_Representative!$C$13</f>
        <v>621548</v>
      </c>
      <c r="L442">
        <f>Sales_Per_Rep_Yearly_Goal!$B$2</f>
        <v>665544.80000000005</v>
      </c>
      <c r="M442">
        <f>Sales_Per_Rep_Yearly_Goal!$C$2</f>
        <v>650000</v>
      </c>
    </row>
    <row r="443" spans="1:13" x14ac:dyDescent="0.3">
      <c r="A443" s="3">
        <v>45040</v>
      </c>
      <c r="B443">
        <f t="shared" si="6"/>
        <v>2023</v>
      </c>
      <c r="C443">
        <v>4</v>
      </c>
      <c r="D443" t="s">
        <v>12</v>
      </c>
      <c r="E443" t="s">
        <v>18</v>
      </c>
      <c r="F443" s="2">
        <v>8855</v>
      </c>
      <c r="G443" s="2">
        <f>Monthly_Growth!$C$5</f>
        <v>892919</v>
      </c>
      <c r="H443" s="5">
        <f>Monthly_Growth!$D$5</f>
        <v>0.34032074548407532</v>
      </c>
      <c r="I443" s="15">
        <f>Yearly_Growth!$C$2</f>
        <v>5.0333827436586778E-2</v>
      </c>
      <c r="J443" s="15">
        <f>Yearly_Growth!$D$2</f>
        <v>0.03</v>
      </c>
      <c r="K443">
        <f>Sales_Per_Representative!$C$9</f>
        <v>550835</v>
      </c>
      <c r="L443">
        <f>Sales_Per_Rep_Yearly_Goal!$B$2</f>
        <v>665544.80000000005</v>
      </c>
      <c r="M443">
        <f>Sales_Per_Rep_Yearly_Goal!$C$2</f>
        <v>650000</v>
      </c>
    </row>
    <row r="444" spans="1:13" x14ac:dyDescent="0.3">
      <c r="A444" s="3">
        <v>45041</v>
      </c>
      <c r="B444">
        <f t="shared" si="6"/>
        <v>2023</v>
      </c>
      <c r="C444">
        <v>4</v>
      </c>
      <c r="D444" t="s">
        <v>14</v>
      </c>
      <c r="E444" t="s">
        <v>22</v>
      </c>
      <c r="F444" s="2">
        <v>3162</v>
      </c>
      <c r="G444" s="2">
        <f>Monthly_Growth!$C$5</f>
        <v>892919</v>
      </c>
      <c r="H444" s="5">
        <f>Monthly_Growth!$D$5</f>
        <v>0.34032074548407532</v>
      </c>
      <c r="I444" s="15">
        <f>Yearly_Growth!$C$2</f>
        <v>5.0333827436586778E-2</v>
      </c>
      <c r="J444" s="15">
        <f>Yearly_Growth!$D$2</f>
        <v>0.03</v>
      </c>
      <c r="K444">
        <f>Sales_Per_Representative!$C$8</f>
        <v>649456</v>
      </c>
      <c r="L444">
        <f>Sales_Per_Rep_Yearly_Goal!$B$2</f>
        <v>665544.80000000005</v>
      </c>
      <c r="M444">
        <f>Sales_Per_Rep_Yearly_Goal!$C$2</f>
        <v>650000</v>
      </c>
    </row>
    <row r="445" spans="1:13" x14ac:dyDescent="0.3">
      <c r="A445" s="3">
        <v>45041</v>
      </c>
      <c r="B445">
        <f t="shared" si="6"/>
        <v>2023</v>
      </c>
      <c r="C445">
        <v>4</v>
      </c>
      <c r="D445" t="s">
        <v>19</v>
      </c>
      <c r="E445" t="s">
        <v>30</v>
      </c>
      <c r="F445" s="2">
        <v>5710</v>
      </c>
      <c r="G445" s="2">
        <f>Monthly_Growth!$C$5</f>
        <v>892919</v>
      </c>
      <c r="H445" s="5">
        <f>Monthly_Growth!$D$5</f>
        <v>0.34032074548407532</v>
      </c>
      <c r="I445" s="15">
        <f>Yearly_Growth!$C$2</f>
        <v>5.0333827436586778E-2</v>
      </c>
      <c r="J445" s="15">
        <f>Yearly_Growth!$D$2</f>
        <v>0.03</v>
      </c>
      <c r="K445">
        <f>Sales_Per_Representative!$C$7</f>
        <v>706974</v>
      </c>
      <c r="L445">
        <f>Sales_Per_Rep_Yearly_Goal!$B$2</f>
        <v>665544.80000000005</v>
      </c>
      <c r="M445">
        <f>Sales_Per_Rep_Yearly_Goal!$C$2</f>
        <v>650000</v>
      </c>
    </row>
    <row r="446" spans="1:13" x14ac:dyDescent="0.3">
      <c r="A446" s="3">
        <v>45041</v>
      </c>
      <c r="B446">
        <f t="shared" si="6"/>
        <v>2023</v>
      </c>
      <c r="C446">
        <v>4</v>
      </c>
      <c r="D446" t="s">
        <v>7</v>
      </c>
      <c r="E446" t="s">
        <v>31</v>
      </c>
      <c r="F446" s="2">
        <v>2594</v>
      </c>
      <c r="G446" s="2">
        <f>Monthly_Growth!$C$5</f>
        <v>892919</v>
      </c>
      <c r="H446" s="5">
        <f>Monthly_Growth!$D$5</f>
        <v>0.34032074548407532</v>
      </c>
      <c r="I446" s="15">
        <f>Yearly_Growth!$C$2</f>
        <v>5.0333827436586778E-2</v>
      </c>
      <c r="J446" s="15">
        <f>Yearly_Growth!$D$2</f>
        <v>0.03</v>
      </c>
      <c r="K446">
        <f>Sales_Per_Representative!$C$6</f>
        <v>727823</v>
      </c>
      <c r="L446">
        <f>Sales_Per_Rep_Yearly_Goal!$B$2</f>
        <v>665544.80000000005</v>
      </c>
      <c r="M446">
        <f>Sales_Per_Rep_Yearly_Goal!$C$2</f>
        <v>650000</v>
      </c>
    </row>
    <row r="447" spans="1:13" x14ac:dyDescent="0.3">
      <c r="A447" s="3">
        <v>45042</v>
      </c>
      <c r="B447">
        <f t="shared" si="6"/>
        <v>2023</v>
      </c>
      <c r="C447">
        <v>4</v>
      </c>
      <c r="D447" t="s">
        <v>23</v>
      </c>
      <c r="E447" t="s">
        <v>22</v>
      </c>
      <c r="F447" s="2">
        <v>9319</v>
      </c>
      <c r="G447" s="2">
        <f>Monthly_Growth!$C$5</f>
        <v>892919</v>
      </c>
      <c r="H447" s="5">
        <f>Monthly_Growth!$D$5</f>
        <v>0.34032074548407532</v>
      </c>
      <c r="I447" s="15">
        <f>Yearly_Growth!$C$2</f>
        <v>5.0333827436586778E-2</v>
      </c>
      <c r="J447" s="15">
        <f>Yearly_Growth!$D$2</f>
        <v>0.03</v>
      </c>
      <c r="K447">
        <f>Sales_Per_Representative!$C$8</f>
        <v>649456</v>
      </c>
      <c r="L447">
        <f>Sales_Per_Rep_Yearly_Goal!$B$2</f>
        <v>665544.80000000005</v>
      </c>
      <c r="M447">
        <f>Sales_Per_Rep_Yearly_Goal!$C$2</f>
        <v>650000</v>
      </c>
    </row>
    <row r="448" spans="1:13" x14ac:dyDescent="0.3">
      <c r="A448" s="3">
        <v>45042</v>
      </c>
      <c r="B448">
        <f t="shared" si="6"/>
        <v>2023</v>
      </c>
      <c r="C448">
        <v>4</v>
      </c>
      <c r="D448" t="s">
        <v>23</v>
      </c>
      <c r="E448" t="s">
        <v>20</v>
      </c>
      <c r="F448" s="2">
        <v>10961</v>
      </c>
      <c r="G448" s="2">
        <f>Monthly_Growth!$C$5</f>
        <v>892919</v>
      </c>
      <c r="H448" s="5">
        <f>Monthly_Growth!$D$5</f>
        <v>0.34032074548407532</v>
      </c>
      <c r="I448" s="15">
        <f>Yearly_Growth!$C$2</f>
        <v>5.0333827436586778E-2</v>
      </c>
      <c r="J448" s="15">
        <f>Yearly_Growth!$D$2</f>
        <v>0.03</v>
      </c>
      <c r="K448">
        <f>Sales_Per_Representative!$C$14</f>
        <v>675530</v>
      </c>
      <c r="L448">
        <f>Sales_Per_Rep_Yearly_Goal!$B$2</f>
        <v>665544.80000000005</v>
      </c>
      <c r="M448">
        <f>Sales_Per_Rep_Yearly_Goal!$C$2</f>
        <v>650000</v>
      </c>
    </row>
    <row r="449" spans="1:13" x14ac:dyDescent="0.3">
      <c r="A449" s="3">
        <v>45042</v>
      </c>
      <c r="B449">
        <f t="shared" si="6"/>
        <v>2023</v>
      </c>
      <c r="C449">
        <v>4</v>
      </c>
      <c r="D449" t="s">
        <v>23</v>
      </c>
      <c r="E449" t="s">
        <v>5</v>
      </c>
      <c r="F449" s="2">
        <v>1513</v>
      </c>
      <c r="G449" s="2">
        <f>Monthly_Growth!$C$5</f>
        <v>892919</v>
      </c>
      <c r="H449" s="5">
        <f>Monthly_Growth!$D$5</f>
        <v>0.34032074548407532</v>
      </c>
      <c r="I449" s="15">
        <f>Yearly_Growth!$C$2</f>
        <v>5.0333827436586778E-2</v>
      </c>
      <c r="J449" s="15">
        <f>Yearly_Growth!$D$2</f>
        <v>0.03</v>
      </c>
      <c r="K449">
        <f>Sales_Per_Representative!$C$10</f>
        <v>663333</v>
      </c>
      <c r="L449">
        <f>Sales_Per_Rep_Yearly_Goal!$B$2</f>
        <v>665544.80000000005</v>
      </c>
      <c r="M449">
        <f>Sales_Per_Rep_Yearly_Goal!$C$2</f>
        <v>650000</v>
      </c>
    </row>
    <row r="450" spans="1:13" x14ac:dyDescent="0.3">
      <c r="A450" s="3">
        <v>45042</v>
      </c>
      <c r="B450">
        <f t="shared" si="6"/>
        <v>2023</v>
      </c>
      <c r="C450">
        <v>4</v>
      </c>
      <c r="D450" t="s">
        <v>28</v>
      </c>
      <c r="E450" t="s">
        <v>32</v>
      </c>
      <c r="F450" s="2">
        <v>12370</v>
      </c>
      <c r="G450" s="2">
        <f>Monthly_Growth!$C$5</f>
        <v>892919</v>
      </c>
      <c r="H450" s="5">
        <f>Monthly_Growth!$D$5</f>
        <v>0.34032074548407532</v>
      </c>
      <c r="I450" s="15">
        <f>Yearly_Growth!$C$2</f>
        <v>5.0333827436586778E-2</v>
      </c>
      <c r="J450" s="15">
        <f>Yearly_Growth!$D$2</f>
        <v>0.03</v>
      </c>
      <c r="K450">
        <f>Sales_Per_Representative!$C$3</f>
        <v>762157</v>
      </c>
      <c r="L450">
        <f>Sales_Per_Rep_Yearly_Goal!$B$2</f>
        <v>665544.80000000005</v>
      </c>
      <c r="M450">
        <f>Sales_Per_Rep_Yearly_Goal!$C$2</f>
        <v>650000</v>
      </c>
    </row>
    <row r="451" spans="1:13" x14ac:dyDescent="0.3">
      <c r="A451" s="3">
        <v>45042</v>
      </c>
      <c r="B451">
        <f t="shared" ref="B451:B514" si="7">YEAR(A451)</f>
        <v>2023</v>
      </c>
      <c r="C451">
        <v>4</v>
      </c>
      <c r="D451" t="s">
        <v>17</v>
      </c>
      <c r="E451" t="s">
        <v>32</v>
      </c>
      <c r="F451" s="2">
        <v>13926</v>
      </c>
      <c r="G451" s="2">
        <f>Monthly_Growth!$C$5</f>
        <v>892919</v>
      </c>
      <c r="H451" s="5">
        <f>Monthly_Growth!$D$5</f>
        <v>0.34032074548407532</v>
      </c>
      <c r="I451" s="15">
        <f>Yearly_Growth!$C$2</f>
        <v>5.0333827436586778E-2</v>
      </c>
      <c r="J451" s="15">
        <f>Yearly_Growth!$D$2</f>
        <v>0.03</v>
      </c>
      <c r="K451">
        <f>Sales_Per_Representative!$C$3</f>
        <v>762157</v>
      </c>
      <c r="L451">
        <f>Sales_Per_Rep_Yearly_Goal!$B$2</f>
        <v>665544.80000000005</v>
      </c>
      <c r="M451">
        <f>Sales_Per_Rep_Yearly_Goal!$C$2</f>
        <v>650000</v>
      </c>
    </row>
    <row r="452" spans="1:13" x14ac:dyDescent="0.3">
      <c r="A452" s="3">
        <v>45043</v>
      </c>
      <c r="B452">
        <f t="shared" si="7"/>
        <v>2023</v>
      </c>
      <c r="C452">
        <v>4</v>
      </c>
      <c r="D452" t="s">
        <v>14</v>
      </c>
      <c r="E452" t="s">
        <v>26</v>
      </c>
      <c r="F452" s="2">
        <v>1437</v>
      </c>
      <c r="G452" s="2">
        <f>Monthly_Growth!$C$5</f>
        <v>892919</v>
      </c>
      <c r="H452" s="5">
        <f>Monthly_Growth!$D$5</f>
        <v>0.34032074548407532</v>
      </c>
      <c r="I452" s="15">
        <f>Yearly_Growth!$C$2</f>
        <v>5.0333827436586778E-2</v>
      </c>
      <c r="J452" s="15">
        <f>Yearly_Growth!$D$2</f>
        <v>0.03</v>
      </c>
      <c r="K452">
        <f>Sales_Per_Representative!$C$16</f>
        <v>666159</v>
      </c>
      <c r="L452">
        <f>Sales_Per_Rep_Yearly_Goal!$B$2</f>
        <v>665544.80000000005</v>
      </c>
      <c r="M452">
        <f>Sales_Per_Rep_Yearly_Goal!$C$2</f>
        <v>650000</v>
      </c>
    </row>
    <row r="453" spans="1:13" x14ac:dyDescent="0.3">
      <c r="A453" s="3">
        <v>45043</v>
      </c>
      <c r="B453">
        <f t="shared" si="7"/>
        <v>2023</v>
      </c>
      <c r="C453">
        <v>4</v>
      </c>
      <c r="D453" t="s">
        <v>19</v>
      </c>
      <c r="E453" t="s">
        <v>31</v>
      </c>
      <c r="F453" s="2">
        <v>6321</v>
      </c>
      <c r="G453" s="2">
        <f>Monthly_Growth!$C$5</f>
        <v>892919</v>
      </c>
      <c r="H453" s="5">
        <f>Monthly_Growth!$D$5</f>
        <v>0.34032074548407532</v>
      </c>
      <c r="I453" s="15">
        <f>Yearly_Growth!$C$2</f>
        <v>5.0333827436586778E-2</v>
      </c>
      <c r="J453" s="15">
        <f>Yearly_Growth!$D$2</f>
        <v>0.03</v>
      </c>
      <c r="K453">
        <f>Sales_Per_Representative!$C$6</f>
        <v>727823</v>
      </c>
      <c r="L453">
        <f>Sales_Per_Rep_Yearly_Goal!$B$2</f>
        <v>665544.80000000005</v>
      </c>
      <c r="M453">
        <f>Sales_Per_Rep_Yearly_Goal!$C$2</f>
        <v>650000</v>
      </c>
    </row>
    <row r="454" spans="1:13" x14ac:dyDescent="0.3">
      <c r="A454" s="3">
        <v>45043</v>
      </c>
      <c r="B454">
        <f t="shared" si="7"/>
        <v>2023</v>
      </c>
      <c r="C454">
        <v>4</v>
      </c>
      <c r="D454" t="s">
        <v>19</v>
      </c>
      <c r="E454" t="s">
        <v>15</v>
      </c>
      <c r="F454" s="2">
        <v>13741</v>
      </c>
      <c r="G454" s="2">
        <f>Monthly_Growth!$C$5</f>
        <v>892919</v>
      </c>
      <c r="H454" s="5">
        <f>Monthly_Growth!$D$5</f>
        <v>0.34032074548407532</v>
      </c>
      <c r="I454" s="15">
        <f>Yearly_Growth!$C$2</f>
        <v>5.0333827436586778E-2</v>
      </c>
      <c r="J454" s="15">
        <f>Yearly_Growth!$D$2</f>
        <v>0.03</v>
      </c>
      <c r="K454">
        <f>Sales_Per_Representative!$C$12</f>
        <v>656359</v>
      </c>
      <c r="L454">
        <f>Sales_Per_Rep_Yearly_Goal!$B$2</f>
        <v>665544.80000000005</v>
      </c>
      <c r="M454">
        <f>Sales_Per_Rep_Yearly_Goal!$C$2</f>
        <v>650000</v>
      </c>
    </row>
    <row r="455" spans="1:13" x14ac:dyDescent="0.3">
      <c r="A455" s="3">
        <v>45044</v>
      </c>
      <c r="B455">
        <f t="shared" si="7"/>
        <v>2023</v>
      </c>
      <c r="C455">
        <v>4</v>
      </c>
      <c r="D455" t="s">
        <v>17</v>
      </c>
      <c r="E455" t="s">
        <v>18</v>
      </c>
      <c r="F455" s="2">
        <v>11827</v>
      </c>
      <c r="G455" s="2">
        <f>Monthly_Growth!$C$5</f>
        <v>892919</v>
      </c>
      <c r="H455" s="5">
        <f>Monthly_Growth!$D$5</f>
        <v>0.34032074548407532</v>
      </c>
      <c r="I455" s="15">
        <f>Yearly_Growth!$C$2</f>
        <v>5.0333827436586778E-2</v>
      </c>
      <c r="J455" s="15">
        <f>Yearly_Growth!$D$2</f>
        <v>0.03</v>
      </c>
      <c r="K455">
        <f>Sales_Per_Representative!$C$9</f>
        <v>550835</v>
      </c>
      <c r="L455">
        <f>Sales_Per_Rep_Yearly_Goal!$B$2</f>
        <v>665544.80000000005</v>
      </c>
      <c r="M455">
        <f>Sales_Per_Rep_Yearly_Goal!$C$2</f>
        <v>650000</v>
      </c>
    </row>
    <row r="456" spans="1:13" x14ac:dyDescent="0.3">
      <c r="A456" s="3">
        <v>45045</v>
      </c>
      <c r="B456">
        <f t="shared" si="7"/>
        <v>2023</v>
      </c>
      <c r="C456">
        <v>4</v>
      </c>
      <c r="D456" t="s">
        <v>14</v>
      </c>
      <c r="E456" t="s">
        <v>31</v>
      </c>
      <c r="F456" s="2">
        <v>5070</v>
      </c>
      <c r="G456" s="2">
        <f>Monthly_Growth!$C$5</f>
        <v>892919</v>
      </c>
      <c r="H456" s="5">
        <f>Monthly_Growth!$D$5</f>
        <v>0.34032074548407532</v>
      </c>
      <c r="I456" s="15">
        <f>Yearly_Growth!$C$2</f>
        <v>5.0333827436586778E-2</v>
      </c>
      <c r="J456" s="15">
        <f>Yearly_Growth!$D$2</f>
        <v>0.03</v>
      </c>
      <c r="K456">
        <f>Sales_Per_Representative!$C$6</f>
        <v>727823</v>
      </c>
      <c r="L456">
        <f>Sales_Per_Rep_Yearly_Goal!$B$2</f>
        <v>665544.80000000005</v>
      </c>
      <c r="M456">
        <f>Sales_Per_Rep_Yearly_Goal!$C$2</f>
        <v>650000</v>
      </c>
    </row>
    <row r="457" spans="1:13" x14ac:dyDescent="0.3">
      <c r="A457" s="3">
        <v>45045</v>
      </c>
      <c r="B457">
        <f t="shared" si="7"/>
        <v>2023</v>
      </c>
      <c r="C457">
        <v>4</v>
      </c>
      <c r="D457" t="s">
        <v>19</v>
      </c>
      <c r="E457" t="s">
        <v>31</v>
      </c>
      <c r="F457" s="2">
        <v>12026</v>
      </c>
      <c r="G457" s="2">
        <f>Monthly_Growth!$C$5</f>
        <v>892919</v>
      </c>
      <c r="H457" s="5">
        <f>Monthly_Growth!$D$5</f>
        <v>0.34032074548407532</v>
      </c>
      <c r="I457" s="15">
        <f>Yearly_Growth!$C$2</f>
        <v>5.0333827436586778E-2</v>
      </c>
      <c r="J457" s="15">
        <f>Yearly_Growth!$D$2</f>
        <v>0.03</v>
      </c>
      <c r="K457">
        <f>Sales_Per_Representative!$C$6</f>
        <v>727823</v>
      </c>
      <c r="L457">
        <f>Sales_Per_Rep_Yearly_Goal!$B$2</f>
        <v>665544.80000000005</v>
      </c>
      <c r="M457">
        <f>Sales_Per_Rep_Yearly_Goal!$C$2</f>
        <v>650000</v>
      </c>
    </row>
    <row r="458" spans="1:13" x14ac:dyDescent="0.3">
      <c r="A458" s="3">
        <v>45045</v>
      </c>
      <c r="B458">
        <f t="shared" si="7"/>
        <v>2023</v>
      </c>
      <c r="C458">
        <v>4</v>
      </c>
      <c r="D458" t="s">
        <v>23</v>
      </c>
      <c r="E458" t="s">
        <v>22</v>
      </c>
      <c r="F458" s="2">
        <v>12315</v>
      </c>
      <c r="G458" s="2">
        <f>Monthly_Growth!$C$5</f>
        <v>892919</v>
      </c>
      <c r="H458" s="5">
        <f>Monthly_Growth!$D$5</f>
        <v>0.34032074548407532</v>
      </c>
      <c r="I458" s="15">
        <f>Yearly_Growth!$C$2</f>
        <v>5.0333827436586778E-2</v>
      </c>
      <c r="J458" s="15">
        <f>Yearly_Growth!$D$2</f>
        <v>0.03</v>
      </c>
      <c r="K458">
        <f>Sales_Per_Representative!$C$8</f>
        <v>649456</v>
      </c>
      <c r="L458">
        <f>Sales_Per_Rep_Yearly_Goal!$B$2</f>
        <v>665544.80000000005</v>
      </c>
      <c r="M458">
        <f>Sales_Per_Rep_Yearly_Goal!$C$2</f>
        <v>650000</v>
      </c>
    </row>
    <row r="459" spans="1:13" x14ac:dyDescent="0.3">
      <c r="A459" s="3">
        <v>45045</v>
      </c>
      <c r="B459">
        <f t="shared" si="7"/>
        <v>2023</v>
      </c>
      <c r="C459">
        <v>4</v>
      </c>
      <c r="D459" t="s">
        <v>28</v>
      </c>
      <c r="E459" t="s">
        <v>26</v>
      </c>
      <c r="F459" s="2">
        <v>11719</v>
      </c>
      <c r="G459" s="2">
        <f>Monthly_Growth!$C$5</f>
        <v>892919</v>
      </c>
      <c r="H459" s="5">
        <f>Monthly_Growth!$D$5</f>
        <v>0.34032074548407532</v>
      </c>
      <c r="I459" s="15">
        <f>Yearly_Growth!$C$2</f>
        <v>5.0333827436586778E-2</v>
      </c>
      <c r="J459" s="15">
        <f>Yearly_Growth!$D$2</f>
        <v>0.03</v>
      </c>
      <c r="K459">
        <f>Sales_Per_Representative!$C$16</f>
        <v>666159</v>
      </c>
      <c r="L459">
        <f>Sales_Per_Rep_Yearly_Goal!$B$2</f>
        <v>665544.80000000005</v>
      </c>
      <c r="M459">
        <f>Sales_Per_Rep_Yearly_Goal!$C$2</f>
        <v>650000</v>
      </c>
    </row>
    <row r="460" spans="1:13" x14ac:dyDescent="0.3">
      <c r="A460" s="3">
        <v>45046</v>
      </c>
      <c r="B460">
        <f t="shared" si="7"/>
        <v>2023</v>
      </c>
      <c r="C460">
        <v>4</v>
      </c>
      <c r="D460" t="s">
        <v>7</v>
      </c>
      <c r="E460" t="s">
        <v>15</v>
      </c>
      <c r="F460" s="2">
        <v>1105</v>
      </c>
      <c r="G460" s="2">
        <f>Monthly_Growth!$C$5</f>
        <v>892919</v>
      </c>
      <c r="H460" s="5">
        <f>Monthly_Growth!$D$5</f>
        <v>0.34032074548407532</v>
      </c>
      <c r="I460" s="15">
        <f>Yearly_Growth!$C$2</f>
        <v>5.0333827436586778E-2</v>
      </c>
      <c r="J460" s="15">
        <f>Yearly_Growth!$D$2</f>
        <v>0.03</v>
      </c>
      <c r="K460">
        <f>Sales_Per_Representative!$C$12</f>
        <v>656359</v>
      </c>
      <c r="L460">
        <f>Sales_Per_Rep_Yearly_Goal!$B$2</f>
        <v>665544.80000000005</v>
      </c>
      <c r="M460">
        <f>Sales_Per_Rep_Yearly_Goal!$C$2</f>
        <v>650000</v>
      </c>
    </row>
    <row r="461" spans="1:13" x14ac:dyDescent="0.3">
      <c r="A461" s="3">
        <v>45046</v>
      </c>
      <c r="B461">
        <f t="shared" si="7"/>
        <v>2023</v>
      </c>
      <c r="C461">
        <v>4</v>
      </c>
      <c r="D461" t="s">
        <v>28</v>
      </c>
      <c r="E461" t="s">
        <v>32</v>
      </c>
      <c r="F461" s="2">
        <v>4373</v>
      </c>
      <c r="G461" s="2">
        <f>Monthly_Growth!$C$5</f>
        <v>892919</v>
      </c>
      <c r="H461" s="5">
        <f>Monthly_Growth!$D$5</f>
        <v>0.34032074548407532</v>
      </c>
      <c r="I461" s="15">
        <f>Yearly_Growth!$C$2</f>
        <v>5.0333827436586778E-2</v>
      </c>
      <c r="J461" s="15">
        <f>Yearly_Growth!$D$2</f>
        <v>0.03</v>
      </c>
      <c r="K461">
        <f>Sales_Per_Representative!$C$3</f>
        <v>762157</v>
      </c>
      <c r="L461">
        <f>Sales_Per_Rep_Yearly_Goal!$B$2</f>
        <v>665544.80000000005</v>
      </c>
      <c r="M461">
        <f>Sales_Per_Rep_Yearly_Goal!$C$2</f>
        <v>650000</v>
      </c>
    </row>
    <row r="462" spans="1:13" x14ac:dyDescent="0.3">
      <c r="A462" s="3">
        <v>45046</v>
      </c>
      <c r="B462">
        <f t="shared" si="7"/>
        <v>2023</v>
      </c>
      <c r="C462">
        <v>4</v>
      </c>
      <c r="D462" t="s">
        <v>28</v>
      </c>
      <c r="E462" t="s">
        <v>26</v>
      </c>
      <c r="F462" s="2">
        <v>5292</v>
      </c>
      <c r="G462" s="2">
        <f>Monthly_Growth!$C$5</f>
        <v>892919</v>
      </c>
      <c r="H462" s="5">
        <f>Monthly_Growth!$D$5</f>
        <v>0.34032074548407532</v>
      </c>
      <c r="I462" s="15">
        <f>Yearly_Growth!$C$2</f>
        <v>5.0333827436586778E-2</v>
      </c>
      <c r="J462" s="15">
        <f>Yearly_Growth!$D$2</f>
        <v>0.03</v>
      </c>
      <c r="K462">
        <f>Sales_Per_Representative!$C$16</f>
        <v>666159</v>
      </c>
      <c r="L462">
        <f>Sales_Per_Rep_Yearly_Goal!$B$2</f>
        <v>665544.80000000005</v>
      </c>
      <c r="M462">
        <f>Sales_Per_Rep_Yearly_Goal!$C$2</f>
        <v>650000</v>
      </c>
    </row>
    <row r="463" spans="1:13" x14ac:dyDescent="0.3">
      <c r="A463" s="3">
        <v>45047</v>
      </c>
      <c r="B463">
        <f t="shared" si="7"/>
        <v>2023</v>
      </c>
      <c r="C463">
        <v>5</v>
      </c>
      <c r="D463" t="s">
        <v>14</v>
      </c>
      <c r="E463" t="s">
        <v>5</v>
      </c>
      <c r="F463" s="2">
        <v>2471</v>
      </c>
      <c r="G463" s="2">
        <f>Monthly_Growth!$C$6</f>
        <v>792630</v>
      </c>
      <c r="H463" s="5">
        <f>Monthly_Growth!$D$6</f>
        <v>-0.11231589875453428</v>
      </c>
      <c r="I463" s="15">
        <f>Yearly_Growth!$C$2</f>
        <v>5.0333827436586778E-2</v>
      </c>
      <c r="J463" s="15">
        <f>Yearly_Growth!$D$2</f>
        <v>0.03</v>
      </c>
      <c r="K463">
        <f>Sales_Per_Representative!$C$10</f>
        <v>663333</v>
      </c>
      <c r="L463">
        <f>Sales_Per_Rep_Yearly_Goal!$B$2</f>
        <v>665544.80000000005</v>
      </c>
      <c r="M463">
        <f>Sales_Per_Rep_Yearly_Goal!$C$2</f>
        <v>650000</v>
      </c>
    </row>
    <row r="464" spans="1:13" x14ac:dyDescent="0.3">
      <c r="A464" s="3">
        <v>45047</v>
      </c>
      <c r="B464">
        <f t="shared" si="7"/>
        <v>2023</v>
      </c>
      <c r="C464">
        <v>5</v>
      </c>
      <c r="D464" t="s">
        <v>23</v>
      </c>
      <c r="E464" t="s">
        <v>15</v>
      </c>
      <c r="F464" s="2">
        <v>8191</v>
      </c>
      <c r="G464" s="2">
        <f>Monthly_Growth!$C$6</f>
        <v>792630</v>
      </c>
      <c r="H464" s="5">
        <f>Monthly_Growth!$D$6</f>
        <v>-0.11231589875453428</v>
      </c>
      <c r="I464" s="15">
        <f>Yearly_Growth!$C$2</f>
        <v>5.0333827436586778E-2</v>
      </c>
      <c r="J464" s="15">
        <f>Yearly_Growth!$D$2</f>
        <v>0.03</v>
      </c>
      <c r="K464">
        <f>Sales_Per_Representative!$C$12</f>
        <v>656359</v>
      </c>
      <c r="L464">
        <f>Sales_Per_Rep_Yearly_Goal!$B$2</f>
        <v>665544.80000000005</v>
      </c>
      <c r="M464">
        <f>Sales_Per_Rep_Yearly_Goal!$C$2</f>
        <v>650000</v>
      </c>
    </row>
    <row r="465" spans="1:13" x14ac:dyDescent="0.3">
      <c r="A465" s="3">
        <v>45047</v>
      </c>
      <c r="B465">
        <f t="shared" si="7"/>
        <v>2023</v>
      </c>
      <c r="C465">
        <v>5</v>
      </c>
      <c r="D465" t="s">
        <v>7</v>
      </c>
      <c r="E465" t="s">
        <v>18</v>
      </c>
      <c r="F465" s="2">
        <v>3772</v>
      </c>
      <c r="G465" s="2">
        <f>Monthly_Growth!$C$6</f>
        <v>792630</v>
      </c>
      <c r="H465" s="5">
        <f>Monthly_Growth!$D$6</f>
        <v>-0.11231589875453428</v>
      </c>
      <c r="I465" s="15">
        <f>Yearly_Growth!$C$2</f>
        <v>5.0333827436586778E-2</v>
      </c>
      <c r="J465" s="15">
        <f>Yearly_Growth!$D$2</f>
        <v>0.03</v>
      </c>
      <c r="K465">
        <f>Sales_Per_Representative!$C$9</f>
        <v>550835</v>
      </c>
      <c r="L465">
        <f>Sales_Per_Rep_Yearly_Goal!$B$2</f>
        <v>665544.80000000005</v>
      </c>
      <c r="M465">
        <f>Sales_Per_Rep_Yearly_Goal!$C$2</f>
        <v>650000</v>
      </c>
    </row>
    <row r="466" spans="1:13" x14ac:dyDescent="0.3">
      <c r="A466" s="3">
        <v>45048</v>
      </c>
      <c r="B466">
        <f t="shared" si="7"/>
        <v>2023</v>
      </c>
      <c r="C466">
        <v>5</v>
      </c>
      <c r="D466" t="s">
        <v>19</v>
      </c>
      <c r="E466" t="s">
        <v>24</v>
      </c>
      <c r="F466" s="2">
        <v>13256</v>
      </c>
      <c r="G466" s="2">
        <f>Monthly_Growth!$C$6</f>
        <v>792630</v>
      </c>
      <c r="H466" s="5">
        <f>Monthly_Growth!$D$6</f>
        <v>-0.11231589875453428</v>
      </c>
      <c r="I466" s="15">
        <f>Yearly_Growth!$C$2</f>
        <v>5.0333827436586778E-2</v>
      </c>
      <c r="J466" s="15">
        <f>Yearly_Growth!$D$2</f>
        <v>0.03</v>
      </c>
      <c r="K466">
        <f>Sales_Per_Representative!$C$2</f>
        <v>631195</v>
      </c>
      <c r="L466">
        <f>Sales_Per_Rep_Yearly_Goal!$B$2</f>
        <v>665544.80000000005</v>
      </c>
      <c r="M466">
        <f>Sales_Per_Rep_Yearly_Goal!$C$2</f>
        <v>650000</v>
      </c>
    </row>
    <row r="467" spans="1:13" x14ac:dyDescent="0.3">
      <c r="A467" s="3">
        <v>45048</v>
      </c>
      <c r="B467">
        <f t="shared" si="7"/>
        <v>2023</v>
      </c>
      <c r="C467">
        <v>5</v>
      </c>
      <c r="D467" t="s">
        <v>28</v>
      </c>
      <c r="E467" t="s">
        <v>24</v>
      </c>
      <c r="F467" s="2">
        <v>6065</v>
      </c>
      <c r="G467" s="2">
        <f>Monthly_Growth!$C$6</f>
        <v>792630</v>
      </c>
      <c r="H467" s="5">
        <f>Monthly_Growth!$D$6</f>
        <v>-0.11231589875453428</v>
      </c>
      <c r="I467" s="15">
        <f>Yearly_Growth!$C$2</f>
        <v>5.0333827436586778E-2</v>
      </c>
      <c r="J467" s="15">
        <f>Yearly_Growth!$D$2</f>
        <v>0.03</v>
      </c>
      <c r="K467">
        <f>Sales_Per_Representative!$C$2</f>
        <v>631195</v>
      </c>
      <c r="L467">
        <f>Sales_Per_Rep_Yearly_Goal!$B$2</f>
        <v>665544.80000000005</v>
      </c>
      <c r="M467">
        <f>Sales_Per_Rep_Yearly_Goal!$C$2</f>
        <v>650000</v>
      </c>
    </row>
    <row r="468" spans="1:13" x14ac:dyDescent="0.3">
      <c r="A468" s="3">
        <v>45048</v>
      </c>
      <c r="B468">
        <f t="shared" si="7"/>
        <v>2023</v>
      </c>
      <c r="C468">
        <v>5</v>
      </c>
      <c r="D468" t="s">
        <v>17</v>
      </c>
      <c r="E468" t="s">
        <v>18</v>
      </c>
      <c r="F468" s="2">
        <v>7922</v>
      </c>
      <c r="G468" s="2">
        <f>Monthly_Growth!$C$6</f>
        <v>792630</v>
      </c>
      <c r="H468" s="5">
        <f>Monthly_Growth!$D$6</f>
        <v>-0.11231589875453428</v>
      </c>
      <c r="I468" s="15">
        <f>Yearly_Growth!$C$2</f>
        <v>5.0333827436586778E-2</v>
      </c>
      <c r="J468" s="15">
        <f>Yearly_Growth!$D$2</f>
        <v>0.03</v>
      </c>
      <c r="K468">
        <f>Sales_Per_Representative!$C$9</f>
        <v>550835</v>
      </c>
      <c r="L468">
        <f>Sales_Per_Rep_Yearly_Goal!$B$2</f>
        <v>665544.80000000005</v>
      </c>
      <c r="M468">
        <f>Sales_Per_Rep_Yearly_Goal!$C$2</f>
        <v>650000</v>
      </c>
    </row>
    <row r="469" spans="1:13" x14ac:dyDescent="0.3">
      <c r="A469" s="3">
        <v>45049</v>
      </c>
      <c r="B469">
        <f t="shared" si="7"/>
        <v>2023</v>
      </c>
      <c r="C469">
        <v>5</v>
      </c>
      <c r="D469" t="s">
        <v>14</v>
      </c>
      <c r="E469" t="s">
        <v>5</v>
      </c>
      <c r="F469" s="2">
        <v>12630</v>
      </c>
      <c r="G469" s="2">
        <f>Monthly_Growth!$C$6</f>
        <v>792630</v>
      </c>
      <c r="H469" s="5">
        <f>Monthly_Growth!$D$6</f>
        <v>-0.11231589875453428</v>
      </c>
      <c r="I469" s="15">
        <f>Yearly_Growth!$C$2</f>
        <v>5.0333827436586778E-2</v>
      </c>
      <c r="J469" s="15">
        <f>Yearly_Growth!$D$2</f>
        <v>0.03</v>
      </c>
      <c r="K469">
        <f>Sales_Per_Representative!$C$10</f>
        <v>663333</v>
      </c>
      <c r="L469">
        <f>Sales_Per_Rep_Yearly_Goal!$B$2</f>
        <v>665544.80000000005</v>
      </c>
      <c r="M469">
        <f>Sales_Per_Rep_Yearly_Goal!$C$2</f>
        <v>650000</v>
      </c>
    </row>
    <row r="470" spans="1:13" x14ac:dyDescent="0.3">
      <c r="A470" s="3">
        <v>45049</v>
      </c>
      <c r="B470">
        <f t="shared" si="7"/>
        <v>2023</v>
      </c>
      <c r="C470">
        <v>5</v>
      </c>
      <c r="D470" t="s">
        <v>28</v>
      </c>
      <c r="E470" t="s">
        <v>27</v>
      </c>
      <c r="F470" s="2">
        <v>11610</v>
      </c>
      <c r="G470" s="2">
        <f>Monthly_Growth!$C$6</f>
        <v>792630</v>
      </c>
      <c r="H470" s="5">
        <f>Monthly_Growth!$D$6</f>
        <v>-0.11231589875453428</v>
      </c>
      <c r="I470" s="15">
        <f>Yearly_Growth!$C$2</f>
        <v>5.0333827436586778E-2</v>
      </c>
      <c r="J470" s="15">
        <f>Yearly_Growth!$D$2</f>
        <v>0.03</v>
      </c>
      <c r="K470">
        <f>Sales_Per_Representative!$C$5</f>
        <v>747962</v>
      </c>
      <c r="L470">
        <f>Sales_Per_Rep_Yearly_Goal!$B$2</f>
        <v>665544.80000000005</v>
      </c>
      <c r="M470">
        <f>Sales_Per_Rep_Yearly_Goal!$C$2</f>
        <v>650000</v>
      </c>
    </row>
    <row r="471" spans="1:13" x14ac:dyDescent="0.3">
      <c r="A471" s="3">
        <v>45049</v>
      </c>
      <c r="B471">
        <f t="shared" si="7"/>
        <v>2023</v>
      </c>
      <c r="C471">
        <v>5</v>
      </c>
      <c r="D471" t="s">
        <v>17</v>
      </c>
      <c r="E471" t="s">
        <v>18</v>
      </c>
      <c r="F471" s="2">
        <v>6851</v>
      </c>
      <c r="G471" s="2">
        <f>Monthly_Growth!$C$6</f>
        <v>792630</v>
      </c>
      <c r="H471" s="5">
        <f>Monthly_Growth!$D$6</f>
        <v>-0.11231589875453428</v>
      </c>
      <c r="I471" s="15">
        <f>Yearly_Growth!$C$2</f>
        <v>5.0333827436586778E-2</v>
      </c>
      <c r="J471" s="15">
        <f>Yearly_Growth!$D$2</f>
        <v>0.03</v>
      </c>
      <c r="K471">
        <f>Sales_Per_Representative!$C$9</f>
        <v>550835</v>
      </c>
      <c r="L471">
        <f>Sales_Per_Rep_Yearly_Goal!$B$2</f>
        <v>665544.80000000005</v>
      </c>
      <c r="M471">
        <f>Sales_Per_Rep_Yearly_Goal!$C$2</f>
        <v>650000</v>
      </c>
    </row>
    <row r="472" spans="1:13" x14ac:dyDescent="0.3">
      <c r="A472" s="3">
        <v>45049</v>
      </c>
      <c r="B472">
        <f t="shared" si="7"/>
        <v>2023</v>
      </c>
      <c r="C472">
        <v>5</v>
      </c>
      <c r="D472" t="s">
        <v>17</v>
      </c>
      <c r="E472" t="s">
        <v>10</v>
      </c>
      <c r="F472" s="2">
        <v>6969</v>
      </c>
      <c r="G472" s="2">
        <f>Monthly_Growth!$C$6</f>
        <v>792630</v>
      </c>
      <c r="H472" s="5">
        <f>Monthly_Growth!$D$6</f>
        <v>-0.11231589875453428</v>
      </c>
      <c r="I472" s="15">
        <f>Yearly_Growth!$C$2</f>
        <v>5.0333827436586778E-2</v>
      </c>
      <c r="J472" s="15">
        <f>Yearly_Growth!$D$2</f>
        <v>0.03</v>
      </c>
      <c r="K472">
        <f>Sales_Per_Representative!$C$4</f>
        <v>725713</v>
      </c>
      <c r="L472">
        <f>Sales_Per_Rep_Yearly_Goal!$B$2</f>
        <v>665544.80000000005</v>
      </c>
      <c r="M472">
        <f>Sales_Per_Rep_Yearly_Goal!$C$2</f>
        <v>650000</v>
      </c>
    </row>
    <row r="473" spans="1:13" x14ac:dyDescent="0.3">
      <c r="A473" s="3">
        <v>45050</v>
      </c>
      <c r="B473">
        <f t="shared" si="7"/>
        <v>2023</v>
      </c>
      <c r="C473">
        <v>5</v>
      </c>
      <c r="D473" t="s">
        <v>14</v>
      </c>
      <c r="E473" t="s">
        <v>10</v>
      </c>
      <c r="F473" s="2">
        <v>5900</v>
      </c>
      <c r="G473" s="2">
        <f>Monthly_Growth!$C$6</f>
        <v>792630</v>
      </c>
      <c r="H473" s="5">
        <f>Monthly_Growth!$D$6</f>
        <v>-0.11231589875453428</v>
      </c>
      <c r="I473" s="15">
        <f>Yearly_Growth!$C$2</f>
        <v>5.0333827436586778E-2</v>
      </c>
      <c r="J473" s="15">
        <f>Yearly_Growth!$D$2</f>
        <v>0.03</v>
      </c>
      <c r="K473">
        <f>Sales_Per_Representative!$C$4</f>
        <v>725713</v>
      </c>
      <c r="L473">
        <f>Sales_Per_Rep_Yearly_Goal!$B$2</f>
        <v>665544.80000000005</v>
      </c>
      <c r="M473">
        <f>Sales_Per_Rep_Yearly_Goal!$C$2</f>
        <v>650000</v>
      </c>
    </row>
    <row r="474" spans="1:13" x14ac:dyDescent="0.3">
      <c r="A474" s="3">
        <v>45050</v>
      </c>
      <c r="B474">
        <f t="shared" si="7"/>
        <v>2023</v>
      </c>
      <c r="C474">
        <v>5</v>
      </c>
      <c r="D474" t="s">
        <v>23</v>
      </c>
      <c r="E474" t="s">
        <v>24</v>
      </c>
      <c r="F474" s="2">
        <v>8352</v>
      </c>
      <c r="G474" s="2">
        <f>Monthly_Growth!$C$6</f>
        <v>792630</v>
      </c>
      <c r="H474" s="5">
        <f>Monthly_Growth!$D$6</f>
        <v>-0.11231589875453428</v>
      </c>
      <c r="I474" s="15">
        <f>Yearly_Growth!$C$2</f>
        <v>5.0333827436586778E-2</v>
      </c>
      <c r="J474" s="15">
        <f>Yearly_Growth!$D$2</f>
        <v>0.03</v>
      </c>
      <c r="K474">
        <f>Sales_Per_Representative!$C$2</f>
        <v>631195</v>
      </c>
      <c r="L474">
        <f>Sales_Per_Rep_Yearly_Goal!$B$2</f>
        <v>665544.80000000005</v>
      </c>
      <c r="M474">
        <f>Sales_Per_Rep_Yearly_Goal!$C$2</f>
        <v>650000</v>
      </c>
    </row>
    <row r="475" spans="1:13" x14ac:dyDescent="0.3">
      <c r="A475" s="3">
        <v>45050</v>
      </c>
      <c r="B475">
        <f t="shared" si="7"/>
        <v>2023</v>
      </c>
      <c r="C475">
        <v>5</v>
      </c>
      <c r="D475" t="s">
        <v>7</v>
      </c>
      <c r="E475" t="s">
        <v>20</v>
      </c>
      <c r="F475" s="2">
        <v>7223</v>
      </c>
      <c r="G475" s="2">
        <f>Monthly_Growth!$C$6</f>
        <v>792630</v>
      </c>
      <c r="H475" s="5">
        <f>Monthly_Growth!$D$6</f>
        <v>-0.11231589875453428</v>
      </c>
      <c r="I475" s="15">
        <f>Yearly_Growth!$C$2</f>
        <v>5.0333827436586778E-2</v>
      </c>
      <c r="J475" s="15">
        <f>Yearly_Growth!$D$2</f>
        <v>0.03</v>
      </c>
      <c r="K475">
        <f>Sales_Per_Representative!$C$14</f>
        <v>675530</v>
      </c>
      <c r="L475">
        <f>Sales_Per_Rep_Yearly_Goal!$B$2</f>
        <v>665544.80000000005</v>
      </c>
      <c r="M475">
        <f>Sales_Per_Rep_Yearly_Goal!$C$2</f>
        <v>650000</v>
      </c>
    </row>
    <row r="476" spans="1:13" x14ac:dyDescent="0.3">
      <c r="A476" s="3">
        <v>45050</v>
      </c>
      <c r="B476">
        <f t="shared" si="7"/>
        <v>2023</v>
      </c>
      <c r="C476">
        <v>5</v>
      </c>
      <c r="D476" t="s">
        <v>7</v>
      </c>
      <c r="E476" t="s">
        <v>29</v>
      </c>
      <c r="F476" s="2">
        <v>11227</v>
      </c>
      <c r="G476" s="2">
        <f>Monthly_Growth!$C$6</f>
        <v>792630</v>
      </c>
      <c r="H476" s="5">
        <f>Monthly_Growth!$D$6</f>
        <v>-0.11231589875453428</v>
      </c>
      <c r="I476" s="15">
        <f>Yearly_Growth!$C$2</f>
        <v>5.0333827436586778E-2</v>
      </c>
      <c r="J476" s="15">
        <f>Yearly_Growth!$D$2</f>
        <v>0.03</v>
      </c>
      <c r="K476">
        <f>Sales_Per_Representative!$C$13</f>
        <v>621548</v>
      </c>
      <c r="L476">
        <f>Sales_Per_Rep_Yearly_Goal!$B$2</f>
        <v>665544.80000000005</v>
      </c>
      <c r="M476">
        <f>Sales_Per_Rep_Yearly_Goal!$C$2</f>
        <v>650000</v>
      </c>
    </row>
    <row r="477" spans="1:13" x14ac:dyDescent="0.3">
      <c r="A477" s="3">
        <v>45050</v>
      </c>
      <c r="B477">
        <f t="shared" si="7"/>
        <v>2023</v>
      </c>
      <c r="C477">
        <v>5</v>
      </c>
      <c r="D477" t="s">
        <v>28</v>
      </c>
      <c r="E477" t="s">
        <v>22</v>
      </c>
      <c r="F477" s="2">
        <v>13522</v>
      </c>
      <c r="G477" s="2">
        <f>Monthly_Growth!$C$6</f>
        <v>792630</v>
      </c>
      <c r="H477" s="5">
        <f>Monthly_Growth!$D$6</f>
        <v>-0.11231589875453428</v>
      </c>
      <c r="I477" s="15">
        <f>Yearly_Growth!$C$2</f>
        <v>5.0333827436586778E-2</v>
      </c>
      <c r="J477" s="15">
        <f>Yearly_Growth!$D$2</f>
        <v>0.03</v>
      </c>
      <c r="K477">
        <f>Sales_Per_Representative!$C$8</f>
        <v>649456</v>
      </c>
      <c r="L477">
        <f>Sales_Per_Rep_Yearly_Goal!$B$2</f>
        <v>665544.80000000005</v>
      </c>
      <c r="M477">
        <f>Sales_Per_Rep_Yearly_Goal!$C$2</f>
        <v>650000</v>
      </c>
    </row>
    <row r="478" spans="1:13" x14ac:dyDescent="0.3">
      <c r="A478" s="3">
        <v>45050</v>
      </c>
      <c r="B478">
        <f t="shared" si="7"/>
        <v>2023</v>
      </c>
      <c r="C478">
        <v>5</v>
      </c>
      <c r="D478" t="s">
        <v>28</v>
      </c>
      <c r="E478" t="s">
        <v>24</v>
      </c>
      <c r="F478" s="2">
        <v>8027</v>
      </c>
      <c r="G478" s="2">
        <f>Monthly_Growth!$C$6</f>
        <v>792630</v>
      </c>
      <c r="H478" s="5">
        <f>Monthly_Growth!$D$6</f>
        <v>-0.11231589875453428</v>
      </c>
      <c r="I478" s="15">
        <f>Yearly_Growth!$C$2</f>
        <v>5.0333827436586778E-2</v>
      </c>
      <c r="J478" s="15">
        <f>Yearly_Growth!$D$2</f>
        <v>0.03</v>
      </c>
      <c r="K478">
        <f>Sales_Per_Representative!$C$2</f>
        <v>631195</v>
      </c>
      <c r="L478">
        <f>Sales_Per_Rep_Yearly_Goal!$B$2</f>
        <v>665544.80000000005</v>
      </c>
      <c r="M478">
        <f>Sales_Per_Rep_Yearly_Goal!$C$2</f>
        <v>650000</v>
      </c>
    </row>
    <row r="479" spans="1:13" x14ac:dyDescent="0.3">
      <c r="A479" s="3">
        <v>45050</v>
      </c>
      <c r="B479">
        <f t="shared" si="7"/>
        <v>2023</v>
      </c>
      <c r="C479">
        <v>5</v>
      </c>
      <c r="D479" t="s">
        <v>17</v>
      </c>
      <c r="E479" t="s">
        <v>27</v>
      </c>
      <c r="F479" s="2">
        <v>6802</v>
      </c>
      <c r="G479" s="2">
        <f>Monthly_Growth!$C$6</f>
        <v>792630</v>
      </c>
      <c r="H479" s="5">
        <f>Monthly_Growth!$D$6</f>
        <v>-0.11231589875453428</v>
      </c>
      <c r="I479" s="15">
        <f>Yearly_Growth!$C$2</f>
        <v>5.0333827436586778E-2</v>
      </c>
      <c r="J479" s="15">
        <f>Yearly_Growth!$D$2</f>
        <v>0.03</v>
      </c>
      <c r="K479">
        <f>Sales_Per_Representative!$C$5</f>
        <v>747962</v>
      </c>
      <c r="L479">
        <f>Sales_Per_Rep_Yearly_Goal!$B$2</f>
        <v>665544.80000000005</v>
      </c>
      <c r="M479">
        <f>Sales_Per_Rep_Yearly_Goal!$C$2</f>
        <v>650000</v>
      </c>
    </row>
    <row r="480" spans="1:13" x14ac:dyDescent="0.3">
      <c r="A480" s="3">
        <v>45051</v>
      </c>
      <c r="B480">
        <f t="shared" si="7"/>
        <v>2023</v>
      </c>
      <c r="C480">
        <v>5</v>
      </c>
      <c r="D480" t="s">
        <v>19</v>
      </c>
      <c r="E480" t="s">
        <v>15</v>
      </c>
      <c r="F480" s="2">
        <v>5319</v>
      </c>
      <c r="G480" s="2">
        <f>Monthly_Growth!$C$6</f>
        <v>792630</v>
      </c>
      <c r="H480" s="5">
        <f>Monthly_Growth!$D$6</f>
        <v>-0.11231589875453428</v>
      </c>
      <c r="I480" s="15">
        <f>Yearly_Growth!$C$2</f>
        <v>5.0333827436586778E-2</v>
      </c>
      <c r="J480" s="15">
        <f>Yearly_Growth!$D$2</f>
        <v>0.03</v>
      </c>
      <c r="K480">
        <f>Sales_Per_Representative!$C$12</f>
        <v>656359</v>
      </c>
      <c r="L480">
        <f>Sales_Per_Rep_Yearly_Goal!$B$2</f>
        <v>665544.80000000005</v>
      </c>
      <c r="M480">
        <f>Sales_Per_Rep_Yearly_Goal!$C$2</f>
        <v>650000</v>
      </c>
    </row>
    <row r="481" spans="1:13" x14ac:dyDescent="0.3">
      <c r="A481" s="3">
        <v>45051</v>
      </c>
      <c r="B481">
        <f t="shared" si="7"/>
        <v>2023</v>
      </c>
      <c r="C481">
        <v>5</v>
      </c>
      <c r="D481" t="s">
        <v>28</v>
      </c>
      <c r="E481" t="s">
        <v>26</v>
      </c>
      <c r="F481" s="2">
        <v>2147</v>
      </c>
      <c r="G481" s="2">
        <f>Monthly_Growth!$C$6</f>
        <v>792630</v>
      </c>
      <c r="H481" s="5">
        <f>Monthly_Growth!$D$6</f>
        <v>-0.11231589875453428</v>
      </c>
      <c r="I481" s="15">
        <f>Yearly_Growth!$C$2</f>
        <v>5.0333827436586778E-2</v>
      </c>
      <c r="J481" s="15">
        <f>Yearly_Growth!$D$2</f>
        <v>0.03</v>
      </c>
      <c r="K481">
        <f>Sales_Per_Representative!$C$16</f>
        <v>666159</v>
      </c>
      <c r="L481">
        <f>Sales_Per_Rep_Yearly_Goal!$B$2</f>
        <v>665544.80000000005</v>
      </c>
      <c r="M481">
        <f>Sales_Per_Rep_Yearly_Goal!$C$2</f>
        <v>650000</v>
      </c>
    </row>
    <row r="482" spans="1:13" x14ac:dyDescent="0.3">
      <c r="A482" s="3">
        <v>45051</v>
      </c>
      <c r="B482">
        <f t="shared" si="7"/>
        <v>2023</v>
      </c>
      <c r="C482">
        <v>5</v>
      </c>
      <c r="D482" t="s">
        <v>28</v>
      </c>
      <c r="E482" t="s">
        <v>30</v>
      </c>
      <c r="F482" s="2">
        <v>7148</v>
      </c>
      <c r="G482" s="2">
        <f>Monthly_Growth!$C$6</f>
        <v>792630</v>
      </c>
      <c r="H482" s="5">
        <f>Monthly_Growth!$D$6</f>
        <v>-0.11231589875453428</v>
      </c>
      <c r="I482" s="15">
        <f>Yearly_Growth!$C$2</f>
        <v>5.0333827436586778E-2</v>
      </c>
      <c r="J482" s="15">
        <f>Yearly_Growth!$D$2</f>
        <v>0.03</v>
      </c>
      <c r="K482">
        <f>Sales_Per_Representative!$C$7</f>
        <v>706974</v>
      </c>
      <c r="L482">
        <f>Sales_Per_Rep_Yearly_Goal!$B$2</f>
        <v>665544.80000000005</v>
      </c>
      <c r="M482">
        <f>Sales_Per_Rep_Yearly_Goal!$C$2</f>
        <v>650000</v>
      </c>
    </row>
    <row r="483" spans="1:13" x14ac:dyDescent="0.3">
      <c r="A483" s="3">
        <v>45052</v>
      </c>
      <c r="B483">
        <f t="shared" si="7"/>
        <v>2023</v>
      </c>
      <c r="C483">
        <v>5</v>
      </c>
      <c r="D483" t="s">
        <v>14</v>
      </c>
      <c r="E483" t="s">
        <v>20</v>
      </c>
      <c r="F483" s="2">
        <v>8088</v>
      </c>
      <c r="G483" s="2">
        <f>Monthly_Growth!$C$6</f>
        <v>792630</v>
      </c>
      <c r="H483" s="5">
        <f>Monthly_Growth!$D$6</f>
        <v>-0.11231589875453428</v>
      </c>
      <c r="I483" s="15">
        <f>Yearly_Growth!$C$2</f>
        <v>5.0333827436586778E-2</v>
      </c>
      <c r="J483" s="15">
        <f>Yearly_Growth!$D$2</f>
        <v>0.03</v>
      </c>
      <c r="K483">
        <f>Sales_Per_Representative!$C$14</f>
        <v>675530</v>
      </c>
      <c r="L483">
        <f>Sales_Per_Rep_Yearly_Goal!$B$2</f>
        <v>665544.80000000005</v>
      </c>
      <c r="M483">
        <f>Sales_Per_Rep_Yearly_Goal!$C$2</f>
        <v>650000</v>
      </c>
    </row>
    <row r="484" spans="1:13" x14ac:dyDescent="0.3">
      <c r="A484" s="3">
        <v>45052</v>
      </c>
      <c r="B484">
        <f t="shared" si="7"/>
        <v>2023</v>
      </c>
      <c r="C484">
        <v>5</v>
      </c>
      <c r="D484" t="s">
        <v>25</v>
      </c>
      <c r="E484" t="s">
        <v>24</v>
      </c>
      <c r="F484" s="2">
        <v>5130</v>
      </c>
      <c r="G484" s="2">
        <f>Monthly_Growth!$C$6</f>
        <v>792630</v>
      </c>
      <c r="H484" s="5">
        <f>Monthly_Growth!$D$6</f>
        <v>-0.11231589875453428</v>
      </c>
      <c r="I484" s="15">
        <f>Yearly_Growth!$C$2</f>
        <v>5.0333827436586778E-2</v>
      </c>
      <c r="J484" s="15">
        <f>Yearly_Growth!$D$2</f>
        <v>0.03</v>
      </c>
      <c r="K484">
        <f>Sales_Per_Representative!$C$2</f>
        <v>631195</v>
      </c>
      <c r="L484">
        <f>Sales_Per_Rep_Yearly_Goal!$B$2</f>
        <v>665544.80000000005</v>
      </c>
      <c r="M484">
        <f>Sales_Per_Rep_Yearly_Goal!$C$2</f>
        <v>650000</v>
      </c>
    </row>
    <row r="485" spans="1:13" x14ac:dyDescent="0.3">
      <c r="A485" s="3">
        <v>45053</v>
      </c>
      <c r="B485">
        <f t="shared" si="7"/>
        <v>2023</v>
      </c>
      <c r="C485">
        <v>5</v>
      </c>
      <c r="D485" t="s">
        <v>19</v>
      </c>
      <c r="E485" t="s">
        <v>29</v>
      </c>
      <c r="F485" s="2">
        <v>1606</v>
      </c>
      <c r="G485" s="2">
        <f>Monthly_Growth!$C$6</f>
        <v>792630</v>
      </c>
      <c r="H485" s="5">
        <f>Monthly_Growth!$D$6</f>
        <v>-0.11231589875453428</v>
      </c>
      <c r="I485" s="15">
        <f>Yearly_Growth!$C$2</f>
        <v>5.0333827436586778E-2</v>
      </c>
      <c r="J485" s="15">
        <f>Yearly_Growth!$D$2</f>
        <v>0.03</v>
      </c>
      <c r="K485">
        <f>Sales_Per_Representative!$C$13</f>
        <v>621548</v>
      </c>
      <c r="L485">
        <f>Sales_Per_Rep_Yearly_Goal!$B$2</f>
        <v>665544.80000000005</v>
      </c>
      <c r="M485">
        <f>Sales_Per_Rep_Yearly_Goal!$C$2</f>
        <v>650000</v>
      </c>
    </row>
    <row r="486" spans="1:13" x14ac:dyDescent="0.3">
      <c r="A486" s="3">
        <v>45053</v>
      </c>
      <c r="B486">
        <f t="shared" si="7"/>
        <v>2023</v>
      </c>
      <c r="C486">
        <v>5</v>
      </c>
      <c r="D486" t="s">
        <v>17</v>
      </c>
      <c r="E486" t="s">
        <v>5</v>
      </c>
      <c r="F486" s="2">
        <v>2495</v>
      </c>
      <c r="G486" s="2">
        <f>Monthly_Growth!$C$6</f>
        <v>792630</v>
      </c>
      <c r="H486" s="5">
        <f>Monthly_Growth!$D$6</f>
        <v>-0.11231589875453428</v>
      </c>
      <c r="I486" s="15">
        <f>Yearly_Growth!$C$2</f>
        <v>5.0333827436586778E-2</v>
      </c>
      <c r="J486" s="15">
        <f>Yearly_Growth!$D$2</f>
        <v>0.03</v>
      </c>
      <c r="K486">
        <f>Sales_Per_Representative!$C$10</f>
        <v>663333</v>
      </c>
      <c r="L486">
        <f>Sales_Per_Rep_Yearly_Goal!$B$2</f>
        <v>665544.80000000005</v>
      </c>
      <c r="M486">
        <f>Sales_Per_Rep_Yearly_Goal!$C$2</f>
        <v>650000</v>
      </c>
    </row>
    <row r="487" spans="1:13" x14ac:dyDescent="0.3">
      <c r="A487" s="3">
        <v>45053</v>
      </c>
      <c r="B487">
        <f t="shared" si="7"/>
        <v>2023</v>
      </c>
      <c r="C487">
        <v>5</v>
      </c>
      <c r="D487" t="s">
        <v>17</v>
      </c>
      <c r="E487" t="s">
        <v>5</v>
      </c>
      <c r="F487" s="2">
        <v>9540</v>
      </c>
      <c r="G487" s="2">
        <f>Monthly_Growth!$C$6</f>
        <v>792630</v>
      </c>
      <c r="H487" s="5">
        <f>Monthly_Growth!$D$6</f>
        <v>-0.11231589875453428</v>
      </c>
      <c r="I487" s="15">
        <f>Yearly_Growth!$C$2</f>
        <v>5.0333827436586778E-2</v>
      </c>
      <c r="J487" s="15">
        <f>Yearly_Growth!$D$2</f>
        <v>0.03</v>
      </c>
      <c r="K487">
        <f>Sales_Per_Representative!$C$10</f>
        <v>663333</v>
      </c>
      <c r="L487">
        <f>Sales_Per_Rep_Yearly_Goal!$B$2</f>
        <v>665544.80000000005</v>
      </c>
      <c r="M487">
        <f>Sales_Per_Rep_Yearly_Goal!$C$2</f>
        <v>650000</v>
      </c>
    </row>
    <row r="488" spans="1:13" x14ac:dyDescent="0.3">
      <c r="A488" s="3">
        <v>45054</v>
      </c>
      <c r="B488">
        <f t="shared" si="7"/>
        <v>2023</v>
      </c>
      <c r="C488">
        <v>5</v>
      </c>
      <c r="D488" t="s">
        <v>14</v>
      </c>
      <c r="E488" t="s">
        <v>31</v>
      </c>
      <c r="F488" s="2">
        <v>7993</v>
      </c>
      <c r="G488" s="2">
        <f>Monthly_Growth!$C$6</f>
        <v>792630</v>
      </c>
      <c r="H488" s="5">
        <f>Monthly_Growth!$D$6</f>
        <v>-0.11231589875453428</v>
      </c>
      <c r="I488" s="15">
        <f>Yearly_Growth!$C$2</f>
        <v>5.0333827436586778E-2</v>
      </c>
      <c r="J488" s="15">
        <f>Yearly_Growth!$D$2</f>
        <v>0.03</v>
      </c>
      <c r="K488">
        <f>Sales_Per_Representative!$C$6</f>
        <v>727823</v>
      </c>
      <c r="L488">
        <f>Sales_Per_Rep_Yearly_Goal!$B$2</f>
        <v>665544.80000000005</v>
      </c>
      <c r="M488">
        <f>Sales_Per_Rep_Yearly_Goal!$C$2</f>
        <v>650000</v>
      </c>
    </row>
    <row r="489" spans="1:13" x14ac:dyDescent="0.3">
      <c r="A489" s="3">
        <v>45054</v>
      </c>
      <c r="B489">
        <f t="shared" si="7"/>
        <v>2023</v>
      </c>
      <c r="C489">
        <v>5</v>
      </c>
      <c r="D489" t="s">
        <v>23</v>
      </c>
      <c r="E489" t="s">
        <v>27</v>
      </c>
      <c r="F489" s="2">
        <v>1564</v>
      </c>
      <c r="G489" s="2">
        <f>Monthly_Growth!$C$6</f>
        <v>792630</v>
      </c>
      <c r="H489" s="5">
        <f>Monthly_Growth!$D$6</f>
        <v>-0.11231589875453428</v>
      </c>
      <c r="I489" s="15">
        <f>Yearly_Growth!$C$2</f>
        <v>5.0333827436586778E-2</v>
      </c>
      <c r="J489" s="15">
        <f>Yearly_Growth!$D$2</f>
        <v>0.03</v>
      </c>
      <c r="K489">
        <f>Sales_Per_Representative!$C$5</f>
        <v>747962</v>
      </c>
      <c r="L489">
        <f>Sales_Per_Rep_Yearly_Goal!$B$2</f>
        <v>665544.80000000005</v>
      </c>
      <c r="M489">
        <f>Sales_Per_Rep_Yearly_Goal!$C$2</f>
        <v>650000</v>
      </c>
    </row>
    <row r="490" spans="1:13" x14ac:dyDescent="0.3">
      <c r="A490" s="3">
        <v>45054</v>
      </c>
      <c r="B490">
        <f t="shared" si="7"/>
        <v>2023</v>
      </c>
      <c r="C490">
        <v>5</v>
      </c>
      <c r="D490" t="s">
        <v>28</v>
      </c>
      <c r="E490" t="s">
        <v>10</v>
      </c>
      <c r="F490" s="2">
        <v>11329</v>
      </c>
      <c r="G490" s="2">
        <f>Monthly_Growth!$C$6</f>
        <v>792630</v>
      </c>
      <c r="H490" s="5">
        <f>Monthly_Growth!$D$6</f>
        <v>-0.11231589875453428</v>
      </c>
      <c r="I490" s="15">
        <f>Yearly_Growth!$C$2</f>
        <v>5.0333827436586778E-2</v>
      </c>
      <c r="J490" s="15">
        <f>Yearly_Growth!$D$2</f>
        <v>0.03</v>
      </c>
      <c r="K490">
        <f>Sales_Per_Representative!$C$4</f>
        <v>725713</v>
      </c>
      <c r="L490">
        <f>Sales_Per_Rep_Yearly_Goal!$B$2</f>
        <v>665544.80000000005</v>
      </c>
      <c r="M490">
        <f>Sales_Per_Rep_Yearly_Goal!$C$2</f>
        <v>650000</v>
      </c>
    </row>
    <row r="491" spans="1:13" x14ac:dyDescent="0.3">
      <c r="A491" s="3">
        <v>45054</v>
      </c>
      <c r="B491">
        <f t="shared" si="7"/>
        <v>2023</v>
      </c>
      <c r="C491">
        <v>5</v>
      </c>
      <c r="D491" t="s">
        <v>12</v>
      </c>
      <c r="E491" t="s">
        <v>26</v>
      </c>
      <c r="F491" s="2">
        <v>12291</v>
      </c>
      <c r="G491" s="2">
        <f>Monthly_Growth!$C$6</f>
        <v>792630</v>
      </c>
      <c r="H491" s="5">
        <f>Monthly_Growth!$D$6</f>
        <v>-0.11231589875453428</v>
      </c>
      <c r="I491" s="15">
        <f>Yearly_Growth!$C$2</f>
        <v>5.0333827436586778E-2</v>
      </c>
      <c r="J491" s="15">
        <f>Yearly_Growth!$D$2</f>
        <v>0.03</v>
      </c>
      <c r="K491">
        <f>Sales_Per_Representative!$C$16</f>
        <v>666159</v>
      </c>
      <c r="L491">
        <f>Sales_Per_Rep_Yearly_Goal!$B$2</f>
        <v>665544.80000000005</v>
      </c>
      <c r="M491">
        <f>Sales_Per_Rep_Yearly_Goal!$C$2</f>
        <v>650000</v>
      </c>
    </row>
    <row r="492" spans="1:13" x14ac:dyDescent="0.3">
      <c r="A492" s="3">
        <v>45055</v>
      </c>
      <c r="B492">
        <f t="shared" si="7"/>
        <v>2023</v>
      </c>
      <c r="C492">
        <v>5</v>
      </c>
      <c r="D492" t="s">
        <v>14</v>
      </c>
      <c r="E492" t="s">
        <v>20</v>
      </c>
      <c r="F492" s="2">
        <v>8146</v>
      </c>
      <c r="G492" s="2">
        <f>Monthly_Growth!$C$6</f>
        <v>792630</v>
      </c>
      <c r="H492" s="5">
        <f>Monthly_Growth!$D$6</f>
        <v>-0.11231589875453428</v>
      </c>
      <c r="I492" s="15">
        <f>Yearly_Growth!$C$2</f>
        <v>5.0333827436586778E-2</v>
      </c>
      <c r="J492" s="15">
        <f>Yearly_Growth!$D$2</f>
        <v>0.03</v>
      </c>
      <c r="K492">
        <f>Sales_Per_Representative!$C$14</f>
        <v>675530</v>
      </c>
      <c r="L492">
        <f>Sales_Per_Rep_Yearly_Goal!$B$2</f>
        <v>665544.80000000005</v>
      </c>
      <c r="M492">
        <f>Sales_Per_Rep_Yearly_Goal!$C$2</f>
        <v>650000</v>
      </c>
    </row>
    <row r="493" spans="1:13" x14ac:dyDescent="0.3">
      <c r="A493" s="3">
        <v>45055</v>
      </c>
      <c r="B493">
        <f t="shared" si="7"/>
        <v>2023</v>
      </c>
      <c r="C493">
        <v>5</v>
      </c>
      <c r="D493" t="s">
        <v>14</v>
      </c>
      <c r="E493" t="s">
        <v>24</v>
      </c>
      <c r="F493" s="2">
        <v>6834</v>
      </c>
      <c r="G493" s="2">
        <f>Monthly_Growth!$C$6</f>
        <v>792630</v>
      </c>
      <c r="H493" s="5">
        <f>Monthly_Growth!$D$6</f>
        <v>-0.11231589875453428</v>
      </c>
      <c r="I493" s="15">
        <f>Yearly_Growth!$C$2</f>
        <v>5.0333827436586778E-2</v>
      </c>
      <c r="J493" s="15">
        <f>Yearly_Growth!$D$2</f>
        <v>0.03</v>
      </c>
      <c r="K493">
        <f>Sales_Per_Representative!$C$2</f>
        <v>631195</v>
      </c>
      <c r="L493">
        <f>Sales_Per_Rep_Yearly_Goal!$B$2</f>
        <v>665544.80000000005</v>
      </c>
      <c r="M493">
        <f>Sales_Per_Rep_Yearly_Goal!$C$2</f>
        <v>650000</v>
      </c>
    </row>
    <row r="494" spans="1:13" x14ac:dyDescent="0.3">
      <c r="A494" s="3">
        <v>45055</v>
      </c>
      <c r="B494">
        <f t="shared" si="7"/>
        <v>2023</v>
      </c>
      <c r="C494">
        <v>5</v>
      </c>
      <c r="D494" t="s">
        <v>25</v>
      </c>
      <c r="E494" t="s">
        <v>5</v>
      </c>
      <c r="F494" s="2">
        <v>8403</v>
      </c>
      <c r="G494" s="2">
        <f>Monthly_Growth!$C$6</f>
        <v>792630</v>
      </c>
      <c r="H494" s="5">
        <f>Monthly_Growth!$D$6</f>
        <v>-0.11231589875453428</v>
      </c>
      <c r="I494" s="15">
        <f>Yearly_Growth!$C$2</f>
        <v>5.0333827436586778E-2</v>
      </c>
      <c r="J494" s="15">
        <f>Yearly_Growth!$D$2</f>
        <v>0.03</v>
      </c>
      <c r="K494">
        <f>Sales_Per_Representative!$C$10</f>
        <v>663333</v>
      </c>
      <c r="L494">
        <f>Sales_Per_Rep_Yearly_Goal!$B$2</f>
        <v>665544.80000000005</v>
      </c>
      <c r="M494">
        <f>Sales_Per_Rep_Yearly_Goal!$C$2</f>
        <v>650000</v>
      </c>
    </row>
    <row r="495" spans="1:13" x14ac:dyDescent="0.3">
      <c r="A495" s="3">
        <v>45055</v>
      </c>
      <c r="B495">
        <f t="shared" si="7"/>
        <v>2023</v>
      </c>
      <c r="C495">
        <v>5</v>
      </c>
      <c r="D495" t="s">
        <v>28</v>
      </c>
      <c r="E495" t="s">
        <v>8</v>
      </c>
      <c r="F495" s="2">
        <v>1210</v>
      </c>
      <c r="G495" s="2">
        <f>Monthly_Growth!$C$6</f>
        <v>792630</v>
      </c>
      <c r="H495" s="5">
        <f>Monthly_Growth!$D$6</f>
        <v>-0.11231589875453428</v>
      </c>
      <c r="I495" s="15">
        <f>Yearly_Growth!$C$2</f>
        <v>5.0333827436586778E-2</v>
      </c>
      <c r="J495" s="15">
        <f>Yearly_Growth!$D$2</f>
        <v>0.03</v>
      </c>
      <c r="K495">
        <f>Sales_Per_Representative!$C$15</f>
        <v>701242</v>
      </c>
      <c r="L495">
        <f>Sales_Per_Rep_Yearly_Goal!$B$2</f>
        <v>665544.80000000005</v>
      </c>
      <c r="M495">
        <f>Sales_Per_Rep_Yearly_Goal!$C$2</f>
        <v>650000</v>
      </c>
    </row>
    <row r="496" spans="1:13" x14ac:dyDescent="0.3">
      <c r="A496" s="3">
        <v>45056</v>
      </c>
      <c r="B496">
        <f t="shared" si="7"/>
        <v>2023</v>
      </c>
      <c r="C496">
        <v>5</v>
      </c>
      <c r="D496" t="s">
        <v>23</v>
      </c>
      <c r="E496" t="s">
        <v>29</v>
      </c>
      <c r="F496" s="2">
        <v>4866</v>
      </c>
      <c r="G496" s="2">
        <f>Monthly_Growth!$C$6</f>
        <v>792630</v>
      </c>
      <c r="H496" s="5">
        <f>Monthly_Growth!$D$6</f>
        <v>-0.11231589875453428</v>
      </c>
      <c r="I496" s="15">
        <f>Yearly_Growth!$C$2</f>
        <v>5.0333827436586778E-2</v>
      </c>
      <c r="J496" s="15">
        <f>Yearly_Growth!$D$2</f>
        <v>0.03</v>
      </c>
      <c r="K496">
        <f>Sales_Per_Representative!$C$13</f>
        <v>621548</v>
      </c>
      <c r="L496">
        <f>Sales_Per_Rep_Yearly_Goal!$B$2</f>
        <v>665544.80000000005</v>
      </c>
      <c r="M496">
        <f>Sales_Per_Rep_Yearly_Goal!$C$2</f>
        <v>650000</v>
      </c>
    </row>
    <row r="497" spans="1:13" x14ac:dyDescent="0.3">
      <c r="A497" s="3">
        <v>45056</v>
      </c>
      <c r="B497">
        <f t="shared" si="7"/>
        <v>2023</v>
      </c>
      <c r="C497">
        <v>5</v>
      </c>
      <c r="D497" t="s">
        <v>25</v>
      </c>
      <c r="E497" t="s">
        <v>29</v>
      </c>
      <c r="F497" s="2">
        <v>10106</v>
      </c>
      <c r="G497" s="2">
        <f>Monthly_Growth!$C$6</f>
        <v>792630</v>
      </c>
      <c r="H497" s="5">
        <f>Monthly_Growth!$D$6</f>
        <v>-0.11231589875453428</v>
      </c>
      <c r="I497" s="15">
        <f>Yearly_Growth!$C$2</f>
        <v>5.0333827436586778E-2</v>
      </c>
      <c r="J497" s="15">
        <f>Yearly_Growth!$D$2</f>
        <v>0.03</v>
      </c>
      <c r="K497">
        <f>Sales_Per_Representative!$C$13</f>
        <v>621548</v>
      </c>
      <c r="L497">
        <f>Sales_Per_Rep_Yearly_Goal!$B$2</f>
        <v>665544.80000000005</v>
      </c>
      <c r="M497">
        <f>Sales_Per_Rep_Yearly_Goal!$C$2</f>
        <v>650000</v>
      </c>
    </row>
    <row r="498" spans="1:13" x14ac:dyDescent="0.3">
      <c r="A498" s="3">
        <v>45056</v>
      </c>
      <c r="B498">
        <f t="shared" si="7"/>
        <v>2023</v>
      </c>
      <c r="C498">
        <v>5</v>
      </c>
      <c r="D498" t="s">
        <v>17</v>
      </c>
      <c r="E498" t="s">
        <v>27</v>
      </c>
      <c r="F498" s="2">
        <v>1212</v>
      </c>
      <c r="G498" s="2">
        <f>Monthly_Growth!$C$6</f>
        <v>792630</v>
      </c>
      <c r="H498" s="5">
        <f>Monthly_Growth!$D$6</f>
        <v>-0.11231589875453428</v>
      </c>
      <c r="I498" s="15">
        <f>Yearly_Growth!$C$2</f>
        <v>5.0333827436586778E-2</v>
      </c>
      <c r="J498" s="15">
        <f>Yearly_Growth!$D$2</f>
        <v>0.03</v>
      </c>
      <c r="K498">
        <f>Sales_Per_Representative!$C$5</f>
        <v>747962</v>
      </c>
      <c r="L498">
        <f>Sales_Per_Rep_Yearly_Goal!$B$2</f>
        <v>665544.80000000005</v>
      </c>
      <c r="M498">
        <f>Sales_Per_Rep_Yearly_Goal!$C$2</f>
        <v>650000</v>
      </c>
    </row>
    <row r="499" spans="1:13" x14ac:dyDescent="0.3">
      <c r="A499" s="3">
        <v>45056</v>
      </c>
      <c r="B499">
        <f t="shared" si="7"/>
        <v>2023</v>
      </c>
      <c r="C499">
        <v>5</v>
      </c>
      <c r="D499" t="s">
        <v>12</v>
      </c>
      <c r="E499" t="s">
        <v>5</v>
      </c>
      <c r="F499" s="2">
        <v>4356</v>
      </c>
      <c r="G499" s="2">
        <f>Monthly_Growth!$C$6</f>
        <v>792630</v>
      </c>
      <c r="H499" s="5">
        <f>Monthly_Growth!$D$6</f>
        <v>-0.11231589875453428</v>
      </c>
      <c r="I499" s="15">
        <f>Yearly_Growth!$C$2</f>
        <v>5.0333827436586778E-2</v>
      </c>
      <c r="J499" s="15">
        <f>Yearly_Growth!$D$2</f>
        <v>0.03</v>
      </c>
      <c r="K499">
        <f>Sales_Per_Representative!$C$10</f>
        <v>663333</v>
      </c>
      <c r="L499">
        <f>Sales_Per_Rep_Yearly_Goal!$B$2</f>
        <v>665544.80000000005</v>
      </c>
      <c r="M499">
        <f>Sales_Per_Rep_Yearly_Goal!$C$2</f>
        <v>650000</v>
      </c>
    </row>
    <row r="500" spans="1:13" x14ac:dyDescent="0.3">
      <c r="A500" s="3">
        <v>45056</v>
      </c>
      <c r="B500">
        <f t="shared" si="7"/>
        <v>2023</v>
      </c>
      <c r="C500">
        <v>5</v>
      </c>
      <c r="D500" t="s">
        <v>12</v>
      </c>
      <c r="E500" t="s">
        <v>18</v>
      </c>
      <c r="F500" s="2">
        <v>10765</v>
      </c>
      <c r="G500" s="2">
        <f>Monthly_Growth!$C$6</f>
        <v>792630</v>
      </c>
      <c r="H500" s="5">
        <f>Monthly_Growth!$D$6</f>
        <v>-0.11231589875453428</v>
      </c>
      <c r="I500" s="15">
        <f>Yearly_Growth!$C$2</f>
        <v>5.0333827436586778E-2</v>
      </c>
      <c r="J500" s="15">
        <f>Yearly_Growth!$D$2</f>
        <v>0.03</v>
      </c>
      <c r="K500">
        <f>Sales_Per_Representative!$C$9</f>
        <v>550835</v>
      </c>
      <c r="L500">
        <f>Sales_Per_Rep_Yearly_Goal!$B$2</f>
        <v>665544.80000000005</v>
      </c>
      <c r="M500">
        <f>Sales_Per_Rep_Yearly_Goal!$C$2</f>
        <v>650000</v>
      </c>
    </row>
    <row r="501" spans="1:13" x14ac:dyDescent="0.3">
      <c r="A501" s="3">
        <v>45057</v>
      </c>
      <c r="B501">
        <f t="shared" si="7"/>
        <v>2023</v>
      </c>
      <c r="C501">
        <v>5</v>
      </c>
      <c r="D501" t="s">
        <v>19</v>
      </c>
      <c r="E501" t="s">
        <v>27</v>
      </c>
      <c r="F501" s="2">
        <v>13502</v>
      </c>
      <c r="G501" s="2">
        <f>Monthly_Growth!$C$6</f>
        <v>792630</v>
      </c>
      <c r="H501" s="5">
        <f>Monthly_Growth!$D$6</f>
        <v>-0.11231589875453428</v>
      </c>
      <c r="I501" s="15">
        <f>Yearly_Growth!$C$2</f>
        <v>5.0333827436586778E-2</v>
      </c>
      <c r="J501" s="15">
        <f>Yearly_Growth!$D$2</f>
        <v>0.03</v>
      </c>
      <c r="K501">
        <f>Sales_Per_Representative!$C$5</f>
        <v>747962</v>
      </c>
      <c r="L501">
        <f>Sales_Per_Rep_Yearly_Goal!$B$2</f>
        <v>665544.80000000005</v>
      </c>
      <c r="M501">
        <f>Sales_Per_Rep_Yearly_Goal!$C$2</f>
        <v>650000</v>
      </c>
    </row>
    <row r="502" spans="1:13" x14ac:dyDescent="0.3">
      <c r="A502" s="3">
        <v>45057</v>
      </c>
      <c r="B502">
        <f t="shared" si="7"/>
        <v>2023</v>
      </c>
      <c r="C502">
        <v>5</v>
      </c>
      <c r="D502" t="s">
        <v>19</v>
      </c>
      <c r="E502" t="s">
        <v>15</v>
      </c>
      <c r="F502" s="2">
        <v>3809</v>
      </c>
      <c r="G502" s="2">
        <f>Monthly_Growth!$C$6</f>
        <v>792630</v>
      </c>
      <c r="H502" s="5">
        <f>Monthly_Growth!$D$6</f>
        <v>-0.11231589875453428</v>
      </c>
      <c r="I502" s="15">
        <f>Yearly_Growth!$C$2</f>
        <v>5.0333827436586778E-2</v>
      </c>
      <c r="J502" s="15">
        <f>Yearly_Growth!$D$2</f>
        <v>0.03</v>
      </c>
      <c r="K502">
        <f>Sales_Per_Representative!$C$12</f>
        <v>656359</v>
      </c>
      <c r="L502">
        <f>Sales_Per_Rep_Yearly_Goal!$B$2</f>
        <v>665544.80000000005</v>
      </c>
      <c r="M502">
        <f>Sales_Per_Rep_Yearly_Goal!$C$2</f>
        <v>650000</v>
      </c>
    </row>
    <row r="503" spans="1:13" x14ac:dyDescent="0.3">
      <c r="A503" s="3">
        <v>45057</v>
      </c>
      <c r="B503">
        <f t="shared" si="7"/>
        <v>2023</v>
      </c>
      <c r="C503">
        <v>5</v>
      </c>
      <c r="D503" t="s">
        <v>17</v>
      </c>
      <c r="E503" t="s">
        <v>20</v>
      </c>
      <c r="F503" s="2">
        <v>1785</v>
      </c>
      <c r="G503" s="2">
        <f>Monthly_Growth!$C$6</f>
        <v>792630</v>
      </c>
      <c r="H503" s="5">
        <f>Monthly_Growth!$D$6</f>
        <v>-0.11231589875453428</v>
      </c>
      <c r="I503" s="15">
        <f>Yearly_Growth!$C$2</f>
        <v>5.0333827436586778E-2</v>
      </c>
      <c r="J503" s="15">
        <f>Yearly_Growth!$D$2</f>
        <v>0.03</v>
      </c>
      <c r="K503">
        <f>Sales_Per_Representative!$C$14</f>
        <v>675530</v>
      </c>
      <c r="L503">
        <f>Sales_Per_Rep_Yearly_Goal!$B$2</f>
        <v>665544.80000000005</v>
      </c>
      <c r="M503">
        <f>Sales_Per_Rep_Yearly_Goal!$C$2</f>
        <v>650000</v>
      </c>
    </row>
    <row r="504" spans="1:13" x14ac:dyDescent="0.3">
      <c r="A504" s="3">
        <v>45057</v>
      </c>
      <c r="B504">
        <f t="shared" si="7"/>
        <v>2023</v>
      </c>
      <c r="C504">
        <v>5</v>
      </c>
      <c r="D504" t="s">
        <v>17</v>
      </c>
      <c r="E504" t="s">
        <v>26</v>
      </c>
      <c r="F504" s="2">
        <v>13953</v>
      </c>
      <c r="G504" s="2">
        <f>Monthly_Growth!$C$6</f>
        <v>792630</v>
      </c>
      <c r="H504" s="5">
        <f>Monthly_Growth!$D$6</f>
        <v>-0.11231589875453428</v>
      </c>
      <c r="I504" s="15">
        <f>Yearly_Growth!$C$2</f>
        <v>5.0333827436586778E-2</v>
      </c>
      <c r="J504" s="15">
        <f>Yearly_Growth!$D$2</f>
        <v>0.03</v>
      </c>
      <c r="K504">
        <f>Sales_Per_Representative!$C$16</f>
        <v>666159</v>
      </c>
      <c r="L504">
        <f>Sales_Per_Rep_Yearly_Goal!$B$2</f>
        <v>665544.80000000005</v>
      </c>
      <c r="M504">
        <f>Sales_Per_Rep_Yearly_Goal!$C$2</f>
        <v>650000</v>
      </c>
    </row>
    <row r="505" spans="1:13" x14ac:dyDescent="0.3">
      <c r="A505" s="3">
        <v>45058</v>
      </c>
      <c r="B505">
        <f t="shared" si="7"/>
        <v>2023</v>
      </c>
      <c r="C505">
        <v>5</v>
      </c>
      <c r="D505" t="s">
        <v>7</v>
      </c>
      <c r="E505" t="s">
        <v>27</v>
      </c>
      <c r="F505" s="2">
        <v>1982</v>
      </c>
      <c r="G505" s="2">
        <f>Monthly_Growth!$C$6</f>
        <v>792630</v>
      </c>
      <c r="H505" s="5">
        <f>Monthly_Growth!$D$6</f>
        <v>-0.11231589875453428</v>
      </c>
      <c r="I505" s="15">
        <f>Yearly_Growth!$C$2</f>
        <v>5.0333827436586778E-2</v>
      </c>
      <c r="J505" s="15">
        <f>Yearly_Growth!$D$2</f>
        <v>0.03</v>
      </c>
      <c r="K505">
        <f>Sales_Per_Representative!$C$5</f>
        <v>747962</v>
      </c>
      <c r="L505">
        <f>Sales_Per_Rep_Yearly_Goal!$B$2</f>
        <v>665544.80000000005</v>
      </c>
      <c r="M505">
        <f>Sales_Per_Rep_Yearly_Goal!$C$2</f>
        <v>650000</v>
      </c>
    </row>
    <row r="506" spans="1:13" x14ac:dyDescent="0.3">
      <c r="A506" s="3">
        <v>45058</v>
      </c>
      <c r="B506">
        <f t="shared" si="7"/>
        <v>2023</v>
      </c>
      <c r="C506">
        <v>5</v>
      </c>
      <c r="D506" t="s">
        <v>7</v>
      </c>
      <c r="E506" t="s">
        <v>8</v>
      </c>
      <c r="F506" s="2">
        <v>3853</v>
      </c>
      <c r="G506" s="2">
        <f>Monthly_Growth!$C$6</f>
        <v>792630</v>
      </c>
      <c r="H506" s="5">
        <f>Monthly_Growth!$D$6</f>
        <v>-0.11231589875453428</v>
      </c>
      <c r="I506" s="15">
        <f>Yearly_Growth!$C$2</f>
        <v>5.0333827436586778E-2</v>
      </c>
      <c r="J506" s="15">
        <f>Yearly_Growth!$D$2</f>
        <v>0.03</v>
      </c>
      <c r="K506">
        <f>Sales_Per_Representative!$C$15</f>
        <v>701242</v>
      </c>
      <c r="L506">
        <f>Sales_Per_Rep_Yearly_Goal!$B$2</f>
        <v>665544.80000000005</v>
      </c>
      <c r="M506">
        <f>Sales_Per_Rep_Yearly_Goal!$C$2</f>
        <v>650000</v>
      </c>
    </row>
    <row r="507" spans="1:13" x14ac:dyDescent="0.3">
      <c r="A507" s="3">
        <v>45058</v>
      </c>
      <c r="B507">
        <f t="shared" si="7"/>
        <v>2023</v>
      </c>
      <c r="C507">
        <v>5</v>
      </c>
      <c r="D507" t="s">
        <v>28</v>
      </c>
      <c r="E507" t="s">
        <v>26</v>
      </c>
      <c r="F507" s="2">
        <v>12678</v>
      </c>
      <c r="G507" s="2">
        <f>Monthly_Growth!$C$6</f>
        <v>792630</v>
      </c>
      <c r="H507" s="5">
        <f>Monthly_Growth!$D$6</f>
        <v>-0.11231589875453428</v>
      </c>
      <c r="I507" s="15">
        <f>Yearly_Growth!$C$2</f>
        <v>5.0333827436586778E-2</v>
      </c>
      <c r="J507" s="15">
        <f>Yearly_Growth!$D$2</f>
        <v>0.03</v>
      </c>
      <c r="K507">
        <f>Sales_Per_Representative!$C$16</f>
        <v>666159</v>
      </c>
      <c r="L507">
        <f>Sales_Per_Rep_Yearly_Goal!$B$2</f>
        <v>665544.80000000005</v>
      </c>
      <c r="M507">
        <f>Sales_Per_Rep_Yearly_Goal!$C$2</f>
        <v>650000</v>
      </c>
    </row>
    <row r="508" spans="1:13" x14ac:dyDescent="0.3">
      <c r="A508" s="3">
        <v>45059</v>
      </c>
      <c r="B508">
        <f t="shared" si="7"/>
        <v>2023</v>
      </c>
      <c r="C508">
        <v>5</v>
      </c>
      <c r="D508" t="s">
        <v>19</v>
      </c>
      <c r="E508" t="s">
        <v>20</v>
      </c>
      <c r="F508" s="2">
        <v>8161</v>
      </c>
      <c r="G508" s="2">
        <f>Monthly_Growth!$C$6</f>
        <v>792630</v>
      </c>
      <c r="H508" s="5">
        <f>Monthly_Growth!$D$6</f>
        <v>-0.11231589875453428</v>
      </c>
      <c r="I508" s="15">
        <f>Yearly_Growth!$C$2</f>
        <v>5.0333827436586778E-2</v>
      </c>
      <c r="J508" s="15">
        <f>Yearly_Growth!$D$2</f>
        <v>0.03</v>
      </c>
      <c r="K508">
        <f>Sales_Per_Representative!$C$14</f>
        <v>675530</v>
      </c>
      <c r="L508">
        <f>Sales_Per_Rep_Yearly_Goal!$B$2</f>
        <v>665544.80000000005</v>
      </c>
      <c r="M508">
        <f>Sales_Per_Rep_Yearly_Goal!$C$2</f>
        <v>650000</v>
      </c>
    </row>
    <row r="509" spans="1:13" x14ac:dyDescent="0.3">
      <c r="A509" s="3">
        <v>45059</v>
      </c>
      <c r="B509">
        <f t="shared" si="7"/>
        <v>2023</v>
      </c>
      <c r="C509">
        <v>5</v>
      </c>
      <c r="D509" t="s">
        <v>23</v>
      </c>
      <c r="E509" t="s">
        <v>18</v>
      </c>
      <c r="F509" s="2">
        <v>2166</v>
      </c>
      <c r="G509" s="2">
        <f>Monthly_Growth!$C$6</f>
        <v>792630</v>
      </c>
      <c r="H509" s="5">
        <f>Monthly_Growth!$D$6</f>
        <v>-0.11231589875453428</v>
      </c>
      <c r="I509" s="15">
        <f>Yearly_Growth!$C$2</f>
        <v>5.0333827436586778E-2</v>
      </c>
      <c r="J509" s="15">
        <f>Yearly_Growth!$D$2</f>
        <v>0.03</v>
      </c>
      <c r="K509">
        <f>Sales_Per_Representative!$C$9</f>
        <v>550835</v>
      </c>
      <c r="L509">
        <f>Sales_Per_Rep_Yearly_Goal!$B$2</f>
        <v>665544.80000000005</v>
      </c>
      <c r="M509">
        <f>Sales_Per_Rep_Yearly_Goal!$C$2</f>
        <v>650000</v>
      </c>
    </row>
    <row r="510" spans="1:13" x14ac:dyDescent="0.3">
      <c r="A510" s="3">
        <v>45059</v>
      </c>
      <c r="B510">
        <f t="shared" si="7"/>
        <v>2023</v>
      </c>
      <c r="C510">
        <v>5</v>
      </c>
      <c r="D510" t="s">
        <v>25</v>
      </c>
      <c r="E510" t="s">
        <v>26</v>
      </c>
      <c r="F510" s="2">
        <v>10921</v>
      </c>
      <c r="G510" s="2">
        <f>Monthly_Growth!$C$6</f>
        <v>792630</v>
      </c>
      <c r="H510" s="5">
        <f>Monthly_Growth!$D$6</f>
        <v>-0.11231589875453428</v>
      </c>
      <c r="I510" s="15">
        <f>Yearly_Growth!$C$2</f>
        <v>5.0333827436586778E-2</v>
      </c>
      <c r="J510" s="15">
        <f>Yearly_Growth!$D$2</f>
        <v>0.03</v>
      </c>
      <c r="K510">
        <f>Sales_Per_Representative!$C$16</f>
        <v>666159</v>
      </c>
      <c r="L510">
        <f>Sales_Per_Rep_Yearly_Goal!$B$2</f>
        <v>665544.80000000005</v>
      </c>
      <c r="M510">
        <f>Sales_Per_Rep_Yearly_Goal!$C$2</f>
        <v>650000</v>
      </c>
    </row>
    <row r="511" spans="1:13" x14ac:dyDescent="0.3">
      <c r="A511" s="3">
        <v>45059</v>
      </c>
      <c r="B511">
        <f t="shared" si="7"/>
        <v>2023</v>
      </c>
      <c r="C511">
        <v>5</v>
      </c>
      <c r="D511" t="s">
        <v>7</v>
      </c>
      <c r="E511" t="s">
        <v>33</v>
      </c>
      <c r="F511" s="2">
        <v>6647</v>
      </c>
      <c r="G511" s="2">
        <f>Monthly_Growth!$C$6</f>
        <v>792630</v>
      </c>
      <c r="H511" s="5">
        <f>Monthly_Growth!$D$6</f>
        <v>-0.11231589875453428</v>
      </c>
      <c r="I511" s="15">
        <f>Yearly_Growth!$C$2</f>
        <v>5.0333827436586778E-2</v>
      </c>
      <c r="J511" s="15">
        <f>Yearly_Growth!$D$2</f>
        <v>0.03</v>
      </c>
      <c r="K511">
        <f>Sales_Per_Representative!$C$11</f>
        <v>496886</v>
      </c>
      <c r="L511">
        <f>Sales_Per_Rep_Yearly_Goal!$B$2</f>
        <v>665544.80000000005</v>
      </c>
      <c r="M511">
        <f>Sales_Per_Rep_Yearly_Goal!$C$2</f>
        <v>650000</v>
      </c>
    </row>
    <row r="512" spans="1:13" x14ac:dyDescent="0.3">
      <c r="A512" s="3">
        <v>45059</v>
      </c>
      <c r="B512">
        <f t="shared" si="7"/>
        <v>2023</v>
      </c>
      <c r="C512">
        <v>5</v>
      </c>
      <c r="D512" t="s">
        <v>7</v>
      </c>
      <c r="E512" t="s">
        <v>32</v>
      </c>
      <c r="F512" s="2">
        <v>3018</v>
      </c>
      <c r="G512" s="2">
        <f>Monthly_Growth!$C$6</f>
        <v>792630</v>
      </c>
      <c r="H512" s="5">
        <f>Monthly_Growth!$D$6</f>
        <v>-0.11231589875453428</v>
      </c>
      <c r="I512" s="15">
        <f>Yearly_Growth!$C$2</f>
        <v>5.0333827436586778E-2</v>
      </c>
      <c r="J512" s="15">
        <f>Yearly_Growth!$D$2</f>
        <v>0.03</v>
      </c>
      <c r="K512">
        <f>Sales_Per_Representative!$C$3</f>
        <v>762157</v>
      </c>
      <c r="L512">
        <f>Sales_Per_Rep_Yearly_Goal!$B$2</f>
        <v>665544.80000000005</v>
      </c>
      <c r="M512">
        <f>Sales_Per_Rep_Yearly_Goal!$C$2</f>
        <v>650000</v>
      </c>
    </row>
    <row r="513" spans="1:13" x14ac:dyDescent="0.3">
      <c r="A513" s="3">
        <v>45060</v>
      </c>
      <c r="B513">
        <f t="shared" si="7"/>
        <v>2023</v>
      </c>
      <c r="C513">
        <v>5</v>
      </c>
      <c r="D513" t="s">
        <v>7</v>
      </c>
      <c r="E513" t="s">
        <v>20</v>
      </c>
      <c r="F513" s="2">
        <v>2753</v>
      </c>
      <c r="G513" s="2">
        <f>Monthly_Growth!$C$6</f>
        <v>792630</v>
      </c>
      <c r="H513" s="5">
        <f>Monthly_Growth!$D$6</f>
        <v>-0.11231589875453428</v>
      </c>
      <c r="I513" s="15">
        <f>Yearly_Growth!$C$2</f>
        <v>5.0333827436586778E-2</v>
      </c>
      <c r="J513" s="15">
        <f>Yearly_Growth!$D$2</f>
        <v>0.03</v>
      </c>
      <c r="K513">
        <f>Sales_Per_Representative!$C$14</f>
        <v>675530</v>
      </c>
      <c r="L513">
        <f>Sales_Per_Rep_Yearly_Goal!$B$2</f>
        <v>665544.80000000005</v>
      </c>
      <c r="M513">
        <f>Sales_Per_Rep_Yearly_Goal!$C$2</f>
        <v>650000</v>
      </c>
    </row>
    <row r="514" spans="1:13" x14ac:dyDescent="0.3">
      <c r="A514" s="3">
        <v>45060</v>
      </c>
      <c r="B514">
        <f t="shared" si="7"/>
        <v>2023</v>
      </c>
      <c r="C514">
        <v>5</v>
      </c>
      <c r="D514" t="s">
        <v>7</v>
      </c>
      <c r="E514" t="s">
        <v>30</v>
      </c>
      <c r="F514" s="2">
        <v>11257</v>
      </c>
      <c r="G514" s="2">
        <f>Monthly_Growth!$C$6</f>
        <v>792630</v>
      </c>
      <c r="H514" s="5">
        <f>Monthly_Growth!$D$6</f>
        <v>-0.11231589875453428</v>
      </c>
      <c r="I514" s="15">
        <f>Yearly_Growth!$C$2</f>
        <v>5.0333827436586778E-2</v>
      </c>
      <c r="J514" s="15">
        <f>Yearly_Growth!$D$2</f>
        <v>0.03</v>
      </c>
      <c r="K514">
        <f>Sales_Per_Representative!$C$7</f>
        <v>706974</v>
      </c>
      <c r="L514">
        <f>Sales_Per_Rep_Yearly_Goal!$B$2</f>
        <v>665544.80000000005</v>
      </c>
      <c r="M514">
        <f>Sales_Per_Rep_Yearly_Goal!$C$2</f>
        <v>650000</v>
      </c>
    </row>
    <row r="515" spans="1:13" x14ac:dyDescent="0.3">
      <c r="A515" s="3">
        <v>45061</v>
      </c>
      <c r="B515">
        <f t="shared" ref="B515:B578" si="8">YEAR(A515)</f>
        <v>2023</v>
      </c>
      <c r="C515">
        <v>5</v>
      </c>
      <c r="D515" t="s">
        <v>25</v>
      </c>
      <c r="E515" t="s">
        <v>33</v>
      </c>
      <c r="F515" s="2">
        <v>4144</v>
      </c>
      <c r="G515" s="2">
        <f>Monthly_Growth!$C$6</f>
        <v>792630</v>
      </c>
      <c r="H515" s="5">
        <f>Monthly_Growth!$D$6</f>
        <v>-0.11231589875453428</v>
      </c>
      <c r="I515" s="15">
        <f>Yearly_Growth!$C$2</f>
        <v>5.0333827436586778E-2</v>
      </c>
      <c r="J515" s="15">
        <f>Yearly_Growth!$D$2</f>
        <v>0.03</v>
      </c>
      <c r="K515">
        <f>Sales_Per_Representative!$C$11</f>
        <v>496886</v>
      </c>
      <c r="L515">
        <f>Sales_Per_Rep_Yearly_Goal!$B$2</f>
        <v>665544.80000000005</v>
      </c>
      <c r="M515">
        <f>Sales_Per_Rep_Yearly_Goal!$C$2</f>
        <v>650000</v>
      </c>
    </row>
    <row r="516" spans="1:13" x14ac:dyDescent="0.3">
      <c r="A516" s="3">
        <v>45061</v>
      </c>
      <c r="B516">
        <f t="shared" si="8"/>
        <v>2023</v>
      </c>
      <c r="C516">
        <v>5</v>
      </c>
      <c r="D516" t="s">
        <v>12</v>
      </c>
      <c r="E516" t="s">
        <v>22</v>
      </c>
      <c r="F516" s="2">
        <v>7888</v>
      </c>
      <c r="G516" s="2">
        <f>Monthly_Growth!$C$6</f>
        <v>792630</v>
      </c>
      <c r="H516" s="5">
        <f>Monthly_Growth!$D$6</f>
        <v>-0.11231589875453428</v>
      </c>
      <c r="I516" s="15">
        <f>Yearly_Growth!$C$2</f>
        <v>5.0333827436586778E-2</v>
      </c>
      <c r="J516" s="15">
        <f>Yearly_Growth!$D$2</f>
        <v>0.03</v>
      </c>
      <c r="K516">
        <f>Sales_Per_Representative!$C$8</f>
        <v>649456</v>
      </c>
      <c r="L516">
        <f>Sales_Per_Rep_Yearly_Goal!$B$2</f>
        <v>665544.80000000005</v>
      </c>
      <c r="M516">
        <f>Sales_Per_Rep_Yearly_Goal!$C$2</f>
        <v>650000</v>
      </c>
    </row>
    <row r="517" spans="1:13" x14ac:dyDescent="0.3">
      <c r="A517" s="3">
        <v>45061</v>
      </c>
      <c r="B517">
        <f t="shared" si="8"/>
        <v>2023</v>
      </c>
      <c r="C517">
        <v>5</v>
      </c>
      <c r="D517" t="s">
        <v>12</v>
      </c>
      <c r="E517" t="s">
        <v>8</v>
      </c>
      <c r="F517" s="2">
        <v>6228</v>
      </c>
      <c r="G517" s="2">
        <f>Monthly_Growth!$C$6</f>
        <v>792630</v>
      </c>
      <c r="H517" s="5">
        <f>Monthly_Growth!$D$6</f>
        <v>-0.11231589875453428</v>
      </c>
      <c r="I517" s="15">
        <f>Yearly_Growth!$C$2</f>
        <v>5.0333827436586778E-2</v>
      </c>
      <c r="J517" s="15">
        <f>Yearly_Growth!$D$2</f>
        <v>0.03</v>
      </c>
      <c r="K517">
        <f>Sales_Per_Representative!$C$15</f>
        <v>701242</v>
      </c>
      <c r="L517">
        <f>Sales_Per_Rep_Yearly_Goal!$B$2</f>
        <v>665544.80000000005</v>
      </c>
      <c r="M517">
        <f>Sales_Per_Rep_Yearly_Goal!$C$2</f>
        <v>650000</v>
      </c>
    </row>
    <row r="518" spans="1:13" x14ac:dyDescent="0.3">
      <c r="A518" s="3">
        <v>45062</v>
      </c>
      <c r="B518">
        <f t="shared" si="8"/>
        <v>2023</v>
      </c>
      <c r="C518">
        <v>5</v>
      </c>
      <c r="D518" t="s">
        <v>7</v>
      </c>
      <c r="E518" t="s">
        <v>15</v>
      </c>
      <c r="F518" s="2">
        <v>3333</v>
      </c>
      <c r="G518" s="2">
        <f>Monthly_Growth!$C$6</f>
        <v>792630</v>
      </c>
      <c r="H518" s="5">
        <f>Monthly_Growth!$D$6</f>
        <v>-0.11231589875453428</v>
      </c>
      <c r="I518" s="15">
        <f>Yearly_Growth!$C$2</f>
        <v>5.0333827436586778E-2</v>
      </c>
      <c r="J518" s="15">
        <f>Yearly_Growth!$D$2</f>
        <v>0.03</v>
      </c>
      <c r="K518">
        <f>Sales_Per_Representative!$C$12</f>
        <v>656359</v>
      </c>
      <c r="L518">
        <f>Sales_Per_Rep_Yearly_Goal!$B$2</f>
        <v>665544.80000000005</v>
      </c>
      <c r="M518">
        <f>Sales_Per_Rep_Yearly_Goal!$C$2</f>
        <v>650000</v>
      </c>
    </row>
    <row r="519" spans="1:13" x14ac:dyDescent="0.3">
      <c r="A519" s="3">
        <v>45062</v>
      </c>
      <c r="B519">
        <f t="shared" si="8"/>
        <v>2023</v>
      </c>
      <c r="C519">
        <v>5</v>
      </c>
      <c r="D519" t="s">
        <v>28</v>
      </c>
      <c r="E519" t="s">
        <v>22</v>
      </c>
      <c r="F519" s="2">
        <v>1558</v>
      </c>
      <c r="G519" s="2">
        <f>Monthly_Growth!$C$6</f>
        <v>792630</v>
      </c>
      <c r="H519" s="5">
        <f>Monthly_Growth!$D$6</f>
        <v>-0.11231589875453428</v>
      </c>
      <c r="I519" s="15">
        <f>Yearly_Growth!$C$2</f>
        <v>5.0333827436586778E-2</v>
      </c>
      <c r="J519" s="15">
        <f>Yearly_Growth!$D$2</f>
        <v>0.03</v>
      </c>
      <c r="K519">
        <f>Sales_Per_Representative!$C$8</f>
        <v>649456</v>
      </c>
      <c r="L519">
        <f>Sales_Per_Rep_Yearly_Goal!$B$2</f>
        <v>665544.80000000005</v>
      </c>
      <c r="M519">
        <f>Sales_Per_Rep_Yearly_Goal!$C$2</f>
        <v>650000</v>
      </c>
    </row>
    <row r="520" spans="1:13" x14ac:dyDescent="0.3">
      <c r="A520" s="3">
        <v>45062</v>
      </c>
      <c r="B520">
        <f t="shared" si="8"/>
        <v>2023</v>
      </c>
      <c r="C520">
        <v>5</v>
      </c>
      <c r="D520" t="s">
        <v>12</v>
      </c>
      <c r="E520" t="s">
        <v>22</v>
      </c>
      <c r="F520" s="2">
        <v>12726</v>
      </c>
      <c r="G520" s="2">
        <f>Monthly_Growth!$C$6</f>
        <v>792630</v>
      </c>
      <c r="H520" s="5">
        <f>Monthly_Growth!$D$6</f>
        <v>-0.11231589875453428</v>
      </c>
      <c r="I520" s="15">
        <f>Yearly_Growth!$C$2</f>
        <v>5.0333827436586778E-2</v>
      </c>
      <c r="J520" s="15">
        <f>Yearly_Growth!$D$2</f>
        <v>0.03</v>
      </c>
      <c r="K520">
        <f>Sales_Per_Representative!$C$8</f>
        <v>649456</v>
      </c>
      <c r="L520">
        <f>Sales_Per_Rep_Yearly_Goal!$B$2</f>
        <v>665544.80000000005</v>
      </c>
      <c r="M520">
        <f>Sales_Per_Rep_Yearly_Goal!$C$2</f>
        <v>650000</v>
      </c>
    </row>
    <row r="521" spans="1:13" x14ac:dyDescent="0.3">
      <c r="A521" s="3">
        <v>45062</v>
      </c>
      <c r="B521">
        <f t="shared" si="8"/>
        <v>2023</v>
      </c>
      <c r="C521">
        <v>5</v>
      </c>
      <c r="D521" t="s">
        <v>12</v>
      </c>
      <c r="E521" t="s">
        <v>10</v>
      </c>
      <c r="F521" s="2">
        <v>9286</v>
      </c>
      <c r="G521" s="2">
        <f>Monthly_Growth!$C$6</f>
        <v>792630</v>
      </c>
      <c r="H521" s="5">
        <f>Monthly_Growth!$D$6</f>
        <v>-0.11231589875453428</v>
      </c>
      <c r="I521" s="15">
        <f>Yearly_Growth!$C$2</f>
        <v>5.0333827436586778E-2</v>
      </c>
      <c r="J521" s="15">
        <f>Yearly_Growth!$D$2</f>
        <v>0.03</v>
      </c>
      <c r="K521">
        <f>Sales_Per_Representative!$C$4</f>
        <v>725713</v>
      </c>
      <c r="L521">
        <f>Sales_Per_Rep_Yearly_Goal!$B$2</f>
        <v>665544.80000000005</v>
      </c>
      <c r="M521">
        <f>Sales_Per_Rep_Yearly_Goal!$C$2</f>
        <v>650000</v>
      </c>
    </row>
    <row r="522" spans="1:13" x14ac:dyDescent="0.3">
      <c r="A522" s="3">
        <v>45063</v>
      </c>
      <c r="B522">
        <f t="shared" si="8"/>
        <v>2023</v>
      </c>
      <c r="C522">
        <v>5</v>
      </c>
      <c r="D522" t="s">
        <v>14</v>
      </c>
      <c r="E522" t="s">
        <v>33</v>
      </c>
      <c r="F522" s="2">
        <v>4868</v>
      </c>
      <c r="G522" s="2">
        <f>Monthly_Growth!$C$6</f>
        <v>792630</v>
      </c>
      <c r="H522" s="5">
        <f>Monthly_Growth!$D$6</f>
        <v>-0.11231589875453428</v>
      </c>
      <c r="I522" s="15">
        <f>Yearly_Growth!$C$2</f>
        <v>5.0333827436586778E-2</v>
      </c>
      <c r="J522" s="15">
        <f>Yearly_Growth!$D$2</f>
        <v>0.03</v>
      </c>
      <c r="K522">
        <f>Sales_Per_Representative!$C$11</f>
        <v>496886</v>
      </c>
      <c r="L522">
        <f>Sales_Per_Rep_Yearly_Goal!$B$2</f>
        <v>665544.80000000005</v>
      </c>
      <c r="M522">
        <f>Sales_Per_Rep_Yearly_Goal!$C$2</f>
        <v>650000</v>
      </c>
    </row>
    <row r="523" spans="1:13" x14ac:dyDescent="0.3">
      <c r="A523" s="3">
        <v>45063</v>
      </c>
      <c r="B523">
        <f t="shared" si="8"/>
        <v>2023</v>
      </c>
      <c r="C523">
        <v>5</v>
      </c>
      <c r="D523" t="s">
        <v>19</v>
      </c>
      <c r="E523" t="s">
        <v>32</v>
      </c>
      <c r="F523" s="2">
        <v>10527</v>
      </c>
      <c r="G523" s="2">
        <f>Monthly_Growth!$C$6</f>
        <v>792630</v>
      </c>
      <c r="H523" s="5">
        <f>Monthly_Growth!$D$6</f>
        <v>-0.11231589875453428</v>
      </c>
      <c r="I523" s="15">
        <f>Yearly_Growth!$C$2</f>
        <v>5.0333827436586778E-2</v>
      </c>
      <c r="J523" s="15">
        <f>Yearly_Growth!$D$2</f>
        <v>0.03</v>
      </c>
      <c r="K523">
        <f>Sales_Per_Representative!$C$3</f>
        <v>762157</v>
      </c>
      <c r="L523">
        <f>Sales_Per_Rep_Yearly_Goal!$B$2</f>
        <v>665544.80000000005</v>
      </c>
      <c r="M523">
        <f>Sales_Per_Rep_Yearly_Goal!$C$2</f>
        <v>650000</v>
      </c>
    </row>
    <row r="524" spans="1:13" x14ac:dyDescent="0.3">
      <c r="A524" s="3">
        <v>45063</v>
      </c>
      <c r="B524">
        <f t="shared" si="8"/>
        <v>2023</v>
      </c>
      <c r="C524">
        <v>5</v>
      </c>
      <c r="D524" t="s">
        <v>19</v>
      </c>
      <c r="E524" t="s">
        <v>22</v>
      </c>
      <c r="F524" s="2">
        <v>10910</v>
      </c>
      <c r="G524" s="2">
        <f>Monthly_Growth!$C$6</f>
        <v>792630</v>
      </c>
      <c r="H524" s="5">
        <f>Monthly_Growth!$D$6</f>
        <v>-0.11231589875453428</v>
      </c>
      <c r="I524" s="15">
        <f>Yearly_Growth!$C$2</f>
        <v>5.0333827436586778E-2</v>
      </c>
      <c r="J524" s="15">
        <f>Yearly_Growth!$D$2</f>
        <v>0.03</v>
      </c>
      <c r="K524">
        <f>Sales_Per_Representative!$C$8</f>
        <v>649456</v>
      </c>
      <c r="L524">
        <f>Sales_Per_Rep_Yearly_Goal!$B$2</f>
        <v>665544.80000000005</v>
      </c>
      <c r="M524">
        <f>Sales_Per_Rep_Yearly_Goal!$C$2</f>
        <v>650000</v>
      </c>
    </row>
    <row r="525" spans="1:13" x14ac:dyDescent="0.3">
      <c r="A525" s="3">
        <v>45063</v>
      </c>
      <c r="B525">
        <f t="shared" si="8"/>
        <v>2023</v>
      </c>
      <c r="C525">
        <v>5</v>
      </c>
      <c r="D525" t="s">
        <v>17</v>
      </c>
      <c r="E525" t="s">
        <v>31</v>
      </c>
      <c r="F525" s="2">
        <v>10209</v>
      </c>
      <c r="G525" s="2">
        <f>Monthly_Growth!$C$6</f>
        <v>792630</v>
      </c>
      <c r="H525" s="5">
        <f>Monthly_Growth!$D$6</f>
        <v>-0.11231589875453428</v>
      </c>
      <c r="I525" s="15">
        <f>Yearly_Growth!$C$2</f>
        <v>5.0333827436586778E-2</v>
      </c>
      <c r="J525" s="15">
        <f>Yearly_Growth!$D$2</f>
        <v>0.03</v>
      </c>
      <c r="K525">
        <f>Sales_Per_Representative!$C$6</f>
        <v>727823</v>
      </c>
      <c r="L525">
        <f>Sales_Per_Rep_Yearly_Goal!$B$2</f>
        <v>665544.80000000005</v>
      </c>
      <c r="M525">
        <f>Sales_Per_Rep_Yearly_Goal!$C$2</f>
        <v>650000</v>
      </c>
    </row>
    <row r="526" spans="1:13" x14ac:dyDescent="0.3">
      <c r="A526" s="3">
        <v>45063</v>
      </c>
      <c r="B526">
        <f t="shared" si="8"/>
        <v>2023</v>
      </c>
      <c r="C526">
        <v>5</v>
      </c>
      <c r="D526" t="s">
        <v>17</v>
      </c>
      <c r="E526" t="s">
        <v>8</v>
      </c>
      <c r="F526" s="2">
        <v>13392</v>
      </c>
      <c r="G526" s="2">
        <f>Monthly_Growth!$C$6</f>
        <v>792630</v>
      </c>
      <c r="H526" s="5">
        <f>Monthly_Growth!$D$6</f>
        <v>-0.11231589875453428</v>
      </c>
      <c r="I526" s="15">
        <f>Yearly_Growth!$C$2</f>
        <v>5.0333827436586778E-2</v>
      </c>
      <c r="J526" s="15">
        <f>Yearly_Growth!$D$2</f>
        <v>0.03</v>
      </c>
      <c r="K526">
        <f>Sales_Per_Representative!$C$15</f>
        <v>701242</v>
      </c>
      <c r="L526">
        <f>Sales_Per_Rep_Yearly_Goal!$B$2</f>
        <v>665544.80000000005</v>
      </c>
      <c r="M526">
        <f>Sales_Per_Rep_Yearly_Goal!$C$2</f>
        <v>650000</v>
      </c>
    </row>
    <row r="527" spans="1:13" x14ac:dyDescent="0.3">
      <c r="A527" s="3">
        <v>45064</v>
      </c>
      <c r="B527">
        <f t="shared" si="8"/>
        <v>2023</v>
      </c>
      <c r="C527">
        <v>5</v>
      </c>
      <c r="D527" t="s">
        <v>14</v>
      </c>
      <c r="E527" t="s">
        <v>10</v>
      </c>
      <c r="F527" s="2">
        <v>4567</v>
      </c>
      <c r="G527" s="2">
        <f>Monthly_Growth!$C$6</f>
        <v>792630</v>
      </c>
      <c r="H527" s="5">
        <f>Monthly_Growth!$D$6</f>
        <v>-0.11231589875453428</v>
      </c>
      <c r="I527" s="15">
        <f>Yearly_Growth!$C$2</f>
        <v>5.0333827436586778E-2</v>
      </c>
      <c r="J527" s="15">
        <f>Yearly_Growth!$D$2</f>
        <v>0.03</v>
      </c>
      <c r="K527">
        <f>Sales_Per_Representative!$C$4</f>
        <v>725713</v>
      </c>
      <c r="L527">
        <f>Sales_Per_Rep_Yearly_Goal!$B$2</f>
        <v>665544.80000000005</v>
      </c>
      <c r="M527">
        <f>Sales_Per_Rep_Yearly_Goal!$C$2</f>
        <v>650000</v>
      </c>
    </row>
    <row r="528" spans="1:13" x14ac:dyDescent="0.3">
      <c r="A528" s="3">
        <v>45064</v>
      </c>
      <c r="B528">
        <f t="shared" si="8"/>
        <v>2023</v>
      </c>
      <c r="C528">
        <v>5</v>
      </c>
      <c r="D528" t="s">
        <v>7</v>
      </c>
      <c r="E528" t="s">
        <v>30</v>
      </c>
      <c r="F528" s="2">
        <v>11788</v>
      </c>
      <c r="G528" s="2">
        <f>Monthly_Growth!$C$6</f>
        <v>792630</v>
      </c>
      <c r="H528" s="5">
        <f>Monthly_Growth!$D$6</f>
        <v>-0.11231589875453428</v>
      </c>
      <c r="I528" s="15">
        <f>Yearly_Growth!$C$2</f>
        <v>5.0333827436586778E-2</v>
      </c>
      <c r="J528" s="15">
        <f>Yearly_Growth!$D$2</f>
        <v>0.03</v>
      </c>
      <c r="K528">
        <f>Sales_Per_Representative!$C$7</f>
        <v>706974</v>
      </c>
      <c r="L528">
        <f>Sales_Per_Rep_Yearly_Goal!$B$2</f>
        <v>665544.80000000005</v>
      </c>
      <c r="M528">
        <f>Sales_Per_Rep_Yearly_Goal!$C$2</f>
        <v>650000</v>
      </c>
    </row>
    <row r="529" spans="1:13" x14ac:dyDescent="0.3">
      <c r="A529" s="3">
        <v>45064</v>
      </c>
      <c r="B529">
        <f t="shared" si="8"/>
        <v>2023</v>
      </c>
      <c r="C529">
        <v>5</v>
      </c>
      <c r="D529" t="s">
        <v>17</v>
      </c>
      <c r="E529" t="s">
        <v>31</v>
      </c>
      <c r="F529" s="2">
        <v>8850</v>
      </c>
      <c r="G529" s="2">
        <f>Monthly_Growth!$C$6</f>
        <v>792630</v>
      </c>
      <c r="H529" s="5">
        <f>Monthly_Growth!$D$6</f>
        <v>-0.11231589875453428</v>
      </c>
      <c r="I529" s="15">
        <f>Yearly_Growth!$C$2</f>
        <v>5.0333827436586778E-2</v>
      </c>
      <c r="J529" s="15">
        <f>Yearly_Growth!$D$2</f>
        <v>0.03</v>
      </c>
      <c r="K529">
        <f>Sales_Per_Representative!$C$6</f>
        <v>727823</v>
      </c>
      <c r="L529">
        <f>Sales_Per_Rep_Yearly_Goal!$B$2</f>
        <v>665544.80000000005</v>
      </c>
      <c r="M529">
        <f>Sales_Per_Rep_Yearly_Goal!$C$2</f>
        <v>650000</v>
      </c>
    </row>
    <row r="530" spans="1:13" x14ac:dyDescent="0.3">
      <c r="A530" s="3">
        <v>45065</v>
      </c>
      <c r="B530">
        <f t="shared" si="8"/>
        <v>2023</v>
      </c>
      <c r="C530">
        <v>5</v>
      </c>
      <c r="D530" t="s">
        <v>25</v>
      </c>
      <c r="E530" t="s">
        <v>27</v>
      </c>
      <c r="F530" s="2">
        <v>2478</v>
      </c>
      <c r="G530" s="2">
        <f>Monthly_Growth!$C$6</f>
        <v>792630</v>
      </c>
      <c r="H530" s="5">
        <f>Monthly_Growth!$D$6</f>
        <v>-0.11231589875453428</v>
      </c>
      <c r="I530" s="15">
        <f>Yearly_Growth!$C$2</f>
        <v>5.0333827436586778E-2</v>
      </c>
      <c r="J530" s="15">
        <f>Yearly_Growth!$D$2</f>
        <v>0.03</v>
      </c>
      <c r="K530">
        <f>Sales_Per_Representative!$C$5</f>
        <v>747962</v>
      </c>
      <c r="L530">
        <f>Sales_Per_Rep_Yearly_Goal!$B$2</f>
        <v>665544.80000000005</v>
      </c>
      <c r="M530">
        <f>Sales_Per_Rep_Yearly_Goal!$C$2</f>
        <v>650000</v>
      </c>
    </row>
    <row r="531" spans="1:13" x14ac:dyDescent="0.3">
      <c r="A531" s="3">
        <v>45066</v>
      </c>
      <c r="B531">
        <f t="shared" si="8"/>
        <v>2023</v>
      </c>
      <c r="C531">
        <v>5</v>
      </c>
      <c r="D531" t="s">
        <v>14</v>
      </c>
      <c r="E531" t="s">
        <v>24</v>
      </c>
      <c r="F531" s="2">
        <v>11047</v>
      </c>
      <c r="G531" s="2">
        <f>Monthly_Growth!$C$6</f>
        <v>792630</v>
      </c>
      <c r="H531" s="5">
        <f>Monthly_Growth!$D$6</f>
        <v>-0.11231589875453428</v>
      </c>
      <c r="I531" s="15">
        <f>Yearly_Growth!$C$2</f>
        <v>5.0333827436586778E-2</v>
      </c>
      <c r="J531" s="15">
        <f>Yearly_Growth!$D$2</f>
        <v>0.03</v>
      </c>
      <c r="K531">
        <f>Sales_Per_Representative!$C$2</f>
        <v>631195</v>
      </c>
      <c r="L531">
        <f>Sales_Per_Rep_Yearly_Goal!$B$2</f>
        <v>665544.80000000005</v>
      </c>
      <c r="M531">
        <f>Sales_Per_Rep_Yearly_Goal!$C$2</f>
        <v>650000</v>
      </c>
    </row>
    <row r="532" spans="1:13" x14ac:dyDescent="0.3">
      <c r="A532" s="3">
        <v>45066</v>
      </c>
      <c r="B532">
        <f t="shared" si="8"/>
        <v>2023</v>
      </c>
      <c r="C532">
        <v>5</v>
      </c>
      <c r="D532" t="s">
        <v>14</v>
      </c>
      <c r="E532" t="s">
        <v>20</v>
      </c>
      <c r="F532" s="2">
        <v>7989</v>
      </c>
      <c r="G532" s="2">
        <f>Monthly_Growth!$C$6</f>
        <v>792630</v>
      </c>
      <c r="H532" s="5">
        <f>Monthly_Growth!$D$6</f>
        <v>-0.11231589875453428</v>
      </c>
      <c r="I532" s="15">
        <f>Yearly_Growth!$C$2</f>
        <v>5.0333827436586778E-2</v>
      </c>
      <c r="J532" s="15">
        <f>Yearly_Growth!$D$2</f>
        <v>0.03</v>
      </c>
      <c r="K532">
        <f>Sales_Per_Representative!$C$14</f>
        <v>675530</v>
      </c>
      <c r="L532">
        <f>Sales_Per_Rep_Yearly_Goal!$B$2</f>
        <v>665544.80000000005</v>
      </c>
      <c r="M532">
        <f>Sales_Per_Rep_Yearly_Goal!$C$2</f>
        <v>650000</v>
      </c>
    </row>
    <row r="533" spans="1:13" x14ac:dyDescent="0.3">
      <c r="A533" s="3">
        <v>45066</v>
      </c>
      <c r="B533">
        <f t="shared" si="8"/>
        <v>2023</v>
      </c>
      <c r="C533">
        <v>5</v>
      </c>
      <c r="D533" t="s">
        <v>25</v>
      </c>
      <c r="E533" t="s">
        <v>22</v>
      </c>
      <c r="F533" s="2">
        <v>10732</v>
      </c>
      <c r="G533" s="2">
        <f>Monthly_Growth!$C$6</f>
        <v>792630</v>
      </c>
      <c r="H533" s="5">
        <f>Monthly_Growth!$D$6</f>
        <v>-0.11231589875453428</v>
      </c>
      <c r="I533" s="15">
        <f>Yearly_Growth!$C$2</f>
        <v>5.0333827436586778E-2</v>
      </c>
      <c r="J533" s="15">
        <f>Yearly_Growth!$D$2</f>
        <v>0.03</v>
      </c>
      <c r="K533">
        <f>Sales_Per_Representative!$C$8</f>
        <v>649456</v>
      </c>
      <c r="L533">
        <f>Sales_Per_Rep_Yearly_Goal!$B$2</f>
        <v>665544.80000000005</v>
      </c>
      <c r="M533">
        <f>Sales_Per_Rep_Yearly_Goal!$C$2</f>
        <v>650000</v>
      </c>
    </row>
    <row r="534" spans="1:13" x14ac:dyDescent="0.3">
      <c r="A534" s="3">
        <v>45066</v>
      </c>
      <c r="B534">
        <f t="shared" si="8"/>
        <v>2023</v>
      </c>
      <c r="C534">
        <v>5</v>
      </c>
      <c r="D534" t="s">
        <v>25</v>
      </c>
      <c r="E534" t="s">
        <v>8</v>
      </c>
      <c r="F534" s="2">
        <v>2080</v>
      </c>
      <c r="G534" s="2">
        <f>Monthly_Growth!$C$6</f>
        <v>792630</v>
      </c>
      <c r="H534" s="5">
        <f>Monthly_Growth!$D$6</f>
        <v>-0.11231589875453428</v>
      </c>
      <c r="I534" s="15">
        <f>Yearly_Growth!$C$2</f>
        <v>5.0333827436586778E-2</v>
      </c>
      <c r="J534" s="15">
        <f>Yearly_Growth!$D$2</f>
        <v>0.03</v>
      </c>
      <c r="K534">
        <f>Sales_Per_Representative!$C$15</f>
        <v>701242</v>
      </c>
      <c r="L534">
        <f>Sales_Per_Rep_Yearly_Goal!$B$2</f>
        <v>665544.80000000005</v>
      </c>
      <c r="M534">
        <f>Sales_Per_Rep_Yearly_Goal!$C$2</f>
        <v>650000</v>
      </c>
    </row>
    <row r="535" spans="1:13" x14ac:dyDescent="0.3">
      <c r="A535" s="3">
        <v>45067</v>
      </c>
      <c r="B535">
        <f t="shared" si="8"/>
        <v>2023</v>
      </c>
      <c r="C535">
        <v>5</v>
      </c>
      <c r="D535" t="s">
        <v>28</v>
      </c>
      <c r="E535" t="s">
        <v>22</v>
      </c>
      <c r="F535" s="2">
        <v>3624</v>
      </c>
      <c r="G535" s="2">
        <f>Monthly_Growth!$C$6</f>
        <v>792630</v>
      </c>
      <c r="H535" s="5">
        <f>Monthly_Growth!$D$6</f>
        <v>-0.11231589875453428</v>
      </c>
      <c r="I535" s="15">
        <f>Yearly_Growth!$C$2</f>
        <v>5.0333827436586778E-2</v>
      </c>
      <c r="J535" s="15">
        <f>Yearly_Growth!$D$2</f>
        <v>0.03</v>
      </c>
      <c r="K535">
        <f>Sales_Per_Representative!$C$8</f>
        <v>649456</v>
      </c>
      <c r="L535">
        <f>Sales_Per_Rep_Yearly_Goal!$B$2</f>
        <v>665544.80000000005</v>
      </c>
      <c r="M535">
        <f>Sales_Per_Rep_Yearly_Goal!$C$2</f>
        <v>650000</v>
      </c>
    </row>
    <row r="536" spans="1:13" x14ac:dyDescent="0.3">
      <c r="A536" s="3">
        <v>45068</v>
      </c>
      <c r="B536">
        <f t="shared" si="8"/>
        <v>2023</v>
      </c>
      <c r="C536">
        <v>5</v>
      </c>
      <c r="D536" t="s">
        <v>19</v>
      </c>
      <c r="E536" t="s">
        <v>8</v>
      </c>
      <c r="F536" s="2">
        <v>2584</v>
      </c>
      <c r="G536" s="2">
        <f>Monthly_Growth!$C$6</f>
        <v>792630</v>
      </c>
      <c r="H536" s="5">
        <f>Monthly_Growth!$D$6</f>
        <v>-0.11231589875453428</v>
      </c>
      <c r="I536" s="15">
        <f>Yearly_Growth!$C$2</f>
        <v>5.0333827436586778E-2</v>
      </c>
      <c r="J536" s="15">
        <f>Yearly_Growth!$D$2</f>
        <v>0.03</v>
      </c>
      <c r="K536">
        <f>Sales_Per_Representative!$C$15</f>
        <v>701242</v>
      </c>
      <c r="L536">
        <f>Sales_Per_Rep_Yearly_Goal!$B$2</f>
        <v>665544.80000000005</v>
      </c>
      <c r="M536">
        <f>Sales_Per_Rep_Yearly_Goal!$C$2</f>
        <v>650000</v>
      </c>
    </row>
    <row r="537" spans="1:13" x14ac:dyDescent="0.3">
      <c r="A537" s="3">
        <v>45068</v>
      </c>
      <c r="B537">
        <f t="shared" si="8"/>
        <v>2023</v>
      </c>
      <c r="C537">
        <v>5</v>
      </c>
      <c r="D537" t="s">
        <v>28</v>
      </c>
      <c r="E537" t="s">
        <v>24</v>
      </c>
      <c r="F537" s="2">
        <v>4641</v>
      </c>
      <c r="G537" s="2">
        <f>Monthly_Growth!$C$6</f>
        <v>792630</v>
      </c>
      <c r="H537" s="5">
        <f>Monthly_Growth!$D$6</f>
        <v>-0.11231589875453428</v>
      </c>
      <c r="I537" s="15">
        <f>Yearly_Growth!$C$2</f>
        <v>5.0333827436586778E-2</v>
      </c>
      <c r="J537" s="15">
        <f>Yearly_Growth!$D$2</f>
        <v>0.03</v>
      </c>
      <c r="K537">
        <f>Sales_Per_Representative!$C$2</f>
        <v>631195</v>
      </c>
      <c r="L537">
        <f>Sales_Per_Rep_Yearly_Goal!$B$2</f>
        <v>665544.80000000005</v>
      </c>
      <c r="M537">
        <f>Sales_Per_Rep_Yearly_Goal!$C$2</f>
        <v>650000</v>
      </c>
    </row>
    <row r="538" spans="1:13" x14ac:dyDescent="0.3">
      <c r="A538" s="3">
        <v>45069</v>
      </c>
      <c r="B538">
        <f t="shared" si="8"/>
        <v>2023</v>
      </c>
      <c r="C538">
        <v>5</v>
      </c>
      <c r="D538" t="s">
        <v>14</v>
      </c>
      <c r="E538" t="s">
        <v>24</v>
      </c>
      <c r="F538" s="2">
        <v>9683</v>
      </c>
      <c r="G538" s="2">
        <f>Monthly_Growth!$C$6</f>
        <v>792630</v>
      </c>
      <c r="H538" s="5">
        <f>Monthly_Growth!$D$6</f>
        <v>-0.11231589875453428</v>
      </c>
      <c r="I538" s="15">
        <f>Yearly_Growth!$C$2</f>
        <v>5.0333827436586778E-2</v>
      </c>
      <c r="J538" s="15">
        <f>Yearly_Growth!$D$2</f>
        <v>0.03</v>
      </c>
      <c r="K538">
        <f>Sales_Per_Representative!$C$2</f>
        <v>631195</v>
      </c>
      <c r="L538">
        <f>Sales_Per_Rep_Yearly_Goal!$B$2</f>
        <v>665544.80000000005</v>
      </c>
      <c r="M538">
        <f>Sales_Per_Rep_Yearly_Goal!$C$2</f>
        <v>650000</v>
      </c>
    </row>
    <row r="539" spans="1:13" x14ac:dyDescent="0.3">
      <c r="A539" s="3">
        <v>45069</v>
      </c>
      <c r="B539">
        <f t="shared" si="8"/>
        <v>2023</v>
      </c>
      <c r="C539">
        <v>5</v>
      </c>
      <c r="D539" t="s">
        <v>19</v>
      </c>
      <c r="E539" t="s">
        <v>33</v>
      </c>
      <c r="F539" s="2">
        <v>9975</v>
      </c>
      <c r="G539" s="2">
        <f>Monthly_Growth!$C$6</f>
        <v>792630</v>
      </c>
      <c r="H539" s="5">
        <f>Monthly_Growth!$D$6</f>
        <v>-0.11231589875453428</v>
      </c>
      <c r="I539" s="15">
        <f>Yearly_Growth!$C$2</f>
        <v>5.0333827436586778E-2</v>
      </c>
      <c r="J539" s="15">
        <f>Yearly_Growth!$D$2</f>
        <v>0.03</v>
      </c>
      <c r="K539">
        <f>Sales_Per_Representative!$C$11</f>
        <v>496886</v>
      </c>
      <c r="L539">
        <f>Sales_Per_Rep_Yearly_Goal!$B$2</f>
        <v>665544.80000000005</v>
      </c>
      <c r="M539">
        <f>Sales_Per_Rep_Yearly_Goal!$C$2</f>
        <v>650000</v>
      </c>
    </row>
    <row r="540" spans="1:13" x14ac:dyDescent="0.3">
      <c r="A540" s="3">
        <v>45069</v>
      </c>
      <c r="B540">
        <f t="shared" si="8"/>
        <v>2023</v>
      </c>
      <c r="C540">
        <v>5</v>
      </c>
      <c r="D540" t="s">
        <v>23</v>
      </c>
      <c r="E540" t="s">
        <v>26</v>
      </c>
      <c r="F540" s="2">
        <v>4924</v>
      </c>
      <c r="G540" s="2">
        <f>Monthly_Growth!$C$6</f>
        <v>792630</v>
      </c>
      <c r="H540" s="5">
        <f>Monthly_Growth!$D$6</f>
        <v>-0.11231589875453428</v>
      </c>
      <c r="I540" s="15">
        <f>Yearly_Growth!$C$2</f>
        <v>5.0333827436586778E-2</v>
      </c>
      <c r="J540" s="15">
        <f>Yearly_Growth!$D$2</f>
        <v>0.03</v>
      </c>
      <c r="K540">
        <f>Sales_Per_Representative!$C$16</f>
        <v>666159</v>
      </c>
      <c r="L540">
        <f>Sales_Per_Rep_Yearly_Goal!$B$2</f>
        <v>665544.80000000005</v>
      </c>
      <c r="M540">
        <f>Sales_Per_Rep_Yearly_Goal!$C$2</f>
        <v>650000</v>
      </c>
    </row>
    <row r="541" spans="1:13" x14ac:dyDescent="0.3">
      <c r="A541" s="3">
        <v>45069</v>
      </c>
      <c r="B541">
        <f t="shared" si="8"/>
        <v>2023</v>
      </c>
      <c r="C541">
        <v>5</v>
      </c>
      <c r="D541" t="s">
        <v>25</v>
      </c>
      <c r="E541" t="s">
        <v>33</v>
      </c>
      <c r="F541" s="2">
        <v>3757</v>
      </c>
      <c r="G541" s="2">
        <f>Monthly_Growth!$C$6</f>
        <v>792630</v>
      </c>
      <c r="H541" s="5">
        <f>Monthly_Growth!$D$6</f>
        <v>-0.11231589875453428</v>
      </c>
      <c r="I541" s="15">
        <f>Yearly_Growth!$C$2</f>
        <v>5.0333827436586778E-2</v>
      </c>
      <c r="J541" s="15">
        <f>Yearly_Growth!$D$2</f>
        <v>0.03</v>
      </c>
      <c r="K541">
        <f>Sales_Per_Representative!$C$11</f>
        <v>496886</v>
      </c>
      <c r="L541">
        <f>Sales_Per_Rep_Yearly_Goal!$B$2</f>
        <v>665544.80000000005</v>
      </c>
      <c r="M541">
        <f>Sales_Per_Rep_Yearly_Goal!$C$2</f>
        <v>650000</v>
      </c>
    </row>
    <row r="542" spans="1:13" x14ac:dyDescent="0.3">
      <c r="A542" s="3">
        <v>45069</v>
      </c>
      <c r="B542">
        <f t="shared" si="8"/>
        <v>2023</v>
      </c>
      <c r="C542">
        <v>5</v>
      </c>
      <c r="D542" t="s">
        <v>25</v>
      </c>
      <c r="E542" t="s">
        <v>22</v>
      </c>
      <c r="F542" s="2">
        <v>7310</v>
      </c>
      <c r="G542" s="2">
        <f>Monthly_Growth!$C$6</f>
        <v>792630</v>
      </c>
      <c r="H542" s="5">
        <f>Monthly_Growth!$D$6</f>
        <v>-0.11231589875453428</v>
      </c>
      <c r="I542" s="15">
        <f>Yearly_Growth!$C$2</f>
        <v>5.0333827436586778E-2</v>
      </c>
      <c r="J542" s="15">
        <f>Yearly_Growth!$D$2</f>
        <v>0.03</v>
      </c>
      <c r="K542">
        <f>Sales_Per_Representative!$C$8</f>
        <v>649456</v>
      </c>
      <c r="L542">
        <f>Sales_Per_Rep_Yearly_Goal!$B$2</f>
        <v>665544.80000000005</v>
      </c>
      <c r="M542">
        <f>Sales_Per_Rep_Yearly_Goal!$C$2</f>
        <v>650000</v>
      </c>
    </row>
    <row r="543" spans="1:13" x14ac:dyDescent="0.3">
      <c r="A543" s="3">
        <v>45069</v>
      </c>
      <c r="B543">
        <f t="shared" si="8"/>
        <v>2023</v>
      </c>
      <c r="C543">
        <v>5</v>
      </c>
      <c r="D543" t="s">
        <v>17</v>
      </c>
      <c r="E543" t="s">
        <v>20</v>
      </c>
      <c r="F543" s="2">
        <v>11484</v>
      </c>
      <c r="G543" s="2">
        <f>Monthly_Growth!$C$6</f>
        <v>792630</v>
      </c>
      <c r="H543" s="5">
        <f>Monthly_Growth!$D$6</f>
        <v>-0.11231589875453428</v>
      </c>
      <c r="I543" s="15">
        <f>Yearly_Growth!$C$2</f>
        <v>5.0333827436586778E-2</v>
      </c>
      <c r="J543" s="15">
        <f>Yearly_Growth!$D$2</f>
        <v>0.03</v>
      </c>
      <c r="K543">
        <f>Sales_Per_Representative!$C$14</f>
        <v>675530</v>
      </c>
      <c r="L543">
        <f>Sales_Per_Rep_Yearly_Goal!$B$2</f>
        <v>665544.80000000005</v>
      </c>
      <c r="M543">
        <f>Sales_Per_Rep_Yearly_Goal!$C$2</f>
        <v>650000</v>
      </c>
    </row>
    <row r="544" spans="1:13" x14ac:dyDescent="0.3">
      <c r="A544" s="3">
        <v>45070</v>
      </c>
      <c r="B544">
        <f t="shared" si="8"/>
        <v>2023</v>
      </c>
      <c r="C544">
        <v>5</v>
      </c>
      <c r="D544" t="s">
        <v>19</v>
      </c>
      <c r="E544" t="s">
        <v>24</v>
      </c>
      <c r="F544" s="2">
        <v>2182</v>
      </c>
      <c r="G544" s="2">
        <f>Monthly_Growth!$C$6</f>
        <v>792630</v>
      </c>
      <c r="H544" s="5">
        <f>Monthly_Growth!$D$6</f>
        <v>-0.11231589875453428</v>
      </c>
      <c r="I544" s="15">
        <f>Yearly_Growth!$C$2</f>
        <v>5.0333827436586778E-2</v>
      </c>
      <c r="J544" s="15">
        <f>Yearly_Growth!$D$2</f>
        <v>0.03</v>
      </c>
      <c r="K544">
        <f>Sales_Per_Representative!$C$2</f>
        <v>631195</v>
      </c>
      <c r="L544">
        <f>Sales_Per_Rep_Yearly_Goal!$B$2</f>
        <v>665544.80000000005</v>
      </c>
      <c r="M544">
        <f>Sales_Per_Rep_Yearly_Goal!$C$2</f>
        <v>650000</v>
      </c>
    </row>
    <row r="545" spans="1:13" x14ac:dyDescent="0.3">
      <c r="A545" s="3">
        <v>45070</v>
      </c>
      <c r="B545">
        <f t="shared" si="8"/>
        <v>2023</v>
      </c>
      <c r="C545">
        <v>5</v>
      </c>
      <c r="D545" t="s">
        <v>7</v>
      </c>
      <c r="E545" t="s">
        <v>20</v>
      </c>
      <c r="F545" s="2">
        <v>2917</v>
      </c>
      <c r="G545" s="2">
        <f>Monthly_Growth!$C$6</f>
        <v>792630</v>
      </c>
      <c r="H545" s="5">
        <f>Monthly_Growth!$D$6</f>
        <v>-0.11231589875453428</v>
      </c>
      <c r="I545" s="15">
        <f>Yearly_Growth!$C$2</f>
        <v>5.0333827436586778E-2</v>
      </c>
      <c r="J545" s="15">
        <f>Yearly_Growth!$D$2</f>
        <v>0.03</v>
      </c>
      <c r="K545">
        <f>Sales_Per_Representative!$C$14</f>
        <v>675530</v>
      </c>
      <c r="L545">
        <f>Sales_Per_Rep_Yearly_Goal!$B$2</f>
        <v>665544.80000000005</v>
      </c>
      <c r="M545">
        <f>Sales_Per_Rep_Yearly_Goal!$C$2</f>
        <v>650000</v>
      </c>
    </row>
    <row r="546" spans="1:13" x14ac:dyDescent="0.3">
      <c r="A546" s="3">
        <v>45070</v>
      </c>
      <c r="B546">
        <f t="shared" si="8"/>
        <v>2023</v>
      </c>
      <c r="C546">
        <v>5</v>
      </c>
      <c r="D546" t="s">
        <v>17</v>
      </c>
      <c r="E546" t="s">
        <v>24</v>
      </c>
      <c r="F546" s="2">
        <v>9219</v>
      </c>
      <c r="G546" s="2">
        <f>Monthly_Growth!$C$6</f>
        <v>792630</v>
      </c>
      <c r="H546" s="5">
        <f>Monthly_Growth!$D$6</f>
        <v>-0.11231589875453428</v>
      </c>
      <c r="I546" s="15">
        <f>Yearly_Growth!$C$2</f>
        <v>5.0333827436586778E-2</v>
      </c>
      <c r="J546" s="15">
        <f>Yearly_Growth!$D$2</f>
        <v>0.03</v>
      </c>
      <c r="K546">
        <f>Sales_Per_Representative!$C$2</f>
        <v>631195</v>
      </c>
      <c r="L546">
        <f>Sales_Per_Rep_Yearly_Goal!$B$2</f>
        <v>665544.80000000005</v>
      </c>
      <c r="M546">
        <f>Sales_Per_Rep_Yearly_Goal!$C$2</f>
        <v>650000</v>
      </c>
    </row>
    <row r="547" spans="1:13" x14ac:dyDescent="0.3">
      <c r="A547" s="3">
        <v>45070</v>
      </c>
      <c r="B547">
        <f t="shared" si="8"/>
        <v>2023</v>
      </c>
      <c r="C547">
        <v>5</v>
      </c>
      <c r="D547" t="s">
        <v>12</v>
      </c>
      <c r="E547" t="s">
        <v>29</v>
      </c>
      <c r="F547" s="2">
        <v>10807</v>
      </c>
      <c r="G547" s="2">
        <f>Monthly_Growth!$C$6</f>
        <v>792630</v>
      </c>
      <c r="H547" s="5">
        <f>Monthly_Growth!$D$6</f>
        <v>-0.11231589875453428</v>
      </c>
      <c r="I547" s="15">
        <f>Yearly_Growth!$C$2</f>
        <v>5.0333827436586778E-2</v>
      </c>
      <c r="J547" s="15">
        <f>Yearly_Growth!$D$2</f>
        <v>0.03</v>
      </c>
      <c r="K547">
        <f>Sales_Per_Representative!$C$13</f>
        <v>621548</v>
      </c>
      <c r="L547">
        <f>Sales_Per_Rep_Yearly_Goal!$B$2</f>
        <v>665544.80000000005</v>
      </c>
      <c r="M547">
        <f>Sales_Per_Rep_Yearly_Goal!$C$2</f>
        <v>650000</v>
      </c>
    </row>
    <row r="548" spans="1:13" x14ac:dyDescent="0.3">
      <c r="A548" s="3">
        <v>45071</v>
      </c>
      <c r="B548">
        <f t="shared" si="8"/>
        <v>2023</v>
      </c>
      <c r="C548">
        <v>5</v>
      </c>
      <c r="D548" t="s">
        <v>25</v>
      </c>
      <c r="E548" t="s">
        <v>31</v>
      </c>
      <c r="F548" s="2">
        <v>1582</v>
      </c>
      <c r="G548" s="2">
        <f>Monthly_Growth!$C$6</f>
        <v>792630</v>
      </c>
      <c r="H548" s="5">
        <f>Monthly_Growth!$D$6</f>
        <v>-0.11231589875453428</v>
      </c>
      <c r="I548" s="15">
        <f>Yearly_Growth!$C$2</f>
        <v>5.0333827436586778E-2</v>
      </c>
      <c r="J548" s="15">
        <f>Yearly_Growth!$D$2</f>
        <v>0.03</v>
      </c>
      <c r="K548">
        <f>Sales_Per_Representative!$C$6</f>
        <v>727823</v>
      </c>
      <c r="L548">
        <f>Sales_Per_Rep_Yearly_Goal!$B$2</f>
        <v>665544.80000000005</v>
      </c>
      <c r="M548">
        <f>Sales_Per_Rep_Yearly_Goal!$C$2</f>
        <v>650000</v>
      </c>
    </row>
    <row r="549" spans="1:13" x14ac:dyDescent="0.3">
      <c r="A549" s="3">
        <v>45072</v>
      </c>
      <c r="B549">
        <f t="shared" si="8"/>
        <v>2023</v>
      </c>
      <c r="C549">
        <v>5</v>
      </c>
      <c r="D549" t="s">
        <v>28</v>
      </c>
      <c r="E549" t="s">
        <v>18</v>
      </c>
      <c r="F549" s="2">
        <v>5974</v>
      </c>
      <c r="G549" s="2">
        <f>Monthly_Growth!$C$6</f>
        <v>792630</v>
      </c>
      <c r="H549" s="5">
        <f>Monthly_Growth!$D$6</f>
        <v>-0.11231589875453428</v>
      </c>
      <c r="I549" s="15">
        <f>Yearly_Growth!$C$2</f>
        <v>5.0333827436586778E-2</v>
      </c>
      <c r="J549" s="15">
        <f>Yearly_Growth!$D$2</f>
        <v>0.03</v>
      </c>
      <c r="K549">
        <f>Sales_Per_Representative!$C$9</f>
        <v>550835</v>
      </c>
      <c r="L549">
        <f>Sales_Per_Rep_Yearly_Goal!$B$2</f>
        <v>665544.80000000005</v>
      </c>
      <c r="M549">
        <f>Sales_Per_Rep_Yearly_Goal!$C$2</f>
        <v>650000</v>
      </c>
    </row>
    <row r="550" spans="1:13" x14ac:dyDescent="0.3">
      <c r="A550" s="3">
        <v>45072</v>
      </c>
      <c r="B550">
        <f t="shared" si="8"/>
        <v>2023</v>
      </c>
      <c r="C550">
        <v>5</v>
      </c>
      <c r="D550" t="s">
        <v>17</v>
      </c>
      <c r="E550" t="s">
        <v>26</v>
      </c>
      <c r="F550" s="2">
        <v>4310</v>
      </c>
      <c r="G550" s="2">
        <f>Monthly_Growth!$C$6</f>
        <v>792630</v>
      </c>
      <c r="H550" s="5">
        <f>Monthly_Growth!$D$6</f>
        <v>-0.11231589875453428</v>
      </c>
      <c r="I550" s="15">
        <f>Yearly_Growth!$C$2</f>
        <v>5.0333827436586778E-2</v>
      </c>
      <c r="J550" s="15">
        <f>Yearly_Growth!$D$2</f>
        <v>0.03</v>
      </c>
      <c r="K550">
        <f>Sales_Per_Representative!$C$16</f>
        <v>666159</v>
      </c>
      <c r="L550">
        <f>Sales_Per_Rep_Yearly_Goal!$B$2</f>
        <v>665544.80000000005</v>
      </c>
      <c r="M550">
        <f>Sales_Per_Rep_Yearly_Goal!$C$2</f>
        <v>650000</v>
      </c>
    </row>
    <row r="551" spans="1:13" x14ac:dyDescent="0.3">
      <c r="A551" s="3">
        <v>45072</v>
      </c>
      <c r="B551">
        <f t="shared" si="8"/>
        <v>2023</v>
      </c>
      <c r="C551">
        <v>5</v>
      </c>
      <c r="D551" t="s">
        <v>12</v>
      </c>
      <c r="E551" t="s">
        <v>33</v>
      </c>
      <c r="F551" s="2">
        <v>11190</v>
      </c>
      <c r="G551" s="2">
        <f>Monthly_Growth!$C$6</f>
        <v>792630</v>
      </c>
      <c r="H551" s="5">
        <f>Monthly_Growth!$D$6</f>
        <v>-0.11231589875453428</v>
      </c>
      <c r="I551" s="15">
        <f>Yearly_Growth!$C$2</f>
        <v>5.0333827436586778E-2</v>
      </c>
      <c r="J551" s="15">
        <f>Yearly_Growth!$D$2</f>
        <v>0.03</v>
      </c>
      <c r="K551">
        <f>Sales_Per_Representative!$C$11</f>
        <v>496886</v>
      </c>
      <c r="L551">
        <f>Sales_Per_Rep_Yearly_Goal!$B$2</f>
        <v>665544.80000000005</v>
      </c>
      <c r="M551">
        <f>Sales_Per_Rep_Yearly_Goal!$C$2</f>
        <v>650000</v>
      </c>
    </row>
    <row r="552" spans="1:13" x14ac:dyDescent="0.3">
      <c r="A552" s="3">
        <v>45072</v>
      </c>
      <c r="B552">
        <f t="shared" si="8"/>
        <v>2023</v>
      </c>
      <c r="C552">
        <v>5</v>
      </c>
      <c r="D552" t="s">
        <v>12</v>
      </c>
      <c r="E552" t="s">
        <v>24</v>
      </c>
      <c r="F552" s="2">
        <v>6582</v>
      </c>
      <c r="G552" s="2">
        <f>Monthly_Growth!$C$6</f>
        <v>792630</v>
      </c>
      <c r="H552" s="5">
        <f>Monthly_Growth!$D$6</f>
        <v>-0.11231589875453428</v>
      </c>
      <c r="I552" s="15">
        <f>Yearly_Growth!$C$2</f>
        <v>5.0333827436586778E-2</v>
      </c>
      <c r="J552" s="15">
        <f>Yearly_Growth!$D$2</f>
        <v>0.03</v>
      </c>
      <c r="K552">
        <f>Sales_Per_Representative!$C$2</f>
        <v>631195</v>
      </c>
      <c r="L552">
        <f>Sales_Per_Rep_Yearly_Goal!$B$2</f>
        <v>665544.80000000005</v>
      </c>
      <c r="M552">
        <f>Sales_Per_Rep_Yearly_Goal!$C$2</f>
        <v>650000</v>
      </c>
    </row>
    <row r="553" spans="1:13" x14ac:dyDescent="0.3">
      <c r="A553" s="3">
        <v>45073</v>
      </c>
      <c r="B553">
        <f t="shared" si="8"/>
        <v>2023</v>
      </c>
      <c r="C553">
        <v>5</v>
      </c>
      <c r="D553" t="s">
        <v>14</v>
      </c>
      <c r="E553" t="s">
        <v>15</v>
      </c>
      <c r="F553" s="2">
        <v>4591</v>
      </c>
      <c r="G553" s="2">
        <f>Monthly_Growth!$C$6</f>
        <v>792630</v>
      </c>
      <c r="H553" s="5">
        <f>Monthly_Growth!$D$6</f>
        <v>-0.11231589875453428</v>
      </c>
      <c r="I553" s="15">
        <f>Yearly_Growth!$C$2</f>
        <v>5.0333827436586778E-2</v>
      </c>
      <c r="J553" s="15">
        <f>Yearly_Growth!$D$2</f>
        <v>0.03</v>
      </c>
      <c r="K553">
        <f>Sales_Per_Representative!$C$12</f>
        <v>656359</v>
      </c>
      <c r="L553">
        <f>Sales_Per_Rep_Yearly_Goal!$B$2</f>
        <v>665544.80000000005</v>
      </c>
      <c r="M553">
        <f>Sales_Per_Rep_Yearly_Goal!$C$2</f>
        <v>650000</v>
      </c>
    </row>
    <row r="554" spans="1:13" x14ac:dyDescent="0.3">
      <c r="A554" s="3">
        <v>45073</v>
      </c>
      <c r="B554">
        <f t="shared" si="8"/>
        <v>2023</v>
      </c>
      <c r="C554">
        <v>5</v>
      </c>
      <c r="D554" t="s">
        <v>19</v>
      </c>
      <c r="E554" t="s">
        <v>5</v>
      </c>
      <c r="F554" s="2">
        <v>4590</v>
      </c>
      <c r="G554" s="2">
        <f>Monthly_Growth!$C$6</f>
        <v>792630</v>
      </c>
      <c r="H554" s="5">
        <f>Monthly_Growth!$D$6</f>
        <v>-0.11231589875453428</v>
      </c>
      <c r="I554" s="15">
        <f>Yearly_Growth!$C$2</f>
        <v>5.0333827436586778E-2</v>
      </c>
      <c r="J554" s="15">
        <f>Yearly_Growth!$D$2</f>
        <v>0.03</v>
      </c>
      <c r="K554">
        <f>Sales_Per_Representative!$C$10</f>
        <v>663333</v>
      </c>
      <c r="L554">
        <f>Sales_Per_Rep_Yearly_Goal!$B$2</f>
        <v>665544.80000000005</v>
      </c>
      <c r="M554">
        <f>Sales_Per_Rep_Yearly_Goal!$C$2</f>
        <v>650000</v>
      </c>
    </row>
    <row r="555" spans="1:13" x14ac:dyDescent="0.3">
      <c r="A555" s="3">
        <v>45073</v>
      </c>
      <c r="B555">
        <f t="shared" si="8"/>
        <v>2023</v>
      </c>
      <c r="C555">
        <v>5</v>
      </c>
      <c r="D555" t="s">
        <v>19</v>
      </c>
      <c r="E555" t="s">
        <v>30</v>
      </c>
      <c r="F555" s="2">
        <v>13991</v>
      </c>
      <c r="G555" s="2">
        <f>Monthly_Growth!$C$6</f>
        <v>792630</v>
      </c>
      <c r="H555" s="5">
        <f>Monthly_Growth!$D$6</f>
        <v>-0.11231589875453428</v>
      </c>
      <c r="I555" s="15">
        <f>Yearly_Growth!$C$2</f>
        <v>5.0333827436586778E-2</v>
      </c>
      <c r="J555" s="15">
        <f>Yearly_Growth!$D$2</f>
        <v>0.03</v>
      </c>
      <c r="K555">
        <f>Sales_Per_Representative!$C$7</f>
        <v>706974</v>
      </c>
      <c r="L555">
        <f>Sales_Per_Rep_Yearly_Goal!$B$2</f>
        <v>665544.80000000005</v>
      </c>
      <c r="M555">
        <f>Sales_Per_Rep_Yearly_Goal!$C$2</f>
        <v>650000</v>
      </c>
    </row>
    <row r="556" spans="1:13" x14ac:dyDescent="0.3">
      <c r="A556" s="3">
        <v>45073</v>
      </c>
      <c r="B556">
        <f t="shared" si="8"/>
        <v>2023</v>
      </c>
      <c r="C556">
        <v>5</v>
      </c>
      <c r="D556" t="s">
        <v>12</v>
      </c>
      <c r="E556" t="s">
        <v>5</v>
      </c>
      <c r="F556" s="2">
        <v>3908</v>
      </c>
      <c r="G556" s="2">
        <f>Monthly_Growth!$C$6</f>
        <v>792630</v>
      </c>
      <c r="H556" s="5">
        <f>Monthly_Growth!$D$6</f>
        <v>-0.11231589875453428</v>
      </c>
      <c r="I556" s="15">
        <f>Yearly_Growth!$C$2</f>
        <v>5.0333827436586778E-2</v>
      </c>
      <c r="J556" s="15">
        <f>Yearly_Growth!$D$2</f>
        <v>0.03</v>
      </c>
      <c r="K556">
        <f>Sales_Per_Representative!$C$10</f>
        <v>663333</v>
      </c>
      <c r="L556">
        <f>Sales_Per_Rep_Yearly_Goal!$B$2</f>
        <v>665544.80000000005</v>
      </c>
      <c r="M556">
        <f>Sales_Per_Rep_Yearly_Goal!$C$2</f>
        <v>650000</v>
      </c>
    </row>
    <row r="557" spans="1:13" x14ac:dyDescent="0.3">
      <c r="A557" s="3">
        <v>45074</v>
      </c>
      <c r="B557">
        <f t="shared" si="8"/>
        <v>2023</v>
      </c>
      <c r="C557">
        <v>5</v>
      </c>
      <c r="D557" t="s">
        <v>25</v>
      </c>
      <c r="E557" t="s">
        <v>8</v>
      </c>
      <c r="F557" s="2">
        <v>6004</v>
      </c>
      <c r="G557" s="2">
        <f>Monthly_Growth!$C$6</f>
        <v>792630</v>
      </c>
      <c r="H557" s="5">
        <f>Monthly_Growth!$D$6</f>
        <v>-0.11231589875453428</v>
      </c>
      <c r="I557" s="15">
        <f>Yearly_Growth!$C$2</f>
        <v>5.0333827436586778E-2</v>
      </c>
      <c r="J557" s="15">
        <f>Yearly_Growth!$D$2</f>
        <v>0.03</v>
      </c>
      <c r="K557">
        <f>Sales_Per_Representative!$C$15</f>
        <v>701242</v>
      </c>
      <c r="L557">
        <f>Sales_Per_Rep_Yearly_Goal!$B$2</f>
        <v>665544.80000000005</v>
      </c>
      <c r="M557">
        <f>Sales_Per_Rep_Yearly_Goal!$C$2</f>
        <v>650000</v>
      </c>
    </row>
    <row r="558" spans="1:13" x14ac:dyDescent="0.3">
      <c r="A558" s="3">
        <v>45074</v>
      </c>
      <c r="B558">
        <f t="shared" si="8"/>
        <v>2023</v>
      </c>
      <c r="C558">
        <v>5</v>
      </c>
      <c r="D558" t="s">
        <v>28</v>
      </c>
      <c r="E558" t="s">
        <v>10</v>
      </c>
      <c r="F558" s="2">
        <v>13134</v>
      </c>
      <c r="G558" s="2">
        <f>Monthly_Growth!$C$6</f>
        <v>792630</v>
      </c>
      <c r="H558" s="5">
        <f>Monthly_Growth!$D$6</f>
        <v>-0.11231589875453428</v>
      </c>
      <c r="I558" s="15">
        <f>Yearly_Growth!$C$2</f>
        <v>5.0333827436586778E-2</v>
      </c>
      <c r="J558" s="15">
        <f>Yearly_Growth!$D$2</f>
        <v>0.03</v>
      </c>
      <c r="K558">
        <f>Sales_Per_Representative!$C$4</f>
        <v>725713</v>
      </c>
      <c r="L558">
        <f>Sales_Per_Rep_Yearly_Goal!$B$2</f>
        <v>665544.80000000005</v>
      </c>
      <c r="M558">
        <f>Sales_Per_Rep_Yearly_Goal!$C$2</f>
        <v>650000</v>
      </c>
    </row>
    <row r="559" spans="1:13" x14ac:dyDescent="0.3">
      <c r="A559" s="3">
        <v>45074</v>
      </c>
      <c r="B559">
        <f t="shared" si="8"/>
        <v>2023</v>
      </c>
      <c r="C559">
        <v>5</v>
      </c>
      <c r="D559" t="s">
        <v>28</v>
      </c>
      <c r="E559" t="s">
        <v>27</v>
      </c>
      <c r="F559" s="2">
        <v>13918</v>
      </c>
      <c r="G559" s="2">
        <f>Monthly_Growth!$C$6</f>
        <v>792630</v>
      </c>
      <c r="H559" s="5">
        <f>Monthly_Growth!$D$6</f>
        <v>-0.11231589875453428</v>
      </c>
      <c r="I559" s="15">
        <f>Yearly_Growth!$C$2</f>
        <v>5.0333827436586778E-2</v>
      </c>
      <c r="J559" s="15">
        <f>Yearly_Growth!$D$2</f>
        <v>0.03</v>
      </c>
      <c r="K559">
        <f>Sales_Per_Representative!$C$5</f>
        <v>747962</v>
      </c>
      <c r="L559">
        <f>Sales_Per_Rep_Yearly_Goal!$B$2</f>
        <v>665544.80000000005</v>
      </c>
      <c r="M559">
        <f>Sales_Per_Rep_Yearly_Goal!$C$2</f>
        <v>650000</v>
      </c>
    </row>
    <row r="560" spans="1:13" x14ac:dyDescent="0.3">
      <c r="A560" s="3">
        <v>45074</v>
      </c>
      <c r="B560">
        <f t="shared" si="8"/>
        <v>2023</v>
      </c>
      <c r="C560">
        <v>5</v>
      </c>
      <c r="D560" t="s">
        <v>17</v>
      </c>
      <c r="E560" t="s">
        <v>30</v>
      </c>
      <c r="F560" s="2">
        <v>10443</v>
      </c>
      <c r="G560" s="2">
        <f>Monthly_Growth!$C$6</f>
        <v>792630</v>
      </c>
      <c r="H560" s="5">
        <f>Monthly_Growth!$D$6</f>
        <v>-0.11231589875453428</v>
      </c>
      <c r="I560" s="15">
        <f>Yearly_Growth!$C$2</f>
        <v>5.0333827436586778E-2</v>
      </c>
      <c r="J560" s="15">
        <f>Yearly_Growth!$D$2</f>
        <v>0.03</v>
      </c>
      <c r="K560">
        <f>Sales_Per_Representative!$C$7</f>
        <v>706974</v>
      </c>
      <c r="L560">
        <f>Sales_Per_Rep_Yearly_Goal!$B$2</f>
        <v>665544.80000000005</v>
      </c>
      <c r="M560">
        <f>Sales_Per_Rep_Yearly_Goal!$C$2</f>
        <v>650000</v>
      </c>
    </row>
    <row r="561" spans="1:13" x14ac:dyDescent="0.3">
      <c r="A561" s="3">
        <v>45075</v>
      </c>
      <c r="B561">
        <f t="shared" si="8"/>
        <v>2023</v>
      </c>
      <c r="C561">
        <v>5</v>
      </c>
      <c r="D561" t="s">
        <v>14</v>
      </c>
      <c r="E561" t="s">
        <v>18</v>
      </c>
      <c r="F561" s="2">
        <v>13716</v>
      </c>
      <c r="G561" s="2">
        <f>Monthly_Growth!$C$6</f>
        <v>792630</v>
      </c>
      <c r="H561" s="5">
        <f>Monthly_Growth!$D$6</f>
        <v>-0.11231589875453428</v>
      </c>
      <c r="I561" s="15">
        <f>Yearly_Growth!$C$2</f>
        <v>5.0333827436586778E-2</v>
      </c>
      <c r="J561" s="15">
        <f>Yearly_Growth!$D$2</f>
        <v>0.03</v>
      </c>
      <c r="K561">
        <f>Sales_Per_Representative!$C$9</f>
        <v>550835</v>
      </c>
      <c r="L561">
        <f>Sales_Per_Rep_Yearly_Goal!$B$2</f>
        <v>665544.80000000005</v>
      </c>
      <c r="M561">
        <f>Sales_Per_Rep_Yearly_Goal!$C$2</f>
        <v>650000</v>
      </c>
    </row>
    <row r="562" spans="1:13" x14ac:dyDescent="0.3">
      <c r="A562" s="3">
        <v>45075</v>
      </c>
      <c r="B562">
        <f t="shared" si="8"/>
        <v>2023</v>
      </c>
      <c r="C562">
        <v>5</v>
      </c>
      <c r="D562" t="s">
        <v>23</v>
      </c>
      <c r="E562" t="s">
        <v>24</v>
      </c>
      <c r="F562" s="2">
        <v>3504</v>
      </c>
      <c r="G562" s="2">
        <f>Monthly_Growth!$C$6</f>
        <v>792630</v>
      </c>
      <c r="H562" s="5">
        <f>Monthly_Growth!$D$6</f>
        <v>-0.11231589875453428</v>
      </c>
      <c r="I562" s="15">
        <f>Yearly_Growth!$C$2</f>
        <v>5.0333827436586778E-2</v>
      </c>
      <c r="J562" s="15">
        <f>Yearly_Growth!$D$2</f>
        <v>0.03</v>
      </c>
      <c r="K562">
        <f>Sales_Per_Representative!$C$2</f>
        <v>631195</v>
      </c>
      <c r="L562">
        <f>Sales_Per_Rep_Yearly_Goal!$B$2</f>
        <v>665544.80000000005</v>
      </c>
      <c r="M562">
        <f>Sales_Per_Rep_Yearly_Goal!$C$2</f>
        <v>650000</v>
      </c>
    </row>
    <row r="563" spans="1:13" x14ac:dyDescent="0.3">
      <c r="A563" s="3">
        <v>45075</v>
      </c>
      <c r="B563">
        <f t="shared" si="8"/>
        <v>2023</v>
      </c>
      <c r="C563">
        <v>5</v>
      </c>
      <c r="D563" t="s">
        <v>23</v>
      </c>
      <c r="E563" t="s">
        <v>10</v>
      </c>
      <c r="F563" s="2">
        <v>1073</v>
      </c>
      <c r="G563" s="2">
        <f>Monthly_Growth!$C$6</f>
        <v>792630</v>
      </c>
      <c r="H563" s="5">
        <f>Monthly_Growth!$D$6</f>
        <v>-0.11231589875453428</v>
      </c>
      <c r="I563" s="15">
        <f>Yearly_Growth!$C$2</f>
        <v>5.0333827436586778E-2</v>
      </c>
      <c r="J563" s="15">
        <f>Yearly_Growth!$D$2</f>
        <v>0.03</v>
      </c>
      <c r="K563">
        <f>Sales_Per_Representative!$C$4</f>
        <v>725713</v>
      </c>
      <c r="L563">
        <f>Sales_Per_Rep_Yearly_Goal!$B$2</f>
        <v>665544.80000000005</v>
      </c>
      <c r="M563">
        <f>Sales_Per_Rep_Yearly_Goal!$C$2</f>
        <v>650000</v>
      </c>
    </row>
    <row r="564" spans="1:13" x14ac:dyDescent="0.3">
      <c r="A564" s="3">
        <v>45075</v>
      </c>
      <c r="B564">
        <f t="shared" si="8"/>
        <v>2023</v>
      </c>
      <c r="C564">
        <v>5</v>
      </c>
      <c r="D564" t="s">
        <v>25</v>
      </c>
      <c r="E564" t="s">
        <v>31</v>
      </c>
      <c r="F564" s="2">
        <v>2942</v>
      </c>
      <c r="G564" s="2">
        <f>Monthly_Growth!$C$6</f>
        <v>792630</v>
      </c>
      <c r="H564" s="5">
        <f>Monthly_Growth!$D$6</f>
        <v>-0.11231589875453428</v>
      </c>
      <c r="I564" s="15">
        <f>Yearly_Growth!$C$2</f>
        <v>5.0333827436586778E-2</v>
      </c>
      <c r="J564" s="15">
        <f>Yearly_Growth!$D$2</f>
        <v>0.03</v>
      </c>
      <c r="K564">
        <f>Sales_Per_Representative!$C$6</f>
        <v>727823</v>
      </c>
      <c r="L564">
        <f>Sales_Per_Rep_Yearly_Goal!$B$2</f>
        <v>665544.80000000005</v>
      </c>
      <c r="M564">
        <f>Sales_Per_Rep_Yearly_Goal!$C$2</f>
        <v>650000</v>
      </c>
    </row>
    <row r="565" spans="1:13" x14ac:dyDescent="0.3">
      <c r="A565" s="3">
        <v>45075</v>
      </c>
      <c r="B565">
        <f t="shared" si="8"/>
        <v>2023</v>
      </c>
      <c r="C565">
        <v>5</v>
      </c>
      <c r="D565" t="s">
        <v>17</v>
      </c>
      <c r="E565" t="s">
        <v>27</v>
      </c>
      <c r="F565" s="2">
        <v>5092</v>
      </c>
      <c r="G565" s="2">
        <f>Monthly_Growth!$C$6</f>
        <v>792630</v>
      </c>
      <c r="H565" s="5">
        <f>Monthly_Growth!$D$6</f>
        <v>-0.11231589875453428</v>
      </c>
      <c r="I565" s="15">
        <f>Yearly_Growth!$C$2</f>
        <v>5.0333827436586778E-2</v>
      </c>
      <c r="J565" s="15">
        <f>Yearly_Growth!$D$2</f>
        <v>0.03</v>
      </c>
      <c r="K565">
        <f>Sales_Per_Representative!$C$5</f>
        <v>747962</v>
      </c>
      <c r="L565">
        <f>Sales_Per_Rep_Yearly_Goal!$B$2</f>
        <v>665544.80000000005</v>
      </c>
      <c r="M565">
        <f>Sales_Per_Rep_Yearly_Goal!$C$2</f>
        <v>650000</v>
      </c>
    </row>
    <row r="566" spans="1:13" x14ac:dyDescent="0.3">
      <c r="A566" s="3">
        <v>45076</v>
      </c>
      <c r="B566">
        <f t="shared" si="8"/>
        <v>2023</v>
      </c>
      <c r="C566">
        <v>5</v>
      </c>
      <c r="D566" t="s">
        <v>12</v>
      </c>
      <c r="E566" t="s">
        <v>8</v>
      </c>
      <c r="F566" s="2">
        <v>12514</v>
      </c>
      <c r="G566" s="2">
        <f>Monthly_Growth!$C$6</f>
        <v>792630</v>
      </c>
      <c r="H566" s="5">
        <f>Monthly_Growth!$D$6</f>
        <v>-0.11231589875453428</v>
      </c>
      <c r="I566" s="15">
        <f>Yearly_Growth!$C$2</f>
        <v>5.0333827436586778E-2</v>
      </c>
      <c r="J566" s="15">
        <f>Yearly_Growth!$D$2</f>
        <v>0.03</v>
      </c>
      <c r="K566">
        <f>Sales_Per_Representative!$C$15</f>
        <v>701242</v>
      </c>
      <c r="L566">
        <f>Sales_Per_Rep_Yearly_Goal!$B$2</f>
        <v>665544.80000000005</v>
      </c>
      <c r="M566">
        <f>Sales_Per_Rep_Yearly_Goal!$C$2</f>
        <v>650000</v>
      </c>
    </row>
    <row r="567" spans="1:13" x14ac:dyDescent="0.3">
      <c r="A567" s="3">
        <v>45077</v>
      </c>
      <c r="B567">
        <f t="shared" si="8"/>
        <v>2023</v>
      </c>
      <c r="C567">
        <v>5</v>
      </c>
      <c r="D567" t="s">
        <v>19</v>
      </c>
      <c r="E567" t="s">
        <v>29</v>
      </c>
      <c r="F567" s="2">
        <v>11541</v>
      </c>
      <c r="G567" s="2">
        <f>Monthly_Growth!$C$6</f>
        <v>792630</v>
      </c>
      <c r="H567" s="5">
        <f>Monthly_Growth!$D$6</f>
        <v>-0.11231589875453428</v>
      </c>
      <c r="I567" s="15">
        <f>Yearly_Growth!$C$2</f>
        <v>5.0333827436586778E-2</v>
      </c>
      <c r="J567" s="15">
        <f>Yearly_Growth!$D$2</f>
        <v>0.03</v>
      </c>
      <c r="K567">
        <f>Sales_Per_Representative!$C$13</f>
        <v>621548</v>
      </c>
      <c r="L567">
        <f>Sales_Per_Rep_Yearly_Goal!$B$2</f>
        <v>665544.80000000005</v>
      </c>
      <c r="M567">
        <f>Sales_Per_Rep_Yearly_Goal!$C$2</f>
        <v>650000</v>
      </c>
    </row>
    <row r="568" spans="1:13" x14ac:dyDescent="0.3">
      <c r="A568" s="3">
        <v>45077</v>
      </c>
      <c r="B568">
        <f t="shared" si="8"/>
        <v>2023</v>
      </c>
      <c r="C568">
        <v>5</v>
      </c>
      <c r="D568" t="s">
        <v>19</v>
      </c>
      <c r="E568" t="s">
        <v>22</v>
      </c>
      <c r="F568" s="2">
        <v>13427</v>
      </c>
      <c r="G568" s="2">
        <f>Monthly_Growth!$C$6</f>
        <v>792630</v>
      </c>
      <c r="H568" s="5">
        <f>Monthly_Growth!$D$6</f>
        <v>-0.11231589875453428</v>
      </c>
      <c r="I568" s="15">
        <f>Yearly_Growth!$C$2</f>
        <v>5.0333827436586778E-2</v>
      </c>
      <c r="J568" s="15">
        <f>Yearly_Growth!$D$2</f>
        <v>0.03</v>
      </c>
      <c r="K568">
        <f>Sales_Per_Representative!$C$8</f>
        <v>649456</v>
      </c>
      <c r="L568">
        <f>Sales_Per_Rep_Yearly_Goal!$B$2</f>
        <v>665544.80000000005</v>
      </c>
      <c r="M568">
        <f>Sales_Per_Rep_Yearly_Goal!$C$2</f>
        <v>650000</v>
      </c>
    </row>
    <row r="569" spans="1:13" x14ac:dyDescent="0.3">
      <c r="A569" s="3">
        <v>45077</v>
      </c>
      <c r="B569">
        <f t="shared" si="8"/>
        <v>2023</v>
      </c>
      <c r="C569">
        <v>5</v>
      </c>
      <c r="D569" t="s">
        <v>28</v>
      </c>
      <c r="E569" t="s">
        <v>22</v>
      </c>
      <c r="F569" s="2">
        <v>6453</v>
      </c>
      <c r="G569" s="2">
        <f>Monthly_Growth!$C$6</f>
        <v>792630</v>
      </c>
      <c r="H569" s="5">
        <f>Monthly_Growth!$D$6</f>
        <v>-0.11231589875453428</v>
      </c>
      <c r="I569" s="15">
        <f>Yearly_Growth!$C$2</f>
        <v>5.0333827436586778E-2</v>
      </c>
      <c r="J569" s="15">
        <f>Yearly_Growth!$D$2</f>
        <v>0.03</v>
      </c>
      <c r="K569">
        <f>Sales_Per_Representative!$C$8</f>
        <v>649456</v>
      </c>
      <c r="L569">
        <f>Sales_Per_Rep_Yearly_Goal!$B$2</f>
        <v>665544.80000000005</v>
      </c>
      <c r="M569">
        <f>Sales_Per_Rep_Yearly_Goal!$C$2</f>
        <v>650000</v>
      </c>
    </row>
    <row r="570" spans="1:13" x14ac:dyDescent="0.3">
      <c r="A570" s="3">
        <v>45077</v>
      </c>
      <c r="B570">
        <f t="shared" si="8"/>
        <v>2023</v>
      </c>
      <c r="C570">
        <v>5</v>
      </c>
      <c r="D570" t="s">
        <v>12</v>
      </c>
      <c r="E570" t="s">
        <v>20</v>
      </c>
      <c r="F570" s="2">
        <v>3238</v>
      </c>
      <c r="G570" s="2">
        <f>Monthly_Growth!$C$6</f>
        <v>792630</v>
      </c>
      <c r="H570" s="5">
        <f>Monthly_Growth!$D$6</f>
        <v>-0.11231589875453428</v>
      </c>
      <c r="I570" s="15">
        <f>Yearly_Growth!$C$2</f>
        <v>5.0333827436586778E-2</v>
      </c>
      <c r="J570" s="15">
        <f>Yearly_Growth!$D$2</f>
        <v>0.03</v>
      </c>
      <c r="K570">
        <f>Sales_Per_Representative!$C$14</f>
        <v>675530</v>
      </c>
      <c r="L570">
        <f>Sales_Per_Rep_Yearly_Goal!$B$2</f>
        <v>665544.80000000005</v>
      </c>
      <c r="M570">
        <f>Sales_Per_Rep_Yearly_Goal!$C$2</f>
        <v>650000</v>
      </c>
    </row>
    <row r="571" spans="1:13" x14ac:dyDescent="0.3">
      <c r="A571" s="3">
        <v>45077</v>
      </c>
      <c r="B571">
        <f t="shared" si="8"/>
        <v>2023</v>
      </c>
      <c r="C571">
        <v>5</v>
      </c>
      <c r="D571" t="s">
        <v>12</v>
      </c>
      <c r="E571" t="s">
        <v>33</v>
      </c>
      <c r="F571" s="2">
        <v>13383</v>
      </c>
      <c r="G571" s="2">
        <f>Monthly_Growth!$C$6</f>
        <v>792630</v>
      </c>
      <c r="H571" s="5">
        <f>Monthly_Growth!$D$6</f>
        <v>-0.11231589875453428</v>
      </c>
      <c r="I571" s="15">
        <f>Yearly_Growth!$C$2</f>
        <v>5.0333827436586778E-2</v>
      </c>
      <c r="J571" s="15">
        <f>Yearly_Growth!$D$2</f>
        <v>0.03</v>
      </c>
      <c r="K571">
        <f>Sales_Per_Representative!$C$11</f>
        <v>496886</v>
      </c>
      <c r="L571">
        <f>Sales_Per_Rep_Yearly_Goal!$B$2</f>
        <v>665544.80000000005</v>
      </c>
      <c r="M571">
        <f>Sales_Per_Rep_Yearly_Goal!$C$2</f>
        <v>650000</v>
      </c>
    </row>
    <row r="572" spans="1:13" x14ac:dyDescent="0.3">
      <c r="A572" s="3">
        <v>45079</v>
      </c>
      <c r="B572">
        <f t="shared" si="8"/>
        <v>2023</v>
      </c>
      <c r="C572">
        <v>6</v>
      </c>
      <c r="D572" t="s">
        <v>23</v>
      </c>
      <c r="E572" t="s">
        <v>18</v>
      </c>
      <c r="F572" s="2">
        <v>2936</v>
      </c>
      <c r="G572" s="2">
        <f>Monthly_Growth!$C$7</f>
        <v>737613</v>
      </c>
      <c r="H572" s="5">
        <f>Monthly_Growth!$D$7</f>
        <v>-6.9410696037243105E-2</v>
      </c>
      <c r="I572" s="15">
        <f>Yearly_Growth!$C$2</f>
        <v>5.0333827436586778E-2</v>
      </c>
      <c r="J572" s="15">
        <f>Yearly_Growth!$D$2</f>
        <v>0.03</v>
      </c>
      <c r="K572">
        <f>Sales_Per_Representative!$C$9</f>
        <v>550835</v>
      </c>
      <c r="L572">
        <f>Sales_Per_Rep_Yearly_Goal!$B$2</f>
        <v>665544.80000000005</v>
      </c>
      <c r="M572">
        <f>Sales_Per_Rep_Yearly_Goal!$C$2</f>
        <v>650000</v>
      </c>
    </row>
    <row r="573" spans="1:13" x14ac:dyDescent="0.3">
      <c r="A573" s="3">
        <v>45079</v>
      </c>
      <c r="B573">
        <f t="shared" si="8"/>
        <v>2023</v>
      </c>
      <c r="C573">
        <v>6</v>
      </c>
      <c r="D573" t="s">
        <v>25</v>
      </c>
      <c r="E573" t="s">
        <v>33</v>
      </c>
      <c r="F573" s="2">
        <v>1733</v>
      </c>
      <c r="G573" s="2">
        <f>Monthly_Growth!$C$7</f>
        <v>737613</v>
      </c>
      <c r="H573" s="5">
        <f>Monthly_Growth!$D$7</f>
        <v>-6.9410696037243105E-2</v>
      </c>
      <c r="I573" s="15">
        <f>Yearly_Growth!$C$2</f>
        <v>5.0333827436586778E-2</v>
      </c>
      <c r="J573" s="15">
        <f>Yearly_Growth!$D$2</f>
        <v>0.03</v>
      </c>
      <c r="K573">
        <f>Sales_Per_Representative!$C$11</f>
        <v>496886</v>
      </c>
      <c r="L573">
        <f>Sales_Per_Rep_Yearly_Goal!$B$2</f>
        <v>665544.80000000005</v>
      </c>
      <c r="M573">
        <f>Sales_Per_Rep_Yearly_Goal!$C$2</f>
        <v>650000</v>
      </c>
    </row>
    <row r="574" spans="1:13" x14ac:dyDescent="0.3">
      <c r="A574" s="3">
        <v>45079</v>
      </c>
      <c r="B574">
        <f t="shared" si="8"/>
        <v>2023</v>
      </c>
      <c r="C574">
        <v>6</v>
      </c>
      <c r="D574" t="s">
        <v>25</v>
      </c>
      <c r="E574" t="s">
        <v>32</v>
      </c>
      <c r="F574" s="2">
        <v>6375</v>
      </c>
      <c r="G574" s="2">
        <f>Monthly_Growth!$C$7</f>
        <v>737613</v>
      </c>
      <c r="H574" s="5">
        <f>Monthly_Growth!$D$7</f>
        <v>-6.9410696037243105E-2</v>
      </c>
      <c r="I574" s="15">
        <f>Yearly_Growth!$C$2</f>
        <v>5.0333827436586778E-2</v>
      </c>
      <c r="J574" s="15">
        <f>Yearly_Growth!$D$2</f>
        <v>0.03</v>
      </c>
      <c r="K574">
        <f>Sales_Per_Representative!$C$3</f>
        <v>762157</v>
      </c>
      <c r="L574">
        <f>Sales_Per_Rep_Yearly_Goal!$B$2</f>
        <v>665544.80000000005</v>
      </c>
      <c r="M574">
        <f>Sales_Per_Rep_Yearly_Goal!$C$2</f>
        <v>650000</v>
      </c>
    </row>
    <row r="575" spans="1:13" x14ac:dyDescent="0.3">
      <c r="A575" s="3">
        <v>45079</v>
      </c>
      <c r="B575">
        <f t="shared" si="8"/>
        <v>2023</v>
      </c>
      <c r="C575">
        <v>6</v>
      </c>
      <c r="D575" t="s">
        <v>28</v>
      </c>
      <c r="E575" t="s">
        <v>31</v>
      </c>
      <c r="F575" s="2">
        <v>5149</v>
      </c>
      <c r="G575" s="2">
        <f>Monthly_Growth!$C$7</f>
        <v>737613</v>
      </c>
      <c r="H575" s="5">
        <f>Monthly_Growth!$D$7</f>
        <v>-6.9410696037243105E-2</v>
      </c>
      <c r="I575" s="15">
        <f>Yearly_Growth!$C$2</f>
        <v>5.0333827436586778E-2</v>
      </c>
      <c r="J575" s="15">
        <f>Yearly_Growth!$D$2</f>
        <v>0.03</v>
      </c>
      <c r="K575">
        <f>Sales_Per_Representative!$C$6</f>
        <v>727823</v>
      </c>
      <c r="L575">
        <f>Sales_Per_Rep_Yearly_Goal!$B$2</f>
        <v>665544.80000000005</v>
      </c>
      <c r="M575">
        <f>Sales_Per_Rep_Yearly_Goal!$C$2</f>
        <v>650000</v>
      </c>
    </row>
    <row r="576" spans="1:13" x14ac:dyDescent="0.3">
      <c r="A576" s="3">
        <v>45079</v>
      </c>
      <c r="B576">
        <f t="shared" si="8"/>
        <v>2023</v>
      </c>
      <c r="C576">
        <v>6</v>
      </c>
      <c r="D576" t="s">
        <v>17</v>
      </c>
      <c r="E576" t="s">
        <v>8</v>
      </c>
      <c r="F576" s="2">
        <v>6816</v>
      </c>
      <c r="G576" s="2">
        <f>Monthly_Growth!$C$7</f>
        <v>737613</v>
      </c>
      <c r="H576" s="5">
        <f>Monthly_Growth!$D$7</f>
        <v>-6.9410696037243105E-2</v>
      </c>
      <c r="I576" s="15">
        <f>Yearly_Growth!$C$2</f>
        <v>5.0333827436586778E-2</v>
      </c>
      <c r="J576" s="15">
        <f>Yearly_Growth!$D$2</f>
        <v>0.03</v>
      </c>
      <c r="K576">
        <f>Sales_Per_Representative!$C$15</f>
        <v>701242</v>
      </c>
      <c r="L576">
        <f>Sales_Per_Rep_Yearly_Goal!$B$2</f>
        <v>665544.80000000005</v>
      </c>
      <c r="M576">
        <f>Sales_Per_Rep_Yearly_Goal!$C$2</f>
        <v>650000</v>
      </c>
    </row>
    <row r="577" spans="1:13" x14ac:dyDescent="0.3">
      <c r="A577" s="3">
        <v>45079</v>
      </c>
      <c r="B577">
        <f t="shared" si="8"/>
        <v>2023</v>
      </c>
      <c r="C577">
        <v>6</v>
      </c>
      <c r="D577" t="s">
        <v>17</v>
      </c>
      <c r="E577" t="s">
        <v>29</v>
      </c>
      <c r="F577" s="2">
        <v>2051</v>
      </c>
      <c r="G577" s="2">
        <f>Monthly_Growth!$C$7</f>
        <v>737613</v>
      </c>
      <c r="H577" s="5">
        <f>Monthly_Growth!$D$7</f>
        <v>-6.9410696037243105E-2</v>
      </c>
      <c r="I577" s="15">
        <f>Yearly_Growth!$C$2</f>
        <v>5.0333827436586778E-2</v>
      </c>
      <c r="J577" s="15">
        <f>Yearly_Growth!$D$2</f>
        <v>0.03</v>
      </c>
      <c r="K577">
        <f>Sales_Per_Representative!$C$13</f>
        <v>621548</v>
      </c>
      <c r="L577">
        <f>Sales_Per_Rep_Yearly_Goal!$B$2</f>
        <v>665544.80000000005</v>
      </c>
      <c r="M577">
        <f>Sales_Per_Rep_Yearly_Goal!$C$2</f>
        <v>650000</v>
      </c>
    </row>
    <row r="578" spans="1:13" x14ac:dyDescent="0.3">
      <c r="A578" s="3">
        <v>45080</v>
      </c>
      <c r="B578">
        <f t="shared" si="8"/>
        <v>2023</v>
      </c>
      <c r="C578">
        <v>6</v>
      </c>
      <c r="D578" t="s">
        <v>17</v>
      </c>
      <c r="E578" t="s">
        <v>33</v>
      </c>
      <c r="F578" s="2">
        <v>7051</v>
      </c>
      <c r="G578" s="2">
        <f>Monthly_Growth!$C$7</f>
        <v>737613</v>
      </c>
      <c r="H578" s="5">
        <f>Monthly_Growth!$D$7</f>
        <v>-6.9410696037243105E-2</v>
      </c>
      <c r="I578" s="15">
        <f>Yearly_Growth!$C$2</f>
        <v>5.0333827436586778E-2</v>
      </c>
      <c r="J578" s="15">
        <f>Yearly_Growth!$D$2</f>
        <v>0.03</v>
      </c>
      <c r="K578">
        <f>Sales_Per_Representative!$C$11</f>
        <v>496886</v>
      </c>
      <c r="L578">
        <f>Sales_Per_Rep_Yearly_Goal!$B$2</f>
        <v>665544.80000000005</v>
      </c>
      <c r="M578">
        <f>Sales_Per_Rep_Yearly_Goal!$C$2</f>
        <v>650000</v>
      </c>
    </row>
    <row r="579" spans="1:13" x14ac:dyDescent="0.3">
      <c r="A579" s="3">
        <v>45080</v>
      </c>
      <c r="B579">
        <f t="shared" ref="B579:B642" si="9">YEAR(A579)</f>
        <v>2023</v>
      </c>
      <c r="C579">
        <v>6</v>
      </c>
      <c r="D579" t="s">
        <v>12</v>
      </c>
      <c r="E579" t="s">
        <v>20</v>
      </c>
      <c r="F579" s="2">
        <v>7139</v>
      </c>
      <c r="G579" s="2">
        <f>Monthly_Growth!$C$7</f>
        <v>737613</v>
      </c>
      <c r="H579" s="5">
        <f>Monthly_Growth!$D$7</f>
        <v>-6.9410696037243105E-2</v>
      </c>
      <c r="I579" s="15">
        <f>Yearly_Growth!$C$2</f>
        <v>5.0333827436586778E-2</v>
      </c>
      <c r="J579" s="15">
        <f>Yearly_Growth!$D$2</f>
        <v>0.03</v>
      </c>
      <c r="K579">
        <f>Sales_Per_Representative!$C$14</f>
        <v>675530</v>
      </c>
      <c r="L579">
        <f>Sales_Per_Rep_Yearly_Goal!$B$2</f>
        <v>665544.80000000005</v>
      </c>
      <c r="M579">
        <f>Sales_Per_Rep_Yearly_Goal!$C$2</f>
        <v>650000</v>
      </c>
    </row>
    <row r="580" spans="1:13" x14ac:dyDescent="0.3">
      <c r="A580" s="3">
        <v>45081</v>
      </c>
      <c r="B580">
        <f t="shared" si="9"/>
        <v>2023</v>
      </c>
      <c r="C580">
        <v>6</v>
      </c>
      <c r="D580" t="s">
        <v>14</v>
      </c>
      <c r="E580" t="s">
        <v>10</v>
      </c>
      <c r="F580" s="2">
        <v>12454</v>
      </c>
      <c r="G580" s="2">
        <f>Monthly_Growth!$C$7</f>
        <v>737613</v>
      </c>
      <c r="H580" s="5">
        <f>Monthly_Growth!$D$7</f>
        <v>-6.9410696037243105E-2</v>
      </c>
      <c r="I580" s="15">
        <f>Yearly_Growth!$C$2</f>
        <v>5.0333827436586778E-2</v>
      </c>
      <c r="J580" s="15">
        <f>Yearly_Growth!$D$2</f>
        <v>0.03</v>
      </c>
      <c r="K580">
        <f>Sales_Per_Representative!$C$4</f>
        <v>725713</v>
      </c>
      <c r="L580">
        <f>Sales_Per_Rep_Yearly_Goal!$B$2</f>
        <v>665544.80000000005</v>
      </c>
      <c r="M580">
        <f>Sales_Per_Rep_Yearly_Goal!$C$2</f>
        <v>650000</v>
      </c>
    </row>
    <row r="581" spans="1:13" x14ac:dyDescent="0.3">
      <c r="A581" s="3">
        <v>45081</v>
      </c>
      <c r="B581">
        <f t="shared" si="9"/>
        <v>2023</v>
      </c>
      <c r="C581">
        <v>6</v>
      </c>
      <c r="D581" t="s">
        <v>14</v>
      </c>
      <c r="E581" t="s">
        <v>20</v>
      </c>
      <c r="F581" s="2">
        <v>13384</v>
      </c>
      <c r="G581" s="2">
        <f>Monthly_Growth!$C$7</f>
        <v>737613</v>
      </c>
      <c r="H581" s="5">
        <f>Monthly_Growth!$D$7</f>
        <v>-6.9410696037243105E-2</v>
      </c>
      <c r="I581" s="15">
        <f>Yearly_Growth!$C$2</f>
        <v>5.0333827436586778E-2</v>
      </c>
      <c r="J581" s="15">
        <f>Yearly_Growth!$D$2</f>
        <v>0.03</v>
      </c>
      <c r="K581">
        <f>Sales_Per_Representative!$C$14</f>
        <v>675530</v>
      </c>
      <c r="L581">
        <f>Sales_Per_Rep_Yearly_Goal!$B$2</f>
        <v>665544.80000000005</v>
      </c>
      <c r="M581">
        <f>Sales_Per_Rep_Yearly_Goal!$C$2</f>
        <v>650000</v>
      </c>
    </row>
    <row r="582" spans="1:13" x14ac:dyDescent="0.3">
      <c r="A582" s="3">
        <v>45081</v>
      </c>
      <c r="B582">
        <f t="shared" si="9"/>
        <v>2023</v>
      </c>
      <c r="C582">
        <v>6</v>
      </c>
      <c r="D582" t="s">
        <v>19</v>
      </c>
      <c r="E582" t="s">
        <v>27</v>
      </c>
      <c r="F582" s="2">
        <v>7551</v>
      </c>
      <c r="G582" s="2">
        <f>Monthly_Growth!$C$7</f>
        <v>737613</v>
      </c>
      <c r="H582" s="5">
        <f>Monthly_Growth!$D$7</f>
        <v>-6.9410696037243105E-2</v>
      </c>
      <c r="I582" s="15">
        <f>Yearly_Growth!$C$2</f>
        <v>5.0333827436586778E-2</v>
      </c>
      <c r="J582" s="15">
        <f>Yearly_Growth!$D$2</f>
        <v>0.03</v>
      </c>
      <c r="K582">
        <f>Sales_Per_Representative!$C$5</f>
        <v>747962</v>
      </c>
      <c r="L582">
        <f>Sales_Per_Rep_Yearly_Goal!$B$2</f>
        <v>665544.80000000005</v>
      </c>
      <c r="M582">
        <f>Sales_Per_Rep_Yearly_Goal!$C$2</f>
        <v>650000</v>
      </c>
    </row>
    <row r="583" spans="1:13" x14ac:dyDescent="0.3">
      <c r="A583" s="3">
        <v>45081</v>
      </c>
      <c r="B583">
        <f t="shared" si="9"/>
        <v>2023</v>
      </c>
      <c r="C583">
        <v>6</v>
      </c>
      <c r="D583" t="s">
        <v>7</v>
      </c>
      <c r="E583" t="s">
        <v>22</v>
      </c>
      <c r="F583" s="2">
        <v>9805</v>
      </c>
      <c r="G583" s="2">
        <f>Monthly_Growth!$C$7</f>
        <v>737613</v>
      </c>
      <c r="H583" s="5">
        <f>Monthly_Growth!$D$7</f>
        <v>-6.9410696037243105E-2</v>
      </c>
      <c r="I583" s="15">
        <f>Yearly_Growth!$C$2</f>
        <v>5.0333827436586778E-2</v>
      </c>
      <c r="J583" s="15">
        <f>Yearly_Growth!$D$2</f>
        <v>0.03</v>
      </c>
      <c r="K583">
        <f>Sales_Per_Representative!$C$8</f>
        <v>649456</v>
      </c>
      <c r="L583">
        <f>Sales_Per_Rep_Yearly_Goal!$B$2</f>
        <v>665544.80000000005</v>
      </c>
      <c r="M583">
        <f>Sales_Per_Rep_Yearly_Goal!$C$2</f>
        <v>650000</v>
      </c>
    </row>
    <row r="584" spans="1:13" x14ac:dyDescent="0.3">
      <c r="A584" s="3">
        <v>45081</v>
      </c>
      <c r="B584">
        <f t="shared" si="9"/>
        <v>2023</v>
      </c>
      <c r="C584">
        <v>6</v>
      </c>
      <c r="D584" t="s">
        <v>7</v>
      </c>
      <c r="E584" t="s">
        <v>18</v>
      </c>
      <c r="F584" s="2">
        <v>7487</v>
      </c>
      <c r="G584" s="2">
        <f>Monthly_Growth!$C$7</f>
        <v>737613</v>
      </c>
      <c r="H584" s="5">
        <f>Monthly_Growth!$D$7</f>
        <v>-6.9410696037243105E-2</v>
      </c>
      <c r="I584" s="15">
        <f>Yearly_Growth!$C$2</f>
        <v>5.0333827436586778E-2</v>
      </c>
      <c r="J584" s="15">
        <f>Yearly_Growth!$D$2</f>
        <v>0.03</v>
      </c>
      <c r="K584">
        <f>Sales_Per_Representative!$C$9</f>
        <v>550835</v>
      </c>
      <c r="L584">
        <f>Sales_Per_Rep_Yearly_Goal!$B$2</f>
        <v>665544.80000000005</v>
      </c>
      <c r="M584">
        <f>Sales_Per_Rep_Yearly_Goal!$C$2</f>
        <v>650000</v>
      </c>
    </row>
    <row r="585" spans="1:13" x14ac:dyDescent="0.3">
      <c r="A585" s="3">
        <v>45081</v>
      </c>
      <c r="B585">
        <f t="shared" si="9"/>
        <v>2023</v>
      </c>
      <c r="C585">
        <v>6</v>
      </c>
      <c r="D585" t="s">
        <v>28</v>
      </c>
      <c r="E585" t="s">
        <v>27</v>
      </c>
      <c r="F585" s="2">
        <v>8105</v>
      </c>
      <c r="G585" s="2">
        <f>Monthly_Growth!$C$7</f>
        <v>737613</v>
      </c>
      <c r="H585" s="5">
        <f>Monthly_Growth!$D$7</f>
        <v>-6.9410696037243105E-2</v>
      </c>
      <c r="I585" s="15">
        <f>Yearly_Growth!$C$2</f>
        <v>5.0333827436586778E-2</v>
      </c>
      <c r="J585" s="15">
        <f>Yearly_Growth!$D$2</f>
        <v>0.03</v>
      </c>
      <c r="K585">
        <f>Sales_Per_Representative!$C$5</f>
        <v>747962</v>
      </c>
      <c r="L585">
        <f>Sales_Per_Rep_Yearly_Goal!$B$2</f>
        <v>665544.80000000005</v>
      </c>
      <c r="M585">
        <f>Sales_Per_Rep_Yearly_Goal!$C$2</f>
        <v>650000</v>
      </c>
    </row>
    <row r="586" spans="1:13" x14ac:dyDescent="0.3">
      <c r="A586" s="3">
        <v>45082</v>
      </c>
      <c r="B586">
        <f t="shared" si="9"/>
        <v>2023</v>
      </c>
      <c r="C586">
        <v>6</v>
      </c>
      <c r="D586" t="s">
        <v>17</v>
      </c>
      <c r="E586" t="s">
        <v>10</v>
      </c>
      <c r="F586" s="2">
        <v>7163</v>
      </c>
      <c r="G586" s="2">
        <f>Monthly_Growth!$C$7</f>
        <v>737613</v>
      </c>
      <c r="H586" s="5">
        <f>Monthly_Growth!$D$7</f>
        <v>-6.9410696037243105E-2</v>
      </c>
      <c r="I586" s="15">
        <f>Yearly_Growth!$C$2</f>
        <v>5.0333827436586778E-2</v>
      </c>
      <c r="J586" s="15">
        <f>Yearly_Growth!$D$2</f>
        <v>0.03</v>
      </c>
      <c r="K586">
        <f>Sales_Per_Representative!$C$4</f>
        <v>725713</v>
      </c>
      <c r="L586">
        <f>Sales_Per_Rep_Yearly_Goal!$B$2</f>
        <v>665544.80000000005</v>
      </c>
      <c r="M586">
        <f>Sales_Per_Rep_Yearly_Goal!$C$2</f>
        <v>650000</v>
      </c>
    </row>
    <row r="587" spans="1:13" x14ac:dyDescent="0.3">
      <c r="A587" s="3">
        <v>45082</v>
      </c>
      <c r="B587">
        <f t="shared" si="9"/>
        <v>2023</v>
      </c>
      <c r="C587">
        <v>6</v>
      </c>
      <c r="D587" t="s">
        <v>17</v>
      </c>
      <c r="E587" t="s">
        <v>8</v>
      </c>
      <c r="F587" s="2">
        <v>8532</v>
      </c>
      <c r="G587" s="2">
        <f>Monthly_Growth!$C$7</f>
        <v>737613</v>
      </c>
      <c r="H587" s="5">
        <f>Monthly_Growth!$D$7</f>
        <v>-6.9410696037243105E-2</v>
      </c>
      <c r="I587" s="15">
        <f>Yearly_Growth!$C$2</f>
        <v>5.0333827436586778E-2</v>
      </c>
      <c r="J587" s="15">
        <f>Yearly_Growth!$D$2</f>
        <v>0.03</v>
      </c>
      <c r="K587">
        <f>Sales_Per_Representative!$C$15</f>
        <v>701242</v>
      </c>
      <c r="L587">
        <f>Sales_Per_Rep_Yearly_Goal!$B$2</f>
        <v>665544.80000000005</v>
      </c>
      <c r="M587">
        <f>Sales_Per_Rep_Yearly_Goal!$C$2</f>
        <v>650000</v>
      </c>
    </row>
    <row r="588" spans="1:13" x14ac:dyDescent="0.3">
      <c r="A588" s="3">
        <v>45083</v>
      </c>
      <c r="B588">
        <f t="shared" si="9"/>
        <v>2023</v>
      </c>
      <c r="C588">
        <v>6</v>
      </c>
      <c r="D588" t="s">
        <v>19</v>
      </c>
      <c r="E588" t="s">
        <v>33</v>
      </c>
      <c r="F588" s="2">
        <v>2264</v>
      </c>
      <c r="G588" s="2">
        <f>Monthly_Growth!$C$7</f>
        <v>737613</v>
      </c>
      <c r="H588" s="5">
        <f>Monthly_Growth!$D$7</f>
        <v>-6.9410696037243105E-2</v>
      </c>
      <c r="I588" s="15">
        <f>Yearly_Growth!$C$2</f>
        <v>5.0333827436586778E-2</v>
      </c>
      <c r="J588" s="15">
        <f>Yearly_Growth!$D$2</f>
        <v>0.03</v>
      </c>
      <c r="K588">
        <f>Sales_Per_Representative!$C$11</f>
        <v>496886</v>
      </c>
      <c r="L588">
        <f>Sales_Per_Rep_Yearly_Goal!$B$2</f>
        <v>665544.80000000005</v>
      </c>
      <c r="M588">
        <f>Sales_Per_Rep_Yearly_Goal!$C$2</f>
        <v>650000</v>
      </c>
    </row>
    <row r="589" spans="1:13" x14ac:dyDescent="0.3">
      <c r="A589" s="3">
        <v>45083</v>
      </c>
      <c r="B589">
        <f t="shared" si="9"/>
        <v>2023</v>
      </c>
      <c r="C589">
        <v>6</v>
      </c>
      <c r="D589" t="s">
        <v>25</v>
      </c>
      <c r="E589" t="s">
        <v>15</v>
      </c>
      <c r="F589" s="2">
        <v>9370</v>
      </c>
      <c r="G589" s="2">
        <f>Monthly_Growth!$C$7</f>
        <v>737613</v>
      </c>
      <c r="H589" s="5">
        <f>Monthly_Growth!$D$7</f>
        <v>-6.9410696037243105E-2</v>
      </c>
      <c r="I589" s="15">
        <f>Yearly_Growth!$C$2</f>
        <v>5.0333827436586778E-2</v>
      </c>
      <c r="J589" s="15">
        <f>Yearly_Growth!$D$2</f>
        <v>0.03</v>
      </c>
      <c r="K589">
        <f>Sales_Per_Representative!$C$12</f>
        <v>656359</v>
      </c>
      <c r="L589">
        <f>Sales_Per_Rep_Yearly_Goal!$B$2</f>
        <v>665544.80000000005</v>
      </c>
      <c r="M589">
        <f>Sales_Per_Rep_Yearly_Goal!$C$2</f>
        <v>650000</v>
      </c>
    </row>
    <row r="590" spans="1:13" x14ac:dyDescent="0.3">
      <c r="A590" s="3">
        <v>45083</v>
      </c>
      <c r="B590">
        <f t="shared" si="9"/>
        <v>2023</v>
      </c>
      <c r="C590">
        <v>6</v>
      </c>
      <c r="D590" t="s">
        <v>7</v>
      </c>
      <c r="E590" t="s">
        <v>10</v>
      </c>
      <c r="F590" s="2">
        <v>6567</v>
      </c>
      <c r="G590" s="2">
        <f>Monthly_Growth!$C$7</f>
        <v>737613</v>
      </c>
      <c r="H590" s="5">
        <f>Monthly_Growth!$D$7</f>
        <v>-6.9410696037243105E-2</v>
      </c>
      <c r="I590" s="15">
        <f>Yearly_Growth!$C$2</f>
        <v>5.0333827436586778E-2</v>
      </c>
      <c r="J590" s="15">
        <f>Yearly_Growth!$D$2</f>
        <v>0.03</v>
      </c>
      <c r="K590">
        <f>Sales_Per_Representative!$C$4</f>
        <v>725713</v>
      </c>
      <c r="L590">
        <f>Sales_Per_Rep_Yearly_Goal!$B$2</f>
        <v>665544.80000000005</v>
      </c>
      <c r="M590">
        <f>Sales_Per_Rep_Yearly_Goal!$C$2</f>
        <v>650000</v>
      </c>
    </row>
    <row r="591" spans="1:13" x14ac:dyDescent="0.3">
      <c r="A591" s="3">
        <v>45083</v>
      </c>
      <c r="B591">
        <f t="shared" si="9"/>
        <v>2023</v>
      </c>
      <c r="C591">
        <v>6</v>
      </c>
      <c r="D591" t="s">
        <v>28</v>
      </c>
      <c r="E591" t="s">
        <v>31</v>
      </c>
      <c r="F591" s="2">
        <v>6848</v>
      </c>
      <c r="G591" s="2">
        <f>Monthly_Growth!$C$7</f>
        <v>737613</v>
      </c>
      <c r="H591" s="5">
        <f>Monthly_Growth!$D$7</f>
        <v>-6.9410696037243105E-2</v>
      </c>
      <c r="I591" s="15">
        <f>Yearly_Growth!$C$2</f>
        <v>5.0333827436586778E-2</v>
      </c>
      <c r="J591" s="15">
        <f>Yearly_Growth!$D$2</f>
        <v>0.03</v>
      </c>
      <c r="K591">
        <f>Sales_Per_Representative!$C$6</f>
        <v>727823</v>
      </c>
      <c r="L591">
        <f>Sales_Per_Rep_Yearly_Goal!$B$2</f>
        <v>665544.80000000005</v>
      </c>
      <c r="M591">
        <f>Sales_Per_Rep_Yearly_Goal!$C$2</f>
        <v>650000</v>
      </c>
    </row>
    <row r="592" spans="1:13" x14ac:dyDescent="0.3">
      <c r="A592" s="3">
        <v>45083</v>
      </c>
      <c r="B592">
        <f t="shared" si="9"/>
        <v>2023</v>
      </c>
      <c r="C592">
        <v>6</v>
      </c>
      <c r="D592" t="s">
        <v>28</v>
      </c>
      <c r="E592" t="s">
        <v>15</v>
      </c>
      <c r="F592" s="2">
        <v>13226</v>
      </c>
      <c r="G592" s="2">
        <f>Monthly_Growth!$C$7</f>
        <v>737613</v>
      </c>
      <c r="H592" s="5">
        <f>Monthly_Growth!$D$7</f>
        <v>-6.9410696037243105E-2</v>
      </c>
      <c r="I592" s="15">
        <f>Yearly_Growth!$C$2</f>
        <v>5.0333827436586778E-2</v>
      </c>
      <c r="J592" s="15">
        <f>Yearly_Growth!$D$2</f>
        <v>0.03</v>
      </c>
      <c r="K592">
        <f>Sales_Per_Representative!$C$12</f>
        <v>656359</v>
      </c>
      <c r="L592">
        <f>Sales_Per_Rep_Yearly_Goal!$B$2</f>
        <v>665544.80000000005</v>
      </c>
      <c r="M592">
        <f>Sales_Per_Rep_Yearly_Goal!$C$2</f>
        <v>650000</v>
      </c>
    </row>
    <row r="593" spans="1:13" x14ac:dyDescent="0.3">
      <c r="A593" s="3">
        <v>45083</v>
      </c>
      <c r="B593">
        <f t="shared" si="9"/>
        <v>2023</v>
      </c>
      <c r="C593">
        <v>6</v>
      </c>
      <c r="D593" t="s">
        <v>12</v>
      </c>
      <c r="E593" t="s">
        <v>22</v>
      </c>
      <c r="F593" s="2">
        <v>9287</v>
      </c>
      <c r="G593" s="2">
        <f>Monthly_Growth!$C$7</f>
        <v>737613</v>
      </c>
      <c r="H593" s="5">
        <f>Monthly_Growth!$D$7</f>
        <v>-6.9410696037243105E-2</v>
      </c>
      <c r="I593" s="15">
        <f>Yearly_Growth!$C$2</f>
        <v>5.0333827436586778E-2</v>
      </c>
      <c r="J593" s="15">
        <f>Yearly_Growth!$D$2</f>
        <v>0.03</v>
      </c>
      <c r="K593">
        <f>Sales_Per_Representative!$C$8</f>
        <v>649456</v>
      </c>
      <c r="L593">
        <f>Sales_Per_Rep_Yearly_Goal!$B$2</f>
        <v>665544.80000000005</v>
      </c>
      <c r="M593">
        <f>Sales_Per_Rep_Yearly_Goal!$C$2</f>
        <v>650000</v>
      </c>
    </row>
    <row r="594" spans="1:13" x14ac:dyDescent="0.3">
      <c r="A594" s="3">
        <v>45084</v>
      </c>
      <c r="B594">
        <f t="shared" si="9"/>
        <v>2023</v>
      </c>
      <c r="C594">
        <v>6</v>
      </c>
      <c r="D594" t="s">
        <v>19</v>
      </c>
      <c r="E594" t="s">
        <v>8</v>
      </c>
      <c r="F594" s="2">
        <v>2732</v>
      </c>
      <c r="G594" s="2">
        <f>Monthly_Growth!$C$7</f>
        <v>737613</v>
      </c>
      <c r="H594" s="5">
        <f>Monthly_Growth!$D$7</f>
        <v>-6.9410696037243105E-2</v>
      </c>
      <c r="I594" s="15">
        <f>Yearly_Growth!$C$2</f>
        <v>5.0333827436586778E-2</v>
      </c>
      <c r="J594" s="15">
        <f>Yearly_Growth!$D$2</f>
        <v>0.03</v>
      </c>
      <c r="K594">
        <f>Sales_Per_Representative!$C$15</f>
        <v>701242</v>
      </c>
      <c r="L594">
        <f>Sales_Per_Rep_Yearly_Goal!$B$2</f>
        <v>665544.80000000005</v>
      </c>
      <c r="M594">
        <f>Sales_Per_Rep_Yearly_Goal!$C$2</f>
        <v>650000</v>
      </c>
    </row>
    <row r="595" spans="1:13" x14ac:dyDescent="0.3">
      <c r="A595" s="3">
        <v>45084</v>
      </c>
      <c r="B595">
        <f t="shared" si="9"/>
        <v>2023</v>
      </c>
      <c r="C595">
        <v>6</v>
      </c>
      <c r="D595" t="s">
        <v>19</v>
      </c>
      <c r="E595" t="s">
        <v>20</v>
      </c>
      <c r="F595" s="2">
        <v>9933</v>
      </c>
      <c r="G595" s="2">
        <f>Monthly_Growth!$C$7</f>
        <v>737613</v>
      </c>
      <c r="H595" s="5">
        <f>Monthly_Growth!$D$7</f>
        <v>-6.9410696037243105E-2</v>
      </c>
      <c r="I595" s="15">
        <f>Yearly_Growth!$C$2</f>
        <v>5.0333827436586778E-2</v>
      </c>
      <c r="J595" s="15">
        <f>Yearly_Growth!$D$2</f>
        <v>0.03</v>
      </c>
      <c r="K595">
        <f>Sales_Per_Representative!$C$14</f>
        <v>675530</v>
      </c>
      <c r="L595">
        <f>Sales_Per_Rep_Yearly_Goal!$B$2</f>
        <v>665544.80000000005</v>
      </c>
      <c r="M595">
        <f>Sales_Per_Rep_Yearly_Goal!$C$2</f>
        <v>650000</v>
      </c>
    </row>
    <row r="596" spans="1:13" x14ac:dyDescent="0.3">
      <c r="A596" s="3">
        <v>45084</v>
      </c>
      <c r="B596">
        <f t="shared" si="9"/>
        <v>2023</v>
      </c>
      <c r="C596">
        <v>6</v>
      </c>
      <c r="D596" t="s">
        <v>23</v>
      </c>
      <c r="E596" t="s">
        <v>22</v>
      </c>
      <c r="F596" s="2">
        <v>1556</v>
      </c>
      <c r="G596" s="2">
        <f>Monthly_Growth!$C$7</f>
        <v>737613</v>
      </c>
      <c r="H596" s="5">
        <f>Monthly_Growth!$D$7</f>
        <v>-6.9410696037243105E-2</v>
      </c>
      <c r="I596" s="15">
        <f>Yearly_Growth!$C$2</f>
        <v>5.0333827436586778E-2</v>
      </c>
      <c r="J596" s="15">
        <f>Yearly_Growth!$D$2</f>
        <v>0.03</v>
      </c>
      <c r="K596">
        <f>Sales_Per_Representative!$C$8</f>
        <v>649456</v>
      </c>
      <c r="L596">
        <f>Sales_Per_Rep_Yearly_Goal!$B$2</f>
        <v>665544.80000000005</v>
      </c>
      <c r="M596">
        <f>Sales_Per_Rep_Yearly_Goal!$C$2</f>
        <v>650000</v>
      </c>
    </row>
    <row r="597" spans="1:13" x14ac:dyDescent="0.3">
      <c r="A597" s="3">
        <v>45085</v>
      </c>
      <c r="B597">
        <f t="shared" si="9"/>
        <v>2023</v>
      </c>
      <c r="C597">
        <v>6</v>
      </c>
      <c r="D597" t="s">
        <v>14</v>
      </c>
      <c r="E597" t="s">
        <v>26</v>
      </c>
      <c r="F597" s="2">
        <v>7633</v>
      </c>
      <c r="G597" s="2">
        <f>Monthly_Growth!$C$7</f>
        <v>737613</v>
      </c>
      <c r="H597" s="5">
        <f>Monthly_Growth!$D$7</f>
        <v>-6.9410696037243105E-2</v>
      </c>
      <c r="I597" s="15">
        <f>Yearly_Growth!$C$2</f>
        <v>5.0333827436586778E-2</v>
      </c>
      <c r="J597" s="15">
        <f>Yearly_Growth!$D$2</f>
        <v>0.03</v>
      </c>
      <c r="K597">
        <f>Sales_Per_Representative!$C$16</f>
        <v>666159</v>
      </c>
      <c r="L597">
        <f>Sales_Per_Rep_Yearly_Goal!$B$2</f>
        <v>665544.80000000005</v>
      </c>
      <c r="M597">
        <f>Sales_Per_Rep_Yearly_Goal!$C$2</f>
        <v>650000</v>
      </c>
    </row>
    <row r="598" spans="1:13" x14ac:dyDescent="0.3">
      <c r="A598" s="3">
        <v>45085</v>
      </c>
      <c r="B598">
        <f t="shared" si="9"/>
        <v>2023</v>
      </c>
      <c r="C598">
        <v>6</v>
      </c>
      <c r="D598" t="s">
        <v>25</v>
      </c>
      <c r="E598" t="s">
        <v>30</v>
      </c>
      <c r="F598" s="2">
        <v>13424</v>
      </c>
      <c r="G598" s="2">
        <f>Monthly_Growth!$C$7</f>
        <v>737613</v>
      </c>
      <c r="H598" s="5">
        <f>Monthly_Growth!$D$7</f>
        <v>-6.9410696037243105E-2</v>
      </c>
      <c r="I598" s="15">
        <f>Yearly_Growth!$C$2</f>
        <v>5.0333827436586778E-2</v>
      </c>
      <c r="J598" s="15">
        <f>Yearly_Growth!$D$2</f>
        <v>0.03</v>
      </c>
      <c r="K598">
        <f>Sales_Per_Representative!$C$7</f>
        <v>706974</v>
      </c>
      <c r="L598">
        <f>Sales_Per_Rep_Yearly_Goal!$B$2</f>
        <v>665544.80000000005</v>
      </c>
      <c r="M598">
        <f>Sales_Per_Rep_Yearly_Goal!$C$2</f>
        <v>650000</v>
      </c>
    </row>
    <row r="599" spans="1:13" x14ac:dyDescent="0.3">
      <c r="A599" s="3">
        <v>45085</v>
      </c>
      <c r="B599">
        <f t="shared" si="9"/>
        <v>2023</v>
      </c>
      <c r="C599">
        <v>6</v>
      </c>
      <c r="D599" t="s">
        <v>28</v>
      </c>
      <c r="E599" t="s">
        <v>32</v>
      </c>
      <c r="F599" s="2">
        <v>6449</v>
      </c>
      <c r="G599" s="2">
        <f>Monthly_Growth!$C$7</f>
        <v>737613</v>
      </c>
      <c r="H599" s="5">
        <f>Monthly_Growth!$D$7</f>
        <v>-6.9410696037243105E-2</v>
      </c>
      <c r="I599" s="15">
        <f>Yearly_Growth!$C$2</f>
        <v>5.0333827436586778E-2</v>
      </c>
      <c r="J599" s="15">
        <f>Yearly_Growth!$D$2</f>
        <v>0.03</v>
      </c>
      <c r="K599">
        <f>Sales_Per_Representative!$C$3</f>
        <v>762157</v>
      </c>
      <c r="L599">
        <f>Sales_Per_Rep_Yearly_Goal!$B$2</f>
        <v>665544.80000000005</v>
      </c>
      <c r="M599">
        <f>Sales_Per_Rep_Yearly_Goal!$C$2</f>
        <v>650000</v>
      </c>
    </row>
    <row r="600" spans="1:13" x14ac:dyDescent="0.3">
      <c r="A600" s="3">
        <v>45086</v>
      </c>
      <c r="B600">
        <f t="shared" si="9"/>
        <v>2023</v>
      </c>
      <c r="C600">
        <v>6</v>
      </c>
      <c r="D600" t="s">
        <v>14</v>
      </c>
      <c r="E600" t="s">
        <v>10</v>
      </c>
      <c r="F600" s="2">
        <v>5669</v>
      </c>
      <c r="G600" s="2">
        <f>Monthly_Growth!$C$7</f>
        <v>737613</v>
      </c>
      <c r="H600" s="5">
        <f>Monthly_Growth!$D$7</f>
        <v>-6.9410696037243105E-2</v>
      </c>
      <c r="I600" s="15">
        <f>Yearly_Growth!$C$2</f>
        <v>5.0333827436586778E-2</v>
      </c>
      <c r="J600" s="15">
        <f>Yearly_Growth!$D$2</f>
        <v>0.03</v>
      </c>
      <c r="K600">
        <f>Sales_Per_Representative!$C$4</f>
        <v>725713</v>
      </c>
      <c r="L600">
        <f>Sales_Per_Rep_Yearly_Goal!$B$2</f>
        <v>665544.80000000005</v>
      </c>
      <c r="M600">
        <f>Sales_Per_Rep_Yearly_Goal!$C$2</f>
        <v>650000</v>
      </c>
    </row>
    <row r="601" spans="1:13" x14ac:dyDescent="0.3">
      <c r="A601" s="3">
        <v>45086</v>
      </c>
      <c r="B601">
        <f t="shared" si="9"/>
        <v>2023</v>
      </c>
      <c r="C601">
        <v>6</v>
      </c>
      <c r="D601" t="s">
        <v>25</v>
      </c>
      <c r="E601" t="s">
        <v>27</v>
      </c>
      <c r="F601" s="2">
        <v>2144</v>
      </c>
      <c r="G601" s="2">
        <f>Monthly_Growth!$C$7</f>
        <v>737613</v>
      </c>
      <c r="H601" s="5">
        <f>Monthly_Growth!$D$7</f>
        <v>-6.9410696037243105E-2</v>
      </c>
      <c r="I601" s="15">
        <f>Yearly_Growth!$C$2</f>
        <v>5.0333827436586778E-2</v>
      </c>
      <c r="J601" s="15">
        <f>Yearly_Growth!$D$2</f>
        <v>0.03</v>
      </c>
      <c r="K601">
        <f>Sales_Per_Representative!$C$5</f>
        <v>747962</v>
      </c>
      <c r="L601">
        <f>Sales_Per_Rep_Yearly_Goal!$B$2</f>
        <v>665544.80000000005</v>
      </c>
      <c r="M601">
        <f>Sales_Per_Rep_Yearly_Goal!$C$2</f>
        <v>650000</v>
      </c>
    </row>
    <row r="602" spans="1:13" x14ac:dyDescent="0.3">
      <c r="A602" s="3">
        <v>45086</v>
      </c>
      <c r="B602">
        <f t="shared" si="9"/>
        <v>2023</v>
      </c>
      <c r="C602">
        <v>6</v>
      </c>
      <c r="D602" t="s">
        <v>7</v>
      </c>
      <c r="E602" t="s">
        <v>32</v>
      </c>
      <c r="F602" s="2">
        <v>10797</v>
      </c>
      <c r="G602" s="2">
        <f>Monthly_Growth!$C$7</f>
        <v>737613</v>
      </c>
      <c r="H602" s="5">
        <f>Monthly_Growth!$D$7</f>
        <v>-6.9410696037243105E-2</v>
      </c>
      <c r="I602" s="15">
        <f>Yearly_Growth!$C$2</f>
        <v>5.0333827436586778E-2</v>
      </c>
      <c r="J602" s="15">
        <f>Yearly_Growth!$D$2</f>
        <v>0.03</v>
      </c>
      <c r="K602">
        <f>Sales_Per_Representative!$C$3</f>
        <v>762157</v>
      </c>
      <c r="L602">
        <f>Sales_Per_Rep_Yearly_Goal!$B$2</f>
        <v>665544.80000000005</v>
      </c>
      <c r="M602">
        <f>Sales_Per_Rep_Yearly_Goal!$C$2</f>
        <v>650000</v>
      </c>
    </row>
    <row r="603" spans="1:13" x14ac:dyDescent="0.3">
      <c r="A603" s="3">
        <v>45086</v>
      </c>
      <c r="B603">
        <f t="shared" si="9"/>
        <v>2023</v>
      </c>
      <c r="C603">
        <v>6</v>
      </c>
      <c r="D603" t="s">
        <v>7</v>
      </c>
      <c r="E603" t="s">
        <v>30</v>
      </c>
      <c r="F603" s="2">
        <v>1372</v>
      </c>
      <c r="G603" s="2">
        <f>Monthly_Growth!$C$7</f>
        <v>737613</v>
      </c>
      <c r="H603" s="5">
        <f>Monthly_Growth!$D$7</f>
        <v>-6.9410696037243105E-2</v>
      </c>
      <c r="I603" s="15">
        <f>Yearly_Growth!$C$2</f>
        <v>5.0333827436586778E-2</v>
      </c>
      <c r="J603" s="15">
        <f>Yearly_Growth!$D$2</f>
        <v>0.03</v>
      </c>
      <c r="K603">
        <f>Sales_Per_Representative!$C$7</f>
        <v>706974</v>
      </c>
      <c r="L603">
        <f>Sales_Per_Rep_Yearly_Goal!$B$2</f>
        <v>665544.80000000005</v>
      </c>
      <c r="M603">
        <f>Sales_Per_Rep_Yearly_Goal!$C$2</f>
        <v>650000</v>
      </c>
    </row>
    <row r="604" spans="1:13" x14ac:dyDescent="0.3">
      <c r="A604" s="3">
        <v>45086</v>
      </c>
      <c r="B604">
        <f t="shared" si="9"/>
        <v>2023</v>
      </c>
      <c r="C604">
        <v>6</v>
      </c>
      <c r="D604" t="s">
        <v>28</v>
      </c>
      <c r="E604" t="s">
        <v>18</v>
      </c>
      <c r="F604" s="2">
        <v>7968</v>
      </c>
      <c r="G604" s="2">
        <f>Monthly_Growth!$C$7</f>
        <v>737613</v>
      </c>
      <c r="H604" s="5">
        <f>Monthly_Growth!$D$7</f>
        <v>-6.9410696037243105E-2</v>
      </c>
      <c r="I604" s="15">
        <f>Yearly_Growth!$C$2</f>
        <v>5.0333827436586778E-2</v>
      </c>
      <c r="J604" s="15">
        <f>Yearly_Growth!$D$2</f>
        <v>0.03</v>
      </c>
      <c r="K604">
        <f>Sales_Per_Representative!$C$9</f>
        <v>550835</v>
      </c>
      <c r="L604">
        <f>Sales_Per_Rep_Yearly_Goal!$B$2</f>
        <v>665544.80000000005</v>
      </c>
      <c r="M604">
        <f>Sales_Per_Rep_Yearly_Goal!$C$2</f>
        <v>650000</v>
      </c>
    </row>
    <row r="605" spans="1:13" x14ac:dyDescent="0.3">
      <c r="A605" s="3">
        <v>45086</v>
      </c>
      <c r="B605">
        <f t="shared" si="9"/>
        <v>2023</v>
      </c>
      <c r="C605">
        <v>6</v>
      </c>
      <c r="D605" t="s">
        <v>28</v>
      </c>
      <c r="E605" t="s">
        <v>15</v>
      </c>
      <c r="F605" s="2">
        <v>10985</v>
      </c>
      <c r="G605" s="2">
        <f>Monthly_Growth!$C$7</f>
        <v>737613</v>
      </c>
      <c r="H605" s="5">
        <f>Monthly_Growth!$D$7</f>
        <v>-6.9410696037243105E-2</v>
      </c>
      <c r="I605" s="15">
        <f>Yearly_Growth!$C$2</f>
        <v>5.0333827436586778E-2</v>
      </c>
      <c r="J605" s="15">
        <f>Yearly_Growth!$D$2</f>
        <v>0.03</v>
      </c>
      <c r="K605">
        <f>Sales_Per_Representative!$C$12</f>
        <v>656359</v>
      </c>
      <c r="L605">
        <f>Sales_Per_Rep_Yearly_Goal!$B$2</f>
        <v>665544.80000000005</v>
      </c>
      <c r="M605">
        <f>Sales_Per_Rep_Yearly_Goal!$C$2</f>
        <v>650000</v>
      </c>
    </row>
    <row r="606" spans="1:13" x14ac:dyDescent="0.3">
      <c r="A606" s="3">
        <v>45087</v>
      </c>
      <c r="B606">
        <f t="shared" si="9"/>
        <v>2023</v>
      </c>
      <c r="C606">
        <v>6</v>
      </c>
      <c r="D606" t="s">
        <v>7</v>
      </c>
      <c r="E606" t="s">
        <v>30</v>
      </c>
      <c r="F606" s="2">
        <v>9730</v>
      </c>
      <c r="G606" s="2">
        <f>Monthly_Growth!$C$7</f>
        <v>737613</v>
      </c>
      <c r="H606" s="5">
        <f>Monthly_Growth!$D$7</f>
        <v>-6.9410696037243105E-2</v>
      </c>
      <c r="I606" s="15">
        <f>Yearly_Growth!$C$2</f>
        <v>5.0333827436586778E-2</v>
      </c>
      <c r="J606" s="15">
        <f>Yearly_Growth!$D$2</f>
        <v>0.03</v>
      </c>
      <c r="K606">
        <f>Sales_Per_Representative!$C$7</f>
        <v>706974</v>
      </c>
      <c r="L606">
        <f>Sales_Per_Rep_Yearly_Goal!$B$2</f>
        <v>665544.80000000005</v>
      </c>
      <c r="M606">
        <f>Sales_Per_Rep_Yearly_Goal!$C$2</f>
        <v>650000</v>
      </c>
    </row>
    <row r="607" spans="1:13" x14ac:dyDescent="0.3">
      <c r="A607" s="3">
        <v>45087</v>
      </c>
      <c r="B607">
        <f t="shared" si="9"/>
        <v>2023</v>
      </c>
      <c r="C607">
        <v>6</v>
      </c>
      <c r="D607" t="s">
        <v>17</v>
      </c>
      <c r="E607" t="s">
        <v>33</v>
      </c>
      <c r="F607" s="2">
        <v>12736</v>
      </c>
      <c r="G607" s="2">
        <f>Monthly_Growth!$C$7</f>
        <v>737613</v>
      </c>
      <c r="H607" s="5">
        <f>Monthly_Growth!$D$7</f>
        <v>-6.9410696037243105E-2</v>
      </c>
      <c r="I607" s="15">
        <f>Yearly_Growth!$C$2</f>
        <v>5.0333827436586778E-2</v>
      </c>
      <c r="J607" s="15">
        <f>Yearly_Growth!$D$2</f>
        <v>0.03</v>
      </c>
      <c r="K607">
        <f>Sales_Per_Representative!$C$11</f>
        <v>496886</v>
      </c>
      <c r="L607">
        <f>Sales_Per_Rep_Yearly_Goal!$B$2</f>
        <v>665544.80000000005</v>
      </c>
      <c r="M607">
        <f>Sales_Per_Rep_Yearly_Goal!$C$2</f>
        <v>650000</v>
      </c>
    </row>
    <row r="608" spans="1:13" x14ac:dyDescent="0.3">
      <c r="A608" s="3">
        <v>45088</v>
      </c>
      <c r="B608">
        <f t="shared" si="9"/>
        <v>2023</v>
      </c>
      <c r="C608">
        <v>6</v>
      </c>
      <c r="D608" t="s">
        <v>7</v>
      </c>
      <c r="E608" t="s">
        <v>31</v>
      </c>
      <c r="F608" s="2">
        <v>5701</v>
      </c>
      <c r="G608" s="2">
        <f>Monthly_Growth!$C$7</f>
        <v>737613</v>
      </c>
      <c r="H608" s="5">
        <f>Monthly_Growth!$D$7</f>
        <v>-6.9410696037243105E-2</v>
      </c>
      <c r="I608" s="15">
        <f>Yearly_Growth!$C$2</f>
        <v>5.0333827436586778E-2</v>
      </c>
      <c r="J608" s="15">
        <f>Yearly_Growth!$D$2</f>
        <v>0.03</v>
      </c>
      <c r="K608">
        <f>Sales_Per_Representative!$C$6</f>
        <v>727823</v>
      </c>
      <c r="L608">
        <f>Sales_Per_Rep_Yearly_Goal!$B$2</f>
        <v>665544.80000000005</v>
      </c>
      <c r="M608">
        <f>Sales_Per_Rep_Yearly_Goal!$C$2</f>
        <v>650000</v>
      </c>
    </row>
    <row r="609" spans="1:13" x14ac:dyDescent="0.3">
      <c r="A609" s="3">
        <v>45089</v>
      </c>
      <c r="B609">
        <f t="shared" si="9"/>
        <v>2023</v>
      </c>
      <c r="C609">
        <v>6</v>
      </c>
      <c r="D609" t="s">
        <v>14</v>
      </c>
      <c r="E609" t="s">
        <v>24</v>
      </c>
      <c r="F609" s="2">
        <v>8737</v>
      </c>
      <c r="G609" s="2">
        <f>Monthly_Growth!$C$7</f>
        <v>737613</v>
      </c>
      <c r="H609" s="5">
        <f>Monthly_Growth!$D$7</f>
        <v>-6.9410696037243105E-2</v>
      </c>
      <c r="I609" s="15">
        <f>Yearly_Growth!$C$2</f>
        <v>5.0333827436586778E-2</v>
      </c>
      <c r="J609" s="15">
        <f>Yearly_Growth!$D$2</f>
        <v>0.03</v>
      </c>
      <c r="K609">
        <f>Sales_Per_Representative!$C$2</f>
        <v>631195</v>
      </c>
      <c r="L609">
        <f>Sales_Per_Rep_Yearly_Goal!$B$2</f>
        <v>665544.80000000005</v>
      </c>
      <c r="M609">
        <f>Sales_Per_Rep_Yearly_Goal!$C$2</f>
        <v>650000</v>
      </c>
    </row>
    <row r="610" spans="1:13" x14ac:dyDescent="0.3">
      <c r="A610" s="3">
        <v>45089</v>
      </c>
      <c r="B610">
        <f t="shared" si="9"/>
        <v>2023</v>
      </c>
      <c r="C610">
        <v>6</v>
      </c>
      <c r="D610" t="s">
        <v>23</v>
      </c>
      <c r="E610" t="s">
        <v>29</v>
      </c>
      <c r="F610" s="2">
        <v>12404</v>
      </c>
      <c r="G610" s="2">
        <f>Monthly_Growth!$C$7</f>
        <v>737613</v>
      </c>
      <c r="H610" s="5">
        <f>Monthly_Growth!$D$7</f>
        <v>-6.9410696037243105E-2</v>
      </c>
      <c r="I610" s="15">
        <f>Yearly_Growth!$C$2</f>
        <v>5.0333827436586778E-2</v>
      </c>
      <c r="J610" s="15">
        <f>Yearly_Growth!$D$2</f>
        <v>0.03</v>
      </c>
      <c r="K610">
        <f>Sales_Per_Representative!$C$13</f>
        <v>621548</v>
      </c>
      <c r="L610">
        <f>Sales_Per_Rep_Yearly_Goal!$B$2</f>
        <v>665544.80000000005</v>
      </c>
      <c r="M610">
        <f>Sales_Per_Rep_Yearly_Goal!$C$2</f>
        <v>650000</v>
      </c>
    </row>
    <row r="611" spans="1:13" x14ac:dyDescent="0.3">
      <c r="A611" s="3">
        <v>45089</v>
      </c>
      <c r="B611">
        <f t="shared" si="9"/>
        <v>2023</v>
      </c>
      <c r="C611">
        <v>6</v>
      </c>
      <c r="D611" t="s">
        <v>25</v>
      </c>
      <c r="E611" t="s">
        <v>18</v>
      </c>
      <c r="F611" s="2">
        <v>2697</v>
      </c>
      <c r="G611" s="2">
        <f>Monthly_Growth!$C$7</f>
        <v>737613</v>
      </c>
      <c r="H611" s="5">
        <f>Monthly_Growth!$D$7</f>
        <v>-6.9410696037243105E-2</v>
      </c>
      <c r="I611" s="15">
        <f>Yearly_Growth!$C$2</f>
        <v>5.0333827436586778E-2</v>
      </c>
      <c r="J611" s="15">
        <f>Yearly_Growth!$D$2</f>
        <v>0.03</v>
      </c>
      <c r="K611">
        <f>Sales_Per_Representative!$C$9</f>
        <v>550835</v>
      </c>
      <c r="L611">
        <f>Sales_Per_Rep_Yearly_Goal!$B$2</f>
        <v>665544.80000000005</v>
      </c>
      <c r="M611">
        <f>Sales_Per_Rep_Yearly_Goal!$C$2</f>
        <v>650000</v>
      </c>
    </row>
    <row r="612" spans="1:13" x14ac:dyDescent="0.3">
      <c r="A612" s="3">
        <v>45089</v>
      </c>
      <c r="B612">
        <f t="shared" si="9"/>
        <v>2023</v>
      </c>
      <c r="C612">
        <v>6</v>
      </c>
      <c r="D612" t="s">
        <v>17</v>
      </c>
      <c r="E612" t="s">
        <v>18</v>
      </c>
      <c r="F612" s="2">
        <v>4967</v>
      </c>
      <c r="G612" s="2">
        <f>Monthly_Growth!$C$7</f>
        <v>737613</v>
      </c>
      <c r="H612" s="5">
        <f>Monthly_Growth!$D$7</f>
        <v>-6.9410696037243105E-2</v>
      </c>
      <c r="I612" s="15">
        <f>Yearly_Growth!$C$2</f>
        <v>5.0333827436586778E-2</v>
      </c>
      <c r="J612" s="15">
        <f>Yearly_Growth!$D$2</f>
        <v>0.03</v>
      </c>
      <c r="K612">
        <f>Sales_Per_Representative!$C$9</f>
        <v>550835</v>
      </c>
      <c r="L612">
        <f>Sales_Per_Rep_Yearly_Goal!$B$2</f>
        <v>665544.80000000005</v>
      </c>
      <c r="M612">
        <f>Sales_Per_Rep_Yearly_Goal!$C$2</f>
        <v>650000</v>
      </c>
    </row>
    <row r="613" spans="1:13" x14ac:dyDescent="0.3">
      <c r="A613" s="3">
        <v>45089</v>
      </c>
      <c r="B613">
        <f t="shared" si="9"/>
        <v>2023</v>
      </c>
      <c r="C613">
        <v>6</v>
      </c>
      <c r="D613" t="s">
        <v>12</v>
      </c>
      <c r="E613" t="s">
        <v>30</v>
      </c>
      <c r="F613" s="2">
        <v>2186</v>
      </c>
      <c r="G613" s="2">
        <f>Monthly_Growth!$C$7</f>
        <v>737613</v>
      </c>
      <c r="H613" s="5">
        <f>Monthly_Growth!$D$7</f>
        <v>-6.9410696037243105E-2</v>
      </c>
      <c r="I613" s="15">
        <f>Yearly_Growth!$C$2</f>
        <v>5.0333827436586778E-2</v>
      </c>
      <c r="J613" s="15">
        <f>Yearly_Growth!$D$2</f>
        <v>0.03</v>
      </c>
      <c r="K613">
        <f>Sales_Per_Representative!$C$7</f>
        <v>706974</v>
      </c>
      <c r="L613">
        <f>Sales_Per_Rep_Yearly_Goal!$B$2</f>
        <v>665544.80000000005</v>
      </c>
      <c r="M613">
        <f>Sales_Per_Rep_Yearly_Goal!$C$2</f>
        <v>650000</v>
      </c>
    </row>
    <row r="614" spans="1:13" x14ac:dyDescent="0.3">
      <c r="A614" s="3">
        <v>45090</v>
      </c>
      <c r="B614">
        <f t="shared" si="9"/>
        <v>2023</v>
      </c>
      <c r="C614">
        <v>6</v>
      </c>
      <c r="D614" t="s">
        <v>23</v>
      </c>
      <c r="E614" t="s">
        <v>8</v>
      </c>
      <c r="F614" s="2">
        <v>3068</v>
      </c>
      <c r="G614" s="2">
        <f>Monthly_Growth!$C$7</f>
        <v>737613</v>
      </c>
      <c r="H614" s="5">
        <f>Monthly_Growth!$D$7</f>
        <v>-6.9410696037243105E-2</v>
      </c>
      <c r="I614" s="15">
        <f>Yearly_Growth!$C$2</f>
        <v>5.0333827436586778E-2</v>
      </c>
      <c r="J614" s="15">
        <f>Yearly_Growth!$D$2</f>
        <v>0.03</v>
      </c>
      <c r="K614">
        <f>Sales_Per_Representative!$C$15</f>
        <v>701242</v>
      </c>
      <c r="L614">
        <f>Sales_Per_Rep_Yearly_Goal!$B$2</f>
        <v>665544.80000000005</v>
      </c>
      <c r="M614">
        <f>Sales_Per_Rep_Yearly_Goal!$C$2</f>
        <v>650000</v>
      </c>
    </row>
    <row r="615" spans="1:13" x14ac:dyDescent="0.3">
      <c r="A615" s="3">
        <v>45090</v>
      </c>
      <c r="B615">
        <f t="shared" si="9"/>
        <v>2023</v>
      </c>
      <c r="C615">
        <v>6</v>
      </c>
      <c r="D615" t="s">
        <v>17</v>
      </c>
      <c r="E615" t="s">
        <v>30</v>
      </c>
      <c r="F615" s="2">
        <v>7083</v>
      </c>
      <c r="G615" s="2">
        <f>Monthly_Growth!$C$7</f>
        <v>737613</v>
      </c>
      <c r="H615" s="5">
        <f>Monthly_Growth!$D$7</f>
        <v>-6.9410696037243105E-2</v>
      </c>
      <c r="I615" s="15">
        <f>Yearly_Growth!$C$2</f>
        <v>5.0333827436586778E-2</v>
      </c>
      <c r="J615" s="15">
        <f>Yearly_Growth!$D$2</f>
        <v>0.03</v>
      </c>
      <c r="K615">
        <f>Sales_Per_Representative!$C$7</f>
        <v>706974</v>
      </c>
      <c r="L615">
        <f>Sales_Per_Rep_Yearly_Goal!$B$2</f>
        <v>665544.80000000005</v>
      </c>
      <c r="M615">
        <f>Sales_Per_Rep_Yearly_Goal!$C$2</f>
        <v>650000</v>
      </c>
    </row>
    <row r="616" spans="1:13" x14ac:dyDescent="0.3">
      <c r="A616" s="3">
        <v>45091</v>
      </c>
      <c r="B616">
        <f t="shared" si="9"/>
        <v>2023</v>
      </c>
      <c r="C616">
        <v>6</v>
      </c>
      <c r="D616" t="s">
        <v>12</v>
      </c>
      <c r="E616" t="s">
        <v>22</v>
      </c>
      <c r="F616" s="2">
        <v>5704</v>
      </c>
      <c r="G616" s="2">
        <f>Monthly_Growth!$C$7</f>
        <v>737613</v>
      </c>
      <c r="H616" s="5">
        <f>Monthly_Growth!$D$7</f>
        <v>-6.9410696037243105E-2</v>
      </c>
      <c r="I616" s="15">
        <f>Yearly_Growth!$C$2</f>
        <v>5.0333827436586778E-2</v>
      </c>
      <c r="J616" s="15">
        <f>Yearly_Growth!$D$2</f>
        <v>0.03</v>
      </c>
      <c r="K616">
        <f>Sales_Per_Representative!$C$8</f>
        <v>649456</v>
      </c>
      <c r="L616">
        <f>Sales_Per_Rep_Yearly_Goal!$B$2</f>
        <v>665544.80000000005</v>
      </c>
      <c r="M616">
        <f>Sales_Per_Rep_Yearly_Goal!$C$2</f>
        <v>650000</v>
      </c>
    </row>
    <row r="617" spans="1:13" x14ac:dyDescent="0.3">
      <c r="A617" s="3">
        <v>45092</v>
      </c>
      <c r="B617">
        <f t="shared" si="9"/>
        <v>2023</v>
      </c>
      <c r="C617">
        <v>6</v>
      </c>
      <c r="D617" t="s">
        <v>14</v>
      </c>
      <c r="E617" t="s">
        <v>30</v>
      </c>
      <c r="F617" s="2">
        <v>10194</v>
      </c>
      <c r="G617" s="2">
        <f>Monthly_Growth!$C$7</f>
        <v>737613</v>
      </c>
      <c r="H617" s="5">
        <f>Monthly_Growth!$D$7</f>
        <v>-6.9410696037243105E-2</v>
      </c>
      <c r="I617" s="15">
        <f>Yearly_Growth!$C$2</f>
        <v>5.0333827436586778E-2</v>
      </c>
      <c r="J617" s="15">
        <f>Yearly_Growth!$D$2</f>
        <v>0.03</v>
      </c>
      <c r="K617">
        <f>Sales_Per_Representative!$C$7</f>
        <v>706974</v>
      </c>
      <c r="L617">
        <f>Sales_Per_Rep_Yearly_Goal!$B$2</f>
        <v>665544.80000000005</v>
      </c>
      <c r="M617">
        <f>Sales_Per_Rep_Yearly_Goal!$C$2</f>
        <v>650000</v>
      </c>
    </row>
    <row r="618" spans="1:13" x14ac:dyDescent="0.3">
      <c r="A618" s="3">
        <v>45092</v>
      </c>
      <c r="B618">
        <f t="shared" si="9"/>
        <v>2023</v>
      </c>
      <c r="C618">
        <v>6</v>
      </c>
      <c r="D618" t="s">
        <v>7</v>
      </c>
      <c r="E618" t="s">
        <v>10</v>
      </c>
      <c r="F618" s="2">
        <v>4059</v>
      </c>
      <c r="G618" s="2">
        <f>Monthly_Growth!$C$7</f>
        <v>737613</v>
      </c>
      <c r="H618" s="5">
        <f>Monthly_Growth!$D$7</f>
        <v>-6.9410696037243105E-2</v>
      </c>
      <c r="I618" s="15">
        <f>Yearly_Growth!$C$2</f>
        <v>5.0333827436586778E-2</v>
      </c>
      <c r="J618" s="15">
        <f>Yearly_Growth!$D$2</f>
        <v>0.03</v>
      </c>
      <c r="K618">
        <f>Sales_Per_Representative!$C$4</f>
        <v>725713</v>
      </c>
      <c r="L618">
        <f>Sales_Per_Rep_Yearly_Goal!$B$2</f>
        <v>665544.80000000005</v>
      </c>
      <c r="M618">
        <f>Sales_Per_Rep_Yearly_Goal!$C$2</f>
        <v>650000</v>
      </c>
    </row>
    <row r="619" spans="1:13" x14ac:dyDescent="0.3">
      <c r="A619" s="3">
        <v>45092</v>
      </c>
      <c r="B619">
        <f t="shared" si="9"/>
        <v>2023</v>
      </c>
      <c r="C619">
        <v>6</v>
      </c>
      <c r="D619" t="s">
        <v>28</v>
      </c>
      <c r="E619" t="s">
        <v>10</v>
      </c>
      <c r="F619" s="2">
        <v>7426</v>
      </c>
      <c r="G619" s="2">
        <f>Monthly_Growth!$C$7</f>
        <v>737613</v>
      </c>
      <c r="H619" s="5">
        <f>Monthly_Growth!$D$7</f>
        <v>-6.9410696037243105E-2</v>
      </c>
      <c r="I619" s="15">
        <f>Yearly_Growth!$C$2</f>
        <v>5.0333827436586778E-2</v>
      </c>
      <c r="J619" s="15">
        <f>Yearly_Growth!$D$2</f>
        <v>0.03</v>
      </c>
      <c r="K619">
        <f>Sales_Per_Representative!$C$4</f>
        <v>725713</v>
      </c>
      <c r="L619">
        <f>Sales_Per_Rep_Yearly_Goal!$B$2</f>
        <v>665544.80000000005</v>
      </c>
      <c r="M619">
        <f>Sales_Per_Rep_Yearly_Goal!$C$2</f>
        <v>650000</v>
      </c>
    </row>
    <row r="620" spans="1:13" x14ac:dyDescent="0.3">
      <c r="A620" s="3">
        <v>45092</v>
      </c>
      <c r="B620">
        <f t="shared" si="9"/>
        <v>2023</v>
      </c>
      <c r="C620">
        <v>6</v>
      </c>
      <c r="D620" t="s">
        <v>28</v>
      </c>
      <c r="E620" t="s">
        <v>24</v>
      </c>
      <c r="F620" s="2">
        <v>4807</v>
      </c>
      <c r="G620" s="2">
        <f>Monthly_Growth!$C$7</f>
        <v>737613</v>
      </c>
      <c r="H620" s="5">
        <f>Monthly_Growth!$D$7</f>
        <v>-6.9410696037243105E-2</v>
      </c>
      <c r="I620" s="15">
        <f>Yearly_Growth!$C$2</f>
        <v>5.0333827436586778E-2</v>
      </c>
      <c r="J620" s="15">
        <f>Yearly_Growth!$D$2</f>
        <v>0.03</v>
      </c>
      <c r="K620">
        <f>Sales_Per_Representative!$C$2</f>
        <v>631195</v>
      </c>
      <c r="L620">
        <f>Sales_Per_Rep_Yearly_Goal!$B$2</f>
        <v>665544.80000000005</v>
      </c>
      <c r="M620">
        <f>Sales_Per_Rep_Yearly_Goal!$C$2</f>
        <v>650000</v>
      </c>
    </row>
    <row r="621" spans="1:13" x14ac:dyDescent="0.3">
      <c r="A621" s="3">
        <v>45093</v>
      </c>
      <c r="B621">
        <f t="shared" si="9"/>
        <v>2023</v>
      </c>
      <c r="C621">
        <v>6</v>
      </c>
      <c r="D621" t="s">
        <v>14</v>
      </c>
      <c r="E621" t="s">
        <v>32</v>
      </c>
      <c r="F621" s="2">
        <v>1996</v>
      </c>
      <c r="G621" s="2">
        <f>Monthly_Growth!$C$7</f>
        <v>737613</v>
      </c>
      <c r="H621" s="5">
        <f>Monthly_Growth!$D$7</f>
        <v>-6.9410696037243105E-2</v>
      </c>
      <c r="I621" s="15">
        <f>Yearly_Growth!$C$2</f>
        <v>5.0333827436586778E-2</v>
      </c>
      <c r="J621" s="15">
        <f>Yearly_Growth!$D$2</f>
        <v>0.03</v>
      </c>
      <c r="K621">
        <f>Sales_Per_Representative!$C$3</f>
        <v>762157</v>
      </c>
      <c r="L621">
        <f>Sales_Per_Rep_Yearly_Goal!$B$2</f>
        <v>665544.80000000005</v>
      </c>
      <c r="M621">
        <f>Sales_Per_Rep_Yearly_Goal!$C$2</f>
        <v>650000</v>
      </c>
    </row>
    <row r="622" spans="1:13" x14ac:dyDescent="0.3">
      <c r="A622" s="3">
        <v>45093</v>
      </c>
      <c r="B622">
        <f t="shared" si="9"/>
        <v>2023</v>
      </c>
      <c r="C622">
        <v>6</v>
      </c>
      <c r="D622" t="s">
        <v>19</v>
      </c>
      <c r="E622" t="s">
        <v>5</v>
      </c>
      <c r="F622" s="2">
        <v>5393</v>
      </c>
      <c r="G622" s="2">
        <f>Monthly_Growth!$C$7</f>
        <v>737613</v>
      </c>
      <c r="H622" s="5">
        <f>Monthly_Growth!$D$7</f>
        <v>-6.9410696037243105E-2</v>
      </c>
      <c r="I622" s="15">
        <f>Yearly_Growth!$C$2</f>
        <v>5.0333827436586778E-2</v>
      </c>
      <c r="J622" s="15">
        <f>Yearly_Growth!$D$2</f>
        <v>0.03</v>
      </c>
      <c r="K622">
        <f>Sales_Per_Representative!$C$10</f>
        <v>663333</v>
      </c>
      <c r="L622">
        <f>Sales_Per_Rep_Yearly_Goal!$B$2</f>
        <v>665544.80000000005</v>
      </c>
      <c r="M622">
        <f>Sales_Per_Rep_Yearly_Goal!$C$2</f>
        <v>650000</v>
      </c>
    </row>
    <row r="623" spans="1:13" x14ac:dyDescent="0.3">
      <c r="A623" s="3">
        <v>45093</v>
      </c>
      <c r="B623">
        <f t="shared" si="9"/>
        <v>2023</v>
      </c>
      <c r="C623">
        <v>6</v>
      </c>
      <c r="D623" t="s">
        <v>19</v>
      </c>
      <c r="E623" t="s">
        <v>29</v>
      </c>
      <c r="F623" s="2">
        <v>3827</v>
      </c>
      <c r="G623" s="2">
        <f>Monthly_Growth!$C$7</f>
        <v>737613</v>
      </c>
      <c r="H623" s="5">
        <f>Monthly_Growth!$D$7</f>
        <v>-6.9410696037243105E-2</v>
      </c>
      <c r="I623" s="15">
        <f>Yearly_Growth!$C$2</f>
        <v>5.0333827436586778E-2</v>
      </c>
      <c r="J623" s="15">
        <f>Yearly_Growth!$D$2</f>
        <v>0.03</v>
      </c>
      <c r="K623">
        <f>Sales_Per_Representative!$C$13</f>
        <v>621548</v>
      </c>
      <c r="L623">
        <f>Sales_Per_Rep_Yearly_Goal!$B$2</f>
        <v>665544.80000000005</v>
      </c>
      <c r="M623">
        <f>Sales_Per_Rep_Yearly_Goal!$C$2</f>
        <v>650000</v>
      </c>
    </row>
    <row r="624" spans="1:13" x14ac:dyDescent="0.3">
      <c r="A624" s="3">
        <v>45093</v>
      </c>
      <c r="B624">
        <f t="shared" si="9"/>
        <v>2023</v>
      </c>
      <c r="C624">
        <v>6</v>
      </c>
      <c r="D624" t="s">
        <v>25</v>
      </c>
      <c r="E624" t="s">
        <v>15</v>
      </c>
      <c r="F624" s="2">
        <v>8052</v>
      </c>
      <c r="G624" s="2">
        <f>Monthly_Growth!$C$7</f>
        <v>737613</v>
      </c>
      <c r="H624" s="5">
        <f>Monthly_Growth!$D$7</f>
        <v>-6.9410696037243105E-2</v>
      </c>
      <c r="I624" s="15">
        <f>Yearly_Growth!$C$2</f>
        <v>5.0333827436586778E-2</v>
      </c>
      <c r="J624" s="15">
        <f>Yearly_Growth!$D$2</f>
        <v>0.03</v>
      </c>
      <c r="K624">
        <f>Sales_Per_Representative!$C$12</f>
        <v>656359</v>
      </c>
      <c r="L624">
        <f>Sales_Per_Rep_Yearly_Goal!$B$2</f>
        <v>665544.80000000005</v>
      </c>
      <c r="M624">
        <f>Sales_Per_Rep_Yearly_Goal!$C$2</f>
        <v>650000</v>
      </c>
    </row>
    <row r="625" spans="1:13" x14ac:dyDescent="0.3">
      <c r="A625" s="3">
        <v>45093</v>
      </c>
      <c r="B625">
        <f t="shared" si="9"/>
        <v>2023</v>
      </c>
      <c r="C625">
        <v>6</v>
      </c>
      <c r="D625" t="s">
        <v>7</v>
      </c>
      <c r="E625" t="s">
        <v>15</v>
      </c>
      <c r="F625" s="2">
        <v>11199</v>
      </c>
      <c r="G625" s="2">
        <f>Monthly_Growth!$C$7</f>
        <v>737613</v>
      </c>
      <c r="H625" s="5">
        <f>Monthly_Growth!$D$7</f>
        <v>-6.9410696037243105E-2</v>
      </c>
      <c r="I625" s="15">
        <f>Yearly_Growth!$C$2</f>
        <v>5.0333827436586778E-2</v>
      </c>
      <c r="J625" s="15">
        <f>Yearly_Growth!$D$2</f>
        <v>0.03</v>
      </c>
      <c r="K625">
        <f>Sales_Per_Representative!$C$12</f>
        <v>656359</v>
      </c>
      <c r="L625">
        <f>Sales_Per_Rep_Yearly_Goal!$B$2</f>
        <v>665544.80000000005</v>
      </c>
      <c r="M625">
        <f>Sales_Per_Rep_Yearly_Goal!$C$2</f>
        <v>650000</v>
      </c>
    </row>
    <row r="626" spans="1:13" x14ac:dyDescent="0.3">
      <c r="A626" s="3">
        <v>45093</v>
      </c>
      <c r="B626">
        <f t="shared" si="9"/>
        <v>2023</v>
      </c>
      <c r="C626">
        <v>6</v>
      </c>
      <c r="D626" t="s">
        <v>12</v>
      </c>
      <c r="E626" t="s">
        <v>15</v>
      </c>
      <c r="F626" s="2">
        <v>5271</v>
      </c>
      <c r="G626" s="2">
        <f>Monthly_Growth!$C$7</f>
        <v>737613</v>
      </c>
      <c r="H626" s="5">
        <f>Monthly_Growth!$D$7</f>
        <v>-6.9410696037243105E-2</v>
      </c>
      <c r="I626" s="15">
        <f>Yearly_Growth!$C$2</f>
        <v>5.0333827436586778E-2</v>
      </c>
      <c r="J626" s="15">
        <f>Yearly_Growth!$D$2</f>
        <v>0.03</v>
      </c>
      <c r="K626">
        <f>Sales_Per_Representative!$C$12</f>
        <v>656359</v>
      </c>
      <c r="L626">
        <f>Sales_Per_Rep_Yearly_Goal!$B$2</f>
        <v>665544.80000000005</v>
      </c>
      <c r="M626">
        <f>Sales_Per_Rep_Yearly_Goal!$C$2</f>
        <v>650000</v>
      </c>
    </row>
    <row r="627" spans="1:13" x14ac:dyDescent="0.3">
      <c r="A627" s="3">
        <v>45094</v>
      </c>
      <c r="B627">
        <f t="shared" si="9"/>
        <v>2023</v>
      </c>
      <c r="C627">
        <v>6</v>
      </c>
      <c r="D627" t="s">
        <v>14</v>
      </c>
      <c r="E627" t="s">
        <v>26</v>
      </c>
      <c r="F627" s="2">
        <v>2329</v>
      </c>
      <c r="G627" s="2">
        <f>Monthly_Growth!$C$7</f>
        <v>737613</v>
      </c>
      <c r="H627" s="5">
        <f>Monthly_Growth!$D$7</f>
        <v>-6.9410696037243105E-2</v>
      </c>
      <c r="I627" s="15">
        <f>Yearly_Growth!$C$2</f>
        <v>5.0333827436586778E-2</v>
      </c>
      <c r="J627" s="15">
        <f>Yearly_Growth!$D$2</f>
        <v>0.03</v>
      </c>
      <c r="K627">
        <f>Sales_Per_Representative!$C$16</f>
        <v>666159</v>
      </c>
      <c r="L627">
        <f>Sales_Per_Rep_Yearly_Goal!$B$2</f>
        <v>665544.80000000005</v>
      </c>
      <c r="M627">
        <f>Sales_Per_Rep_Yearly_Goal!$C$2</f>
        <v>650000</v>
      </c>
    </row>
    <row r="628" spans="1:13" x14ac:dyDescent="0.3">
      <c r="A628" s="3">
        <v>45094</v>
      </c>
      <c r="B628">
        <f t="shared" si="9"/>
        <v>2023</v>
      </c>
      <c r="C628">
        <v>6</v>
      </c>
      <c r="D628" t="s">
        <v>14</v>
      </c>
      <c r="E628" t="s">
        <v>29</v>
      </c>
      <c r="F628" s="2">
        <v>11295</v>
      </c>
      <c r="G628" s="2">
        <f>Monthly_Growth!$C$7</f>
        <v>737613</v>
      </c>
      <c r="H628" s="5">
        <f>Monthly_Growth!$D$7</f>
        <v>-6.9410696037243105E-2</v>
      </c>
      <c r="I628" s="15">
        <f>Yearly_Growth!$C$2</f>
        <v>5.0333827436586778E-2</v>
      </c>
      <c r="J628" s="15">
        <f>Yearly_Growth!$D$2</f>
        <v>0.03</v>
      </c>
      <c r="K628">
        <f>Sales_Per_Representative!$C$13</f>
        <v>621548</v>
      </c>
      <c r="L628">
        <f>Sales_Per_Rep_Yearly_Goal!$B$2</f>
        <v>665544.80000000005</v>
      </c>
      <c r="M628">
        <f>Sales_Per_Rep_Yearly_Goal!$C$2</f>
        <v>650000</v>
      </c>
    </row>
    <row r="629" spans="1:13" x14ac:dyDescent="0.3">
      <c r="A629" s="3">
        <v>45094</v>
      </c>
      <c r="B629">
        <f t="shared" si="9"/>
        <v>2023</v>
      </c>
      <c r="C629">
        <v>6</v>
      </c>
      <c r="D629" t="s">
        <v>19</v>
      </c>
      <c r="E629" t="s">
        <v>8</v>
      </c>
      <c r="F629" s="2">
        <v>10834</v>
      </c>
      <c r="G629" s="2">
        <f>Monthly_Growth!$C$7</f>
        <v>737613</v>
      </c>
      <c r="H629" s="5">
        <f>Monthly_Growth!$D$7</f>
        <v>-6.9410696037243105E-2</v>
      </c>
      <c r="I629" s="15">
        <f>Yearly_Growth!$C$2</f>
        <v>5.0333827436586778E-2</v>
      </c>
      <c r="J629" s="15">
        <f>Yearly_Growth!$D$2</f>
        <v>0.03</v>
      </c>
      <c r="K629">
        <f>Sales_Per_Representative!$C$15</f>
        <v>701242</v>
      </c>
      <c r="L629">
        <f>Sales_Per_Rep_Yearly_Goal!$B$2</f>
        <v>665544.80000000005</v>
      </c>
      <c r="M629">
        <f>Sales_Per_Rep_Yearly_Goal!$C$2</f>
        <v>650000</v>
      </c>
    </row>
    <row r="630" spans="1:13" x14ac:dyDescent="0.3">
      <c r="A630" s="3">
        <v>45094</v>
      </c>
      <c r="B630">
        <f t="shared" si="9"/>
        <v>2023</v>
      </c>
      <c r="C630">
        <v>6</v>
      </c>
      <c r="D630" t="s">
        <v>19</v>
      </c>
      <c r="E630" t="s">
        <v>24</v>
      </c>
      <c r="F630" s="2">
        <v>10912</v>
      </c>
      <c r="G630" s="2">
        <f>Monthly_Growth!$C$7</f>
        <v>737613</v>
      </c>
      <c r="H630" s="5">
        <f>Monthly_Growth!$D$7</f>
        <v>-6.9410696037243105E-2</v>
      </c>
      <c r="I630" s="15">
        <f>Yearly_Growth!$C$2</f>
        <v>5.0333827436586778E-2</v>
      </c>
      <c r="J630" s="15">
        <f>Yearly_Growth!$D$2</f>
        <v>0.03</v>
      </c>
      <c r="K630">
        <f>Sales_Per_Representative!$C$2</f>
        <v>631195</v>
      </c>
      <c r="L630">
        <f>Sales_Per_Rep_Yearly_Goal!$B$2</f>
        <v>665544.80000000005</v>
      </c>
      <c r="M630">
        <f>Sales_Per_Rep_Yearly_Goal!$C$2</f>
        <v>650000</v>
      </c>
    </row>
    <row r="631" spans="1:13" x14ac:dyDescent="0.3">
      <c r="A631" s="3">
        <v>45094</v>
      </c>
      <c r="B631">
        <f t="shared" si="9"/>
        <v>2023</v>
      </c>
      <c r="C631">
        <v>6</v>
      </c>
      <c r="D631" t="s">
        <v>25</v>
      </c>
      <c r="E631" t="s">
        <v>32</v>
      </c>
      <c r="F631" s="2">
        <v>8002</v>
      </c>
      <c r="G631" s="2">
        <f>Monthly_Growth!$C$7</f>
        <v>737613</v>
      </c>
      <c r="H631" s="5">
        <f>Monthly_Growth!$D$7</f>
        <v>-6.9410696037243105E-2</v>
      </c>
      <c r="I631" s="15">
        <f>Yearly_Growth!$C$2</f>
        <v>5.0333827436586778E-2</v>
      </c>
      <c r="J631" s="15">
        <f>Yearly_Growth!$D$2</f>
        <v>0.03</v>
      </c>
      <c r="K631">
        <f>Sales_Per_Representative!$C$3</f>
        <v>762157</v>
      </c>
      <c r="L631">
        <f>Sales_Per_Rep_Yearly_Goal!$B$2</f>
        <v>665544.80000000005</v>
      </c>
      <c r="M631">
        <f>Sales_Per_Rep_Yearly_Goal!$C$2</f>
        <v>650000</v>
      </c>
    </row>
    <row r="632" spans="1:13" x14ac:dyDescent="0.3">
      <c r="A632" s="3">
        <v>45094</v>
      </c>
      <c r="B632">
        <f t="shared" si="9"/>
        <v>2023</v>
      </c>
      <c r="C632">
        <v>6</v>
      </c>
      <c r="D632" t="s">
        <v>17</v>
      </c>
      <c r="E632" t="s">
        <v>8</v>
      </c>
      <c r="F632" s="2">
        <v>3841</v>
      </c>
      <c r="G632" s="2">
        <f>Monthly_Growth!$C$7</f>
        <v>737613</v>
      </c>
      <c r="H632" s="5">
        <f>Monthly_Growth!$D$7</f>
        <v>-6.9410696037243105E-2</v>
      </c>
      <c r="I632" s="15">
        <f>Yearly_Growth!$C$2</f>
        <v>5.0333827436586778E-2</v>
      </c>
      <c r="J632" s="15">
        <f>Yearly_Growth!$D$2</f>
        <v>0.03</v>
      </c>
      <c r="K632">
        <f>Sales_Per_Representative!$C$15</f>
        <v>701242</v>
      </c>
      <c r="L632">
        <f>Sales_Per_Rep_Yearly_Goal!$B$2</f>
        <v>665544.80000000005</v>
      </c>
      <c r="M632">
        <f>Sales_Per_Rep_Yearly_Goal!$C$2</f>
        <v>650000</v>
      </c>
    </row>
    <row r="633" spans="1:13" x14ac:dyDescent="0.3">
      <c r="A633" s="3">
        <v>45095</v>
      </c>
      <c r="B633">
        <f t="shared" si="9"/>
        <v>2023</v>
      </c>
      <c r="C633">
        <v>6</v>
      </c>
      <c r="D633" t="s">
        <v>19</v>
      </c>
      <c r="E633" t="s">
        <v>15</v>
      </c>
      <c r="F633" s="2">
        <v>6270</v>
      </c>
      <c r="G633" s="2">
        <f>Monthly_Growth!$C$7</f>
        <v>737613</v>
      </c>
      <c r="H633" s="5">
        <f>Monthly_Growth!$D$7</f>
        <v>-6.9410696037243105E-2</v>
      </c>
      <c r="I633" s="15">
        <f>Yearly_Growth!$C$2</f>
        <v>5.0333827436586778E-2</v>
      </c>
      <c r="J633" s="15">
        <f>Yearly_Growth!$D$2</f>
        <v>0.03</v>
      </c>
      <c r="K633">
        <f>Sales_Per_Representative!$C$12</f>
        <v>656359</v>
      </c>
      <c r="L633">
        <f>Sales_Per_Rep_Yearly_Goal!$B$2</f>
        <v>665544.80000000005</v>
      </c>
      <c r="M633">
        <f>Sales_Per_Rep_Yearly_Goal!$C$2</f>
        <v>650000</v>
      </c>
    </row>
    <row r="634" spans="1:13" x14ac:dyDescent="0.3">
      <c r="A634" s="3">
        <v>45095</v>
      </c>
      <c r="B634">
        <f t="shared" si="9"/>
        <v>2023</v>
      </c>
      <c r="C634">
        <v>6</v>
      </c>
      <c r="D634" t="s">
        <v>19</v>
      </c>
      <c r="E634" t="s">
        <v>30</v>
      </c>
      <c r="F634" s="2">
        <v>6786</v>
      </c>
      <c r="G634" s="2">
        <f>Monthly_Growth!$C$7</f>
        <v>737613</v>
      </c>
      <c r="H634" s="5">
        <f>Monthly_Growth!$D$7</f>
        <v>-6.9410696037243105E-2</v>
      </c>
      <c r="I634" s="15">
        <f>Yearly_Growth!$C$2</f>
        <v>5.0333827436586778E-2</v>
      </c>
      <c r="J634" s="15">
        <f>Yearly_Growth!$D$2</f>
        <v>0.03</v>
      </c>
      <c r="K634">
        <f>Sales_Per_Representative!$C$7</f>
        <v>706974</v>
      </c>
      <c r="L634">
        <f>Sales_Per_Rep_Yearly_Goal!$B$2</f>
        <v>665544.80000000005</v>
      </c>
      <c r="M634">
        <f>Sales_Per_Rep_Yearly_Goal!$C$2</f>
        <v>650000</v>
      </c>
    </row>
    <row r="635" spans="1:13" x14ac:dyDescent="0.3">
      <c r="A635" s="3">
        <v>45095</v>
      </c>
      <c r="B635">
        <f t="shared" si="9"/>
        <v>2023</v>
      </c>
      <c r="C635">
        <v>6</v>
      </c>
      <c r="D635" t="s">
        <v>7</v>
      </c>
      <c r="E635" t="s">
        <v>26</v>
      </c>
      <c r="F635" s="2">
        <v>7712</v>
      </c>
      <c r="G635" s="2">
        <f>Monthly_Growth!$C$7</f>
        <v>737613</v>
      </c>
      <c r="H635" s="5">
        <f>Monthly_Growth!$D$7</f>
        <v>-6.9410696037243105E-2</v>
      </c>
      <c r="I635" s="15">
        <f>Yearly_Growth!$C$2</f>
        <v>5.0333827436586778E-2</v>
      </c>
      <c r="J635" s="15">
        <f>Yearly_Growth!$D$2</f>
        <v>0.03</v>
      </c>
      <c r="K635">
        <f>Sales_Per_Representative!$C$16</f>
        <v>666159</v>
      </c>
      <c r="L635">
        <f>Sales_Per_Rep_Yearly_Goal!$B$2</f>
        <v>665544.80000000005</v>
      </c>
      <c r="M635">
        <f>Sales_Per_Rep_Yearly_Goal!$C$2</f>
        <v>650000</v>
      </c>
    </row>
    <row r="636" spans="1:13" x14ac:dyDescent="0.3">
      <c r="A636" s="3">
        <v>45095</v>
      </c>
      <c r="B636">
        <f t="shared" si="9"/>
        <v>2023</v>
      </c>
      <c r="C636">
        <v>6</v>
      </c>
      <c r="D636" t="s">
        <v>17</v>
      </c>
      <c r="E636" t="s">
        <v>31</v>
      </c>
      <c r="F636" s="2">
        <v>5113</v>
      </c>
      <c r="G636" s="2">
        <f>Monthly_Growth!$C$7</f>
        <v>737613</v>
      </c>
      <c r="H636" s="5">
        <f>Monthly_Growth!$D$7</f>
        <v>-6.9410696037243105E-2</v>
      </c>
      <c r="I636" s="15">
        <f>Yearly_Growth!$C$2</f>
        <v>5.0333827436586778E-2</v>
      </c>
      <c r="J636" s="15">
        <f>Yearly_Growth!$D$2</f>
        <v>0.03</v>
      </c>
      <c r="K636">
        <f>Sales_Per_Representative!$C$6</f>
        <v>727823</v>
      </c>
      <c r="L636">
        <f>Sales_Per_Rep_Yearly_Goal!$B$2</f>
        <v>665544.80000000005</v>
      </c>
      <c r="M636">
        <f>Sales_Per_Rep_Yearly_Goal!$C$2</f>
        <v>650000</v>
      </c>
    </row>
    <row r="637" spans="1:13" x14ac:dyDescent="0.3">
      <c r="A637" s="3">
        <v>45096</v>
      </c>
      <c r="B637">
        <f t="shared" si="9"/>
        <v>2023</v>
      </c>
      <c r="C637">
        <v>6</v>
      </c>
      <c r="D637" t="s">
        <v>19</v>
      </c>
      <c r="E637" t="s">
        <v>32</v>
      </c>
      <c r="F637" s="2">
        <v>11827</v>
      </c>
      <c r="G637" s="2">
        <f>Monthly_Growth!$C$7</f>
        <v>737613</v>
      </c>
      <c r="H637" s="5">
        <f>Monthly_Growth!$D$7</f>
        <v>-6.9410696037243105E-2</v>
      </c>
      <c r="I637" s="15">
        <f>Yearly_Growth!$C$2</f>
        <v>5.0333827436586778E-2</v>
      </c>
      <c r="J637" s="15">
        <f>Yearly_Growth!$D$2</f>
        <v>0.03</v>
      </c>
      <c r="K637">
        <f>Sales_Per_Representative!$C$3</f>
        <v>762157</v>
      </c>
      <c r="L637">
        <f>Sales_Per_Rep_Yearly_Goal!$B$2</f>
        <v>665544.80000000005</v>
      </c>
      <c r="M637">
        <f>Sales_Per_Rep_Yearly_Goal!$C$2</f>
        <v>650000</v>
      </c>
    </row>
    <row r="638" spans="1:13" x14ac:dyDescent="0.3">
      <c r="A638" s="3">
        <v>45096</v>
      </c>
      <c r="B638">
        <f t="shared" si="9"/>
        <v>2023</v>
      </c>
      <c r="C638">
        <v>6</v>
      </c>
      <c r="D638" t="s">
        <v>23</v>
      </c>
      <c r="E638" t="s">
        <v>32</v>
      </c>
      <c r="F638" s="2">
        <v>11669</v>
      </c>
      <c r="G638" s="2">
        <f>Monthly_Growth!$C$7</f>
        <v>737613</v>
      </c>
      <c r="H638" s="5">
        <f>Monthly_Growth!$D$7</f>
        <v>-6.9410696037243105E-2</v>
      </c>
      <c r="I638" s="15">
        <f>Yearly_Growth!$C$2</f>
        <v>5.0333827436586778E-2</v>
      </c>
      <c r="J638" s="15">
        <f>Yearly_Growth!$D$2</f>
        <v>0.03</v>
      </c>
      <c r="K638">
        <f>Sales_Per_Representative!$C$3</f>
        <v>762157</v>
      </c>
      <c r="L638">
        <f>Sales_Per_Rep_Yearly_Goal!$B$2</f>
        <v>665544.80000000005</v>
      </c>
      <c r="M638">
        <f>Sales_Per_Rep_Yearly_Goal!$C$2</f>
        <v>650000</v>
      </c>
    </row>
    <row r="639" spans="1:13" x14ac:dyDescent="0.3">
      <c r="A639" s="3">
        <v>45096</v>
      </c>
      <c r="B639">
        <f t="shared" si="9"/>
        <v>2023</v>
      </c>
      <c r="C639">
        <v>6</v>
      </c>
      <c r="D639" t="s">
        <v>23</v>
      </c>
      <c r="E639" t="s">
        <v>20</v>
      </c>
      <c r="F639" s="2">
        <v>8696</v>
      </c>
      <c r="G639" s="2">
        <f>Monthly_Growth!$C$7</f>
        <v>737613</v>
      </c>
      <c r="H639" s="5">
        <f>Monthly_Growth!$D$7</f>
        <v>-6.9410696037243105E-2</v>
      </c>
      <c r="I639" s="15">
        <f>Yearly_Growth!$C$2</f>
        <v>5.0333827436586778E-2</v>
      </c>
      <c r="J639" s="15">
        <f>Yearly_Growth!$D$2</f>
        <v>0.03</v>
      </c>
      <c r="K639">
        <f>Sales_Per_Representative!$C$14</f>
        <v>675530</v>
      </c>
      <c r="L639">
        <f>Sales_Per_Rep_Yearly_Goal!$B$2</f>
        <v>665544.80000000005</v>
      </c>
      <c r="M639">
        <f>Sales_Per_Rep_Yearly_Goal!$C$2</f>
        <v>650000</v>
      </c>
    </row>
    <row r="640" spans="1:13" x14ac:dyDescent="0.3">
      <c r="A640" s="3">
        <v>45096</v>
      </c>
      <c r="B640">
        <f t="shared" si="9"/>
        <v>2023</v>
      </c>
      <c r="C640">
        <v>6</v>
      </c>
      <c r="D640" t="s">
        <v>7</v>
      </c>
      <c r="E640" t="s">
        <v>8</v>
      </c>
      <c r="F640" s="2">
        <v>6184</v>
      </c>
      <c r="G640" s="2">
        <f>Monthly_Growth!$C$7</f>
        <v>737613</v>
      </c>
      <c r="H640" s="5">
        <f>Monthly_Growth!$D$7</f>
        <v>-6.9410696037243105E-2</v>
      </c>
      <c r="I640" s="15">
        <f>Yearly_Growth!$C$2</f>
        <v>5.0333827436586778E-2</v>
      </c>
      <c r="J640" s="15">
        <f>Yearly_Growth!$D$2</f>
        <v>0.03</v>
      </c>
      <c r="K640">
        <f>Sales_Per_Representative!$C$15</f>
        <v>701242</v>
      </c>
      <c r="L640">
        <f>Sales_Per_Rep_Yearly_Goal!$B$2</f>
        <v>665544.80000000005</v>
      </c>
      <c r="M640">
        <f>Sales_Per_Rep_Yearly_Goal!$C$2</f>
        <v>650000</v>
      </c>
    </row>
    <row r="641" spans="1:13" x14ac:dyDescent="0.3">
      <c r="A641" s="3">
        <v>45096</v>
      </c>
      <c r="B641">
        <f t="shared" si="9"/>
        <v>2023</v>
      </c>
      <c r="C641">
        <v>6</v>
      </c>
      <c r="D641" t="s">
        <v>17</v>
      </c>
      <c r="E641" t="s">
        <v>18</v>
      </c>
      <c r="F641" s="2">
        <v>7888</v>
      </c>
      <c r="G641" s="2">
        <f>Monthly_Growth!$C$7</f>
        <v>737613</v>
      </c>
      <c r="H641" s="5">
        <f>Monthly_Growth!$D$7</f>
        <v>-6.9410696037243105E-2</v>
      </c>
      <c r="I641" s="15">
        <f>Yearly_Growth!$C$2</f>
        <v>5.0333827436586778E-2</v>
      </c>
      <c r="J641" s="15">
        <f>Yearly_Growth!$D$2</f>
        <v>0.03</v>
      </c>
      <c r="K641">
        <f>Sales_Per_Representative!$C$9</f>
        <v>550835</v>
      </c>
      <c r="L641">
        <f>Sales_Per_Rep_Yearly_Goal!$B$2</f>
        <v>665544.80000000005</v>
      </c>
      <c r="M641">
        <f>Sales_Per_Rep_Yearly_Goal!$C$2</f>
        <v>650000</v>
      </c>
    </row>
    <row r="642" spans="1:13" x14ac:dyDescent="0.3">
      <c r="A642" s="3">
        <v>45097</v>
      </c>
      <c r="B642">
        <f t="shared" si="9"/>
        <v>2023</v>
      </c>
      <c r="C642">
        <v>6</v>
      </c>
      <c r="D642" t="s">
        <v>19</v>
      </c>
      <c r="E642" t="s">
        <v>22</v>
      </c>
      <c r="F642" s="2">
        <v>2201</v>
      </c>
      <c r="G642" s="2">
        <f>Monthly_Growth!$C$7</f>
        <v>737613</v>
      </c>
      <c r="H642" s="5">
        <f>Monthly_Growth!$D$7</f>
        <v>-6.9410696037243105E-2</v>
      </c>
      <c r="I642" s="15">
        <f>Yearly_Growth!$C$2</f>
        <v>5.0333827436586778E-2</v>
      </c>
      <c r="J642" s="15">
        <f>Yearly_Growth!$D$2</f>
        <v>0.03</v>
      </c>
      <c r="K642">
        <f>Sales_Per_Representative!$C$8</f>
        <v>649456</v>
      </c>
      <c r="L642">
        <f>Sales_Per_Rep_Yearly_Goal!$B$2</f>
        <v>665544.80000000005</v>
      </c>
      <c r="M642">
        <f>Sales_Per_Rep_Yearly_Goal!$C$2</f>
        <v>650000</v>
      </c>
    </row>
    <row r="643" spans="1:13" x14ac:dyDescent="0.3">
      <c r="A643" s="3">
        <v>45097</v>
      </c>
      <c r="B643">
        <f t="shared" ref="B643:B706" si="10">YEAR(A643)</f>
        <v>2023</v>
      </c>
      <c r="C643">
        <v>6</v>
      </c>
      <c r="D643" t="s">
        <v>25</v>
      </c>
      <c r="E643" t="s">
        <v>15</v>
      </c>
      <c r="F643" s="2">
        <v>9426</v>
      </c>
      <c r="G643" s="2">
        <f>Monthly_Growth!$C$7</f>
        <v>737613</v>
      </c>
      <c r="H643" s="5">
        <f>Monthly_Growth!$D$7</f>
        <v>-6.9410696037243105E-2</v>
      </c>
      <c r="I643" s="15">
        <f>Yearly_Growth!$C$2</f>
        <v>5.0333827436586778E-2</v>
      </c>
      <c r="J643" s="15">
        <f>Yearly_Growth!$D$2</f>
        <v>0.03</v>
      </c>
      <c r="K643">
        <f>Sales_Per_Representative!$C$12</f>
        <v>656359</v>
      </c>
      <c r="L643">
        <f>Sales_Per_Rep_Yearly_Goal!$B$2</f>
        <v>665544.80000000005</v>
      </c>
      <c r="M643">
        <f>Sales_Per_Rep_Yearly_Goal!$C$2</f>
        <v>650000</v>
      </c>
    </row>
    <row r="644" spans="1:13" x14ac:dyDescent="0.3">
      <c r="A644" s="3">
        <v>45097</v>
      </c>
      <c r="B644">
        <f t="shared" si="10"/>
        <v>2023</v>
      </c>
      <c r="C644">
        <v>6</v>
      </c>
      <c r="D644" t="s">
        <v>25</v>
      </c>
      <c r="E644" t="s">
        <v>22</v>
      </c>
      <c r="F644" s="2">
        <v>1973</v>
      </c>
      <c r="G644" s="2">
        <f>Monthly_Growth!$C$7</f>
        <v>737613</v>
      </c>
      <c r="H644" s="5">
        <f>Monthly_Growth!$D$7</f>
        <v>-6.9410696037243105E-2</v>
      </c>
      <c r="I644" s="15">
        <f>Yearly_Growth!$C$2</f>
        <v>5.0333827436586778E-2</v>
      </c>
      <c r="J644" s="15">
        <f>Yearly_Growth!$D$2</f>
        <v>0.03</v>
      </c>
      <c r="K644">
        <f>Sales_Per_Representative!$C$8</f>
        <v>649456</v>
      </c>
      <c r="L644">
        <f>Sales_Per_Rep_Yearly_Goal!$B$2</f>
        <v>665544.80000000005</v>
      </c>
      <c r="M644">
        <f>Sales_Per_Rep_Yearly_Goal!$C$2</f>
        <v>650000</v>
      </c>
    </row>
    <row r="645" spans="1:13" x14ac:dyDescent="0.3">
      <c r="A645" s="3">
        <v>45097</v>
      </c>
      <c r="B645">
        <f t="shared" si="10"/>
        <v>2023</v>
      </c>
      <c r="C645">
        <v>6</v>
      </c>
      <c r="D645" t="s">
        <v>7</v>
      </c>
      <c r="E645" t="s">
        <v>5</v>
      </c>
      <c r="F645" s="2">
        <v>2487</v>
      </c>
      <c r="G645" s="2">
        <f>Monthly_Growth!$C$7</f>
        <v>737613</v>
      </c>
      <c r="H645" s="5">
        <f>Monthly_Growth!$D$7</f>
        <v>-6.9410696037243105E-2</v>
      </c>
      <c r="I645" s="15">
        <f>Yearly_Growth!$C$2</f>
        <v>5.0333827436586778E-2</v>
      </c>
      <c r="J645" s="15">
        <f>Yearly_Growth!$D$2</f>
        <v>0.03</v>
      </c>
      <c r="K645">
        <f>Sales_Per_Representative!$C$10</f>
        <v>663333</v>
      </c>
      <c r="L645">
        <f>Sales_Per_Rep_Yearly_Goal!$B$2</f>
        <v>665544.80000000005</v>
      </c>
      <c r="M645">
        <f>Sales_Per_Rep_Yearly_Goal!$C$2</f>
        <v>650000</v>
      </c>
    </row>
    <row r="646" spans="1:13" x14ac:dyDescent="0.3">
      <c r="A646" s="3">
        <v>45098</v>
      </c>
      <c r="B646">
        <f t="shared" si="10"/>
        <v>2023</v>
      </c>
      <c r="C646">
        <v>6</v>
      </c>
      <c r="D646" t="s">
        <v>19</v>
      </c>
      <c r="E646" t="s">
        <v>27</v>
      </c>
      <c r="F646" s="2">
        <v>5283</v>
      </c>
      <c r="G646" s="2">
        <f>Monthly_Growth!$C$7</f>
        <v>737613</v>
      </c>
      <c r="H646" s="5">
        <f>Monthly_Growth!$D$7</f>
        <v>-6.9410696037243105E-2</v>
      </c>
      <c r="I646" s="15">
        <f>Yearly_Growth!$C$2</f>
        <v>5.0333827436586778E-2</v>
      </c>
      <c r="J646" s="15">
        <f>Yearly_Growth!$D$2</f>
        <v>0.03</v>
      </c>
      <c r="K646">
        <f>Sales_Per_Representative!$C$5</f>
        <v>747962</v>
      </c>
      <c r="L646">
        <f>Sales_Per_Rep_Yearly_Goal!$B$2</f>
        <v>665544.80000000005</v>
      </c>
      <c r="M646">
        <f>Sales_Per_Rep_Yearly_Goal!$C$2</f>
        <v>650000</v>
      </c>
    </row>
    <row r="647" spans="1:13" x14ac:dyDescent="0.3">
      <c r="A647" s="3">
        <v>45098</v>
      </c>
      <c r="B647">
        <f t="shared" si="10"/>
        <v>2023</v>
      </c>
      <c r="C647">
        <v>6</v>
      </c>
      <c r="D647" t="s">
        <v>28</v>
      </c>
      <c r="E647" t="s">
        <v>31</v>
      </c>
      <c r="F647" s="2">
        <v>8492</v>
      </c>
      <c r="G647" s="2">
        <f>Monthly_Growth!$C$7</f>
        <v>737613</v>
      </c>
      <c r="H647" s="5">
        <f>Monthly_Growth!$D$7</f>
        <v>-6.9410696037243105E-2</v>
      </c>
      <c r="I647" s="15">
        <f>Yearly_Growth!$C$2</f>
        <v>5.0333827436586778E-2</v>
      </c>
      <c r="J647" s="15">
        <f>Yearly_Growth!$D$2</f>
        <v>0.03</v>
      </c>
      <c r="K647">
        <f>Sales_Per_Representative!$C$6</f>
        <v>727823</v>
      </c>
      <c r="L647">
        <f>Sales_Per_Rep_Yearly_Goal!$B$2</f>
        <v>665544.80000000005</v>
      </c>
      <c r="M647">
        <f>Sales_Per_Rep_Yearly_Goal!$C$2</f>
        <v>650000</v>
      </c>
    </row>
    <row r="648" spans="1:13" x14ac:dyDescent="0.3">
      <c r="A648" s="3">
        <v>45099</v>
      </c>
      <c r="B648">
        <f t="shared" si="10"/>
        <v>2023</v>
      </c>
      <c r="C648">
        <v>6</v>
      </c>
      <c r="D648" t="s">
        <v>19</v>
      </c>
      <c r="E648" t="s">
        <v>29</v>
      </c>
      <c r="F648" s="2">
        <v>8283</v>
      </c>
      <c r="G648" s="2">
        <f>Monthly_Growth!$C$7</f>
        <v>737613</v>
      </c>
      <c r="H648" s="5">
        <f>Monthly_Growth!$D$7</f>
        <v>-6.9410696037243105E-2</v>
      </c>
      <c r="I648" s="15">
        <f>Yearly_Growth!$C$2</f>
        <v>5.0333827436586778E-2</v>
      </c>
      <c r="J648" s="15">
        <f>Yearly_Growth!$D$2</f>
        <v>0.03</v>
      </c>
      <c r="K648">
        <f>Sales_Per_Representative!$C$13</f>
        <v>621548</v>
      </c>
      <c r="L648">
        <f>Sales_Per_Rep_Yearly_Goal!$B$2</f>
        <v>665544.80000000005</v>
      </c>
      <c r="M648">
        <f>Sales_Per_Rep_Yearly_Goal!$C$2</f>
        <v>650000</v>
      </c>
    </row>
    <row r="649" spans="1:13" x14ac:dyDescent="0.3">
      <c r="A649" s="3">
        <v>45099</v>
      </c>
      <c r="B649">
        <f t="shared" si="10"/>
        <v>2023</v>
      </c>
      <c r="C649">
        <v>6</v>
      </c>
      <c r="D649" t="s">
        <v>12</v>
      </c>
      <c r="E649" t="s">
        <v>10</v>
      </c>
      <c r="F649" s="2">
        <v>3030</v>
      </c>
      <c r="G649" s="2">
        <f>Monthly_Growth!$C$7</f>
        <v>737613</v>
      </c>
      <c r="H649" s="5">
        <f>Monthly_Growth!$D$7</f>
        <v>-6.9410696037243105E-2</v>
      </c>
      <c r="I649" s="15">
        <f>Yearly_Growth!$C$2</f>
        <v>5.0333827436586778E-2</v>
      </c>
      <c r="J649" s="15">
        <f>Yearly_Growth!$D$2</f>
        <v>0.03</v>
      </c>
      <c r="K649">
        <f>Sales_Per_Representative!$C$4</f>
        <v>725713</v>
      </c>
      <c r="L649">
        <f>Sales_Per_Rep_Yearly_Goal!$B$2</f>
        <v>665544.80000000005</v>
      </c>
      <c r="M649">
        <f>Sales_Per_Rep_Yearly_Goal!$C$2</f>
        <v>650000</v>
      </c>
    </row>
    <row r="650" spans="1:13" x14ac:dyDescent="0.3">
      <c r="A650" s="3">
        <v>45100</v>
      </c>
      <c r="B650">
        <f t="shared" si="10"/>
        <v>2023</v>
      </c>
      <c r="C650">
        <v>6</v>
      </c>
      <c r="D650" t="s">
        <v>14</v>
      </c>
      <c r="E650" t="s">
        <v>26</v>
      </c>
      <c r="F650" s="2">
        <v>11453</v>
      </c>
      <c r="G650" s="2">
        <f>Monthly_Growth!$C$7</f>
        <v>737613</v>
      </c>
      <c r="H650" s="5">
        <f>Monthly_Growth!$D$7</f>
        <v>-6.9410696037243105E-2</v>
      </c>
      <c r="I650" s="15">
        <f>Yearly_Growth!$C$2</f>
        <v>5.0333827436586778E-2</v>
      </c>
      <c r="J650" s="15">
        <f>Yearly_Growth!$D$2</f>
        <v>0.03</v>
      </c>
      <c r="K650">
        <f>Sales_Per_Representative!$C$16</f>
        <v>666159</v>
      </c>
      <c r="L650">
        <f>Sales_Per_Rep_Yearly_Goal!$B$2</f>
        <v>665544.80000000005</v>
      </c>
      <c r="M650">
        <f>Sales_Per_Rep_Yearly_Goal!$C$2</f>
        <v>650000</v>
      </c>
    </row>
    <row r="651" spans="1:13" x14ac:dyDescent="0.3">
      <c r="A651" s="3">
        <v>45100</v>
      </c>
      <c r="B651">
        <f t="shared" si="10"/>
        <v>2023</v>
      </c>
      <c r="C651">
        <v>6</v>
      </c>
      <c r="D651" t="s">
        <v>23</v>
      </c>
      <c r="E651" t="s">
        <v>8</v>
      </c>
      <c r="F651" s="2">
        <v>4835</v>
      </c>
      <c r="G651" s="2">
        <f>Monthly_Growth!$C$7</f>
        <v>737613</v>
      </c>
      <c r="H651" s="5">
        <f>Monthly_Growth!$D$7</f>
        <v>-6.9410696037243105E-2</v>
      </c>
      <c r="I651" s="15">
        <f>Yearly_Growth!$C$2</f>
        <v>5.0333827436586778E-2</v>
      </c>
      <c r="J651" s="15">
        <f>Yearly_Growth!$D$2</f>
        <v>0.03</v>
      </c>
      <c r="K651">
        <f>Sales_Per_Representative!$C$15</f>
        <v>701242</v>
      </c>
      <c r="L651">
        <f>Sales_Per_Rep_Yearly_Goal!$B$2</f>
        <v>665544.80000000005</v>
      </c>
      <c r="M651">
        <f>Sales_Per_Rep_Yearly_Goal!$C$2</f>
        <v>650000</v>
      </c>
    </row>
    <row r="652" spans="1:13" x14ac:dyDescent="0.3">
      <c r="A652" s="3">
        <v>45100</v>
      </c>
      <c r="B652">
        <f t="shared" si="10"/>
        <v>2023</v>
      </c>
      <c r="C652">
        <v>6</v>
      </c>
      <c r="D652" t="s">
        <v>23</v>
      </c>
      <c r="E652" t="s">
        <v>24</v>
      </c>
      <c r="F652" s="2">
        <v>10504</v>
      </c>
      <c r="G652" s="2">
        <f>Monthly_Growth!$C$7</f>
        <v>737613</v>
      </c>
      <c r="H652" s="5">
        <f>Monthly_Growth!$D$7</f>
        <v>-6.9410696037243105E-2</v>
      </c>
      <c r="I652" s="15">
        <f>Yearly_Growth!$C$2</f>
        <v>5.0333827436586778E-2</v>
      </c>
      <c r="J652" s="15">
        <f>Yearly_Growth!$D$2</f>
        <v>0.03</v>
      </c>
      <c r="K652">
        <f>Sales_Per_Representative!$C$2</f>
        <v>631195</v>
      </c>
      <c r="L652">
        <f>Sales_Per_Rep_Yearly_Goal!$B$2</f>
        <v>665544.80000000005</v>
      </c>
      <c r="M652">
        <f>Sales_Per_Rep_Yearly_Goal!$C$2</f>
        <v>650000</v>
      </c>
    </row>
    <row r="653" spans="1:13" x14ac:dyDescent="0.3">
      <c r="A653" s="3">
        <v>45100</v>
      </c>
      <c r="B653">
        <f t="shared" si="10"/>
        <v>2023</v>
      </c>
      <c r="C653">
        <v>6</v>
      </c>
      <c r="D653" t="s">
        <v>25</v>
      </c>
      <c r="E653" t="s">
        <v>20</v>
      </c>
      <c r="F653" s="2">
        <v>3710</v>
      </c>
      <c r="G653" s="2">
        <f>Monthly_Growth!$C$7</f>
        <v>737613</v>
      </c>
      <c r="H653" s="5">
        <f>Monthly_Growth!$D$7</f>
        <v>-6.9410696037243105E-2</v>
      </c>
      <c r="I653" s="15">
        <f>Yearly_Growth!$C$2</f>
        <v>5.0333827436586778E-2</v>
      </c>
      <c r="J653" s="15">
        <f>Yearly_Growth!$D$2</f>
        <v>0.03</v>
      </c>
      <c r="K653">
        <f>Sales_Per_Representative!$C$14</f>
        <v>675530</v>
      </c>
      <c r="L653">
        <f>Sales_Per_Rep_Yearly_Goal!$B$2</f>
        <v>665544.80000000005</v>
      </c>
      <c r="M653">
        <f>Sales_Per_Rep_Yearly_Goal!$C$2</f>
        <v>650000</v>
      </c>
    </row>
    <row r="654" spans="1:13" x14ac:dyDescent="0.3">
      <c r="A654" s="3">
        <v>45100</v>
      </c>
      <c r="B654">
        <f t="shared" si="10"/>
        <v>2023</v>
      </c>
      <c r="C654">
        <v>6</v>
      </c>
      <c r="D654" t="s">
        <v>7</v>
      </c>
      <c r="E654" t="s">
        <v>29</v>
      </c>
      <c r="F654" s="2">
        <v>7527</v>
      </c>
      <c r="G654" s="2">
        <f>Monthly_Growth!$C$7</f>
        <v>737613</v>
      </c>
      <c r="H654" s="5">
        <f>Monthly_Growth!$D$7</f>
        <v>-6.9410696037243105E-2</v>
      </c>
      <c r="I654" s="15">
        <f>Yearly_Growth!$C$2</f>
        <v>5.0333827436586778E-2</v>
      </c>
      <c r="J654" s="15">
        <f>Yearly_Growth!$D$2</f>
        <v>0.03</v>
      </c>
      <c r="K654">
        <f>Sales_Per_Representative!$C$13</f>
        <v>621548</v>
      </c>
      <c r="L654">
        <f>Sales_Per_Rep_Yearly_Goal!$B$2</f>
        <v>665544.80000000005</v>
      </c>
      <c r="M654">
        <f>Sales_Per_Rep_Yearly_Goal!$C$2</f>
        <v>650000</v>
      </c>
    </row>
    <row r="655" spans="1:13" x14ac:dyDescent="0.3">
      <c r="A655" s="3">
        <v>45101</v>
      </c>
      <c r="B655">
        <f t="shared" si="10"/>
        <v>2023</v>
      </c>
      <c r="C655">
        <v>6</v>
      </c>
      <c r="D655" t="s">
        <v>14</v>
      </c>
      <c r="E655" t="s">
        <v>29</v>
      </c>
      <c r="F655" s="2">
        <v>10079</v>
      </c>
      <c r="G655" s="2">
        <f>Monthly_Growth!$C$7</f>
        <v>737613</v>
      </c>
      <c r="H655" s="5">
        <f>Monthly_Growth!$D$7</f>
        <v>-6.9410696037243105E-2</v>
      </c>
      <c r="I655" s="15">
        <f>Yearly_Growth!$C$2</f>
        <v>5.0333827436586778E-2</v>
      </c>
      <c r="J655" s="15">
        <f>Yearly_Growth!$D$2</f>
        <v>0.03</v>
      </c>
      <c r="K655">
        <f>Sales_Per_Representative!$C$13</f>
        <v>621548</v>
      </c>
      <c r="L655">
        <f>Sales_Per_Rep_Yearly_Goal!$B$2</f>
        <v>665544.80000000005</v>
      </c>
      <c r="M655">
        <f>Sales_Per_Rep_Yearly_Goal!$C$2</f>
        <v>650000</v>
      </c>
    </row>
    <row r="656" spans="1:13" x14ac:dyDescent="0.3">
      <c r="A656" s="3">
        <v>45101</v>
      </c>
      <c r="B656">
        <f t="shared" si="10"/>
        <v>2023</v>
      </c>
      <c r="C656">
        <v>6</v>
      </c>
      <c r="D656" t="s">
        <v>28</v>
      </c>
      <c r="E656" t="s">
        <v>15</v>
      </c>
      <c r="F656" s="2">
        <v>2208</v>
      </c>
      <c r="G656" s="2">
        <f>Monthly_Growth!$C$7</f>
        <v>737613</v>
      </c>
      <c r="H656" s="5">
        <f>Monthly_Growth!$D$7</f>
        <v>-6.9410696037243105E-2</v>
      </c>
      <c r="I656" s="15">
        <f>Yearly_Growth!$C$2</f>
        <v>5.0333827436586778E-2</v>
      </c>
      <c r="J656" s="15">
        <f>Yearly_Growth!$D$2</f>
        <v>0.03</v>
      </c>
      <c r="K656">
        <f>Sales_Per_Representative!$C$12</f>
        <v>656359</v>
      </c>
      <c r="L656">
        <f>Sales_Per_Rep_Yearly_Goal!$B$2</f>
        <v>665544.80000000005</v>
      </c>
      <c r="M656">
        <f>Sales_Per_Rep_Yearly_Goal!$C$2</f>
        <v>650000</v>
      </c>
    </row>
    <row r="657" spans="1:13" x14ac:dyDescent="0.3">
      <c r="A657" s="3">
        <v>45102</v>
      </c>
      <c r="B657">
        <f t="shared" si="10"/>
        <v>2023</v>
      </c>
      <c r="C657">
        <v>6</v>
      </c>
      <c r="D657" t="s">
        <v>23</v>
      </c>
      <c r="E657" t="s">
        <v>20</v>
      </c>
      <c r="F657" s="2">
        <v>5606</v>
      </c>
      <c r="G657" s="2">
        <f>Monthly_Growth!$C$7</f>
        <v>737613</v>
      </c>
      <c r="H657" s="5">
        <f>Monthly_Growth!$D$7</f>
        <v>-6.9410696037243105E-2</v>
      </c>
      <c r="I657" s="15">
        <f>Yearly_Growth!$C$2</f>
        <v>5.0333827436586778E-2</v>
      </c>
      <c r="J657" s="15">
        <f>Yearly_Growth!$D$2</f>
        <v>0.03</v>
      </c>
      <c r="K657">
        <f>Sales_Per_Representative!$C$14</f>
        <v>675530</v>
      </c>
      <c r="L657">
        <f>Sales_Per_Rep_Yearly_Goal!$B$2</f>
        <v>665544.80000000005</v>
      </c>
      <c r="M657">
        <f>Sales_Per_Rep_Yearly_Goal!$C$2</f>
        <v>650000</v>
      </c>
    </row>
    <row r="658" spans="1:13" x14ac:dyDescent="0.3">
      <c r="A658" s="3">
        <v>45102</v>
      </c>
      <c r="B658">
        <f t="shared" si="10"/>
        <v>2023</v>
      </c>
      <c r="C658">
        <v>6</v>
      </c>
      <c r="D658" t="s">
        <v>28</v>
      </c>
      <c r="E658" t="s">
        <v>15</v>
      </c>
      <c r="F658" s="2">
        <v>7594</v>
      </c>
      <c r="G658" s="2">
        <f>Monthly_Growth!$C$7</f>
        <v>737613</v>
      </c>
      <c r="H658" s="5">
        <f>Monthly_Growth!$D$7</f>
        <v>-6.9410696037243105E-2</v>
      </c>
      <c r="I658" s="15">
        <f>Yearly_Growth!$C$2</f>
        <v>5.0333827436586778E-2</v>
      </c>
      <c r="J658" s="15">
        <f>Yearly_Growth!$D$2</f>
        <v>0.03</v>
      </c>
      <c r="K658">
        <f>Sales_Per_Representative!$C$12</f>
        <v>656359</v>
      </c>
      <c r="L658">
        <f>Sales_Per_Rep_Yearly_Goal!$B$2</f>
        <v>665544.80000000005</v>
      </c>
      <c r="M658">
        <f>Sales_Per_Rep_Yearly_Goal!$C$2</f>
        <v>650000</v>
      </c>
    </row>
    <row r="659" spans="1:13" x14ac:dyDescent="0.3">
      <c r="A659" s="3">
        <v>45102</v>
      </c>
      <c r="B659">
        <f t="shared" si="10"/>
        <v>2023</v>
      </c>
      <c r="C659">
        <v>6</v>
      </c>
      <c r="D659" t="s">
        <v>17</v>
      </c>
      <c r="E659" t="s">
        <v>32</v>
      </c>
      <c r="F659" s="2">
        <v>6915</v>
      </c>
      <c r="G659" s="2">
        <f>Monthly_Growth!$C$7</f>
        <v>737613</v>
      </c>
      <c r="H659" s="5">
        <f>Monthly_Growth!$D$7</f>
        <v>-6.9410696037243105E-2</v>
      </c>
      <c r="I659" s="15">
        <f>Yearly_Growth!$C$2</f>
        <v>5.0333827436586778E-2</v>
      </c>
      <c r="J659" s="15">
        <f>Yearly_Growth!$D$2</f>
        <v>0.03</v>
      </c>
      <c r="K659">
        <f>Sales_Per_Representative!$C$3</f>
        <v>762157</v>
      </c>
      <c r="L659">
        <f>Sales_Per_Rep_Yearly_Goal!$B$2</f>
        <v>665544.80000000005</v>
      </c>
      <c r="M659">
        <f>Sales_Per_Rep_Yearly_Goal!$C$2</f>
        <v>650000</v>
      </c>
    </row>
    <row r="660" spans="1:13" x14ac:dyDescent="0.3">
      <c r="A660" s="3">
        <v>45102</v>
      </c>
      <c r="B660">
        <f t="shared" si="10"/>
        <v>2023</v>
      </c>
      <c r="C660">
        <v>6</v>
      </c>
      <c r="D660" t="s">
        <v>12</v>
      </c>
      <c r="E660" t="s">
        <v>29</v>
      </c>
      <c r="F660" s="2">
        <v>13557</v>
      </c>
      <c r="G660" s="2">
        <f>Monthly_Growth!$C$7</f>
        <v>737613</v>
      </c>
      <c r="H660" s="5">
        <f>Monthly_Growth!$D$7</f>
        <v>-6.9410696037243105E-2</v>
      </c>
      <c r="I660" s="15">
        <f>Yearly_Growth!$C$2</f>
        <v>5.0333827436586778E-2</v>
      </c>
      <c r="J660" s="15">
        <f>Yearly_Growth!$D$2</f>
        <v>0.03</v>
      </c>
      <c r="K660">
        <f>Sales_Per_Representative!$C$13</f>
        <v>621548</v>
      </c>
      <c r="L660">
        <f>Sales_Per_Rep_Yearly_Goal!$B$2</f>
        <v>665544.80000000005</v>
      </c>
      <c r="M660">
        <f>Sales_Per_Rep_Yearly_Goal!$C$2</f>
        <v>650000</v>
      </c>
    </row>
    <row r="661" spans="1:13" x14ac:dyDescent="0.3">
      <c r="A661" s="3">
        <v>45102</v>
      </c>
      <c r="B661">
        <f t="shared" si="10"/>
        <v>2023</v>
      </c>
      <c r="C661">
        <v>6</v>
      </c>
      <c r="D661" t="s">
        <v>12</v>
      </c>
      <c r="E661" t="s">
        <v>24</v>
      </c>
      <c r="F661" s="2">
        <v>1275</v>
      </c>
      <c r="G661" s="2">
        <f>Monthly_Growth!$C$7</f>
        <v>737613</v>
      </c>
      <c r="H661" s="5">
        <f>Monthly_Growth!$D$7</f>
        <v>-6.9410696037243105E-2</v>
      </c>
      <c r="I661" s="15">
        <f>Yearly_Growth!$C$2</f>
        <v>5.0333827436586778E-2</v>
      </c>
      <c r="J661" s="15">
        <f>Yearly_Growth!$D$2</f>
        <v>0.03</v>
      </c>
      <c r="K661">
        <f>Sales_Per_Representative!$C$2</f>
        <v>631195</v>
      </c>
      <c r="L661">
        <f>Sales_Per_Rep_Yearly_Goal!$B$2</f>
        <v>665544.80000000005</v>
      </c>
      <c r="M661">
        <f>Sales_Per_Rep_Yearly_Goal!$C$2</f>
        <v>650000</v>
      </c>
    </row>
    <row r="662" spans="1:13" x14ac:dyDescent="0.3">
      <c r="A662" s="3">
        <v>45104</v>
      </c>
      <c r="B662">
        <f t="shared" si="10"/>
        <v>2023</v>
      </c>
      <c r="C662">
        <v>6</v>
      </c>
      <c r="D662" t="s">
        <v>14</v>
      </c>
      <c r="E662" t="s">
        <v>18</v>
      </c>
      <c r="F662" s="2">
        <v>9240</v>
      </c>
      <c r="G662" s="2">
        <f>Monthly_Growth!$C$7</f>
        <v>737613</v>
      </c>
      <c r="H662" s="5">
        <f>Monthly_Growth!$D$7</f>
        <v>-6.9410696037243105E-2</v>
      </c>
      <c r="I662" s="15">
        <f>Yearly_Growth!$C$2</f>
        <v>5.0333827436586778E-2</v>
      </c>
      <c r="J662" s="15">
        <f>Yearly_Growth!$D$2</f>
        <v>0.03</v>
      </c>
      <c r="K662">
        <f>Sales_Per_Representative!$C$9</f>
        <v>550835</v>
      </c>
      <c r="L662">
        <f>Sales_Per_Rep_Yearly_Goal!$B$2</f>
        <v>665544.80000000005</v>
      </c>
      <c r="M662">
        <f>Sales_Per_Rep_Yearly_Goal!$C$2</f>
        <v>650000</v>
      </c>
    </row>
    <row r="663" spans="1:13" x14ac:dyDescent="0.3">
      <c r="A663" s="3">
        <v>45105</v>
      </c>
      <c r="B663">
        <f t="shared" si="10"/>
        <v>2023</v>
      </c>
      <c r="C663">
        <v>6</v>
      </c>
      <c r="D663" t="s">
        <v>23</v>
      </c>
      <c r="E663" t="s">
        <v>24</v>
      </c>
      <c r="F663" s="2">
        <v>11948</v>
      </c>
      <c r="G663" s="2">
        <f>Monthly_Growth!$C$7</f>
        <v>737613</v>
      </c>
      <c r="H663" s="5">
        <f>Monthly_Growth!$D$7</f>
        <v>-6.9410696037243105E-2</v>
      </c>
      <c r="I663" s="15">
        <f>Yearly_Growth!$C$2</f>
        <v>5.0333827436586778E-2</v>
      </c>
      <c r="J663" s="15">
        <f>Yearly_Growth!$D$2</f>
        <v>0.03</v>
      </c>
      <c r="K663">
        <f>Sales_Per_Representative!$C$2</f>
        <v>631195</v>
      </c>
      <c r="L663">
        <f>Sales_Per_Rep_Yearly_Goal!$B$2</f>
        <v>665544.80000000005</v>
      </c>
      <c r="M663">
        <f>Sales_Per_Rep_Yearly_Goal!$C$2</f>
        <v>650000</v>
      </c>
    </row>
    <row r="664" spans="1:13" x14ac:dyDescent="0.3">
      <c r="A664" s="3">
        <v>45105</v>
      </c>
      <c r="B664">
        <f t="shared" si="10"/>
        <v>2023</v>
      </c>
      <c r="C664">
        <v>6</v>
      </c>
      <c r="D664" t="s">
        <v>7</v>
      </c>
      <c r="E664" t="s">
        <v>24</v>
      </c>
      <c r="F664" s="2">
        <v>10761</v>
      </c>
      <c r="G664" s="2">
        <f>Monthly_Growth!$C$7</f>
        <v>737613</v>
      </c>
      <c r="H664" s="5">
        <f>Monthly_Growth!$D$7</f>
        <v>-6.9410696037243105E-2</v>
      </c>
      <c r="I664" s="15">
        <f>Yearly_Growth!$C$2</f>
        <v>5.0333827436586778E-2</v>
      </c>
      <c r="J664" s="15">
        <f>Yearly_Growth!$D$2</f>
        <v>0.03</v>
      </c>
      <c r="K664">
        <f>Sales_Per_Representative!$C$2</f>
        <v>631195</v>
      </c>
      <c r="L664">
        <f>Sales_Per_Rep_Yearly_Goal!$B$2</f>
        <v>665544.80000000005</v>
      </c>
      <c r="M664">
        <f>Sales_Per_Rep_Yearly_Goal!$C$2</f>
        <v>650000</v>
      </c>
    </row>
    <row r="665" spans="1:13" x14ac:dyDescent="0.3">
      <c r="A665" s="3">
        <v>45105</v>
      </c>
      <c r="B665">
        <f t="shared" si="10"/>
        <v>2023</v>
      </c>
      <c r="C665">
        <v>6</v>
      </c>
      <c r="D665" t="s">
        <v>28</v>
      </c>
      <c r="E665" t="s">
        <v>24</v>
      </c>
      <c r="F665" s="2">
        <v>2590</v>
      </c>
      <c r="G665" s="2">
        <f>Monthly_Growth!$C$7</f>
        <v>737613</v>
      </c>
      <c r="H665" s="5">
        <f>Monthly_Growth!$D$7</f>
        <v>-6.9410696037243105E-2</v>
      </c>
      <c r="I665" s="15">
        <f>Yearly_Growth!$C$2</f>
        <v>5.0333827436586778E-2</v>
      </c>
      <c r="J665" s="15">
        <f>Yearly_Growth!$D$2</f>
        <v>0.03</v>
      </c>
      <c r="K665">
        <f>Sales_Per_Representative!$C$2</f>
        <v>631195</v>
      </c>
      <c r="L665">
        <f>Sales_Per_Rep_Yearly_Goal!$B$2</f>
        <v>665544.80000000005</v>
      </c>
      <c r="M665">
        <f>Sales_Per_Rep_Yearly_Goal!$C$2</f>
        <v>650000</v>
      </c>
    </row>
    <row r="666" spans="1:13" x14ac:dyDescent="0.3">
      <c r="A666" s="3">
        <v>45106</v>
      </c>
      <c r="B666">
        <f t="shared" si="10"/>
        <v>2023</v>
      </c>
      <c r="C666">
        <v>6</v>
      </c>
      <c r="D666" t="s">
        <v>14</v>
      </c>
      <c r="E666" t="s">
        <v>33</v>
      </c>
      <c r="F666" s="2">
        <v>13349</v>
      </c>
      <c r="G666" s="2">
        <f>Monthly_Growth!$C$7</f>
        <v>737613</v>
      </c>
      <c r="H666" s="5">
        <f>Monthly_Growth!$D$7</f>
        <v>-6.9410696037243105E-2</v>
      </c>
      <c r="I666" s="15">
        <f>Yearly_Growth!$C$2</f>
        <v>5.0333827436586778E-2</v>
      </c>
      <c r="J666" s="15">
        <f>Yearly_Growth!$D$2</f>
        <v>0.03</v>
      </c>
      <c r="K666">
        <f>Sales_Per_Representative!$C$11</f>
        <v>496886</v>
      </c>
      <c r="L666">
        <f>Sales_Per_Rep_Yearly_Goal!$B$2</f>
        <v>665544.80000000005</v>
      </c>
      <c r="M666">
        <f>Sales_Per_Rep_Yearly_Goal!$C$2</f>
        <v>650000</v>
      </c>
    </row>
    <row r="667" spans="1:13" x14ac:dyDescent="0.3">
      <c r="A667" s="3">
        <v>45106</v>
      </c>
      <c r="B667">
        <f t="shared" si="10"/>
        <v>2023</v>
      </c>
      <c r="C667">
        <v>6</v>
      </c>
      <c r="D667" t="s">
        <v>14</v>
      </c>
      <c r="E667" t="s">
        <v>29</v>
      </c>
      <c r="F667" s="2">
        <v>6527</v>
      </c>
      <c r="G667" s="2">
        <f>Monthly_Growth!$C$7</f>
        <v>737613</v>
      </c>
      <c r="H667" s="5">
        <f>Monthly_Growth!$D$7</f>
        <v>-6.9410696037243105E-2</v>
      </c>
      <c r="I667" s="15">
        <f>Yearly_Growth!$C$2</f>
        <v>5.0333827436586778E-2</v>
      </c>
      <c r="J667" s="15">
        <f>Yearly_Growth!$D$2</f>
        <v>0.03</v>
      </c>
      <c r="K667">
        <f>Sales_Per_Representative!$C$13</f>
        <v>621548</v>
      </c>
      <c r="L667">
        <f>Sales_Per_Rep_Yearly_Goal!$B$2</f>
        <v>665544.80000000005</v>
      </c>
      <c r="M667">
        <f>Sales_Per_Rep_Yearly_Goal!$C$2</f>
        <v>650000</v>
      </c>
    </row>
    <row r="668" spans="1:13" x14ac:dyDescent="0.3">
      <c r="A668" s="3">
        <v>45106</v>
      </c>
      <c r="B668">
        <f t="shared" si="10"/>
        <v>2023</v>
      </c>
      <c r="C668">
        <v>6</v>
      </c>
      <c r="D668" t="s">
        <v>19</v>
      </c>
      <c r="E668" t="s">
        <v>32</v>
      </c>
      <c r="F668" s="2">
        <v>13474</v>
      </c>
      <c r="G668" s="2">
        <f>Monthly_Growth!$C$7</f>
        <v>737613</v>
      </c>
      <c r="H668" s="5">
        <f>Monthly_Growth!$D$7</f>
        <v>-6.9410696037243105E-2</v>
      </c>
      <c r="I668" s="15">
        <f>Yearly_Growth!$C$2</f>
        <v>5.0333827436586778E-2</v>
      </c>
      <c r="J668" s="15">
        <f>Yearly_Growth!$D$2</f>
        <v>0.03</v>
      </c>
      <c r="K668">
        <f>Sales_Per_Representative!$C$3</f>
        <v>762157</v>
      </c>
      <c r="L668">
        <f>Sales_Per_Rep_Yearly_Goal!$B$2</f>
        <v>665544.80000000005</v>
      </c>
      <c r="M668">
        <f>Sales_Per_Rep_Yearly_Goal!$C$2</f>
        <v>650000</v>
      </c>
    </row>
    <row r="669" spans="1:13" x14ac:dyDescent="0.3">
      <c r="A669" s="3">
        <v>45106</v>
      </c>
      <c r="B669">
        <f t="shared" si="10"/>
        <v>2023</v>
      </c>
      <c r="C669">
        <v>6</v>
      </c>
      <c r="D669" t="s">
        <v>23</v>
      </c>
      <c r="E669" t="s">
        <v>33</v>
      </c>
      <c r="F669" s="2">
        <v>11429</v>
      </c>
      <c r="G669" s="2">
        <f>Monthly_Growth!$C$7</f>
        <v>737613</v>
      </c>
      <c r="H669" s="5">
        <f>Monthly_Growth!$D$7</f>
        <v>-6.9410696037243105E-2</v>
      </c>
      <c r="I669" s="15">
        <f>Yearly_Growth!$C$2</f>
        <v>5.0333827436586778E-2</v>
      </c>
      <c r="J669" s="15">
        <f>Yearly_Growth!$D$2</f>
        <v>0.03</v>
      </c>
      <c r="K669">
        <f>Sales_Per_Representative!$C$11</f>
        <v>496886</v>
      </c>
      <c r="L669">
        <f>Sales_Per_Rep_Yearly_Goal!$B$2</f>
        <v>665544.80000000005</v>
      </c>
      <c r="M669">
        <f>Sales_Per_Rep_Yearly_Goal!$C$2</f>
        <v>650000</v>
      </c>
    </row>
    <row r="670" spans="1:13" x14ac:dyDescent="0.3">
      <c r="A670" s="3">
        <v>45106</v>
      </c>
      <c r="B670">
        <f t="shared" si="10"/>
        <v>2023</v>
      </c>
      <c r="C670">
        <v>6</v>
      </c>
      <c r="D670" t="s">
        <v>12</v>
      </c>
      <c r="E670" t="s">
        <v>24</v>
      </c>
      <c r="F670" s="2">
        <v>6421</v>
      </c>
      <c r="G670" s="2">
        <f>Monthly_Growth!$C$7</f>
        <v>737613</v>
      </c>
      <c r="H670" s="5">
        <f>Monthly_Growth!$D$7</f>
        <v>-6.9410696037243105E-2</v>
      </c>
      <c r="I670" s="15">
        <f>Yearly_Growth!$C$2</f>
        <v>5.0333827436586778E-2</v>
      </c>
      <c r="J670" s="15">
        <f>Yearly_Growth!$D$2</f>
        <v>0.03</v>
      </c>
      <c r="K670">
        <f>Sales_Per_Representative!$C$2</f>
        <v>631195</v>
      </c>
      <c r="L670">
        <f>Sales_Per_Rep_Yearly_Goal!$B$2</f>
        <v>665544.80000000005</v>
      </c>
      <c r="M670">
        <f>Sales_Per_Rep_Yearly_Goal!$C$2</f>
        <v>650000</v>
      </c>
    </row>
    <row r="671" spans="1:13" x14ac:dyDescent="0.3">
      <c r="A671" s="3">
        <v>45107</v>
      </c>
      <c r="B671">
        <f t="shared" si="10"/>
        <v>2023</v>
      </c>
      <c r="C671">
        <v>6</v>
      </c>
      <c r="D671" t="s">
        <v>14</v>
      </c>
      <c r="E671" t="s">
        <v>33</v>
      </c>
      <c r="F671" s="2">
        <v>1199</v>
      </c>
      <c r="G671" s="2">
        <f>Monthly_Growth!$C$7</f>
        <v>737613</v>
      </c>
      <c r="H671" s="5">
        <f>Monthly_Growth!$D$7</f>
        <v>-6.9410696037243105E-2</v>
      </c>
      <c r="I671" s="15">
        <f>Yearly_Growth!$C$2</f>
        <v>5.0333827436586778E-2</v>
      </c>
      <c r="J671" s="15">
        <f>Yearly_Growth!$D$2</f>
        <v>0.03</v>
      </c>
      <c r="K671">
        <f>Sales_Per_Representative!$C$11</f>
        <v>496886</v>
      </c>
      <c r="L671">
        <f>Sales_Per_Rep_Yearly_Goal!$B$2</f>
        <v>665544.80000000005</v>
      </c>
      <c r="M671">
        <f>Sales_Per_Rep_Yearly_Goal!$C$2</f>
        <v>650000</v>
      </c>
    </row>
    <row r="672" spans="1:13" x14ac:dyDescent="0.3">
      <c r="A672" s="3">
        <v>45107</v>
      </c>
      <c r="B672">
        <f t="shared" si="10"/>
        <v>2023</v>
      </c>
      <c r="C672">
        <v>6</v>
      </c>
      <c r="D672" t="s">
        <v>19</v>
      </c>
      <c r="E672" t="s">
        <v>27</v>
      </c>
      <c r="F672" s="2">
        <v>1977</v>
      </c>
      <c r="G672" s="2">
        <f>Monthly_Growth!$C$7</f>
        <v>737613</v>
      </c>
      <c r="H672" s="5">
        <f>Monthly_Growth!$D$7</f>
        <v>-6.9410696037243105E-2</v>
      </c>
      <c r="I672" s="15">
        <f>Yearly_Growth!$C$2</f>
        <v>5.0333827436586778E-2</v>
      </c>
      <c r="J672" s="15">
        <f>Yearly_Growth!$D$2</f>
        <v>0.03</v>
      </c>
      <c r="K672">
        <f>Sales_Per_Representative!$C$5</f>
        <v>747962</v>
      </c>
      <c r="L672">
        <f>Sales_Per_Rep_Yearly_Goal!$B$2</f>
        <v>665544.80000000005</v>
      </c>
      <c r="M672">
        <f>Sales_Per_Rep_Yearly_Goal!$C$2</f>
        <v>650000</v>
      </c>
    </row>
    <row r="673" spans="1:13" x14ac:dyDescent="0.3">
      <c r="A673" s="3">
        <v>45107</v>
      </c>
      <c r="B673">
        <f t="shared" si="10"/>
        <v>2023</v>
      </c>
      <c r="C673">
        <v>6</v>
      </c>
      <c r="D673" t="s">
        <v>28</v>
      </c>
      <c r="E673" t="s">
        <v>20</v>
      </c>
      <c r="F673" s="2">
        <v>6577</v>
      </c>
      <c r="G673" s="2">
        <f>Monthly_Growth!$C$7</f>
        <v>737613</v>
      </c>
      <c r="H673" s="5">
        <f>Monthly_Growth!$D$7</f>
        <v>-6.9410696037243105E-2</v>
      </c>
      <c r="I673" s="15">
        <f>Yearly_Growth!$C$2</f>
        <v>5.0333827436586778E-2</v>
      </c>
      <c r="J673" s="15">
        <f>Yearly_Growth!$D$2</f>
        <v>0.03</v>
      </c>
      <c r="K673">
        <f>Sales_Per_Representative!$C$14</f>
        <v>675530</v>
      </c>
      <c r="L673">
        <f>Sales_Per_Rep_Yearly_Goal!$B$2</f>
        <v>665544.80000000005</v>
      </c>
      <c r="M673">
        <f>Sales_Per_Rep_Yearly_Goal!$C$2</f>
        <v>650000</v>
      </c>
    </row>
    <row r="674" spans="1:13" x14ac:dyDescent="0.3">
      <c r="A674" s="3">
        <v>45107</v>
      </c>
      <c r="B674">
        <f t="shared" si="10"/>
        <v>2023</v>
      </c>
      <c r="C674">
        <v>6</v>
      </c>
      <c r="D674" t="s">
        <v>17</v>
      </c>
      <c r="E674" t="s">
        <v>29</v>
      </c>
      <c r="F674" s="2">
        <v>3508</v>
      </c>
      <c r="G674" s="2">
        <f>Monthly_Growth!$C$7</f>
        <v>737613</v>
      </c>
      <c r="H674" s="5">
        <f>Monthly_Growth!$D$7</f>
        <v>-6.9410696037243105E-2</v>
      </c>
      <c r="I674" s="15">
        <f>Yearly_Growth!$C$2</f>
        <v>5.0333827436586778E-2</v>
      </c>
      <c r="J674" s="15">
        <f>Yearly_Growth!$D$2</f>
        <v>0.03</v>
      </c>
      <c r="K674">
        <f>Sales_Per_Representative!$C$13</f>
        <v>621548</v>
      </c>
      <c r="L674">
        <f>Sales_Per_Rep_Yearly_Goal!$B$2</f>
        <v>665544.80000000005</v>
      </c>
      <c r="M674">
        <f>Sales_Per_Rep_Yearly_Goal!$C$2</f>
        <v>650000</v>
      </c>
    </row>
    <row r="675" spans="1:13" x14ac:dyDescent="0.3">
      <c r="A675" s="3">
        <v>45107</v>
      </c>
      <c r="B675">
        <f t="shared" si="10"/>
        <v>2023</v>
      </c>
      <c r="C675">
        <v>6</v>
      </c>
      <c r="D675" t="s">
        <v>17</v>
      </c>
      <c r="E675" t="s">
        <v>30</v>
      </c>
      <c r="F675" s="2">
        <v>13625</v>
      </c>
      <c r="G675" s="2">
        <f>Monthly_Growth!$C$7</f>
        <v>737613</v>
      </c>
      <c r="H675" s="5">
        <f>Monthly_Growth!$D$7</f>
        <v>-6.9410696037243105E-2</v>
      </c>
      <c r="I675" s="15">
        <f>Yearly_Growth!$C$2</f>
        <v>5.0333827436586778E-2</v>
      </c>
      <c r="J675" s="15">
        <f>Yearly_Growth!$D$2</f>
        <v>0.03</v>
      </c>
      <c r="K675">
        <f>Sales_Per_Representative!$C$7</f>
        <v>706974</v>
      </c>
      <c r="L675">
        <f>Sales_Per_Rep_Yearly_Goal!$B$2</f>
        <v>665544.80000000005</v>
      </c>
      <c r="M675">
        <f>Sales_Per_Rep_Yearly_Goal!$C$2</f>
        <v>650000</v>
      </c>
    </row>
    <row r="676" spans="1:13" x14ac:dyDescent="0.3">
      <c r="A676" s="3">
        <v>45108</v>
      </c>
      <c r="B676">
        <f t="shared" si="10"/>
        <v>2023</v>
      </c>
      <c r="C676">
        <v>7</v>
      </c>
      <c r="D676" t="s">
        <v>25</v>
      </c>
      <c r="E676" t="s">
        <v>5</v>
      </c>
      <c r="F676" s="2">
        <v>11267</v>
      </c>
      <c r="G676" s="2">
        <f>Monthly_Growth!$C$8</f>
        <v>973467</v>
      </c>
      <c r="H676" s="5">
        <f>Monthly_Growth!$D$8</f>
        <v>0.31975304122893711</v>
      </c>
      <c r="I676" s="15">
        <f>Yearly_Growth!$C$2</f>
        <v>5.0333827436586778E-2</v>
      </c>
      <c r="J676" s="15">
        <f>Yearly_Growth!$D$2</f>
        <v>0.03</v>
      </c>
      <c r="K676">
        <f>Sales_Per_Representative!$C$10</f>
        <v>663333</v>
      </c>
      <c r="L676">
        <f>Sales_Per_Rep_Yearly_Goal!$B$2</f>
        <v>665544.80000000005</v>
      </c>
      <c r="M676">
        <f>Sales_Per_Rep_Yearly_Goal!$C$2</f>
        <v>650000</v>
      </c>
    </row>
    <row r="677" spans="1:13" x14ac:dyDescent="0.3">
      <c r="A677" s="3">
        <v>45108</v>
      </c>
      <c r="B677">
        <f t="shared" si="10"/>
        <v>2023</v>
      </c>
      <c r="C677">
        <v>7</v>
      </c>
      <c r="D677" t="s">
        <v>28</v>
      </c>
      <c r="E677" t="s">
        <v>30</v>
      </c>
      <c r="F677" s="2">
        <v>10160</v>
      </c>
      <c r="G677" s="2">
        <f>Monthly_Growth!$C$8</f>
        <v>973467</v>
      </c>
      <c r="H677" s="5">
        <f>Monthly_Growth!$D$8</f>
        <v>0.31975304122893711</v>
      </c>
      <c r="I677" s="15">
        <f>Yearly_Growth!$C$2</f>
        <v>5.0333827436586778E-2</v>
      </c>
      <c r="J677" s="15">
        <f>Yearly_Growth!$D$2</f>
        <v>0.03</v>
      </c>
      <c r="K677">
        <f>Sales_Per_Representative!$C$7</f>
        <v>706974</v>
      </c>
      <c r="L677">
        <f>Sales_Per_Rep_Yearly_Goal!$B$2</f>
        <v>665544.80000000005</v>
      </c>
      <c r="M677">
        <f>Sales_Per_Rep_Yearly_Goal!$C$2</f>
        <v>650000</v>
      </c>
    </row>
    <row r="678" spans="1:13" x14ac:dyDescent="0.3">
      <c r="A678" s="3">
        <v>45108</v>
      </c>
      <c r="B678">
        <f t="shared" si="10"/>
        <v>2023</v>
      </c>
      <c r="C678">
        <v>7</v>
      </c>
      <c r="D678" t="s">
        <v>12</v>
      </c>
      <c r="E678" t="s">
        <v>15</v>
      </c>
      <c r="F678" s="2">
        <v>6208</v>
      </c>
      <c r="G678" s="2">
        <f>Monthly_Growth!$C$8</f>
        <v>973467</v>
      </c>
      <c r="H678" s="5">
        <f>Monthly_Growth!$D$8</f>
        <v>0.31975304122893711</v>
      </c>
      <c r="I678" s="15">
        <f>Yearly_Growth!$C$2</f>
        <v>5.0333827436586778E-2</v>
      </c>
      <c r="J678" s="15">
        <f>Yearly_Growth!$D$2</f>
        <v>0.03</v>
      </c>
      <c r="K678">
        <f>Sales_Per_Representative!$C$12</f>
        <v>656359</v>
      </c>
      <c r="L678">
        <f>Sales_Per_Rep_Yearly_Goal!$B$2</f>
        <v>665544.80000000005</v>
      </c>
      <c r="M678">
        <f>Sales_Per_Rep_Yearly_Goal!$C$2</f>
        <v>650000</v>
      </c>
    </row>
    <row r="679" spans="1:13" x14ac:dyDescent="0.3">
      <c r="A679" s="3">
        <v>45109</v>
      </c>
      <c r="B679">
        <f t="shared" si="10"/>
        <v>2023</v>
      </c>
      <c r="C679">
        <v>7</v>
      </c>
      <c r="D679" t="s">
        <v>14</v>
      </c>
      <c r="E679" t="s">
        <v>27</v>
      </c>
      <c r="F679" s="2">
        <v>6450</v>
      </c>
      <c r="G679" s="2">
        <f>Monthly_Growth!$C$8</f>
        <v>973467</v>
      </c>
      <c r="H679" s="5">
        <f>Monthly_Growth!$D$8</f>
        <v>0.31975304122893711</v>
      </c>
      <c r="I679" s="15">
        <f>Yearly_Growth!$C$2</f>
        <v>5.0333827436586778E-2</v>
      </c>
      <c r="J679" s="15">
        <f>Yearly_Growth!$D$2</f>
        <v>0.03</v>
      </c>
      <c r="K679">
        <f>Sales_Per_Representative!$C$5</f>
        <v>747962</v>
      </c>
      <c r="L679">
        <f>Sales_Per_Rep_Yearly_Goal!$B$2</f>
        <v>665544.80000000005</v>
      </c>
      <c r="M679">
        <f>Sales_Per_Rep_Yearly_Goal!$C$2</f>
        <v>650000</v>
      </c>
    </row>
    <row r="680" spans="1:13" x14ac:dyDescent="0.3">
      <c r="A680" s="3">
        <v>45109</v>
      </c>
      <c r="B680">
        <f t="shared" si="10"/>
        <v>2023</v>
      </c>
      <c r="C680">
        <v>7</v>
      </c>
      <c r="D680" t="s">
        <v>25</v>
      </c>
      <c r="E680" t="s">
        <v>10</v>
      </c>
      <c r="F680" s="2">
        <v>12356</v>
      </c>
      <c r="G680" s="2">
        <f>Monthly_Growth!$C$8</f>
        <v>973467</v>
      </c>
      <c r="H680" s="5">
        <f>Monthly_Growth!$D$8</f>
        <v>0.31975304122893711</v>
      </c>
      <c r="I680" s="15">
        <f>Yearly_Growth!$C$2</f>
        <v>5.0333827436586778E-2</v>
      </c>
      <c r="J680" s="15">
        <f>Yearly_Growth!$D$2</f>
        <v>0.03</v>
      </c>
      <c r="K680">
        <f>Sales_Per_Representative!$C$4</f>
        <v>725713</v>
      </c>
      <c r="L680">
        <f>Sales_Per_Rep_Yearly_Goal!$B$2</f>
        <v>665544.80000000005</v>
      </c>
      <c r="M680">
        <f>Sales_Per_Rep_Yearly_Goal!$C$2</f>
        <v>650000</v>
      </c>
    </row>
    <row r="681" spans="1:13" x14ac:dyDescent="0.3">
      <c r="A681" s="3">
        <v>45110</v>
      </c>
      <c r="B681">
        <f t="shared" si="10"/>
        <v>2023</v>
      </c>
      <c r="C681">
        <v>7</v>
      </c>
      <c r="D681" t="s">
        <v>14</v>
      </c>
      <c r="E681" t="s">
        <v>26</v>
      </c>
      <c r="F681" s="2">
        <v>7014</v>
      </c>
      <c r="G681" s="2">
        <f>Monthly_Growth!$C$8</f>
        <v>973467</v>
      </c>
      <c r="H681" s="5">
        <f>Monthly_Growth!$D$8</f>
        <v>0.31975304122893711</v>
      </c>
      <c r="I681" s="15">
        <f>Yearly_Growth!$C$2</f>
        <v>5.0333827436586778E-2</v>
      </c>
      <c r="J681" s="15">
        <f>Yearly_Growth!$D$2</f>
        <v>0.03</v>
      </c>
      <c r="K681">
        <f>Sales_Per_Representative!$C$16</f>
        <v>666159</v>
      </c>
      <c r="L681">
        <f>Sales_Per_Rep_Yearly_Goal!$B$2</f>
        <v>665544.80000000005</v>
      </c>
      <c r="M681">
        <f>Sales_Per_Rep_Yearly_Goal!$C$2</f>
        <v>650000</v>
      </c>
    </row>
    <row r="682" spans="1:13" x14ac:dyDescent="0.3">
      <c r="A682" s="3">
        <v>45111</v>
      </c>
      <c r="B682">
        <f t="shared" si="10"/>
        <v>2023</v>
      </c>
      <c r="C682">
        <v>7</v>
      </c>
      <c r="D682" t="s">
        <v>19</v>
      </c>
      <c r="E682" t="s">
        <v>33</v>
      </c>
      <c r="F682" s="2">
        <v>13003</v>
      </c>
      <c r="G682" s="2">
        <f>Monthly_Growth!$C$8</f>
        <v>973467</v>
      </c>
      <c r="H682" s="5">
        <f>Monthly_Growth!$D$8</f>
        <v>0.31975304122893711</v>
      </c>
      <c r="I682" s="15">
        <f>Yearly_Growth!$C$2</f>
        <v>5.0333827436586778E-2</v>
      </c>
      <c r="J682" s="15">
        <f>Yearly_Growth!$D$2</f>
        <v>0.03</v>
      </c>
      <c r="K682">
        <f>Sales_Per_Representative!$C$11</f>
        <v>496886</v>
      </c>
      <c r="L682">
        <f>Sales_Per_Rep_Yearly_Goal!$B$2</f>
        <v>665544.80000000005</v>
      </c>
      <c r="M682">
        <f>Sales_Per_Rep_Yearly_Goal!$C$2</f>
        <v>650000</v>
      </c>
    </row>
    <row r="683" spans="1:13" x14ac:dyDescent="0.3">
      <c r="A683" s="3">
        <v>45111</v>
      </c>
      <c r="B683">
        <f t="shared" si="10"/>
        <v>2023</v>
      </c>
      <c r="C683">
        <v>7</v>
      </c>
      <c r="D683" t="s">
        <v>23</v>
      </c>
      <c r="E683" t="s">
        <v>20</v>
      </c>
      <c r="F683" s="2">
        <v>7937</v>
      </c>
      <c r="G683" s="2">
        <f>Monthly_Growth!$C$8</f>
        <v>973467</v>
      </c>
      <c r="H683" s="5">
        <f>Monthly_Growth!$D$8</f>
        <v>0.31975304122893711</v>
      </c>
      <c r="I683" s="15">
        <f>Yearly_Growth!$C$2</f>
        <v>5.0333827436586778E-2</v>
      </c>
      <c r="J683" s="15">
        <f>Yearly_Growth!$D$2</f>
        <v>0.03</v>
      </c>
      <c r="K683">
        <f>Sales_Per_Representative!$C$14</f>
        <v>675530</v>
      </c>
      <c r="L683">
        <f>Sales_Per_Rep_Yearly_Goal!$B$2</f>
        <v>665544.80000000005</v>
      </c>
      <c r="M683">
        <f>Sales_Per_Rep_Yearly_Goal!$C$2</f>
        <v>650000</v>
      </c>
    </row>
    <row r="684" spans="1:13" x14ac:dyDescent="0.3">
      <c r="A684" s="3">
        <v>45111</v>
      </c>
      <c r="B684">
        <f t="shared" si="10"/>
        <v>2023</v>
      </c>
      <c r="C684">
        <v>7</v>
      </c>
      <c r="D684" t="s">
        <v>23</v>
      </c>
      <c r="E684" t="s">
        <v>27</v>
      </c>
      <c r="F684" s="2">
        <v>8972</v>
      </c>
      <c r="G684" s="2">
        <f>Monthly_Growth!$C$8</f>
        <v>973467</v>
      </c>
      <c r="H684" s="5">
        <f>Monthly_Growth!$D$8</f>
        <v>0.31975304122893711</v>
      </c>
      <c r="I684" s="15">
        <f>Yearly_Growth!$C$2</f>
        <v>5.0333827436586778E-2</v>
      </c>
      <c r="J684" s="15">
        <f>Yearly_Growth!$D$2</f>
        <v>0.03</v>
      </c>
      <c r="K684">
        <f>Sales_Per_Representative!$C$5</f>
        <v>747962</v>
      </c>
      <c r="L684">
        <f>Sales_Per_Rep_Yearly_Goal!$B$2</f>
        <v>665544.80000000005</v>
      </c>
      <c r="M684">
        <f>Sales_Per_Rep_Yearly_Goal!$C$2</f>
        <v>650000</v>
      </c>
    </row>
    <row r="685" spans="1:13" x14ac:dyDescent="0.3">
      <c r="A685" s="3">
        <v>45111</v>
      </c>
      <c r="B685">
        <f t="shared" si="10"/>
        <v>2023</v>
      </c>
      <c r="C685">
        <v>7</v>
      </c>
      <c r="D685" t="s">
        <v>23</v>
      </c>
      <c r="E685" t="s">
        <v>8</v>
      </c>
      <c r="F685" s="2">
        <v>7940</v>
      </c>
      <c r="G685" s="2">
        <f>Monthly_Growth!$C$8</f>
        <v>973467</v>
      </c>
      <c r="H685" s="5">
        <f>Monthly_Growth!$D$8</f>
        <v>0.31975304122893711</v>
      </c>
      <c r="I685" s="15">
        <f>Yearly_Growth!$C$2</f>
        <v>5.0333827436586778E-2</v>
      </c>
      <c r="J685" s="15">
        <f>Yearly_Growth!$D$2</f>
        <v>0.03</v>
      </c>
      <c r="K685">
        <f>Sales_Per_Representative!$C$15</f>
        <v>701242</v>
      </c>
      <c r="L685">
        <f>Sales_Per_Rep_Yearly_Goal!$B$2</f>
        <v>665544.80000000005</v>
      </c>
      <c r="M685">
        <f>Sales_Per_Rep_Yearly_Goal!$C$2</f>
        <v>650000</v>
      </c>
    </row>
    <row r="686" spans="1:13" x14ac:dyDescent="0.3">
      <c r="A686" s="3">
        <v>45111</v>
      </c>
      <c r="B686">
        <f t="shared" si="10"/>
        <v>2023</v>
      </c>
      <c r="C686">
        <v>7</v>
      </c>
      <c r="D686" t="s">
        <v>7</v>
      </c>
      <c r="E686" t="s">
        <v>5</v>
      </c>
      <c r="F686" s="2">
        <v>12151</v>
      </c>
      <c r="G686" s="2">
        <f>Monthly_Growth!$C$8</f>
        <v>973467</v>
      </c>
      <c r="H686" s="5">
        <f>Monthly_Growth!$D$8</f>
        <v>0.31975304122893711</v>
      </c>
      <c r="I686" s="15">
        <f>Yearly_Growth!$C$2</f>
        <v>5.0333827436586778E-2</v>
      </c>
      <c r="J686" s="15">
        <f>Yearly_Growth!$D$2</f>
        <v>0.03</v>
      </c>
      <c r="K686">
        <f>Sales_Per_Representative!$C$10</f>
        <v>663333</v>
      </c>
      <c r="L686">
        <f>Sales_Per_Rep_Yearly_Goal!$B$2</f>
        <v>665544.80000000005</v>
      </c>
      <c r="M686">
        <f>Sales_Per_Rep_Yearly_Goal!$C$2</f>
        <v>650000</v>
      </c>
    </row>
    <row r="687" spans="1:13" x14ac:dyDescent="0.3">
      <c r="A687" s="3">
        <v>45111</v>
      </c>
      <c r="B687">
        <f t="shared" si="10"/>
        <v>2023</v>
      </c>
      <c r="C687">
        <v>7</v>
      </c>
      <c r="D687" t="s">
        <v>28</v>
      </c>
      <c r="E687" t="s">
        <v>18</v>
      </c>
      <c r="F687" s="2">
        <v>7841</v>
      </c>
      <c r="G687" s="2">
        <f>Monthly_Growth!$C$8</f>
        <v>973467</v>
      </c>
      <c r="H687" s="5">
        <f>Monthly_Growth!$D$8</f>
        <v>0.31975304122893711</v>
      </c>
      <c r="I687" s="15">
        <f>Yearly_Growth!$C$2</f>
        <v>5.0333827436586778E-2</v>
      </c>
      <c r="J687" s="15">
        <f>Yearly_Growth!$D$2</f>
        <v>0.03</v>
      </c>
      <c r="K687">
        <f>Sales_Per_Representative!$C$9</f>
        <v>550835</v>
      </c>
      <c r="L687">
        <f>Sales_Per_Rep_Yearly_Goal!$B$2</f>
        <v>665544.80000000005</v>
      </c>
      <c r="M687">
        <f>Sales_Per_Rep_Yearly_Goal!$C$2</f>
        <v>650000</v>
      </c>
    </row>
    <row r="688" spans="1:13" x14ac:dyDescent="0.3">
      <c r="A688" s="3">
        <v>45111</v>
      </c>
      <c r="B688">
        <f t="shared" si="10"/>
        <v>2023</v>
      </c>
      <c r="C688">
        <v>7</v>
      </c>
      <c r="D688" t="s">
        <v>28</v>
      </c>
      <c r="E688" t="s">
        <v>31</v>
      </c>
      <c r="F688" s="2">
        <v>10308</v>
      </c>
      <c r="G688" s="2">
        <f>Monthly_Growth!$C$8</f>
        <v>973467</v>
      </c>
      <c r="H688" s="5">
        <f>Monthly_Growth!$D$8</f>
        <v>0.31975304122893711</v>
      </c>
      <c r="I688" s="15">
        <f>Yearly_Growth!$C$2</f>
        <v>5.0333827436586778E-2</v>
      </c>
      <c r="J688" s="15">
        <f>Yearly_Growth!$D$2</f>
        <v>0.03</v>
      </c>
      <c r="K688">
        <f>Sales_Per_Representative!$C$6</f>
        <v>727823</v>
      </c>
      <c r="L688">
        <f>Sales_Per_Rep_Yearly_Goal!$B$2</f>
        <v>665544.80000000005</v>
      </c>
      <c r="M688">
        <f>Sales_Per_Rep_Yearly_Goal!$C$2</f>
        <v>650000</v>
      </c>
    </row>
    <row r="689" spans="1:13" x14ac:dyDescent="0.3">
      <c r="A689" s="3">
        <v>45111</v>
      </c>
      <c r="B689">
        <f t="shared" si="10"/>
        <v>2023</v>
      </c>
      <c r="C689">
        <v>7</v>
      </c>
      <c r="D689" t="s">
        <v>28</v>
      </c>
      <c r="E689" t="s">
        <v>8</v>
      </c>
      <c r="F689" s="2">
        <v>3147</v>
      </c>
      <c r="G689" s="2">
        <f>Monthly_Growth!$C$8</f>
        <v>973467</v>
      </c>
      <c r="H689" s="5">
        <f>Monthly_Growth!$D$8</f>
        <v>0.31975304122893711</v>
      </c>
      <c r="I689" s="15">
        <f>Yearly_Growth!$C$2</f>
        <v>5.0333827436586778E-2</v>
      </c>
      <c r="J689" s="15">
        <f>Yearly_Growth!$D$2</f>
        <v>0.03</v>
      </c>
      <c r="K689">
        <f>Sales_Per_Representative!$C$15</f>
        <v>701242</v>
      </c>
      <c r="L689">
        <f>Sales_Per_Rep_Yearly_Goal!$B$2</f>
        <v>665544.80000000005</v>
      </c>
      <c r="M689">
        <f>Sales_Per_Rep_Yearly_Goal!$C$2</f>
        <v>650000</v>
      </c>
    </row>
    <row r="690" spans="1:13" x14ac:dyDescent="0.3">
      <c r="A690" s="3">
        <v>45111</v>
      </c>
      <c r="B690">
        <f t="shared" si="10"/>
        <v>2023</v>
      </c>
      <c r="C690">
        <v>7</v>
      </c>
      <c r="D690" t="s">
        <v>17</v>
      </c>
      <c r="E690" t="s">
        <v>32</v>
      </c>
      <c r="F690" s="2">
        <v>11688</v>
      </c>
      <c r="G690" s="2">
        <f>Monthly_Growth!$C$8</f>
        <v>973467</v>
      </c>
      <c r="H690" s="5">
        <f>Monthly_Growth!$D$8</f>
        <v>0.31975304122893711</v>
      </c>
      <c r="I690" s="15">
        <f>Yearly_Growth!$C$2</f>
        <v>5.0333827436586778E-2</v>
      </c>
      <c r="J690" s="15">
        <f>Yearly_Growth!$D$2</f>
        <v>0.03</v>
      </c>
      <c r="K690">
        <f>Sales_Per_Representative!$C$3</f>
        <v>762157</v>
      </c>
      <c r="L690">
        <f>Sales_Per_Rep_Yearly_Goal!$B$2</f>
        <v>665544.80000000005</v>
      </c>
      <c r="M690">
        <f>Sales_Per_Rep_Yearly_Goal!$C$2</f>
        <v>650000</v>
      </c>
    </row>
    <row r="691" spans="1:13" x14ac:dyDescent="0.3">
      <c r="A691" s="3">
        <v>45112</v>
      </c>
      <c r="B691">
        <f t="shared" si="10"/>
        <v>2023</v>
      </c>
      <c r="C691">
        <v>7</v>
      </c>
      <c r="D691" t="s">
        <v>25</v>
      </c>
      <c r="E691" t="s">
        <v>26</v>
      </c>
      <c r="F691" s="2">
        <v>12245</v>
      </c>
      <c r="G691" s="2">
        <f>Monthly_Growth!$C$8</f>
        <v>973467</v>
      </c>
      <c r="H691" s="5">
        <f>Monthly_Growth!$D$8</f>
        <v>0.31975304122893711</v>
      </c>
      <c r="I691" s="15">
        <f>Yearly_Growth!$C$2</f>
        <v>5.0333827436586778E-2</v>
      </c>
      <c r="J691" s="15">
        <f>Yearly_Growth!$D$2</f>
        <v>0.03</v>
      </c>
      <c r="K691">
        <f>Sales_Per_Representative!$C$16</f>
        <v>666159</v>
      </c>
      <c r="L691">
        <f>Sales_Per_Rep_Yearly_Goal!$B$2</f>
        <v>665544.80000000005</v>
      </c>
      <c r="M691">
        <f>Sales_Per_Rep_Yearly_Goal!$C$2</f>
        <v>650000</v>
      </c>
    </row>
    <row r="692" spans="1:13" x14ac:dyDescent="0.3">
      <c r="A692" s="3">
        <v>45112</v>
      </c>
      <c r="B692">
        <f t="shared" si="10"/>
        <v>2023</v>
      </c>
      <c r="C692">
        <v>7</v>
      </c>
      <c r="D692" t="s">
        <v>7</v>
      </c>
      <c r="E692" t="s">
        <v>27</v>
      </c>
      <c r="F692" s="2">
        <v>13784</v>
      </c>
      <c r="G692" s="2">
        <f>Monthly_Growth!$C$8</f>
        <v>973467</v>
      </c>
      <c r="H692" s="5">
        <f>Monthly_Growth!$D$8</f>
        <v>0.31975304122893711</v>
      </c>
      <c r="I692" s="15">
        <f>Yearly_Growth!$C$2</f>
        <v>5.0333827436586778E-2</v>
      </c>
      <c r="J692" s="15">
        <f>Yearly_Growth!$D$2</f>
        <v>0.03</v>
      </c>
      <c r="K692">
        <f>Sales_Per_Representative!$C$5</f>
        <v>747962</v>
      </c>
      <c r="L692">
        <f>Sales_Per_Rep_Yearly_Goal!$B$2</f>
        <v>665544.80000000005</v>
      </c>
      <c r="M692">
        <f>Sales_Per_Rep_Yearly_Goal!$C$2</f>
        <v>650000</v>
      </c>
    </row>
    <row r="693" spans="1:13" x14ac:dyDescent="0.3">
      <c r="A693" s="3">
        <v>45112</v>
      </c>
      <c r="B693">
        <f t="shared" si="10"/>
        <v>2023</v>
      </c>
      <c r="C693">
        <v>7</v>
      </c>
      <c r="D693" t="s">
        <v>28</v>
      </c>
      <c r="E693" t="s">
        <v>30</v>
      </c>
      <c r="F693" s="2">
        <v>7119</v>
      </c>
      <c r="G693" s="2">
        <f>Monthly_Growth!$C$8</f>
        <v>973467</v>
      </c>
      <c r="H693" s="5">
        <f>Monthly_Growth!$D$8</f>
        <v>0.31975304122893711</v>
      </c>
      <c r="I693" s="15">
        <f>Yearly_Growth!$C$2</f>
        <v>5.0333827436586778E-2</v>
      </c>
      <c r="J693" s="15">
        <f>Yearly_Growth!$D$2</f>
        <v>0.03</v>
      </c>
      <c r="K693">
        <f>Sales_Per_Representative!$C$7</f>
        <v>706974</v>
      </c>
      <c r="L693">
        <f>Sales_Per_Rep_Yearly_Goal!$B$2</f>
        <v>665544.80000000005</v>
      </c>
      <c r="M693">
        <f>Sales_Per_Rep_Yearly_Goal!$C$2</f>
        <v>650000</v>
      </c>
    </row>
    <row r="694" spans="1:13" x14ac:dyDescent="0.3">
      <c r="A694" s="3">
        <v>45112</v>
      </c>
      <c r="B694">
        <f t="shared" si="10"/>
        <v>2023</v>
      </c>
      <c r="C694">
        <v>7</v>
      </c>
      <c r="D694" t="s">
        <v>17</v>
      </c>
      <c r="E694" t="s">
        <v>15</v>
      </c>
      <c r="F694" s="2">
        <v>1681</v>
      </c>
      <c r="G694" s="2">
        <f>Monthly_Growth!$C$8</f>
        <v>973467</v>
      </c>
      <c r="H694" s="5">
        <f>Monthly_Growth!$D$8</f>
        <v>0.31975304122893711</v>
      </c>
      <c r="I694" s="15">
        <f>Yearly_Growth!$C$2</f>
        <v>5.0333827436586778E-2</v>
      </c>
      <c r="J694" s="15">
        <f>Yearly_Growth!$D$2</f>
        <v>0.03</v>
      </c>
      <c r="K694">
        <f>Sales_Per_Representative!$C$12</f>
        <v>656359</v>
      </c>
      <c r="L694">
        <f>Sales_Per_Rep_Yearly_Goal!$B$2</f>
        <v>665544.80000000005</v>
      </c>
      <c r="M694">
        <f>Sales_Per_Rep_Yearly_Goal!$C$2</f>
        <v>650000</v>
      </c>
    </row>
    <row r="695" spans="1:13" x14ac:dyDescent="0.3">
      <c r="A695" s="3">
        <v>45112</v>
      </c>
      <c r="B695">
        <f t="shared" si="10"/>
        <v>2023</v>
      </c>
      <c r="C695">
        <v>7</v>
      </c>
      <c r="D695" t="s">
        <v>17</v>
      </c>
      <c r="E695" t="s">
        <v>15</v>
      </c>
      <c r="F695" s="2">
        <v>10688</v>
      </c>
      <c r="G695" s="2">
        <f>Monthly_Growth!$C$8</f>
        <v>973467</v>
      </c>
      <c r="H695" s="5">
        <f>Monthly_Growth!$D$8</f>
        <v>0.31975304122893711</v>
      </c>
      <c r="I695" s="15">
        <f>Yearly_Growth!$C$2</f>
        <v>5.0333827436586778E-2</v>
      </c>
      <c r="J695" s="15">
        <f>Yearly_Growth!$D$2</f>
        <v>0.03</v>
      </c>
      <c r="K695">
        <f>Sales_Per_Representative!$C$12</f>
        <v>656359</v>
      </c>
      <c r="L695">
        <f>Sales_Per_Rep_Yearly_Goal!$B$2</f>
        <v>665544.80000000005</v>
      </c>
      <c r="M695">
        <f>Sales_Per_Rep_Yearly_Goal!$C$2</f>
        <v>650000</v>
      </c>
    </row>
    <row r="696" spans="1:13" x14ac:dyDescent="0.3">
      <c r="A696" s="3">
        <v>45113</v>
      </c>
      <c r="B696">
        <f t="shared" si="10"/>
        <v>2023</v>
      </c>
      <c r="C696">
        <v>7</v>
      </c>
      <c r="D696" t="s">
        <v>23</v>
      </c>
      <c r="E696" t="s">
        <v>30</v>
      </c>
      <c r="F696" s="2">
        <v>10122</v>
      </c>
      <c r="G696" s="2">
        <f>Monthly_Growth!$C$8</f>
        <v>973467</v>
      </c>
      <c r="H696" s="5">
        <f>Monthly_Growth!$D$8</f>
        <v>0.31975304122893711</v>
      </c>
      <c r="I696" s="15">
        <f>Yearly_Growth!$C$2</f>
        <v>5.0333827436586778E-2</v>
      </c>
      <c r="J696" s="15">
        <f>Yearly_Growth!$D$2</f>
        <v>0.03</v>
      </c>
      <c r="K696">
        <f>Sales_Per_Representative!$C$7</f>
        <v>706974</v>
      </c>
      <c r="L696">
        <f>Sales_Per_Rep_Yearly_Goal!$B$2</f>
        <v>665544.80000000005</v>
      </c>
      <c r="M696">
        <f>Sales_Per_Rep_Yearly_Goal!$C$2</f>
        <v>650000</v>
      </c>
    </row>
    <row r="697" spans="1:13" x14ac:dyDescent="0.3">
      <c r="A697" s="3">
        <v>45113</v>
      </c>
      <c r="B697">
        <f t="shared" si="10"/>
        <v>2023</v>
      </c>
      <c r="C697">
        <v>7</v>
      </c>
      <c r="D697" t="s">
        <v>23</v>
      </c>
      <c r="E697" t="s">
        <v>8</v>
      </c>
      <c r="F697" s="2">
        <v>2093</v>
      </c>
      <c r="G697" s="2">
        <f>Monthly_Growth!$C$8</f>
        <v>973467</v>
      </c>
      <c r="H697" s="5">
        <f>Monthly_Growth!$D$8</f>
        <v>0.31975304122893711</v>
      </c>
      <c r="I697" s="15">
        <f>Yearly_Growth!$C$2</f>
        <v>5.0333827436586778E-2</v>
      </c>
      <c r="J697" s="15">
        <f>Yearly_Growth!$D$2</f>
        <v>0.03</v>
      </c>
      <c r="K697">
        <f>Sales_Per_Representative!$C$15</f>
        <v>701242</v>
      </c>
      <c r="L697">
        <f>Sales_Per_Rep_Yearly_Goal!$B$2</f>
        <v>665544.80000000005</v>
      </c>
      <c r="M697">
        <f>Sales_Per_Rep_Yearly_Goal!$C$2</f>
        <v>650000</v>
      </c>
    </row>
    <row r="698" spans="1:13" x14ac:dyDescent="0.3">
      <c r="A698" s="3">
        <v>45113</v>
      </c>
      <c r="B698">
        <f t="shared" si="10"/>
        <v>2023</v>
      </c>
      <c r="C698">
        <v>7</v>
      </c>
      <c r="D698" t="s">
        <v>25</v>
      </c>
      <c r="E698" t="s">
        <v>22</v>
      </c>
      <c r="F698" s="2">
        <v>3068</v>
      </c>
      <c r="G698" s="2">
        <f>Monthly_Growth!$C$8</f>
        <v>973467</v>
      </c>
      <c r="H698" s="5">
        <f>Monthly_Growth!$D$8</f>
        <v>0.31975304122893711</v>
      </c>
      <c r="I698" s="15">
        <f>Yearly_Growth!$C$2</f>
        <v>5.0333827436586778E-2</v>
      </c>
      <c r="J698" s="15">
        <f>Yearly_Growth!$D$2</f>
        <v>0.03</v>
      </c>
      <c r="K698">
        <f>Sales_Per_Representative!$C$8</f>
        <v>649456</v>
      </c>
      <c r="L698">
        <f>Sales_Per_Rep_Yearly_Goal!$B$2</f>
        <v>665544.80000000005</v>
      </c>
      <c r="M698">
        <f>Sales_Per_Rep_Yearly_Goal!$C$2</f>
        <v>650000</v>
      </c>
    </row>
    <row r="699" spans="1:13" x14ac:dyDescent="0.3">
      <c r="A699" s="3">
        <v>45113</v>
      </c>
      <c r="B699">
        <f t="shared" si="10"/>
        <v>2023</v>
      </c>
      <c r="C699">
        <v>7</v>
      </c>
      <c r="D699" t="s">
        <v>17</v>
      </c>
      <c r="E699" t="s">
        <v>15</v>
      </c>
      <c r="F699" s="2">
        <v>8926</v>
      </c>
      <c r="G699" s="2">
        <f>Monthly_Growth!$C$8</f>
        <v>973467</v>
      </c>
      <c r="H699" s="5">
        <f>Monthly_Growth!$D$8</f>
        <v>0.31975304122893711</v>
      </c>
      <c r="I699" s="15">
        <f>Yearly_Growth!$C$2</f>
        <v>5.0333827436586778E-2</v>
      </c>
      <c r="J699" s="15">
        <f>Yearly_Growth!$D$2</f>
        <v>0.03</v>
      </c>
      <c r="K699">
        <f>Sales_Per_Representative!$C$12</f>
        <v>656359</v>
      </c>
      <c r="L699">
        <f>Sales_Per_Rep_Yearly_Goal!$B$2</f>
        <v>665544.80000000005</v>
      </c>
      <c r="M699">
        <f>Sales_Per_Rep_Yearly_Goal!$C$2</f>
        <v>650000</v>
      </c>
    </row>
    <row r="700" spans="1:13" x14ac:dyDescent="0.3">
      <c r="A700" s="3">
        <v>45115</v>
      </c>
      <c r="B700">
        <f t="shared" si="10"/>
        <v>2023</v>
      </c>
      <c r="C700">
        <v>7</v>
      </c>
      <c r="D700" t="s">
        <v>14</v>
      </c>
      <c r="E700" t="s">
        <v>22</v>
      </c>
      <c r="F700" s="2">
        <v>8052</v>
      </c>
      <c r="G700" s="2">
        <f>Monthly_Growth!$C$8</f>
        <v>973467</v>
      </c>
      <c r="H700" s="5">
        <f>Monthly_Growth!$D$8</f>
        <v>0.31975304122893711</v>
      </c>
      <c r="I700" s="15">
        <f>Yearly_Growth!$C$2</f>
        <v>5.0333827436586778E-2</v>
      </c>
      <c r="J700" s="15">
        <f>Yearly_Growth!$D$2</f>
        <v>0.03</v>
      </c>
      <c r="K700">
        <f>Sales_Per_Representative!$C$8</f>
        <v>649456</v>
      </c>
      <c r="L700">
        <f>Sales_Per_Rep_Yearly_Goal!$B$2</f>
        <v>665544.80000000005</v>
      </c>
      <c r="M700">
        <f>Sales_Per_Rep_Yearly_Goal!$C$2</f>
        <v>650000</v>
      </c>
    </row>
    <row r="701" spans="1:13" x14ac:dyDescent="0.3">
      <c r="A701" s="3">
        <v>45115</v>
      </c>
      <c r="B701">
        <f t="shared" si="10"/>
        <v>2023</v>
      </c>
      <c r="C701">
        <v>7</v>
      </c>
      <c r="D701" t="s">
        <v>17</v>
      </c>
      <c r="E701" t="s">
        <v>32</v>
      </c>
      <c r="F701" s="2">
        <v>3158</v>
      </c>
      <c r="G701" s="2">
        <f>Monthly_Growth!$C$8</f>
        <v>973467</v>
      </c>
      <c r="H701" s="5">
        <f>Monthly_Growth!$D$8</f>
        <v>0.31975304122893711</v>
      </c>
      <c r="I701" s="15">
        <f>Yearly_Growth!$C$2</f>
        <v>5.0333827436586778E-2</v>
      </c>
      <c r="J701" s="15">
        <f>Yearly_Growth!$D$2</f>
        <v>0.03</v>
      </c>
      <c r="K701">
        <f>Sales_Per_Representative!$C$3</f>
        <v>762157</v>
      </c>
      <c r="L701">
        <f>Sales_Per_Rep_Yearly_Goal!$B$2</f>
        <v>665544.80000000005</v>
      </c>
      <c r="M701">
        <f>Sales_Per_Rep_Yearly_Goal!$C$2</f>
        <v>650000</v>
      </c>
    </row>
    <row r="702" spans="1:13" x14ac:dyDescent="0.3">
      <c r="A702" s="3">
        <v>45116</v>
      </c>
      <c r="B702">
        <f t="shared" si="10"/>
        <v>2023</v>
      </c>
      <c r="C702">
        <v>7</v>
      </c>
      <c r="D702" t="s">
        <v>19</v>
      </c>
      <c r="E702" t="s">
        <v>31</v>
      </c>
      <c r="F702" s="2">
        <v>8397</v>
      </c>
      <c r="G702" s="2">
        <f>Monthly_Growth!$C$8</f>
        <v>973467</v>
      </c>
      <c r="H702" s="5">
        <f>Monthly_Growth!$D$8</f>
        <v>0.31975304122893711</v>
      </c>
      <c r="I702" s="15">
        <f>Yearly_Growth!$C$2</f>
        <v>5.0333827436586778E-2</v>
      </c>
      <c r="J702" s="15">
        <f>Yearly_Growth!$D$2</f>
        <v>0.03</v>
      </c>
      <c r="K702">
        <f>Sales_Per_Representative!$C$6</f>
        <v>727823</v>
      </c>
      <c r="L702">
        <f>Sales_Per_Rep_Yearly_Goal!$B$2</f>
        <v>665544.80000000005</v>
      </c>
      <c r="M702">
        <f>Sales_Per_Rep_Yearly_Goal!$C$2</f>
        <v>650000</v>
      </c>
    </row>
    <row r="703" spans="1:13" x14ac:dyDescent="0.3">
      <c r="A703" s="3">
        <v>45116</v>
      </c>
      <c r="B703">
        <f t="shared" si="10"/>
        <v>2023</v>
      </c>
      <c r="C703">
        <v>7</v>
      </c>
      <c r="D703" t="s">
        <v>28</v>
      </c>
      <c r="E703" t="s">
        <v>27</v>
      </c>
      <c r="F703" s="2">
        <v>3866</v>
      </c>
      <c r="G703" s="2">
        <f>Monthly_Growth!$C$8</f>
        <v>973467</v>
      </c>
      <c r="H703" s="5">
        <f>Monthly_Growth!$D$8</f>
        <v>0.31975304122893711</v>
      </c>
      <c r="I703" s="15">
        <f>Yearly_Growth!$C$2</f>
        <v>5.0333827436586778E-2</v>
      </c>
      <c r="J703" s="15">
        <f>Yearly_Growth!$D$2</f>
        <v>0.03</v>
      </c>
      <c r="K703">
        <f>Sales_Per_Representative!$C$5</f>
        <v>747962</v>
      </c>
      <c r="L703">
        <f>Sales_Per_Rep_Yearly_Goal!$B$2</f>
        <v>665544.80000000005</v>
      </c>
      <c r="M703">
        <f>Sales_Per_Rep_Yearly_Goal!$C$2</f>
        <v>650000</v>
      </c>
    </row>
    <row r="704" spans="1:13" x14ac:dyDescent="0.3">
      <c r="A704" s="3">
        <v>45116</v>
      </c>
      <c r="B704">
        <f t="shared" si="10"/>
        <v>2023</v>
      </c>
      <c r="C704">
        <v>7</v>
      </c>
      <c r="D704" t="s">
        <v>17</v>
      </c>
      <c r="E704" t="s">
        <v>31</v>
      </c>
      <c r="F704" s="2">
        <v>2791</v>
      </c>
      <c r="G704" s="2">
        <f>Monthly_Growth!$C$8</f>
        <v>973467</v>
      </c>
      <c r="H704" s="5">
        <f>Monthly_Growth!$D$8</f>
        <v>0.31975304122893711</v>
      </c>
      <c r="I704" s="15">
        <f>Yearly_Growth!$C$2</f>
        <v>5.0333827436586778E-2</v>
      </c>
      <c r="J704" s="15">
        <f>Yearly_Growth!$D$2</f>
        <v>0.03</v>
      </c>
      <c r="K704">
        <f>Sales_Per_Representative!$C$6</f>
        <v>727823</v>
      </c>
      <c r="L704">
        <f>Sales_Per_Rep_Yearly_Goal!$B$2</f>
        <v>665544.80000000005</v>
      </c>
      <c r="M704">
        <f>Sales_Per_Rep_Yearly_Goal!$C$2</f>
        <v>650000</v>
      </c>
    </row>
    <row r="705" spans="1:13" x14ac:dyDescent="0.3">
      <c r="A705" s="3">
        <v>45117</v>
      </c>
      <c r="B705">
        <f t="shared" si="10"/>
        <v>2023</v>
      </c>
      <c r="C705">
        <v>7</v>
      </c>
      <c r="D705" t="s">
        <v>14</v>
      </c>
      <c r="E705" t="s">
        <v>18</v>
      </c>
      <c r="F705" s="2">
        <v>3903</v>
      </c>
      <c r="G705" s="2">
        <f>Monthly_Growth!$C$8</f>
        <v>973467</v>
      </c>
      <c r="H705" s="5">
        <f>Monthly_Growth!$D$8</f>
        <v>0.31975304122893711</v>
      </c>
      <c r="I705" s="15">
        <f>Yearly_Growth!$C$2</f>
        <v>5.0333827436586778E-2</v>
      </c>
      <c r="J705" s="15">
        <f>Yearly_Growth!$D$2</f>
        <v>0.03</v>
      </c>
      <c r="K705">
        <f>Sales_Per_Representative!$C$9</f>
        <v>550835</v>
      </c>
      <c r="L705">
        <f>Sales_Per_Rep_Yearly_Goal!$B$2</f>
        <v>665544.80000000005</v>
      </c>
      <c r="M705">
        <f>Sales_Per_Rep_Yearly_Goal!$C$2</f>
        <v>650000</v>
      </c>
    </row>
    <row r="706" spans="1:13" x14ac:dyDescent="0.3">
      <c r="A706" s="3">
        <v>45117</v>
      </c>
      <c r="B706">
        <f t="shared" si="10"/>
        <v>2023</v>
      </c>
      <c r="C706">
        <v>7</v>
      </c>
      <c r="D706" t="s">
        <v>7</v>
      </c>
      <c r="E706" t="s">
        <v>31</v>
      </c>
      <c r="F706" s="2">
        <v>10250</v>
      </c>
      <c r="G706" s="2">
        <f>Monthly_Growth!$C$8</f>
        <v>973467</v>
      </c>
      <c r="H706" s="5">
        <f>Monthly_Growth!$D$8</f>
        <v>0.31975304122893711</v>
      </c>
      <c r="I706" s="15">
        <f>Yearly_Growth!$C$2</f>
        <v>5.0333827436586778E-2</v>
      </c>
      <c r="J706" s="15">
        <f>Yearly_Growth!$D$2</f>
        <v>0.03</v>
      </c>
      <c r="K706">
        <f>Sales_Per_Representative!$C$6</f>
        <v>727823</v>
      </c>
      <c r="L706">
        <f>Sales_Per_Rep_Yearly_Goal!$B$2</f>
        <v>665544.80000000005</v>
      </c>
      <c r="M706">
        <f>Sales_Per_Rep_Yearly_Goal!$C$2</f>
        <v>650000</v>
      </c>
    </row>
    <row r="707" spans="1:13" x14ac:dyDescent="0.3">
      <c r="A707" s="3">
        <v>45117</v>
      </c>
      <c r="B707">
        <f t="shared" ref="B707:B770" si="11">YEAR(A707)</f>
        <v>2023</v>
      </c>
      <c r="C707">
        <v>7</v>
      </c>
      <c r="D707" t="s">
        <v>12</v>
      </c>
      <c r="E707" t="s">
        <v>10</v>
      </c>
      <c r="F707" s="2">
        <v>4167</v>
      </c>
      <c r="G707" s="2">
        <f>Monthly_Growth!$C$8</f>
        <v>973467</v>
      </c>
      <c r="H707" s="5">
        <f>Monthly_Growth!$D$8</f>
        <v>0.31975304122893711</v>
      </c>
      <c r="I707" s="15">
        <f>Yearly_Growth!$C$2</f>
        <v>5.0333827436586778E-2</v>
      </c>
      <c r="J707" s="15">
        <f>Yearly_Growth!$D$2</f>
        <v>0.03</v>
      </c>
      <c r="K707">
        <f>Sales_Per_Representative!$C$4</f>
        <v>725713</v>
      </c>
      <c r="L707">
        <f>Sales_Per_Rep_Yearly_Goal!$B$2</f>
        <v>665544.80000000005</v>
      </c>
      <c r="M707">
        <f>Sales_Per_Rep_Yearly_Goal!$C$2</f>
        <v>650000</v>
      </c>
    </row>
    <row r="708" spans="1:13" x14ac:dyDescent="0.3">
      <c r="A708" s="3">
        <v>45118</v>
      </c>
      <c r="B708">
        <f t="shared" si="11"/>
        <v>2023</v>
      </c>
      <c r="C708">
        <v>7</v>
      </c>
      <c r="D708" t="s">
        <v>25</v>
      </c>
      <c r="E708" t="s">
        <v>29</v>
      </c>
      <c r="F708" s="2">
        <v>9854</v>
      </c>
      <c r="G708" s="2">
        <f>Monthly_Growth!$C$8</f>
        <v>973467</v>
      </c>
      <c r="H708" s="5">
        <f>Monthly_Growth!$D$8</f>
        <v>0.31975304122893711</v>
      </c>
      <c r="I708" s="15">
        <f>Yearly_Growth!$C$2</f>
        <v>5.0333827436586778E-2</v>
      </c>
      <c r="J708" s="15">
        <f>Yearly_Growth!$D$2</f>
        <v>0.03</v>
      </c>
      <c r="K708">
        <f>Sales_Per_Representative!$C$13</f>
        <v>621548</v>
      </c>
      <c r="L708">
        <f>Sales_Per_Rep_Yearly_Goal!$B$2</f>
        <v>665544.80000000005</v>
      </c>
      <c r="M708">
        <f>Sales_Per_Rep_Yearly_Goal!$C$2</f>
        <v>650000</v>
      </c>
    </row>
    <row r="709" spans="1:13" x14ac:dyDescent="0.3">
      <c r="A709" s="3">
        <v>45118</v>
      </c>
      <c r="B709">
        <f t="shared" si="11"/>
        <v>2023</v>
      </c>
      <c r="C709">
        <v>7</v>
      </c>
      <c r="D709" t="s">
        <v>7</v>
      </c>
      <c r="E709" t="s">
        <v>22</v>
      </c>
      <c r="F709" s="2">
        <v>4488</v>
      </c>
      <c r="G709" s="2">
        <f>Monthly_Growth!$C$8</f>
        <v>973467</v>
      </c>
      <c r="H709" s="5">
        <f>Monthly_Growth!$D$8</f>
        <v>0.31975304122893711</v>
      </c>
      <c r="I709" s="15">
        <f>Yearly_Growth!$C$2</f>
        <v>5.0333827436586778E-2</v>
      </c>
      <c r="J709" s="15">
        <f>Yearly_Growth!$D$2</f>
        <v>0.03</v>
      </c>
      <c r="K709">
        <f>Sales_Per_Representative!$C$8</f>
        <v>649456</v>
      </c>
      <c r="L709">
        <f>Sales_Per_Rep_Yearly_Goal!$B$2</f>
        <v>665544.80000000005</v>
      </c>
      <c r="M709">
        <f>Sales_Per_Rep_Yearly_Goal!$C$2</f>
        <v>650000</v>
      </c>
    </row>
    <row r="710" spans="1:13" x14ac:dyDescent="0.3">
      <c r="A710" s="3">
        <v>45118</v>
      </c>
      <c r="B710">
        <f t="shared" si="11"/>
        <v>2023</v>
      </c>
      <c r="C710">
        <v>7</v>
      </c>
      <c r="D710" t="s">
        <v>7</v>
      </c>
      <c r="E710" t="s">
        <v>31</v>
      </c>
      <c r="F710" s="2">
        <v>3401</v>
      </c>
      <c r="G710" s="2">
        <f>Monthly_Growth!$C$8</f>
        <v>973467</v>
      </c>
      <c r="H710" s="5">
        <f>Monthly_Growth!$D$8</f>
        <v>0.31975304122893711</v>
      </c>
      <c r="I710" s="15">
        <f>Yearly_Growth!$C$2</f>
        <v>5.0333827436586778E-2</v>
      </c>
      <c r="J710" s="15">
        <f>Yearly_Growth!$D$2</f>
        <v>0.03</v>
      </c>
      <c r="K710">
        <f>Sales_Per_Representative!$C$6</f>
        <v>727823</v>
      </c>
      <c r="L710">
        <f>Sales_Per_Rep_Yearly_Goal!$B$2</f>
        <v>665544.80000000005</v>
      </c>
      <c r="M710">
        <f>Sales_Per_Rep_Yearly_Goal!$C$2</f>
        <v>650000</v>
      </c>
    </row>
    <row r="711" spans="1:13" x14ac:dyDescent="0.3">
      <c r="A711" s="3">
        <v>45118</v>
      </c>
      <c r="B711">
        <f t="shared" si="11"/>
        <v>2023</v>
      </c>
      <c r="C711">
        <v>7</v>
      </c>
      <c r="D711" t="s">
        <v>28</v>
      </c>
      <c r="E711" t="s">
        <v>22</v>
      </c>
      <c r="F711" s="2">
        <v>11980</v>
      </c>
      <c r="G711" s="2">
        <f>Monthly_Growth!$C$8</f>
        <v>973467</v>
      </c>
      <c r="H711" s="5">
        <f>Monthly_Growth!$D$8</f>
        <v>0.31975304122893711</v>
      </c>
      <c r="I711" s="15">
        <f>Yearly_Growth!$C$2</f>
        <v>5.0333827436586778E-2</v>
      </c>
      <c r="J711" s="15">
        <f>Yearly_Growth!$D$2</f>
        <v>0.03</v>
      </c>
      <c r="K711">
        <f>Sales_Per_Representative!$C$8</f>
        <v>649456</v>
      </c>
      <c r="L711">
        <f>Sales_Per_Rep_Yearly_Goal!$B$2</f>
        <v>665544.80000000005</v>
      </c>
      <c r="M711">
        <f>Sales_Per_Rep_Yearly_Goal!$C$2</f>
        <v>650000</v>
      </c>
    </row>
    <row r="712" spans="1:13" x14ac:dyDescent="0.3">
      <c r="A712" s="3">
        <v>45118</v>
      </c>
      <c r="B712">
        <f t="shared" si="11"/>
        <v>2023</v>
      </c>
      <c r="C712">
        <v>7</v>
      </c>
      <c r="D712" t="s">
        <v>12</v>
      </c>
      <c r="E712" t="s">
        <v>27</v>
      </c>
      <c r="F712" s="2">
        <v>13215</v>
      </c>
      <c r="G712" s="2">
        <f>Monthly_Growth!$C$8</f>
        <v>973467</v>
      </c>
      <c r="H712" s="5">
        <f>Monthly_Growth!$D$8</f>
        <v>0.31975304122893711</v>
      </c>
      <c r="I712" s="15">
        <f>Yearly_Growth!$C$2</f>
        <v>5.0333827436586778E-2</v>
      </c>
      <c r="J712" s="15">
        <f>Yearly_Growth!$D$2</f>
        <v>0.03</v>
      </c>
      <c r="K712">
        <f>Sales_Per_Representative!$C$5</f>
        <v>747962</v>
      </c>
      <c r="L712">
        <f>Sales_Per_Rep_Yearly_Goal!$B$2</f>
        <v>665544.80000000005</v>
      </c>
      <c r="M712">
        <f>Sales_Per_Rep_Yearly_Goal!$C$2</f>
        <v>650000</v>
      </c>
    </row>
    <row r="713" spans="1:13" x14ac:dyDescent="0.3">
      <c r="A713" s="3">
        <v>45119</v>
      </c>
      <c r="B713">
        <f t="shared" si="11"/>
        <v>2023</v>
      </c>
      <c r="C713">
        <v>7</v>
      </c>
      <c r="D713" t="s">
        <v>28</v>
      </c>
      <c r="E713" t="s">
        <v>15</v>
      </c>
      <c r="F713" s="2">
        <v>13858</v>
      </c>
      <c r="G713" s="2">
        <f>Monthly_Growth!$C$8</f>
        <v>973467</v>
      </c>
      <c r="H713" s="5">
        <f>Monthly_Growth!$D$8</f>
        <v>0.31975304122893711</v>
      </c>
      <c r="I713" s="15">
        <f>Yearly_Growth!$C$2</f>
        <v>5.0333827436586778E-2</v>
      </c>
      <c r="J713" s="15">
        <f>Yearly_Growth!$D$2</f>
        <v>0.03</v>
      </c>
      <c r="K713">
        <f>Sales_Per_Representative!$C$12</f>
        <v>656359</v>
      </c>
      <c r="L713">
        <f>Sales_Per_Rep_Yearly_Goal!$B$2</f>
        <v>665544.80000000005</v>
      </c>
      <c r="M713">
        <f>Sales_Per_Rep_Yearly_Goal!$C$2</f>
        <v>650000</v>
      </c>
    </row>
    <row r="714" spans="1:13" x14ac:dyDescent="0.3">
      <c r="A714" s="3">
        <v>45120</v>
      </c>
      <c r="B714">
        <f t="shared" si="11"/>
        <v>2023</v>
      </c>
      <c r="C714">
        <v>7</v>
      </c>
      <c r="D714" t="s">
        <v>14</v>
      </c>
      <c r="E714" t="s">
        <v>5</v>
      </c>
      <c r="F714" s="2">
        <v>5628</v>
      </c>
      <c r="G714" s="2">
        <f>Monthly_Growth!$C$8</f>
        <v>973467</v>
      </c>
      <c r="H714" s="5">
        <f>Monthly_Growth!$D$8</f>
        <v>0.31975304122893711</v>
      </c>
      <c r="I714" s="15">
        <f>Yearly_Growth!$C$2</f>
        <v>5.0333827436586778E-2</v>
      </c>
      <c r="J714" s="15">
        <f>Yearly_Growth!$D$2</f>
        <v>0.03</v>
      </c>
      <c r="K714">
        <f>Sales_Per_Representative!$C$10</f>
        <v>663333</v>
      </c>
      <c r="L714">
        <f>Sales_Per_Rep_Yearly_Goal!$B$2</f>
        <v>665544.80000000005</v>
      </c>
      <c r="M714">
        <f>Sales_Per_Rep_Yearly_Goal!$C$2</f>
        <v>650000</v>
      </c>
    </row>
    <row r="715" spans="1:13" x14ac:dyDescent="0.3">
      <c r="A715" s="3">
        <v>45120</v>
      </c>
      <c r="B715">
        <f t="shared" si="11"/>
        <v>2023</v>
      </c>
      <c r="C715">
        <v>7</v>
      </c>
      <c r="D715" t="s">
        <v>23</v>
      </c>
      <c r="E715" t="s">
        <v>26</v>
      </c>
      <c r="F715" s="2">
        <v>8998</v>
      </c>
      <c r="G715" s="2">
        <f>Monthly_Growth!$C$8</f>
        <v>973467</v>
      </c>
      <c r="H715" s="5">
        <f>Monthly_Growth!$D$8</f>
        <v>0.31975304122893711</v>
      </c>
      <c r="I715" s="15">
        <f>Yearly_Growth!$C$2</f>
        <v>5.0333827436586778E-2</v>
      </c>
      <c r="J715" s="15">
        <f>Yearly_Growth!$D$2</f>
        <v>0.03</v>
      </c>
      <c r="K715">
        <f>Sales_Per_Representative!$C$16</f>
        <v>666159</v>
      </c>
      <c r="L715">
        <f>Sales_Per_Rep_Yearly_Goal!$B$2</f>
        <v>665544.80000000005</v>
      </c>
      <c r="M715">
        <f>Sales_Per_Rep_Yearly_Goal!$C$2</f>
        <v>650000</v>
      </c>
    </row>
    <row r="716" spans="1:13" x14ac:dyDescent="0.3">
      <c r="A716" s="3">
        <v>45120</v>
      </c>
      <c r="B716">
        <f t="shared" si="11"/>
        <v>2023</v>
      </c>
      <c r="C716">
        <v>7</v>
      </c>
      <c r="D716" t="s">
        <v>23</v>
      </c>
      <c r="E716" t="s">
        <v>32</v>
      </c>
      <c r="F716" s="2">
        <v>10611</v>
      </c>
      <c r="G716" s="2">
        <f>Monthly_Growth!$C$8</f>
        <v>973467</v>
      </c>
      <c r="H716" s="5">
        <f>Monthly_Growth!$D$8</f>
        <v>0.31975304122893711</v>
      </c>
      <c r="I716" s="15">
        <f>Yearly_Growth!$C$2</f>
        <v>5.0333827436586778E-2</v>
      </c>
      <c r="J716" s="15">
        <f>Yearly_Growth!$D$2</f>
        <v>0.03</v>
      </c>
      <c r="K716">
        <f>Sales_Per_Representative!$C$3</f>
        <v>762157</v>
      </c>
      <c r="L716">
        <f>Sales_Per_Rep_Yearly_Goal!$B$2</f>
        <v>665544.80000000005</v>
      </c>
      <c r="M716">
        <f>Sales_Per_Rep_Yearly_Goal!$C$2</f>
        <v>650000</v>
      </c>
    </row>
    <row r="717" spans="1:13" x14ac:dyDescent="0.3">
      <c r="A717" s="3">
        <v>45120</v>
      </c>
      <c r="B717">
        <f t="shared" si="11"/>
        <v>2023</v>
      </c>
      <c r="C717">
        <v>7</v>
      </c>
      <c r="D717" t="s">
        <v>7</v>
      </c>
      <c r="E717" t="s">
        <v>33</v>
      </c>
      <c r="F717" s="2">
        <v>1129</v>
      </c>
      <c r="G717" s="2">
        <f>Monthly_Growth!$C$8</f>
        <v>973467</v>
      </c>
      <c r="H717" s="5">
        <f>Monthly_Growth!$D$8</f>
        <v>0.31975304122893711</v>
      </c>
      <c r="I717" s="15">
        <f>Yearly_Growth!$C$2</f>
        <v>5.0333827436586778E-2</v>
      </c>
      <c r="J717" s="15">
        <f>Yearly_Growth!$D$2</f>
        <v>0.03</v>
      </c>
      <c r="K717">
        <f>Sales_Per_Representative!$C$11</f>
        <v>496886</v>
      </c>
      <c r="L717">
        <f>Sales_Per_Rep_Yearly_Goal!$B$2</f>
        <v>665544.80000000005</v>
      </c>
      <c r="M717">
        <f>Sales_Per_Rep_Yearly_Goal!$C$2</f>
        <v>650000</v>
      </c>
    </row>
    <row r="718" spans="1:13" x14ac:dyDescent="0.3">
      <c r="A718" s="3">
        <v>45120</v>
      </c>
      <c r="B718">
        <f t="shared" si="11"/>
        <v>2023</v>
      </c>
      <c r="C718">
        <v>7</v>
      </c>
      <c r="D718" t="s">
        <v>17</v>
      </c>
      <c r="E718" t="s">
        <v>27</v>
      </c>
      <c r="F718" s="2">
        <v>1712</v>
      </c>
      <c r="G718" s="2">
        <f>Monthly_Growth!$C$8</f>
        <v>973467</v>
      </c>
      <c r="H718" s="5">
        <f>Monthly_Growth!$D$8</f>
        <v>0.31975304122893711</v>
      </c>
      <c r="I718" s="15">
        <f>Yearly_Growth!$C$2</f>
        <v>5.0333827436586778E-2</v>
      </c>
      <c r="J718" s="15">
        <f>Yearly_Growth!$D$2</f>
        <v>0.03</v>
      </c>
      <c r="K718">
        <f>Sales_Per_Representative!$C$5</f>
        <v>747962</v>
      </c>
      <c r="L718">
        <f>Sales_Per_Rep_Yearly_Goal!$B$2</f>
        <v>665544.80000000005</v>
      </c>
      <c r="M718">
        <f>Sales_Per_Rep_Yearly_Goal!$C$2</f>
        <v>650000</v>
      </c>
    </row>
    <row r="719" spans="1:13" x14ac:dyDescent="0.3">
      <c r="A719" s="3">
        <v>45121</v>
      </c>
      <c r="B719">
        <f t="shared" si="11"/>
        <v>2023</v>
      </c>
      <c r="C719">
        <v>7</v>
      </c>
      <c r="D719" t="s">
        <v>23</v>
      </c>
      <c r="E719" t="s">
        <v>15</v>
      </c>
      <c r="F719" s="2">
        <v>2875</v>
      </c>
      <c r="G719" s="2">
        <f>Monthly_Growth!$C$8</f>
        <v>973467</v>
      </c>
      <c r="H719" s="5">
        <f>Monthly_Growth!$D$8</f>
        <v>0.31975304122893711</v>
      </c>
      <c r="I719" s="15">
        <f>Yearly_Growth!$C$2</f>
        <v>5.0333827436586778E-2</v>
      </c>
      <c r="J719" s="15">
        <f>Yearly_Growth!$D$2</f>
        <v>0.03</v>
      </c>
      <c r="K719">
        <f>Sales_Per_Representative!$C$12</f>
        <v>656359</v>
      </c>
      <c r="L719">
        <f>Sales_Per_Rep_Yearly_Goal!$B$2</f>
        <v>665544.80000000005</v>
      </c>
      <c r="M719">
        <f>Sales_Per_Rep_Yearly_Goal!$C$2</f>
        <v>650000</v>
      </c>
    </row>
    <row r="720" spans="1:13" x14ac:dyDescent="0.3">
      <c r="A720" s="3">
        <v>45121</v>
      </c>
      <c r="B720">
        <f t="shared" si="11"/>
        <v>2023</v>
      </c>
      <c r="C720">
        <v>7</v>
      </c>
      <c r="D720" t="s">
        <v>23</v>
      </c>
      <c r="E720" t="s">
        <v>31</v>
      </c>
      <c r="F720" s="2">
        <v>12641</v>
      </c>
      <c r="G720" s="2">
        <f>Monthly_Growth!$C$8</f>
        <v>973467</v>
      </c>
      <c r="H720" s="5">
        <f>Monthly_Growth!$D$8</f>
        <v>0.31975304122893711</v>
      </c>
      <c r="I720" s="15">
        <f>Yearly_Growth!$C$2</f>
        <v>5.0333827436586778E-2</v>
      </c>
      <c r="J720" s="15">
        <f>Yearly_Growth!$D$2</f>
        <v>0.03</v>
      </c>
      <c r="K720">
        <f>Sales_Per_Representative!$C$6</f>
        <v>727823</v>
      </c>
      <c r="L720">
        <f>Sales_Per_Rep_Yearly_Goal!$B$2</f>
        <v>665544.80000000005</v>
      </c>
      <c r="M720">
        <f>Sales_Per_Rep_Yearly_Goal!$C$2</f>
        <v>650000</v>
      </c>
    </row>
    <row r="721" spans="1:13" x14ac:dyDescent="0.3">
      <c r="A721" s="3">
        <v>45121</v>
      </c>
      <c r="B721">
        <f t="shared" si="11"/>
        <v>2023</v>
      </c>
      <c r="C721">
        <v>7</v>
      </c>
      <c r="D721" t="s">
        <v>25</v>
      </c>
      <c r="E721" t="s">
        <v>29</v>
      </c>
      <c r="F721" s="2">
        <v>13618</v>
      </c>
      <c r="G721" s="2">
        <f>Monthly_Growth!$C$8</f>
        <v>973467</v>
      </c>
      <c r="H721" s="5">
        <f>Monthly_Growth!$D$8</f>
        <v>0.31975304122893711</v>
      </c>
      <c r="I721" s="15">
        <f>Yearly_Growth!$C$2</f>
        <v>5.0333827436586778E-2</v>
      </c>
      <c r="J721" s="15">
        <f>Yearly_Growth!$D$2</f>
        <v>0.03</v>
      </c>
      <c r="K721">
        <f>Sales_Per_Representative!$C$13</f>
        <v>621548</v>
      </c>
      <c r="L721">
        <f>Sales_Per_Rep_Yearly_Goal!$B$2</f>
        <v>665544.80000000005</v>
      </c>
      <c r="M721">
        <f>Sales_Per_Rep_Yearly_Goal!$C$2</f>
        <v>650000</v>
      </c>
    </row>
    <row r="722" spans="1:13" x14ac:dyDescent="0.3">
      <c r="A722" s="3">
        <v>45121</v>
      </c>
      <c r="B722">
        <f t="shared" si="11"/>
        <v>2023</v>
      </c>
      <c r="C722">
        <v>7</v>
      </c>
      <c r="D722" t="s">
        <v>7</v>
      </c>
      <c r="E722" t="s">
        <v>22</v>
      </c>
      <c r="F722" s="2">
        <v>9314</v>
      </c>
      <c r="G722" s="2">
        <f>Monthly_Growth!$C$8</f>
        <v>973467</v>
      </c>
      <c r="H722" s="5">
        <f>Monthly_Growth!$D$8</f>
        <v>0.31975304122893711</v>
      </c>
      <c r="I722" s="15">
        <f>Yearly_Growth!$C$2</f>
        <v>5.0333827436586778E-2</v>
      </c>
      <c r="J722" s="15">
        <f>Yearly_Growth!$D$2</f>
        <v>0.03</v>
      </c>
      <c r="K722">
        <f>Sales_Per_Representative!$C$8</f>
        <v>649456</v>
      </c>
      <c r="L722">
        <f>Sales_Per_Rep_Yearly_Goal!$B$2</f>
        <v>665544.80000000005</v>
      </c>
      <c r="M722">
        <f>Sales_Per_Rep_Yearly_Goal!$C$2</f>
        <v>650000</v>
      </c>
    </row>
    <row r="723" spans="1:13" x14ac:dyDescent="0.3">
      <c r="A723" s="3">
        <v>45121</v>
      </c>
      <c r="B723">
        <f t="shared" si="11"/>
        <v>2023</v>
      </c>
      <c r="C723">
        <v>7</v>
      </c>
      <c r="D723" t="s">
        <v>28</v>
      </c>
      <c r="E723" t="s">
        <v>27</v>
      </c>
      <c r="F723" s="2">
        <v>1695</v>
      </c>
      <c r="G723" s="2">
        <f>Monthly_Growth!$C$8</f>
        <v>973467</v>
      </c>
      <c r="H723" s="5">
        <f>Monthly_Growth!$D$8</f>
        <v>0.31975304122893711</v>
      </c>
      <c r="I723" s="15">
        <f>Yearly_Growth!$C$2</f>
        <v>5.0333827436586778E-2</v>
      </c>
      <c r="J723" s="15">
        <f>Yearly_Growth!$D$2</f>
        <v>0.03</v>
      </c>
      <c r="K723">
        <f>Sales_Per_Representative!$C$5</f>
        <v>747962</v>
      </c>
      <c r="L723">
        <f>Sales_Per_Rep_Yearly_Goal!$B$2</f>
        <v>665544.80000000005</v>
      </c>
      <c r="M723">
        <f>Sales_Per_Rep_Yearly_Goal!$C$2</f>
        <v>650000</v>
      </c>
    </row>
    <row r="724" spans="1:13" x14ac:dyDescent="0.3">
      <c r="A724" s="3">
        <v>45121</v>
      </c>
      <c r="B724">
        <f t="shared" si="11"/>
        <v>2023</v>
      </c>
      <c r="C724">
        <v>7</v>
      </c>
      <c r="D724" t="s">
        <v>12</v>
      </c>
      <c r="E724" t="s">
        <v>32</v>
      </c>
      <c r="F724" s="2">
        <v>13752</v>
      </c>
      <c r="G724" s="2">
        <f>Monthly_Growth!$C$8</f>
        <v>973467</v>
      </c>
      <c r="H724" s="5">
        <f>Monthly_Growth!$D$8</f>
        <v>0.31975304122893711</v>
      </c>
      <c r="I724" s="15">
        <f>Yearly_Growth!$C$2</f>
        <v>5.0333827436586778E-2</v>
      </c>
      <c r="J724" s="15">
        <f>Yearly_Growth!$D$2</f>
        <v>0.03</v>
      </c>
      <c r="K724">
        <f>Sales_Per_Representative!$C$3</f>
        <v>762157</v>
      </c>
      <c r="L724">
        <f>Sales_Per_Rep_Yearly_Goal!$B$2</f>
        <v>665544.80000000005</v>
      </c>
      <c r="M724">
        <f>Sales_Per_Rep_Yearly_Goal!$C$2</f>
        <v>650000</v>
      </c>
    </row>
    <row r="725" spans="1:13" x14ac:dyDescent="0.3">
      <c r="A725" s="3">
        <v>45122</v>
      </c>
      <c r="B725">
        <f t="shared" si="11"/>
        <v>2023</v>
      </c>
      <c r="C725">
        <v>7</v>
      </c>
      <c r="D725" t="s">
        <v>19</v>
      </c>
      <c r="E725" t="s">
        <v>22</v>
      </c>
      <c r="F725" s="2">
        <v>4181</v>
      </c>
      <c r="G725" s="2">
        <f>Monthly_Growth!$C$8</f>
        <v>973467</v>
      </c>
      <c r="H725" s="5">
        <f>Monthly_Growth!$D$8</f>
        <v>0.31975304122893711</v>
      </c>
      <c r="I725" s="15">
        <f>Yearly_Growth!$C$2</f>
        <v>5.0333827436586778E-2</v>
      </c>
      <c r="J725" s="15">
        <f>Yearly_Growth!$D$2</f>
        <v>0.03</v>
      </c>
      <c r="K725">
        <f>Sales_Per_Representative!$C$8</f>
        <v>649456</v>
      </c>
      <c r="L725">
        <f>Sales_Per_Rep_Yearly_Goal!$B$2</f>
        <v>665544.80000000005</v>
      </c>
      <c r="M725">
        <f>Sales_Per_Rep_Yearly_Goal!$C$2</f>
        <v>650000</v>
      </c>
    </row>
    <row r="726" spans="1:13" x14ac:dyDescent="0.3">
      <c r="A726" s="3">
        <v>45122</v>
      </c>
      <c r="B726">
        <f t="shared" si="11"/>
        <v>2023</v>
      </c>
      <c r="C726">
        <v>7</v>
      </c>
      <c r="D726" t="s">
        <v>23</v>
      </c>
      <c r="E726" t="s">
        <v>32</v>
      </c>
      <c r="F726" s="2">
        <v>10467</v>
      </c>
      <c r="G726" s="2">
        <f>Monthly_Growth!$C$8</f>
        <v>973467</v>
      </c>
      <c r="H726" s="5">
        <f>Monthly_Growth!$D$8</f>
        <v>0.31975304122893711</v>
      </c>
      <c r="I726" s="15">
        <f>Yearly_Growth!$C$2</f>
        <v>5.0333827436586778E-2</v>
      </c>
      <c r="J726" s="15">
        <f>Yearly_Growth!$D$2</f>
        <v>0.03</v>
      </c>
      <c r="K726">
        <f>Sales_Per_Representative!$C$3</f>
        <v>762157</v>
      </c>
      <c r="L726">
        <f>Sales_Per_Rep_Yearly_Goal!$B$2</f>
        <v>665544.80000000005</v>
      </c>
      <c r="M726">
        <f>Sales_Per_Rep_Yearly_Goal!$C$2</f>
        <v>650000</v>
      </c>
    </row>
    <row r="727" spans="1:13" x14ac:dyDescent="0.3">
      <c r="A727" s="3">
        <v>45122</v>
      </c>
      <c r="B727">
        <f t="shared" si="11"/>
        <v>2023</v>
      </c>
      <c r="C727">
        <v>7</v>
      </c>
      <c r="D727" t="s">
        <v>28</v>
      </c>
      <c r="E727" t="s">
        <v>22</v>
      </c>
      <c r="F727" s="2">
        <v>7291</v>
      </c>
      <c r="G727" s="2">
        <f>Monthly_Growth!$C$8</f>
        <v>973467</v>
      </c>
      <c r="H727" s="5">
        <f>Monthly_Growth!$D$8</f>
        <v>0.31975304122893711</v>
      </c>
      <c r="I727" s="15">
        <f>Yearly_Growth!$C$2</f>
        <v>5.0333827436586778E-2</v>
      </c>
      <c r="J727" s="15">
        <f>Yearly_Growth!$D$2</f>
        <v>0.03</v>
      </c>
      <c r="K727">
        <f>Sales_Per_Representative!$C$8</f>
        <v>649456</v>
      </c>
      <c r="L727">
        <f>Sales_Per_Rep_Yearly_Goal!$B$2</f>
        <v>665544.80000000005</v>
      </c>
      <c r="M727">
        <f>Sales_Per_Rep_Yearly_Goal!$C$2</f>
        <v>650000</v>
      </c>
    </row>
    <row r="728" spans="1:13" x14ac:dyDescent="0.3">
      <c r="A728" s="3">
        <v>45122</v>
      </c>
      <c r="B728">
        <f t="shared" si="11"/>
        <v>2023</v>
      </c>
      <c r="C728">
        <v>7</v>
      </c>
      <c r="D728" t="s">
        <v>28</v>
      </c>
      <c r="E728" t="s">
        <v>8</v>
      </c>
      <c r="F728" s="2">
        <v>1987</v>
      </c>
      <c r="G728" s="2">
        <f>Monthly_Growth!$C$8</f>
        <v>973467</v>
      </c>
      <c r="H728" s="5">
        <f>Monthly_Growth!$D$8</f>
        <v>0.31975304122893711</v>
      </c>
      <c r="I728" s="15">
        <f>Yearly_Growth!$C$2</f>
        <v>5.0333827436586778E-2</v>
      </c>
      <c r="J728" s="15">
        <f>Yearly_Growth!$D$2</f>
        <v>0.03</v>
      </c>
      <c r="K728">
        <f>Sales_Per_Representative!$C$15</f>
        <v>701242</v>
      </c>
      <c r="L728">
        <f>Sales_Per_Rep_Yearly_Goal!$B$2</f>
        <v>665544.80000000005</v>
      </c>
      <c r="M728">
        <f>Sales_Per_Rep_Yearly_Goal!$C$2</f>
        <v>650000</v>
      </c>
    </row>
    <row r="729" spans="1:13" x14ac:dyDescent="0.3">
      <c r="A729" s="3">
        <v>45122</v>
      </c>
      <c r="B729">
        <f t="shared" si="11"/>
        <v>2023</v>
      </c>
      <c r="C729">
        <v>7</v>
      </c>
      <c r="D729" t="s">
        <v>17</v>
      </c>
      <c r="E729" t="s">
        <v>30</v>
      </c>
      <c r="F729" s="2">
        <v>9780</v>
      </c>
      <c r="G729" s="2">
        <f>Monthly_Growth!$C$8</f>
        <v>973467</v>
      </c>
      <c r="H729" s="5">
        <f>Monthly_Growth!$D$8</f>
        <v>0.31975304122893711</v>
      </c>
      <c r="I729" s="15">
        <f>Yearly_Growth!$C$2</f>
        <v>5.0333827436586778E-2</v>
      </c>
      <c r="J729" s="15">
        <f>Yearly_Growth!$D$2</f>
        <v>0.03</v>
      </c>
      <c r="K729">
        <f>Sales_Per_Representative!$C$7</f>
        <v>706974</v>
      </c>
      <c r="L729">
        <f>Sales_Per_Rep_Yearly_Goal!$B$2</f>
        <v>665544.80000000005</v>
      </c>
      <c r="M729">
        <f>Sales_Per_Rep_Yearly_Goal!$C$2</f>
        <v>650000</v>
      </c>
    </row>
    <row r="730" spans="1:13" x14ac:dyDescent="0.3">
      <c r="A730" s="3">
        <v>45123</v>
      </c>
      <c r="B730">
        <f t="shared" si="11"/>
        <v>2023</v>
      </c>
      <c r="C730">
        <v>7</v>
      </c>
      <c r="D730" t="s">
        <v>14</v>
      </c>
      <c r="E730" t="s">
        <v>27</v>
      </c>
      <c r="F730" s="2">
        <v>2150</v>
      </c>
      <c r="G730" s="2">
        <f>Monthly_Growth!$C$8</f>
        <v>973467</v>
      </c>
      <c r="H730" s="5">
        <f>Monthly_Growth!$D$8</f>
        <v>0.31975304122893711</v>
      </c>
      <c r="I730" s="15">
        <f>Yearly_Growth!$C$2</f>
        <v>5.0333827436586778E-2</v>
      </c>
      <c r="J730" s="15">
        <f>Yearly_Growth!$D$2</f>
        <v>0.03</v>
      </c>
      <c r="K730">
        <f>Sales_Per_Representative!$C$5</f>
        <v>747962</v>
      </c>
      <c r="L730">
        <f>Sales_Per_Rep_Yearly_Goal!$B$2</f>
        <v>665544.80000000005</v>
      </c>
      <c r="M730">
        <f>Sales_Per_Rep_Yearly_Goal!$C$2</f>
        <v>650000</v>
      </c>
    </row>
    <row r="731" spans="1:13" x14ac:dyDescent="0.3">
      <c r="A731" s="3">
        <v>45123</v>
      </c>
      <c r="B731">
        <f t="shared" si="11"/>
        <v>2023</v>
      </c>
      <c r="C731">
        <v>7</v>
      </c>
      <c r="D731" t="s">
        <v>14</v>
      </c>
      <c r="E731" t="s">
        <v>18</v>
      </c>
      <c r="F731" s="2">
        <v>11342</v>
      </c>
      <c r="G731" s="2">
        <f>Monthly_Growth!$C$8</f>
        <v>973467</v>
      </c>
      <c r="H731" s="5">
        <f>Monthly_Growth!$D$8</f>
        <v>0.31975304122893711</v>
      </c>
      <c r="I731" s="15">
        <f>Yearly_Growth!$C$2</f>
        <v>5.0333827436586778E-2</v>
      </c>
      <c r="J731" s="15">
        <f>Yearly_Growth!$D$2</f>
        <v>0.03</v>
      </c>
      <c r="K731">
        <f>Sales_Per_Representative!$C$9</f>
        <v>550835</v>
      </c>
      <c r="L731">
        <f>Sales_Per_Rep_Yearly_Goal!$B$2</f>
        <v>665544.80000000005</v>
      </c>
      <c r="M731">
        <f>Sales_Per_Rep_Yearly_Goal!$C$2</f>
        <v>650000</v>
      </c>
    </row>
    <row r="732" spans="1:13" x14ac:dyDescent="0.3">
      <c r="A732" s="3">
        <v>45123</v>
      </c>
      <c r="B732">
        <f t="shared" si="11"/>
        <v>2023</v>
      </c>
      <c r="C732">
        <v>7</v>
      </c>
      <c r="D732" t="s">
        <v>23</v>
      </c>
      <c r="E732" t="s">
        <v>18</v>
      </c>
      <c r="F732" s="2">
        <v>3836</v>
      </c>
      <c r="G732" s="2">
        <f>Monthly_Growth!$C$8</f>
        <v>973467</v>
      </c>
      <c r="H732" s="5">
        <f>Monthly_Growth!$D$8</f>
        <v>0.31975304122893711</v>
      </c>
      <c r="I732" s="15">
        <f>Yearly_Growth!$C$2</f>
        <v>5.0333827436586778E-2</v>
      </c>
      <c r="J732" s="15">
        <f>Yearly_Growth!$D$2</f>
        <v>0.03</v>
      </c>
      <c r="K732">
        <f>Sales_Per_Representative!$C$9</f>
        <v>550835</v>
      </c>
      <c r="L732">
        <f>Sales_Per_Rep_Yearly_Goal!$B$2</f>
        <v>665544.80000000005</v>
      </c>
      <c r="M732">
        <f>Sales_Per_Rep_Yearly_Goal!$C$2</f>
        <v>650000</v>
      </c>
    </row>
    <row r="733" spans="1:13" x14ac:dyDescent="0.3">
      <c r="A733" s="3">
        <v>45123</v>
      </c>
      <c r="B733">
        <f t="shared" si="11"/>
        <v>2023</v>
      </c>
      <c r="C733">
        <v>7</v>
      </c>
      <c r="D733" t="s">
        <v>7</v>
      </c>
      <c r="E733" t="s">
        <v>29</v>
      </c>
      <c r="F733" s="2">
        <v>10885</v>
      </c>
      <c r="G733" s="2">
        <f>Monthly_Growth!$C$8</f>
        <v>973467</v>
      </c>
      <c r="H733" s="5">
        <f>Monthly_Growth!$D$8</f>
        <v>0.31975304122893711</v>
      </c>
      <c r="I733" s="15">
        <f>Yearly_Growth!$C$2</f>
        <v>5.0333827436586778E-2</v>
      </c>
      <c r="J733" s="15">
        <f>Yearly_Growth!$D$2</f>
        <v>0.03</v>
      </c>
      <c r="K733">
        <f>Sales_Per_Representative!$C$13</f>
        <v>621548</v>
      </c>
      <c r="L733">
        <f>Sales_Per_Rep_Yearly_Goal!$B$2</f>
        <v>665544.80000000005</v>
      </c>
      <c r="M733">
        <f>Sales_Per_Rep_Yearly_Goal!$C$2</f>
        <v>650000</v>
      </c>
    </row>
    <row r="734" spans="1:13" x14ac:dyDescent="0.3">
      <c r="A734" s="3">
        <v>45123</v>
      </c>
      <c r="B734">
        <f t="shared" si="11"/>
        <v>2023</v>
      </c>
      <c r="C734">
        <v>7</v>
      </c>
      <c r="D734" t="s">
        <v>28</v>
      </c>
      <c r="E734" t="s">
        <v>15</v>
      </c>
      <c r="F734" s="2">
        <v>4632</v>
      </c>
      <c r="G734" s="2">
        <f>Monthly_Growth!$C$8</f>
        <v>973467</v>
      </c>
      <c r="H734" s="5">
        <f>Monthly_Growth!$D$8</f>
        <v>0.31975304122893711</v>
      </c>
      <c r="I734" s="15">
        <f>Yearly_Growth!$C$2</f>
        <v>5.0333827436586778E-2</v>
      </c>
      <c r="J734" s="15">
        <f>Yearly_Growth!$D$2</f>
        <v>0.03</v>
      </c>
      <c r="K734">
        <f>Sales_Per_Representative!$C$12</f>
        <v>656359</v>
      </c>
      <c r="L734">
        <f>Sales_Per_Rep_Yearly_Goal!$B$2</f>
        <v>665544.80000000005</v>
      </c>
      <c r="M734">
        <f>Sales_Per_Rep_Yearly_Goal!$C$2</f>
        <v>650000</v>
      </c>
    </row>
    <row r="735" spans="1:13" x14ac:dyDescent="0.3">
      <c r="A735" s="3">
        <v>45123</v>
      </c>
      <c r="B735">
        <f t="shared" si="11"/>
        <v>2023</v>
      </c>
      <c r="C735">
        <v>7</v>
      </c>
      <c r="D735" t="s">
        <v>28</v>
      </c>
      <c r="E735" t="s">
        <v>5</v>
      </c>
      <c r="F735" s="2">
        <v>2913</v>
      </c>
      <c r="G735" s="2">
        <f>Monthly_Growth!$C$8</f>
        <v>973467</v>
      </c>
      <c r="H735" s="5">
        <f>Monthly_Growth!$D$8</f>
        <v>0.31975304122893711</v>
      </c>
      <c r="I735" s="15">
        <f>Yearly_Growth!$C$2</f>
        <v>5.0333827436586778E-2</v>
      </c>
      <c r="J735" s="15">
        <f>Yearly_Growth!$D$2</f>
        <v>0.03</v>
      </c>
      <c r="K735">
        <f>Sales_Per_Representative!$C$10</f>
        <v>663333</v>
      </c>
      <c r="L735">
        <f>Sales_Per_Rep_Yearly_Goal!$B$2</f>
        <v>665544.80000000005</v>
      </c>
      <c r="M735">
        <f>Sales_Per_Rep_Yearly_Goal!$C$2</f>
        <v>650000</v>
      </c>
    </row>
    <row r="736" spans="1:13" x14ac:dyDescent="0.3">
      <c r="A736" s="3">
        <v>45123</v>
      </c>
      <c r="B736">
        <f t="shared" si="11"/>
        <v>2023</v>
      </c>
      <c r="C736">
        <v>7</v>
      </c>
      <c r="D736" t="s">
        <v>17</v>
      </c>
      <c r="E736" t="s">
        <v>24</v>
      </c>
      <c r="F736" s="2">
        <v>7767</v>
      </c>
      <c r="G736" s="2">
        <f>Monthly_Growth!$C$8</f>
        <v>973467</v>
      </c>
      <c r="H736" s="5">
        <f>Monthly_Growth!$D$8</f>
        <v>0.31975304122893711</v>
      </c>
      <c r="I736" s="15">
        <f>Yearly_Growth!$C$2</f>
        <v>5.0333827436586778E-2</v>
      </c>
      <c r="J736" s="15">
        <f>Yearly_Growth!$D$2</f>
        <v>0.03</v>
      </c>
      <c r="K736">
        <f>Sales_Per_Representative!$C$2</f>
        <v>631195</v>
      </c>
      <c r="L736">
        <f>Sales_Per_Rep_Yearly_Goal!$B$2</f>
        <v>665544.80000000005</v>
      </c>
      <c r="M736">
        <f>Sales_Per_Rep_Yearly_Goal!$C$2</f>
        <v>650000</v>
      </c>
    </row>
    <row r="737" spans="1:13" x14ac:dyDescent="0.3">
      <c r="A737" s="3">
        <v>45124</v>
      </c>
      <c r="B737">
        <f t="shared" si="11"/>
        <v>2023</v>
      </c>
      <c r="C737">
        <v>7</v>
      </c>
      <c r="D737" t="s">
        <v>19</v>
      </c>
      <c r="E737" t="s">
        <v>8</v>
      </c>
      <c r="F737" s="2">
        <v>2276</v>
      </c>
      <c r="G737" s="2">
        <f>Monthly_Growth!$C$8</f>
        <v>973467</v>
      </c>
      <c r="H737" s="5">
        <f>Monthly_Growth!$D$8</f>
        <v>0.31975304122893711</v>
      </c>
      <c r="I737" s="15">
        <f>Yearly_Growth!$C$2</f>
        <v>5.0333827436586778E-2</v>
      </c>
      <c r="J737" s="15">
        <f>Yearly_Growth!$D$2</f>
        <v>0.03</v>
      </c>
      <c r="K737">
        <f>Sales_Per_Representative!$C$15</f>
        <v>701242</v>
      </c>
      <c r="L737">
        <f>Sales_Per_Rep_Yearly_Goal!$B$2</f>
        <v>665544.80000000005</v>
      </c>
      <c r="M737">
        <f>Sales_Per_Rep_Yearly_Goal!$C$2</f>
        <v>650000</v>
      </c>
    </row>
    <row r="738" spans="1:13" x14ac:dyDescent="0.3">
      <c r="A738" s="3">
        <v>45124</v>
      </c>
      <c r="B738">
        <f t="shared" si="11"/>
        <v>2023</v>
      </c>
      <c r="C738">
        <v>7</v>
      </c>
      <c r="D738" t="s">
        <v>23</v>
      </c>
      <c r="E738" t="s">
        <v>18</v>
      </c>
      <c r="F738" s="2">
        <v>13774</v>
      </c>
      <c r="G738" s="2">
        <f>Monthly_Growth!$C$8</f>
        <v>973467</v>
      </c>
      <c r="H738" s="5">
        <f>Monthly_Growth!$D$8</f>
        <v>0.31975304122893711</v>
      </c>
      <c r="I738" s="15">
        <f>Yearly_Growth!$C$2</f>
        <v>5.0333827436586778E-2</v>
      </c>
      <c r="J738" s="15">
        <f>Yearly_Growth!$D$2</f>
        <v>0.03</v>
      </c>
      <c r="K738">
        <f>Sales_Per_Representative!$C$9</f>
        <v>550835</v>
      </c>
      <c r="L738">
        <f>Sales_Per_Rep_Yearly_Goal!$B$2</f>
        <v>665544.80000000005</v>
      </c>
      <c r="M738">
        <f>Sales_Per_Rep_Yearly_Goal!$C$2</f>
        <v>650000</v>
      </c>
    </row>
    <row r="739" spans="1:13" x14ac:dyDescent="0.3">
      <c r="A739" s="3">
        <v>45124</v>
      </c>
      <c r="B739">
        <f t="shared" si="11"/>
        <v>2023</v>
      </c>
      <c r="C739">
        <v>7</v>
      </c>
      <c r="D739" t="s">
        <v>7</v>
      </c>
      <c r="E739" t="s">
        <v>8</v>
      </c>
      <c r="F739" s="2">
        <v>2255</v>
      </c>
      <c r="G739" s="2">
        <f>Monthly_Growth!$C$8</f>
        <v>973467</v>
      </c>
      <c r="H739" s="5">
        <f>Monthly_Growth!$D$8</f>
        <v>0.31975304122893711</v>
      </c>
      <c r="I739" s="15">
        <f>Yearly_Growth!$C$2</f>
        <v>5.0333827436586778E-2</v>
      </c>
      <c r="J739" s="15">
        <f>Yearly_Growth!$D$2</f>
        <v>0.03</v>
      </c>
      <c r="K739">
        <f>Sales_Per_Representative!$C$15</f>
        <v>701242</v>
      </c>
      <c r="L739">
        <f>Sales_Per_Rep_Yearly_Goal!$B$2</f>
        <v>665544.80000000005</v>
      </c>
      <c r="M739">
        <f>Sales_Per_Rep_Yearly_Goal!$C$2</f>
        <v>650000</v>
      </c>
    </row>
    <row r="740" spans="1:13" x14ac:dyDescent="0.3">
      <c r="A740" s="3">
        <v>45124</v>
      </c>
      <c r="B740">
        <f t="shared" si="11"/>
        <v>2023</v>
      </c>
      <c r="C740">
        <v>7</v>
      </c>
      <c r="D740" t="s">
        <v>28</v>
      </c>
      <c r="E740" t="s">
        <v>32</v>
      </c>
      <c r="F740" s="2">
        <v>12055</v>
      </c>
      <c r="G740" s="2">
        <f>Monthly_Growth!$C$8</f>
        <v>973467</v>
      </c>
      <c r="H740" s="5">
        <f>Monthly_Growth!$D$8</f>
        <v>0.31975304122893711</v>
      </c>
      <c r="I740" s="15">
        <f>Yearly_Growth!$C$2</f>
        <v>5.0333827436586778E-2</v>
      </c>
      <c r="J740" s="15">
        <f>Yearly_Growth!$D$2</f>
        <v>0.03</v>
      </c>
      <c r="K740">
        <f>Sales_Per_Representative!$C$3</f>
        <v>762157</v>
      </c>
      <c r="L740">
        <f>Sales_Per_Rep_Yearly_Goal!$B$2</f>
        <v>665544.80000000005</v>
      </c>
      <c r="M740">
        <f>Sales_Per_Rep_Yearly_Goal!$C$2</f>
        <v>650000</v>
      </c>
    </row>
    <row r="741" spans="1:13" x14ac:dyDescent="0.3">
      <c r="A741" s="3">
        <v>45124</v>
      </c>
      <c r="B741">
        <f t="shared" si="11"/>
        <v>2023</v>
      </c>
      <c r="C741">
        <v>7</v>
      </c>
      <c r="D741" t="s">
        <v>17</v>
      </c>
      <c r="E741" t="s">
        <v>24</v>
      </c>
      <c r="F741" s="2">
        <v>4585</v>
      </c>
      <c r="G741" s="2">
        <f>Monthly_Growth!$C$8</f>
        <v>973467</v>
      </c>
      <c r="H741" s="5">
        <f>Monthly_Growth!$D$8</f>
        <v>0.31975304122893711</v>
      </c>
      <c r="I741" s="15">
        <f>Yearly_Growth!$C$2</f>
        <v>5.0333827436586778E-2</v>
      </c>
      <c r="J741" s="15">
        <f>Yearly_Growth!$D$2</f>
        <v>0.03</v>
      </c>
      <c r="K741">
        <f>Sales_Per_Representative!$C$2</f>
        <v>631195</v>
      </c>
      <c r="L741">
        <f>Sales_Per_Rep_Yearly_Goal!$B$2</f>
        <v>665544.80000000005</v>
      </c>
      <c r="M741">
        <f>Sales_Per_Rep_Yearly_Goal!$C$2</f>
        <v>650000</v>
      </c>
    </row>
    <row r="742" spans="1:13" x14ac:dyDescent="0.3">
      <c r="A742" s="3">
        <v>45124</v>
      </c>
      <c r="B742">
        <f t="shared" si="11"/>
        <v>2023</v>
      </c>
      <c r="C742">
        <v>7</v>
      </c>
      <c r="D742" t="s">
        <v>12</v>
      </c>
      <c r="E742" t="s">
        <v>31</v>
      </c>
      <c r="F742" s="2">
        <v>3615</v>
      </c>
      <c r="G742" s="2">
        <f>Monthly_Growth!$C$8</f>
        <v>973467</v>
      </c>
      <c r="H742" s="5">
        <f>Monthly_Growth!$D$8</f>
        <v>0.31975304122893711</v>
      </c>
      <c r="I742" s="15">
        <f>Yearly_Growth!$C$2</f>
        <v>5.0333827436586778E-2</v>
      </c>
      <c r="J742" s="15">
        <f>Yearly_Growth!$D$2</f>
        <v>0.03</v>
      </c>
      <c r="K742">
        <f>Sales_Per_Representative!$C$6</f>
        <v>727823</v>
      </c>
      <c r="L742">
        <f>Sales_Per_Rep_Yearly_Goal!$B$2</f>
        <v>665544.80000000005</v>
      </c>
      <c r="M742">
        <f>Sales_Per_Rep_Yearly_Goal!$C$2</f>
        <v>650000</v>
      </c>
    </row>
    <row r="743" spans="1:13" x14ac:dyDescent="0.3">
      <c r="A743" s="3">
        <v>45124</v>
      </c>
      <c r="B743">
        <f t="shared" si="11"/>
        <v>2023</v>
      </c>
      <c r="C743">
        <v>7</v>
      </c>
      <c r="D743" t="s">
        <v>12</v>
      </c>
      <c r="E743" t="s">
        <v>15</v>
      </c>
      <c r="F743" s="2">
        <v>8347</v>
      </c>
      <c r="G743" s="2">
        <f>Monthly_Growth!$C$8</f>
        <v>973467</v>
      </c>
      <c r="H743" s="5">
        <f>Monthly_Growth!$D$8</f>
        <v>0.31975304122893711</v>
      </c>
      <c r="I743" s="15">
        <f>Yearly_Growth!$C$2</f>
        <v>5.0333827436586778E-2</v>
      </c>
      <c r="J743" s="15">
        <f>Yearly_Growth!$D$2</f>
        <v>0.03</v>
      </c>
      <c r="K743">
        <f>Sales_Per_Representative!$C$12</f>
        <v>656359</v>
      </c>
      <c r="L743">
        <f>Sales_Per_Rep_Yearly_Goal!$B$2</f>
        <v>665544.80000000005</v>
      </c>
      <c r="M743">
        <f>Sales_Per_Rep_Yearly_Goal!$C$2</f>
        <v>650000</v>
      </c>
    </row>
    <row r="744" spans="1:13" x14ac:dyDescent="0.3">
      <c r="A744" s="3">
        <v>45125</v>
      </c>
      <c r="B744">
        <f t="shared" si="11"/>
        <v>2023</v>
      </c>
      <c r="C744">
        <v>7</v>
      </c>
      <c r="D744" t="s">
        <v>14</v>
      </c>
      <c r="E744" t="s">
        <v>20</v>
      </c>
      <c r="F744" s="2">
        <v>9734</v>
      </c>
      <c r="G744" s="2">
        <f>Monthly_Growth!$C$8</f>
        <v>973467</v>
      </c>
      <c r="H744" s="5">
        <f>Monthly_Growth!$D$8</f>
        <v>0.31975304122893711</v>
      </c>
      <c r="I744" s="15">
        <f>Yearly_Growth!$C$2</f>
        <v>5.0333827436586778E-2</v>
      </c>
      <c r="J744" s="15">
        <f>Yearly_Growth!$D$2</f>
        <v>0.03</v>
      </c>
      <c r="K744">
        <f>Sales_Per_Representative!$C$14</f>
        <v>675530</v>
      </c>
      <c r="L744">
        <f>Sales_Per_Rep_Yearly_Goal!$B$2</f>
        <v>665544.80000000005</v>
      </c>
      <c r="M744">
        <f>Sales_Per_Rep_Yearly_Goal!$C$2</f>
        <v>650000</v>
      </c>
    </row>
    <row r="745" spans="1:13" x14ac:dyDescent="0.3">
      <c r="A745" s="3">
        <v>45125</v>
      </c>
      <c r="B745">
        <f t="shared" si="11"/>
        <v>2023</v>
      </c>
      <c r="C745">
        <v>7</v>
      </c>
      <c r="D745" t="s">
        <v>14</v>
      </c>
      <c r="E745" t="s">
        <v>10</v>
      </c>
      <c r="F745" s="2">
        <v>3099</v>
      </c>
      <c r="G745" s="2">
        <f>Monthly_Growth!$C$8</f>
        <v>973467</v>
      </c>
      <c r="H745" s="5">
        <f>Monthly_Growth!$D$8</f>
        <v>0.31975304122893711</v>
      </c>
      <c r="I745" s="15">
        <f>Yearly_Growth!$C$2</f>
        <v>5.0333827436586778E-2</v>
      </c>
      <c r="J745" s="15">
        <f>Yearly_Growth!$D$2</f>
        <v>0.03</v>
      </c>
      <c r="K745">
        <f>Sales_Per_Representative!$C$4</f>
        <v>725713</v>
      </c>
      <c r="L745">
        <f>Sales_Per_Rep_Yearly_Goal!$B$2</f>
        <v>665544.80000000005</v>
      </c>
      <c r="M745">
        <f>Sales_Per_Rep_Yearly_Goal!$C$2</f>
        <v>650000</v>
      </c>
    </row>
    <row r="746" spans="1:13" x14ac:dyDescent="0.3">
      <c r="A746" s="3">
        <v>45125</v>
      </c>
      <c r="B746">
        <f t="shared" si="11"/>
        <v>2023</v>
      </c>
      <c r="C746">
        <v>7</v>
      </c>
      <c r="D746" t="s">
        <v>28</v>
      </c>
      <c r="E746" t="s">
        <v>31</v>
      </c>
      <c r="F746" s="2">
        <v>10658</v>
      </c>
      <c r="G746" s="2">
        <f>Monthly_Growth!$C$8</f>
        <v>973467</v>
      </c>
      <c r="H746" s="5">
        <f>Monthly_Growth!$D$8</f>
        <v>0.31975304122893711</v>
      </c>
      <c r="I746" s="15">
        <f>Yearly_Growth!$C$2</f>
        <v>5.0333827436586778E-2</v>
      </c>
      <c r="J746" s="15">
        <f>Yearly_Growth!$D$2</f>
        <v>0.03</v>
      </c>
      <c r="K746">
        <f>Sales_Per_Representative!$C$6</f>
        <v>727823</v>
      </c>
      <c r="L746">
        <f>Sales_Per_Rep_Yearly_Goal!$B$2</f>
        <v>665544.80000000005</v>
      </c>
      <c r="M746">
        <f>Sales_Per_Rep_Yearly_Goal!$C$2</f>
        <v>650000</v>
      </c>
    </row>
    <row r="747" spans="1:13" x14ac:dyDescent="0.3">
      <c r="A747" s="3">
        <v>45125</v>
      </c>
      <c r="B747">
        <f t="shared" si="11"/>
        <v>2023</v>
      </c>
      <c r="C747">
        <v>7</v>
      </c>
      <c r="D747" t="s">
        <v>28</v>
      </c>
      <c r="E747" t="s">
        <v>32</v>
      </c>
      <c r="F747" s="2">
        <v>13465</v>
      </c>
      <c r="G747" s="2">
        <f>Monthly_Growth!$C$8</f>
        <v>973467</v>
      </c>
      <c r="H747" s="5">
        <f>Monthly_Growth!$D$8</f>
        <v>0.31975304122893711</v>
      </c>
      <c r="I747" s="15">
        <f>Yearly_Growth!$C$2</f>
        <v>5.0333827436586778E-2</v>
      </c>
      <c r="J747" s="15">
        <f>Yearly_Growth!$D$2</f>
        <v>0.03</v>
      </c>
      <c r="K747">
        <f>Sales_Per_Representative!$C$3</f>
        <v>762157</v>
      </c>
      <c r="L747">
        <f>Sales_Per_Rep_Yearly_Goal!$B$2</f>
        <v>665544.80000000005</v>
      </c>
      <c r="M747">
        <f>Sales_Per_Rep_Yearly_Goal!$C$2</f>
        <v>650000</v>
      </c>
    </row>
    <row r="748" spans="1:13" x14ac:dyDescent="0.3">
      <c r="A748" s="3">
        <v>45126</v>
      </c>
      <c r="B748">
        <f t="shared" si="11"/>
        <v>2023</v>
      </c>
      <c r="C748">
        <v>7</v>
      </c>
      <c r="D748" t="s">
        <v>19</v>
      </c>
      <c r="E748" t="s">
        <v>27</v>
      </c>
      <c r="F748" s="2">
        <v>7992</v>
      </c>
      <c r="G748" s="2">
        <f>Monthly_Growth!$C$8</f>
        <v>973467</v>
      </c>
      <c r="H748" s="5">
        <f>Monthly_Growth!$D$8</f>
        <v>0.31975304122893711</v>
      </c>
      <c r="I748" s="15">
        <f>Yearly_Growth!$C$2</f>
        <v>5.0333827436586778E-2</v>
      </c>
      <c r="J748" s="15">
        <f>Yearly_Growth!$D$2</f>
        <v>0.03</v>
      </c>
      <c r="K748">
        <f>Sales_Per_Representative!$C$5</f>
        <v>747962</v>
      </c>
      <c r="L748">
        <f>Sales_Per_Rep_Yearly_Goal!$B$2</f>
        <v>665544.80000000005</v>
      </c>
      <c r="M748">
        <f>Sales_Per_Rep_Yearly_Goal!$C$2</f>
        <v>650000</v>
      </c>
    </row>
    <row r="749" spans="1:13" x14ac:dyDescent="0.3">
      <c r="A749" s="3">
        <v>45126</v>
      </c>
      <c r="B749">
        <f t="shared" si="11"/>
        <v>2023</v>
      </c>
      <c r="C749">
        <v>7</v>
      </c>
      <c r="D749" t="s">
        <v>19</v>
      </c>
      <c r="E749" t="s">
        <v>10</v>
      </c>
      <c r="F749" s="2">
        <v>4872</v>
      </c>
      <c r="G749" s="2">
        <f>Monthly_Growth!$C$8</f>
        <v>973467</v>
      </c>
      <c r="H749" s="5">
        <f>Monthly_Growth!$D$8</f>
        <v>0.31975304122893711</v>
      </c>
      <c r="I749" s="15">
        <f>Yearly_Growth!$C$2</f>
        <v>5.0333827436586778E-2</v>
      </c>
      <c r="J749" s="15">
        <f>Yearly_Growth!$D$2</f>
        <v>0.03</v>
      </c>
      <c r="K749">
        <f>Sales_Per_Representative!$C$4</f>
        <v>725713</v>
      </c>
      <c r="L749">
        <f>Sales_Per_Rep_Yearly_Goal!$B$2</f>
        <v>665544.80000000005</v>
      </c>
      <c r="M749">
        <f>Sales_Per_Rep_Yearly_Goal!$C$2</f>
        <v>650000</v>
      </c>
    </row>
    <row r="750" spans="1:13" x14ac:dyDescent="0.3">
      <c r="A750" s="3">
        <v>45126</v>
      </c>
      <c r="B750">
        <f t="shared" si="11"/>
        <v>2023</v>
      </c>
      <c r="C750">
        <v>7</v>
      </c>
      <c r="D750" t="s">
        <v>19</v>
      </c>
      <c r="E750" t="s">
        <v>32</v>
      </c>
      <c r="F750" s="2">
        <v>6556</v>
      </c>
      <c r="G750" s="2">
        <f>Monthly_Growth!$C$8</f>
        <v>973467</v>
      </c>
      <c r="H750" s="5">
        <f>Monthly_Growth!$D$8</f>
        <v>0.31975304122893711</v>
      </c>
      <c r="I750" s="15">
        <f>Yearly_Growth!$C$2</f>
        <v>5.0333827436586778E-2</v>
      </c>
      <c r="J750" s="15">
        <f>Yearly_Growth!$D$2</f>
        <v>0.03</v>
      </c>
      <c r="K750">
        <f>Sales_Per_Representative!$C$3</f>
        <v>762157</v>
      </c>
      <c r="L750">
        <f>Sales_Per_Rep_Yearly_Goal!$B$2</f>
        <v>665544.80000000005</v>
      </c>
      <c r="M750">
        <f>Sales_Per_Rep_Yearly_Goal!$C$2</f>
        <v>650000</v>
      </c>
    </row>
    <row r="751" spans="1:13" x14ac:dyDescent="0.3">
      <c r="A751" s="3">
        <v>45126</v>
      </c>
      <c r="B751">
        <f t="shared" si="11"/>
        <v>2023</v>
      </c>
      <c r="C751">
        <v>7</v>
      </c>
      <c r="D751" t="s">
        <v>23</v>
      </c>
      <c r="E751" t="s">
        <v>30</v>
      </c>
      <c r="F751" s="2">
        <v>10140</v>
      </c>
      <c r="G751" s="2">
        <f>Monthly_Growth!$C$8</f>
        <v>973467</v>
      </c>
      <c r="H751" s="5">
        <f>Monthly_Growth!$D$8</f>
        <v>0.31975304122893711</v>
      </c>
      <c r="I751" s="15">
        <f>Yearly_Growth!$C$2</f>
        <v>5.0333827436586778E-2</v>
      </c>
      <c r="J751" s="15">
        <f>Yearly_Growth!$D$2</f>
        <v>0.03</v>
      </c>
      <c r="K751">
        <f>Sales_Per_Representative!$C$7</f>
        <v>706974</v>
      </c>
      <c r="L751">
        <f>Sales_Per_Rep_Yearly_Goal!$B$2</f>
        <v>665544.80000000005</v>
      </c>
      <c r="M751">
        <f>Sales_Per_Rep_Yearly_Goal!$C$2</f>
        <v>650000</v>
      </c>
    </row>
    <row r="752" spans="1:13" x14ac:dyDescent="0.3">
      <c r="A752" s="3">
        <v>45126</v>
      </c>
      <c r="B752">
        <f t="shared" si="11"/>
        <v>2023</v>
      </c>
      <c r="C752">
        <v>7</v>
      </c>
      <c r="D752" t="s">
        <v>25</v>
      </c>
      <c r="E752" t="s">
        <v>30</v>
      </c>
      <c r="F752" s="2">
        <v>4966</v>
      </c>
      <c r="G752" s="2">
        <f>Monthly_Growth!$C$8</f>
        <v>973467</v>
      </c>
      <c r="H752" s="5">
        <f>Monthly_Growth!$D$8</f>
        <v>0.31975304122893711</v>
      </c>
      <c r="I752" s="15">
        <f>Yearly_Growth!$C$2</f>
        <v>5.0333827436586778E-2</v>
      </c>
      <c r="J752" s="15">
        <f>Yearly_Growth!$D$2</f>
        <v>0.03</v>
      </c>
      <c r="K752">
        <f>Sales_Per_Representative!$C$7</f>
        <v>706974</v>
      </c>
      <c r="L752">
        <f>Sales_Per_Rep_Yearly_Goal!$B$2</f>
        <v>665544.80000000005</v>
      </c>
      <c r="M752">
        <f>Sales_Per_Rep_Yearly_Goal!$C$2</f>
        <v>650000</v>
      </c>
    </row>
    <row r="753" spans="1:13" x14ac:dyDescent="0.3">
      <c r="A753" s="3">
        <v>45126</v>
      </c>
      <c r="B753">
        <f t="shared" si="11"/>
        <v>2023</v>
      </c>
      <c r="C753">
        <v>7</v>
      </c>
      <c r="D753" t="s">
        <v>25</v>
      </c>
      <c r="E753" t="s">
        <v>30</v>
      </c>
      <c r="F753" s="2">
        <v>1024</v>
      </c>
      <c r="G753" s="2">
        <f>Monthly_Growth!$C$8</f>
        <v>973467</v>
      </c>
      <c r="H753" s="5">
        <f>Monthly_Growth!$D$8</f>
        <v>0.31975304122893711</v>
      </c>
      <c r="I753" s="15">
        <f>Yearly_Growth!$C$2</f>
        <v>5.0333827436586778E-2</v>
      </c>
      <c r="J753" s="15">
        <f>Yearly_Growth!$D$2</f>
        <v>0.03</v>
      </c>
      <c r="K753">
        <f>Sales_Per_Representative!$C$7</f>
        <v>706974</v>
      </c>
      <c r="L753">
        <f>Sales_Per_Rep_Yearly_Goal!$B$2</f>
        <v>665544.80000000005</v>
      </c>
      <c r="M753">
        <f>Sales_Per_Rep_Yearly_Goal!$C$2</f>
        <v>650000</v>
      </c>
    </row>
    <row r="754" spans="1:13" x14ac:dyDescent="0.3">
      <c r="A754" s="3">
        <v>45126</v>
      </c>
      <c r="B754">
        <f t="shared" si="11"/>
        <v>2023</v>
      </c>
      <c r="C754">
        <v>7</v>
      </c>
      <c r="D754" t="s">
        <v>25</v>
      </c>
      <c r="E754" t="s">
        <v>30</v>
      </c>
      <c r="F754" s="2">
        <v>12772</v>
      </c>
      <c r="G754" s="2">
        <f>Monthly_Growth!$C$8</f>
        <v>973467</v>
      </c>
      <c r="H754" s="5">
        <f>Monthly_Growth!$D$8</f>
        <v>0.31975304122893711</v>
      </c>
      <c r="I754" s="15">
        <f>Yearly_Growth!$C$2</f>
        <v>5.0333827436586778E-2</v>
      </c>
      <c r="J754" s="15">
        <f>Yearly_Growth!$D$2</f>
        <v>0.03</v>
      </c>
      <c r="K754">
        <f>Sales_Per_Representative!$C$7</f>
        <v>706974</v>
      </c>
      <c r="L754">
        <f>Sales_Per_Rep_Yearly_Goal!$B$2</f>
        <v>665544.80000000005</v>
      </c>
      <c r="M754">
        <f>Sales_Per_Rep_Yearly_Goal!$C$2</f>
        <v>650000</v>
      </c>
    </row>
    <row r="755" spans="1:13" x14ac:dyDescent="0.3">
      <c r="A755" s="3">
        <v>45126</v>
      </c>
      <c r="B755">
        <f t="shared" si="11"/>
        <v>2023</v>
      </c>
      <c r="C755">
        <v>7</v>
      </c>
      <c r="D755" t="s">
        <v>17</v>
      </c>
      <c r="E755" t="s">
        <v>5</v>
      </c>
      <c r="F755" s="2">
        <v>1167</v>
      </c>
      <c r="G755" s="2">
        <f>Monthly_Growth!$C$8</f>
        <v>973467</v>
      </c>
      <c r="H755" s="5">
        <f>Monthly_Growth!$D$8</f>
        <v>0.31975304122893711</v>
      </c>
      <c r="I755" s="15">
        <f>Yearly_Growth!$C$2</f>
        <v>5.0333827436586778E-2</v>
      </c>
      <c r="J755" s="15">
        <f>Yearly_Growth!$D$2</f>
        <v>0.03</v>
      </c>
      <c r="K755">
        <f>Sales_Per_Representative!$C$10</f>
        <v>663333</v>
      </c>
      <c r="L755">
        <f>Sales_Per_Rep_Yearly_Goal!$B$2</f>
        <v>665544.80000000005</v>
      </c>
      <c r="M755">
        <f>Sales_Per_Rep_Yearly_Goal!$C$2</f>
        <v>650000</v>
      </c>
    </row>
    <row r="756" spans="1:13" x14ac:dyDescent="0.3">
      <c r="A756" s="3">
        <v>45127</v>
      </c>
      <c r="B756">
        <f t="shared" si="11"/>
        <v>2023</v>
      </c>
      <c r="C756">
        <v>7</v>
      </c>
      <c r="D756" t="s">
        <v>23</v>
      </c>
      <c r="E756" t="s">
        <v>30</v>
      </c>
      <c r="F756" s="2">
        <v>3649</v>
      </c>
      <c r="G756" s="2">
        <f>Monthly_Growth!$C$8</f>
        <v>973467</v>
      </c>
      <c r="H756" s="5">
        <f>Monthly_Growth!$D$8</f>
        <v>0.31975304122893711</v>
      </c>
      <c r="I756" s="15">
        <f>Yearly_Growth!$C$2</f>
        <v>5.0333827436586778E-2</v>
      </c>
      <c r="J756" s="15">
        <f>Yearly_Growth!$D$2</f>
        <v>0.03</v>
      </c>
      <c r="K756">
        <f>Sales_Per_Representative!$C$7</f>
        <v>706974</v>
      </c>
      <c r="L756">
        <f>Sales_Per_Rep_Yearly_Goal!$B$2</f>
        <v>665544.80000000005</v>
      </c>
      <c r="M756">
        <f>Sales_Per_Rep_Yearly_Goal!$C$2</f>
        <v>650000</v>
      </c>
    </row>
    <row r="757" spans="1:13" x14ac:dyDescent="0.3">
      <c r="A757" s="3">
        <v>45127</v>
      </c>
      <c r="B757">
        <f t="shared" si="11"/>
        <v>2023</v>
      </c>
      <c r="C757">
        <v>7</v>
      </c>
      <c r="D757" t="s">
        <v>28</v>
      </c>
      <c r="E757" t="s">
        <v>33</v>
      </c>
      <c r="F757" s="2">
        <v>3747</v>
      </c>
      <c r="G757" s="2">
        <f>Monthly_Growth!$C$8</f>
        <v>973467</v>
      </c>
      <c r="H757" s="5">
        <f>Monthly_Growth!$D$8</f>
        <v>0.31975304122893711</v>
      </c>
      <c r="I757" s="15">
        <f>Yearly_Growth!$C$2</f>
        <v>5.0333827436586778E-2</v>
      </c>
      <c r="J757" s="15">
        <f>Yearly_Growth!$D$2</f>
        <v>0.03</v>
      </c>
      <c r="K757">
        <f>Sales_Per_Representative!$C$11</f>
        <v>496886</v>
      </c>
      <c r="L757">
        <f>Sales_Per_Rep_Yearly_Goal!$B$2</f>
        <v>665544.80000000005</v>
      </c>
      <c r="M757">
        <f>Sales_Per_Rep_Yearly_Goal!$C$2</f>
        <v>650000</v>
      </c>
    </row>
    <row r="758" spans="1:13" x14ac:dyDescent="0.3">
      <c r="A758" s="3">
        <v>45127</v>
      </c>
      <c r="B758">
        <f t="shared" si="11"/>
        <v>2023</v>
      </c>
      <c r="C758">
        <v>7</v>
      </c>
      <c r="D758" t="s">
        <v>28</v>
      </c>
      <c r="E758" t="s">
        <v>18</v>
      </c>
      <c r="F758" s="2">
        <v>9541</v>
      </c>
      <c r="G758" s="2">
        <f>Monthly_Growth!$C$8</f>
        <v>973467</v>
      </c>
      <c r="H758" s="5">
        <f>Monthly_Growth!$D$8</f>
        <v>0.31975304122893711</v>
      </c>
      <c r="I758" s="15">
        <f>Yearly_Growth!$C$2</f>
        <v>5.0333827436586778E-2</v>
      </c>
      <c r="J758" s="15">
        <f>Yearly_Growth!$D$2</f>
        <v>0.03</v>
      </c>
      <c r="K758">
        <f>Sales_Per_Representative!$C$9</f>
        <v>550835</v>
      </c>
      <c r="L758">
        <f>Sales_Per_Rep_Yearly_Goal!$B$2</f>
        <v>665544.80000000005</v>
      </c>
      <c r="M758">
        <f>Sales_Per_Rep_Yearly_Goal!$C$2</f>
        <v>650000</v>
      </c>
    </row>
    <row r="759" spans="1:13" x14ac:dyDescent="0.3">
      <c r="A759" s="3">
        <v>45128</v>
      </c>
      <c r="B759">
        <f t="shared" si="11"/>
        <v>2023</v>
      </c>
      <c r="C759">
        <v>7</v>
      </c>
      <c r="D759" t="s">
        <v>23</v>
      </c>
      <c r="E759" t="s">
        <v>27</v>
      </c>
      <c r="F759" s="2">
        <v>10389</v>
      </c>
      <c r="G759" s="2">
        <f>Monthly_Growth!$C$8</f>
        <v>973467</v>
      </c>
      <c r="H759" s="5">
        <f>Monthly_Growth!$D$8</f>
        <v>0.31975304122893711</v>
      </c>
      <c r="I759" s="15">
        <f>Yearly_Growth!$C$2</f>
        <v>5.0333827436586778E-2</v>
      </c>
      <c r="J759" s="15">
        <f>Yearly_Growth!$D$2</f>
        <v>0.03</v>
      </c>
      <c r="K759">
        <f>Sales_Per_Representative!$C$5</f>
        <v>747962</v>
      </c>
      <c r="L759">
        <f>Sales_Per_Rep_Yearly_Goal!$B$2</f>
        <v>665544.80000000005</v>
      </c>
      <c r="M759">
        <f>Sales_Per_Rep_Yearly_Goal!$C$2</f>
        <v>650000</v>
      </c>
    </row>
    <row r="760" spans="1:13" x14ac:dyDescent="0.3">
      <c r="A760" s="3">
        <v>45128</v>
      </c>
      <c r="B760">
        <f t="shared" si="11"/>
        <v>2023</v>
      </c>
      <c r="C760">
        <v>7</v>
      </c>
      <c r="D760" t="s">
        <v>23</v>
      </c>
      <c r="E760" t="s">
        <v>20</v>
      </c>
      <c r="F760" s="2">
        <v>11429</v>
      </c>
      <c r="G760" s="2">
        <f>Monthly_Growth!$C$8</f>
        <v>973467</v>
      </c>
      <c r="H760" s="5">
        <f>Monthly_Growth!$D$8</f>
        <v>0.31975304122893711</v>
      </c>
      <c r="I760" s="15">
        <f>Yearly_Growth!$C$2</f>
        <v>5.0333827436586778E-2</v>
      </c>
      <c r="J760" s="15">
        <f>Yearly_Growth!$D$2</f>
        <v>0.03</v>
      </c>
      <c r="K760">
        <f>Sales_Per_Representative!$C$14</f>
        <v>675530</v>
      </c>
      <c r="L760">
        <f>Sales_Per_Rep_Yearly_Goal!$B$2</f>
        <v>665544.80000000005</v>
      </c>
      <c r="M760">
        <f>Sales_Per_Rep_Yearly_Goal!$C$2</f>
        <v>650000</v>
      </c>
    </row>
    <row r="761" spans="1:13" x14ac:dyDescent="0.3">
      <c r="A761" s="3">
        <v>45128</v>
      </c>
      <c r="B761">
        <f t="shared" si="11"/>
        <v>2023</v>
      </c>
      <c r="C761">
        <v>7</v>
      </c>
      <c r="D761" t="s">
        <v>23</v>
      </c>
      <c r="E761" t="s">
        <v>15</v>
      </c>
      <c r="F761" s="2">
        <v>13248</v>
      </c>
      <c r="G761" s="2">
        <f>Monthly_Growth!$C$8</f>
        <v>973467</v>
      </c>
      <c r="H761" s="5">
        <f>Monthly_Growth!$D$8</f>
        <v>0.31975304122893711</v>
      </c>
      <c r="I761" s="15">
        <f>Yearly_Growth!$C$2</f>
        <v>5.0333827436586778E-2</v>
      </c>
      <c r="J761" s="15">
        <f>Yearly_Growth!$D$2</f>
        <v>0.03</v>
      </c>
      <c r="K761">
        <f>Sales_Per_Representative!$C$12</f>
        <v>656359</v>
      </c>
      <c r="L761">
        <f>Sales_Per_Rep_Yearly_Goal!$B$2</f>
        <v>665544.80000000005</v>
      </c>
      <c r="M761">
        <f>Sales_Per_Rep_Yearly_Goal!$C$2</f>
        <v>650000</v>
      </c>
    </row>
    <row r="762" spans="1:13" x14ac:dyDescent="0.3">
      <c r="A762" s="3">
        <v>45128</v>
      </c>
      <c r="B762">
        <f t="shared" si="11"/>
        <v>2023</v>
      </c>
      <c r="C762">
        <v>7</v>
      </c>
      <c r="D762" t="s">
        <v>25</v>
      </c>
      <c r="E762" t="s">
        <v>10</v>
      </c>
      <c r="F762" s="2">
        <v>13633</v>
      </c>
      <c r="G762" s="2">
        <f>Monthly_Growth!$C$8</f>
        <v>973467</v>
      </c>
      <c r="H762" s="5">
        <f>Monthly_Growth!$D$8</f>
        <v>0.31975304122893711</v>
      </c>
      <c r="I762" s="15">
        <f>Yearly_Growth!$C$2</f>
        <v>5.0333827436586778E-2</v>
      </c>
      <c r="J762" s="15">
        <f>Yearly_Growth!$D$2</f>
        <v>0.03</v>
      </c>
      <c r="K762">
        <f>Sales_Per_Representative!$C$4</f>
        <v>725713</v>
      </c>
      <c r="L762">
        <f>Sales_Per_Rep_Yearly_Goal!$B$2</f>
        <v>665544.80000000005</v>
      </c>
      <c r="M762">
        <f>Sales_Per_Rep_Yearly_Goal!$C$2</f>
        <v>650000</v>
      </c>
    </row>
    <row r="763" spans="1:13" x14ac:dyDescent="0.3">
      <c r="A763" s="3">
        <v>45128</v>
      </c>
      <c r="B763">
        <f t="shared" si="11"/>
        <v>2023</v>
      </c>
      <c r="C763">
        <v>7</v>
      </c>
      <c r="D763" t="s">
        <v>12</v>
      </c>
      <c r="E763" t="s">
        <v>20</v>
      </c>
      <c r="F763" s="2">
        <v>4618</v>
      </c>
      <c r="G763" s="2">
        <f>Monthly_Growth!$C$8</f>
        <v>973467</v>
      </c>
      <c r="H763" s="5">
        <f>Monthly_Growth!$D$8</f>
        <v>0.31975304122893711</v>
      </c>
      <c r="I763" s="15">
        <f>Yearly_Growth!$C$2</f>
        <v>5.0333827436586778E-2</v>
      </c>
      <c r="J763" s="15">
        <f>Yearly_Growth!$D$2</f>
        <v>0.03</v>
      </c>
      <c r="K763">
        <f>Sales_Per_Representative!$C$14</f>
        <v>675530</v>
      </c>
      <c r="L763">
        <f>Sales_Per_Rep_Yearly_Goal!$B$2</f>
        <v>665544.80000000005</v>
      </c>
      <c r="M763">
        <f>Sales_Per_Rep_Yearly_Goal!$C$2</f>
        <v>650000</v>
      </c>
    </row>
    <row r="764" spans="1:13" x14ac:dyDescent="0.3">
      <c r="A764" s="3">
        <v>45128</v>
      </c>
      <c r="B764">
        <f t="shared" si="11"/>
        <v>2023</v>
      </c>
      <c r="C764">
        <v>7</v>
      </c>
      <c r="D764" t="s">
        <v>12</v>
      </c>
      <c r="E764" t="s">
        <v>31</v>
      </c>
      <c r="F764" s="2">
        <v>13505</v>
      </c>
      <c r="G764" s="2">
        <f>Monthly_Growth!$C$8</f>
        <v>973467</v>
      </c>
      <c r="H764" s="5">
        <f>Monthly_Growth!$D$8</f>
        <v>0.31975304122893711</v>
      </c>
      <c r="I764" s="15">
        <f>Yearly_Growth!$C$2</f>
        <v>5.0333827436586778E-2</v>
      </c>
      <c r="J764" s="15">
        <f>Yearly_Growth!$D$2</f>
        <v>0.03</v>
      </c>
      <c r="K764">
        <f>Sales_Per_Representative!$C$6</f>
        <v>727823</v>
      </c>
      <c r="L764">
        <f>Sales_Per_Rep_Yearly_Goal!$B$2</f>
        <v>665544.80000000005</v>
      </c>
      <c r="M764">
        <f>Sales_Per_Rep_Yearly_Goal!$C$2</f>
        <v>650000</v>
      </c>
    </row>
    <row r="765" spans="1:13" x14ac:dyDescent="0.3">
      <c r="A765" s="3">
        <v>45128</v>
      </c>
      <c r="B765">
        <f t="shared" si="11"/>
        <v>2023</v>
      </c>
      <c r="C765">
        <v>7</v>
      </c>
      <c r="D765" t="s">
        <v>12</v>
      </c>
      <c r="E765" t="s">
        <v>27</v>
      </c>
      <c r="F765" s="2">
        <v>5015</v>
      </c>
      <c r="G765" s="2">
        <f>Monthly_Growth!$C$8</f>
        <v>973467</v>
      </c>
      <c r="H765" s="5">
        <f>Monthly_Growth!$D$8</f>
        <v>0.31975304122893711</v>
      </c>
      <c r="I765" s="15">
        <f>Yearly_Growth!$C$2</f>
        <v>5.0333827436586778E-2</v>
      </c>
      <c r="J765" s="15">
        <f>Yearly_Growth!$D$2</f>
        <v>0.03</v>
      </c>
      <c r="K765">
        <f>Sales_Per_Representative!$C$5</f>
        <v>747962</v>
      </c>
      <c r="L765">
        <f>Sales_Per_Rep_Yearly_Goal!$B$2</f>
        <v>665544.80000000005</v>
      </c>
      <c r="M765">
        <f>Sales_Per_Rep_Yearly_Goal!$C$2</f>
        <v>650000</v>
      </c>
    </row>
    <row r="766" spans="1:13" x14ac:dyDescent="0.3">
      <c r="A766" s="3">
        <v>45129</v>
      </c>
      <c r="B766">
        <f t="shared" si="11"/>
        <v>2023</v>
      </c>
      <c r="C766">
        <v>7</v>
      </c>
      <c r="D766" t="s">
        <v>14</v>
      </c>
      <c r="E766" t="s">
        <v>30</v>
      </c>
      <c r="F766" s="2">
        <v>5464</v>
      </c>
      <c r="G766" s="2">
        <f>Monthly_Growth!$C$8</f>
        <v>973467</v>
      </c>
      <c r="H766" s="5">
        <f>Monthly_Growth!$D$8</f>
        <v>0.31975304122893711</v>
      </c>
      <c r="I766" s="15">
        <f>Yearly_Growth!$C$2</f>
        <v>5.0333827436586778E-2</v>
      </c>
      <c r="J766" s="15">
        <f>Yearly_Growth!$D$2</f>
        <v>0.03</v>
      </c>
      <c r="K766">
        <f>Sales_Per_Representative!$C$7</f>
        <v>706974</v>
      </c>
      <c r="L766">
        <f>Sales_Per_Rep_Yearly_Goal!$B$2</f>
        <v>665544.80000000005</v>
      </c>
      <c r="M766">
        <f>Sales_Per_Rep_Yearly_Goal!$C$2</f>
        <v>650000</v>
      </c>
    </row>
    <row r="767" spans="1:13" x14ac:dyDescent="0.3">
      <c r="A767" s="3">
        <v>45129</v>
      </c>
      <c r="B767">
        <f t="shared" si="11"/>
        <v>2023</v>
      </c>
      <c r="C767">
        <v>7</v>
      </c>
      <c r="D767" t="s">
        <v>23</v>
      </c>
      <c r="E767" t="s">
        <v>5</v>
      </c>
      <c r="F767" s="2">
        <v>7227</v>
      </c>
      <c r="G767" s="2">
        <f>Monthly_Growth!$C$8</f>
        <v>973467</v>
      </c>
      <c r="H767" s="5">
        <f>Monthly_Growth!$D$8</f>
        <v>0.31975304122893711</v>
      </c>
      <c r="I767" s="15">
        <f>Yearly_Growth!$C$2</f>
        <v>5.0333827436586778E-2</v>
      </c>
      <c r="J767" s="15">
        <f>Yearly_Growth!$D$2</f>
        <v>0.03</v>
      </c>
      <c r="K767">
        <f>Sales_Per_Representative!$C$10</f>
        <v>663333</v>
      </c>
      <c r="L767">
        <f>Sales_Per_Rep_Yearly_Goal!$B$2</f>
        <v>665544.80000000005</v>
      </c>
      <c r="M767">
        <f>Sales_Per_Rep_Yearly_Goal!$C$2</f>
        <v>650000</v>
      </c>
    </row>
    <row r="768" spans="1:13" x14ac:dyDescent="0.3">
      <c r="A768" s="3">
        <v>45129</v>
      </c>
      <c r="B768">
        <f t="shared" si="11"/>
        <v>2023</v>
      </c>
      <c r="C768">
        <v>7</v>
      </c>
      <c r="D768" t="s">
        <v>23</v>
      </c>
      <c r="E768" t="s">
        <v>15</v>
      </c>
      <c r="F768" s="2">
        <v>4381</v>
      </c>
      <c r="G768" s="2">
        <f>Monthly_Growth!$C$8</f>
        <v>973467</v>
      </c>
      <c r="H768" s="5">
        <f>Monthly_Growth!$D$8</f>
        <v>0.31975304122893711</v>
      </c>
      <c r="I768" s="15">
        <f>Yearly_Growth!$C$2</f>
        <v>5.0333827436586778E-2</v>
      </c>
      <c r="J768" s="15">
        <f>Yearly_Growth!$D$2</f>
        <v>0.03</v>
      </c>
      <c r="K768">
        <f>Sales_Per_Representative!$C$12</f>
        <v>656359</v>
      </c>
      <c r="L768">
        <f>Sales_Per_Rep_Yearly_Goal!$B$2</f>
        <v>665544.80000000005</v>
      </c>
      <c r="M768">
        <f>Sales_Per_Rep_Yearly_Goal!$C$2</f>
        <v>650000</v>
      </c>
    </row>
    <row r="769" spans="1:13" x14ac:dyDescent="0.3">
      <c r="A769" s="3">
        <v>45129</v>
      </c>
      <c r="B769">
        <f t="shared" si="11"/>
        <v>2023</v>
      </c>
      <c r="C769">
        <v>7</v>
      </c>
      <c r="D769" t="s">
        <v>7</v>
      </c>
      <c r="E769" t="s">
        <v>20</v>
      </c>
      <c r="F769" s="2">
        <v>11734</v>
      </c>
      <c r="G769" s="2">
        <f>Monthly_Growth!$C$8</f>
        <v>973467</v>
      </c>
      <c r="H769" s="5">
        <f>Monthly_Growth!$D$8</f>
        <v>0.31975304122893711</v>
      </c>
      <c r="I769" s="15">
        <f>Yearly_Growth!$C$2</f>
        <v>5.0333827436586778E-2</v>
      </c>
      <c r="J769" s="15">
        <f>Yearly_Growth!$D$2</f>
        <v>0.03</v>
      </c>
      <c r="K769">
        <f>Sales_Per_Representative!$C$14</f>
        <v>675530</v>
      </c>
      <c r="L769">
        <f>Sales_Per_Rep_Yearly_Goal!$B$2</f>
        <v>665544.80000000005</v>
      </c>
      <c r="M769">
        <f>Sales_Per_Rep_Yearly_Goal!$C$2</f>
        <v>650000</v>
      </c>
    </row>
    <row r="770" spans="1:13" x14ac:dyDescent="0.3">
      <c r="A770" s="3">
        <v>45129</v>
      </c>
      <c r="B770">
        <f t="shared" si="11"/>
        <v>2023</v>
      </c>
      <c r="C770">
        <v>7</v>
      </c>
      <c r="D770" t="s">
        <v>17</v>
      </c>
      <c r="E770" t="s">
        <v>32</v>
      </c>
      <c r="F770" s="2">
        <v>5282</v>
      </c>
      <c r="G770" s="2">
        <f>Monthly_Growth!$C$8</f>
        <v>973467</v>
      </c>
      <c r="H770" s="5">
        <f>Monthly_Growth!$D$8</f>
        <v>0.31975304122893711</v>
      </c>
      <c r="I770" s="15">
        <f>Yearly_Growth!$C$2</f>
        <v>5.0333827436586778E-2</v>
      </c>
      <c r="J770" s="15">
        <f>Yearly_Growth!$D$2</f>
        <v>0.03</v>
      </c>
      <c r="K770">
        <f>Sales_Per_Representative!$C$3</f>
        <v>762157</v>
      </c>
      <c r="L770">
        <f>Sales_Per_Rep_Yearly_Goal!$B$2</f>
        <v>665544.80000000005</v>
      </c>
      <c r="M770">
        <f>Sales_Per_Rep_Yearly_Goal!$C$2</f>
        <v>650000</v>
      </c>
    </row>
    <row r="771" spans="1:13" x14ac:dyDescent="0.3">
      <c r="A771" s="3">
        <v>45130</v>
      </c>
      <c r="B771">
        <f t="shared" ref="B771:B834" si="12">YEAR(A771)</f>
        <v>2023</v>
      </c>
      <c r="C771">
        <v>7</v>
      </c>
      <c r="D771" t="s">
        <v>23</v>
      </c>
      <c r="E771" t="s">
        <v>27</v>
      </c>
      <c r="F771" s="2">
        <v>8216</v>
      </c>
      <c r="G771" s="2">
        <f>Monthly_Growth!$C$8</f>
        <v>973467</v>
      </c>
      <c r="H771" s="5">
        <f>Monthly_Growth!$D$8</f>
        <v>0.31975304122893711</v>
      </c>
      <c r="I771" s="15">
        <f>Yearly_Growth!$C$2</f>
        <v>5.0333827436586778E-2</v>
      </c>
      <c r="J771" s="15">
        <f>Yearly_Growth!$D$2</f>
        <v>0.03</v>
      </c>
      <c r="K771">
        <f>Sales_Per_Representative!$C$5</f>
        <v>747962</v>
      </c>
      <c r="L771">
        <f>Sales_Per_Rep_Yearly_Goal!$B$2</f>
        <v>665544.80000000005</v>
      </c>
      <c r="M771">
        <f>Sales_Per_Rep_Yearly_Goal!$C$2</f>
        <v>650000</v>
      </c>
    </row>
    <row r="772" spans="1:13" x14ac:dyDescent="0.3">
      <c r="A772" s="3">
        <v>45130</v>
      </c>
      <c r="B772">
        <f t="shared" si="12"/>
        <v>2023</v>
      </c>
      <c r="C772">
        <v>7</v>
      </c>
      <c r="D772" t="s">
        <v>25</v>
      </c>
      <c r="E772" t="s">
        <v>22</v>
      </c>
      <c r="F772" s="2">
        <v>3071</v>
      </c>
      <c r="G772" s="2">
        <f>Monthly_Growth!$C$8</f>
        <v>973467</v>
      </c>
      <c r="H772" s="5">
        <f>Monthly_Growth!$D$8</f>
        <v>0.31975304122893711</v>
      </c>
      <c r="I772" s="15">
        <f>Yearly_Growth!$C$2</f>
        <v>5.0333827436586778E-2</v>
      </c>
      <c r="J772" s="15">
        <f>Yearly_Growth!$D$2</f>
        <v>0.03</v>
      </c>
      <c r="K772">
        <f>Sales_Per_Representative!$C$8</f>
        <v>649456</v>
      </c>
      <c r="L772">
        <f>Sales_Per_Rep_Yearly_Goal!$B$2</f>
        <v>665544.80000000005</v>
      </c>
      <c r="M772">
        <f>Sales_Per_Rep_Yearly_Goal!$C$2</f>
        <v>650000</v>
      </c>
    </row>
    <row r="773" spans="1:13" x14ac:dyDescent="0.3">
      <c r="A773" s="3">
        <v>45130</v>
      </c>
      <c r="B773">
        <f t="shared" si="12"/>
        <v>2023</v>
      </c>
      <c r="C773">
        <v>7</v>
      </c>
      <c r="D773" t="s">
        <v>28</v>
      </c>
      <c r="E773" t="s">
        <v>8</v>
      </c>
      <c r="F773" s="2">
        <v>7452</v>
      </c>
      <c r="G773" s="2">
        <f>Monthly_Growth!$C$8</f>
        <v>973467</v>
      </c>
      <c r="H773" s="5">
        <f>Monthly_Growth!$D$8</f>
        <v>0.31975304122893711</v>
      </c>
      <c r="I773" s="15">
        <f>Yearly_Growth!$C$2</f>
        <v>5.0333827436586778E-2</v>
      </c>
      <c r="J773" s="15">
        <f>Yearly_Growth!$D$2</f>
        <v>0.03</v>
      </c>
      <c r="K773">
        <f>Sales_Per_Representative!$C$15</f>
        <v>701242</v>
      </c>
      <c r="L773">
        <f>Sales_Per_Rep_Yearly_Goal!$B$2</f>
        <v>665544.80000000005</v>
      </c>
      <c r="M773">
        <f>Sales_Per_Rep_Yearly_Goal!$C$2</f>
        <v>650000</v>
      </c>
    </row>
    <row r="774" spans="1:13" x14ac:dyDescent="0.3">
      <c r="A774" s="3">
        <v>45131</v>
      </c>
      <c r="B774">
        <f t="shared" si="12"/>
        <v>2023</v>
      </c>
      <c r="C774">
        <v>7</v>
      </c>
      <c r="D774" t="s">
        <v>28</v>
      </c>
      <c r="E774" t="s">
        <v>24</v>
      </c>
      <c r="F774" s="2">
        <v>11448</v>
      </c>
      <c r="G774" s="2">
        <f>Monthly_Growth!$C$8</f>
        <v>973467</v>
      </c>
      <c r="H774" s="5">
        <f>Monthly_Growth!$D$8</f>
        <v>0.31975304122893711</v>
      </c>
      <c r="I774" s="15">
        <f>Yearly_Growth!$C$2</f>
        <v>5.0333827436586778E-2</v>
      </c>
      <c r="J774" s="15">
        <f>Yearly_Growth!$D$2</f>
        <v>0.03</v>
      </c>
      <c r="K774">
        <f>Sales_Per_Representative!$C$2</f>
        <v>631195</v>
      </c>
      <c r="L774">
        <f>Sales_Per_Rep_Yearly_Goal!$B$2</f>
        <v>665544.80000000005</v>
      </c>
      <c r="M774">
        <f>Sales_Per_Rep_Yearly_Goal!$C$2</f>
        <v>650000</v>
      </c>
    </row>
    <row r="775" spans="1:13" x14ac:dyDescent="0.3">
      <c r="A775" s="3">
        <v>45131</v>
      </c>
      <c r="B775">
        <f t="shared" si="12"/>
        <v>2023</v>
      </c>
      <c r="C775">
        <v>7</v>
      </c>
      <c r="D775" t="s">
        <v>28</v>
      </c>
      <c r="E775" t="s">
        <v>26</v>
      </c>
      <c r="F775" s="2">
        <v>4125</v>
      </c>
      <c r="G775" s="2">
        <f>Monthly_Growth!$C$8</f>
        <v>973467</v>
      </c>
      <c r="H775" s="5">
        <f>Monthly_Growth!$D$8</f>
        <v>0.31975304122893711</v>
      </c>
      <c r="I775" s="15">
        <f>Yearly_Growth!$C$2</f>
        <v>5.0333827436586778E-2</v>
      </c>
      <c r="J775" s="15">
        <f>Yearly_Growth!$D$2</f>
        <v>0.03</v>
      </c>
      <c r="K775">
        <f>Sales_Per_Representative!$C$16</f>
        <v>666159</v>
      </c>
      <c r="L775">
        <f>Sales_Per_Rep_Yearly_Goal!$B$2</f>
        <v>665544.80000000005</v>
      </c>
      <c r="M775">
        <f>Sales_Per_Rep_Yearly_Goal!$C$2</f>
        <v>650000</v>
      </c>
    </row>
    <row r="776" spans="1:13" x14ac:dyDescent="0.3">
      <c r="A776" s="3">
        <v>45132</v>
      </c>
      <c r="B776">
        <f t="shared" si="12"/>
        <v>2023</v>
      </c>
      <c r="C776">
        <v>7</v>
      </c>
      <c r="D776" t="s">
        <v>14</v>
      </c>
      <c r="E776" t="s">
        <v>20</v>
      </c>
      <c r="F776" s="2">
        <v>3326</v>
      </c>
      <c r="G776" s="2">
        <f>Monthly_Growth!$C$8</f>
        <v>973467</v>
      </c>
      <c r="H776" s="5">
        <f>Monthly_Growth!$D$8</f>
        <v>0.31975304122893711</v>
      </c>
      <c r="I776" s="15">
        <f>Yearly_Growth!$C$2</f>
        <v>5.0333827436586778E-2</v>
      </c>
      <c r="J776" s="15">
        <f>Yearly_Growth!$D$2</f>
        <v>0.03</v>
      </c>
      <c r="K776">
        <f>Sales_Per_Representative!$C$14</f>
        <v>675530</v>
      </c>
      <c r="L776">
        <f>Sales_Per_Rep_Yearly_Goal!$B$2</f>
        <v>665544.80000000005</v>
      </c>
      <c r="M776">
        <f>Sales_Per_Rep_Yearly_Goal!$C$2</f>
        <v>650000</v>
      </c>
    </row>
    <row r="777" spans="1:13" x14ac:dyDescent="0.3">
      <c r="A777" s="3">
        <v>45132</v>
      </c>
      <c r="B777">
        <f t="shared" si="12"/>
        <v>2023</v>
      </c>
      <c r="C777">
        <v>7</v>
      </c>
      <c r="D777" t="s">
        <v>7</v>
      </c>
      <c r="E777" t="s">
        <v>27</v>
      </c>
      <c r="F777" s="2">
        <v>6205</v>
      </c>
      <c r="G777" s="2">
        <f>Monthly_Growth!$C$8</f>
        <v>973467</v>
      </c>
      <c r="H777" s="5">
        <f>Monthly_Growth!$D$8</f>
        <v>0.31975304122893711</v>
      </c>
      <c r="I777" s="15">
        <f>Yearly_Growth!$C$2</f>
        <v>5.0333827436586778E-2</v>
      </c>
      <c r="J777" s="15">
        <f>Yearly_Growth!$D$2</f>
        <v>0.03</v>
      </c>
      <c r="K777">
        <f>Sales_Per_Representative!$C$5</f>
        <v>747962</v>
      </c>
      <c r="L777">
        <f>Sales_Per_Rep_Yearly_Goal!$B$2</f>
        <v>665544.80000000005</v>
      </c>
      <c r="M777">
        <f>Sales_Per_Rep_Yearly_Goal!$C$2</f>
        <v>650000</v>
      </c>
    </row>
    <row r="778" spans="1:13" x14ac:dyDescent="0.3">
      <c r="A778" s="3">
        <v>45132</v>
      </c>
      <c r="B778">
        <f t="shared" si="12"/>
        <v>2023</v>
      </c>
      <c r="C778">
        <v>7</v>
      </c>
      <c r="D778" t="s">
        <v>12</v>
      </c>
      <c r="E778" t="s">
        <v>22</v>
      </c>
      <c r="F778" s="2">
        <v>5554</v>
      </c>
      <c r="G778" s="2">
        <f>Monthly_Growth!$C$8</f>
        <v>973467</v>
      </c>
      <c r="H778" s="5">
        <f>Monthly_Growth!$D$8</f>
        <v>0.31975304122893711</v>
      </c>
      <c r="I778" s="15">
        <f>Yearly_Growth!$C$2</f>
        <v>5.0333827436586778E-2</v>
      </c>
      <c r="J778" s="15">
        <f>Yearly_Growth!$D$2</f>
        <v>0.03</v>
      </c>
      <c r="K778">
        <f>Sales_Per_Representative!$C$8</f>
        <v>649456</v>
      </c>
      <c r="L778">
        <f>Sales_Per_Rep_Yearly_Goal!$B$2</f>
        <v>665544.80000000005</v>
      </c>
      <c r="M778">
        <f>Sales_Per_Rep_Yearly_Goal!$C$2</f>
        <v>650000</v>
      </c>
    </row>
    <row r="779" spans="1:13" x14ac:dyDescent="0.3">
      <c r="A779" s="3">
        <v>45133</v>
      </c>
      <c r="B779">
        <f t="shared" si="12"/>
        <v>2023</v>
      </c>
      <c r="C779">
        <v>7</v>
      </c>
      <c r="D779" t="s">
        <v>19</v>
      </c>
      <c r="E779" t="s">
        <v>18</v>
      </c>
      <c r="F779" s="2">
        <v>13509</v>
      </c>
      <c r="G779" s="2">
        <f>Monthly_Growth!$C$8</f>
        <v>973467</v>
      </c>
      <c r="H779" s="5">
        <f>Monthly_Growth!$D$8</f>
        <v>0.31975304122893711</v>
      </c>
      <c r="I779" s="15">
        <f>Yearly_Growth!$C$2</f>
        <v>5.0333827436586778E-2</v>
      </c>
      <c r="J779" s="15">
        <f>Yearly_Growth!$D$2</f>
        <v>0.03</v>
      </c>
      <c r="K779">
        <f>Sales_Per_Representative!$C$9</f>
        <v>550835</v>
      </c>
      <c r="L779">
        <f>Sales_Per_Rep_Yearly_Goal!$B$2</f>
        <v>665544.80000000005</v>
      </c>
      <c r="M779">
        <f>Sales_Per_Rep_Yearly_Goal!$C$2</f>
        <v>650000</v>
      </c>
    </row>
    <row r="780" spans="1:13" x14ac:dyDescent="0.3">
      <c r="A780" s="3">
        <v>45133</v>
      </c>
      <c r="B780">
        <f t="shared" si="12"/>
        <v>2023</v>
      </c>
      <c r="C780">
        <v>7</v>
      </c>
      <c r="D780" t="s">
        <v>23</v>
      </c>
      <c r="E780" t="s">
        <v>32</v>
      </c>
      <c r="F780" s="2">
        <v>11515</v>
      </c>
      <c r="G780" s="2">
        <f>Monthly_Growth!$C$8</f>
        <v>973467</v>
      </c>
      <c r="H780" s="5">
        <f>Monthly_Growth!$D$8</f>
        <v>0.31975304122893711</v>
      </c>
      <c r="I780" s="15">
        <f>Yearly_Growth!$C$2</f>
        <v>5.0333827436586778E-2</v>
      </c>
      <c r="J780" s="15">
        <f>Yearly_Growth!$D$2</f>
        <v>0.03</v>
      </c>
      <c r="K780">
        <f>Sales_Per_Representative!$C$3</f>
        <v>762157</v>
      </c>
      <c r="L780">
        <f>Sales_Per_Rep_Yearly_Goal!$B$2</f>
        <v>665544.80000000005</v>
      </c>
      <c r="M780">
        <f>Sales_Per_Rep_Yearly_Goal!$C$2</f>
        <v>650000</v>
      </c>
    </row>
    <row r="781" spans="1:13" x14ac:dyDescent="0.3">
      <c r="A781" s="3">
        <v>45133</v>
      </c>
      <c r="B781">
        <f t="shared" si="12"/>
        <v>2023</v>
      </c>
      <c r="C781">
        <v>7</v>
      </c>
      <c r="D781" t="s">
        <v>23</v>
      </c>
      <c r="E781" t="s">
        <v>31</v>
      </c>
      <c r="F781" s="2">
        <v>12503</v>
      </c>
      <c r="G781" s="2">
        <f>Monthly_Growth!$C$8</f>
        <v>973467</v>
      </c>
      <c r="H781" s="5">
        <f>Monthly_Growth!$D$8</f>
        <v>0.31975304122893711</v>
      </c>
      <c r="I781" s="15">
        <f>Yearly_Growth!$C$2</f>
        <v>5.0333827436586778E-2</v>
      </c>
      <c r="J781" s="15">
        <f>Yearly_Growth!$D$2</f>
        <v>0.03</v>
      </c>
      <c r="K781">
        <f>Sales_Per_Representative!$C$6</f>
        <v>727823</v>
      </c>
      <c r="L781">
        <f>Sales_Per_Rep_Yearly_Goal!$B$2</f>
        <v>665544.80000000005</v>
      </c>
      <c r="M781">
        <f>Sales_Per_Rep_Yearly_Goal!$C$2</f>
        <v>650000</v>
      </c>
    </row>
    <row r="782" spans="1:13" x14ac:dyDescent="0.3">
      <c r="A782" s="3">
        <v>45133</v>
      </c>
      <c r="B782">
        <f t="shared" si="12"/>
        <v>2023</v>
      </c>
      <c r="C782">
        <v>7</v>
      </c>
      <c r="D782" t="s">
        <v>28</v>
      </c>
      <c r="E782" t="s">
        <v>27</v>
      </c>
      <c r="F782" s="2">
        <v>8053</v>
      </c>
      <c r="G782" s="2">
        <f>Monthly_Growth!$C$8</f>
        <v>973467</v>
      </c>
      <c r="H782" s="5">
        <f>Monthly_Growth!$D$8</f>
        <v>0.31975304122893711</v>
      </c>
      <c r="I782" s="15">
        <f>Yearly_Growth!$C$2</f>
        <v>5.0333827436586778E-2</v>
      </c>
      <c r="J782" s="15">
        <f>Yearly_Growth!$D$2</f>
        <v>0.03</v>
      </c>
      <c r="K782">
        <f>Sales_Per_Representative!$C$5</f>
        <v>747962</v>
      </c>
      <c r="L782">
        <f>Sales_Per_Rep_Yearly_Goal!$B$2</f>
        <v>665544.80000000005</v>
      </c>
      <c r="M782">
        <f>Sales_Per_Rep_Yearly_Goal!$C$2</f>
        <v>650000</v>
      </c>
    </row>
    <row r="783" spans="1:13" x14ac:dyDescent="0.3">
      <c r="A783" s="3">
        <v>45133</v>
      </c>
      <c r="B783">
        <f t="shared" si="12"/>
        <v>2023</v>
      </c>
      <c r="C783">
        <v>7</v>
      </c>
      <c r="D783" t="s">
        <v>28</v>
      </c>
      <c r="E783" t="s">
        <v>33</v>
      </c>
      <c r="F783" s="2">
        <v>2003</v>
      </c>
      <c r="G783" s="2">
        <f>Monthly_Growth!$C$8</f>
        <v>973467</v>
      </c>
      <c r="H783" s="5">
        <f>Monthly_Growth!$D$8</f>
        <v>0.31975304122893711</v>
      </c>
      <c r="I783" s="15">
        <f>Yearly_Growth!$C$2</f>
        <v>5.0333827436586778E-2</v>
      </c>
      <c r="J783" s="15">
        <f>Yearly_Growth!$D$2</f>
        <v>0.03</v>
      </c>
      <c r="K783">
        <f>Sales_Per_Representative!$C$11</f>
        <v>496886</v>
      </c>
      <c r="L783">
        <f>Sales_Per_Rep_Yearly_Goal!$B$2</f>
        <v>665544.80000000005</v>
      </c>
      <c r="M783">
        <f>Sales_Per_Rep_Yearly_Goal!$C$2</f>
        <v>650000</v>
      </c>
    </row>
    <row r="784" spans="1:13" x14ac:dyDescent="0.3">
      <c r="A784" s="3">
        <v>45133</v>
      </c>
      <c r="B784">
        <f t="shared" si="12"/>
        <v>2023</v>
      </c>
      <c r="C784">
        <v>7</v>
      </c>
      <c r="D784" t="s">
        <v>17</v>
      </c>
      <c r="E784" t="s">
        <v>29</v>
      </c>
      <c r="F784" s="2">
        <v>3559</v>
      </c>
      <c r="G784" s="2">
        <f>Monthly_Growth!$C$8</f>
        <v>973467</v>
      </c>
      <c r="H784" s="5">
        <f>Monthly_Growth!$D$8</f>
        <v>0.31975304122893711</v>
      </c>
      <c r="I784" s="15">
        <f>Yearly_Growth!$C$2</f>
        <v>5.0333827436586778E-2</v>
      </c>
      <c r="J784" s="15">
        <f>Yearly_Growth!$D$2</f>
        <v>0.03</v>
      </c>
      <c r="K784">
        <f>Sales_Per_Representative!$C$13</f>
        <v>621548</v>
      </c>
      <c r="L784">
        <f>Sales_Per_Rep_Yearly_Goal!$B$2</f>
        <v>665544.80000000005</v>
      </c>
      <c r="M784">
        <f>Sales_Per_Rep_Yearly_Goal!$C$2</f>
        <v>650000</v>
      </c>
    </row>
    <row r="785" spans="1:13" x14ac:dyDescent="0.3">
      <c r="A785" s="3">
        <v>45134</v>
      </c>
      <c r="B785">
        <f t="shared" si="12"/>
        <v>2023</v>
      </c>
      <c r="C785">
        <v>7</v>
      </c>
      <c r="D785" t="s">
        <v>14</v>
      </c>
      <c r="E785" t="s">
        <v>32</v>
      </c>
      <c r="F785" s="2">
        <v>12205</v>
      </c>
      <c r="G785" s="2">
        <f>Monthly_Growth!$C$8</f>
        <v>973467</v>
      </c>
      <c r="H785" s="5">
        <f>Monthly_Growth!$D$8</f>
        <v>0.31975304122893711</v>
      </c>
      <c r="I785" s="15">
        <f>Yearly_Growth!$C$2</f>
        <v>5.0333827436586778E-2</v>
      </c>
      <c r="J785" s="15">
        <f>Yearly_Growth!$D$2</f>
        <v>0.03</v>
      </c>
      <c r="K785">
        <f>Sales_Per_Representative!$C$3</f>
        <v>762157</v>
      </c>
      <c r="L785">
        <f>Sales_Per_Rep_Yearly_Goal!$B$2</f>
        <v>665544.80000000005</v>
      </c>
      <c r="M785">
        <f>Sales_Per_Rep_Yearly_Goal!$C$2</f>
        <v>650000</v>
      </c>
    </row>
    <row r="786" spans="1:13" x14ac:dyDescent="0.3">
      <c r="A786" s="3">
        <v>45134</v>
      </c>
      <c r="B786">
        <f t="shared" si="12"/>
        <v>2023</v>
      </c>
      <c r="C786">
        <v>7</v>
      </c>
      <c r="D786" t="s">
        <v>28</v>
      </c>
      <c r="E786" t="s">
        <v>10</v>
      </c>
      <c r="F786" s="2">
        <v>13132</v>
      </c>
      <c r="G786" s="2">
        <f>Monthly_Growth!$C$8</f>
        <v>973467</v>
      </c>
      <c r="H786" s="5">
        <f>Monthly_Growth!$D$8</f>
        <v>0.31975304122893711</v>
      </c>
      <c r="I786" s="15">
        <f>Yearly_Growth!$C$2</f>
        <v>5.0333827436586778E-2</v>
      </c>
      <c r="J786" s="15">
        <f>Yearly_Growth!$D$2</f>
        <v>0.03</v>
      </c>
      <c r="K786">
        <f>Sales_Per_Representative!$C$4</f>
        <v>725713</v>
      </c>
      <c r="L786">
        <f>Sales_Per_Rep_Yearly_Goal!$B$2</f>
        <v>665544.80000000005</v>
      </c>
      <c r="M786">
        <f>Sales_Per_Rep_Yearly_Goal!$C$2</f>
        <v>650000</v>
      </c>
    </row>
    <row r="787" spans="1:13" x14ac:dyDescent="0.3">
      <c r="A787" s="3">
        <v>45134</v>
      </c>
      <c r="B787">
        <f t="shared" si="12"/>
        <v>2023</v>
      </c>
      <c r="C787">
        <v>7</v>
      </c>
      <c r="D787" t="s">
        <v>17</v>
      </c>
      <c r="E787" t="s">
        <v>32</v>
      </c>
      <c r="F787" s="2">
        <v>1948</v>
      </c>
      <c r="G787" s="2">
        <f>Monthly_Growth!$C$8</f>
        <v>973467</v>
      </c>
      <c r="H787" s="5">
        <f>Monthly_Growth!$D$8</f>
        <v>0.31975304122893711</v>
      </c>
      <c r="I787" s="15">
        <f>Yearly_Growth!$C$2</f>
        <v>5.0333827436586778E-2</v>
      </c>
      <c r="J787" s="15">
        <f>Yearly_Growth!$D$2</f>
        <v>0.03</v>
      </c>
      <c r="K787">
        <f>Sales_Per_Representative!$C$3</f>
        <v>762157</v>
      </c>
      <c r="L787">
        <f>Sales_Per_Rep_Yearly_Goal!$B$2</f>
        <v>665544.80000000005</v>
      </c>
      <c r="M787">
        <f>Sales_Per_Rep_Yearly_Goal!$C$2</f>
        <v>650000</v>
      </c>
    </row>
    <row r="788" spans="1:13" x14ac:dyDescent="0.3">
      <c r="A788" s="3">
        <v>45135</v>
      </c>
      <c r="B788">
        <f t="shared" si="12"/>
        <v>2023</v>
      </c>
      <c r="C788">
        <v>7</v>
      </c>
      <c r="D788" t="s">
        <v>14</v>
      </c>
      <c r="E788" t="s">
        <v>26</v>
      </c>
      <c r="F788" s="2">
        <v>5162</v>
      </c>
      <c r="G788" s="2">
        <f>Monthly_Growth!$C$8</f>
        <v>973467</v>
      </c>
      <c r="H788" s="5">
        <f>Monthly_Growth!$D$8</f>
        <v>0.31975304122893711</v>
      </c>
      <c r="I788" s="15">
        <f>Yearly_Growth!$C$2</f>
        <v>5.0333827436586778E-2</v>
      </c>
      <c r="J788" s="15">
        <f>Yearly_Growth!$D$2</f>
        <v>0.03</v>
      </c>
      <c r="K788">
        <f>Sales_Per_Representative!$C$16</f>
        <v>666159</v>
      </c>
      <c r="L788">
        <f>Sales_Per_Rep_Yearly_Goal!$B$2</f>
        <v>665544.80000000005</v>
      </c>
      <c r="M788">
        <f>Sales_Per_Rep_Yearly_Goal!$C$2</f>
        <v>650000</v>
      </c>
    </row>
    <row r="789" spans="1:13" x14ac:dyDescent="0.3">
      <c r="A789" s="3">
        <v>45135</v>
      </c>
      <c r="B789">
        <f t="shared" si="12"/>
        <v>2023</v>
      </c>
      <c r="C789">
        <v>7</v>
      </c>
      <c r="D789" t="s">
        <v>14</v>
      </c>
      <c r="E789" t="s">
        <v>8</v>
      </c>
      <c r="F789" s="2">
        <v>5305</v>
      </c>
      <c r="G789" s="2">
        <f>Monthly_Growth!$C$8</f>
        <v>973467</v>
      </c>
      <c r="H789" s="5">
        <f>Monthly_Growth!$D$8</f>
        <v>0.31975304122893711</v>
      </c>
      <c r="I789" s="15">
        <f>Yearly_Growth!$C$2</f>
        <v>5.0333827436586778E-2</v>
      </c>
      <c r="J789" s="15">
        <f>Yearly_Growth!$D$2</f>
        <v>0.03</v>
      </c>
      <c r="K789">
        <f>Sales_Per_Representative!$C$15</f>
        <v>701242</v>
      </c>
      <c r="L789">
        <f>Sales_Per_Rep_Yearly_Goal!$B$2</f>
        <v>665544.80000000005</v>
      </c>
      <c r="M789">
        <f>Sales_Per_Rep_Yearly_Goal!$C$2</f>
        <v>650000</v>
      </c>
    </row>
    <row r="790" spans="1:13" x14ac:dyDescent="0.3">
      <c r="A790" s="3">
        <v>45135</v>
      </c>
      <c r="B790">
        <f t="shared" si="12"/>
        <v>2023</v>
      </c>
      <c r="C790">
        <v>7</v>
      </c>
      <c r="D790" t="s">
        <v>23</v>
      </c>
      <c r="E790" t="s">
        <v>24</v>
      </c>
      <c r="F790" s="2">
        <v>7888</v>
      </c>
      <c r="G790" s="2">
        <f>Monthly_Growth!$C$8</f>
        <v>973467</v>
      </c>
      <c r="H790" s="5">
        <f>Monthly_Growth!$D$8</f>
        <v>0.31975304122893711</v>
      </c>
      <c r="I790" s="15">
        <f>Yearly_Growth!$C$2</f>
        <v>5.0333827436586778E-2</v>
      </c>
      <c r="J790" s="15">
        <f>Yearly_Growth!$D$2</f>
        <v>0.03</v>
      </c>
      <c r="K790">
        <f>Sales_Per_Representative!$C$2</f>
        <v>631195</v>
      </c>
      <c r="L790">
        <f>Sales_Per_Rep_Yearly_Goal!$B$2</f>
        <v>665544.80000000005</v>
      </c>
      <c r="M790">
        <f>Sales_Per_Rep_Yearly_Goal!$C$2</f>
        <v>650000</v>
      </c>
    </row>
    <row r="791" spans="1:13" x14ac:dyDescent="0.3">
      <c r="A791" s="3">
        <v>45135</v>
      </c>
      <c r="B791">
        <f t="shared" si="12"/>
        <v>2023</v>
      </c>
      <c r="C791">
        <v>7</v>
      </c>
      <c r="D791" t="s">
        <v>17</v>
      </c>
      <c r="E791" t="s">
        <v>30</v>
      </c>
      <c r="F791" s="2">
        <v>11741</v>
      </c>
      <c r="G791" s="2">
        <f>Monthly_Growth!$C$8</f>
        <v>973467</v>
      </c>
      <c r="H791" s="5">
        <f>Monthly_Growth!$D$8</f>
        <v>0.31975304122893711</v>
      </c>
      <c r="I791" s="15">
        <f>Yearly_Growth!$C$2</f>
        <v>5.0333827436586778E-2</v>
      </c>
      <c r="J791" s="15">
        <f>Yearly_Growth!$D$2</f>
        <v>0.03</v>
      </c>
      <c r="K791">
        <f>Sales_Per_Representative!$C$7</f>
        <v>706974</v>
      </c>
      <c r="L791">
        <f>Sales_Per_Rep_Yearly_Goal!$B$2</f>
        <v>665544.80000000005</v>
      </c>
      <c r="M791">
        <f>Sales_Per_Rep_Yearly_Goal!$C$2</f>
        <v>650000</v>
      </c>
    </row>
    <row r="792" spans="1:13" x14ac:dyDescent="0.3">
      <c r="A792" s="3">
        <v>45136</v>
      </c>
      <c r="B792">
        <f t="shared" si="12"/>
        <v>2023</v>
      </c>
      <c r="C792">
        <v>7</v>
      </c>
      <c r="D792" t="s">
        <v>28</v>
      </c>
      <c r="E792" t="s">
        <v>24</v>
      </c>
      <c r="F792" s="2">
        <v>2044</v>
      </c>
      <c r="G792" s="2">
        <f>Monthly_Growth!$C$8</f>
        <v>973467</v>
      </c>
      <c r="H792" s="5">
        <f>Monthly_Growth!$D$8</f>
        <v>0.31975304122893711</v>
      </c>
      <c r="I792" s="15">
        <f>Yearly_Growth!$C$2</f>
        <v>5.0333827436586778E-2</v>
      </c>
      <c r="J792" s="15">
        <f>Yearly_Growth!$D$2</f>
        <v>0.03</v>
      </c>
      <c r="K792">
        <f>Sales_Per_Representative!$C$2</f>
        <v>631195</v>
      </c>
      <c r="L792">
        <f>Sales_Per_Rep_Yearly_Goal!$B$2</f>
        <v>665544.80000000005</v>
      </c>
      <c r="M792">
        <f>Sales_Per_Rep_Yearly_Goal!$C$2</f>
        <v>650000</v>
      </c>
    </row>
    <row r="793" spans="1:13" x14ac:dyDescent="0.3">
      <c r="A793" s="3">
        <v>45136</v>
      </c>
      <c r="B793">
        <f t="shared" si="12"/>
        <v>2023</v>
      </c>
      <c r="C793">
        <v>7</v>
      </c>
      <c r="D793" t="s">
        <v>12</v>
      </c>
      <c r="E793" t="s">
        <v>22</v>
      </c>
      <c r="F793" s="2">
        <v>2277</v>
      </c>
      <c r="G793" s="2">
        <f>Monthly_Growth!$C$8</f>
        <v>973467</v>
      </c>
      <c r="H793" s="5">
        <f>Monthly_Growth!$D$8</f>
        <v>0.31975304122893711</v>
      </c>
      <c r="I793" s="15">
        <f>Yearly_Growth!$C$2</f>
        <v>5.0333827436586778E-2</v>
      </c>
      <c r="J793" s="15">
        <f>Yearly_Growth!$D$2</f>
        <v>0.03</v>
      </c>
      <c r="K793">
        <f>Sales_Per_Representative!$C$8</f>
        <v>649456</v>
      </c>
      <c r="L793">
        <f>Sales_Per_Rep_Yearly_Goal!$B$2</f>
        <v>665544.80000000005</v>
      </c>
      <c r="M793">
        <f>Sales_Per_Rep_Yearly_Goal!$C$2</f>
        <v>650000</v>
      </c>
    </row>
    <row r="794" spans="1:13" x14ac:dyDescent="0.3">
      <c r="A794" s="3">
        <v>45136</v>
      </c>
      <c r="B794">
        <f t="shared" si="12"/>
        <v>2023</v>
      </c>
      <c r="C794">
        <v>7</v>
      </c>
      <c r="D794" t="s">
        <v>12</v>
      </c>
      <c r="E794" t="s">
        <v>5</v>
      </c>
      <c r="F794" s="2">
        <v>11616</v>
      </c>
      <c r="G794" s="2">
        <f>Monthly_Growth!$C$8</f>
        <v>973467</v>
      </c>
      <c r="H794" s="5">
        <f>Monthly_Growth!$D$8</f>
        <v>0.31975304122893711</v>
      </c>
      <c r="I794" s="15">
        <f>Yearly_Growth!$C$2</f>
        <v>5.0333827436586778E-2</v>
      </c>
      <c r="J794" s="15">
        <f>Yearly_Growth!$D$2</f>
        <v>0.03</v>
      </c>
      <c r="K794">
        <f>Sales_Per_Representative!$C$10</f>
        <v>663333</v>
      </c>
      <c r="L794">
        <f>Sales_Per_Rep_Yearly_Goal!$B$2</f>
        <v>665544.80000000005</v>
      </c>
      <c r="M794">
        <f>Sales_Per_Rep_Yearly_Goal!$C$2</f>
        <v>650000</v>
      </c>
    </row>
    <row r="795" spans="1:13" x14ac:dyDescent="0.3">
      <c r="A795" s="3">
        <v>45137</v>
      </c>
      <c r="B795">
        <f t="shared" si="12"/>
        <v>2023</v>
      </c>
      <c r="C795">
        <v>7</v>
      </c>
      <c r="D795" t="s">
        <v>19</v>
      </c>
      <c r="E795" t="s">
        <v>31</v>
      </c>
      <c r="F795" s="2">
        <v>13461</v>
      </c>
      <c r="G795" s="2">
        <f>Monthly_Growth!$C$8</f>
        <v>973467</v>
      </c>
      <c r="H795" s="5">
        <f>Monthly_Growth!$D$8</f>
        <v>0.31975304122893711</v>
      </c>
      <c r="I795" s="15">
        <f>Yearly_Growth!$C$2</f>
        <v>5.0333827436586778E-2</v>
      </c>
      <c r="J795" s="15">
        <f>Yearly_Growth!$D$2</f>
        <v>0.03</v>
      </c>
      <c r="K795">
        <f>Sales_Per_Representative!$C$6</f>
        <v>727823</v>
      </c>
      <c r="L795">
        <f>Sales_Per_Rep_Yearly_Goal!$B$2</f>
        <v>665544.80000000005</v>
      </c>
      <c r="M795">
        <f>Sales_Per_Rep_Yearly_Goal!$C$2</f>
        <v>650000</v>
      </c>
    </row>
    <row r="796" spans="1:13" x14ac:dyDescent="0.3">
      <c r="A796" s="3">
        <v>45137</v>
      </c>
      <c r="B796">
        <f t="shared" si="12"/>
        <v>2023</v>
      </c>
      <c r="C796">
        <v>7</v>
      </c>
      <c r="D796" t="s">
        <v>7</v>
      </c>
      <c r="E796" t="s">
        <v>20</v>
      </c>
      <c r="F796" s="2">
        <v>11438</v>
      </c>
      <c r="G796" s="2">
        <f>Monthly_Growth!$C$8</f>
        <v>973467</v>
      </c>
      <c r="H796" s="5">
        <f>Monthly_Growth!$D$8</f>
        <v>0.31975304122893711</v>
      </c>
      <c r="I796" s="15">
        <f>Yearly_Growth!$C$2</f>
        <v>5.0333827436586778E-2</v>
      </c>
      <c r="J796" s="15">
        <f>Yearly_Growth!$D$2</f>
        <v>0.03</v>
      </c>
      <c r="K796">
        <f>Sales_Per_Representative!$C$14</f>
        <v>675530</v>
      </c>
      <c r="L796">
        <f>Sales_Per_Rep_Yearly_Goal!$B$2</f>
        <v>665544.80000000005</v>
      </c>
      <c r="M796">
        <f>Sales_Per_Rep_Yearly_Goal!$C$2</f>
        <v>650000</v>
      </c>
    </row>
    <row r="797" spans="1:13" x14ac:dyDescent="0.3">
      <c r="A797" s="3">
        <v>45137</v>
      </c>
      <c r="B797">
        <f t="shared" si="12"/>
        <v>2023</v>
      </c>
      <c r="C797">
        <v>7</v>
      </c>
      <c r="D797" t="s">
        <v>28</v>
      </c>
      <c r="E797" t="s">
        <v>31</v>
      </c>
      <c r="F797" s="2">
        <v>7386</v>
      </c>
      <c r="G797" s="2">
        <f>Monthly_Growth!$C$8</f>
        <v>973467</v>
      </c>
      <c r="H797" s="5">
        <f>Monthly_Growth!$D$8</f>
        <v>0.31975304122893711</v>
      </c>
      <c r="I797" s="15">
        <f>Yearly_Growth!$C$2</f>
        <v>5.0333827436586778E-2</v>
      </c>
      <c r="J797" s="15">
        <f>Yearly_Growth!$D$2</f>
        <v>0.03</v>
      </c>
      <c r="K797">
        <f>Sales_Per_Representative!$C$6</f>
        <v>727823</v>
      </c>
      <c r="L797">
        <f>Sales_Per_Rep_Yearly_Goal!$B$2</f>
        <v>665544.80000000005</v>
      </c>
      <c r="M797">
        <f>Sales_Per_Rep_Yearly_Goal!$C$2</f>
        <v>650000</v>
      </c>
    </row>
    <row r="798" spans="1:13" x14ac:dyDescent="0.3">
      <c r="A798" s="3">
        <v>45138</v>
      </c>
      <c r="B798">
        <f t="shared" si="12"/>
        <v>2023</v>
      </c>
      <c r="C798">
        <v>7</v>
      </c>
      <c r="D798" t="s">
        <v>14</v>
      </c>
      <c r="E798" t="s">
        <v>24</v>
      </c>
      <c r="F798" s="2">
        <v>3013</v>
      </c>
      <c r="G798" s="2">
        <f>Monthly_Growth!$C$8</f>
        <v>973467</v>
      </c>
      <c r="H798" s="5">
        <f>Monthly_Growth!$D$8</f>
        <v>0.31975304122893711</v>
      </c>
      <c r="I798" s="15">
        <f>Yearly_Growth!$C$2</f>
        <v>5.0333827436586778E-2</v>
      </c>
      <c r="J798" s="15">
        <f>Yearly_Growth!$D$2</f>
        <v>0.03</v>
      </c>
      <c r="K798">
        <f>Sales_Per_Representative!$C$2</f>
        <v>631195</v>
      </c>
      <c r="L798">
        <f>Sales_Per_Rep_Yearly_Goal!$B$2</f>
        <v>665544.80000000005</v>
      </c>
      <c r="M798">
        <f>Sales_Per_Rep_Yearly_Goal!$C$2</f>
        <v>650000</v>
      </c>
    </row>
    <row r="799" spans="1:13" x14ac:dyDescent="0.3">
      <c r="A799" s="3">
        <v>45138</v>
      </c>
      <c r="B799">
        <f t="shared" si="12"/>
        <v>2023</v>
      </c>
      <c r="C799">
        <v>7</v>
      </c>
      <c r="D799" t="s">
        <v>14</v>
      </c>
      <c r="E799" t="s">
        <v>22</v>
      </c>
      <c r="F799" s="2">
        <v>1186</v>
      </c>
      <c r="G799" s="2">
        <f>Monthly_Growth!$C$8</f>
        <v>973467</v>
      </c>
      <c r="H799" s="5">
        <f>Monthly_Growth!$D$8</f>
        <v>0.31975304122893711</v>
      </c>
      <c r="I799" s="15">
        <f>Yearly_Growth!$C$2</f>
        <v>5.0333827436586778E-2</v>
      </c>
      <c r="J799" s="15">
        <f>Yearly_Growth!$D$2</f>
        <v>0.03</v>
      </c>
      <c r="K799">
        <f>Sales_Per_Representative!$C$8</f>
        <v>649456</v>
      </c>
      <c r="L799">
        <f>Sales_Per_Rep_Yearly_Goal!$B$2</f>
        <v>665544.80000000005</v>
      </c>
      <c r="M799">
        <f>Sales_Per_Rep_Yearly_Goal!$C$2</f>
        <v>650000</v>
      </c>
    </row>
    <row r="800" spans="1:13" x14ac:dyDescent="0.3">
      <c r="A800" s="3">
        <v>45138</v>
      </c>
      <c r="B800">
        <f t="shared" si="12"/>
        <v>2023</v>
      </c>
      <c r="C800">
        <v>7</v>
      </c>
      <c r="D800" t="s">
        <v>14</v>
      </c>
      <c r="E800" t="s">
        <v>31</v>
      </c>
      <c r="F800" s="2">
        <v>4305</v>
      </c>
      <c r="G800" s="2">
        <f>Monthly_Growth!$C$8</f>
        <v>973467</v>
      </c>
      <c r="H800" s="5">
        <f>Monthly_Growth!$D$8</f>
        <v>0.31975304122893711</v>
      </c>
      <c r="I800" s="15">
        <f>Yearly_Growth!$C$2</f>
        <v>5.0333827436586778E-2</v>
      </c>
      <c r="J800" s="15">
        <f>Yearly_Growth!$D$2</f>
        <v>0.03</v>
      </c>
      <c r="K800">
        <f>Sales_Per_Representative!$C$6</f>
        <v>727823</v>
      </c>
      <c r="L800">
        <f>Sales_Per_Rep_Yearly_Goal!$B$2</f>
        <v>665544.80000000005</v>
      </c>
      <c r="M800">
        <f>Sales_Per_Rep_Yearly_Goal!$C$2</f>
        <v>650000</v>
      </c>
    </row>
    <row r="801" spans="1:13" x14ac:dyDescent="0.3">
      <c r="A801" s="3">
        <v>45138</v>
      </c>
      <c r="B801">
        <f t="shared" si="12"/>
        <v>2023</v>
      </c>
      <c r="C801">
        <v>7</v>
      </c>
      <c r="D801" t="s">
        <v>14</v>
      </c>
      <c r="E801" t="s">
        <v>8</v>
      </c>
      <c r="F801" s="2">
        <v>9765</v>
      </c>
      <c r="G801" s="2">
        <f>Monthly_Growth!$C$8</f>
        <v>973467</v>
      </c>
      <c r="H801" s="5">
        <f>Monthly_Growth!$D$8</f>
        <v>0.31975304122893711</v>
      </c>
      <c r="I801" s="15">
        <f>Yearly_Growth!$C$2</f>
        <v>5.0333827436586778E-2</v>
      </c>
      <c r="J801" s="15">
        <f>Yearly_Growth!$D$2</f>
        <v>0.03</v>
      </c>
      <c r="K801">
        <f>Sales_Per_Representative!$C$15</f>
        <v>701242</v>
      </c>
      <c r="L801">
        <f>Sales_Per_Rep_Yearly_Goal!$B$2</f>
        <v>665544.80000000005</v>
      </c>
      <c r="M801">
        <f>Sales_Per_Rep_Yearly_Goal!$C$2</f>
        <v>650000</v>
      </c>
    </row>
    <row r="802" spans="1:13" x14ac:dyDescent="0.3">
      <c r="A802" s="3">
        <v>45138</v>
      </c>
      <c r="B802">
        <f t="shared" si="12"/>
        <v>2023</v>
      </c>
      <c r="C802">
        <v>7</v>
      </c>
      <c r="D802" t="s">
        <v>25</v>
      </c>
      <c r="E802" t="s">
        <v>15</v>
      </c>
      <c r="F802" s="2">
        <v>6692</v>
      </c>
      <c r="G802" s="2">
        <f>Monthly_Growth!$C$8</f>
        <v>973467</v>
      </c>
      <c r="H802" s="5">
        <f>Monthly_Growth!$D$8</f>
        <v>0.31975304122893711</v>
      </c>
      <c r="I802" s="15">
        <f>Yearly_Growth!$C$2</f>
        <v>5.0333827436586778E-2</v>
      </c>
      <c r="J802" s="15">
        <f>Yearly_Growth!$D$2</f>
        <v>0.03</v>
      </c>
      <c r="K802">
        <f>Sales_Per_Representative!$C$12</f>
        <v>656359</v>
      </c>
      <c r="L802">
        <f>Sales_Per_Rep_Yearly_Goal!$B$2</f>
        <v>665544.80000000005</v>
      </c>
      <c r="M802">
        <f>Sales_Per_Rep_Yearly_Goal!$C$2</f>
        <v>650000</v>
      </c>
    </row>
    <row r="803" spans="1:13" x14ac:dyDescent="0.3">
      <c r="A803" s="3">
        <v>45138</v>
      </c>
      <c r="B803">
        <f t="shared" si="12"/>
        <v>2023</v>
      </c>
      <c r="C803">
        <v>7</v>
      </c>
      <c r="D803" t="s">
        <v>25</v>
      </c>
      <c r="E803" t="s">
        <v>10</v>
      </c>
      <c r="F803" s="2">
        <v>7666</v>
      </c>
      <c r="G803" s="2">
        <f>Monthly_Growth!$C$8</f>
        <v>973467</v>
      </c>
      <c r="H803" s="5">
        <f>Monthly_Growth!$D$8</f>
        <v>0.31975304122893711</v>
      </c>
      <c r="I803" s="15">
        <f>Yearly_Growth!$C$2</f>
        <v>5.0333827436586778E-2</v>
      </c>
      <c r="J803" s="15">
        <f>Yearly_Growth!$D$2</f>
        <v>0.03</v>
      </c>
      <c r="K803">
        <f>Sales_Per_Representative!$C$4</f>
        <v>725713</v>
      </c>
      <c r="L803">
        <f>Sales_Per_Rep_Yearly_Goal!$B$2</f>
        <v>665544.80000000005</v>
      </c>
      <c r="M803">
        <f>Sales_Per_Rep_Yearly_Goal!$C$2</f>
        <v>650000</v>
      </c>
    </row>
    <row r="804" spans="1:13" x14ac:dyDescent="0.3">
      <c r="A804" s="3">
        <v>45138</v>
      </c>
      <c r="B804">
        <f t="shared" si="12"/>
        <v>2023</v>
      </c>
      <c r="C804">
        <v>7</v>
      </c>
      <c r="D804" t="s">
        <v>25</v>
      </c>
      <c r="E804" t="s">
        <v>32</v>
      </c>
      <c r="F804" s="2">
        <v>11732</v>
      </c>
      <c r="G804" s="2">
        <f>Monthly_Growth!$C$8</f>
        <v>973467</v>
      </c>
      <c r="H804" s="5">
        <f>Monthly_Growth!$D$8</f>
        <v>0.31975304122893711</v>
      </c>
      <c r="I804" s="15">
        <f>Yearly_Growth!$C$2</f>
        <v>5.0333827436586778E-2</v>
      </c>
      <c r="J804" s="15">
        <f>Yearly_Growth!$D$2</f>
        <v>0.03</v>
      </c>
      <c r="K804">
        <f>Sales_Per_Representative!$C$3</f>
        <v>762157</v>
      </c>
      <c r="L804">
        <f>Sales_Per_Rep_Yearly_Goal!$B$2</f>
        <v>665544.80000000005</v>
      </c>
      <c r="M804">
        <f>Sales_Per_Rep_Yearly_Goal!$C$2</f>
        <v>650000</v>
      </c>
    </row>
    <row r="805" spans="1:13" x14ac:dyDescent="0.3">
      <c r="A805" s="3">
        <v>45139</v>
      </c>
      <c r="B805">
        <f t="shared" si="12"/>
        <v>2023</v>
      </c>
      <c r="C805">
        <v>8</v>
      </c>
      <c r="D805" t="s">
        <v>14</v>
      </c>
      <c r="E805" t="s">
        <v>29</v>
      </c>
      <c r="F805" s="2">
        <v>3064</v>
      </c>
      <c r="G805" s="2">
        <f>Monthly_Growth!$C$9</f>
        <v>738487</v>
      </c>
      <c r="H805" s="5">
        <f>Monthly_Growth!$D$9</f>
        <v>-0.24138465916153296</v>
      </c>
      <c r="I805" s="15">
        <f>Yearly_Growth!$C$2</f>
        <v>5.0333827436586778E-2</v>
      </c>
      <c r="J805" s="15">
        <f>Yearly_Growth!$D$2</f>
        <v>0.03</v>
      </c>
      <c r="K805">
        <f>Sales_Per_Representative!$C$13</f>
        <v>621548</v>
      </c>
      <c r="L805">
        <f>Sales_Per_Rep_Yearly_Goal!$B$2</f>
        <v>665544.80000000005</v>
      </c>
      <c r="M805">
        <f>Sales_Per_Rep_Yearly_Goal!$C$2</f>
        <v>650000</v>
      </c>
    </row>
    <row r="806" spans="1:13" x14ac:dyDescent="0.3">
      <c r="A806" s="3">
        <v>45139</v>
      </c>
      <c r="B806">
        <f t="shared" si="12"/>
        <v>2023</v>
      </c>
      <c r="C806">
        <v>8</v>
      </c>
      <c r="D806" t="s">
        <v>23</v>
      </c>
      <c r="E806" t="s">
        <v>31</v>
      </c>
      <c r="F806" s="2">
        <v>5717</v>
      </c>
      <c r="G806" s="2">
        <f>Monthly_Growth!$C$9</f>
        <v>738487</v>
      </c>
      <c r="H806" s="5">
        <f>Monthly_Growth!$D$9</f>
        <v>-0.24138465916153296</v>
      </c>
      <c r="I806" s="15">
        <f>Yearly_Growth!$C$2</f>
        <v>5.0333827436586778E-2</v>
      </c>
      <c r="J806" s="15">
        <f>Yearly_Growth!$D$2</f>
        <v>0.03</v>
      </c>
      <c r="K806">
        <f>Sales_Per_Representative!$C$6</f>
        <v>727823</v>
      </c>
      <c r="L806">
        <f>Sales_Per_Rep_Yearly_Goal!$B$2</f>
        <v>665544.80000000005</v>
      </c>
      <c r="M806">
        <f>Sales_Per_Rep_Yearly_Goal!$C$2</f>
        <v>650000</v>
      </c>
    </row>
    <row r="807" spans="1:13" x14ac:dyDescent="0.3">
      <c r="A807" s="3">
        <v>45139</v>
      </c>
      <c r="B807">
        <f t="shared" si="12"/>
        <v>2023</v>
      </c>
      <c r="C807">
        <v>8</v>
      </c>
      <c r="D807" t="s">
        <v>23</v>
      </c>
      <c r="E807" t="s">
        <v>22</v>
      </c>
      <c r="F807" s="2">
        <v>4155</v>
      </c>
      <c r="G807" s="2">
        <f>Monthly_Growth!$C$9</f>
        <v>738487</v>
      </c>
      <c r="H807" s="5">
        <f>Monthly_Growth!$D$9</f>
        <v>-0.24138465916153296</v>
      </c>
      <c r="I807" s="15">
        <f>Yearly_Growth!$C$2</f>
        <v>5.0333827436586778E-2</v>
      </c>
      <c r="J807" s="15">
        <f>Yearly_Growth!$D$2</f>
        <v>0.03</v>
      </c>
      <c r="K807">
        <f>Sales_Per_Representative!$C$8</f>
        <v>649456</v>
      </c>
      <c r="L807">
        <f>Sales_Per_Rep_Yearly_Goal!$B$2</f>
        <v>665544.80000000005</v>
      </c>
      <c r="M807">
        <f>Sales_Per_Rep_Yearly_Goal!$C$2</f>
        <v>650000</v>
      </c>
    </row>
    <row r="808" spans="1:13" x14ac:dyDescent="0.3">
      <c r="A808" s="3">
        <v>45139</v>
      </c>
      <c r="B808">
        <f t="shared" si="12"/>
        <v>2023</v>
      </c>
      <c r="C808">
        <v>8</v>
      </c>
      <c r="D808" t="s">
        <v>7</v>
      </c>
      <c r="E808" t="s">
        <v>26</v>
      </c>
      <c r="F808" s="2">
        <v>5483</v>
      </c>
      <c r="G808" s="2">
        <f>Monthly_Growth!$C$9</f>
        <v>738487</v>
      </c>
      <c r="H808" s="5">
        <f>Monthly_Growth!$D$9</f>
        <v>-0.24138465916153296</v>
      </c>
      <c r="I808" s="15">
        <f>Yearly_Growth!$C$2</f>
        <v>5.0333827436586778E-2</v>
      </c>
      <c r="J808" s="15">
        <f>Yearly_Growth!$D$2</f>
        <v>0.03</v>
      </c>
      <c r="K808">
        <f>Sales_Per_Representative!$C$16</f>
        <v>666159</v>
      </c>
      <c r="L808">
        <f>Sales_Per_Rep_Yearly_Goal!$B$2</f>
        <v>665544.80000000005</v>
      </c>
      <c r="M808">
        <f>Sales_Per_Rep_Yearly_Goal!$C$2</f>
        <v>650000</v>
      </c>
    </row>
    <row r="809" spans="1:13" x14ac:dyDescent="0.3">
      <c r="A809" s="3">
        <v>45139</v>
      </c>
      <c r="B809">
        <f t="shared" si="12"/>
        <v>2023</v>
      </c>
      <c r="C809">
        <v>8</v>
      </c>
      <c r="D809" t="s">
        <v>17</v>
      </c>
      <c r="E809" t="s">
        <v>20</v>
      </c>
      <c r="F809" s="2">
        <v>2610</v>
      </c>
      <c r="G809" s="2">
        <f>Monthly_Growth!$C$9</f>
        <v>738487</v>
      </c>
      <c r="H809" s="5">
        <f>Monthly_Growth!$D$9</f>
        <v>-0.24138465916153296</v>
      </c>
      <c r="I809" s="15">
        <f>Yearly_Growth!$C$2</f>
        <v>5.0333827436586778E-2</v>
      </c>
      <c r="J809" s="15">
        <f>Yearly_Growth!$D$2</f>
        <v>0.03</v>
      </c>
      <c r="K809">
        <f>Sales_Per_Representative!$C$14</f>
        <v>675530</v>
      </c>
      <c r="L809">
        <f>Sales_Per_Rep_Yearly_Goal!$B$2</f>
        <v>665544.80000000005</v>
      </c>
      <c r="M809">
        <f>Sales_Per_Rep_Yearly_Goal!$C$2</f>
        <v>650000</v>
      </c>
    </row>
    <row r="810" spans="1:13" x14ac:dyDescent="0.3">
      <c r="A810" s="3">
        <v>45140</v>
      </c>
      <c r="B810">
        <f t="shared" si="12"/>
        <v>2023</v>
      </c>
      <c r="C810">
        <v>8</v>
      </c>
      <c r="D810" t="s">
        <v>25</v>
      </c>
      <c r="E810" t="s">
        <v>8</v>
      </c>
      <c r="F810" s="2">
        <v>10427</v>
      </c>
      <c r="G810" s="2">
        <f>Monthly_Growth!$C$9</f>
        <v>738487</v>
      </c>
      <c r="H810" s="5">
        <f>Monthly_Growth!$D$9</f>
        <v>-0.24138465916153296</v>
      </c>
      <c r="I810" s="15">
        <f>Yearly_Growth!$C$2</f>
        <v>5.0333827436586778E-2</v>
      </c>
      <c r="J810" s="15">
        <f>Yearly_Growth!$D$2</f>
        <v>0.03</v>
      </c>
      <c r="K810">
        <f>Sales_Per_Representative!$C$15</f>
        <v>701242</v>
      </c>
      <c r="L810">
        <f>Sales_Per_Rep_Yearly_Goal!$B$2</f>
        <v>665544.80000000005</v>
      </c>
      <c r="M810">
        <f>Sales_Per_Rep_Yearly_Goal!$C$2</f>
        <v>650000</v>
      </c>
    </row>
    <row r="811" spans="1:13" x14ac:dyDescent="0.3">
      <c r="A811" s="3">
        <v>45140</v>
      </c>
      <c r="B811">
        <f t="shared" si="12"/>
        <v>2023</v>
      </c>
      <c r="C811">
        <v>8</v>
      </c>
      <c r="D811" t="s">
        <v>7</v>
      </c>
      <c r="E811" t="s">
        <v>24</v>
      </c>
      <c r="F811" s="2">
        <v>10162</v>
      </c>
      <c r="G811" s="2">
        <f>Monthly_Growth!$C$9</f>
        <v>738487</v>
      </c>
      <c r="H811" s="5">
        <f>Monthly_Growth!$D$9</f>
        <v>-0.24138465916153296</v>
      </c>
      <c r="I811" s="15">
        <f>Yearly_Growth!$C$2</f>
        <v>5.0333827436586778E-2</v>
      </c>
      <c r="J811" s="15">
        <f>Yearly_Growth!$D$2</f>
        <v>0.03</v>
      </c>
      <c r="K811">
        <f>Sales_Per_Representative!$C$2</f>
        <v>631195</v>
      </c>
      <c r="L811">
        <f>Sales_Per_Rep_Yearly_Goal!$B$2</f>
        <v>665544.80000000005</v>
      </c>
      <c r="M811">
        <f>Sales_Per_Rep_Yearly_Goal!$C$2</f>
        <v>650000</v>
      </c>
    </row>
    <row r="812" spans="1:13" x14ac:dyDescent="0.3">
      <c r="A812" s="3">
        <v>45140</v>
      </c>
      <c r="B812">
        <f t="shared" si="12"/>
        <v>2023</v>
      </c>
      <c r="C812">
        <v>8</v>
      </c>
      <c r="D812" t="s">
        <v>28</v>
      </c>
      <c r="E812" t="s">
        <v>18</v>
      </c>
      <c r="F812" s="2">
        <v>3628</v>
      </c>
      <c r="G812" s="2">
        <f>Monthly_Growth!$C$9</f>
        <v>738487</v>
      </c>
      <c r="H812" s="5">
        <f>Monthly_Growth!$D$9</f>
        <v>-0.24138465916153296</v>
      </c>
      <c r="I812" s="15">
        <f>Yearly_Growth!$C$2</f>
        <v>5.0333827436586778E-2</v>
      </c>
      <c r="J812" s="15">
        <f>Yearly_Growth!$D$2</f>
        <v>0.03</v>
      </c>
      <c r="K812">
        <f>Sales_Per_Representative!$C$9</f>
        <v>550835</v>
      </c>
      <c r="L812">
        <f>Sales_Per_Rep_Yearly_Goal!$B$2</f>
        <v>665544.80000000005</v>
      </c>
      <c r="M812">
        <f>Sales_Per_Rep_Yearly_Goal!$C$2</f>
        <v>650000</v>
      </c>
    </row>
    <row r="813" spans="1:13" x14ac:dyDescent="0.3">
      <c r="A813" s="3">
        <v>45140</v>
      </c>
      <c r="B813">
        <f t="shared" si="12"/>
        <v>2023</v>
      </c>
      <c r="C813">
        <v>8</v>
      </c>
      <c r="D813" t="s">
        <v>17</v>
      </c>
      <c r="E813" t="s">
        <v>22</v>
      </c>
      <c r="F813" s="2">
        <v>6864</v>
      </c>
      <c r="G813" s="2">
        <f>Monthly_Growth!$C$9</f>
        <v>738487</v>
      </c>
      <c r="H813" s="5">
        <f>Monthly_Growth!$D$9</f>
        <v>-0.24138465916153296</v>
      </c>
      <c r="I813" s="15">
        <f>Yearly_Growth!$C$2</f>
        <v>5.0333827436586778E-2</v>
      </c>
      <c r="J813" s="15">
        <f>Yearly_Growth!$D$2</f>
        <v>0.03</v>
      </c>
      <c r="K813">
        <f>Sales_Per_Representative!$C$8</f>
        <v>649456</v>
      </c>
      <c r="L813">
        <f>Sales_Per_Rep_Yearly_Goal!$B$2</f>
        <v>665544.80000000005</v>
      </c>
      <c r="M813">
        <f>Sales_Per_Rep_Yearly_Goal!$C$2</f>
        <v>650000</v>
      </c>
    </row>
    <row r="814" spans="1:13" x14ac:dyDescent="0.3">
      <c r="A814" s="3">
        <v>45140</v>
      </c>
      <c r="B814">
        <f t="shared" si="12"/>
        <v>2023</v>
      </c>
      <c r="C814">
        <v>8</v>
      </c>
      <c r="D814" t="s">
        <v>17</v>
      </c>
      <c r="E814" t="s">
        <v>26</v>
      </c>
      <c r="F814" s="2">
        <v>1810</v>
      </c>
      <c r="G814" s="2">
        <f>Monthly_Growth!$C$9</f>
        <v>738487</v>
      </c>
      <c r="H814" s="5">
        <f>Monthly_Growth!$D$9</f>
        <v>-0.24138465916153296</v>
      </c>
      <c r="I814" s="15">
        <f>Yearly_Growth!$C$2</f>
        <v>5.0333827436586778E-2</v>
      </c>
      <c r="J814" s="15">
        <f>Yearly_Growth!$D$2</f>
        <v>0.03</v>
      </c>
      <c r="K814">
        <f>Sales_Per_Representative!$C$16</f>
        <v>666159</v>
      </c>
      <c r="L814">
        <f>Sales_Per_Rep_Yearly_Goal!$B$2</f>
        <v>665544.80000000005</v>
      </c>
      <c r="M814">
        <f>Sales_Per_Rep_Yearly_Goal!$C$2</f>
        <v>650000</v>
      </c>
    </row>
    <row r="815" spans="1:13" x14ac:dyDescent="0.3">
      <c r="A815" s="3">
        <v>45141</v>
      </c>
      <c r="B815">
        <f t="shared" si="12"/>
        <v>2023</v>
      </c>
      <c r="C815">
        <v>8</v>
      </c>
      <c r="D815" t="s">
        <v>14</v>
      </c>
      <c r="E815" t="s">
        <v>10</v>
      </c>
      <c r="F815" s="2">
        <v>6221</v>
      </c>
      <c r="G815" s="2">
        <f>Monthly_Growth!$C$9</f>
        <v>738487</v>
      </c>
      <c r="H815" s="5">
        <f>Monthly_Growth!$D$9</f>
        <v>-0.24138465916153296</v>
      </c>
      <c r="I815" s="15">
        <f>Yearly_Growth!$C$2</f>
        <v>5.0333827436586778E-2</v>
      </c>
      <c r="J815" s="15">
        <f>Yearly_Growth!$D$2</f>
        <v>0.03</v>
      </c>
      <c r="K815">
        <f>Sales_Per_Representative!$C$4</f>
        <v>725713</v>
      </c>
      <c r="L815">
        <f>Sales_Per_Rep_Yearly_Goal!$B$2</f>
        <v>665544.80000000005</v>
      </c>
      <c r="M815">
        <f>Sales_Per_Rep_Yearly_Goal!$C$2</f>
        <v>650000</v>
      </c>
    </row>
    <row r="816" spans="1:13" x14ac:dyDescent="0.3">
      <c r="A816" s="3">
        <v>45141</v>
      </c>
      <c r="B816">
        <f t="shared" si="12"/>
        <v>2023</v>
      </c>
      <c r="C816">
        <v>8</v>
      </c>
      <c r="D816" t="s">
        <v>19</v>
      </c>
      <c r="E816" t="s">
        <v>31</v>
      </c>
      <c r="F816" s="2">
        <v>1056</v>
      </c>
      <c r="G816" s="2">
        <f>Monthly_Growth!$C$9</f>
        <v>738487</v>
      </c>
      <c r="H816" s="5">
        <f>Monthly_Growth!$D$9</f>
        <v>-0.24138465916153296</v>
      </c>
      <c r="I816" s="15">
        <f>Yearly_Growth!$C$2</f>
        <v>5.0333827436586778E-2</v>
      </c>
      <c r="J816" s="15">
        <f>Yearly_Growth!$D$2</f>
        <v>0.03</v>
      </c>
      <c r="K816">
        <f>Sales_Per_Representative!$C$6</f>
        <v>727823</v>
      </c>
      <c r="L816">
        <f>Sales_Per_Rep_Yearly_Goal!$B$2</f>
        <v>665544.80000000005</v>
      </c>
      <c r="M816">
        <f>Sales_Per_Rep_Yearly_Goal!$C$2</f>
        <v>650000</v>
      </c>
    </row>
    <row r="817" spans="1:13" x14ac:dyDescent="0.3">
      <c r="A817" s="3">
        <v>45141</v>
      </c>
      <c r="B817">
        <f t="shared" si="12"/>
        <v>2023</v>
      </c>
      <c r="C817">
        <v>8</v>
      </c>
      <c r="D817" t="s">
        <v>23</v>
      </c>
      <c r="E817" t="s">
        <v>5</v>
      </c>
      <c r="F817" s="2">
        <v>2761</v>
      </c>
      <c r="G817" s="2">
        <f>Monthly_Growth!$C$9</f>
        <v>738487</v>
      </c>
      <c r="H817" s="5">
        <f>Monthly_Growth!$D$9</f>
        <v>-0.24138465916153296</v>
      </c>
      <c r="I817" s="15">
        <f>Yearly_Growth!$C$2</f>
        <v>5.0333827436586778E-2</v>
      </c>
      <c r="J817" s="15">
        <f>Yearly_Growth!$D$2</f>
        <v>0.03</v>
      </c>
      <c r="K817">
        <f>Sales_Per_Representative!$C$10</f>
        <v>663333</v>
      </c>
      <c r="L817">
        <f>Sales_Per_Rep_Yearly_Goal!$B$2</f>
        <v>665544.80000000005</v>
      </c>
      <c r="M817">
        <f>Sales_Per_Rep_Yearly_Goal!$C$2</f>
        <v>650000</v>
      </c>
    </row>
    <row r="818" spans="1:13" x14ac:dyDescent="0.3">
      <c r="A818" s="3">
        <v>45141</v>
      </c>
      <c r="B818">
        <f t="shared" si="12"/>
        <v>2023</v>
      </c>
      <c r="C818">
        <v>8</v>
      </c>
      <c r="D818" t="s">
        <v>7</v>
      </c>
      <c r="E818" t="s">
        <v>26</v>
      </c>
      <c r="F818" s="2">
        <v>2544</v>
      </c>
      <c r="G818" s="2">
        <f>Monthly_Growth!$C$9</f>
        <v>738487</v>
      </c>
      <c r="H818" s="5">
        <f>Monthly_Growth!$D$9</f>
        <v>-0.24138465916153296</v>
      </c>
      <c r="I818" s="15">
        <f>Yearly_Growth!$C$2</f>
        <v>5.0333827436586778E-2</v>
      </c>
      <c r="J818" s="15">
        <f>Yearly_Growth!$D$2</f>
        <v>0.03</v>
      </c>
      <c r="K818">
        <f>Sales_Per_Representative!$C$16</f>
        <v>666159</v>
      </c>
      <c r="L818">
        <f>Sales_Per_Rep_Yearly_Goal!$B$2</f>
        <v>665544.80000000005</v>
      </c>
      <c r="M818">
        <f>Sales_Per_Rep_Yearly_Goal!$C$2</f>
        <v>650000</v>
      </c>
    </row>
    <row r="819" spans="1:13" x14ac:dyDescent="0.3">
      <c r="A819" s="3">
        <v>45141</v>
      </c>
      <c r="B819">
        <f t="shared" si="12"/>
        <v>2023</v>
      </c>
      <c r="C819">
        <v>8</v>
      </c>
      <c r="D819" t="s">
        <v>17</v>
      </c>
      <c r="E819" t="s">
        <v>5</v>
      </c>
      <c r="F819" s="2">
        <v>10580</v>
      </c>
      <c r="G819" s="2">
        <f>Monthly_Growth!$C$9</f>
        <v>738487</v>
      </c>
      <c r="H819" s="5">
        <f>Monthly_Growth!$D$9</f>
        <v>-0.24138465916153296</v>
      </c>
      <c r="I819" s="15">
        <f>Yearly_Growth!$C$2</f>
        <v>5.0333827436586778E-2</v>
      </c>
      <c r="J819" s="15">
        <f>Yearly_Growth!$D$2</f>
        <v>0.03</v>
      </c>
      <c r="K819">
        <f>Sales_Per_Representative!$C$10</f>
        <v>663333</v>
      </c>
      <c r="L819">
        <f>Sales_Per_Rep_Yearly_Goal!$B$2</f>
        <v>665544.80000000005</v>
      </c>
      <c r="M819">
        <f>Sales_Per_Rep_Yearly_Goal!$C$2</f>
        <v>650000</v>
      </c>
    </row>
    <row r="820" spans="1:13" x14ac:dyDescent="0.3">
      <c r="A820" s="3">
        <v>45142</v>
      </c>
      <c r="B820">
        <f t="shared" si="12"/>
        <v>2023</v>
      </c>
      <c r="C820">
        <v>8</v>
      </c>
      <c r="D820" t="s">
        <v>17</v>
      </c>
      <c r="E820" t="s">
        <v>27</v>
      </c>
      <c r="F820" s="2">
        <v>2033</v>
      </c>
      <c r="G820" s="2">
        <f>Monthly_Growth!$C$9</f>
        <v>738487</v>
      </c>
      <c r="H820" s="5">
        <f>Monthly_Growth!$D$9</f>
        <v>-0.24138465916153296</v>
      </c>
      <c r="I820" s="15">
        <f>Yearly_Growth!$C$2</f>
        <v>5.0333827436586778E-2</v>
      </c>
      <c r="J820" s="15">
        <f>Yearly_Growth!$D$2</f>
        <v>0.03</v>
      </c>
      <c r="K820">
        <f>Sales_Per_Representative!$C$5</f>
        <v>747962</v>
      </c>
      <c r="L820">
        <f>Sales_Per_Rep_Yearly_Goal!$B$2</f>
        <v>665544.80000000005</v>
      </c>
      <c r="M820">
        <f>Sales_Per_Rep_Yearly_Goal!$C$2</f>
        <v>650000</v>
      </c>
    </row>
    <row r="821" spans="1:13" x14ac:dyDescent="0.3">
      <c r="A821" s="3">
        <v>45142</v>
      </c>
      <c r="B821">
        <f t="shared" si="12"/>
        <v>2023</v>
      </c>
      <c r="C821">
        <v>8</v>
      </c>
      <c r="D821" t="s">
        <v>17</v>
      </c>
      <c r="E821" t="s">
        <v>10</v>
      </c>
      <c r="F821" s="2">
        <v>7086</v>
      </c>
      <c r="G821" s="2">
        <f>Monthly_Growth!$C$9</f>
        <v>738487</v>
      </c>
      <c r="H821" s="5">
        <f>Monthly_Growth!$D$9</f>
        <v>-0.24138465916153296</v>
      </c>
      <c r="I821" s="15">
        <f>Yearly_Growth!$C$2</f>
        <v>5.0333827436586778E-2</v>
      </c>
      <c r="J821" s="15">
        <f>Yearly_Growth!$D$2</f>
        <v>0.03</v>
      </c>
      <c r="K821">
        <f>Sales_Per_Representative!$C$4</f>
        <v>725713</v>
      </c>
      <c r="L821">
        <f>Sales_Per_Rep_Yearly_Goal!$B$2</f>
        <v>665544.80000000005</v>
      </c>
      <c r="M821">
        <f>Sales_Per_Rep_Yearly_Goal!$C$2</f>
        <v>650000</v>
      </c>
    </row>
    <row r="822" spans="1:13" x14ac:dyDescent="0.3">
      <c r="A822" s="3">
        <v>45142</v>
      </c>
      <c r="B822">
        <f t="shared" si="12"/>
        <v>2023</v>
      </c>
      <c r="C822">
        <v>8</v>
      </c>
      <c r="D822" t="s">
        <v>12</v>
      </c>
      <c r="E822" t="s">
        <v>8</v>
      </c>
      <c r="F822" s="2">
        <v>8771</v>
      </c>
      <c r="G822" s="2">
        <f>Monthly_Growth!$C$9</f>
        <v>738487</v>
      </c>
      <c r="H822" s="5">
        <f>Monthly_Growth!$D$9</f>
        <v>-0.24138465916153296</v>
      </c>
      <c r="I822" s="15">
        <f>Yearly_Growth!$C$2</f>
        <v>5.0333827436586778E-2</v>
      </c>
      <c r="J822" s="15">
        <f>Yearly_Growth!$D$2</f>
        <v>0.03</v>
      </c>
      <c r="K822">
        <f>Sales_Per_Representative!$C$15</f>
        <v>701242</v>
      </c>
      <c r="L822">
        <f>Sales_Per_Rep_Yearly_Goal!$B$2</f>
        <v>665544.80000000005</v>
      </c>
      <c r="M822">
        <f>Sales_Per_Rep_Yearly_Goal!$C$2</f>
        <v>650000</v>
      </c>
    </row>
    <row r="823" spans="1:13" x14ac:dyDescent="0.3">
      <c r="A823" s="3">
        <v>45142</v>
      </c>
      <c r="B823">
        <f t="shared" si="12"/>
        <v>2023</v>
      </c>
      <c r="C823">
        <v>8</v>
      </c>
      <c r="D823" t="s">
        <v>12</v>
      </c>
      <c r="E823" t="s">
        <v>5</v>
      </c>
      <c r="F823" s="2">
        <v>12735</v>
      </c>
      <c r="G823" s="2">
        <f>Monthly_Growth!$C$9</f>
        <v>738487</v>
      </c>
      <c r="H823" s="5">
        <f>Monthly_Growth!$D$9</f>
        <v>-0.24138465916153296</v>
      </c>
      <c r="I823" s="15">
        <f>Yearly_Growth!$C$2</f>
        <v>5.0333827436586778E-2</v>
      </c>
      <c r="J823" s="15">
        <f>Yearly_Growth!$D$2</f>
        <v>0.03</v>
      </c>
      <c r="K823">
        <f>Sales_Per_Representative!$C$10</f>
        <v>663333</v>
      </c>
      <c r="L823">
        <f>Sales_Per_Rep_Yearly_Goal!$B$2</f>
        <v>665544.80000000005</v>
      </c>
      <c r="M823">
        <f>Sales_Per_Rep_Yearly_Goal!$C$2</f>
        <v>650000</v>
      </c>
    </row>
    <row r="824" spans="1:13" x14ac:dyDescent="0.3">
      <c r="A824" s="3">
        <v>45143</v>
      </c>
      <c r="B824">
        <f t="shared" si="12"/>
        <v>2023</v>
      </c>
      <c r="C824">
        <v>8</v>
      </c>
      <c r="D824" t="s">
        <v>17</v>
      </c>
      <c r="E824" t="s">
        <v>30</v>
      </c>
      <c r="F824" s="2">
        <v>10271</v>
      </c>
      <c r="G824" s="2">
        <f>Monthly_Growth!$C$9</f>
        <v>738487</v>
      </c>
      <c r="H824" s="5">
        <f>Monthly_Growth!$D$9</f>
        <v>-0.24138465916153296</v>
      </c>
      <c r="I824" s="15">
        <f>Yearly_Growth!$C$2</f>
        <v>5.0333827436586778E-2</v>
      </c>
      <c r="J824" s="15">
        <f>Yearly_Growth!$D$2</f>
        <v>0.03</v>
      </c>
      <c r="K824">
        <f>Sales_Per_Representative!$C$7</f>
        <v>706974</v>
      </c>
      <c r="L824">
        <f>Sales_Per_Rep_Yearly_Goal!$B$2</f>
        <v>665544.80000000005</v>
      </c>
      <c r="M824">
        <f>Sales_Per_Rep_Yearly_Goal!$C$2</f>
        <v>650000</v>
      </c>
    </row>
    <row r="825" spans="1:13" x14ac:dyDescent="0.3">
      <c r="A825" s="3">
        <v>45143</v>
      </c>
      <c r="B825">
        <f t="shared" si="12"/>
        <v>2023</v>
      </c>
      <c r="C825">
        <v>8</v>
      </c>
      <c r="D825" t="s">
        <v>12</v>
      </c>
      <c r="E825" t="s">
        <v>24</v>
      </c>
      <c r="F825" s="2">
        <v>1867</v>
      </c>
      <c r="G825" s="2">
        <f>Monthly_Growth!$C$9</f>
        <v>738487</v>
      </c>
      <c r="H825" s="5">
        <f>Monthly_Growth!$D$9</f>
        <v>-0.24138465916153296</v>
      </c>
      <c r="I825" s="15">
        <f>Yearly_Growth!$C$2</f>
        <v>5.0333827436586778E-2</v>
      </c>
      <c r="J825" s="15">
        <f>Yearly_Growth!$D$2</f>
        <v>0.03</v>
      </c>
      <c r="K825">
        <f>Sales_Per_Representative!$C$2</f>
        <v>631195</v>
      </c>
      <c r="L825">
        <f>Sales_Per_Rep_Yearly_Goal!$B$2</f>
        <v>665544.80000000005</v>
      </c>
      <c r="M825">
        <f>Sales_Per_Rep_Yearly_Goal!$C$2</f>
        <v>650000</v>
      </c>
    </row>
    <row r="826" spans="1:13" x14ac:dyDescent="0.3">
      <c r="A826" s="3">
        <v>45143</v>
      </c>
      <c r="B826">
        <f t="shared" si="12"/>
        <v>2023</v>
      </c>
      <c r="C826">
        <v>8</v>
      </c>
      <c r="D826" t="s">
        <v>12</v>
      </c>
      <c r="E826" t="s">
        <v>24</v>
      </c>
      <c r="F826" s="2">
        <v>10631</v>
      </c>
      <c r="G826" s="2">
        <f>Monthly_Growth!$C$9</f>
        <v>738487</v>
      </c>
      <c r="H826" s="5">
        <f>Monthly_Growth!$D$9</f>
        <v>-0.24138465916153296</v>
      </c>
      <c r="I826" s="15">
        <f>Yearly_Growth!$C$2</f>
        <v>5.0333827436586778E-2</v>
      </c>
      <c r="J826" s="15">
        <f>Yearly_Growth!$D$2</f>
        <v>0.03</v>
      </c>
      <c r="K826">
        <f>Sales_Per_Representative!$C$2</f>
        <v>631195</v>
      </c>
      <c r="L826">
        <f>Sales_Per_Rep_Yearly_Goal!$B$2</f>
        <v>665544.80000000005</v>
      </c>
      <c r="M826">
        <f>Sales_Per_Rep_Yearly_Goal!$C$2</f>
        <v>650000</v>
      </c>
    </row>
    <row r="827" spans="1:13" x14ac:dyDescent="0.3">
      <c r="A827" s="3">
        <v>45144</v>
      </c>
      <c r="B827">
        <f t="shared" si="12"/>
        <v>2023</v>
      </c>
      <c r="C827">
        <v>8</v>
      </c>
      <c r="D827" t="s">
        <v>7</v>
      </c>
      <c r="E827" t="s">
        <v>29</v>
      </c>
      <c r="F827" s="2">
        <v>3714</v>
      </c>
      <c r="G827" s="2">
        <f>Monthly_Growth!$C$9</f>
        <v>738487</v>
      </c>
      <c r="H827" s="5">
        <f>Monthly_Growth!$D$9</f>
        <v>-0.24138465916153296</v>
      </c>
      <c r="I827" s="15">
        <f>Yearly_Growth!$C$2</f>
        <v>5.0333827436586778E-2</v>
      </c>
      <c r="J827" s="15">
        <f>Yearly_Growth!$D$2</f>
        <v>0.03</v>
      </c>
      <c r="K827">
        <f>Sales_Per_Representative!$C$13</f>
        <v>621548</v>
      </c>
      <c r="L827">
        <f>Sales_Per_Rep_Yearly_Goal!$B$2</f>
        <v>665544.80000000005</v>
      </c>
      <c r="M827">
        <f>Sales_Per_Rep_Yearly_Goal!$C$2</f>
        <v>650000</v>
      </c>
    </row>
    <row r="828" spans="1:13" x14ac:dyDescent="0.3">
      <c r="A828" s="3">
        <v>45144</v>
      </c>
      <c r="B828">
        <f t="shared" si="12"/>
        <v>2023</v>
      </c>
      <c r="C828">
        <v>8</v>
      </c>
      <c r="D828" t="s">
        <v>12</v>
      </c>
      <c r="E828" t="s">
        <v>29</v>
      </c>
      <c r="F828" s="2">
        <v>8593</v>
      </c>
      <c r="G828" s="2">
        <f>Monthly_Growth!$C$9</f>
        <v>738487</v>
      </c>
      <c r="H828" s="5">
        <f>Monthly_Growth!$D$9</f>
        <v>-0.24138465916153296</v>
      </c>
      <c r="I828" s="15">
        <f>Yearly_Growth!$C$2</f>
        <v>5.0333827436586778E-2</v>
      </c>
      <c r="J828" s="15">
        <f>Yearly_Growth!$D$2</f>
        <v>0.03</v>
      </c>
      <c r="K828">
        <f>Sales_Per_Representative!$C$13</f>
        <v>621548</v>
      </c>
      <c r="L828">
        <f>Sales_Per_Rep_Yearly_Goal!$B$2</f>
        <v>665544.80000000005</v>
      </c>
      <c r="M828">
        <f>Sales_Per_Rep_Yearly_Goal!$C$2</f>
        <v>650000</v>
      </c>
    </row>
    <row r="829" spans="1:13" x14ac:dyDescent="0.3">
      <c r="A829" s="3">
        <v>45145</v>
      </c>
      <c r="B829">
        <f t="shared" si="12"/>
        <v>2023</v>
      </c>
      <c r="C829">
        <v>8</v>
      </c>
      <c r="D829" t="s">
        <v>14</v>
      </c>
      <c r="E829" t="s">
        <v>33</v>
      </c>
      <c r="F829" s="2">
        <v>9591</v>
      </c>
      <c r="G829" s="2">
        <f>Monthly_Growth!$C$9</f>
        <v>738487</v>
      </c>
      <c r="H829" s="5">
        <f>Monthly_Growth!$D$9</f>
        <v>-0.24138465916153296</v>
      </c>
      <c r="I829" s="15">
        <f>Yearly_Growth!$C$2</f>
        <v>5.0333827436586778E-2</v>
      </c>
      <c r="J829" s="15">
        <f>Yearly_Growth!$D$2</f>
        <v>0.03</v>
      </c>
      <c r="K829">
        <f>Sales_Per_Representative!$C$11</f>
        <v>496886</v>
      </c>
      <c r="L829">
        <f>Sales_Per_Rep_Yearly_Goal!$B$2</f>
        <v>665544.80000000005</v>
      </c>
      <c r="M829">
        <f>Sales_Per_Rep_Yearly_Goal!$C$2</f>
        <v>650000</v>
      </c>
    </row>
    <row r="830" spans="1:13" x14ac:dyDescent="0.3">
      <c r="A830" s="3">
        <v>45145</v>
      </c>
      <c r="B830">
        <f t="shared" si="12"/>
        <v>2023</v>
      </c>
      <c r="C830">
        <v>8</v>
      </c>
      <c r="D830" t="s">
        <v>14</v>
      </c>
      <c r="E830" t="s">
        <v>33</v>
      </c>
      <c r="F830" s="2">
        <v>10531</v>
      </c>
      <c r="G830" s="2">
        <f>Monthly_Growth!$C$9</f>
        <v>738487</v>
      </c>
      <c r="H830" s="5">
        <f>Monthly_Growth!$D$9</f>
        <v>-0.24138465916153296</v>
      </c>
      <c r="I830" s="15">
        <f>Yearly_Growth!$C$2</f>
        <v>5.0333827436586778E-2</v>
      </c>
      <c r="J830" s="15">
        <f>Yearly_Growth!$D$2</f>
        <v>0.03</v>
      </c>
      <c r="K830">
        <f>Sales_Per_Representative!$C$11</f>
        <v>496886</v>
      </c>
      <c r="L830">
        <f>Sales_Per_Rep_Yearly_Goal!$B$2</f>
        <v>665544.80000000005</v>
      </c>
      <c r="M830">
        <f>Sales_Per_Rep_Yearly_Goal!$C$2</f>
        <v>650000</v>
      </c>
    </row>
    <row r="831" spans="1:13" x14ac:dyDescent="0.3">
      <c r="A831" s="3">
        <v>45145</v>
      </c>
      <c r="B831">
        <f t="shared" si="12"/>
        <v>2023</v>
      </c>
      <c r="C831">
        <v>8</v>
      </c>
      <c r="D831" t="s">
        <v>23</v>
      </c>
      <c r="E831" t="s">
        <v>15</v>
      </c>
      <c r="F831" s="2">
        <v>8442</v>
      </c>
      <c r="G831" s="2">
        <f>Monthly_Growth!$C$9</f>
        <v>738487</v>
      </c>
      <c r="H831" s="5">
        <f>Monthly_Growth!$D$9</f>
        <v>-0.24138465916153296</v>
      </c>
      <c r="I831" s="15">
        <f>Yearly_Growth!$C$2</f>
        <v>5.0333827436586778E-2</v>
      </c>
      <c r="J831" s="15">
        <f>Yearly_Growth!$D$2</f>
        <v>0.03</v>
      </c>
      <c r="K831">
        <f>Sales_Per_Representative!$C$12</f>
        <v>656359</v>
      </c>
      <c r="L831">
        <f>Sales_Per_Rep_Yearly_Goal!$B$2</f>
        <v>665544.80000000005</v>
      </c>
      <c r="M831">
        <f>Sales_Per_Rep_Yearly_Goal!$C$2</f>
        <v>650000</v>
      </c>
    </row>
    <row r="832" spans="1:13" x14ac:dyDescent="0.3">
      <c r="A832" s="3">
        <v>45145</v>
      </c>
      <c r="B832">
        <f t="shared" si="12"/>
        <v>2023</v>
      </c>
      <c r="C832">
        <v>8</v>
      </c>
      <c r="D832" t="s">
        <v>25</v>
      </c>
      <c r="E832" t="s">
        <v>30</v>
      </c>
      <c r="F832" s="2">
        <v>3425</v>
      </c>
      <c r="G832" s="2">
        <f>Monthly_Growth!$C$9</f>
        <v>738487</v>
      </c>
      <c r="H832" s="5">
        <f>Monthly_Growth!$D$9</f>
        <v>-0.24138465916153296</v>
      </c>
      <c r="I832" s="15">
        <f>Yearly_Growth!$C$2</f>
        <v>5.0333827436586778E-2</v>
      </c>
      <c r="J832" s="15">
        <f>Yearly_Growth!$D$2</f>
        <v>0.03</v>
      </c>
      <c r="K832">
        <f>Sales_Per_Representative!$C$7</f>
        <v>706974</v>
      </c>
      <c r="L832">
        <f>Sales_Per_Rep_Yearly_Goal!$B$2</f>
        <v>665544.80000000005</v>
      </c>
      <c r="M832">
        <f>Sales_Per_Rep_Yearly_Goal!$C$2</f>
        <v>650000</v>
      </c>
    </row>
    <row r="833" spans="1:13" x14ac:dyDescent="0.3">
      <c r="A833" s="3">
        <v>45145</v>
      </c>
      <c r="B833">
        <f t="shared" si="12"/>
        <v>2023</v>
      </c>
      <c r="C833">
        <v>8</v>
      </c>
      <c r="D833" t="s">
        <v>17</v>
      </c>
      <c r="E833" t="s">
        <v>15</v>
      </c>
      <c r="F833" s="2">
        <v>3065</v>
      </c>
      <c r="G833" s="2">
        <f>Monthly_Growth!$C$9</f>
        <v>738487</v>
      </c>
      <c r="H833" s="5">
        <f>Monthly_Growth!$D$9</f>
        <v>-0.24138465916153296</v>
      </c>
      <c r="I833" s="15">
        <f>Yearly_Growth!$C$2</f>
        <v>5.0333827436586778E-2</v>
      </c>
      <c r="J833" s="15">
        <f>Yearly_Growth!$D$2</f>
        <v>0.03</v>
      </c>
      <c r="K833">
        <f>Sales_Per_Representative!$C$12</f>
        <v>656359</v>
      </c>
      <c r="L833">
        <f>Sales_Per_Rep_Yearly_Goal!$B$2</f>
        <v>665544.80000000005</v>
      </c>
      <c r="M833">
        <f>Sales_Per_Rep_Yearly_Goal!$C$2</f>
        <v>650000</v>
      </c>
    </row>
    <row r="834" spans="1:13" x14ac:dyDescent="0.3">
      <c r="A834" s="3">
        <v>45146</v>
      </c>
      <c r="B834">
        <f t="shared" si="12"/>
        <v>2023</v>
      </c>
      <c r="C834">
        <v>8</v>
      </c>
      <c r="D834" t="s">
        <v>14</v>
      </c>
      <c r="E834" t="s">
        <v>10</v>
      </c>
      <c r="F834" s="2">
        <v>12950</v>
      </c>
      <c r="G834" s="2">
        <f>Monthly_Growth!$C$9</f>
        <v>738487</v>
      </c>
      <c r="H834" s="5">
        <f>Monthly_Growth!$D$9</f>
        <v>-0.24138465916153296</v>
      </c>
      <c r="I834" s="15">
        <f>Yearly_Growth!$C$2</f>
        <v>5.0333827436586778E-2</v>
      </c>
      <c r="J834" s="15">
        <f>Yearly_Growth!$D$2</f>
        <v>0.03</v>
      </c>
      <c r="K834">
        <f>Sales_Per_Representative!$C$4</f>
        <v>725713</v>
      </c>
      <c r="L834">
        <f>Sales_Per_Rep_Yearly_Goal!$B$2</f>
        <v>665544.80000000005</v>
      </c>
      <c r="M834">
        <f>Sales_Per_Rep_Yearly_Goal!$C$2</f>
        <v>650000</v>
      </c>
    </row>
    <row r="835" spans="1:13" x14ac:dyDescent="0.3">
      <c r="A835" s="3">
        <v>45146</v>
      </c>
      <c r="B835">
        <f t="shared" ref="B835:B898" si="13">YEAR(A835)</f>
        <v>2023</v>
      </c>
      <c r="C835">
        <v>8</v>
      </c>
      <c r="D835" t="s">
        <v>14</v>
      </c>
      <c r="E835" t="s">
        <v>15</v>
      </c>
      <c r="F835" s="2">
        <v>9470</v>
      </c>
      <c r="G835" s="2">
        <f>Monthly_Growth!$C$9</f>
        <v>738487</v>
      </c>
      <c r="H835" s="5">
        <f>Monthly_Growth!$D$9</f>
        <v>-0.24138465916153296</v>
      </c>
      <c r="I835" s="15">
        <f>Yearly_Growth!$C$2</f>
        <v>5.0333827436586778E-2</v>
      </c>
      <c r="J835" s="15">
        <f>Yearly_Growth!$D$2</f>
        <v>0.03</v>
      </c>
      <c r="K835">
        <f>Sales_Per_Representative!$C$12</f>
        <v>656359</v>
      </c>
      <c r="L835">
        <f>Sales_Per_Rep_Yearly_Goal!$B$2</f>
        <v>665544.80000000005</v>
      </c>
      <c r="M835">
        <f>Sales_Per_Rep_Yearly_Goal!$C$2</f>
        <v>650000</v>
      </c>
    </row>
    <row r="836" spans="1:13" x14ac:dyDescent="0.3">
      <c r="A836" s="3">
        <v>45146</v>
      </c>
      <c r="B836">
        <f t="shared" si="13"/>
        <v>2023</v>
      </c>
      <c r="C836">
        <v>8</v>
      </c>
      <c r="D836" t="s">
        <v>19</v>
      </c>
      <c r="E836" t="s">
        <v>30</v>
      </c>
      <c r="F836" s="2">
        <v>7136</v>
      </c>
      <c r="G836" s="2">
        <f>Monthly_Growth!$C$9</f>
        <v>738487</v>
      </c>
      <c r="H836" s="5">
        <f>Monthly_Growth!$D$9</f>
        <v>-0.24138465916153296</v>
      </c>
      <c r="I836" s="15">
        <f>Yearly_Growth!$C$2</f>
        <v>5.0333827436586778E-2</v>
      </c>
      <c r="J836" s="15">
        <f>Yearly_Growth!$D$2</f>
        <v>0.03</v>
      </c>
      <c r="K836">
        <f>Sales_Per_Representative!$C$7</f>
        <v>706974</v>
      </c>
      <c r="L836">
        <f>Sales_Per_Rep_Yearly_Goal!$B$2</f>
        <v>665544.80000000005</v>
      </c>
      <c r="M836">
        <f>Sales_Per_Rep_Yearly_Goal!$C$2</f>
        <v>650000</v>
      </c>
    </row>
    <row r="837" spans="1:13" x14ac:dyDescent="0.3">
      <c r="A837" s="3">
        <v>45146</v>
      </c>
      <c r="B837">
        <f t="shared" si="13"/>
        <v>2023</v>
      </c>
      <c r="C837">
        <v>8</v>
      </c>
      <c r="D837" t="s">
        <v>7</v>
      </c>
      <c r="E837" t="s">
        <v>10</v>
      </c>
      <c r="F837" s="2">
        <v>5679</v>
      </c>
      <c r="G837" s="2">
        <f>Monthly_Growth!$C$9</f>
        <v>738487</v>
      </c>
      <c r="H837" s="5">
        <f>Monthly_Growth!$D$9</f>
        <v>-0.24138465916153296</v>
      </c>
      <c r="I837" s="15">
        <f>Yearly_Growth!$C$2</f>
        <v>5.0333827436586778E-2</v>
      </c>
      <c r="J837" s="15">
        <f>Yearly_Growth!$D$2</f>
        <v>0.03</v>
      </c>
      <c r="K837">
        <f>Sales_Per_Representative!$C$4</f>
        <v>725713</v>
      </c>
      <c r="L837">
        <f>Sales_Per_Rep_Yearly_Goal!$B$2</f>
        <v>665544.80000000005</v>
      </c>
      <c r="M837">
        <f>Sales_Per_Rep_Yearly_Goal!$C$2</f>
        <v>650000</v>
      </c>
    </row>
    <row r="838" spans="1:13" x14ac:dyDescent="0.3">
      <c r="A838" s="3">
        <v>45146</v>
      </c>
      <c r="B838">
        <f t="shared" si="13"/>
        <v>2023</v>
      </c>
      <c r="C838">
        <v>8</v>
      </c>
      <c r="D838" t="s">
        <v>12</v>
      </c>
      <c r="E838" t="s">
        <v>30</v>
      </c>
      <c r="F838" s="2">
        <v>11078</v>
      </c>
      <c r="G838" s="2">
        <f>Monthly_Growth!$C$9</f>
        <v>738487</v>
      </c>
      <c r="H838" s="5">
        <f>Monthly_Growth!$D$9</f>
        <v>-0.24138465916153296</v>
      </c>
      <c r="I838" s="15">
        <f>Yearly_Growth!$C$2</f>
        <v>5.0333827436586778E-2</v>
      </c>
      <c r="J838" s="15">
        <f>Yearly_Growth!$D$2</f>
        <v>0.03</v>
      </c>
      <c r="K838">
        <f>Sales_Per_Representative!$C$7</f>
        <v>706974</v>
      </c>
      <c r="L838">
        <f>Sales_Per_Rep_Yearly_Goal!$B$2</f>
        <v>665544.80000000005</v>
      </c>
      <c r="M838">
        <f>Sales_Per_Rep_Yearly_Goal!$C$2</f>
        <v>650000</v>
      </c>
    </row>
    <row r="839" spans="1:13" x14ac:dyDescent="0.3">
      <c r="A839" s="3">
        <v>45147</v>
      </c>
      <c r="B839">
        <f t="shared" si="13"/>
        <v>2023</v>
      </c>
      <c r="C839">
        <v>8</v>
      </c>
      <c r="D839" t="s">
        <v>14</v>
      </c>
      <c r="E839" t="s">
        <v>8</v>
      </c>
      <c r="F839" s="2">
        <v>1637</v>
      </c>
      <c r="G839" s="2">
        <f>Monthly_Growth!$C$9</f>
        <v>738487</v>
      </c>
      <c r="H839" s="5">
        <f>Monthly_Growth!$D$9</f>
        <v>-0.24138465916153296</v>
      </c>
      <c r="I839" s="15">
        <f>Yearly_Growth!$C$2</f>
        <v>5.0333827436586778E-2</v>
      </c>
      <c r="J839" s="15">
        <f>Yearly_Growth!$D$2</f>
        <v>0.03</v>
      </c>
      <c r="K839">
        <f>Sales_Per_Representative!$C$15</f>
        <v>701242</v>
      </c>
      <c r="L839">
        <f>Sales_Per_Rep_Yearly_Goal!$B$2</f>
        <v>665544.80000000005</v>
      </c>
      <c r="M839">
        <f>Sales_Per_Rep_Yearly_Goal!$C$2</f>
        <v>650000</v>
      </c>
    </row>
    <row r="840" spans="1:13" x14ac:dyDescent="0.3">
      <c r="A840" s="3">
        <v>45147</v>
      </c>
      <c r="B840">
        <f t="shared" si="13"/>
        <v>2023</v>
      </c>
      <c r="C840">
        <v>8</v>
      </c>
      <c r="D840" t="s">
        <v>19</v>
      </c>
      <c r="E840" t="s">
        <v>24</v>
      </c>
      <c r="F840" s="2">
        <v>6770</v>
      </c>
      <c r="G840" s="2">
        <f>Monthly_Growth!$C$9</f>
        <v>738487</v>
      </c>
      <c r="H840" s="5">
        <f>Monthly_Growth!$D$9</f>
        <v>-0.24138465916153296</v>
      </c>
      <c r="I840" s="15">
        <f>Yearly_Growth!$C$2</f>
        <v>5.0333827436586778E-2</v>
      </c>
      <c r="J840" s="15">
        <f>Yearly_Growth!$D$2</f>
        <v>0.03</v>
      </c>
      <c r="K840">
        <f>Sales_Per_Representative!$C$2</f>
        <v>631195</v>
      </c>
      <c r="L840">
        <f>Sales_Per_Rep_Yearly_Goal!$B$2</f>
        <v>665544.80000000005</v>
      </c>
      <c r="M840">
        <f>Sales_Per_Rep_Yearly_Goal!$C$2</f>
        <v>650000</v>
      </c>
    </row>
    <row r="841" spans="1:13" x14ac:dyDescent="0.3">
      <c r="A841" s="3">
        <v>45147</v>
      </c>
      <c r="B841">
        <f t="shared" si="13"/>
        <v>2023</v>
      </c>
      <c r="C841">
        <v>8</v>
      </c>
      <c r="D841" t="s">
        <v>12</v>
      </c>
      <c r="E841" t="s">
        <v>26</v>
      </c>
      <c r="F841" s="2">
        <v>9602</v>
      </c>
      <c r="G841" s="2">
        <f>Monthly_Growth!$C$9</f>
        <v>738487</v>
      </c>
      <c r="H841" s="5">
        <f>Monthly_Growth!$D$9</f>
        <v>-0.24138465916153296</v>
      </c>
      <c r="I841" s="15">
        <f>Yearly_Growth!$C$2</f>
        <v>5.0333827436586778E-2</v>
      </c>
      <c r="J841" s="15">
        <f>Yearly_Growth!$D$2</f>
        <v>0.03</v>
      </c>
      <c r="K841">
        <f>Sales_Per_Representative!$C$16</f>
        <v>666159</v>
      </c>
      <c r="L841">
        <f>Sales_Per_Rep_Yearly_Goal!$B$2</f>
        <v>665544.80000000005</v>
      </c>
      <c r="M841">
        <f>Sales_Per_Rep_Yearly_Goal!$C$2</f>
        <v>650000</v>
      </c>
    </row>
    <row r="842" spans="1:13" x14ac:dyDescent="0.3">
      <c r="A842" s="3">
        <v>45148</v>
      </c>
      <c r="B842">
        <f t="shared" si="13"/>
        <v>2023</v>
      </c>
      <c r="C842">
        <v>8</v>
      </c>
      <c r="D842" t="s">
        <v>19</v>
      </c>
      <c r="E842" t="s">
        <v>31</v>
      </c>
      <c r="F842" s="2">
        <v>1086</v>
      </c>
      <c r="G842" s="2">
        <f>Monthly_Growth!$C$9</f>
        <v>738487</v>
      </c>
      <c r="H842" s="5">
        <f>Monthly_Growth!$D$9</f>
        <v>-0.24138465916153296</v>
      </c>
      <c r="I842" s="15">
        <f>Yearly_Growth!$C$2</f>
        <v>5.0333827436586778E-2</v>
      </c>
      <c r="J842" s="15">
        <f>Yearly_Growth!$D$2</f>
        <v>0.03</v>
      </c>
      <c r="K842">
        <f>Sales_Per_Representative!$C$6</f>
        <v>727823</v>
      </c>
      <c r="L842">
        <f>Sales_Per_Rep_Yearly_Goal!$B$2</f>
        <v>665544.80000000005</v>
      </c>
      <c r="M842">
        <f>Sales_Per_Rep_Yearly_Goal!$C$2</f>
        <v>650000</v>
      </c>
    </row>
    <row r="843" spans="1:13" x14ac:dyDescent="0.3">
      <c r="A843" s="3">
        <v>45148</v>
      </c>
      <c r="B843">
        <f t="shared" si="13"/>
        <v>2023</v>
      </c>
      <c r="C843">
        <v>8</v>
      </c>
      <c r="D843" t="s">
        <v>23</v>
      </c>
      <c r="E843" t="s">
        <v>29</v>
      </c>
      <c r="F843" s="2">
        <v>2693</v>
      </c>
      <c r="G843" s="2">
        <f>Monthly_Growth!$C$9</f>
        <v>738487</v>
      </c>
      <c r="H843" s="5">
        <f>Monthly_Growth!$D$9</f>
        <v>-0.24138465916153296</v>
      </c>
      <c r="I843" s="15">
        <f>Yearly_Growth!$C$2</f>
        <v>5.0333827436586778E-2</v>
      </c>
      <c r="J843" s="15">
        <f>Yearly_Growth!$D$2</f>
        <v>0.03</v>
      </c>
      <c r="K843">
        <f>Sales_Per_Representative!$C$13</f>
        <v>621548</v>
      </c>
      <c r="L843">
        <f>Sales_Per_Rep_Yearly_Goal!$B$2</f>
        <v>665544.80000000005</v>
      </c>
      <c r="M843">
        <f>Sales_Per_Rep_Yearly_Goal!$C$2</f>
        <v>650000</v>
      </c>
    </row>
    <row r="844" spans="1:13" x14ac:dyDescent="0.3">
      <c r="A844" s="3">
        <v>45148</v>
      </c>
      <c r="B844">
        <f t="shared" si="13"/>
        <v>2023</v>
      </c>
      <c r="C844">
        <v>8</v>
      </c>
      <c r="D844" t="s">
        <v>25</v>
      </c>
      <c r="E844" t="s">
        <v>18</v>
      </c>
      <c r="F844" s="2">
        <v>10702</v>
      </c>
      <c r="G844" s="2">
        <f>Monthly_Growth!$C$9</f>
        <v>738487</v>
      </c>
      <c r="H844" s="5">
        <f>Monthly_Growth!$D$9</f>
        <v>-0.24138465916153296</v>
      </c>
      <c r="I844" s="15">
        <f>Yearly_Growth!$C$2</f>
        <v>5.0333827436586778E-2</v>
      </c>
      <c r="J844" s="15">
        <f>Yearly_Growth!$D$2</f>
        <v>0.03</v>
      </c>
      <c r="K844">
        <f>Sales_Per_Representative!$C$9</f>
        <v>550835</v>
      </c>
      <c r="L844">
        <f>Sales_Per_Rep_Yearly_Goal!$B$2</f>
        <v>665544.80000000005</v>
      </c>
      <c r="M844">
        <f>Sales_Per_Rep_Yearly_Goal!$C$2</f>
        <v>650000</v>
      </c>
    </row>
    <row r="845" spans="1:13" x14ac:dyDescent="0.3">
      <c r="A845" s="3">
        <v>45148</v>
      </c>
      <c r="B845">
        <f t="shared" si="13"/>
        <v>2023</v>
      </c>
      <c r="C845">
        <v>8</v>
      </c>
      <c r="D845" t="s">
        <v>25</v>
      </c>
      <c r="E845" t="s">
        <v>15</v>
      </c>
      <c r="F845" s="2">
        <v>7766</v>
      </c>
      <c r="G845" s="2">
        <f>Monthly_Growth!$C$9</f>
        <v>738487</v>
      </c>
      <c r="H845" s="5">
        <f>Monthly_Growth!$D$9</f>
        <v>-0.24138465916153296</v>
      </c>
      <c r="I845" s="15">
        <f>Yearly_Growth!$C$2</f>
        <v>5.0333827436586778E-2</v>
      </c>
      <c r="J845" s="15">
        <f>Yearly_Growth!$D$2</f>
        <v>0.03</v>
      </c>
      <c r="K845">
        <f>Sales_Per_Representative!$C$12</f>
        <v>656359</v>
      </c>
      <c r="L845">
        <f>Sales_Per_Rep_Yearly_Goal!$B$2</f>
        <v>665544.80000000005</v>
      </c>
      <c r="M845">
        <f>Sales_Per_Rep_Yearly_Goal!$C$2</f>
        <v>650000</v>
      </c>
    </row>
    <row r="846" spans="1:13" x14ac:dyDescent="0.3">
      <c r="A846" s="3">
        <v>45148</v>
      </c>
      <c r="B846">
        <f t="shared" si="13"/>
        <v>2023</v>
      </c>
      <c r="C846">
        <v>8</v>
      </c>
      <c r="D846" t="s">
        <v>25</v>
      </c>
      <c r="E846" t="s">
        <v>22</v>
      </c>
      <c r="F846" s="2">
        <v>2081</v>
      </c>
      <c r="G846" s="2">
        <f>Monthly_Growth!$C$9</f>
        <v>738487</v>
      </c>
      <c r="H846" s="5">
        <f>Monthly_Growth!$D$9</f>
        <v>-0.24138465916153296</v>
      </c>
      <c r="I846" s="15">
        <f>Yearly_Growth!$C$2</f>
        <v>5.0333827436586778E-2</v>
      </c>
      <c r="J846" s="15">
        <f>Yearly_Growth!$D$2</f>
        <v>0.03</v>
      </c>
      <c r="K846">
        <f>Sales_Per_Representative!$C$8</f>
        <v>649456</v>
      </c>
      <c r="L846">
        <f>Sales_Per_Rep_Yearly_Goal!$B$2</f>
        <v>665544.80000000005</v>
      </c>
      <c r="M846">
        <f>Sales_Per_Rep_Yearly_Goal!$C$2</f>
        <v>650000</v>
      </c>
    </row>
    <row r="847" spans="1:13" x14ac:dyDescent="0.3">
      <c r="A847" s="3">
        <v>45148</v>
      </c>
      <c r="B847">
        <f t="shared" si="13"/>
        <v>2023</v>
      </c>
      <c r="C847">
        <v>8</v>
      </c>
      <c r="D847" t="s">
        <v>17</v>
      </c>
      <c r="E847" t="s">
        <v>10</v>
      </c>
      <c r="F847" s="2">
        <v>5610</v>
      </c>
      <c r="G847" s="2">
        <f>Monthly_Growth!$C$9</f>
        <v>738487</v>
      </c>
      <c r="H847" s="5">
        <f>Monthly_Growth!$D$9</f>
        <v>-0.24138465916153296</v>
      </c>
      <c r="I847" s="15">
        <f>Yearly_Growth!$C$2</f>
        <v>5.0333827436586778E-2</v>
      </c>
      <c r="J847" s="15">
        <f>Yearly_Growth!$D$2</f>
        <v>0.03</v>
      </c>
      <c r="K847">
        <f>Sales_Per_Representative!$C$4</f>
        <v>725713</v>
      </c>
      <c r="L847">
        <f>Sales_Per_Rep_Yearly_Goal!$B$2</f>
        <v>665544.80000000005</v>
      </c>
      <c r="M847">
        <f>Sales_Per_Rep_Yearly_Goal!$C$2</f>
        <v>650000</v>
      </c>
    </row>
    <row r="848" spans="1:13" x14ac:dyDescent="0.3">
      <c r="A848" s="3">
        <v>45150</v>
      </c>
      <c r="B848">
        <f t="shared" si="13"/>
        <v>2023</v>
      </c>
      <c r="C848">
        <v>8</v>
      </c>
      <c r="D848" t="s">
        <v>7</v>
      </c>
      <c r="E848" t="s">
        <v>20</v>
      </c>
      <c r="F848" s="2">
        <v>6780</v>
      </c>
      <c r="G848" s="2">
        <f>Monthly_Growth!$C$9</f>
        <v>738487</v>
      </c>
      <c r="H848" s="5">
        <f>Monthly_Growth!$D$9</f>
        <v>-0.24138465916153296</v>
      </c>
      <c r="I848" s="15">
        <f>Yearly_Growth!$C$2</f>
        <v>5.0333827436586778E-2</v>
      </c>
      <c r="J848" s="15">
        <f>Yearly_Growth!$D$2</f>
        <v>0.03</v>
      </c>
      <c r="K848">
        <f>Sales_Per_Representative!$C$14</f>
        <v>675530</v>
      </c>
      <c r="L848">
        <f>Sales_Per_Rep_Yearly_Goal!$B$2</f>
        <v>665544.80000000005</v>
      </c>
      <c r="M848">
        <f>Sales_Per_Rep_Yearly_Goal!$C$2</f>
        <v>650000</v>
      </c>
    </row>
    <row r="849" spans="1:13" x14ac:dyDescent="0.3">
      <c r="A849" s="3">
        <v>45150</v>
      </c>
      <c r="B849">
        <f t="shared" si="13"/>
        <v>2023</v>
      </c>
      <c r="C849">
        <v>8</v>
      </c>
      <c r="D849" t="s">
        <v>17</v>
      </c>
      <c r="E849" t="s">
        <v>10</v>
      </c>
      <c r="F849" s="2">
        <v>3055</v>
      </c>
      <c r="G849" s="2">
        <f>Monthly_Growth!$C$9</f>
        <v>738487</v>
      </c>
      <c r="H849" s="5">
        <f>Monthly_Growth!$D$9</f>
        <v>-0.24138465916153296</v>
      </c>
      <c r="I849" s="15">
        <f>Yearly_Growth!$C$2</f>
        <v>5.0333827436586778E-2</v>
      </c>
      <c r="J849" s="15">
        <f>Yearly_Growth!$D$2</f>
        <v>0.03</v>
      </c>
      <c r="K849">
        <f>Sales_Per_Representative!$C$4</f>
        <v>725713</v>
      </c>
      <c r="L849">
        <f>Sales_Per_Rep_Yearly_Goal!$B$2</f>
        <v>665544.80000000005</v>
      </c>
      <c r="M849">
        <f>Sales_Per_Rep_Yearly_Goal!$C$2</f>
        <v>650000</v>
      </c>
    </row>
    <row r="850" spans="1:13" x14ac:dyDescent="0.3">
      <c r="A850" s="3">
        <v>45152</v>
      </c>
      <c r="B850">
        <f t="shared" si="13"/>
        <v>2023</v>
      </c>
      <c r="C850">
        <v>8</v>
      </c>
      <c r="D850" t="s">
        <v>14</v>
      </c>
      <c r="E850" t="s">
        <v>22</v>
      </c>
      <c r="F850" s="2">
        <v>3429</v>
      </c>
      <c r="G850" s="2">
        <f>Monthly_Growth!$C$9</f>
        <v>738487</v>
      </c>
      <c r="H850" s="5">
        <f>Monthly_Growth!$D$9</f>
        <v>-0.24138465916153296</v>
      </c>
      <c r="I850" s="15">
        <f>Yearly_Growth!$C$2</f>
        <v>5.0333827436586778E-2</v>
      </c>
      <c r="J850" s="15">
        <f>Yearly_Growth!$D$2</f>
        <v>0.03</v>
      </c>
      <c r="K850">
        <f>Sales_Per_Representative!$C$8</f>
        <v>649456</v>
      </c>
      <c r="L850">
        <f>Sales_Per_Rep_Yearly_Goal!$B$2</f>
        <v>665544.80000000005</v>
      </c>
      <c r="M850">
        <f>Sales_Per_Rep_Yearly_Goal!$C$2</f>
        <v>650000</v>
      </c>
    </row>
    <row r="851" spans="1:13" x14ac:dyDescent="0.3">
      <c r="A851" s="3">
        <v>45152</v>
      </c>
      <c r="B851">
        <f t="shared" si="13"/>
        <v>2023</v>
      </c>
      <c r="C851">
        <v>8</v>
      </c>
      <c r="D851" t="s">
        <v>14</v>
      </c>
      <c r="E851" t="s">
        <v>33</v>
      </c>
      <c r="F851" s="2">
        <v>10829</v>
      </c>
      <c r="G851" s="2">
        <f>Monthly_Growth!$C$9</f>
        <v>738487</v>
      </c>
      <c r="H851" s="5">
        <f>Monthly_Growth!$D$9</f>
        <v>-0.24138465916153296</v>
      </c>
      <c r="I851" s="15">
        <f>Yearly_Growth!$C$2</f>
        <v>5.0333827436586778E-2</v>
      </c>
      <c r="J851" s="15">
        <f>Yearly_Growth!$D$2</f>
        <v>0.03</v>
      </c>
      <c r="K851">
        <f>Sales_Per_Representative!$C$11</f>
        <v>496886</v>
      </c>
      <c r="L851">
        <f>Sales_Per_Rep_Yearly_Goal!$B$2</f>
        <v>665544.80000000005</v>
      </c>
      <c r="M851">
        <f>Sales_Per_Rep_Yearly_Goal!$C$2</f>
        <v>650000</v>
      </c>
    </row>
    <row r="852" spans="1:13" x14ac:dyDescent="0.3">
      <c r="A852" s="3">
        <v>45152</v>
      </c>
      <c r="B852">
        <f t="shared" si="13"/>
        <v>2023</v>
      </c>
      <c r="C852">
        <v>8</v>
      </c>
      <c r="D852" t="s">
        <v>19</v>
      </c>
      <c r="E852" t="s">
        <v>33</v>
      </c>
      <c r="F852" s="2">
        <v>6750</v>
      </c>
      <c r="G852" s="2">
        <f>Monthly_Growth!$C$9</f>
        <v>738487</v>
      </c>
      <c r="H852" s="5">
        <f>Monthly_Growth!$D$9</f>
        <v>-0.24138465916153296</v>
      </c>
      <c r="I852" s="15">
        <f>Yearly_Growth!$C$2</f>
        <v>5.0333827436586778E-2</v>
      </c>
      <c r="J852" s="15">
        <f>Yearly_Growth!$D$2</f>
        <v>0.03</v>
      </c>
      <c r="K852">
        <f>Sales_Per_Representative!$C$11</f>
        <v>496886</v>
      </c>
      <c r="L852">
        <f>Sales_Per_Rep_Yearly_Goal!$B$2</f>
        <v>665544.80000000005</v>
      </c>
      <c r="M852">
        <f>Sales_Per_Rep_Yearly_Goal!$C$2</f>
        <v>650000</v>
      </c>
    </row>
    <row r="853" spans="1:13" x14ac:dyDescent="0.3">
      <c r="A853" s="3">
        <v>45152</v>
      </c>
      <c r="B853">
        <f t="shared" si="13"/>
        <v>2023</v>
      </c>
      <c r="C853">
        <v>8</v>
      </c>
      <c r="D853" t="s">
        <v>17</v>
      </c>
      <c r="E853" t="s">
        <v>5</v>
      </c>
      <c r="F853" s="2">
        <v>10349</v>
      </c>
      <c r="G853" s="2">
        <f>Monthly_Growth!$C$9</f>
        <v>738487</v>
      </c>
      <c r="H853" s="5">
        <f>Monthly_Growth!$D$9</f>
        <v>-0.24138465916153296</v>
      </c>
      <c r="I853" s="15">
        <f>Yearly_Growth!$C$2</f>
        <v>5.0333827436586778E-2</v>
      </c>
      <c r="J853" s="15">
        <f>Yearly_Growth!$D$2</f>
        <v>0.03</v>
      </c>
      <c r="K853">
        <f>Sales_Per_Representative!$C$10</f>
        <v>663333</v>
      </c>
      <c r="L853">
        <f>Sales_Per_Rep_Yearly_Goal!$B$2</f>
        <v>665544.80000000005</v>
      </c>
      <c r="M853">
        <f>Sales_Per_Rep_Yearly_Goal!$C$2</f>
        <v>650000</v>
      </c>
    </row>
    <row r="854" spans="1:13" x14ac:dyDescent="0.3">
      <c r="A854" s="3">
        <v>45152</v>
      </c>
      <c r="B854">
        <f t="shared" si="13"/>
        <v>2023</v>
      </c>
      <c r="C854">
        <v>8</v>
      </c>
      <c r="D854" t="s">
        <v>12</v>
      </c>
      <c r="E854" t="s">
        <v>33</v>
      </c>
      <c r="F854" s="2">
        <v>6900</v>
      </c>
      <c r="G854" s="2">
        <f>Monthly_Growth!$C$9</f>
        <v>738487</v>
      </c>
      <c r="H854" s="5">
        <f>Monthly_Growth!$D$9</f>
        <v>-0.24138465916153296</v>
      </c>
      <c r="I854" s="15">
        <f>Yearly_Growth!$C$2</f>
        <v>5.0333827436586778E-2</v>
      </c>
      <c r="J854" s="15">
        <f>Yearly_Growth!$D$2</f>
        <v>0.03</v>
      </c>
      <c r="K854">
        <f>Sales_Per_Representative!$C$11</f>
        <v>496886</v>
      </c>
      <c r="L854">
        <f>Sales_Per_Rep_Yearly_Goal!$B$2</f>
        <v>665544.80000000005</v>
      </c>
      <c r="M854">
        <f>Sales_Per_Rep_Yearly_Goal!$C$2</f>
        <v>650000</v>
      </c>
    </row>
    <row r="855" spans="1:13" x14ac:dyDescent="0.3">
      <c r="A855" s="3">
        <v>45153</v>
      </c>
      <c r="B855">
        <f t="shared" si="13"/>
        <v>2023</v>
      </c>
      <c r="C855">
        <v>8</v>
      </c>
      <c r="D855" t="s">
        <v>7</v>
      </c>
      <c r="E855" t="s">
        <v>8</v>
      </c>
      <c r="F855" s="2">
        <v>10863</v>
      </c>
      <c r="G855" s="2">
        <f>Monthly_Growth!$C$9</f>
        <v>738487</v>
      </c>
      <c r="H855" s="5">
        <f>Monthly_Growth!$D$9</f>
        <v>-0.24138465916153296</v>
      </c>
      <c r="I855" s="15">
        <f>Yearly_Growth!$C$2</f>
        <v>5.0333827436586778E-2</v>
      </c>
      <c r="J855" s="15">
        <f>Yearly_Growth!$D$2</f>
        <v>0.03</v>
      </c>
      <c r="K855">
        <f>Sales_Per_Representative!$C$15</f>
        <v>701242</v>
      </c>
      <c r="L855">
        <f>Sales_Per_Rep_Yearly_Goal!$B$2</f>
        <v>665544.80000000005</v>
      </c>
      <c r="M855">
        <f>Sales_Per_Rep_Yearly_Goal!$C$2</f>
        <v>650000</v>
      </c>
    </row>
    <row r="856" spans="1:13" x14ac:dyDescent="0.3">
      <c r="A856" s="3">
        <v>45154</v>
      </c>
      <c r="B856">
        <f t="shared" si="13"/>
        <v>2023</v>
      </c>
      <c r="C856">
        <v>8</v>
      </c>
      <c r="D856" t="s">
        <v>25</v>
      </c>
      <c r="E856" t="s">
        <v>24</v>
      </c>
      <c r="F856" s="2">
        <v>12421</v>
      </c>
      <c r="G856" s="2">
        <f>Monthly_Growth!$C$9</f>
        <v>738487</v>
      </c>
      <c r="H856" s="5">
        <f>Monthly_Growth!$D$9</f>
        <v>-0.24138465916153296</v>
      </c>
      <c r="I856" s="15">
        <f>Yearly_Growth!$C$2</f>
        <v>5.0333827436586778E-2</v>
      </c>
      <c r="J856" s="15">
        <f>Yearly_Growth!$D$2</f>
        <v>0.03</v>
      </c>
      <c r="K856">
        <f>Sales_Per_Representative!$C$2</f>
        <v>631195</v>
      </c>
      <c r="L856">
        <f>Sales_Per_Rep_Yearly_Goal!$B$2</f>
        <v>665544.80000000005</v>
      </c>
      <c r="M856">
        <f>Sales_Per_Rep_Yearly_Goal!$C$2</f>
        <v>650000</v>
      </c>
    </row>
    <row r="857" spans="1:13" x14ac:dyDescent="0.3">
      <c r="A857" s="3">
        <v>45154</v>
      </c>
      <c r="B857">
        <f t="shared" si="13"/>
        <v>2023</v>
      </c>
      <c r="C857">
        <v>8</v>
      </c>
      <c r="D857" t="s">
        <v>28</v>
      </c>
      <c r="E857" t="s">
        <v>20</v>
      </c>
      <c r="F857" s="2">
        <v>6227</v>
      </c>
      <c r="G857" s="2">
        <f>Monthly_Growth!$C$9</f>
        <v>738487</v>
      </c>
      <c r="H857" s="5">
        <f>Monthly_Growth!$D$9</f>
        <v>-0.24138465916153296</v>
      </c>
      <c r="I857" s="15">
        <f>Yearly_Growth!$C$2</f>
        <v>5.0333827436586778E-2</v>
      </c>
      <c r="J857" s="15">
        <f>Yearly_Growth!$D$2</f>
        <v>0.03</v>
      </c>
      <c r="K857">
        <f>Sales_Per_Representative!$C$14</f>
        <v>675530</v>
      </c>
      <c r="L857">
        <f>Sales_Per_Rep_Yearly_Goal!$B$2</f>
        <v>665544.80000000005</v>
      </c>
      <c r="M857">
        <f>Sales_Per_Rep_Yearly_Goal!$C$2</f>
        <v>650000</v>
      </c>
    </row>
    <row r="858" spans="1:13" x14ac:dyDescent="0.3">
      <c r="A858" s="3">
        <v>45154</v>
      </c>
      <c r="B858">
        <f t="shared" si="13"/>
        <v>2023</v>
      </c>
      <c r="C858">
        <v>8</v>
      </c>
      <c r="D858" t="s">
        <v>12</v>
      </c>
      <c r="E858" t="s">
        <v>22</v>
      </c>
      <c r="F858" s="2">
        <v>10994</v>
      </c>
      <c r="G858" s="2">
        <f>Monthly_Growth!$C$9</f>
        <v>738487</v>
      </c>
      <c r="H858" s="5">
        <f>Monthly_Growth!$D$9</f>
        <v>-0.24138465916153296</v>
      </c>
      <c r="I858" s="15">
        <f>Yearly_Growth!$C$2</f>
        <v>5.0333827436586778E-2</v>
      </c>
      <c r="J858" s="15">
        <f>Yearly_Growth!$D$2</f>
        <v>0.03</v>
      </c>
      <c r="K858">
        <f>Sales_Per_Representative!$C$8</f>
        <v>649456</v>
      </c>
      <c r="L858">
        <f>Sales_Per_Rep_Yearly_Goal!$B$2</f>
        <v>665544.80000000005</v>
      </c>
      <c r="M858">
        <f>Sales_Per_Rep_Yearly_Goal!$C$2</f>
        <v>650000</v>
      </c>
    </row>
    <row r="859" spans="1:13" x14ac:dyDescent="0.3">
      <c r="A859" s="3">
        <v>45155</v>
      </c>
      <c r="B859">
        <f t="shared" si="13"/>
        <v>2023</v>
      </c>
      <c r="C859">
        <v>8</v>
      </c>
      <c r="D859" t="s">
        <v>7</v>
      </c>
      <c r="E859" t="s">
        <v>10</v>
      </c>
      <c r="F859" s="2">
        <v>8311</v>
      </c>
      <c r="G859" s="2">
        <f>Monthly_Growth!$C$9</f>
        <v>738487</v>
      </c>
      <c r="H859" s="5">
        <f>Monthly_Growth!$D$9</f>
        <v>-0.24138465916153296</v>
      </c>
      <c r="I859" s="15">
        <f>Yearly_Growth!$C$2</f>
        <v>5.0333827436586778E-2</v>
      </c>
      <c r="J859" s="15">
        <f>Yearly_Growth!$D$2</f>
        <v>0.03</v>
      </c>
      <c r="K859">
        <f>Sales_Per_Representative!$C$4</f>
        <v>725713</v>
      </c>
      <c r="L859">
        <f>Sales_Per_Rep_Yearly_Goal!$B$2</f>
        <v>665544.80000000005</v>
      </c>
      <c r="M859">
        <f>Sales_Per_Rep_Yearly_Goal!$C$2</f>
        <v>650000</v>
      </c>
    </row>
    <row r="860" spans="1:13" x14ac:dyDescent="0.3">
      <c r="A860" s="3">
        <v>45155</v>
      </c>
      <c r="B860">
        <f t="shared" si="13"/>
        <v>2023</v>
      </c>
      <c r="C860">
        <v>8</v>
      </c>
      <c r="D860" t="s">
        <v>17</v>
      </c>
      <c r="E860" t="s">
        <v>20</v>
      </c>
      <c r="F860" s="2">
        <v>3041</v>
      </c>
      <c r="G860" s="2">
        <f>Monthly_Growth!$C$9</f>
        <v>738487</v>
      </c>
      <c r="H860" s="5">
        <f>Monthly_Growth!$D$9</f>
        <v>-0.24138465916153296</v>
      </c>
      <c r="I860" s="15">
        <f>Yearly_Growth!$C$2</f>
        <v>5.0333827436586778E-2</v>
      </c>
      <c r="J860" s="15">
        <f>Yearly_Growth!$D$2</f>
        <v>0.03</v>
      </c>
      <c r="K860">
        <f>Sales_Per_Representative!$C$14</f>
        <v>675530</v>
      </c>
      <c r="L860">
        <f>Sales_Per_Rep_Yearly_Goal!$B$2</f>
        <v>665544.80000000005</v>
      </c>
      <c r="M860">
        <f>Sales_Per_Rep_Yearly_Goal!$C$2</f>
        <v>650000</v>
      </c>
    </row>
    <row r="861" spans="1:13" x14ac:dyDescent="0.3">
      <c r="A861" s="3">
        <v>45155</v>
      </c>
      <c r="B861">
        <f t="shared" si="13"/>
        <v>2023</v>
      </c>
      <c r="C861">
        <v>8</v>
      </c>
      <c r="D861" t="s">
        <v>12</v>
      </c>
      <c r="E861" t="s">
        <v>15</v>
      </c>
      <c r="F861" s="2">
        <v>3273</v>
      </c>
      <c r="G861" s="2">
        <f>Monthly_Growth!$C$9</f>
        <v>738487</v>
      </c>
      <c r="H861" s="5">
        <f>Monthly_Growth!$D$9</f>
        <v>-0.24138465916153296</v>
      </c>
      <c r="I861" s="15">
        <f>Yearly_Growth!$C$2</f>
        <v>5.0333827436586778E-2</v>
      </c>
      <c r="J861" s="15">
        <f>Yearly_Growth!$D$2</f>
        <v>0.03</v>
      </c>
      <c r="K861">
        <f>Sales_Per_Representative!$C$12</f>
        <v>656359</v>
      </c>
      <c r="L861">
        <f>Sales_Per_Rep_Yearly_Goal!$B$2</f>
        <v>665544.80000000005</v>
      </c>
      <c r="M861">
        <f>Sales_Per_Rep_Yearly_Goal!$C$2</f>
        <v>650000</v>
      </c>
    </row>
    <row r="862" spans="1:13" x14ac:dyDescent="0.3">
      <c r="A862" s="3">
        <v>45156</v>
      </c>
      <c r="B862">
        <f t="shared" si="13"/>
        <v>2023</v>
      </c>
      <c r="C862">
        <v>8</v>
      </c>
      <c r="D862" t="s">
        <v>19</v>
      </c>
      <c r="E862" t="s">
        <v>31</v>
      </c>
      <c r="F862" s="2">
        <v>7155</v>
      </c>
      <c r="G862" s="2">
        <f>Monthly_Growth!$C$9</f>
        <v>738487</v>
      </c>
      <c r="H862" s="5">
        <f>Monthly_Growth!$D$9</f>
        <v>-0.24138465916153296</v>
      </c>
      <c r="I862" s="15">
        <f>Yearly_Growth!$C$2</f>
        <v>5.0333827436586778E-2</v>
      </c>
      <c r="J862" s="15">
        <f>Yearly_Growth!$D$2</f>
        <v>0.03</v>
      </c>
      <c r="K862">
        <f>Sales_Per_Representative!$C$6</f>
        <v>727823</v>
      </c>
      <c r="L862">
        <f>Sales_Per_Rep_Yearly_Goal!$B$2</f>
        <v>665544.80000000005</v>
      </c>
      <c r="M862">
        <f>Sales_Per_Rep_Yearly_Goal!$C$2</f>
        <v>650000</v>
      </c>
    </row>
    <row r="863" spans="1:13" x14ac:dyDescent="0.3">
      <c r="A863" s="3">
        <v>45156</v>
      </c>
      <c r="B863">
        <f t="shared" si="13"/>
        <v>2023</v>
      </c>
      <c r="C863">
        <v>8</v>
      </c>
      <c r="D863" t="s">
        <v>23</v>
      </c>
      <c r="E863" t="s">
        <v>8</v>
      </c>
      <c r="F863" s="2">
        <v>7403</v>
      </c>
      <c r="G863" s="2">
        <f>Monthly_Growth!$C$9</f>
        <v>738487</v>
      </c>
      <c r="H863" s="5">
        <f>Monthly_Growth!$D$9</f>
        <v>-0.24138465916153296</v>
      </c>
      <c r="I863" s="15">
        <f>Yearly_Growth!$C$2</f>
        <v>5.0333827436586778E-2</v>
      </c>
      <c r="J863" s="15">
        <f>Yearly_Growth!$D$2</f>
        <v>0.03</v>
      </c>
      <c r="K863">
        <f>Sales_Per_Representative!$C$15</f>
        <v>701242</v>
      </c>
      <c r="L863">
        <f>Sales_Per_Rep_Yearly_Goal!$B$2</f>
        <v>665544.80000000005</v>
      </c>
      <c r="M863">
        <f>Sales_Per_Rep_Yearly_Goal!$C$2</f>
        <v>650000</v>
      </c>
    </row>
    <row r="864" spans="1:13" x14ac:dyDescent="0.3">
      <c r="A864" s="3">
        <v>45156</v>
      </c>
      <c r="B864">
        <f t="shared" si="13"/>
        <v>2023</v>
      </c>
      <c r="C864">
        <v>8</v>
      </c>
      <c r="D864" t="s">
        <v>23</v>
      </c>
      <c r="E864" t="s">
        <v>30</v>
      </c>
      <c r="F864" s="2">
        <v>2974</v>
      </c>
      <c r="G864" s="2">
        <f>Monthly_Growth!$C$9</f>
        <v>738487</v>
      </c>
      <c r="H864" s="5">
        <f>Monthly_Growth!$D$9</f>
        <v>-0.24138465916153296</v>
      </c>
      <c r="I864" s="15">
        <f>Yearly_Growth!$C$2</f>
        <v>5.0333827436586778E-2</v>
      </c>
      <c r="J864" s="15">
        <f>Yearly_Growth!$D$2</f>
        <v>0.03</v>
      </c>
      <c r="K864">
        <f>Sales_Per_Representative!$C$7</f>
        <v>706974</v>
      </c>
      <c r="L864">
        <f>Sales_Per_Rep_Yearly_Goal!$B$2</f>
        <v>665544.80000000005</v>
      </c>
      <c r="M864">
        <f>Sales_Per_Rep_Yearly_Goal!$C$2</f>
        <v>650000</v>
      </c>
    </row>
    <row r="865" spans="1:13" x14ac:dyDescent="0.3">
      <c r="A865" s="3">
        <v>45157</v>
      </c>
      <c r="B865">
        <f t="shared" si="13"/>
        <v>2023</v>
      </c>
      <c r="C865">
        <v>8</v>
      </c>
      <c r="D865" t="s">
        <v>14</v>
      </c>
      <c r="E865" t="s">
        <v>15</v>
      </c>
      <c r="F865" s="2">
        <v>9827</v>
      </c>
      <c r="G865" s="2">
        <f>Monthly_Growth!$C$9</f>
        <v>738487</v>
      </c>
      <c r="H865" s="5">
        <f>Monthly_Growth!$D$9</f>
        <v>-0.24138465916153296</v>
      </c>
      <c r="I865" s="15">
        <f>Yearly_Growth!$C$2</f>
        <v>5.0333827436586778E-2</v>
      </c>
      <c r="J865" s="15">
        <f>Yearly_Growth!$D$2</f>
        <v>0.03</v>
      </c>
      <c r="K865">
        <f>Sales_Per_Representative!$C$12</f>
        <v>656359</v>
      </c>
      <c r="L865">
        <f>Sales_Per_Rep_Yearly_Goal!$B$2</f>
        <v>665544.80000000005</v>
      </c>
      <c r="M865">
        <f>Sales_Per_Rep_Yearly_Goal!$C$2</f>
        <v>650000</v>
      </c>
    </row>
    <row r="866" spans="1:13" x14ac:dyDescent="0.3">
      <c r="A866" s="3">
        <v>45157</v>
      </c>
      <c r="B866">
        <f t="shared" si="13"/>
        <v>2023</v>
      </c>
      <c r="C866">
        <v>8</v>
      </c>
      <c r="D866" t="s">
        <v>23</v>
      </c>
      <c r="E866" t="s">
        <v>22</v>
      </c>
      <c r="F866" s="2">
        <v>13052</v>
      </c>
      <c r="G866" s="2">
        <f>Monthly_Growth!$C$9</f>
        <v>738487</v>
      </c>
      <c r="H866" s="5">
        <f>Monthly_Growth!$D$9</f>
        <v>-0.24138465916153296</v>
      </c>
      <c r="I866" s="15">
        <f>Yearly_Growth!$C$2</f>
        <v>5.0333827436586778E-2</v>
      </c>
      <c r="J866" s="15">
        <f>Yearly_Growth!$D$2</f>
        <v>0.03</v>
      </c>
      <c r="K866">
        <f>Sales_Per_Representative!$C$8</f>
        <v>649456</v>
      </c>
      <c r="L866">
        <f>Sales_Per_Rep_Yearly_Goal!$B$2</f>
        <v>665544.80000000005</v>
      </c>
      <c r="M866">
        <f>Sales_Per_Rep_Yearly_Goal!$C$2</f>
        <v>650000</v>
      </c>
    </row>
    <row r="867" spans="1:13" x14ac:dyDescent="0.3">
      <c r="A867" s="3">
        <v>45157</v>
      </c>
      <c r="B867">
        <f t="shared" si="13"/>
        <v>2023</v>
      </c>
      <c r="C867">
        <v>8</v>
      </c>
      <c r="D867" t="s">
        <v>7</v>
      </c>
      <c r="E867" t="s">
        <v>32</v>
      </c>
      <c r="F867" s="2">
        <v>3485</v>
      </c>
      <c r="G867" s="2">
        <f>Monthly_Growth!$C$9</f>
        <v>738487</v>
      </c>
      <c r="H867" s="5">
        <f>Monthly_Growth!$D$9</f>
        <v>-0.24138465916153296</v>
      </c>
      <c r="I867" s="15">
        <f>Yearly_Growth!$C$2</f>
        <v>5.0333827436586778E-2</v>
      </c>
      <c r="J867" s="15">
        <f>Yearly_Growth!$D$2</f>
        <v>0.03</v>
      </c>
      <c r="K867">
        <f>Sales_Per_Representative!$C$3</f>
        <v>762157</v>
      </c>
      <c r="L867">
        <f>Sales_Per_Rep_Yearly_Goal!$B$2</f>
        <v>665544.80000000005</v>
      </c>
      <c r="M867">
        <f>Sales_Per_Rep_Yearly_Goal!$C$2</f>
        <v>650000</v>
      </c>
    </row>
    <row r="868" spans="1:13" x14ac:dyDescent="0.3">
      <c r="A868" s="3">
        <v>45157</v>
      </c>
      <c r="B868">
        <f t="shared" si="13"/>
        <v>2023</v>
      </c>
      <c r="C868">
        <v>8</v>
      </c>
      <c r="D868" t="s">
        <v>17</v>
      </c>
      <c r="E868" t="s">
        <v>29</v>
      </c>
      <c r="F868" s="2">
        <v>11364</v>
      </c>
      <c r="G868" s="2">
        <f>Monthly_Growth!$C$9</f>
        <v>738487</v>
      </c>
      <c r="H868" s="5">
        <f>Monthly_Growth!$D$9</f>
        <v>-0.24138465916153296</v>
      </c>
      <c r="I868" s="15">
        <f>Yearly_Growth!$C$2</f>
        <v>5.0333827436586778E-2</v>
      </c>
      <c r="J868" s="15">
        <f>Yearly_Growth!$D$2</f>
        <v>0.03</v>
      </c>
      <c r="K868">
        <f>Sales_Per_Representative!$C$13</f>
        <v>621548</v>
      </c>
      <c r="L868">
        <f>Sales_Per_Rep_Yearly_Goal!$B$2</f>
        <v>665544.80000000005</v>
      </c>
      <c r="M868">
        <f>Sales_Per_Rep_Yearly_Goal!$C$2</f>
        <v>650000</v>
      </c>
    </row>
    <row r="869" spans="1:13" x14ac:dyDescent="0.3">
      <c r="A869" s="3">
        <v>45157</v>
      </c>
      <c r="B869">
        <f t="shared" si="13"/>
        <v>2023</v>
      </c>
      <c r="C869">
        <v>8</v>
      </c>
      <c r="D869" t="s">
        <v>12</v>
      </c>
      <c r="E869" t="s">
        <v>18</v>
      </c>
      <c r="F869" s="2">
        <v>1523</v>
      </c>
      <c r="G869" s="2">
        <f>Monthly_Growth!$C$9</f>
        <v>738487</v>
      </c>
      <c r="H869" s="5">
        <f>Monthly_Growth!$D$9</f>
        <v>-0.24138465916153296</v>
      </c>
      <c r="I869" s="15">
        <f>Yearly_Growth!$C$2</f>
        <v>5.0333827436586778E-2</v>
      </c>
      <c r="J869" s="15">
        <f>Yearly_Growth!$D$2</f>
        <v>0.03</v>
      </c>
      <c r="K869">
        <f>Sales_Per_Representative!$C$9</f>
        <v>550835</v>
      </c>
      <c r="L869">
        <f>Sales_Per_Rep_Yearly_Goal!$B$2</f>
        <v>665544.80000000005</v>
      </c>
      <c r="M869">
        <f>Sales_Per_Rep_Yearly_Goal!$C$2</f>
        <v>650000</v>
      </c>
    </row>
    <row r="870" spans="1:13" x14ac:dyDescent="0.3">
      <c r="A870" s="3">
        <v>45158</v>
      </c>
      <c r="B870">
        <f t="shared" si="13"/>
        <v>2023</v>
      </c>
      <c r="C870">
        <v>8</v>
      </c>
      <c r="D870" t="s">
        <v>19</v>
      </c>
      <c r="E870" t="s">
        <v>22</v>
      </c>
      <c r="F870" s="2">
        <v>11274</v>
      </c>
      <c r="G870" s="2">
        <f>Monthly_Growth!$C$9</f>
        <v>738487</v>
      </c>
      <c r="H870" s="5">
        <f>Monthly_Growth!$D$9</f>
        <v>-0.24138465916153296</v>
      </c>
      <c r="I870" s="15">
        <f>Yearly_Growth!$C$2</f>
        <v>5.0333827436586778E-2</v>
      </c>
      <c r="J870" s="15">
        <f>Yearly_Growth!$D$2</f>
        <v>0.03</v>
      </c>
      <c r="K870">
        <f>Sales_Per_Representative!$C$8</f>
        <v>649456</v>
      </c>
      <c r="L870">
        <f>Sales_Per_Rep_Yearly_Goal!$B$2</f>
        <v>665544.80000000005</v>
      </c>
      <c r="M870">
        <f>Sales_Per_Rep_Yearly_Goal!$C$2</f>
        <v>650000</v>
      </c>
    </row>
    <row r="871" spans="1:13" x14ac:dyDescent="0.3">
      <c r="A871" s="3">
        <v>45158</v>
      </c>
      <c r="B871">
        <f t="shared" si="13"/>
        <v>2023</v>
      </c>
      <c r="C871">
        <v>8</v>
      </c>
      <c r="D871" t="s">
        <v>25</v>
      </c>
      <c r="E871" t="s">
        <v>31</v>
      </c>
      <c r="F871" s="2">
        <v>6117</v>
      </c>
      <c r="G871" s="2">
        <f>Monthly_Growth!$C$9</f>
        <v>738487</v>
      </c>
      <c r="H871" s="5">
        <f>Monthly_Growth!$D$9</f>
        <v>-0.24138465916153296</v>
      </c>
      <c r="I871" s="15">
        <f>Yearly_Growth!$C$2</f>
        <v>5.0333827436586778E-2</v>
      </c>
      <c r="J871" s="15">
        <f>Yearly_Growth!$D$2</f>
        <v>0.03</v>
      </c>
      <c r="K871">
        <f>Sales_Per_Representative!$C$6</f>
        <v>727823</v>
      </c>
      <c r="L871">
        <f>Sales_Per_Rep_Yearly_Goal!$B$2</f>
        <v>665544.80000000005</v>
      </c>
      <c r="M871">
        <f>Sales_Per_Rep_Yearly_Goal!$C$2</f>
        <v>650000</v>
      </c>
    </row>
    <row r="872" spans="1:13" x14ac:dyDescent="0.3">
      <c r="A872" s="3">
        <v>45158</v>
      </c>
      <c r="B872">
        <f t="shared" si="13"/>
        <v>2023</v>
      </c>
      <c r="C872">
        <v>8</v>
      </c>
      <c r="D872" t="s">
        <v>25</v>
      </c>
      <c r="E872" t="s">
        <v>18</v>
      </c>
      <c r="F872" s="2">
        <v>2823</v>
      </c>
      <c r="G872" s="2">
        <f>Monthly_Growth!$C$9</f>
        <v>738487</v>
      </c>
      <c r="H872" s="5">
        <f>Monthly_Growth!$D$9</f>
        <v>-0.24138465916153296</v>
      </c>
      <c r="I872" s="15">
        <f>Yearly_Growth!$C$2</f>
        <v>5.0333827436586778E-2</v>
      </c>
      <c r="J872" s="15">
        <f>Yearly_Growth!$D$2</f>
        <v>0.03</v>
      </c>
      <c r="K872">
        <f>Sales_Per_Representative!$C$9</f>
        <v>550835</v>
      </c>
      <c r="L872">
        <f>Sales_Per_Rep_Yearly_Goal!$B$2</f>
        <v>665544.80000000005</v>
      </c>
      <c r="M872">
        <f>Sales_Per_Rep_Yearly_Goal!$C$2</f>
        <v>650000</v>
      </c>
    </row>
    <row r="873" spans="1:13" x14ac:dyDescent="0.3">
      <c r="A873" s="3">
        <v>45159</v>
      </c>
      <c r="B873">
        <f t="shared" si="13"/>
        <v>2023</v>
      </c>
      <c r="C873">
        <v>8</v>
      </c>
      <c r="D873" t="s">
        <v>25</v>
      </c>
      <c r="E873" t="s">
        <v>33</v>
      </c>
      <c r="F873" s="2">
        <v>9363</v>
      </c>
      <c r="G873" s="2">
        <f>Monthly_Growth!$C$9</f>
        <v>738487</v>
      </c>
      <c r="H873" s="5">
        <f>Monthly_Growth!$D$9</f>
        <v>-0.24138465916153296</v>
      </c>
      <c r="I873" s="15">
        <f>Yearly_Growth!$C$2</f>
        <v>5.0333827436586778E-2</v>
      </c>
      <c r="J873" s="15">
        <f>Yearly_Growth!$D$2</f>
        <v>0.03</v>
      </c>
      <c r="K873">
        <f>Sales_Per_Representative!$C$11</f>
        <v>496886</v>
      </c>
      <c r="L873">
        <f>Sales_Per_Rep_Yearly_Goal!$B$2</f>
        <v>665544.80000000005</v>
      </c>
      <c r="M873">
        <f>Sales_Per_Rep_Yearly_Goal!$C$2</f>
        <v>650000</v>
      </c>
    </row>
    <row r="874" spans="1:13" x14ac:dyDescent="0.3">
      <c r="A874" s="3">
        <v>45159</v>
      </c>
      <c r="B874">
        <f t="shared" si="13"/>
        <v>2023</v>
      </c>
      <c r="C874">
        <v>8</v>
      </c>
      <c r="D874" t="s">
        <v>7</v>
      </c>
      <c r="E874" t="s">
        <v>27</v>
      </c>
      <c r="F874" s="2">
        <v>6838</v>
      </c>
      <c r="G874" s="2">
        <f>Monthly_Growth!$C$9</f>
        <v>738487</v>
      </c>
      <c r="H874" s="5">
        <f>Monthly_Growth!$D$9</f>
        <v>-0.24138465916153296</v>
      </c>
      <c r="I874" s="15">
        <f>Yearly_Growth!$C$2</f>
        <v>5.0333827436586778E-2</v>
      </c>
      <c r="J874" s="15">
        <f>Yearly_Growth!$D$2</f>
        <v>0.03</v>
      </c>
      <c r="K874">
        <f>Sales_Per_Representative!$C$5</f>
        <v>747962</v>
      </c>
      <c r="L874">
        <f>Sales_Per_Rep_Yearly_Goal!$B$2</f>
        <v>665544.80000000005</v>
      </c>
      <c r="M874">
        <f>Sales_Per_Rep_Yearly_Goal!$C$2</f>
        <v>650000</v>
      </c>
    </row>
    <row r="875" spans="1:13" x14ac:dyDescent="0.3">
      <c r="A875" s="3">
        <v>45159</v>
      </c>
      <c r="B875">
        <f t="shared" si="13"/>
        <v>2023</v>
      </c>
      <c r="C875">
        <v>8</v>
      </c>
      <c r="D875" t="s">
        <v>17</v>
      </c>
      <c r="E875" t="s">
        <v>8</v>
      </c>
      <c r="F875" s="2">
        <v>11031</v>
      </c>
      <c r="G875" s="2">
        <f>Monthly_Growth!$C$9</f>
        <v>738487</v>
      </c>
      <c r="H875" s="5">
        <f>Monthly_Growth!$D$9</f>
        <v>-0.24138465916153296</v>
      </c>
      <c r="I875" s="15">
        <f>Yearly_Growth!$C$2</f>
        <v>5.0333827436586778E-2</v>
      </c>
      <c r="J875" s="15">
        <f>Yearly_Growth!$D$2</f>
        <v>0.03</v>
      </c>
      <c r="K875">
        <f>Sales_Per_Representative!$C$15</f>
        <v>701242</v>
      </c>
      <c r="L875">
        <f>Sales_Per_Rep_Yearly_Goal!$B$2</f>
        <v>665544.80000000005</v>
      </c>
      <c r="M875">
        <f>Sales_Per_Rep_Yearly_Goal!$C$2</f>
        <v>650000</v>
      </c>
    </row>
    <row r="876" spans="1:13" x14ac:dyDescent="0.3">
      <c r="A876" s="3">
        <v>45160</v>
      </c>
      <c r="B876">
        <f t="shared" si="13"/>
        <v>2023</v>
      </c>
      <c r="C876">
        <v>8</v>
      </c>
      <c r="D876" t="s">
        <v>23</v>
      </c>
      <c r="E876" t="s">
        <v>22</v>
      </c>
      <c r="F876" s="2">
        <v>12514</v>
      </c>
      <c r="G876" s="2">
        <f>Monthly_Growth!$C$9</f>
        <v>738487</v>
      </c>
      <c r="H876" s="5">
        <f>Monthly_Growth!$D$9</f>
        <v>-0.24138465916153296</v>
      </c>
      <c r="I876" s="15">
        <f>Yearly_Growth!$C$2</f>
        <v>5.0333827436586778E-2</v>
      </c>
      <c r="J876" s="15">
        <f>Yearly_Growth!$D$2</f>
        <v>0.03</v>
      </c>
      <c r="K876">
        <f>Sales_Per_Representative!$C$8</f>
        <v>649456</v>
      </c>
      <c r="L876">
        <f>Sales_Per_Rep_Yearly_Goal!$B$2</f>
        <v>665544.80000000005</v>
      </c>
      <c r="M876">
        <f>Sales_Per_Rep_Yearly_Goal!$C$2</f>
        <v>650000</v>
      </c>
    </row>
    <row r="877" spans="1:13" x14ac:dyDescent="0.3">
      <c r="A877" s="3">
        <v>45160</v>
      </c>
      <c r="B877">
        <f t="shared" si="13"/>
        <v>2023</v>
      </c>
      <c r="C877">
        <v>8</v>
      </c>
      <c r="D877" t="s">
        <v>25</v>
      </c>
      <c r="E877" t="s">
        <v>24</v>
      </c>
      <c r="F877" s="2">
        <v>7132</v>
      </c>
      <c r="G877" s="2">
        <f>Monthly_Growth!$C$9</f>
        <v>738487</v>
      </c>
      <c r="H877" s="5">
        <f>Monthly_Growth!$D$9</f>
        <v>-0.24138465916153296</v>
      </c>
      <c r="I877" s="15">
        <f>Yearly_Growth!$C$2</f>
        <v>5.0333827436586778E-2</v>
      </c>
      <c r="J877" s="15">
        <f>Yearly_Growth!$D$2</f>
        <v>0.03</v>
      </c>
      <c r="K877">
        <f>Sales_Per_Representative!$C$2</f>
        <v>631195</v>
      </c>
      <c r="L877">
        <f>Sales_Per_Rep_Yearly_Goal!$B$2</f>
        <v>665544.80000000005</v>
      </c>
      <c r="M877">
        <f>Sales_Per_Rep_Yearly_Goal!$C$2</f>
        <v>650000</v>
      </c>
    </row>
    <row r="878" spans="1:13" x14ac:dyDescent="0.3">
      <c r="A878" s="3">
        <v>45160</v>
      </c>
      <c r="B878">
        <f t="shared" si="13"/>
        <v>2023</v>
      </c>
      <c r="C878">
        <v>8</v>
      </c>
      <c r="D878" t="s">
        <v>28</v>
      </c>
      <c r="E878" t="s">
        <v>29</v>
      </c>
      <c r="F878" s="2">
        <v>4766</v>
      </c>
      <c r="G878" s="2">
        <f>Monthly_Growth!$C$9</f>
        <v>738487</v>
      </c>
      <c r="H878" s="5">
        <f>Monthly_Growth!$D$9</f>
        <v>-0.24138465916153296</v>
      </c>
      <c r="I878" s="15">
        <f>Yearly_Growth!$C$2</f>
        <v>5.0333827436586778E-2</v>
      </c>
      <c r="J878" s="15">
        <f>Yearly_Growth!$D$2</f>
        <v>0.03</v>
      </c>
      <c r="K878">
        <f>Sales_Per_Representative!$C$13</f>
        <v>621548</v>
      </c>
      <c r="L878">
        <f>Sales_Per_Rep_Yearly_Goal!$B$2</f>
        <v>665544.80000000005</v>
      </c>
      <c r="M878">
        <f>Sales_Per_Rep_Yearly_Goal!$C$2</f>
        <v>650000</v>
      </c>
    </row>
    <row r="879" spans="1:13" x14ac:dyDescent="0.3">
      <c r="A879" s="3">
        <v>45161</v>
      </c>
      <c r="B879">
        <f t="shared" si="13"/>
        <v>2023</v>
      </c>
      <c r="C879">
        <v>8</v>
      </c>
      <c r="D879" t="s">
        <v>7</v>
      </c>
      <c r="E879" t="s">
        <v>33</v>
      </c>
      <c r="F879" s="2">
        <v>11844</v>
      </c>
      <c r="G879" s="2">
        <f>Monthly_Growth!$C$9</f>
        <v>738487</v>
      </c>
      <c r="H879" s="5">
        <f>Monthly_Growth!$D$9</f>
        <v>-0.24138465916153296</v>
      </c>
      <c r="I879" s="15">
        <f>Yearly_Growth!$C$2</f>
        <v>5.0333827436586778E-2</v>
      </c>
      <c r="J879" s="15">
        <f>Yearly_Growth!$D$2</f>
        <v>0.03</v>
      </c>
      <c r="K879">
        <f>Sales_Per_Representative!$C$11</f>
        <v>496886</v>
      </c>
      <c r="L879">
        <f>Sales_Per_Rep_Yearly_Goal!$B$2</f>
        <v>665544.80000000005</v>
      </c>
      <c r="M879">
        <f>Sales_Per_Rep_Yearly_Goal!$C$2</f>
        <v>650000</v>
      </c>
    </row>
    <row r="880" spans="1:13" x14ac:dyDescent="0.3">
      <c r="A880" s="3">
        <v>45161</v>
      </c>
      <c r="B880">
        <f t="shared" si="13"/>
        <v>2023</v>
      </c>
      <c r="C880">
        <v>8</v>
      </c>
      <c r="D880" t="s">
        <v>12</v>
      </c>
      <c r="E880" t="s">
        <v>8</v>
      </c>
      <c r="F880" s="2">
        <v>9443</v>
      </c>
      <c r="G880" s="2">
        <f>Monthly_Growth!$C$9</f>
        <v>738487</v>
      </c>
      <c r="H880" s="5">
        <f>Monthly_Growth!$D$9</f>
        <v>-0.24138465916153296</v>
      </c>
      <c r="I880" s="15">
        <f>Yearly_Growth!$C$2</f>
        <v>5.0333827436586778E-2</v>
      </c>
      <c r="J880" s="15">
        <f>Yearly_Growth!$D$2</f>
        <v>0.03</v>
      </c>
      <c r="K880">
        <f>Sales_Per_Representative!$C$15</f>
        <v>701242</v>
      </c>
      <c r="L880">
        <f>Sales_Per_Rep_Yearly_Goal!$B$2</f>
        <v>665544.80000000005</v>
      </c>
      <c r="M880">
        <f>Sales_Per_Rep_Yearly_Goal!$C$2</f>
        <v>650000</v>
      </c>
    </row>
    <row r="881" spans="1:13" x14ac:dyDescent="0.3">
      <c r="A881" s="3">
        <v>45162</v>
      </c>
      <c r="B881">
        <f t="shared" si="13"/>
        <v>2023</v>
      </c>
      <c r="C881">
        <v>8</v>
      </c>
      <c r="D881" t="s">
        <v>14</v>
      </c>
      <c r="E881" t="s">
        <v>32</v>
      </c>
      <c r="F881" s="2">
        <v>12791</v>
      </c>
      <c r="G881" s="2">
        <f>Monthly_Growth!$C$9</f>
        <v>738487</v>
      </c>
      <c r="H881" s="5">
        <f>Monthly_Growth!$D$9</f>
        <v>-0.24138465916153296</v>
      </c>
      <c r="I881" s="15">
        <f>Yearly_Growth!$C$2</f>
        <v>5.0333827436586778E-2</v>
      </c>
      <c r="J881" s="15">
        <f>Yearly_Growth!$D$2</f>
        <v>0.03</v>
      </c>
      <c r="K881">
        <f>Sales_Per_Representative!$C$3</f>
        <v>762157</v>
      </c>
      <c r="L881">
        <f>Sales_Per_Rep_Yearly_Goal!$B$2</f>
        <v>665544.80000000005</v>
      </c>
      <c r="M881">
        <f>Sales_Per_Rep_Yearly_Goal!$C$2</f>
        <v>650000</v>
      </c>
    </row>
    <row r="882" spans="1:13" x14ac:dyDescent="0.3">
      <c r="A882" s="3">
        <v>45162</v>
      </c>
      <c r="B882">
        <f t="shared" si="13"/>
        <v>2023</v>
      </c>
      <c r="C882">
        <v>8</v>
      </c>
      <c r="D882" t="s">
        <v>25</v>
      </c>
      <c r="E882" t="s">
        <v>8</v>
      </c>
      <c r="F882" s="2">
        <v>13779</v>
      </c>
      <c r="G882" s="2">
        <f>Monthly_Growth!$C$9</f>
        <v>738487</v>
      </c>
      <c r="H882" s="5">
        <f>Monthly_Growth!$D$9</f>
        <v>-0.24138465916153296</v>
      </c>
      <c r="I882" s="15">
        <f>Yearly_Growth!$C$2</f>
        <v>5.0333827436586778E-2</v>
      </c>
      <c r="J882" s="15">
        <f>Yearly_Growth!$D$2</f>
        <v>0.03</v>
      </c>
      <c r="K882">
        <f>Sales_Per_Representative!$C$15</f>
        <v>701242</v>
      </c>
      <c r="L882">
        <f>Sales_Per_Rep_Yearly_Goal!$B$2</f>
        <v>665544.80000000005</v>
      </c>
      <c r="M882">
        <f>Sales_Per_Rep_Yearly_Goal!$C$2</f>
        <v>650000</v>
      </c>
    </row>
    <row r="883" spans="1:13" x14ac:dyDescent="0.3">
      <c r="A883" s="3">
        <v>45163</v>
      </c>
      <c r="B883">
        <f t="shared" si="13"/>
        <v>2023</v>
      </c>
      <c r="C883">
        <v>8</v>
      </c>
      <c r="D883" t="s">
        <v>14</v>
      </c>
      <c r="E883" t="s">
        <v>18</v>
      </c>
      <c r="F883" s="2">
        <v>9320</v>
      </c>
      <c r="G883" s="2">
        <f>Monthly_Growth!$C$9</f>
        <v>738487</v>
      </c>
      <c r="H883" s="5">
        <f>Monthly_Growth!$D$9</f>
        <v>-0.24138465916153296</v>
      </c>
      <c r="I883" s="15">
        <f>Yearly_Growth!$C$2</f>
        <v>5.0333827436586778E-2</v>
      </c>
      <c r="J883" s="15">
        <f>Yearly_Growth!$D$2</f>
        <v>0.03</v>
      </c>
      <c r="K883">
        <f>Sales_Per_Representative!$C$9</f>
        <v>550835</v>
      </c>
      <c r="L883">
        <f>Sales_Per_Rep_Yearly_Goal!$B$2</f>
        <v>665544.80000000005</v>
      </c>
      <c r="M883">
        <f>Sales_Per_Rep_Yearly_Goal!$C$2</f>
        <v>650000</v>
      </c>
    </row>
    <row r="884" spans="1:13" x14ac:dyDescent="0.3">
      <c r="A884" s="3">
        <v>45163</v>
      </c>
      <c r="B884">
        <f t="shared" si="13"/>
        <v>2023</v>
      </c>
      <c r="C884">
        <v>8</v>
      </c>
      <c r="D884" t="s">
        <v>19</v>
      </c>
      <c r="E884" t="s">
        <v>27</v>
      </c>
      <c r="F884" s="2">
        <v>8702</v>
      </c>
      <c r="G884" s="2">
        <f>Monthly_Growth!$C$9</f>
        <v>738487</v>
      </c>
      <c r="H884" s="5">
        <f>Monthly_Growth!$D$9</f>
        <v>-0.24138465916153296</v>
      </c>
      <c r="I884" s="15">
        <f>Yearly_Growth!$C$2</f>
        <v>5.0333827436586778E-2</v>
      </c>
      <c r="J884" s="15">
        <f>Yearly_Growth!$D$2</f>
        <v>0.03</v>
      </c>
      <c r="K884">
        <f>Sales_Per_Representative!$C$5</f>
        <v>747962</v>
      </c>
      <c r="L884">
        <f>Sales_Per_Rep_Yearly_Goal!$B$2</f>
        <v>665544.80000000005</v>
      </c>
      <c r="M884">
        <f>Sales_Per_Rep_Yearly_Goal!$C$2</f>
        <v>650000</v>
      </c>
    </row>
    <row r="885" spans="1:13" x14ac:dyDescent="0.3">
      <c r="A885" s="3">
        <v>45163</v>
      </c>
      <c r="B885">
        <f t="shared" si="13"/>
        <v>2023</v>
      </c>
      <c r="C885">
        <v>8</v>
      </c>
      <c r="D885" t="s">
        <v>23</v>
      </c>
      <c r="E885" t="s">
        <v>5</v>
      </c>
      <c r="F885" s="2">
        <v>13489</v>
      </c>
      <c r="G885" s="2">
        <f>Monthly_Growth!$C$9</f>
        <v>738487</v>
      </c>
      <c r="H885" s="5">
        <f>Monthly_Growth!$D$9</f>
        <v>-0.24138465916153296</v>
      </c>
      <c r="I885" s="15">
        <f>Yearly_Growth!$C$2</f>
        <v>5.0333827436586778E-2</v>
      </c>
      <c r="J885" s="15">
        <f>Yearly_Growth!$D$2</f>
        <v>0.03</v>
      </c>
      <c r="K885">
        <f>Sales_Per_Representative!$C$10</f>
        <v>663333</v>
      </c>
      <c r="L885">
        <f>Sales_Per_Rep_Yearly_Goal!$B$2</f>
        <v>665544.80000000005</v>
      </c>
      <c r="M885">
        <f>Sales_Per_Rep_Yearly_Goal!$C$2</f>
        <v>650000</v>
      </c>
    </row>
    <row r="886" spans="1:13" x14ac:dyDescent="0.3">
      <c r="A886" s="3">
        <v>45163</v>
      </c>
      <c r="B886">
        <f t="shared" si="13"/>
        <v>2023</v>
      </c>
      <c r="C886">
        <v>8</v>
      </c>
      <c r="D886" t="s">
        <v>28</v>
      </c>
      <c r="E886" t="s">
        <v>10</v>
      </c>
      <c r="F886" s="2">
        <v>1789</v>
      </c>
      <c r="G886" s="2">
        <f>Monthly_Growth!$C$9</f>
        <v>738487</v>
      </c>
      <c r="H886" s="5">
        <f>Monthly_Growth!$D$9</f>
        <v>-0.24138465916153296</v>
      </c>
      <c r="I886" s="15">
        <f>Yearly_Growth!$C$2</f>
        <v>5.0333827436586778E-2</v>
      </c>
      <c r="J886" s="15">
        <f>Yearly_Growth!$D$2</f>
        <v>0.03</v>
      </c>
      <c r="K886">
        <f>Sales_Per_Representative!$C$4</f>
        <v>725713</v>
      </c>
      <c r="L886">
        <f>Sales_Per_Rep_Yearly_Goal!$B$2</f>
        <v>665544.80000000005</v>
      </c>
      <c r="M886">
        <f>Sales_Per_Rep_Yearly_Goal!$C$2</f>
        <v>650000</v>
      </c>
    </row>
    <row r="887" spans="1:13" x14ac:dyDescent="0.3">
      <c r="A887" s="3">
        <v>45163</v>
      </c>
      <c r="B887">
        <f t="shared" si="13"/>
        <v>2023</v>
      </c>
      <c r="C887">
        <v>8</v>
      </c>
      <c r="D887" t="s">
        <v>17</v>
      </c>
      <c r="E887" t="s">
        <v>22</v>
      </c>
      <c r="F887" s="2">
        <v>2096</v>
      </c>
      <c r="G887" s="2">
        <f>Monthly_Growth!$C$9</f>
        <v>738487</v>
      </c>
      <c r="H887" s="5">
        <f>Monthly_Growth!$D$9</f>
        <v>-0.24138465916153296</v>
      </c>
      <c r="I887" s="15">
        <f>Yearly_Growth!$C$2</f>
        <v>5.0333827436586778E-2</v>
      </c>
      <c r="J887" s="15">
        <f>Yearly_Growth!$D$2</f>
        <v>0.03</v>
      </c>
      <c r="K887">
        <f>Sales_Per_Representative!$C$8</f>
        <v>649456</v>
      </c>
      <c r="L887">
        <f>Sales_Per_Rep_Yearly_Goal!$B$2</f>
        <v>665544.80000000005</v>
      </c>
      <c r="M887">
        <f>Sales_Per_Rep_Yearly_Goal!$C$2</f>
        <v>650000</v>
      </c>
    </row>
    <row r="888" spans="1:13" x14ac:dyDescent="0.3">
      <c r="A888" s="3">
        <v>45163</v>
      </c>
      <c r="B888">
        <f t="shared" si="13"/>
        <v>2023</v>
      </c>
      <c r="C888">
        <v>8</v>
      </c>
      <c r="D888" t="s">
        <v>17</v>
      </c>
      <c r="E888" t="s">
        <v>18</v>
      </c>
      <c r="F888" s="2">
        <v>2604</v>
      </c>
      <c r="G888" s="2">
        <f>Monthly_Growth!$C$9</f>
        <v>738487</v>
      </c>
      <c r="H888" s="5">
        <f>Monthly_Growth!$D$9</f>
        <v>-0.24138465916153296</v>
      </c>
      <c r="I888" s="15">
        <f>Yearly_Growth!$C$2</f>
        <v>5.0333827436586778E-2</v>
      </c>
      <c r="J888" s="15">
        <f>Yearly_Growth!$D$2</f>
        <v>0.03</v>
      </c>
      <c r="K888">
        <f>Sales_Per_Representative!$C$9</f>
        <v>550835</v>
      </c>
      <c r="L888">
        <f>Sales_Per_Rep_Yearly_Goal!$B$2</f>
        <v>665544.80000000005</v>
      </c>
      <c r="M888">
        <f>Sales_Per_Rep_Yearly_Goal!$C$2</f>
        <v>650000</v>
      </c>
    </row>
    <row r="889" spans="1:13" x14ac:dyDescent="0.3">
      <c r="A889" s="3">
        <v>45164</v>
      </c>
      <c r="B889">
        <f t="shared" si="13"/>
        <v>2023</v>
      </c>
      <c r="C889">
        <v>8</v>
      </c>
      <c r="D889" t="s">
        <v>28</v>
      </c>
      <c r="E889" t="s">
        <v>26</v>
      </c>
      <c r="F889" s="2">
        <v>10520</v>
      </c>
      <c r="G889" s="2">
        <f>Monthly_Growth!$C$9</f>
        <v>738487</v>
      </c>
      <c r="H889" s="5">
        <f>Monthly_Growth!$D$9</f>
        <v>-0.24138465916153296</v>
      </c>
      <c r="I889" s="15">
        <f>Yearly_Growth!$C$2</f>
        <v>5.0333827436586778E-2</v>
      </c>
      <c r="J889" s="15">
        <f>Yearly_Growth!$D$2</f>
        <v>0.03</v>
      </c>
      <c r="K889">
        <f>Sales_Per_Representative!$C$16</f>
        <v>666159</v>
      </c>
      <c r="L889">
        <f>Sales_Per_Rep_Yearly_Goal!$B$2</f>
        <v>665544.80000000005</v>
      </c>
      <c r="M889">
        <f>Sales_Per_Rep_Yearly_Goal!$C$2</f>
        <v>650000</v>
      </c>
    </row>
    <row r="890" spans="1:13" x14ac:dyDescent="0.3">
      <c r="A890" s="3">
        <v>45165</v>
      </c>
      <c r="B890">
        <f t="shared" si="13"/>
        <v>2023</v>
      </c>
      <c r="C890">
        <v>8</v>
      </c>
      <c r="D890" t="s">
        <v>25</v>
      </c>
      <c r="E890" t="s">
        <v>24</v>
      </c>
      <c r="F890" s="2">
        <v>4063</v>
      </c>
      <c r="G890" s="2">
        <f>Monthly_Growth!$C$9</f>
        <v>738487</v>
      </c>
      <c r="H890" s="5">
        <f>Monthly_Growth!$D$9</f>
        <v>-0.24138465916153296</v>
      </c>
      <c r="I890" s="15">
        <f>Yearly_Growth!$C$2</f>
        <v>5.0333827436586778E-2</v>
      </c>
      <c r="J890" s="15">
        <f>Yearly_Growth!$D$2</f>
        <v>0.03</v>
      </c>
      <c r="K890">
        <f>Sales_Per_Representative!$C$2</f>
        <v>631195</v>
      </c>
      <c r="L890">
        <f>Sales_Per_Rep_Yearly_Goal!$B$2</f>
        <v>665544.80000000005</v>
      </c>
      <c r="M890">
        <f>Sales_Per_Rep_Yearly_Goal!$C$2</f>
        <v>650000</v>
      </c>
    </row>
    <row r="891" spans="1:13" x14ac:dyDescent="0.3">
      <c r="A891" s="3">
        <v>45165</v>
      </c>
      <c r="B891">
        <f t="shared" si="13"/>
        <v>2023</v>
      </c>
      <c r="C891">
        <v>8</v>
      </c>
      <c r="D891" t="s">
        <v>7</v>
      </c>
      <c r="E891" t="s">
        <v>32</v>
      </c>
      <c r="F891" s="2">
        <v>6521</v>
      </c>
      <c r="G891" s="2">
        <f>Monthly_Growth!$C$9</f>
        <v>738487</v>
      </c>
      <c r="H891" s="5">
        <f>Monthly_Growth!$D$9</f>
        <v>-0.24138465916153296</v>
      </c>
      <c r="I891" s="15">
        <f>Yearly_Growth!$C$2</f>
        <v>5.0333827436586778E-2</v>
      </c>
      <c r="J891" s="15">
        <f>Yearly_Growth!$D$2</f>
        <v>0.03</v>
      </c>
      <c r="K891">
        <f>Sales_Per_Representative!$C$3</f>
        <v>762157</v>
      </c>
      <c r="L891">
        <f>Sales_Per_Rep_Yearly_Goal!$B$2</f>
        <v>665544.80000000005</v>
      </c>
      <c r="M891">
        <f>Sales_Per_Rep_Yearly_Goal!$C$2</f>
        <v>650000</v>
      </c>
    </row>
    <row r="892" spans="1:13" x14ac:dyDescent="0.3">
      <c r="A892" s="3">
        <v>45165</v>
      </c>
      <c r="B892">
        <f t="shared" si="13"/>
        <v>2023</v>
      </c>
      <c r="C892">
        <v>8</v>
      </c>
      <c r="D892" t="s">
        <v>7</v>
      </c>
      <c r="E892" t="s">
        <v>5</v>
      </c>
      <c r="F892" s="2">
        <v>3851</v>
      </c>
      <c r="G892" s="2">
        <f>Monthly_Growth!$C$9</f>
        <v>738487</v>
      </c>
      <c r="H892" s="5">
        <f>Monthly_Growth!$D$9</f>
        <v>-0.24138465916153296</v>
      </c>
      <c r="I892" s="15">
        <f>Yearly_Growth!$C$2</f>
        <v>5.0333827436586778E-2</v>
      </c>
      <c r="J892" s="15">
        <f>Yearly_Growth!$D$2</f>
        <v>0.03</v>
      </c>
      <c r="K892">
        <f>Sales_Per_Representative!$C$10</f>
        <v>663333</v>
      </c>
      <c r="L892">
        <f>Sales_Per_Rep_Yearly_Goal!$B$2</f>
        <v>665544.80000000005</v>
      </c>
      <c r="M892">
        <f>Sales_Per_Rep_Yearly_Goal!$C$2</f>
        <v>650000</v>
      </c>
    </row>
    <row r="893" spans="1:13" x14ac:dyDescent="0.3">
      <c r="A893" s="3">
        <v>45166</v>
      </c>
      <c r="B893">
        <f t="shared" si="13"/>
        <v>2023</v>
      </c>
      <c r="C893">
        <v>8</v>
      </c>
      <c r="D893" t="s">
        <v>19</v>
      </c>
      <c r="E893" t="s">
        <v>30</v>
      </c>
      <c r="F893" s="2">
        <v>6661</v>
      </c>
      <c r="G893" s="2">
        <f>Monthly_Growth!$C$9</f>
        <v>738487</v>
      </c>
      <c r="H893" s="5">
        <f>Monthly_Growth!$D$9</f>
        <v>-0.24138465916153296</v>
      </c>
      <c r="I893" s="15">
        <f>Yearly_Growth!$C$2</f>
        <v>5.0333827436586778E-2</v>
      </c>
      <c r="J893" s="15">
        <f>Yearly_Growth!$D$2</f>
        <v>0.03</v>
      </c>
      <c r="K893">
        <f>Sales_Per_Representative!$C$7</f>
        <v>706974</v>
      </c>
      <c r="L893">
        <f>Sales_Per_Rep_Yearly_Goal!$B$2</f>
        <v>665544.80000000005</v>
      </c>
      <c r="M893">
        <f>Sales_Per_Rep_Yearly_Goal!$C$2</f>
        <v>650000</v>
      </c>
    </row>
    <row r="894" spans="1:13" x14ac:dyDescent="0.3">
      <c r="A894" s="3">
        <v>45166</v>
      </c>
      <c r="B894">
        <f t="shared" si="13"/>
        <v>2023</v>
      </c>
      <c r="C894">
        <v>8</v>
      </c>
      <c r="D894" t="s">
        <v>23</v>
      </c>
      <c r="E894" t="s">
        <v>33</v>
      </c>
      <c r="F894" s="2">
        <v>10292</v>
      </c>
      <c r="G894" s="2">
        <f>Monthly_Growth!$C$9</f>
        <v>738487</v>
      </c>
      <c r="H894" s="5">
        <f>Monthly_Growth!$D$9</f>
        <v>-0.24138465916153296</v>
      </c>
      <c r="I894" s="15">
        <f>Yearly_Growth!$C$2</f>
        <v>5.0333827436586778E-2</v>
      </c>
      <c r="J894" s="15">
        <f>Yearly_Growth!$D$2</f>
        <v>0.03</v>
      </c>
      <c r="K894">
        <f>Sales_Per_Representative!$C$11</f>
        <v>496886</v>
      </c>
      <c r="L894">
        <f>Sales_Per_Rep_Yearly_Goal!$B$2</f>
        <v>665544.80000000005</v>
      </c>
      <c r="M894">
        <f>Sales_Per_Rep_Yearly_Goal!$C$2</f>
        <v>650000</v>
      </c>
    </row>
    <row r="895" spans="1:13" x14ac:dyDescent="0.3">
      <c r="A895" s="3">
        <v>45166</v>
      </c>
      <c r="B895">
        <f t="shared" si="13"/>
        <v>2023</v>
      </c>
      <c r="C895">
        <v>8</v>
      </c>
      <c r="D895" t="s">
        <v>12</v>
      </c>
      <c r="E895" t="s">
        <v>8</v>
      </c>
      <c r="F895" s="2">
        <v>13632</v>
      </c>
      <c r="G895" s="2">
        <f>Monthly_Growth!$C$9</f>
        <v>738487</v>
      </c>
      <c r="H895" s="5">
        <f>Monthly_Growth!$D$9</f>
        <v>-0.24138465916153296</v>
      </c>
      <c r="I895" s="15">
        <f>Yearly_Growth!$C$2</f>
        <v>5.0333827436586778E-2</v>
      </c>
      <c r="J895" s="15">
        <f>Yearly_Growth!$D$2</f>
        <v>0.03</v>
      </c>
      <c r="K895">
        <f>Sales_Per_Representative!$C$15</f>
        <v>701242</v>
      </c>
      <c r="L895">
        <f>Sales_Per_Rep_Yearly_Goal!$B$2</f>
        <v>665544.80000000005</v>
      </c>
      <c r="M895">
        <f>Sales_Per_Rep_Yearly_Goal!$C$2</f>
        <v>650000</v>
      </c>
    </row>
    <row r="896" spans="1:13" x14ac:dyDescent="0.3">
      <c r="A896" s="3">
        <v>45166</v>
      </c>
      <c r="B896">
        <f t="shared" si="13"/>
        <v>2023</v>
      </c>
      <c r="C896">
        <v>8</v>
      </c>
      <c r="D896" t="s">
        <v>12</v>
      </c>
      <c r="E896" t="s">
        <v>10</v>
      </c>
      <c r="F896" s="2">
        <v>12618</v>
      </c>
      <c r="G896" s="2">
        <f>Monthly_Growth!$C$9</f>
        <v>738487</v>
      </c>
      <c r="H896" s="5">
        <f>Monthly_Growth!$D$9</f>
        <v>-0.24138465916153296</v>
      </c>
      <c r="I896" s="15">
        <f>Yearly_Growth!$C$2</f>
        <v>5.0333827436586778E-2</v>
      </c>
      <c r="J896" s="15">
        <f>Yearly_Growth!$D$2</f>
        <v>0.03</v>
      </c>
      <c r="K896">
        <f>Sales_Per_Representative!$C$4</f>
        <v>725713</v>
      </c>
      <c r="L896">
        <f>Sales_Per_Rep_Yearly_Goal!$B$2</f>
        <v>665544.80000000005</v>
      </c>
      <c r="M896">
        <f>Sales_Per_Rep_Yearly_Goal!$C$2</f>
        <v>650000</v>
      </c>
    </row>
    <row r="897" spans="1:13" x14ac:dyDescent="0.3">
      <c r="A897" s="3">
        <v>45166</v>
      </c>
      <c r="B897">
        <f t="shared" si="13"/>
        <v>2023</v>
      </c>
      <c r="C897">
        <v>8</v>
      </c>
      <c r="D897" t="s">
        <v>12</v>
      </c>
      <c r="E897" t="s">
        <v>31</v>
      </c>
      <c r="F897" s="2">
        <v>8494</v>
      </c>
      <c r="G897" s="2">
        <f>Monthly_Growth!$C$9</f>
        <v>738487</v>
      </c>
      <c r="H897" s="5">
        <f>Monthly_Growth!$D$9</f>
        <v>-0.24138465916153296</v>
      </c>
      <c r="I897" s="15">
        <f>Yearly_Growth!$C$2</f>
        <v>5.0333827436586778E-2</v>
      </c>
      <c r="J897" s="15">
        <f>Yearly_Growth!$D$2</f>
        <v>0.03</v>
      </c>
      <c r="K897">
        <f>Sales_Per_Representative!$C$6</f>
        <v>727823</v>
      </c>
      <c r="L897">
        <f>Sales_Per_Rep_Yearly_Goal!$B$2</f>
        <v>665544.80000000005</v>
      </c>
      <c r="M897">
        <f>Sales_Per_Rep_Yearly_Goal!$C$2</f>
        <v>650000</v>
      </c>
    </row>
    <row r="898" spans="1:13" x14ac:dyDescent="0.3">
      <c r="A898" s="3">
        <v>45167</v>
      </c>
      <c r="B898">
        <f t="shared" si="13"/>
        <v>2023</v>
      </c>
      <c r="C898">
        <v>8</v>
      </c>
      <c r="D898" t="s">
        <v>7</v>
      </c>
      <c r="E898" t="s">
        <v>30</v>
      </c>
      <c r="F898" s="2">
        <v>11435</v>
      </c>
      <c r="G898" s="2">
        <f>Monthly_Growth!$C$9</f>
        <v>738487</v>
      </c>
      <c r="H898" s="5">
        <f>Monthly_Growth!$D$9</f>
        <v>-0.24138465916153296</v>
      </c>
      <c r="I898" s="15">
        <f>Yearly_Growth!$C$2</f>
        <v>5.0333827436586778E-2</v>
      </c>
      <c r="J898" s="15">
        <f>Yearly_Growth!$D$2</f>
        <v>0.03</v>
      </c>
      <c r="K898">
        <f>Sales_Per_Representative!$C$7</f>
        <v>706974</v>
      </c>
      <c r="L898">
        <f>Sales_Per_Rep_Yearly_Goal!$B$2</f>
        <v>665544.80000000005</v>
      </c>
      <c r="M898">
        <f>Sales_Per_Rep_Yearly_Goal!$C$2</f>
        <v>650000</v>
      </c>
    </row>
    <row r="899" spans="1:13" x14ac:dyDescent="0.3">
      <c r="A899" s="3">
        <v>45167</v>
      </c>
      <c r="B899">
        <f t="shared" ref="B899:B962" si="14">YEAR(A899)</f>
        <v>2023</v>
      </c>
      <c r="C899">
        <v>8</v>
      </c>
      <c r="D899" t="s">
        <v>12</v>
      </c>
      <c r="E899" t="s">
        <v>5</v>
      </c>
      <c r="F899" s="2">
        <v>7519</v>
      </c>
      <c r="G899" s="2">
        <f>Monthly_Growth!$C$9</f>
        <v>738487</v>
      </c>
      <c r="H899" s="5">
        <f>Monthly_Growth!$D$9</f>
        <v>-0.24138465916153296</v>
      </c>
      <c r="I899" s="15">
        <f>Yearly_Growth!$C$2</f>
        <v>5.0333827436586778E-2</v>
      </c>
      <c r="J899" s="15">
        <f>Yearly_Growth!$D$2</f>
        <v>0.03</v>
      </c>
      <c r="K899">
        <f>Sales_Per_Representative!$C$10</f>
        <v>663333</v>
      </c>
      <c r="L899">
        <f>Sales_Per_Rep_Yearly_Goal!$B$2</f>
        <v>665544.80000000005</v>
      </c>
      <c r="M899">
        <f>Sales_Per_Rep_Yearly_Goal!$C$2</f>
        <v>650000</v>
      </c>
    </row>
    <row r="900" spans="1:13" x14ac:dyDescent="0.3">
      <c r="A900" s="3">
        <v>45168</v>
      </c>
      <c r="B900">
        <f t="shared" si="14"/>
        <v>2023</v>
      </c>
      <c r="C900">
        <v>8</v>
      </c>
      <c r="D900" t="s">
        <v>14</v>
      </c>
      <c r="E900" t="s">
        <v>32</v>
      </c>
      <c r="F900" s="2">
        <v>8108</v>
      </c>
      <c r="G900" s="2">
        <f>Monthly_Growth!$C$9</f>
        <v>738487</v>
      </c>
      <c r="H900" s="5">
        <f>Monthly_Growth!$D$9</f>
        <v>-0.24138465916153296</v>
      </c>
      <c r="I900" s="15">
        <f>Yearly_Growth!$C$2</f>
        <v>5.0333827436586778E-2</v>
      </c>
      <c r="J900" s="15">
        <f>Yearly_Growth!$D$2</f>
        <v>0.03</v>
      </c>
      <c r="K900">
        <f>Sales_Per_Representative!$C$3</f>
        <v>762157</v>
      </c>
      <c r="L900">
        <f>Sales_Per_Rep_Yearly_Goal!$B$2</f>
        <v>665544.80000000005</v>
      </c>
      <c r="M900">
        <f>Sales_Per_Rep_Yearly_Goal!$C$2</f>
        <v>650000</v>
      </c>
    </row>
    <row r="901" spans="1:13" x14ac:dyDescent="0.3">
      <c r="A901" s="3">
        <v>45168</v>
      </c>
      <c r="B901">
        <f t="shared" si="14"/>
        <v>2023</v>
      </c>
      <c r="C901">
        <v>8</v>
      </c>
      <c r="D901" t="s">
        <v>7</v>
      </c>
      <c r="E901" t="s">
        <v>27</v>
      </c>
      <c r="F901" s="2">
        <v>10004</v>
      </c>
      <c r="G901" s="2">
        <f>Monthly_Growth!$C$9</f>
        <v>738487</v>
      </c>
      <c r="H901" s="5">
        <f>Monthly_Growth!$D$9</f>
        <v>-0.24138465916153296</v>
      </c>
      <c r="I901" s="15">
        <f>Yearly_Growth!$C$2</f>
        <v>5.0333827436586778E-2</v>
      </c>
      <c r="J901" s="15">
        <f>Yearly_Growth!$D$2</f>
        <v>0.03</v>
      </c>
      <c r="K901">
        <f>Sales_Per_Representative!$C$5</f>
        <v>747962</v>
      </c>
      <c r="L901">
        <f>Sales_Per_Rep_Yearly_Goal!$B$2</f>
        <v>665544.80000000005</v>
      </c>
      <c r="M901">
        <f>Sales_Per_Rep_Yearly_Goal!$C$2</f>
        <v>650000</v>
      </c>
    </row>
    <row r="902" spans="1:13" x14ac:dyDescent="0.3">
      <c r="A902" s="3">
        <v>45168</v>
      </c>
      <c r="B902">
        <f t="shared" si="14"/>
        <v>2023</v>
      </c>
      <c r="C902">
        <v>8</v>
      </c>
      <c r="D902" t="s">
        <v>28</v>
      </c>
      <c r="E902" t="s">
        <v>24</v>
      </c>
      <c r="F902" s="2">
        <v>9463</v>
      </c>
      <c r="G902" s="2">
        <f>Monthly_Growth!$C$9</f>
        <v>738487</v>
      </c>
      <c r="H902" s="5">
        <f>Monthly_Growth!$D$9</f>
        <v>-0.24138465916153296</v>
      </c>
      <c r="I902" s="15">
        <f>Yearly_Growth!$C$2</f>
        <v>5.0333827436586778E-2</v>
      </c>
      <c r="J902" s="15">
        <f>Yearly_Growth!$D$2</f>
        <v>0.03</v>
      </c>
      <c r="K902">
        <f>Sales_Per_Representative!$C$2</f>
        <v>631195</v>
      </c>
      <c r="L902">
        <f>Sales_Per_Rep_Yearly_Goal!$B$2</f>
        <v>665544.80000000005</v>
      </c>
      <c r="M902">
        <f>Sales_Per_Rep_Yearly_Goal!$C$2</f>
        <v>650000</v>
      </c>
    </row>
    <row r="903" spans="1:13" x14ac:dyDescent="0.3">
      <c r="A903" s="3">
        <v>45168</v>
      </c>
      <c r="B903">
        <f t="shared" si="14"/>
        <v>2023</v>
      </c>
      <c r="C903">
        <v>8</v>
      </c>
      <c r="D903" t="s">
        <v>12</v>
      </c>
      <c r="E903" t="s">
        <v>27</v>
      </c>
      <c r="F903" s="2">
        <v>10548</v>
      </c>
      <c r="G903" s="2">
        <f>Monthly_Growth!$C$9</f>
        <v>738487</v>
      </c>
      <c r="H903" s="5">
        <f>Monthly_Growth!$D$9</f>
        <v>-0.24138465916153296</v>
      </c>
      <c r="I903" s="15">
        <f>Yearly_Growth!$C$2</f>
        <v>5.0333827436586778E-2</v>
      </c>
      <c r="J903" s="15">
        <f>Yearly_Growth!$D$2</f>
        <v>0.03</v>
      </c>
      <c r="K903">
        <f>Sales_Per_Representative!$C$5</f>
        <v>747962</v>
      </c>
      <c r="L903">
        <f>Sales_Per_Rep_Yearly_Goal!$B$2</f>
        <v>665544.80000000005</v>
      </c>
      <c r="M903">
        <f>Sales_Per_Rep_Yearly_Goal!$C$2</f>
        <v>650000</v>
      </c>
    </row>
    <row r="904" spans="1:13" x14ac:dyDescent="0.3">
      <c r="A904" s="3">
        <v>45169</v>
      </c>
      <c r="B904">
        <f t="shared" si="14"/>
        <v>2023</v>
      </c>
      <c r="C904">
        <v>8</v>
      </c>
      <c r="D904" t="s">
        <v>7</v>
      </c>
      <c r="E904" t="s">
        <v>29</v>
      </c>
      <c r="F904" s="2">
        <v>8422</v>
      </c>
      <c r="G904" s="2">
        <f>Monthly_Growth!$C$9</f>
        <v>738487</v>
      </c>
      <c r="H904" s="5">
        <f>Monthly_Growth!$D$9</f>
        <v>-0.24138465916153296</v>
      </c>
      <c r="I904" s="15">
        <f>Yearly_Growth!$C$2</f>
        <v>5.0333827436586778E-2</v>
      </c>
      <c r="J904" s="15">
        <f>Yearly_Growth!$D$2</f>
        <v>0.03</v>
      </c>
      <c r="K904">
        <f>Sales_Per_Representative!$C$13</f>
        <v>621548</v>
      </c>
      <c r="L904">
        <f>Sales_Per_Rep_Yearly_Goal!$B$2</f>
        <v>665544.80000000005</v>
      </c>
      <c r="M904">
        <f>Sales_Per_Rep_Yearly_Goal!$C$2</f>
        <v>650000</v>
      </c>
    </row>
    <row r="905" spans="1:13" x14ac:dyDescent="0.3">
      <c r="A905" s="3">
        <v>45169</v>
      </c>
      <c r="B905">
        <f t="shared" si="14"/>
        <v>2023</v>
      </c>
      <c r="C905">
        <v>8</v>
      </c>
      <c r="D905" t="s">
        <v>28</v>
      </c>
      <c r="E905" t="s">
        <v>24</v>
      </c>
      <c r="F905" s="2">
        <v>6519</v>
      </c>
      <c r="G905" s="2">
        <f>Monthly_Growth!$C$9</f>
        <v>738487</v>
      </c>
      <c r="H905" s="5">
        <f>Monthly_Growth!$D$9</f>
        <v>-0.24138465916153296</v>
      </c>
      <c r="I905" s="15">
        <f>Yearly_Growth!$C$2</f>
        <v>5.0333827436586778E-2</v>
      </c>
      <c r="J905" s="15">
        <f>Yearly_Growth!$D$2</f>
        <v>0.03</v>
      </c>
      <c r="K905">
        <f>Sales_Per_Representative!$C$2</f>
        <v>631195</v>
      </c>
      <c r="L905">
        <f>Sales_Per_Rep_Yearly_Goal!$B$2</f>
        <v>665544.80000000005</v>
      </c>
      <c r="M905">
        <f>Sales_Per_Rep_Yearly_Goal!$C$2</f>
        <v>650000</v>
      </c>
    </row>
    <row r="906" spans="1:13" x14ac:dyDescent="0.3">
      <c r="A906" s="3">
        <v>45170</v>
      </c>
      <c r="B906">
        <f t="shared" si="14"/>
        <v>2023</v>
      </c>
      <c r="C906">
        <v>9</v>
      </c>
      <c r="D906" t="s">
        <v>14</v>
      </c>
      <c r="E906" t="s">
        <v>20</v>
      </c>
      <c r="F906" s="2">
        <v>7815</v>
      </c>
      <c r="G906" s="2">
        <f>Monthly_Growth!$C$10</f>
        <v>803382</v>
      </c>
      <c r="H906" s="5">
        <f>Monthly_Growth!$D$10</f>
        <v>8.7875615955324879E-2</v>
      </c>
      <c r="I906" s="15">
        <f>Yearly_Growth!$C$2</f>
        <v>5.0333827436586778E-2</v>
      </c>
      <c r="J906" s="15">
        <f>Yearly_Growth!$D$2</f>
        <v>0.03</v>
      </c>
      <c r="K906">
        <f>Sales_Per_Representative!$C$14</f>
        <v>675530</v>
      </c>
      <c r="L906">
        <f>Sales_Per_Rep_Yearly_Goal!$B$2</f>
        <v>665544.80000000005</v>
      </c>
      <c r="M906">
        <f>Sales_Per_Rep_Yearly_Goal!$C$2</f>
        <v>650000</v>
      </c>
    </row>
    <row r="907" spans="1:13" x14ac:dyDescent="0.3">
      <c r="A907" s="3">
        <v>45170</v>
      </c>
      <c r="B907">
        <f t="shared" si="14"/>
        <v>2023</v>
      </c>
      <c r="C907">
        <v>9</v>
      </c>
      <c r="D907" t="s">
        <v>19</v>
      </c>
      <c r="E907" t="s">
        <v>31</v>
      </c>
      <c r="F907" s="2">
        <v>8693</v>
      </c>
      <c r="G907" s="2">
        <f>Monthly_Growth!$C$10</f>
        <v>803382</v>
      </c>
      <c r="H907" s="5">
        <f>Monthly_Growth!$D$10</f>
        <v>8.7875615955324879E-2</v>
      </c>
      <c r="I907" s="15">
        <f>Yearly_Growth!$C$2</f>
        <v>5.0333827436586778E-2</v>
      </c>
      <c r="J907" s="15">
        <f>Yearly_Growth!$D$2</f>
        <v>0.03</v>
      </c>
      <c r="K907">
        <f>Sales_Per_Representative!$C$6</f>
        <v>727823</v>
      </c>
      <c r="L907">
        <f>Sales_Per_Rep_Yearly_Goal!$B$2</f>
        <v>665544.80000000005</v>
      </c>
      <c r="M907">
        <f>Sales_Per_Rep_Yearly_Goal!$C$2</f>
        <v>650000</v>
      </c>
    </row>
    <row r="908" spans="1:13" x14ac:dyDescent="0.3">
      <c r="A908" s="3">
        <v>45170</v>
      </c>
      <c r="B908">
        <f t="shared" si="14"/>
        <v>2023</v>
      </c>
      <c r="C908">
        <v>9</v>
      </c>
      <c r="D908" t="s">
        <v>23</v>
      </c>
      <c r="E908" t="s">
        <v>29</v>
      </c>
      <c r="F908" s="2">
        <v>13952</v>
      </c>
      <c r="G908" s="2">
        <f>Monthly_Growth!$C$10</f>
        <v>803382</v>
      </c>
      <c r="H908" s="5">
        <f>Monthly_Growth!$D$10</f>
        <v>8.7875615955324879E-2</v>
      </c>
      <c r="I908" s="15">
        <f>Yearly_Growth!$C$2</f>
        <v>5.0333827436586778E-2</v>
      </c>
      <c r="J908" s="15">
        <f>Yearly_Growth!$D$2</f>
        <v>0.03</v>
      </c>
      <c r="K908">
        <f>Sales_Per_Representative!$C$13</f>
        <v>621548</v>
      </c>
      <c r="L908">
        <f>Sales_Per_Rep_Yearly_Goal!$B$2</f>
        <v>665544.80000000005</v>
      </c>
      <c r="M908">
        <f>Sales_Per_Rep_Yearly_Goal!$C$2</f>
        <v>650000</v>
      </c>
    </row>
    <row r="909" spans="1:13" x14ac:dyDescent="0.3">
      <c r="A909" s="3">
        <v>45170</v>
      </c>
      <c r="B909">
        <f t="shared" si="14"/>
        <v>2023</v>
      </c>
      <c r="C909">
        <v>9</v>
      </c>
      <c r="D909" t="s">
        <v>7</v>
      </c>
      <c r="E909" t="s">
        <v>29</v>
      </c>
      <c r="F909" s="2">
        <v>8570</v>
      </c>
      <c r="G909" s="2">
        <f>Monthly_Growth!$C$10</f>
        <v>803382</v>
      </c>
      <c r="H909" s="5">
        <f>Monthly_Growth!$D$10</f>
        <v>8.7875615955324879E-2</v>
      </c>
      <c r="I909" s="15">
        <f>Yearly_Growth!$C$2</f>
        <v>5.0333827436586778E-2</v>
      </c>
      <c r="J909" s="15">
        <f>Yearly_Growth!$D$2</f>
        <v>0.03</v>
      </c>
      <c r="K909">
        <f>Sales_Per_Representative!$C$13</f>
        <v>621548</v>
      </c>
      <c r="L909">
        <f>Sales_Per_Rep_Yearly_Goal!$B$2</f>
        <v>665544.80000000005</v>
      </c>
      <c r="M909">
        <f>Sales_Per_Rep_Yearly_Goal!$C$2</f>
        <v>650000</v>
      </c>
    </row>
    <row r="910" spans="1:13" x14ac:dyDescent="0.3">
      <c r="A910" s="3">
        <v>45170</v>
      </c>
      <c r="B910">
        <f t="shared" si="14"/>
        <v>2023</v>
      </c>
      <c r="C910">
        <v>9</v>
      </c>
      <c r="D910" t="s">
        <v>7</v>
      </c>
      <c r="E910" t="s">
        <v>15</v>
      </c>
      <c r="F910" s="2">
        <v>1055</v>
      </c>
      <c r="G910" s="2">
        <f>Monthly_Growth!$C$10</f>
        <v>803382</v>
      </c>
      <c r="H910" s="5">
        <f>Monthly_Growth!$D$10</f>
        <v>8.7875615955324879E-2</v>
      </c>
      <c r="I910" s="15">
        <f>Yearly_Growth!$C$2</f>
        <v>5.0333827436586778E-2</v>
      </c>
      <c r="J910" s="15">
        <f>Yearly_Growth!$D$2</f>
        <v>0.03</v>
      </c>
      <c r="K910">
        <f>Sales_Per_Representative!$C$12</f>
        <v>656359</v>
      </c>
      <c r="L910">
        <f>Sales_Per_Rep_Yearly_Goal!$B$2</f>
        <v>665544.80000000005</v>
      </c>
      <c r="M910">
        <f>Sales_Per_Rep_Yearly_Goal!$C$2</f>
        <v>650000</v>
      </c>
    </row>
    <row r="911" spans="1:13" x14ac:dyDescent="0.3">
      <c r="A911" s="3">
        <v>45170</v>
      </c>
      <c r="B911">
        <f t="shared" si="14"/>
        <v>2023</v>
      </c>
      <c r="C911">
        <v>9</v>
      </c>
      <c r="D911" t="s">
        <v>17</v>
      </c>
      <c r="E911" t="s">
        <v>10</v>
      </c>
      <c r="F911" s="2">
        <v>7025</v>
      </c>
      <c r="G911" s="2">
        <f>Monthly_Growth!$C$10</f>
        <v>803382</v>
      </c>
      <c r="H911" s="5">
        <f>Monthly_Growth!$D$10</f>
        <v>8.7875615955324879E-2</v>
      </c>
      <c r="I911" s="15">
        <f>Yearly_Growth!$C$2</f>
        <v>5.0333827436586778E-2</v>
      </c>
      <c r="J911" s="15">
        <f>Yearly_Growth!$D$2</f>
        <v>0.03</v>
      </c>
      <c r="K911">
        <f>Sales_Per_Representative!$C$4</f>
        <v>725713</v>
      </c>
      <c r="L911">
        <f>Sales_Per_Rep_Yearly_Goal!$B$2</f>
        <v>665544.80000000005</v>
      </c>
      <c r="M911">
        <f>Sales_Per_Rep_Yearly_Goal!$C$2</f>
        <v>650000</v>
      </c>
    </row>
    <row r="912" spans="1:13" x14ac:dyDescent="0.3">
      <c r="A912" s="3">
        <v>45170</v>
      </c>
      <c r="B912">
        <f t="shared" si="14"/>
        <v>2023</v>
      </c>
      <c r="C912">
        <v>9</v>
      </c>
      <c r="D912" t="s">
        <v>17</v>
      </c>
      <c r="E912" t="s">
        <v>30</v>
      </c>
      <c r="F912" s="2">
        <v>5355</v>
      </c>
      <c r="G912" s="2">
        <f>Monthly_Growth!$C$10</f>
        <v>803382</v>
      </c>
      <c r="H912" s="5">
        <f>Monthly_Growth!$D$10</f>
        <v>8.7875615955324879E-2</v>
      </c>
      <c r="I912" s="15">
        <f>Yearly_Growth!$C$2</f>
        <v>5.0333827436586778E-2</v>
      </c>
      <c r="J912" s="15">
        <f>Yearly_Growth!$D$2</f>
        <v>0.03</v>
      </c>
      <c r="K912">
        <f>Sales_Per_Representative!$C$7</f>
        <v>706974</v>
      </c>
      <c r="L912">
        <f>Sales_Per_Rep_Yearly_Goal!$B$2</f>
        <v>665544.80000000005</v>
      </c>
      <c r="M912">
        <f>Sales_Per_Rep_Yearly_Goal!$C$2</f>
        <v>650000</v>
      </c>
    </row>
    <row r="913" spans="1:13" x14ac:dyDescent="0.3">
      <c r="A913" s="3">
        <v>45170</v>
      </c>
      <c r="B913">
        <f t="shared" si="14"/>
        <v>2023</v>
      </c>
      <c r="C913">
        <v>9</v>
      </c>
      <c r="D913" t="s">
        <v>17</v>
      </c>
      <c r="E913" t="s">
        <v>8</v>
      </c>
      <c r="F913" s="2">
        <v>1718</v>
      </c>
      <c r="G913" s="2">
        <f>Monthly_Growth!$C$10</f>
        <v>803382</v>
      </c>
      <c r="H913" s="5">
        <f>Monthly_Growth!$D$10</f>
        <v>8.7875615955324879E-2</v>
      </c>
      <c r="I913" s="15">
        <f>Yearly_Growth!$C$2</f>
        <v>5.0333827436586778E-2</v>
      </c>
      <c r="J913" s="15">
        <f>Yearly_Growth!$D$2</f>
        <v>0.03</v>
      </c>
      <c r="K913">
        <f>Sales_Per_Representative!$C$15</f>
        <v>701242</v>
      </c>
      <c r="L913">
        <f>Sales_Per_Rep_Yearly_Goal!$B$2</f>
        <v>665544.80000000005</v>
      </c>
      <c r="M913">
        <f>Sales_Per_Rep_Yearly_Goal!$C$2</f>
        <v>650000</v>
      </c>
    </row>
    <row r="914" spans="1:13" x14ac:dyDescent="0.3">
      <c r="A914" s="3">
        <v>45170</v>
      </c>
      <c r="B914">
        <f t="shared" si="14"/>
        <v>2023</v>
      </c>
      <c r="C914">
        <v>9</v>
      </c>
      <c r="D914" t="s">
        <v>12</v>
      </c>
      <c r="E914" t="s">
        <v>29</v>
      </c>
      <c r="F914" s="2">
        <v>6444</v>
      </c>
      <c r="G914" s="2">
        <f>Monthly_Growth!$C$10</f>
        <v>803382</v>
      </c>
      <c r="H914" s="5">
        <f>Monthly_Growth!$D$10</f>
        <v>8.7875615955324879E-2</v>
      </c>
      <c r="I914" s="15">
        <f>Yearly_Growth!$C$2</f>
        <v>5.0333827436586778E-2</v>
      </c>
      <c r="J914" s="15">
        <f>Yearly_Growth!$D$2</f>
        <v>0.03</v>
      </c>
      <c r="K914">
        <f>Sales_Per_Representative!$C$13</f>
        <v>621548</v>
      </c>
      <c r="L914">
        <f>Sales_Per_Rep_Yearly_Goal!$B$2</f>
        <v>665544.80000000005</v>
      </c>
      <c r="M914">
        <f>Sales_Per_Rep_Yearly_Goal!$C$2</f>
        <v>650000</v>
      </c>
    </row>
    <row r="915" spans="1:13" x14ac:dyDescent="0.3">
      <c r="A915" s="3">
        <v>45171</v>
      </c>
      <c r="B915">
        <f t="shared" si="14"/>
        <v>2023</v>
      </c>
      <c r="C915">
        <v>9</v>
      </c>
      <c r="D915" t="s">
        <v>23</v>
      </c>
      <c r="E915" t="s">
        <v>5</v>
      </c>
      <c r="F915" s="2">
        <v>7837</v>
      </c>
      <c r="G915" s="2">
        <f>Monthly_Growth!$C$10</f>
        <v>803382</v>
      </c>
      <c r="H915" s="5">
        <f>Monthly_Growth!$D$10</f>
        <v>8.7875615955324879E-2</v>
      </c>
      <c r="I915" s="15">
        <f>Yearly_Growth!$C$2</f>
        <v>5.0333827436586778E-2</v>
      </c>
      <c r="J915" s="15">
        <f>Yearly_Growth!$D$2</f>
        <v>0.03</v>
      </c>
      <c r="K915">
        <f>Sales_Per_Representative!$C$10</f>
        <v>663333</v>
      </c>
      <c r="L915">
        <f>Sales_Per_Rep_Yearly_Goal!$B$2</f>
        <v>665544.80000000005</v>
      </c>
      <c r="M915">
        <f>Sales_Per_Rep_Yearly_Goal!$C$2</f>
        <v>650000</v>
      </c>
    </row>
    <row r="916" spans="1:13" x14ac:dyDescent="0.3">
      <c r="A916" s="3">
        <v>45171</v>
      </c>
      <c r="B916">
        <f t="shared" si="14"/>
        <v>2023</v>
      </c>
      <c r="C916">
        <v>9</v>
      </c>
      <c r="D916" t="s">
        <v>17</v>
      </c>
      <c r="E916" t="s">
        <v>8</v>
      </c>
      <c r="F916" s="2">
        <v>13502</v>
      </c>
      <c r="G916" s="2">
        <f>Monthly_Growth!$C$10</f>
        <v>803382</v>
      </c>
      <c r="H916" s="5">
        <f>Monthly_Growth!$D$10</f>
        <v>8.7875615955324879E-2</v>
      </c>
      <c r="I916" s="15">
        <f>Yearly_Growth!$C$2</f>
        <v>5.0333827436586778E-2</v>
      </c>
      <c r="J916" s="15">
        <f>Yearly_Growth!$D$2</f>
        <v>0.03</v>
      </c>
      <c r="K916">
        <f>Sales_Per_Representative!$C$15</f>
        <v>701242</v>
      </c>
      <c r="L916">
        <f>Sales_Per_Rep_Yearly_Goal!$B$2</f>
        <v>665544.80000000005</v>
      </c>
      <c r="M916">
        <f>Sales_Per_Rep_Yearly_Goal!$C$2</f>
        <v>650000</v>
      </c>
    </row>
    <row r="917" spans="1:13" x14ac:dyDescent="0.3">
      <c r="A917" s="3">
        <v>45172</v>
      </c>
      <c r="B917">
        <f t="shared" si="14"/>
        <v>2023</v>
      </c>
      <c r="C917">
        <v>9</v>
      </c>
      <c r="D917" t="s">
        <v>19</v>
      </c>
      <c r="E917" t="s">
        <v>22</v>
      </c>
      <c r="F917" s="2">
        <v>13574</v>
      </c>
      <c r="G917" s="2">
        <f>Monthly_Growth!$C$10</f>
        <v>803382</v>
      </c>
      <c r="H917" s="5">
        <f>Monthly_Growth!$D$10</f>
        <v>8.7875615955324879E-2</v>
      </c>
      <c r="I917" s="15">
        <f>Yearly_Growth!$C$2</f>
        <v>5.0333827436586778E-2</v>
      </c>
      <c r="J917" s="15">
        <f>Yearly_Growth!$D$2</f>
        <v>0.03</v>
      </c>
      <c r="K917">
        <f>Sales_Per_Representative!$C$8</f>
        <v>649456</v>
      </c>
      <c r="L917">
        <f>Sales_Per_Rep_Yearly_Goal!$B$2</f>
        <v>665544.80000000005</v>
      </c>
      <c r="M917">
        <f>Sales_Per_Rep_Yearly_Goal!$C$2</f>
        <v>650000</v>
      </c>
    </row>
    <row r="918" spans="1:13" x14ac:dyDescent="0.3">
      <c r="A918" s="3">
        <v>45172</v>
      </c>
      <c r="B918">
        <f t="shared" si="14"/>
        <v>2023</v>
      </c>
      <c r="C918">
        <v>9</v>
      </c>
      <c r="D918" t="s">
        <v>23</v>
      </c>
      <c r="E918" t="s">
        <v>8</v>
      </c>
      <c r="F918" s="2">
        <v>7531</v>
      </c>
      <c r="G918" s="2">
        <f>Monthly_Growth!$C$10</f>
        <v>803382</v>
      </c>
      <c r="H918" s="5">
        <f>Monthly_Growth!$D$10</f>
        <v>8.7875615955324879E-2</v>
      </c>
      <c r="I918" s="15">
        <f>Yearly_Growth!$C$2</f>
        <v>5.0333827436586778E-2</v>
      </c>
      <c r="J918" s="15">
        <f>Yearly_Growth!$D$2</f>
        <v>0.03</v>
      </c>
      <c r="K918">
        <f>Sales_Per_Representative!$C$15</f>
        <v>701242</v>
      </c>
      <c r="L918">
        <f>Sales_Per_Rep_Yearly_Goal!$B$2</f>
        <v>665544.80000000005</v>
      </c>
      <c r="M918">
        <f>Sales_Per_Rep_Yearly_Goal!$C$2</f>
        <v>650000</v>
      </c>
    </row>
    <row r="919" spans="1:13" x14ac:dyDescent="0.3">
      <c r="A919" s="3">
        <v>45172</v>
      </c>
      <c r="B919">
        <f t="shared" si="14"/>
        <v>2023</v>
      </c>
      <c r="C919">
        <v>9</v>
      </c>
      <c r="D919" t="s">
        <v>23</v>
      </c>
      <c r="E919" t="s">
        <v>26</v>
      </c>
      <c r="F919" s="2">
        <v>10203</v>
      </c>
      <c r="G919" s="2">
        <f>Monthly_Growth!$C$10</f>
        <v>803382</v>
      </c>
      <c r="H919" s="5">
        <f>Monthly_Growth!$D$10</f>
        <v>8.7875615955324879E-2</v>
      </c>
      <c r="I919" s="15">
        <f>Yearly_Growth!$C$2</f>
        <v>5.0333827436586778E-2</v>
      </c>
      <c r="J919" s="15">
        <f>Yearly_Growth!$D$2</f>
        <v>0.03</v>
      </c>
      <c r="K919">
        <f>Sales_Per_Representative!$C$16</f>
        <v>666159</v>
      </c>
      <c r="L919">
        <f>Sales_Per_Rep_Yearly_Goal!$B$2</f>
        <v>665544.80000000005</v>
      </c>
      <c r="M919">
        <f>Sales_Per_Rep_Yearly_Goal!$C$2</f>
        <v>650000</v>
      </c>
    </row>
    <row r="920" spans="1:13" x14ac:dyDescent="0.3">
      <c r="A920" s="3">
        <v>45172</v>
      </c>
      <c r="B920">
        <f t="shared" si="14"/>
        <v>2023</v>
      </c>
      <c r="C920">
        <v>9</v>
      </c>
      <c r="D920" t="s">
        <v>25</v>
      </c>
      <c r="E920" t="s">
        <v>18</v>
      </c>
      <c r="F920" s="2">
        <v>8552</v>
      </c>
      <c r="G920" s="2">
        <f>Monthly_Growth!$C$10</f>
        <v>803382</v>
      </c>
      <c r="H920" s="5">
        <f>Monthly_Growth!$D$10</f>
        <v>8.7875615955324879E-2</v>
      </c>
      <c r="I920" s="15">
        <f>Yearly_Growth!$C$2</f>
        <v>5.0333827436586778E-2</v>
      </c>
      <c r="J920" s="15">
        <f>Yearly_Growth!$D$2</f>
        <v>0.03</v>
      </c>
      <c r="K920">
        <f>Sales_Per_Representative!$C$9</f>
        <v>550835</v>
      </c>
      <c r="L920">
        <f>Sales_Per_Rep_Yearly_Goal!$B$2</f>
        <v>665544.80000000005</v>
      </c>
      <c r="M920">
        <f>Sales_Per_Rep_Yearly_Goal!$C$2</f>
        <v>650000</v>
      </c>
    </row>
    <row r="921" spans="1:13" x14ac:dyDescent="0.3">
      <c r="A921" s="3">
        <v>45172</v>
      </c>
      <c r="B921">
        <f t="shared" si="14"/>
        <v>2023</v>
      </c>
      <c r="C921">
        <v>9</v>
      </c>
      <c r="D921" t="s">
        <v>7</v>
      </c>
      <c r="E921" t="s">
        <v>22</v>
      </c>
      <c r="F921" s="2">
        <v>3218</v>
      </c>
      <c r="G921" s="2">
        <f>Monthly_Growth!$C$10</f>
        <v>803382</v>
      </c>
      <c r="H921" s="5">
        <f>Monthly_Growth!$D$10</f>
        <v>8.7875615955324879E-2</v>
      </c>
      <c r="I921" s="15">
        <f>Yearly_Growth!$C$2</f>
        <v>5.0333827436586778E-2</v>
      </c>
      <c r="J921" s="15">
        <f>Yearly_Growth!$D$2</f>
        <v>0.03</v>
      </c>
      <c r="K921">
        <f>Sales_Per_Representative!$C$8</f>
        <v>649456</v>
      </c>
      <c r="L921">
        <f>Sales_Per_Rep_Yearly_Goal!$B$2</f>
        <v>665544.80000000005</v>
      </c>
      <c r="M921">
        <f>Sales_Per_Rep_Yearly_Goal!$C$2</f>
        <v>650000</v>
      </c>
    </row>
    <row r="922" spans="1:13" x14ac:dyDescent="0.3">
      <c r="A922" s="3">
        <v>45173</v>
      </c>
      <c r="B922">
        <f t="shared" si="14"/>
        <v>2023</v>
      </c>
      <c r="C922">
        <v>9</v>
      </c>
      <c r="D922" t="s">
        <v>28</v>
      </c>
      <c r="E922" t="s">
        <v>32</v>
      </c>
      <c r="F922" s="2">
        <v>1402</v>
      </c>
      <c r="G922" s="2">
        <f>Monthly_Growth!$C$10</f>
        <v>803382</v>
      </c>
      <c r="H922" s="5">
        <f>Monthly_Growth!$D$10</f>
        <v>8.7875615955324879E-2</v>
      </c>
      <c r="I922" s="15">
        <f>Yearly_Growth!$C$2</f>
        <v>5.0333827436586778E-2</v>
      </c>
      <c r="J922" s="15">
        <f>Yearly_Growth!$D$2</f>
        <v>0.03</v>
      </c>
      <c r="K922">
        <f>Sales_Per_Representative!$C$3</f>
        <v>762157</v>
      </c>
      <c r="L922">
        <f>Sales_Per_Rep_Yearly_Goal!$B$2</f>
        <v>665544.80000000005</v>
      </c>
      <c r="M922">
        <f>Sales_Per_Rep_Yearly_Goal!$C$2</f>
        <v>650000</v>
      </c>
    </row>
    <row r="923" spans="1:13" x14ac:dyDescent="0.3">
      <c r="A923" s="3">
        <v>45174</v>
      </c>
      <c r="B923">
        <f t="shared" si="14"/>
        <v>2023</v>
      </c>
      <c r="C923">
        <v>9</v>
      </c>
      <c r="D923" t="s">
        <v>17</v>
      </c>
      <c r="E923" t="s">
        <v>15</v>
      </c>
      <c r="F923" s="2">
        <v>11855</v>
      </c>
      <c r="G923" s="2">
        <f>Monthly_Growth!$C$10</f>
        <v>803382</v>
      </c>
      <c r="H923" s="5">
        <f>Monthly_Growth!$D$10</f>
        <v>8.7875615955324879E-2</v>
      </c>
      <c r="I923" s="15">
        <f>Yearly_Growth!$C$2</f>
        <v>5.0333827436586778E-2</v>
      </c>
      <c r="J923" s="15">
        <f>Yearly_Growth!$D$2</f>
        <v>0.03</v>
      </c>
      <c r="K923">
        <f>Sales_Per_Representative!$C$12</f>
        <v>656359</v>
      </c>
      <c r="L923">
        <f>Sales_Per_Rep_Yearly_Goal!$B$2</f>
        <v>665544.80000000005</v>
      </c>
      <c r="M923">
        <f>Sales_Per_Rep_Yearly_Goal!$C$2</f>
        <v>650000</v>
      </c>
    </row>
    <row r="924" spans="1:13" x14ac:dyDescent="0.3">
      <c r="A924" s="3">
        <v>45174</v>
      </c>
      <c r="B924">
        <f t="shared" si="14"/>
        <v>2023</v>
      </c>
      <c r="C924">
        <v>9</v>
      </c>
      <c r="D924" t="s">
        <v>17</v>
      </c>
      <c r="E924" t="s">
        <v>24</v>
      </c>
      <c r="F924" s="2">
        <v>9596</v>
      </c>
      <c r="G924" s="2">
        <f>Monthly_Growth!$C$10</f>
        <v>803382</v>
      </c>
      <c r="H924" s="5">
        <f>Monthly_Growth!$D$10</f>
        <v>8.7875615955324879E-2</v>
      </c>
      <c r="I924" s="15">
        <f>Yearly_Growth!$C$2</f>
        <v>5.0333827436586778E-2</v>
      </c>
      <c r="J924" s="15">
        <f>Yearly_Growth!$D$2</f>
        <v>0.03</v>
      </c>
      <c r="K924">
        <f>Sales_Per_Representative!$C$2</f>
        <v>631195</v>
      </c>
      <c r="L924">
        <f>Sales_Per_Rep_Yearly_Goal!$B$2</f>
        <v>665544.80000000005</v>
      </c>
      <c r="M924">
        <f>Sales_Per_Rep_Yearly_Goal!$C$2</f>
        <v>650000</v>
      </c>
    </row>
    <row r="925" spans="1:13" x14ac:dyDescent="0.3">
      <c r="A925" s="3">
        <v>45175</v>
      </c>
      <c r="B925">
        <f t="shared" si="14"/>
        <v>2023</v>
      </c>
      <c r="C925">
        <v>9</v>
      </c>
      <c r="D925" t="s">
        <v>12</v>
      </c>
      <c r="E925" t="s">
        <v>27</v>
      </c>
      <c r="F925" s="2">
        <v>3759</v>
      </c>
      <c r="G925" s="2">
        <f>Monthly_Growth!$C$10</f>
        <v>803382</v>
      </c>
      <c r="H925" s="5">
        <f>Monthly_Growth!$D$10</f>
        <v>8.7875615955324879E-2</v>
      </c>
      <c r="I925" s="15">
        <f>Yearly_Growth!$C$2</f>
        <v>5.0333827436586778E-2</v>
      </c>
      <c r="J925" s="15">
        <f>Yearly_Growth!$D$2</f>
        <v>0.03</v>
      </c>
      <c r="K925">
        <f>Sales_Per_Representative!$C$5</f>
        <v>747962</v>
      </c>
      <c r="L925">
        <f>Sales_Per_Rep_Yearly_Goal!$B$2</f>
        <v>665544.80000000005</v>
      </c>
      <c r="M925">
        <f>Sales_Per_Rep_Yearly_Goal!$C$2</f>
        <v>650000</v>
      </c>
    </row>
    <row r="926" spans="1:13" x14ac:dyDescent="0.3">
      <c r="A926" s="3">
        <v>45175</v>
      </c>
      <c r="B926">
        <f t="shared" si="14"/>
        <v>2023</v>
      </c>
      <c r="C926">
        <v>9</v>
      </c>
      <c r="D926" t="s">
        <v>12</v>
      </c>
      <c r="E926" t="s">
        <v>8</v>
      </c>
      <c r="F926" s="2">
        <v>3248</v>
      </c>
      <c r="G926" s="2">
        <f>Monthly_Growth!$C$10</f>
        <v>803382</v>
      </c>
      <c r="H926" s="5">
        <f>Monthly_Growth!$D$10</f>
        <v>8.7875615955324879E-2</v>
      </c>
      <c r="I926" s="15">
        <f>Yearly_Growth!$C$2</f>
        <v>5.0333827436586778E-2</v>
      </c>
      <c r="J926" s="15">
        <f>Yearly_Growth!$D$2</f>
        <v>0.03</v>
      </c>
      <c r="K926">
        <f>Sales_Per_Representative!$C$15</f>
        <v>701242</v>
      </c>
      <c r="L926">
        <f>Sales_Per_Rep_Yearly_Goal!$B$2</f>
        <v>665544.80000000005</v>
      </c>
      <c r="M926">
        <f>Sales_Per_Rep_Yearly_Goal!$C$2</f>
        <v>650000</v>
      </c>
    </row>
    <row r="927" spans="1:13" x14ac:dyDescent="0.3">
      <c r="A927" s="3">
        <v>45176</v>
      </c>
      <c r="B927">
        <f t="shared" si="14"/>
        <v>2023</v>
      </c>
      <c r="C927">
        <v>9</v>
      </c>
      <c r="D927" t="s">
        <v>25</v>
      </c>
      <c r="E927" t="s">
        <v>30</v>
      </c>
      <c r="F927" s="2">
        <v>12794</v>
      </c>
      <c r="G927" s="2">
        <f>Monthly_Growth!$C$10</f>
        <v>803382</v>
      </c>
      <c r="H927" s="5">
        <f>Monthly_Growth!$D$10</f>
        <v>8.7875615955324879E-2</v>
      </c>
      <c r="I927" s="15">
        <f>Yearly_Growth!$C$2</f>
        <v>5.0333827436586778E-2</v>
      </c>
      <c r="J927" s="15">
        <f>Yearly_Growth!$D$2</f>
        <v>0.03</v>
      </c>
      <c r="K927">
        <f>Sales_Per_Representative!$C$7</f>
        <v>706974</v>
      </c>
      <c r="L927">
        <f>Sales_Per_Rep_Yearly_Goal!$B$2</f>
        <v>665544.80000000005</v>
      </c>
      <c r="M927">
        <f>Sales_Per_Rep_Yearly_Goal!$C$2</f>
        <v>650000</v>
      </c>
    </row>
    <row r="928" spans="1:13" x14ac:dyDescent="0.3">
      <c r="A928" s="3">
        <v>45176</v>
      </c>
      <c r="B928">
        <f t="shared" si="14"/>
        <v>2023</v>
      </c>
      <c r="C928">
        <v>9</v>
      </c>
      <c r="D928" t="s">
        <v>17</v>
      </c>
      <c r="E928" t="s">
        <v>22</v>
      </c>
      <c r="F928" s="2">
        <v>4917</v>
      </c>
      <c r="G928" s="2">
        <f>Monthly_Growth!$C$10</f>
        <v>803382</v>
      </c>
      <c r="H928" s="5">
        <f>Monthly_Growth!$D$10</f>
        <v>8.7875615955324879E-2</v>
      </c>
      <c r="I928" s="15">
        <f>Yearly_Growth!$C$2</f>
        <v>5.0333827436586778E-2</v>
      </c>
      <c r="J928" s="15">
        <f>Yearly_Growth!$D$2</f>
        <v>0.03</v>
      </c>
      <c r="K928">
        <f>Sales_Per_Representative!$C$8</f>
        <v>649456</v>
      </c>
      <c r="L928">
        <f>Sales_Per_Rep_Yearly_Goal!$B$2</f>
        <v>665544.80000000005</v>
      </c>
      <c r="M928">
        <f>Sales_Per_Rep_Yearly_Goal!$C$2</f>
        <v>650000</v>
      </c>
    </row>
    <row r="929" spans="1:13" x14ac:dyDescent="0.3">
      <c r="A929" s="3">
        <v>45177</v>
      </c>
      <c r="B929">
        <f t="shared" si="14"/>
        <v>2023</v>
      </c>
      <c r="C929">
        <v>9</v>
      </c>
      <c r="D929" t="s">
        <v>19</v>
      </c>
      <c r="E929" t="s">
        <v>32</v>
      </c>
      <c r="F929" s="2">
        <v>2237</v>
      </c>
      <c r="G929" s="2">
        <f>Monthly_Growth!$C$10</f>
        <v>803382</v>
      </c>
      <c r="H929" s="5">
        <f>Monthly_Growth!$D$10</f>
        <v>8.7875615955324879E-2</v>
      </c>
      <c r="I929" s="15">
        <f>Yearly_Growth!$C$2</f>
        <v>5.0333827436586778E-2</v>
      </c>
      <c r="J929" s="15">
        <f>Yearly_Growth!$D$2</f>
        <v>0.03</v>
      </c>
      <c r="K929">
        <f>Sales_Per_Representative!$C$3</f>
        <v>762157</v>
      </c>
      <c r="L929">
        <f>Sales_Per_Rep_Yearly_Goal!$B$2</f>
        <v>665544.80000000005</v>
      </c>
      <c r="M929">
        <f>Sales_Per_Rep_Yearly_Goal!$C$2</f>
        <v>650000</v>
      </c>
    </row>
    <row r="930" spans="1:13" x14ac:dyDescent="0.3">
      <c r="A930" s="3">
        <v>45177</v>
      </c>
      <c r="B930">
        <f t="shared" si="14"/>
        <v>2023</v>
      </c>
      <c r="C930">
        <v>9</v>
      </c>
      <c r="D930" t="s">
        <v>7</v>
      </c>
      <c r="E930" t="s">
        <v>32</v>
      </c>
      <c r="F930" s="2">
        <v>7303</v>
      </c>
      <c r="G930" s="2">
        <f>Monthly_Growth!$C$10</f>
        <v>803382</v>
      </c>
      <c r="H930" s="5">
        <f>Monthly_Growth!$D$10</f>
        <v>8.7875615955324879E-2</v>
      </c>
      <c r="I930" s="15">
        <f>Yearly_Growth!$C$2</f>
        <v>5.0333827436586778E-2</v>
      </c>
      <c r="J930" s="15">
        <f>Yearly_Growth!$D$2</f>
        <v>0.03</v>
      </c>
      <c r="K930">
        <f>Sales_Per_Representative!$C$3</f>
        <v>762157</v>
      </c>
      <c r="L930">
        <f>Sales_Per_Rep_Yearly_Goal!$B$2</f>
        <v>665544.80000000005</v>
      </c>
      <c r="M930">
        <f>Sales_Per_Rep_Yearly_Goal!$C$2</f>
        <v>650000</v>
      </c>
    </row>
    <row r="931" spans="1:13" x14ac:dyDescent="0.3">
      <c r="A931" s="3">
        <v>45177</v>
      </c>
      <c r="B931">
        <f t="shared" si="14"/>
        <v>2023</v>
      </c>
      <c r="C931">
        <v>9</v>
      </c>
      <c r="D931" t="s">
        <v>17</v>
      </c>
      <c r="E931" t="s">
        <v>8</v>
      </c>
      <c r="F931" s="2">
        <v>3937</v>
      </c>
      <c r="G931" s="2">
        <f>Monthly_Growth!$C$10</f>
        <v>803382</v>
      </c>
      <c r="H931" s="5">
        <f>Monthly_Growth!$D$10</f>
        <v>8.7875615955324879E-2</v>
      </c>
      <c r="I931" s="15">
        <f>Yearly_Growth!$C$2</f>
        <v>5.0333827436586778E-2</v>
      </c>
      <c r="J931" s="15">
        <f>Yearly_Growth!$D$2</f>
        <v>0.03</v>
      </c>
      <c r="K931">
        <f>Sales_Per_Representative!$C$15</f>
        <v>701242</v>
      </c>
      <c r="L931">
        <f>Sales_Per_Rep_Yearly_Goal!$B$2</f>
        <v>665544.80000000005</v>
      </c>
      <c r="M931">
        <f>Sales_Per_Rep_Yearly_Goal!$C$2</f>
        <v>650000</v>
      </c>
    </row>
    <row r="932" spans="1:13" x14ac:dyDescent="0.3">
      <c r="A932" s="3">
        <v>45177</v>
      </c>
      <c r="B932">
        <f t="shared" si="14"/>
        <v>2023</v>
      </c>
      <c r="C932">
        <v>9</v>
      </c>
      <c r="D932" t="s">
        <v>17</v>
      </c>
      <c r="E932" t="s">
        <v>8</v>
      </c>
      <c r="F932" s="2">
        <v>13243</v>
      </c>
      <c r="G932" s="2">
        <f>Monthly_Growth!$C$10</f>
        <v>803382</v>
      </c>
      <c r="H932" s="5">
        <f>Monthly_Growth!$D$10</f>
        <v>8.7875615955324879E-2</v>
      </c>
      <c r="I932" s="15">
        <f>Yearly_Growth!$C$2</f>
        <v>5.0333827436586778E-2</v>
      </c>
      <c r="J932" s="15">
        <f>Yearly_Growth!$D$2</f>
        <v>0.03</v>
      </c>
      <c r="K932">
        <f>Sales_Per_Representative!$C$15</f>
        <v>701242</v>
      </c>
      <c r="L932">
        <f>Sales_Per_Rep_Yearly_Goal!$B$2</f>
        <v>665544.80000000005</v>
      </c>
      <c r="M932">
        <f>Sales_Per_Rep_Yearly_Goal!$C$2</f>
        <v>650000</v>
      </c>
    </row>
    <row r="933" spans="1:13" x14ac:dyDescent="0.3">
      <c r="A933" s="3">
        <v>45177</v>
      </c>
      <c r="B933">
        <f t="shared" si="14"/>
        <v>2023</v>
      </c>
      <c r="C933">
        <v>9</v>
      </c>
      <c r="D933" t="s">
        <v>12</v>
      </c>
      <c r="E933" t="s">
        <v>27</v>
      </c>
      <c r="F933" s="2">
        <v>5355</v>
      </c>
      <c r="G933" s="2">
        <f>Monthly_Growth!$C$10</f>
        <v>803382</v>
      </c>
      <c r="H933" s="5">
        <f>Monthly_Growth!$D$10</f>
        <v>8.7875615955324879E-2</v>
      </c>
      <c r="I933" s="15">
        <f>Yearly_Growth!$C$2</f>
        <v>5.0333827436586778E-2</v>
      </c>
      <c r="J933" s="15">
        <f>Yearly_Growth!$D$2</f>
        <v>0.03</v>
      </c>
      <c r="K933">
        <f>Sales_Per_Representative!$C$5</f>
        <v>747962</v>
      </c>
      <c r="L933">
        <f>Sales_Per_Rep_Yearly_Goal!$B$2</f>
        <v>665544.80000000005</v>
      </c>
      <c r="M933">
        <f>Sales_Per_Rep_Yearly_Goal!$C$2</f>
        <v>650000</v>
      </c>
    </row>
    <row r="934" spans="1:13" x14ac:dyDescent="0.3">
      <c r="A934" s="3">
        <v>45178</v>
      </c>
      <c r="B934">
        <f t="shared" si="14"/>
        <v>2023</v>
      </c>
      <c r="C934">
        <v>9</v>
      </c>
      <c r="D934" t="s">
        <v>19</v>
      </c>
      <c r="E934" t="s">
        <v>33</v>
      </c>
      <c r="F934" s="2">
        <v>2201</v>
      </c>
      <c r="G934" s="2">
        <f>Monthly_Growth!$C$10</f>
        <v>803382</v>
      </c>
      <c r="H934" s="5">
        <f>Monthly_Growth!$D$10</f>
        <v>8.7875615955324879E-2</v>
      </c>
      <c r="I934" s="15">
        <f>Yearly_Growth!$C$2</f>
        <v>5.0333827436586778E-2</v>
      </c>
      <c r="J934" s="15">
        <f>Yearly_Growth!$D$2</f>
        <v>0.03</v>
      </c>
      <c r="K934">
        <f>Sales_Per_Representative!$C$11</f>
        <v>496886</v>
      </c>
      <c r="L934">
        <f>Sales_Per_Rep_Yearly_Goal!$B$2</f>
        <v>665544.80000000005</v>
      </c>
      <c r="M934">
        <f>Sales_Per_Rep_Yearly_Goal!$C$2</f>
        <v>650000</v>
      </c>
    </row>
    <row r="935" spans="1:13" x14ac:dyDescent="0.3">
      <c r="A935" s="3">
        <v>45178</v>
      </c>
      <c r="B935">
        <f t="shared" si="14"/>
        <v>2023</v>
      </c>
      <c r="C935">
        <v>9</v>
      </c>
      <c r="D935" t="s">
        <v>17</v>
      </c>
      <c r="E935" t="s">
        <v>18</v>
      </c>
      <c r="F935" s="2">
        <v>5211</v>
      </c>
      <c r="G935" s="2">
        <f>Monthly_Growth!$C$10</f>
        <v>803382</v>
      </c>
      <c r="H935" s="5">
        <f>Monthly_Growth!$D$10</f>
        <v>8.7875615955324879E-2</v>
      </c>
      <c r="I935" s="15">
        <f>Yearly_Growth!$C$2</f>
        <v>5.0333827436586778E-2</v>
      </c>
      <c r="J935" s="15">
        <f>Yearly_Growth!$D$2</f>
        <v>0.03</v>
      </c>
      <c r="K935">
        <f>Sales_Per_Representative!$C$9</f>
        <v>550835</v>
      </c>
      <c r="L935">
        <f>Sales_Per_Rep_Yearly_Goal!$B$2</f>
        <v>665544.80000000005</v>
      </c>
      <c r="M935">
        <f>Sales_Per_Rep_Yearly_Goal!$C$2</f>
        <v>650000</v>
      </c>
    </row>
    <row r="936" spans="1:13" x14ac:dyDescent="0.3">
      <c r="A936" s="3">
        <v>45179</v>
      </c>
      <c r="B936">
        <f t="shared" si="14"/>
        <v>2023</v>
      </c>
      <c r="C936">
        <v>9</v>
      </c>
      <c r="D936" t="s">
        <v>14</v>
      </c>
      <c r="E936" t="s">
        <v>32</v>
      </c>
      <c r="F936" s="2">
        <v>13400</v>
      </c>
      <c r="G936" s="2">
        <f>Monthly_Growth!$C$10</f>
        <v>803382</v>
      </c>
      <c r="H936" s="5">
        <f>Monthly_Growth!$D$10</f>
        <v>8.7875615955324879E-2</v>
      </c>
      <c r="I936" s="15">
        <f>Yearly_Growth!$C$2</f>
        <v>5.0333827436586778E-2</v>
      </c>
      <c r="J936" s="15">
        <f>Yearly_Growth!$D$2</f>
        <v>0.03</v>
      </c>
      <c r="K936">
        <f>Sales_Per_Representative!$C$3</f>
        <v>762157</v>
      </c>
      <c r="L936">
        <f>Sales_Per_Rep_Yearly_Goal!$B$2</f>
        <v>665544.80000000005</v>
      </c>
      <c r="M936">
        <f>Sales_Per_Rep_Yearly_Goal!$C$2</f>
        <v>650000</v>
      </c>
    </row>
    <row r="937" spans="1:13" x14ac:dyDescent="0.3">
      <c r="A937" s="3">
        <v>45179</v>
      </c>
      <c r="B937">
        <f t="shared" si="14"/>
        <v>2023</v>
      </c>
      <c r="C937">
        <v>9</v>
      </c>
      <c r="D937" t="s">
        <v>14</v>
      </c>
      <c r="E937" t="s">
        <v>29</v>
      </c>
      <c r="F937" s="2">
        <v>10774</v>
      </c>
      <c r="G937" s="2">
        <f>Monthly_Growth!$C$10</f>
        <v>803382</v>
      </c>
      <c r="H937" s="5">
        <f>Monthly_Growth!$D$10</f>
        <v>8.7875615955324879E-2</v>
      </c>
      <c r="I937" s="15">
        <f>Yearly_Growth!$C$2</f>
        <v>5.0333827436586778E-2</v>
      </c>
      <c r="J937" s="15">
        <f>Yearly_Growth!$D$2</f>
        <v>0.03</v>
      </c>
      <c r="K937">
        <f>Sales_Per_Representative!$C$13</f>
        <v>621548</v>
      </c>
      <c r="L937">
        <f>Sales_Per_Rep_Yearly_Goal!$B$2</f>
        <v>665544.80000000005</v>
      </c>
      <c r="M937">
        <f>Sales_Per_Rep_Yearly_Goal!$C$2</f>
        <v>650000</v>
      </c>
    </row>
    <row r="938" spans="1:13" x14ac:dyDescent="0.3">
      <c r="A938" s="3">
        <v>45179</v>
      </c>
      <c r="B938">
        <f t="shared" si="14"/>
        <v>2023</v>
      </c>
      <c r="C938">
        <v>9</v>
      </c>
      <c r="D938" t="s">
        <v>19</v>
      </c>
      <c r="E938" t="s">
        <v>24</v>
      </c>
      <c r="F938" s="2">
        <v>6943</v>
      </c>
      <c r="G938" s="2">
        <f>Monthly_Growth!$C$10</f>
        <v>803382</v>
      </c>
      <c r="H938" s="5">
        <f>Monthly_Growth!$D$10</f>
        <v>8.7875615955324879E-2</v>
      </c>
      <c r="I938" s="15">
        <f>Yearly_Growth!$C$2</f>
        <v>5.0333827436586778E-2</v>
      </c>
      <c r="J938" s="15">
        <f>Yearly_Growth!$D$2</f>
        <v>0.03</v>
      </c>
      <c r="K938">
        <f>Sales_Per_Representative!$C$2</f>
        <v>631195</v>
      </c>
      <c r="L938">
        <f>Sales_Per_Rep_Yearly_Goal!$B$2</f>
        <v>665544.80000000005</v>
      </c>
      <c r="M938">
        <f>Sales_Per_Rep_Yearly_Goal!$C$2</f>
        <v>650000</v>
      </c>
    </row>
    <row r="939" spans="1:13" x14ac:dyDescent="0.3">
      <c r="A939" s="3">
        <v>45179</v>
      </c>
      <c r="B939">
        <f t="shared" si="14"/>
        <v>2023</v>
      </c>
      <c r="C939">
        <v>9</v>
      </c>
      <c r="D939" t="s">
        <v>23</v>
      </c>
      <c r="E939" t="s">
        <v>22</v>
      </c>
      <c r="F939" s="2">
        <v>2848</v>
      </c>
      <c r="G939" s="2">
        <f>Monthly_Growth!$C$10</f>
        <v>803382</v>
      </c>
      <c r="H939" s="5">
        <f>Monthly_Growth!$D$10</f>
        <v>8.7875615955324879E-2</v>
      </c>
      <c r="I939" s="15">
        <f>Yearly_Growth!$C$2</f>
        <v>5.0333827436586778E-2</v>
      </c>
      <c r="J939" s="15">
        <f>Yearly_Growth!$D$2</f>
        <v>0.03</v>
      </c>
      <c r="K939">
        <f>Sales_Per_Representative!$C$8</f>
        <v>649456</v>
      </c>
      <c r="L939">
        <f>Sales_Per_Rep_Yearly_Goal!$B$2</f>
        <v>665544.80000000005</v>
      </c>
      <c r="M939">
        <f>Sales_Per_Rep_Yearly_Goal!$C$2</f>
        <v>650000</v>
      </c>
    </row>
    <row r="940" spans="1:13" x14ac:dyDescent="0.3">
      <c r="A940" s="3">
        <v>45179</v>
      </c>
      <c r="B940">
        <f t="shared" si="14"/>
        <v>2023</v>
      </c>
      <c r="C940">
        <v>9</v>
      </c>
      <c r="D940" t="s">
        <v>25</v>
      </c>
      <c r="E940" t="s">
        <v>10</v>
      </c>
      <c r="F940" s="2">
        <v>10262</v>
      </c>
      <c r="G940" s="2">
        <f>Monthly_Growth!$C$10</f>
        <v>803382</v>
      </c>
      <c r="H940" s="5">
        <f>Monthly_Growth!$D$10</f>
        <v>8.7875615955324879E-2</v>
      </c>
      <c r="I940" s="15">
        <f>Yearly_Growth!$C$2</f>
        <v>5.0333827436586778E-2</v>
      </c>
      <c r="J940" s="15">
        <f>Yearly_Growth!$D$2</f>
        <v>0.03</v>
      </c>
      <c r="K940">
        <f>Sales_Per_Representative!$C$4</f>
        <v>725713</v>
      </c>
      <c r="L940">
        <f>Sales_Per_Rep_Yearly_Goal!$B$2</f>
        <v>665544.80000000005</v>
      </c>
      <c r="M940">
        <f>Sales_Per_Rep_Yearly_Goal!$C$2</f>
        <v>650000</v>
      </c>
    </row>
    <row r="941" spans="1:13" x14ac:dyDescent="0.3">
      <c r="A941" s="3">
        <v>45179</v>
      </c>
      <c r="B941">
        <f t="shared" si="14"/>
        <v>2023</v>
      </c>
      <c r="C941">
        <v>9</v>
      </c>
      <c r="D941" t="s">
        <v>7</v>
      </c>
      <c r="E941" t="s">
        <v>8</v>
      </c>
      <c r="F941" s="2">
        <v>1234</v>
      </c>
      <c r="G941" s="2">
        <f>Monthly_Growth!$C$10</f>
        <v>803382</v>
      </c>
      <c r="H941" s="5">
        <f>Monthly_Growth!$D$10</f>
        <v>8.7875615955324879E-2</v>
      </c>
      <c r="I941" s="15">
        <f>Yearly_Growth!$C$2</f>
        <v>5.0333827436586778E-2</v>
      </c>
      <c r="J941" s="15">
        <f>Yearly_Growth!$D$2</f>
        <v>0.03</v>
      </c>
      <c r="K941">
        <f>Sales_Per_Representative!$C$15</f>
        <v>701242</v>
      </c>
      <c r="L941">
        <f>Sales_Per_Rep_Yearly_Goal!$B$2</f>
        <v>665544.80000000005</v>
      </c>
      <c r="M941">
        <f>Sales_Per_Rep_Yearly_Goal!$C$2</f>
        <v>650000</v>
      </c>
    </row>
    <row r="942" spans="1:13" x14ac:dyDescent="0.3">
      <c r="A942" s="3">
        <v>45179</v>
      </c>
      <c r="B942">
        <f t="shared" si="14"/>
        <v>2023</v>
      </c>
      <c r="C942">
        <v>9</v>
      </c>
      <c r="D942" t="s">
        <v>17</v>
      </c>
      <c r="E942" t="s">
        <v>15</v>
      </c>
      <c r="F942" s="2">
        <v>3617</v>
      </c>
      <c r="G942" s="2">
        <f>Monthly_Growth!$C$10</f>
        <v>803382</v>
      </c>
      <c r="H942" s="5">
        <f>Monthly_Growth!$D$10</f>
        <v>8.7875615955324879E-2</v>
      </c>
      <c r="I942" s="15">
        <f>Yearly_Growth!$C$2</f>
        <v>5.0333827436586778E-2</v>
      </c>
      <c r="J942" s="15">
        <f>Yearly_Growth!$D$2</f>
        <v>0.03</v>
      </c>
      <c r="K942">
        <f>Sales_Per_Representative!$C$12</f>
        <v>656359</v>
      </c>
      <c r="L942">
        <f>Sales_Per_Rep_Yearly_Goal!$B$2</f>
        <v>665544.80000000005</v>
      </c>
      <c r="M942">
        <f>Sales_Per_Rep_Yearly_Goal!$C$2</f>
        <v>650000</v>
      </c>
    </row>
    <row r="943" spans="1:13" x14ac:dyDescent="0.3">
      <c r="A943" s="3">
        <v>45180</v>
      </c>
      <c r="B943">
        <f t="shared" si="14"/>
        <v>2023</v>
      </c>
      <c r="C943">
        <v>9</v>
      </c>
      <c r="D943" t="s">
        <v>23</v>
      </c>
      <c r="E943" t="s">
        <v>20</v>
      </c>
      <c r="F943" s="2">
        <v>6394</v>
      </c>
      <c r="G943" s="2">
        <f>Monthly_Growth!$C$10</f>
        <v>803382</v>
      </c>
      <c r="H943" s="5">
        <f>Monthly_Growth!$D$10</f>
        <v>8.7875615955324879E-2</v>
      </c>
      <c r="I943" s="15">
        <f>Yearly_Growth!$C$2</f>
        <v>5.0333827436586778E-2</v>
      </c>
      <c r="J943" s="15">
        <f>Yearly_Growth!$D$2</f>
        <v>0.03</v>
      </c>
      <c r="K943">
        <f>Sales_Per_Representative!$C$14</f>
        <v>675530</v>
      </c>
      <c r="L943">
        <f>Sales_Per_Rep_Yearly_Goal!$B$2</f>
        <v>665544.80000000005</v>
      </c>
      <c r="M943">
        <f>Sales_Per_Rep_Yearly_Goal!$C$2</f>
        <v>650000</v>
      </c>
    </row>
    <row r="944" spans="1:13" x14ac:dyDescent="0.3">
      <c r="A944" s="3">
        <v>45180</v>
      </c>
      <c r="B944">
        <f t="shared" si="14"/>
        <v>2023</v>
      </c>
      <c r="C944">
        <v>9</v>
      </c>
      <c r="D944" t="s">
        <v>12</v>
      </c>
      <c r="E944" t="s">
        <v>5</v>
      </c>
      <c r="F944" s="2">
        <v>2599</v>
      </c>
      <c r="G944" s="2">
        <f>Monthly_Growth!$C$10</f>
        <v>803382</v>
      </c>
      <c r="H944" s="5">
        <f>Monthly_Growth!$D$10</f>
        <v>8.7875615955324879E-2</v>
      </c>
      <c r="I944" s="15">
        <f>Yearly_Growth!$C$2</f>
        <v>5.0333827436586778E-2</v>
      </c>
      <c r="J944" s="15">
        <f>Yearly_Growth!$D$2</f>
        <v>0.03</v>
      </c>
      <c r="K944">
        <f>Sales_Per_Representative!$C$10</f>
        <v>663333</v>
      </c>
      <c r="L944">
        <f>Sales_Per_Rep_Yearly_Goal!$B$2</f>
        <v>665544.80000000005</v>
      </c>
      <c r="M944">
        <f>Sales_Per_Rep_Yearly_Goal!$C$2</f>
        <v>650000</v>
      </c>
    </row>
    <row r="945" spans="1:13" x14ac:dyDescent="0.3">
      <c r="A945" s="3">
        <v>45181</v>
      </c>
      <c r="B945">
        <f t="shared" si="14"/>
        <v>2023</v>
      </c>
      <c r="C945">
        <v>9</v>
      </c>
      <c r="D945" t="s">
        <v>19</v>
      </c>
      <c r="E945" t="s">
        <v>31</v>
      </c>
      <c r="F945" s="2">
        <v>12251</v>
      </c>
      <c r="G945" s="2">
        <f>Monthly_Growth!$C$10</f>
        <v>803382</v>
      </c>
      <c r="H945" s="5">
        <f>Monthly_Growth!$D$10</f>
        <v>8.7875615955324879E-2</v>
      </c>
      <c r="I945" s="15">
        <f>Yearly_Growth!$C$2</f>
        <v>5.0333827436586778E-2</v>
      </c>
      <c r="J945" s="15">
        <f>Yearly_Growth!$D$2</f>
        <v>0.03</v>
      </c>
      <c r="K945">
        <f>Sales_Per_Representative!$C$6</f>
        <v>727823</v>
      </c>
      <c r="L945">
        <f>Sales_Per_Rep_Yearly_Goal!$B$2</f>
        <v>665544.80000000005</v>
      </c>
      <c r="M945">
        <f>Sales_Per_Rep_Yearly_Goal!$C$2</f>
        <v>650000</v>
      </c>
    </row>
    <row r="946" spans="1:13" x14ac:dyDescent="0.3">
      <c r="A946" s="3">
        <v>45181</v>
      </c>
      <c r="B946">
        <f t="shared" si="14"/>
        <v>2023</v>
      </c>
      <c r="C946">
        <v>9</v>
      </c>
      <c r="D946" t="s">
        <v>23</v>
      </c>
      <c r="E946" t="s">
        <v>30</v>
      </c>
      <c r="F946" s="2">
        <v>1165</v>
      </c>
      <c r="G946" s="2">
        <f>Monthly_Growth!$C$10</f>
        <v>803382</v>
      </c>
      <c r="H946" s="5">
        <f>Monthly_Growth!$D$10</f>
        <v>8.7875615955324879E-2</v>
      </c>
      <c r="I946" s="15">
        <f>Yearly_Growth!$C$2</f>
        <v>5.0333827436586778E-2</v>
      </c>
      <c r="J946" s="15">
        <f>Yearly_Growth!$D$2</f>
        <v>0.03</v>
      </c>
      <c r="K946">
        <f>Sales_Per_Representative!$C$7</f>
        <v>706974</v>
      </c>
      <c r="L946">
        <f>Sales_Per_Rep_Yearly_Goal!$B$2</f>
        <v>665544.80000000005</v>
      </c>
      <c r="M946">
        <f>Sales_Per_Rep_Yearly_Goal!$C$2</f>
        <v>650000</v>
      </c>
    </row>
    <row r="947" spans="1:13" x14ac:dyDescent="0.3">
      <c r="A947" s="3">
        <v>45181</v>
      </c>
      <c r="B947">
        <f t="shared" si="14"/>
        <v>2023</v>
      </c>
      <c r="C947">
        <v>9</v>
      </c>
      <c r="D947" t="s">
        <v>25</v>
      </c>
      <c r="E947" t="s">
        <v>26</v>
      </c>
      <c r="F947" s="2">
        <v>1558</v>
      </c>
      <c r="G947" s="2">
        <f>Monthly_Growth!$C$10</f>
        <v>803382</v>
      </c>
      <c r="H947" s="5">
        <f>Monthly_Growth!$D$10</f>
        <v>8.7875615955324879E-2</v>
      </c>
      <c r="I947" s="15">
        <f>Yearly_Growth!$C$2</f>
        <v>5.0333827436586778E-2</v>
      </c>
      <c r="J947" s="15">
        <f>Yearly_Growth!$D$2</f>
        <v>0.03</v>
      </c>
      <c r="K947">
        <f>Sales_Per_Representative!$C$16</f>
        <v>666159</v>
      </c>
      <c r="L947">
        <f>Sales_Per_Rep_Yearly_Goal!$B$2</f>
        <v>665544.80000000005</v>
      </c>
      <c r="M947">
        <f>Sales_Per_Rep_Yearly_Goal!$C$2</f>
        <v>650000</v>
      </c>
    </row>
    <row r="948" spans="1:13" x14ac:dyDescent="0.3">
      <c r="A948" s="3">
        <v>45181</v>
      </c>
      <c r="B948">
        <f t="shared" si="14"/>
        <v>2023</v>
      </c>
      <c r="C948">
        <v>9</v>
      </c>
      <c r="D948" t="s">
        <v>17</v>
      </c>
      <c r="E948" t="s">
        <v>33</v>
      </c>
      <c r="F948" s="2">
        <v>2726</v>
      </c>
      <c r="G948" s="2">
        <f>Monthly_Growth!$C$10</f>
        <v>803382</v>
      </c>
      <c r="H948" s="5">
        <f>Monthly_Growth!$D$10</f>
        <v>8.7875615955324879E-2</v>
      </c>
      <c r="I948" s="15">
        <f>Yearly_Growth!$C$2</f>
        <v>5.0333827436586778E-2</v>
      </c>
      <c r="J948" s="15">
        <f>Yearly_Growth!$D$2</f>
        <v>0.03</v>
      </c>
      <c r="K948">
        <f>Sales_Per_Representative!$C$11</f>
        <v>496886</v>
      </c>
      <c r="L948">
        <f>Sales_Per_Rep_Yearly_Goal!$B$2</f>
        <v>665544.80000000005</v>
      </c>
      <c r="M948">
        <f>Sales_Per_Rep_Yearly_Goal!$C$2</f>
        <v>650000</v>
      </c>
    </row>
    <row r="949" spans="1:13" x14ac:dyDescent="0.3">
      <c r="A949" s="3">
        <v>45182</v>
      </c>
      <c r="B949">
        <f t="shared" si="14"/>
        <v>2023</v>
      </c>
      <c r="C949">
        <v>9</v>
      </c>
      <c r="D949" t="s">
        <v>19</v>
      </c>
      <c r="E949" t="s">
        <v>20</v>
      </c>
      <c r="F949" s="2">
        <v>13500</v>
      </c>
      <c r="G949" s="2">
        <f>Monthly_Growth!$C$10</f>
        <v>803382</v>
      </c>
      <c r="H949" s="5">
        <f>Monthly_Growth!$D$10</f>
        <v>8.7875615955324879E-2</v>
      </c>
      <c r="I949" s="15">
        <f>Yearly_Growth!$C$2</f>
        <v>5.0333827436586778E-2</v>
      </c>
      <c r="J949" s="15">
        <f>Yearly_Growth!$D$2</f>
        <v>0.03</v>
      </c>
      <c r="K949">
        <f>Sales_Per_Representative!$C$14</f>
        <v>675530</v>
      </c>
      <c r="L949">
        <f>Sales_Per_Rep_Yearly_Goal!$B$2</f>
        <v>665544.80000000005</v>
      </c>
      <c r="M949">
        <f>Sales_Per_Rep_Yearly_Goal!$C$2</f>
        <v>650000</v>
      </c>
    </row>
    <row r="950" spans="1:13" x14ac:dyDescent="0.3">
      <c r="A950" s="3">
        <v>45182</v>
      </c>
      <c r="B950">
        <f t="shared" si="14"/>
        <v>2023</v>
      </c>
      <c r="C950">
        <v>9</v>
      </c>
      <c r="D950" t="s">
        <v>23</v>
      </c>
      <c r="E950" t="s">
        <v>31</v>
      </c>
      <c r="F950" s="2">
        <v>6990</v>
      </c>
      <c r="G950" s="2">
        <f>Monthly_Growth!$C$10</f>
        <v>803382</v>
      </c>
      <c r="H950" s="5">
        <f>Monthly_Growth!$D$10</f>
        <v>8.7875615955324879E-2</v>
      </c>
      <c r="I950" s="15">
        <f>Yearly_Growth!$C$2</f>
        <v>5.0333827436586778E-2</v>
      </c>
      <c r="J950" s="15">
        <f>Yearly_Growth!$D$2</f>
        <v>0.03</v>
      </c>
      <c r="K950">
        <f>Sales_Per_Representative!$C$6</f>
        <v>727823</v>
      </c>
      <c r="L950">
        <f>Sales_Per_Rep_Yearly_Goal!$B$2</f>
        <v>665544.80000000005</v>
      </c>
      <c r="M950">
        <f>Sales_Per_Rep_Yearly_Goal!$C$2</f>
        <v>650000</v>
      </c>
    </row>
    <row r="951" spans="1:13" x14ac:dyDescent="0.3">
      <c r="A951" s="3">
        <v>45182</v>
      </c>
      <c r="B951">
        <f t="shared" si="14"/>
        <v>2023</v>
      </c>
      <c r="C951">
        <v>9</v>
      </c>
      <c r="D951" t="s">
        <v>25</v>
      </c>
      <c r="E951" t="s">
        <v>29</v>
      </c>
      <c r="F951" s="2">
        <v>3080</v>
      </c>
      <c r="G951" s="2">
        <f>Monthly_Growth!$C$10</f>
        <v>803382</v>
      </c>
      <c r="H951" s="5">
        <f>Monthly_Growth!$D$10</f>
        <v>8.7875615955324879E-2</v>
      </c>
      <c r="I951" s="15">
        <f>Yearly_Growth!$C$2</f>
        <v>5.0333827436586778E-2</v>
      </c>
      <c r="J951" s="15">
        <f>Yearly_Growth!$D$2</f>
        <v>0.03</v>
      </c>
      <c r="K951">
        <f>Sales_Per_Representative!$C$13</f>
        <v>621548</v>
      </c>
      <c r="L951">
        <f>Sales_Per_Rep_Yearly_Goal!$B$2</f>
        <v>665544.80000000005</v>
      </c>
      <c r="M951">
        <f>Sales_Per_Rep_Yearly_Goal!$C$2</f>
        <v>650000</v>
      </c>
    </row>
    <row r="952" spans="1:13" x14ac:dyDescent="0.3">
      <c r="A952" s="3">
        <v>45182</v>
      </c>
      <c r="B952">
        <f t="shared" si="14"/>
        <v>2023</v>
      </c>
      <c r="C952">
        <v>9</v>
      </c>
      <c r="D952" t="s">
        <v>7</v>
      </c>
      <c r="E952" t="s">
        <v>15</v>
      </c>
      <c r="F952" s="2">
        <v>6733</v>
      </c>
      <c r="G952" s="2">
        <f>Monthly_Growth!$C$10</f>
        <v>803382</v>
      </c>
      <c r="H952" s="5">
        <f>Monthly_Growth!$D$10</f>
        <v>8.7875615955324879E-2</v>
      </c>
      <c r="I952" s="15">
        <f>Yearly_Growth!$C$2</f>
        <v>5.0333827436586778E-2</v>
      </c>
      <c r="J952" s="15">
        <f>Yearly_Growth!$D$2</f>
        <v>0.03</v>
      </c>
      <c r="K952">
        <f>Sales_Per_Representative!$C$12</f>
        <v>656359</v>
      </c>
      <c r="L952">
        <f>Sales_Per_Rep_Yearly_Goal!$B$2</f>
        <v>665544.80000000005</v>
      </c>
      <c r="M952">
        <f>Sales_Per_Rep_Yearly_Goal!$C$2</f>
        <v>650000</v>
      </c>
    </row>
    <row r="953" spans="1:13" x14ac:dyDescent="0.3">
      <c r="A953" s="3">
        <v>45183</v>
      </c>
      <c r="B953">
        <f t="shared" si="14"/>
        <v>2023</v>
      </c>
      <c r="C953">
        <v>9</v>
      </c>
      <c r="D953" t="s">
        <v>19</v>
      </c>
      <c r="E953" t="s">
        <v>33</v>
      </c>
      <c r="F953" s="2">
        <v>8746</v>
      </c>
      <c r="G953" s="2">
        <f>Monthly_Growth!$C$10</f>
        <v>803382</v>
      </c>
      <c r="H953" s="5">
        <f>Monthly_Growth!$D$10</f>
        <v>8.7875615955324879E-2</v>
      </c>
      <c r="I953" s="15">
        <f>Yearly_Growth!$C$2</f>
        <v>5.0333827436586778E-2</v>
      </c>
      <c r="J953" s="15">
        <f>Yearly_Growth!$D$2</f>
        <v>0.03</v>
      </c>
      <c r="K953">
        <f>Sales_Per_Representative!$C$11</f>
        <v>496886</v>
      </c>
      <c r="L953">
        <f>Sales_Per_Rep_Yearly_Goal!$B$2</f>
        <v>665544.80000000005</v>
      </c>
      <c r="M953">
        <f>Sales_Per_Rep_Yearly_Goal!$C$2</f>
        <v>650000</v>
      </c>
    </row>
    <row r="954" spans="1:13" x14ac:dyDescent="0.3">
      <c r="A954" s="3">
        <v>45183</v>
      </c>
      <c r="B954">
        <f t="shared" si="14"/>
        <v>2023</v>
      </c>
      <c r="C954">
        <v>9</v>
      </c>
      <c r="D954" t="s">
        <v>28</v>
      </c>
      <c r="E954" t="s">
        <v>31</v>
      </c>
      <c r="F954" s="2">
        <v>6598</v>
      </c>
      <c r="G954" s="2">
        <f>Monthly_Growth!$C$10</f>
        <v>803382</v>
      </c>
      <c r="H954" s="5">
        <f>Monthly_Growth!$D$10</f>
        <v>8.7875615955324879E-2</v>
      </c>
      <c r="I954" s="15">
        <f>Yearly_Growth!$C$2</f>
        <v>5.0333827436586778E-2</v>
      </c>
      <c r="J954" s="15">
        <f>Yearly_Growth!$D$2</f>
        <v>0.03</v>
      </c>
      <c r="K954">
        <f>Sales_Per_Representative!$C$6</f>
        <v>727823</v>
      </c>
      <c r="L954">
        <f>Sales_Per_Rep_Yearly_Goal!$B$2</f>
        <v>665544.80000000005</v>
      </c>
      <c r="M954">
        <f>Sales_Per_Rep_Yearly_Goal!$C$2</f>
        <v>650000</v>
      </c>
    </row>
    <row r="955" spans="1:13" x14ac:dyDescent="0.3">
      <c r="A955" s="3">
        <v>45183</v>
      </c>
      <c r="B955">
        <f t="shared" si="14"/>
        <v>2023</v>
      </c>
      <c r="C955">
        <v>9</v>
      </c>
      <c r="D955" t="s">
        <v>12</v>
      </c>
      <c r="E955" t="s">
        <v>31</v>
      </c>
      <c r="F955" s="2">
        <v>7009</v>
      </c>
      <c r="G955" s="2">
        <f>Monthly_Growth!$C$10</f>
        <v>803382</v>
      </c>
      <c r="H955" s="5">
        <f>Monthly_Growth!$D$10</f>
        <v>8.7875615955324879E-2</v>
      </c>
      <c r="I955" s="15">
        <f>Yearly_Growth!$C$2</f>
        <v>5.0333827436586778E-2</v>
      </c>
      <c r="J955" s="15">
        <f>Yearly_Growth!$D$2</f>
        <v>0.03</v>
      </c>
      <c r="K955">
        <f>Sales_Per_Representative!$C$6</f>
        <v>727823</v>
      </c>
      <c r="L955">
        <f>Sales_Per_Rep_Yearly_Goal!$B$2</f>
        <v>665544.80000000005</v>
      </c>
      <c r="M955">
        <f>Sales_Per_Rep_Yearly_Goal!$C$2</f>
        <v>650000</v>
      </c>
    </row>
    <row r="956" spans="1:13" x14ac:dyDescent="0.3">
      <c r="A956" s="3">
        <v>45184</v>
      </c>
      <c r="B956">
        <f t="shared" si="14"/>
        <v>2023</v>
      </c>
      <c r="C956">
        <v>9</v>
      </c>
      <c r="D956" t="s">
        <v>23</v>
      </c>
      <c r="E956" t="s">
        <v>27</v>
      </c>
      <c r="F956" s="2">
        <v>12321</v>
      </c>
      <c r="G956" s="2">
        <f>Monthly_Growth!$C$10</f>
        <v>803382</v>
      </c>
      <c r="H956" s="5">
        <f>Monthly_Growth!$D$10</f>
        <v>8.7875615955324879E-2</v>
      </c>
      <c r="I956" s="15">
        <f>Yearly_Growth!$C$2</f>
        <v>5.0333827436586778E-2</v>
      </c>
      <c r="J956" s="15">
        <f>Yearly_Growth!$D$2</f>
        <v>0.03</v>
      </c>
      <c r="K956">
        <f>Sales_Per_Representative!$C$5</f>
        <v>747962</v>
      </c>
      <c r="L956">
        <f>Sales_Per_Rep_Yearly_Goal!$B$2</f>
        <v>665544.80000000005</v>
      </c>
      <c r="M956">
        <f>Sales_Per_Rep_Yearly_Goal!$C$2</f>
        <v>650000</v>
      </c>
    </row>
    <row r="957" spans="1:13" x14ac:dyDescent="0.3">
      <c r="A957" s="3">
        <v>45184</v>
      </c>
      <c r="B957">
        <f t="shared" si="14"/>
        <v>2023</v>
      </c>
      <c r="C957">
        <v>9</v>
      </c>
      <c r="D957" t="s">
        <v>12</v>
      </c>
      <c r="E957" t="s">
        <v>32</v>
      </c>
      <c r="F957" s="2">
        <v>1989</v>
      </c>
      <c r="G957" s="2">
        <f>Monthly_Growth!$C$10</f>
        <v>803382</v>
      </c>
      <c r="H957" s="5">
        <f>Monthly_Growth!$D$10</f>
        <v>8.7875615955324879E-2</v>
      </c>
      <c r="I957" s="15">
        <f>Yearly_Growth!$C$2</f>
        <v>5.0333827436586778E-2</v>
      </c>
      <c r="J957" s="15">
        <f>Yearly_Growth!$D$2</f>
        <v>0.03</v>
      </c>
      <c r="K957">
        <f>Sales_Per_Representative!$C$3</f>
        <v>762157</v>
      </c>
      <c r="L957">
        <f>Sales_Per_Rep_Yearly_Goal!$B$2</f>
        <v>665544.80000000005</v>
      </c>
      <c r="M957">
        <f>Sales_Per_Rep_Yearly_Goal!$C$2</f>
        <v>650000</v>
      </c>
    </row>
    <row r="958" spans="1:13" x14ac:dyDescent="0.3">
      <c r="A958" s="3">
        <v>45185</v>
      </c>
      <c r="B958">
        <f t="shared" si="14"/>
        <v>2023</v>
      </c>
      <c r="C958">
        <v>9</v>
      </c>
      <c r="D958" t="s">
        <v>14</v>
      </c>
      <c r="E958" t="s">
        <v>15</v>
      </c>
      <c r="F958" s="2">
        <v>8632</v>
      </c>
      <c r="G958" s="2">
        <f>Monthly_Growth!$C$10</f>
        <v>803382</v>
      </c>
      <c r="H958" s="5">
        <f>Monthly_Growth!$D$10</f>
        <v>8.7875615955324879E-2</v>
      </c>
      <c r="I958" s="15">
        <f>Yearly_Growth!$C$2</f>
        <v>5.0333827436586778E-2</v>
      </c>
      <c r="J958" s="15">
        <f>Yearly_Growth!$D$2</f>
        <v>0.03</v>
      </c>
      <c r="K958">
        <f>Sales_Per_Representative!$C$12</f>
        <v>656359</v>
      </c>
      <c r="L958">
        <f>Sales_Per_Rep_Yearly_Goal!$B$2</f>
        <v>665544.80000000005</v>
      </c>
      <c r="M958">
        <f>Sales_Per_Rep_Yearly_Goal!$C$2</f>
        <v>650000</v>
      </c>
    </row>
    <row r="959" spans="1:13" x14ac:dyDescent="0.3">
      <c r="A959" s="3">
        <v>45185</v>
      </c>
      <c r="B959">
        <f t="shared" si="14"/>
        <v>2023</v>
      </c>
      <c r="C959">
        <v>9</v>
      </c>
      <c r="D959" t="s">
        <v>19</v>
      </c>
      <c r="E959" t="s">
        <v>10</v>
      </c>
      <c r="F959" s="2">
        <v>10924</v>
      </c>
      <c r="G959" s="2">
        <f>Monthly_Growth!$C$10</f>
        <v>803382</v>
      </c>
      <c r="H959" s="5">
        <f>Monthly_Growth!$D$10</f>
        <v>8.7875615955324879E-2</v>
      </c>
      <c r="I959" s="15">
        <f>Yearly_Growth!$C$2</f>
        <v>5.0333827436586778E-2</v>
      </c>
      <c r="J959" s="15">
        <f>Yearly_Growth!$D$2</f>
        <v>0.03</v>
      </c>
      <c r="K959">
        <f>Sales_Per_Representative!$C$4</f>
        <v>725713</v>
      </c>
      <c r="L959">
        <f>Sales_Per_Rep_Yearly_Goal!$B$2</f>
        <v>665544.80000000005</v>
      </c>
      <c r="M959">
        <f>Sales_Per_Rep_Yearly_Goal!$C$2</f>
        <v>650000</v>
      </c>
    </row>
    <row r="960" spans="1:13" x14ac:dyDescent="0.3">
      <c r="A960" s="3">
        <v>45185</v>
      </c>
      <c r="B960">
        <f t="shared" si="14"/>
        <v>2023</v>
      </c>
      <c r="C960">
        <v>9</v>
      </c>
      <c r="D960" t="s">
        <v>19</v>
      </c>
      <c r="E960" t="s">
        <v>33</v>
      </c>
      <c r="F960" s="2">
        <v>4544</v>
      </c>
      <c r="G960" s="2">
        <f>Monthly_Growth!$C$10</f>
        <v>803382</v>
      </c>
      <c r="H960" s="5">
        <f>Monthly_Growth!$D$10</f>
        <v>8.7875615955324879E-2</v>
      </c>
      <c r="I960" s="15">
        <f>Yearly_Growth!$C$2</f>
        <v>5.0333827436586778E-2</v>
      </c>
      <c r="J960" s="15">
        <f>Yearly_Growth!$D$2</f>
        <v>0.03</v>
      </c>
      <c r="K960">
        <f>Sales_Per_Representative!$C$11</f>
        <v>496886</v>
      </c>
      <c r="L960">
        <f>Sales_Per_Rep_Yearly_Goal!$B$2</f>
        <v>665544.80000000005</v>
      </c>
      <c r="M960">
        <f>Sales_Per_Rep_Yearly_Goal!$C$2</f>
        <v>650000</v>
      </c>
    </row>
    <row r="961" spans="1:13" x14ac:dyDescent="0.3">
      <c r="A961" s="3">
        <v>45185</v>
      </c>
      <c r="B961">
        <f t="shared" si="14"/>
        <v>2023</v>
      </c>
      <c r="C961">
        <v>9</v>
      </c>
      <c r="D961" t="s">
        <v>19</v>
      </c>
      <c r="E961" t="s">
        <v>18</v>
      </c>
      <c r="F961" s="2">
        <v>4241</v>
      </c>
      <c r="G961" s="2">
        <f>Monthly_Growth!$C$10</f>
        <v>803382</v>
      </c>
      <c r="H961" s="5">
        <f>Monthly_Growth!$D$10</f>
        <v>8.7875615955324879E-2</v>
      </c>
      <c r="I961" s="15">
        <f>Yearly_Growth!$C$2</f>
        <v>5.0333827436586778E-2</v>
      </c>
      <c r="J961" s="15">
        <f>Yearly_Growth!$D$2</f>
        <v>0.03</v>
      </c>
      <c r="K961">
        <f>Sales_Per_Representative!$C$9</f>
        <v>550835</v>
      </c>
      <c r="L961">
        <f>Sales_Per_Rep_Yearly_Goal!$B$2</f>
        <v>665544.80000000005</v>
      </c>
      <c r="M961">
        <f>Sales_Per_Rep_Yearly_Goal!$C$2</f>
        <v>650000</v>
      </c>
    </row>
    <row r="962" spans="1:13" x14ac:dyDescent="0.3">
      <c r="A962" s="3">
        <v>45185</v>
      </c>
      <c r="B962">
        <f t="shared" si="14"/>
        <v>2023</v>
      </c>
      <c r="C962">
        <v>9</v>
      </c>
      <c r="D962" t="s">
        <v>25</v>
      </c>
      <c r="E962" t="s">
        <v>29</v>
      </c>
      <c r="F962" s="2">
        <v>7038</v>
      </c>
      <c r="G962" s="2">
        <f>Monthly_Growth!$C$10</f>
        <v>803382</v>
      </c>
      <c r="H962" s="5">
        <f>Monthly_Growth!$D$10</f>
        <v>8.7875615955324879E-2</v>
      </c>
      <c r="I962" s="15">
        <f>Yearly_Growth!$C$2</f>
        <v>5.0333827436586778E-2</v>
      </c>
      <c r="J962" s="15">
        <f>Yearly_Growth!$D$2</f>
        <v>0.03</v>
      </c>
      <c r="K962">
        <f>Sales_Per_Representative!$C$13</f>
        <v>621548</v>
      </c>
      <c r="L962">
        <f>Sales_Per_Rep_Yearly_Goal!$B$2</f>
        <v>665544.80000000005</v>
      </c>
      <c r="M962">
        <f>Sales_Per_Rep_Yearly_Goal!$C$2</f>
        <v>650000</v>
      </c>
    </row>
    <row r="963" spans="1:13" x14ac:dyDescent="0.3">
      <c r="A963" s="3">
        <v>45185</v>
      </c>
      <c r="B963">
        <f t="shared" ref="B963:B1026" si="15">YEAR(A963)</f>
        <v>2023</v>
      </c>
      <c r="C963">
        <v>9</v>
      </c>
      <c r="D963" t="s">
        <v>28</v>
      </c>
      <c r="E963" t="s">
        <v>31</v>
      </c>
      <c r="F963" s="2">
        <v>8532</v>
      </c>
      <c r="G963" s="2">
        <f>Monthly_Growth!$C$10</f>
        <v>803382</v>
      </c>
      <c r="H963" s="5">
        <f>Monthly_Growth!$D$10</f>
        <v>8.7875615955324879E-2</v>
      </c>
      <c r="I963" s="15">
        <f>Yearly_Growth!$C$2</f>
        <v>5.0333827436586778E-2</v>
      </c>
      <c r="J963" s="15">
        <f>Yearly_Growth!$D$2</f>
        <v>0.03</v>
      </c>
      <c r="K963">
        <f>Sales_Per_Representative!$C$6</f>
        <v>727823</v>
      </c>
      <c r="L963">
        <f>Sales_Per_Rep_Yearly_Goal!$B$2</f>
        <v>665544.80000000005</v>
      </c>
      <c r="M963">
        <f>Sales_Per_Rep_Yearly_Goal!$C$2</f>
        <v>650000</v>
      </c>
    </row>
    <row r="964" spans="1:13" x14ac:dyDescent="0.3">
      <c r="A964" s="3">
        <v>45185</v>
      </c>
      <c r="B964">
        <f t="shared" si="15"/>
        <v>2023</v>
      </c>
      <c r="C964">
        <v>9</v>
      </c>
      <c r="D964" t="s">
        <v>12</v>
      </c>
      <c r="E964" t="s">
        <v>18</v>
      </c>
      <c r="F964" s="2">
        <v>6783</v>
      </c>
      <c r="G964" s="2">
        <f>Monthly_Growth!$C$10</f>
        <v>803382</v>
      </c>
      <c r="H964" s="5">
        <f>Monthly_Growth!$D$10</f>
        <v>8.7875615955324879E-2</v>
      </c>
      <c r="I964" s="15">
        <f>Yearly_Growth!$C$2</f>
        <v>5.0333827436586778E-2</v>
      </c>
      <c r="J964" s="15">
        <f>Yearly_Growth!$D$2</f>
        <v>0.03</v>
      </c>
      <c r="K964">
        <f>Sales_Per_Representative!$C$9</f>
        <v>550835</v>
      </c>
      <c r="L964">
        <f>Sales_Per_Rep_Yearly_Goal!$B$2</f>
        <v>665544.80000000005</v>
      </c>
      <c r="M964">
        <f>Sales_Per_Rep_Yearly_Goal!$C$2</f>
        <v>650000</v>
      </c>
    </row>
    <row r="965" spans="1:13" x14ac:dyDescent="0.3">
      <c r="A965" s="3">
        <v>45186</v>
      </c>
      <c r="B965">
        <f t="shared" si="15"/>
        <v>2023</v>
      </c>
      <c r="C965">
        <v>9</v>
      </c>
      <c r="D965" t="s">
        <v>12</v>
      </c>
      <c r="E965" t="s">
        <v>24</v>
      </c>
      <c r="F965" s="2">
        <v>11744</v>
      </c>
      <c r="G965" s="2">
        <f>Monthly_Growth!$C$10</f>
        <v>803382</v>
      </c>
      <c r="H965" s="5">
        <f>Monthly_Growth!$D$10</f>
        <v>8.7875615955324879E-2</v>
      </c>
      <c r="I965" s="15">
        <f>Yearly_Growth!$C$2</f>
        <v>5.0333827436586778E-2</v>
      </c>
      <c r="J965" s="15">
        <f>Yearly_Growth!$D$2</f>
        <v>0.03</v>
      </c>
      <c r="K965">
        <f>Sales_Per_Representative!$C$2</f>
        <v>631195</v>
      </c>
      <c r="L965">
        <f>Sales_Per_Rep_Yearly_Goal!$B$2</f>
        <v>665544.80000000005</v>
      </c>
      <c r="M965">
        <f>Sales_Per_Rep_Yearly_Goal!$C$2</f>
        <v>650000</v>
      </c>
    </row>
    <row r="966" spans="1:13" x14ac:dyDescent="0.3">
      <c r="A966" s="3">
        <v>45187</v>
      </c>
      <c r="B966">
        <f t="shared" si="15"/>
        <v>2023</v>
      </c>
      <c r="C966">
        <v>9</v>
      </c>
      <c r="D966" t="s">
        <v>19</v>
      </c>
      <c r="E966" t="s">
        <v>31</v>
      </c>
      <c r="F966" s="2">
        <v>9834</v>
      </c>
      <c r="G966" s="2">
        <f>Monthly_Growth!$C$10</f>
        <v>803382</v>
      </c>
      <c r="H966" s="5">
        <f>Monthly_Growth!$D$10</f>
        <v>8.7875615955324879E-2</v>
      </c>
      <c r="I966" s="15">
        <f>Yearly_Growth!$C$2</f>
        <v>5.0333827436586778E-2</v>
      </c>
      <c r="J966" s="15">
        <f>Yearly_Growth!$D$2</f>
        <v>0.03</v>
      </c>
      <c r="K966">
        <f>Sales_Per_Representative!$C$6</f>
        <v>727823</v>
      </c>
      <c r="L966">
        <f>Sales_Per_Rep_Yearly_Goal!$B$2</f>
        <v>665544.80000000005</v>
      </c>
      <c r="M966">
        <f>Sales_Per_Rep_Yearly_Goal!$C$2</f>
        <v>650000</v>
      </c>
    </row>
    <row r="967" spans="1:13" x14ac:dyDescent="0.3">
      <c r="A967" s="3">
        <v>45187</v>
      </c>
      <c r="B967">
        <f t="shared" si="15"/>
        <v>2023</v>
      </c>
      <c r="C967">
        <v>9</v>
      </c>
      <c r="D967" t="s">
        <v>28</v>
      </c>
      <c r="E967" t="s">
        <v>22</v>
      </c>
      <c r="F967" s="2">
        <v>2907</v>
      </c>
      <c r="G967" s="2">
        <f>Monthly_Growth!$C$10</f>
        <v>803382</v>
      </c>
      <c r="H967" s="5">
        <f>Monthly_Growth!$D$10</f>
        <v>8.7875615955324879E-2</v>
      </c>
      <c r="I967" s="15">
        <f>Yearly_Growth!$C$2</f>
        <v>5.0333827436586778E-2</v>
      </c>
      <c r="J967" s="15">
        <f>Yearly_Growth!$D$2</f>
        <v>0.03</v>
      </c>
      <c r="K967">
        <f>Sales_Per_Representative!$C$8</f>
        <v>649456</v>
      </c>
      <c r="L967">
        <f>Sales_Per_Rep_Yearly_Goal!$B$2</f>
        <v>665544.80000000005</v>
      </c>
      <c r="M967">
        <f>Sales_Per_Rep_Yearly_Goal!$C$2</f>
        <v>650000</v>
      </c>
    </row>
    <row r="968" spans="1:13" x14ac:dyDescent="0.3">
      <c r="A968" s="3">
        <v>45187</v>
      </c>
      <c r="B968">
        <f t="shared" si="15"/>
        <v>2023</v>
      </c>
      <c r="C968">
        <v>9</v>
      </c>
      <c r="D968" t="s">
        <v>17</v>
      </c>
      <c r="E968" t="s">
        <v>18</v>
      </c>
      <c r="F968" s="2">
        <v>8978</v>
      </c>
      <c r="G968" s="2">
        <f>Monthly_Growth!$C$10</f>
        <v>803382</v>
      </c>
      <c r="H968" s="5">
        <f>Monthly_Growth!$D$10</f>
        <v>8.7875615955324879E-2</v>
      </c>
      <c r="I968" s="15">
        <f>Yearly_Growth!$C$2</f>
        <v>5.0333827436586778E-2</v>
      </c>
      <c r="J968" s="15">
        <f>Yearly_Growth!$D$2</f>
        <v>0.03</v>
      </c>
      <c r="K968">
        <f>Sales_Per_Representative!$C$9</f>
        <v>550835</v>
      </c>
      <c r="L968">
        <f>Sales_Per_Rep_Yearly_Goal!$B$2</f>
        <v>665544.80000000005</v>
      </c>
      <c r="M968">
        <f>Sales_Per_Rep_Yearly_Goal!$C$2</f>
        <v>650000</v>
      </c>
    </row>
    <row r="969" spans="1:13" x14ac:dyDescent="0.3">
      <c r="A969" s="3">
        <v>45188</v>
      </c>
      <c r="B969">
        <f t="shared" si="15"/>
        <v>2023</v>
      </c>
      <c r="C969">
        <v>9</v>
      </c>
      <c r="D969" t="s">
        <v>25</v>
      </c>
      <c r="E969" t="s">
        <v>32</v>
      </c>
      <c r="F969" s="2">
        <v>4775</v>
      </c>
      <c r="G969" s="2">
        <f>Monthly_Growth!$C$10</f>
        <v>803382</v>
      </c>
      <c r="H969" s="5">
        <f>Monthly_Growth!$D$10</f>
        <v>8.7875615955324879E-2</v>
      </c>
      <c r="I969" s="15">
        <f>Yearly_Growth!$C$2</f>
        <v>5.0333827436586778E-2</v>
      </c>
      <c r="J969" s="15">
        <f>Yearly_Growth!$D$2</f>
        <v>0.03</v>
      </c>
      <c r="K969">
        <f>Sales_Per_Representative!$C$3</f>
        <v>762157</v>
      </c>
      <c r="L969">
        <f>Sales_Per_Rep_Yearly_Goal!$B$2</f>
        <v>665544.80000000005</v>
      </c>
      <c r="M969">
        <f>Sales_Per_Rep_Yearly_Goal!$C$2</f>
        <v>650000</v>
      </c>
    </row>
    <row r="970" spans="1:13" x14ac:dyDescent="0.3">
      <c r="A970" s="3">
        <v>45188</v>
      </c>
      <c r="B970">
        <f t="shared" si="15"/>
        <v>2023</v>
      </c>
      <c r="C970">
        <v>9</v>
      </c>
      <c r="D970" t="s">
        <v>25</v>
      </c>
      <c r="E970" t="s">
        <v>18</v>
      </c>
      <c r="F970" s="2">
        <v>1463</v>
      </c>
      <c r="G970" s="2">
        <f>Monthly_Growth!$C$10</f>
        <v>803382</v>
      </c>
      <c r="H970" s="5">
        <f>Monthly_Growth!$D$10</f>
        <v>8.7875615955324879E-2</v>
      </c>
      <c r="I970" s="15">
        <f>Yearly_Growth!$C$2</f>
        <v>5.0333827436586778E-2</v>
      </c>
      <c r="J970" s="15">
        <f>Yearly_Growth!$D$2</f>
        <v>0.03</v>
      </c>
      <c r="K970">
        <f>Sales_Per_Representative!$C$9</f>
        <v>550835</v>
      </c>
      <c r="L970">
        <f>Sales_Per_Rep_Yearly_Goal!$B$2</f>
        <v>665544.80000000005</v>
      </c>
      <c r="M970">
        <f>Sales_Per_Rep_Yearly_Goal!$C$2</f>
        <v>650000</v>
      </c>
    </row>
    <row r="971" spans="1:13" x14ac:dyDescent="0.3">
      <c r="A971" s="3">
        <v>45188</v>
      </c>
      <c r="B971">
        <f t="shared" si="15"/>
        <v>2023</v>
      </c>
      <c r="C971">
        <v>9</v>
      </c>
      <c r="D971" t="s">
        <v>28</v>
      </c>
      <c r="E971" t="s">
        <v>26</v>
      </c>
      <c r="F971" s="2">
        <v>12153</v>
      </c>
      <c r="G971" s="2">
        <f>Monthly_Growth!$C$10</f>
        <v>803382</v>
      </c>
      <c r="H971" s="5">
        <f>Monthly_Growth!$D$10</f>
        <v>8.7875615955324879E-2</v>
      </c>
      <c r="I971" s="15">
        <f>Yearly_Growth!$C$2</f>
        <v>5.0333827436586778E-2</v>
      </c>
      <c r="J971" s="15">
        <f>Yearly_Growth!$D$2</f>
        <v>0.03</v>
      </c>
      <c r="K971">
        <f>Sales_Per_Representative!$C$16</f>
        <v>666159</v>
      </c>
      <c r="L971">
        <f>Sales_Per_Rep_Yearly_Goal!$B$2</f>
        <v>665544.80000000005</v>
      </c>
      <c r="M971">
        <f>Sales_Per_Rep_Yearly_Goal!$C$2</f>
        <v>650000</v>
      </c>
    </row>
    <row r="972" spans="1:13" x14ac:dyDescent="0.3">
      <c r="A972" s="3">
        <v>45188</v>
      </c>
      <c r="B972">
        <f t="shared" si="15"/>
        <v>2023</v>
      </c>
      <c r="C972">
        <v>9</v>
      </c>
      <c r="D972" t="s">
        <v>12</v>
      </c>
      <c r="E972" t="s">
        <v>22</v>
      </c>
      <c r="F972" s="2">
        <v>5418</v>
      </c>
      <c r="G972" s="2">
        <f>Monthly_Growth!$C$10</f>
        <v>803382</v>
      </c>
      <c r="H972" s="5">
        <f>Monthly_Growth!$D$10</f>
        <v>8.7875615955324879E-2</v>
      </c>
      <c r="I972" s="15">
        <f>Yearly_Growth!$C$2</f>
        <v>5.0333827436586778E-2</v>
      </c>
      <c r="J972" s="15">
        <f>Yearly_Growth!$D$2</f>
        <v>0.03</v>
      </c>
      <c r="K972">
        <f>Sales_Per_Representative!$C$8</f>
        <v>649456</v>
      </c>
      <c r="L972">
        <f>Sales_Per_Rep_Yearly_Goal!$B$2</f>
        <v>665544.80000000005</v>
      </c>
      <c r="M972">
        <f>Sales_Per_Rep_Yearly_Goal!$C$2</f>
        <v>650000</v>
      </c>
    </row>
    <row r="973" spans="1:13" x14ac:dyDescent="0.3">
      <c r="A973" s="3">
        <v>45189</v>
      </c>
      <c r="B973">
        <f t="shared" si="15"/>
        <v>2023</v>
      </c>
      <c r="C973">
        <v>9</v>
      </c>
      <c r="D973" t="s">
        <v>19</v>
      </c>
      <c r="E973" t="s">
        <v>22</v>
      </c>
      <c r="F973" s="2">
        <v>11101</v>
      </c>
      <c r="G973" s="2">
        <f>Monthly_Growth!$C$10</f>
        <v>803382</v>
      </c>
      <c r="H973" s="5">
        <f>Monthly_Growth!$D$10</f>
        <v>8.7875615955324879E-2</v>
      </c>
      <c r="I973" s="15">
        <f>Yearly_Growth!$C$2</f>
        <v>5.0333827436586778E-2</v>
      </c>
      <c r="J973" s="15">
        <f>Yearly_Growth!$D$2</f>
        <v>0.03</v>
      </c>
      <c r="K973">
        <f>Sales_Per_Representative!$C$8</f>
        <v>649456</v>
      </c>
      <c r="L973">
        <f>Sales_Per_Rep_Yearly_Goal!$B$2</f>
        <v>665544.80000000005</v>
      </c>
      <c r="M973">
        <f>Sales_Per_Rep_Yearly_Goal!$C$2</f>
        <v>650000</v>
      </c>
    </row>
    <row r="974" spans="1:13" x14ac:dyDescent="0.3">
      <c r="A974" s="3">
        <v>45189</v>
      </c>
      <c r="B974">
        <f t="shared" si="15"/>
        <v>2023</v>
      </c>
      <c r="C974">
        <v>9</v>
      </c>
      <c r="D974" t="s">
        <v>19</v>
      </c>
      <c r="E974" t="s">
        <v>31</v>
      </c>
      <c r="F974" s="2">
        <v>8294</v>
      </c>
      <c r="G974" s="2">
        <f>Monthly_Growth!$C$10</f>
        <v>803382</v>
      </c>
      <c r="H974" s="5">
        <f>Monthly_Growth!$D$10</f>
        <v>8.7875615955324879E-2</v>
      </c>
      <c r="I974" s="15">
        <f>Yearly_Growth!$C$2</f>
        <v>5.0333827436586778E-2</v>
      </c>
      <c r="J974" s="15">
        <f>Yearly_Growth!$D$2</f>
        <v>0.03</v>
      </c>
      <c r="K974">
        <f>Sales_Per_Representative!$C$6</f>
        <v>727823</v>
      </c>
      <c r="L974">
        <f>Sales_Per_Rep_Yearly_Goal!$B$2</f>
        <v>665544.80000000005</v>
      </c>
      <c r="M974">
        <f>Sales_Per_Rep_Yearly_Goal!$C$2</f>
        <v>650000</v>
      </c>
    </row>
    <row r="975" spans="1:13" x14ac:dyDescent="0.3">
      <c r="A975" s="3">
        <v>45189</v>
      </c>
      <c r="B975">
        <f t="shared" si="15"/>
        <v>2023</v>
      </c>
      <c r="C975">
        <v>9</v>
      </c>
      <c r="D975" t="s">
        <v>23</v>
      </c>
      <c r="E975" t="s">
        <v>33</v>
      </c>
      <c r="F975" s="2">
        <v>10339</v>
      </c>
      <c r="G975" s="2">
        <f>Monthly_Growth!$C$10</f>
        <v>803382</v>
      </c>
      <c r="H975" s="5">
        <f>Monthly_Growth!$D$10</f>
        <v>8.7875615955324879E-2</v>
      </c>
      <c r="I975" s="15">
        <f>Yearly_Growth!$C$2</f>
        <v>5.0333827436586778E-2</v>
      </c>
      <c r="J975" s="15">
        <f>Yearly_Growth!$D$2</f>
        <v>0.03</v>
      </c>
      <c r="K975">
        <f>Sales_Per_Representative!$C$11</f>
        <v>496886</v>
      </c>
      <c r="L975">
        <f>Sales_Per_Rep_Yearly_Goal!$B$2</f>
        <v>665544.80000000005</v>
      </c>
      <c r="M975">
        <f>Sales_Per_Rep_Yearly_Goal!$C$2</f>
        <v>650000</v>
      </c>
    </row>
    <row r="976" spans="1:13" x14ac:dyDescent="0.3">
      <c r="A976" s="3">
        <v>45189</v>
      </c>
      <c r="B976">
        <f t="shared" si="15"/>
        <v>2023</v>
      </c>
      <c r="C976">
        <v>9</v>
      </c>
      <c r="D976" t="s">
        <v>23</v>
      </c>
      <c r="E976" t="s">
        <v>26</v>
      </c>
      <c r="F976" s="2">
        <v>12774</v>
      </c>
      <c r="G976" s="2">
        <f>Monthly_Growth!$C$10</f>
        <v>803382</v>
      </c>
      <c r="H976" s="5">
        <f>Monthly_Growth!$D$10</f>
        <v>8.7875615955324879E-2</v>
      </c>
      <c r="I976" s="15">
        <f>Yearly_Growth!$C$2</f>
        <v>5.0333827436586778E-2</v>
      </c>
      <c r="J976" s="15">
        <f>Yearly_Growth!$D$2</f>
        <v>0.03</v>
      </c>
      <c r="K976">
        <f>Sales_Per_Representative!$C$16</f>
        <v>666159</v>
      </c>
      <c r="L976">
        <f>Sales_Per_Rep_Yearly_Goal!$B$2</f>
        <v>665544.80000000005</v>
      </c>
      <c r="M976">
        <f>Sales_Per_Rep_Yearly_Goal!$C$2</f>
        <v>650000</v>
      </c>
    </row>
    <row r="977" spans="1:13" x14ac:dyDescent="0.3">
      <c r="A977" s="3">
        <v>45189</v>
      </c>
      <c r="B977">
        <f t="shared" si="15"/>
        <v>2023</v>
      </c>
      <c r="C977">
        <v>9</v>
      </c>
      <c r="D977" t="s">
        <v>28</v>
      </c>
      <c r="E977" t="s">
        <v>27</v>
      </c>
      <c r="F977" s="2">
        <v>5526</v>
      </c>
      <c r="G977" s="2">
        <f>Monthly_Growth!$C$10</f>
        <v>803382</v>
      </c>
      <c r="H977" s="5">
        <f>Monthly_Growth!$D$10</f>
        <v>8.7875615955324879E-2</v>
      </c>
      <c r="I977" s="15">
        <f>Yearly_Growth!$C$2</f>
        <v>5.0333827436586778E-2</v>
      </c>
      <c r="J977" s="15">
        <f>Yearly_Growth!$D$2</f>
        <v>0.03</v>
      </c>
      <c r="K977">
        <f>Sales_Per_Representative!$C$5</f>
        <v>747962</v>
      </c>
      <c r="L977">
        <f>Sales_Per_Rep_Yearly_Goal!$B$2</f>
        <v>665544.80000000005</v>
      </c>
      <c r="M977">
        <f>Sales_Per_Rep_Yearly_Goal!$C$2</f>
        <v>650000</v>
      </c>
    </row>
    <row r="978" spans="1:13" x14ac:dyDescent="0.3">
      <c r="A978" s="3">
        <v>45189</v>
      </c>
      <c r="B978">
        <f t="shared" si="15"/>
        <v>2023</v>
      </c>
      <c r="C978">
        <v>9</v>
      </c>
      <c r="D978" t="s">
        <v>17</v>
      </c>
      <c r="E978" t="s">
        <v>26</v>
      </c>
      <c r="F978" s="2">
        <v>11767</v>
      </c>
      <c r="G978" s="2">
        <f>Monthly_Growth!$C$10</f>
        <v>803382</v>
      </c>
      <c r="H978" s="5">
        <f>Monthly_Growth!$D$10</f>
        <v>8.7875615955324879E-2</v>
      </c>
      <c r="I978" s="15">
        <f>Yearly_Growth!$C$2</f>
        <v>5.0333827436586778E-2</v>
      </c>
      <c r="J978" s="15">
        <f>Yearly_Growth!$D$2</f>
        <v>0.03</v>
      </c>
      <c r="K978">
        <f>Sales_Per_Representative!$C$16</f>
        <v>666159</v>
      </c>
      <c r="L978">
        <f>Sales_Per_Rep_Yearly_Goal!$B$2</f>
        <v>665544.80000000005</v>
      </c>
      <c r="M978">
        <f>Sales_Per_Rep_Yearly_Goal!$C$2</f>
        <v>650000</v>
      </c>
    </row>
    <row r="979" spans="1:13" x14ac:dyDescent="0.3">
      <c r="A979" s="3">
        <v>45190</v>
      </c>
      <c r="B979">
        <f t="shared" si="15"/>
        <v>2023</v>
      </c>
      <c r="C979">
        <v>9</v>
      </c>
      <c r="D979" t="s">
        <v>14</v>
      </c>
      <c r="E979" t="s">
        <v>30</v>
      </c>
      <c r="F979" s="2">
        <v>5468</v>
      </c>
      <c r="G979" s="2">
        <f>Monthly_Growth!$C$10</f>
        <v>803382</v>
      </c>
      <c r="H979" s="5">
        <f>Monthly_Growth!$D$10</f>
        <v>8.7875615955324879E-2</v>
      </c>
      <c r="I979" s="15">
        <f>Yearly_Growth!$C$2</f>
        <v>5.0333827436586778E-2</v>
      </c>
      <c r="J979" s="15">
        <f>Yearly_Growth!$D$2</f>
        <v>0.03</v>
      </c>
      <c r="K979">
        <f>Sales_Per_Representative!$C$7</f>
        <v>706974</v>
      </c>
      <c r="L979">
        <f>Sales_Per_Rep_Yearly_Goal!$B$2</f>
        <v>665544.80000000005</v>
      </c>
      <c r="M979">
        <f>Sales_Per_Rep_Yearly_Goal!$C$2</f>
        <v>650000</v>
      </c>
    </row>
    <row r="980" spans="1:13" x14ac:dyDescent="0.3">
      <c r="A980" s="3">
        <v>45190</v>
      </c>
      <c r="B980">
        <f t="shared" si="15"/>
        <v>2023</v>
      </c>
      <c r="C980">
        <v>9</v>
      </c>
      <c r="D980" t="s">
        <v>14</v>
      </c>
      <c r="E980" t="s">
        <v>20</v>
      </c>
      <c r="F980" s="2">
        <v>2834</v>
      </c>
      <c r="G980" s="2">
        <f>Monthly_Growth!$C$10</f>
        <v>803382</v>
      </c>
      <c r="H980" s="5">
        <f>Monthly_Growth!$D$10</f>
        <v>8.7875615955324879E-2</v>
      </c>
      <c r="I980" s="15">
        <f>Yearly_Growth!$C$2</f>
        <v>5.0333827436586778E-2</v>
      </c>
      <c r="J980" s="15">
        <f>Yearly_Growth!$D$2</f>
        <v>0.03</v>
      </c>
      <c r="K980">
        <f>Sales_Per_Representative!$C$14</f>
        <v>675530</v>
      </c>
      <c r="L980">
        <f>Sales_Per_Rep_Yearly_Goal!$B$2</f>
        <v>665544.80000000005</v>
      </c>
      <c r="M980">
        <f>Sales_Per_Rep_Yearly_Goal!$C$2</f>
        <v>650000</v>
      </c>
    </row>
    <row r="981" spans="1:13" x14ac:dyDescent="0.3">
      <c r="A981" s="3">
        <v>45190</v>
      </c>
      <c r="B981">
        <f t="shared" si="15"/>
        <v>2023</v>
      </c>
      <c r="C981">
        <v>9</v>
      </c>
      <c r="D981" t="s">
        <v>23</v>
      </c>
      <c r="E981" t="s">
        <v>18</v>
      </c>
      <c r="F981" s="2">
        <v>7116</v>
      </c>
      <c r="G981" s="2">
        <f>Monthly_Growth!$C$10</f>
        <v>803382</v>
      </c>
      <c r="H981" s="5">
        <f>Monthly_Growth!$D$10</f>
        <v>8.7875615955324879E-2</v>
      </c>
      <c r="I981" s="15">
        <f>Yearly_Growth!$C$2</f>
        <v>5.0333827436586778E-2</v>
      </c>
      <c r="J981" s="15">
        <f>Yearly_Growth!$D$2</f>
        <v>0.03</v>
      </c>
      <c r="K981">
        <f>Sales_Per_Representative!$C$9</f>
        <v>550835</v>
      </c>
      <c r="L981">
        <f>Sales_Per_Rep_Yearly_Goal!$B$2</f>
        <v>665544.80000000005</v>
      </c>
      <c r="M981">
        <f>Sales_Per_Rep_Yearly_Goal!$C$2</f>
        <v>650000</v>
      </c>
    </row>
    <row r="982" spans="1:13" x14ac:dyDescent="0.3">
      <c r="A982" s="3">
        <v>45190</v>
      </c>
      <c r="B982">
        <f t="shared" si="15"/>
        <v>2023</v>
      </c>
      <c r="C982">
        <v>9</v>
      </c>
      <c r="D982" t="s">
        <v>17</v>
      </c>
      <c r="E982" t="s">
        <v>27</v>
      </c>
      <c r="F982" s="2">
        <v>11586</v>
      </c>
      <c r="G982" s="2">
        <f>Monthly_Growth!$C$10</f>
        <v>803382</v>
      </c>
      <c r="H982" s="5">
        <f>Monthly_Growth!$D$10</f>
        <v>8.7875615955324879E-2</v>
      </c>
      <c r="I982" s="15">
        <f>Yearly_Growth!$C$2</f>
        <v>5.0333827436586778E-2</v>
      </c>
      <c r="J982" s="15">
        <f>Yearly_Growth!$D$2</f>
        <v>0.03</v>
      </c>
      <c r="K982">
        <f>Sales_Per_Representative!$C$5</f>
        <v>747962</v>
      </c>
      <c r="L982">
        <f>Sales_Per_Rep_Yearly_Goal!$B$2</f>
        <v>665544.80000000005</v>
      </c>
      <c r="M982">
        <f>Sales_Per_Rep_Yearly_Goal!$C$2</f>
        <v>650000</v>
      </c>
    </row>
    <row r="983" spans="1:13" x14ac:dyDescent="0.3">
      <c r="A983" s="3">
        <v>45191</v>
      </c>
      <c r="B983">
        <f t="shared" si="15"/>
        <v>2023</v>
      </c>
      <c r="C983">
        <v>9</v>
      </c>
      <c r="D983" t="s">
        <v>23</v>
      </c>
      <c r="E983" t="s">
        <v>10</v>
      </c>
      <c r="F983" s="2">
        <v>13952</v>
      </c>
      <c r="G983" s="2">
        <f>Monthly_Growth!$C$10</f>
        <v>803382</v>
      </c>
      <c r="H983" s="5">
        <f>Monthly_Growth!$D$10</f>
        <v>8.7875615955324879E-2</v>
      </c>
      <c r="I983" s="15">
        <f>Yearly_Growth!$C$2</f>
        <v>5.0333827436586778E-2</v>
      </c>
      <c r="J983" s="15">
        <f>Yearly_Growth!$D$2</f>
        <v>0.03</v>
      </c>
      <c r="K983">
        <f>Sales_Per_Representative!$C$4</f>
        <v>725713</v>
      </c>
      <c r="L983">
        <f>Sales_Per_Rep_Yearly_Goal!$B$2</f>
        <v>665544.80000000005</v>
      </c>
      <c r="M983">
        <f>Sales_Per_Rep_Yearly_Goal!$C$2</f>
        <v>650000</v>
      </c>
    </row>
    <row r="984" spans="1:13" x14ac:dyDescent="0.3">
      <c r="A984" s="3">
        <v>45191</v>
      </c>
      <c r="B984">
        <f t="shared" si="15"/>
        <v>2023</v>
      </c>
      <c r="C984">
        <v>9</v>
      </c>
      <c r="D984" t="s">
        <v>25</v>
      </c>
      <c r="E984" t="s">
        <v>32</v>
      </c>
      <c r="F984" s="2">
        <v>4497</v>
      </c>
      <c r="G984" s="2">
        <f>Monthly_Growth!$C$10</f>
        <v>803382</v>
      </c>
      <c r="H984" s="5">
        <f>Monthly_Growth!$D$10</f>
        <v>8.7875615955324879E-2</v>
      </c>
      <c r="I984" s="15">
        <f>Yearly_Growth!$C$2</f>
        <v>5.0333827436586778E-2</v>
      </c>
      <c r="J984" s="15">
        <f>Yearly_Growth!$D$2</f>
        <v>0.03</v>
      </c>
      <c r="K984">
        <f>Sales_Per_Representative!$C$3</f>
        <v>762157</v>
      </c>
      <c r="L984">
        <f>Sales_Per_Rep_Yearly_Goal!$B$2</f>
        <v>665544.80000000005</v>
      </c>
      <c r="M984">
        <f>Sales_Per_Rep_Yearly_Goal!$C$2</f>
        <v>650000</v>
      </c>
    </row>
    <row r="985" spans="1:13" x14ac:dyDescent="0.3">
      <c r="A985" s="3">
        <v>45191</v>
      </c>
      <c r="B985">
        <f t="shared" si="15"/>
        <v>2023</v>
      </c>
      <c r="C985">
        <v>9</v>
      </c>
      <c r="D985" t="s">
        <v>25</v>
      </c>
      <c r="E985" t="s">
        <v>26</v>
      </c>
      <c r="F985" s="2">
        <v>8321</v>
      </c>
      <c r="G985" s="2">
        <f>Monthly_Growth!$C$10</f>
        <v>803382</v>
      </c>
      <c r="H985" s="5">
        <f>Monthly_Growth!$D$10</f>
        <v>8.7875615955324879E-2</v>
      </c>
      <c r="I985" s="15">
        <f>Yearly_Growth!$C$2</f>
        <v>5.0333827436586778E-2</v>
      </c>
      <c r="J985" s="15">
        <f>Yearly_Growth!$D$2</f>
        <v>0.03</v>
      </c>
      <c r="K985">
        <f>Sales_Per_Representative!$C$16</f>
        <v>666159</v>
      </c>
      <c r="L985">
        <f>Sales_Per_Rep_Yearly_Goal!$B$2</f>
        <v>665544.80000000005</v>
      </c>
      <c r="M985">
        <f>Sales_Per_Rep_Yearly_Goal!$C$2</f>
        <v>650000</v>
      </c>
    </row>
    <row r="986" spans="1:13" x14ac:dyDescent="0.3">
      <c r="A986" s="3">
        <v>45191</v>
      </c>
      <c r="B986">
        <f t="shared" si="15"/>
        <v>2023</v>
      </c>
      <c r="C986">
        <v>9</v>
      </c>
      <c r="D986" t="s">
        <v>12</v>
      </c>
      <c r="E986" t="s">
        <v>27</v>
      </c>
      <c r="F986" s="2">
        <v>4097</v>
      </c>
      <c r="G986" s="2">
        <f>Monthly_Growth!$C$10</f>
        <v>803382</v>
      </c>
      <c r="H986" s="5">
        <f>Monthly_Growth!$D$10</f>
        <v>8.7875615955324879E-2</v>
      </c>
      <c r="I986" s="15">
        <f>Yearly_Growth!$C$2</f>
        <v>5.0333827436586778E-2</v>
      </c>
      <c r="J986" s="15">
        <f>Yearly_Growth!$D$2</f>
        <v>0.03</v>
      </c>
      <c r="K986">
        <f>Sales_Per_Representative!$C$5</f>
        <v>747962</v>
      </c>
      <c r="L986">
        <f>Sales_Per_Rep_Yearly_Goal!$B$2</f>
        <v>665544.80000000005</v>
      </c>
      <c r="M986">
        <f>Sales_Per_Rep_Yearly_Goal!$C$2</f>
        <v>650000</v>
      </c>
    </row>
    <row r="987" spans="1:13" x14ac:dyDescent="0.3">
      <c r="A987" s="3">
        <v>45192</v>
      </c>
      <c r="B987">
        <f t="shared" si="15"/>
        <v>2023</v>
      </c>
      <c r="C987">
        <v>9</v>
      </c>
      <c r="D987" t="s">
        <v>14</v>
      </c>
      <c r="E987" t="s">
        <v>32</v>
      </c>
      <c r="F987" s="2">
        <v>10614</v>
      </c>
      <c r="G987" s="2">
        <f>Monthly_Growth!$C$10</f>
        <v>803382</v>
      </c>
      <c r="H987" s="5">
        <f>Monthly_Growth!$D$10</f>
        <v>8.7875615955324879E-2</v>
      </c>
      <c r="I987" s="15">
        <f>Yearly_Growth!$C$2</f>
        <v>5.0333827436586778E-2</v>
      </c>
      <c r="J987" s="15">
        <f>Yearly_Growth!$D$2</f>
        <v>0.03</v>
      </c>
      <c r="K987">
        <f>Sales_Per_Representative!$C$3</f>
        <v>762157</v>
      </c>
      <c r="L987">
        <f>Sales_Per_Rep_Yearly_Goal!$B$2</f>
        <v>665544.80000000005</v>
      </c>
      <c r="M987">
        <f>Sales_Per_Rep_Yearly_Goal!$C$2</f>
        <v>650000</v>
      </c>
    </row>
    <row r="988" spans="1:13" x14ac:dyDescent="0.3">
      <c r="A988" s="3">
        <v>45192</v>
      </c>
      <c r="B988">
        <f t="shared" si="15"/>
        <v>2023</v>
      </c>
      <c r="C988">
        <v>9</v>
      </c>
      <c r="D988" t="s">
        <v>19</v>
      </c>
      <c r="E988" t="s">
        <v>31</v>
      </c>
      <c r="F988" s="2">
        <v>9727</v>
      </c>
      <c r="G988" s="2">
        <f>Monthly_Growth!$C$10</f>
        <v>803382</v>
      </c>
      <c r="H988" s="5">
        <f>Monthly_Growth!$D$10</f>
        <v>8.7875615955324879E-2</v>
      </c>
      <c r="I988" s="15">
        <f>Yearly_Growth!$C$2</f>
        <v>5.0333827436586778E-2</v>
      </c>
      <c r="J988" s="15">
        <f>Yearly_Growth!$D$2</f>
        <v>0.03</v>
      </c>
      <c r="K988">
        <f>Sales_Per_Representative!$C$6</f>
        <v>727823</v>
      </c>
      <c r="L988">
        <f>Sales_Per_Rep_Yearly_Goal!$B$2</f>
        <v>665544.80000000005</v>
      </c>
      <c r="M988">
        <f>Sales_Per_Rep_Yearly_Goal!$C$2</f>
        <v>650000</v>
      </c>
    </row>
    <row r="989" spans="1:13" x14ac:dyDescent="0.3">
      <c r="A989" s="3">
        <v>45192</v>
      </c>
      <c r="B989">
        <f t="shared" si="15"/>
        <v>2023</v>
      </c>
      <c r="C989">
        <v>9</v>
      </c>
      <c r="D989" t="s">
        <v>23</v>
      </c>
      <c r="E989" t="s">
        <v>22</v>
      </c>
      <c r="F989" s="2">
        <v>4233</v>
      </c>
      <c r="G989" s="2">
        <f>Monthly_Growth!$C$10</f>
        <v>803382</v>
      </c>
      <c r="H989" s="5">
        <f>Monthly_Growth!$D$10</f>
        <v>8.7875615955324879E-2</v>
      </c>
      <c r="I989" s="15">
        <f>Yearly_Growth!$C$2</f>
        <v>5.0333827436586778E-2</v>
      </c>
      <c r="J989" s="15">
        <f>Yearly_Growth!$D$2</f>
        <v>0.03</v>
      </c>
      <c r="K989">
        <f>Sales_Per_Representative!$C$8</f>
        <v>649456</v>
      </c>
      <c r="L989">
        <f>Sales_Per_Rep_Yearly_Goal!$B$2</f>
        <v>665544.80000000005</v>
      </c>
      <c r="M989">
        <f>Sales_Per_Rep_Yearly_Goal!$C$2</f>
        <v>650000</v>
      </c>
    </row>
    <row r="990" spans="1:13" x14ac:dyDescent="0.3">
      <c r="A990" s="3">
        <v>45192</v>
      </c>
      <c r="B990">
        <f t="shared" si="15"/>
        <v>2023</v>
      </c>
      <c r="C990">
        <v>9</v>
      </c>
      <c r="D990" t="s">
        <v>28</v>
      </c>
      <c r="E990" t="s">
        <v>15</v>
      </c>
      <c r="F990" s="2">
        <v>2172</v>
      </c>
      <c r="G990" s="2">
        <f>Monthly_Growth!$C$10</f>
        <v>803382</v>
      </c>
      <c r="H990" s="5">
        <f>Monthly_Growth!$D$10</f>
        <v>8.7875615955324879E-2</v>
      </c>
      <c r="I990" s="15">
        <f>Yearly_Growth!$C$2</f>
        <v>5.0333827436586778E-2</v>
      </c>
      <c r="J990" s="15">
        <f>Yearly_Growth!$D$2</f>
        <v>0.03</v>
      </c>
      <c r="K990">
        <f>Sales_Per_Representative!$C$12</f>
        <v>656359</v>
      </c>
      <c r="L990">
        <f>Sales_Per_Rep_Yearly_Goal!$B$2</f>
        <v>665544.80000000005</v>
      </c>
      <c r="M990">
        <f>Sales_Per_Rep_Yearly_Goal!$C$2</f>
        <v>650000</v>
      </c>
    </row>
    <row r="991" spans="1:13" x14ac:dyDescent="0.3">
      <c r="A991" s="3">
        <v>45192</v>
      </c>
      <c r="B991">
        <f t="shared" si="15"/>
        <v>2023</v>
      </c>
      <c r="C991">
        <v>9</v>
      </c>
      <c r="D991" t="s">
        <v>17</v>
      </c>
      <c r="E991" t="s">
        <v>8</v>
      </c>
      <c r="F991" s="2">
        <v>13375</v>
      </c>
      <c r="G991" s="2">
        <f>Monthly_Growth!$C$10</f>
        <v>803382</v>
      </c>
      <c r="H991" s="5">
        <f>Monthly_Growth!$D$10</f>
        <v>8.7875615955324879E-2</v>
      </c>
      <c r="I991" s="15">
        <f>Yearly_Growth!$C$2</f>
        <v>5.0333827436586778E-2</v>
      </c>
      <c r="J991" s="15">
        <f>Yearly_Growth!$D$2</f>
        <v>0.03</v>
      </c>
      <c r="K991">
        <f>Sales_Per_Representative!$C$15</f>
        <v>701242</v>
      </c>
      <c r="L991">
        <f>Sales_Per_Rep_Yearly_Goal!$B$2</f>
        <v>665544.80000000005</v>
      </c>
      <c r="M991">
        <f>Sales_Per_Rep_Yearly_Goal!$C$2</f>
        <v>650000</v>
      </c>
    </row>
    <row r="992" spans="1:13" x14ac:dyDescent="0.3">
      <c r="A992" s="3">
        <v>45192</v>
      </c>
      <c r="B992">
        <f t="shared" si="15"/>
        <v>2023</v>
      </c>
      <c r="C992">
        <v>9</v>
      </c>
      <c r="D992" t="s">
        <v>17</v>
      </c>
      <c r="E992" t="s">
        <v>22</v>
      </c>
      <c r="F992" s="2">
        <v>10455</v>
      </c>
      <c r="G992" s="2">
        <f>Monthly_Growth!$C$10</f>
        <v>803382</v>
      </c>
      <c r="H992" s="5">
        <f>Monthly_Growth!$D$10</f>
        <v>8.7875615955324879E-2</v>
      </c>
      <c r="I992" s="15">
        <f>Yearly_Growth!$C$2</f>
        <v>5.0333827436586778E-2</v>
      </c>
      <c r="J992" s="15">
        <f>Yearly_Growth!$D$2</f>
        <v>0.03</v>
      </c>
      <c r="K992">
        <f>Sales_Per_Representative!$C$8</f>
        <v>649456</v>
      </c>
      <c r="L992">
        <f>Sales_Per_Rep_Yearly_Goal!$B$2</f>
        <v>665544.80000000005</v>
      </c>
      <c r="M992">
        <f>Sales_Per_Rep_Yearly_Goal!$C$2</f>
        <v>650000</v>
      </c>
    </row>
    <row r="993" spans="1:13" x14ac:dyDescent="0.3">
      <c r="A993" s="3">
        <v>45193</v>
      </c>
      <c r="B993">
        <f t="shared" si="15"/>
        <v>2023</v>
      </c>
      <c r="C993">
        <v>9</v>
      </c>
      <c r="D993" t="s">
        <v>28</v>
      </c>
      <c r="E993" t="s">
        <v>20</v>
      </c>
      <c r="F993" s="2">
        <v>10748</v>
      </c>
      <c r="G993" s="2">
        <f>Monthly_Growth!$C$10</f>
        <v>803382</v>
      </c>
      <c r="H993" s="5">
        <f>Monthly_Growth!$D$10</f>
        <v>8.7875615955324879E-2</v>
      </c>
      <c r="I993" s="15">
        <f>Yearly_Growth!$C$2</f>
        <v>5.0333827436586778E-2</v>
      </c>
      <c r="J993" s="15">
        <f>Yearly_Growth!$D$2</f>
        <v>0.03</v>
      </c>
      <c r="K993">
        <f>Sales_Per_Representative!$C$14</f>
        <v>675530</v>
      </c>
      <c r="L993">
        <f>Sales_Per_Rep_Yearly_Goal!$B$2</f>
        <v>665544.80000000005</v>
      </c>
      <c r="M993">
        <f>Sales_Per_Rep_Yearly_Goal!$C$2</f>
        <v>650000</v>
      </c>
    </row>
    <row r="994" spans="1:13" x14ac:dyDescent="0.3">
      <c r="A994" s="3">
        <v>45194</v>
      </c>
      <c r="B994">
        <f t="shared" si="15"/>
        <v>2023</v>
      </c>
      <c r="C994">
        <v>9</v>
      </c>
      <c r="D994" t="s">
        <v>23</v>
      </c>
      <c r="E994" t="s">
        <v>29</v>
      </c>
      <c r="F994" s="2">
        <v>1947</v>
      </c>
      <c r="G994" s="2">
        <f>Monthly_Growth!$C$10</f>
        <v>803382</v>
      </c>
      <c r="H994" s="5">
        <f>Monthly_Growth!$D$10</f>
        <v>8.7875615955324879E-2</v>
      </c>
      <c r="I994" s="15">
        <f>Yearly_Growth!$C$2</f>
        <v>5.0333827436586778E-2</v>
      </c>
      <c r="J994" s="15">
        <f>Yearly_Growth!$D$2</f>
        <v>0.03</v>
      </c>
      <c r="K994">
        <f>Sales_Per_Representative!$C$13</f>
        <v>621548</v>
      </c>
      <c r="L994">
        <f>Sales_Per_Rep_Yearly_Goal!$B$2</f>
        <v>665544.80000000005</v>
      </c>
      <c r="M994">
        <f>Sales_Per_Rep_Yearly_Goal!$C$2</f>
        <v>650000</v>
      </c>
    </row>
    <row r="995" spans="1:13" x14ac:dyDescent="0.3">
      <c r="A995" s="3">
        <v>45194</v>
      </c>
      <c r="B995">
        <f t="shared" si="15"/>
        <v>2023</v>
      </c>
      <c r="C995">
        <v>9</v>
      </c>
      <c r="D995" t="s">
        <v>7</v>
      </c>
      <c r="E995" t="s">
        <v>15</v>
      </c>
      <c r="F995" s="2">
        <v>1977</v>
      </c>
      <c r="G995" s="2">
        <f>Monthly_Growth!$C$10</f>
        <v>803382</v>
      </c>
      <c r="H995" s="5">
        <f>Monthly_Growth!$D$10</f>
        <v>8.7875615955324879E-2</v>
      </c>
      <c r="I995" s="15">
        <f>Yearly_Growth!$C$2</f>
        <v>5.0333827436586778E-2</v>
      </c>
      <c r="J995" s="15">
        <f>Yearly_Growth!$D$2</f>
        <v>0.03</v>
      </c>
      <c r="K995">
        <f>Sales_Per_Representative!$C$12</f>
        <v>656359</v>
      </c>
      <c r="L995">
        <f>Sales_Per_Rep_Yearly_Goal!$B$2</f>
        <v>665544.80000000005</v>
      </c>
      <c r="M995">
        <f>Sales_Per_Rep_Yearly_Goal!$C$2</f>
        <v>650000</v>
      </c>
    </row>
    <row r="996" spans="1:13" x14ac:dyDescent="0.3">
      <c r="A996" s="3">
        <v>45194</v>
      </c>
      <c r="B996">
        <f t="shared" si="15"/>
        <v>2023</v>
      </c>
      <c r="C996">
        <v>9</v>
      </c>
      <c r="D996" t="s">
        <v>7</v>
      </c>
      <c r="E996" t="s">
        <v>26</v>
      </c>
      <c r="F996" s="2">
        <v>4819</v>
      </c>
      <c r="G996" s="2">
        <f>Monthly_Growth!$C$10</f>
        <v>803382</v>
      </c>
      <c r="H996" s="5">
        <f>Monthly_Growth!$D$10</f>
        <v>8.7875615955324879E-2</v>
      </c>
      <c r="I996" s="15">
        <f>Yearly_Growth!$C$2</f>
        <v>5.0333827436586778E-2</v>
      </c>
      <c r="J996" s="15">
        <f>Yearly_Growth!$D$2</f>
        <v>0.03</v>
      </c>
      <c r="K996">
        <f>Sales_Per_Representative!$C$16</f>
        <v>666159</v>
      </c>
      <c r="L996">
        <f>Sales_Per_Rep_Yearly_Goal!$B$2</f>
        <v>665544.80000000005</v>
      </c>
      <c r="M996">
        <f>Sales_Per_Rep_Yearly_Goal!$C$2</f>
        <v>650000</v>
      </c>
    </row>
    <row r="997" spans="1:13" x14ac:dyDescent="0.3">
      <c r="A997" s="3">
        <v>45194</v>
      </c>
      <c r="B997">
        <f t="shared" si="15"/>
        <v>2023</v>
      </c>
      <c r="C997">
        <v>9</v>
      </c>
      <c r="D997" t="s">
        <v>28</v>
      </c>
      <c r="E997" t="s">
        <v>15</v>
      </c>
      <c r="F997" s="2">
        <v>12960</v>
      </c>
      <c r="G997" s="2">
        <f>Monthly_Growth!$C$10</f>
        <v>803382</v>
      </c>
      <c r="H997" s="5">
        <f>Monthly_Growth!$D$10</f>
        <v>8.7875615955324879E-2</v>
      </c>
      <c r="I997" s="15">
        <f>Yearly_Growth!$C$2</f>
        <v>5.0333827436586778E-2</v>
      </c>
      <c r="J997" s="15">
        <f>Yearly_Growth!$D$2</f>
        <v>0.03</v>
      </c>
      <c r="K997">
        <f>Sales_Per_Representative!$C$12</f>
        <v>656359</v>
      </c>
      <c r="L997">
        <f>Sales_Per_Rep_Yearly_Goal!$B$2</f>
        <v>665544.80000000005</v>
      </c>
      <c r="M997">
        <f>Sales_Per_Rep_Yearly_Goal!$C$2</f>
        <v>650000</v>
      </c>
    </row>
    <row r="998" spans="1:13" x14ac:dyDescent="0.3">
      <c r="A998" s="3">
        <v>45194</v>
      </c>
      <c r="B998">
        <f t="shared" si="15"/>
        <v>2023</v>
      </c>
      <c r="C998">
        <v>9</v>
      </c>
      <c r="D998" t="s">
        <v>12</v>
      </c>
      <c r="E998" t="s">
        <v>18</v>
      </c>
      <c r="F998" s="2">
        <v>1404</v>
      </c>
      <c r="G998" s="2">
        <f>Monthly_Growth!$C$10</f>
        <v>803382</v>
      </c>
      <c r="H998" s="5">
        <f>Monthly_Growth!$D$10</f>
        <v>8.7875615955324879E-2</v>
      </c>
      <c r="I998" s="15">
        <f>Yearly_Growth!$C$2</f>
        <v>5.0333827436586778E-2</v>
      </c>
      <c r="J998" s="15">
        <f>Yearly_Growth!$D$2</f>
        <v>0.03</v>
      </c>
      <c r="K998">
        <f>Sales_Per_Representative!$C$9</f>
        <v>550835</v>
      </c>
      <c r="L998">
        <f>Sales_Per_Rep_Yearly_Goal!$B$2</f>
        <v>665544.80000000005</v>
      </c>
      <c r="M998">
        <f>Sales_Per_Rep_Yearly_Goal!$C$2</f>
        <v>650000</v>
      </c>
    </row>
    <row r="999" spans="1:13" x14ac:dyDescent="0.3">
      <c r="A999" s="3">
        <v>45195</v>
      </c>
      <c r="B999">
        <f t="shared" si="15"/>
        <v>2023</v>
      </c>
      <c r="C999">
        <v>9</v>
      </c>
      <c r="D999" t="s">
        <v>12</v>
      </c>
      <c r="E999" t="s">
        <v>27</v>
      </c>
      <c r="F999" s="2">
        <v>10356</v>
      </c>
      <c r="G999" s="2">
        <f>Monthly_Growth!$C$10</f>
        <v>803382</v>
      </c>
      <c r="H999" s="5">
        <f>Monthly_Growth!$D$10</f>
        <v>8.7875615955324879E-2</v>
      </c>
      <c r="I999" s="15">
        <f>Yearly_Growth!$C$2</f>
        <v>5.0333827436586778E-2</v>
      </c>
      <c r="J999" s="15">
        <f>Yearly_Growth!$D$2</f>
        <v>0.03</v>
      </c>
      <c r="K999">
        <f>Sales_Per_Representative!$C$5</f>
        <v>747962</v>
      </c>
      <c r="L999">
        <f>Sales_Per_Rep_Yearly_Goal!$B$2</f>
        <v>665544.80000000005</v>
      </c>
      <c r="M999">
        <f>Sales_Per_Rep_Yearly_Goal!$C$2</f>
        <v>650000</v>
      </c>
    </row>
    <row r="1000" spans="1:13" x14ac:dyDescent="0.3">
      <c r="A1000" s="3">
        <v>45195</v>
      </c>
      <c r="B1000">
        <f t="shared" si="15"/>
        <v>2023</v>
      </c>
      <c r="C1000">
        <v>9</v>
      </c>
      <c r="D1000" t="s">
        <v>12</v>
      </c>
      <c r="E1000" t="s">
        <v>8</v>
      </c>
      <c r="F1000" s="2">
        <v>12849</v>
      </c>
      <c r="G1000" s="2">
        <f>Monthly_Growth!$C$10</f>
        <v>803382</v>
      </c>
      <c r="H1000" s="5">
        <f>Monthly_Growth!$D$10</f>
        <v>8.7875615955324879E-2</v>
      </c>
      <c r="I1000" s="15">
        <f>Yearly_Growth!$C$2</f>
        <v>5.0333827436586778E-2</v>
      </c>
      <c r="J1000" s="15">
        <f>Yearly_Growth!$D$2</f>
        <v>0.03</v>
      </c>
      <c r="K1000">
        <f>Sales_Per_Representative!$C$15</f>
        <v>701242</v>
      </c>
      <c r="L1000">
        <f>Sales_Per_Rep_Yearly_Goal!$B$2</f>
        <v>665544.80000000005</v>
      </c>
      <c r="M1000">
        <f>Sales_Per_Rep_Yearly_Goal!$C$2</f>
        <v>650000</v>
      </c>
    </row>
    <row r="1001" spans="1:13" x14ac:dyDescent="0.3">
      <c r="A1001" s="3">
        <v>45196</v>
      </c>
      <c r="B1001">
        <f t="shared" si="15"/>
        <v>2023</v>
      </c>
      <c r="C1001">
        <v>9</v>
      </c>
      <c r="D1001" t="s">
        <v>25</v>
      </c>
      <c r="E1001" t="s">
        <v>18</v>
      </c>
      <c r="F1001" s="2">
        <v>1600</v>
      </c>
      <c r="G1001" s="2">
        <f>Monthly_Growth!$C$10</f>
        <v>803382</v>
      </c>
      <c r="H1001" s="5">
        <f>Monthly_Growth!$D$10</f>
        <v>8.7875615955324879E-2</v>
      </c>
      <c r="I1001" s="15">
        <f>Yearly_Growth!$C$2</f>
        <v>5.0333827436586778E-2</v>
      </c>
      <c r="J1001" s="15">
        <f>Yearly_Growth!$D$2</f>
        <v>0.03</v>
      </c>
      <c r="K1001">
        <f>Sales_Per_Representative!$C$9</f>
        <v>550835</v>
      </c>
      <c r="L1001">
        <f>Sales_Per_Rep_Yearly_Goal!$B$2</f>
        <v>665544.80000000005</v>
      </c>
      <c r="M1001">
        <f>Sales_Per_Rep_Yearly_Goal!$C$2</f>
        <v>650000</v>
      </c>
    </row>
    <row r="1002" spans="1:13" x14ac:dyDescent="0.3">
      <c r="A1002" s="3">
        <v>45196</v>
      </c>
      <c r="B1002">
        <f t="shared" si="15"/>
        <v>2023</v>
      </c>
      <c r="C1002">
        <v>9</v>
      </c>
      <c r="D1002" t="s">
        <v>25</v>
      </c>
      <c r="E1002" t="s">
        <v>24</v>
      </c>
      <c r="F1002" s="2">
        <v>4140</v>
      </c>
      <c r="G1002" s="2">
        <f>Monthly_Growth!$C$10</f>
        <v>803382</v>
      </c>
      <c r="H1002" s="5">
        <f>Monthly_Growth!$D$10</f>
        <v>8.7875615955324879E-2</v>
      </c>
      <c r="I1002" s="15">
        <f>Yearly_Growth!$C$2</f>
        <v>5.0333827436586778E-2</v>
      </c>
      <c r="J1002" s="15">
        <f>Yearly_Growth!$D$2</f>
        <v>0.03</v>
      </c>
      <c r="K1002">
        <f>Sales_Per_Representative!$C$2</f>
        <v>631195</v>
      </c>
      <c r="L1002">
        <f>Sales_Per_Rep_Yearly_Goal!$B$2</f>
        <v>665544.80000000005</v>
      </c>
      <c r="M1002">
        <f>Sales_Per_Rep_Yearly_Goal!$C$2</f>
        <v>650000</v>
      </c>
    </row>
    <row r="1003" spans="1:13" x14ac:dyDescent="0.3">
      <c r="A1003" s="3">
        <v>45196</v>
      </c>
      <c r="B1003">
        <f t="shared" si="15"/>
        <v>2023</v>
      </c>
      <c r="C1003">
        <v>9</v>
      </c>
      <c r="D1003" t="s">
        <v>7</v>
      </c>
      <c r="E1003" t="s">
        <v>26</v>
      </c>
      <c r="F1003" s="2">
        <v>2016</v>
      </c>
      <c r="G1003" s="2">
        <f>Monthly_Growth!$C$10</f>
        <v>803382</v>
      </c>
      <c r="H1003" s="5">
        <f>Monthly_Growth!$D$10</f>
        <v>8.7875615955324879E-2</v>
      </c>
      <c r="I1003" s="15">
        <f>Yearly_Growth!$C$2</f>
        <v>5.0333827436586778E-2</v>
      </c>
      <c r="J1003" s="15">
        <f>Yearly_Growth!$D$2</f>
        <v>0.03</v>
      </c>
      <c r="K1003">
        <f>Sales_Per_Representative!$C$16</f>
        <v>666159</v>
      </c>
      <c r="L1003">
        <f>Sales_Per_Rep_Yearly_Goal!$B$2</f>
        <v>665544.80000000005</v>
      </c>
      <c r="M1003">
        <f>Sales_Per_Rep_Yearly_Goal!$C$2</f>
        <v>650000</v>
      </c>
    </row>
    <row r="1004" spans="1:13" x14ac:dyDescent="0.3">
      <c r="A1004" s="3">
        <v>45196</v>
      </c>
      <c r="B1004">
        <f t="shared" si="15"/>
        <v>2023</v>
      </c>
      <c r="C1004">
        <v>9</v>
      </c>
      <c r="D1004" t="s">
        <v>17</v>
      </c>
      <c r="E1004" t="s">
        <v>18</v>
      </c>
      <c r="F1004" s="2">
        <v>3448</v>
      </c>
      <c r="G1004" s="2">
        <f>Monthly_Growth!$C$10</f>
        <v>803382</v>
      </c>
      <c r="H1004" s="5">
        <f>Monthly_Growth!$D$10</f>
        <v>8.7875615955324879E-2</v>
      </c>
      <c r="I1004" s="15">
        <f>Yearly_Growth!$C$2</f>
        <v>5.0333827436586778E-2</v>
      </c>
      <c r="J1004" s="15">
        <f>Yearly_Growth!$D$2</f>
        <v>0.03</v>
      </c>
      <c r="K1004">
        <f>Sales_Per_Representative!$C$9</f>
        <v>550835</v>
      </c>
      <c r="L1004">
        <f>Sales_Per_Rep_Yearly_Goal!$B$2</f>
        <v>665544.80000000005</v>
      </c>
      <c r="M1004">
        <f>Sales_Per_Rep_Yearly_Goal!$C$2</f>
        <v>650000</v>
      </c>
    </row>
    <row r="1005" spans="1:13" x14ac:dyDescent="0.3">
      <c r="A1005" s="3">
        <v>45197</v>
      </c>
      <c r="B1005">
        <f t="shared" si="15"/>
        <v>2023</v>
      </c>
      <c r="C1005">
        <v>9</v>
      </c>
      <c r="D1005" t="s">
        <v>7</v>
      </c>
      <c r="E1005" t="s">
        <v>33</v>
      </c>
      <c r="F1005" s="2">
        <v>1363</v>
      </c>
      <c r="G1005" s="2">
        <f>Monthly_Growth!$C$10</f>
        <v>803382</v>
      </c>
      <c r="H1005" s="5">
        <f>Monthly_Growth!$D$10</f>
        <v>8.7875615955324879E-2</v>
      </c>
      <c r="I1005" s="15">
        <f>Yearly_Growth!$C$2</f>
        <v>5.0333827436586778E-2</v>
      </c>
      <c r="J1005" s="15">
        <f>Yearly_Growth!$D$2</f>
        <v>0.03</v>
      </c>
      <c r="K1005">
        <f>Sales_Per_Representative!$C$11</f>
        <v>496886</v>
      </c>
      <c r="L1005">
        <f>Sales_Per_Rep_Yearly_Goal!$B$2</f>
        <v>665544.80000000005</v>
      </c>
      <c r="M1005">
        <f>Sales_Per_Rep_Yearly_Goal!$C$2</f>
        <v>650000</v>
      </c>
    </row>
    <row r="1006" spans="1:13" x14ac:dyDescent="0.3">
      <c r="A1006" s="3">
        <v>45198</v>
      </c>
      <c r="B1006">
        <f t="shared" si="15"/>
        <v>2023</v>
      </c>
      <c r="C1006">
        <v>9</v>
      </c>
      <c r="D1006" t="s">
        <v>19</v>
      </c>
      <c r="E1006" t="s">
        <v>8</v>
      </c>
      <c r="F1006" s="2">
        <v>4358</v>
      </c>
      <c r="G1006" s="2">
        <f>Monthly_Growth!$C$10</f>
        <v>803382</v>
      </c>
      <c r="H1006" s="5">
        <f>Monthly_Growth!$D$10</f>
        <v>8.7875615955324879E-2</v>
      </c>
      <c r="I1006" s="15">
        <f>Yearly_Growth!$C$2</f>
        <v>5.0333827436586778E-2</v>
      </c>
      <c r="J1006" s="15">
        <f>Yearly_Growth!$D$2</f>
        <v>0.03</v>
      </c>
      <c r="K1006">
        <f>Sales_Per_Representative!$C$15</f>
        <v>701242</v>
      </c>
      <c r="L1006">
        <f>Sales_Per_Rep_Yearly_Goal!$B$2</f>
        <v>665544.80000000005</v>
      </c>
      <c r="M1006">
        <f>Sales_Per_Rep_Yearly_Goal!$C$2</f>
        <v>650000</v>
      </c>
    </row>
    <row r="1007" spans="1:13" x14ac:dyDescent="0.3">
      <c r="A1007" s="3">
        <v>45198</v>
      </c>
      <c r="B1007">
        <f t="shared" si="15"/>
        <v>2023</v>
      </c>
      <c r="C1007">
        <v>9</v>
      </c>
      <c r="D1007" t="s">
        <v>25</v>
      </c>
      <c r="E1007" t="s">
        <v>24</v>
      </c>
      <c r="F1007" s="2">
        <v>3663</v>
      </c>
      <c r="G1007" s="2">
        <f>Monthly_Growth!$C$10</f>
        <v>803382</v>
      </c>
      <c r="H1007" s="5">
        <f>Monthly_Growth!$D$10</f>
        <v>8.7875615955324879E-2</v>
      </c>
      <c r="I1007" s="15">
        <f>Yearly_Growth!$C$2</f>
        <v>5.0333827436586778E-2</v>
      </c>
      <c r="J1007" s="15">
        <f>Yearly_Growth!$D$2</f>
        <v>0.03</v>
      </c>
      <c r="K1007">
        <f>Sales_Per_Representative!$C$2</f>
        <v>631195</v>
      </c>
      <c r="L1007">
        <f>Sales_Per_Rep_Yearly_Goal!$B$2</f>
        <v>665544.80000000005</v>
      </c>
      <c r="M1007">
        <f>Sales_Per_Rep_Yearly_Goal!$C$2</f>
        <v>650000</v>
      </c>
    </row>
    <row r="1008" spans="1:13" x14ac:dyDescent="0.3">
      <c r="A1008" s="3">
        <v>45198</v>
      </c>
      <c r="B1008">
        <f t="shared" si="15"/>
        <v>2023</v>
      </c>
      <c r="C1008">
        <v>9</v>
      </c>
      <c r="D1008" t="s">
        <v>7</v>
      </c>
      <c r="E1008" t="s">
        <v>18</v>
      </c>
      <c r="F1008" s="2">
        <v>1789</v>
      </c>
      <c r="G1008" s="2">
        <f>Monthly_Growth!$C$10</f>
        <v>803382</v>
      </c>
      <c r="H1008" s="5">
        <f>Monthly_Growth!$D$10</f>
        <v>8.7875615955324879E-2</v>
      </c>
      <c r="I1008" s="15">
        <f>Yearly_Growth!$C$2</f>
        <v>5.0333827436586778E-2</v>
      </c>
      <c r="J1008" s="15">
        <f>Yearly_Growth!$D$2</f>
        <v>0.03</v>
      </c>
      <c r="K1008">
        <f>Sales_Per_Representative!$C$9</f>
        <v>550835</v>
      </c>
      <c r="L1008">
        <f>Sales_Per_Rep_Yearly_Goal!$B$2</f>
        <v>665544.80000000005</v>
      </c>
      <c r="M1008">
        <f>Sales_Per_Rep_Yearly_Goal!$C$2</f>
        <v>650000</v>
      </c>
    </row>
    <row r="1009" spans="1:13" x14ac:dyDescent="0.3">
      <c r="A1009" s="3">
        <v>45198</v>
      </c>
      <c r="B1009">
        <f t="shared" si="15"/>
        <v>2023</v>
      </c>
      <c r="C1009">
        <v>9</v>
      </c>
      <c r="D1009" t="s">
        <v>12</v>
      </c>
      <c r="E1009" t="s">
        <v>20</v>
      </c>
      <c r="F1009" s="2">
        <v>13578</v>
      </c>
      <c r="G1009" s="2">
        <f>Monthly_Growth!$C$10</f>
        <v>803382</v>
      </c>
      <c r="H1009" s="5">
        <f>Monthly_Growth!$D$10</f>
        <v>8.7875615955324879E-2</v>
      </c>
      <c r="I1009" s="15">
        <f>Yearly_Growth!$C$2</f>
        <v>5.0333827436586778E-2</v>
      </c>
      <c r="J1009" s="15">
        <f>Yearly_Growth!$D$2</f>
        <v>0.03</v>
      </c>
      <c r="K1009">
        <f>Sales_Per_Representative!$C$14</f>
        <v>675530</v>
      </c>
      <c r="L1009">
        <f>Sales_Per_Rep_Yearly_Goal!$B$2</f>
        <v>665544.80000000005</v>
      </c>
      <c r="M1009">
        <f>Sales_Per_Rep_Yearly_Goal!$C$2</f>
        <v>650000</v>
      </c>
    </row>
    <row r="1010" spans="1:13" x14ac:dyDescent="0.3">
      <c r="A1010" s="3">
        <v>45199</v>
      </c>
      <c r="B1010">
        <f t="shared" si="15"/>
        <v>2023</v>
      </c>
      <c r="C1010">
        <v>9</v>
      </c>
      <c r="D1010" t="s">
        <v>23</v>
      </c>
      <c r="E1010" t="s">
        <v>10</v>
      </c>
      <c r="F1010" s="2">
        <v>10908</v>
      </c>
      <c r="G1010" s="2">
        <f>Monthly_Growth!$C$10</f>
        <v>803382</v>
      </c>
      <c r="H1010" s="5">
        <f>Monthly_Growth!$D$10</f>
        <v>8.7875615955324879E-2</v>
      </c>
      <c r="I1010" s="15">
        <f>Yearly_Growth!$C$2</f>
        <v>5.0333827436586778E-2</v>
      </c>
      <c r="J1010" s="15">
        <f>Yearly_Growth!$D$2</f>
        <v>0.03</v>
      </c>
      <c r="K1010">
        <f>Sales_Per_Representative!$C$4</f>
        <v>725713</v>
      </c>
      <c r="L1010">
        <f>Sales_Per_Rep_Yearly_Goal!$B$2</f>
        <v>665544.80000000005</v>
      </c>
      <c r="M1010">
        <f>Sales_Per_Rep_Yearly_Goal!$C$2</f>
        <v>650000</v>
      </c>
    </row>
    <row r="1011" spans="1:13" x14ac:dyDescent="0.3">
      <c r="A1011" s="3">
        <v>45199</v>
      </c>
      <c r="B1011">
        <f t="shared" si="15"/>
        <v>2023</v>
      </c>
      <c r="C1011">
        <v>9</v>
      </c>
      <c r="D1011" t="s">
        <v>23</v>
      </c>
      <c r="E1011" t="s">
        <v>10</v>
      </c>
      <c r="F1011" s="2">
        <v>7691</v>
      </c>
      <c r="G1011" s="2">
        <f>Monthly_Growth!$C$10</f>
        <v>803382</v>
      </c>
      <c r="H1011" s="5">
        <f>Monthly_Growth!$D$10</f>
        <v>8.7875615955324879E-2</v>
      </c>
      <c r="I1011" s="15">
        <f>Yearly_Growth!$C$2</f>
        <v>5.0333827436586778E-2</v>
      </c>
      <c r="J1011" s="15">
        <f>Yearly_Growth!$D$2</f>
        <v>0.03</v>
      </c>
      <c r="K1011">
        <f>Sales_Per_Representative!$C$4</f>
        <v>725713</v>
      </c>
      <c r="L1011">
        <f>Sales_Per_Rep_Yearly_Goal!$B$2</f>
        <v>665544.80000000005</v>
      </c>
      <c r="M1011">
        <f>Sales_Per_Rep_Yearly_Goal!$C$2</f>
        <v>650000</v>
      </c>
    </row>
    <row r="1012" spans="1:13" x14ac:dyDescent="0.3">
      <c r="A1012" s="3">
        <v>45199</v>
      </c>
      <c r="B1012">
        <f t="shared" si="15"/>
        <v>2023</v>
      </c>
      <c r="C1012">
        <v>9</v>
      </c>
      <c r="D1012" t="s">
        <v>25</v>
      </c>
      <c r="E1012" t="s">
        <v>29</v>
      </c>
      <c r="F1012" s="2">
        <v>11738</v>
      </c>
      <c r="G1012" s="2">
        <f>Monthly_Growth!$C$10</f>
        <v>803382</v>
      </c>
      <c r="H1012" s="5">
        <f>Monthly_Growth!$D$10</f>
        <v>8.7875615955324879E-2</v>
      </c>
      <c r="I1012" s="15">
        <f>Yearly_Growth!$C$2</f>
        <v>5.0333827436586778E-2</v>
      </c>
      <c r="J1012" s="15">
        <f>Yearly_Growth!$D$2</f>
        <v>0.03</v>
      </c>
      <c r="K1012">
        <f>Sales_Per_Representative!$C$13</f>
        <v>621548</v>
      </c>
      <c r="L1012">
        <f>Sales_Per_Rep_Yearly_Goal!$B$2</f>
        <v>665544.80000000005</v>
      </c>
      <c r="M1012">
        <f>Sales_Per_Rep_Yearly_Goal!$C$2</f>
        <v>650000</v>
      </c>
    </row>
    <row r="1013" spans="1:13" x14ac:dyDescent="0.3">
      <c r="A1013" s="3">
        <v>45199</v>
      </c>
      <c r="B1013">
        <f t="shared" si="15"/>
        <v>2023</v>
      </c>
      <c r="C1013">
        <v>9</v>
      </c>
      <c r="D1013" t="s">
        <v>25</v>
      </c>
      <c r="E1013" t="s">
        <v>10</v>
      </c>
      <c r="F1013" s="2">
        <v>11351</v>
      </c>
      <c r="G1013" s="2">
        <f>Monthly_Growth!$C$10</f>
        <v>803382</v>
      </c>
      <c r="H1013" s="5">
        <f>Monthly_Growth!$D$10</f>
        <v>8.7875615955324879E-2</v>
      </c>
      <c r="I1013" s="15">
        <f>Yearly_Growth!$C$2</f>
        <v>5.0333827436586778E-2</v>
      </c>
      <c r="J1013" s="15">
        <f>Yearly_Growth!$D$2</f>
        <v>0.03</v>
      </c>
      <c r="K1013">
        <f>Sales_Per_Representative!$C$4</f>
        <v>725713</v>
      </c>
      <c r="L1013">
        <f>Sales_Per_Rep_Yearly_Goal!$B$2</f>
        <v>665544.80000000005</v>
      </c>
      <c r="M1013">
        <f>Sales_Per_Rep_Yearly_Goal!$C$2</f>
        <v>650000</v>
      </c>
    </row>
    <row r="1014" spans="1:13" x14ac:dyDescent="0.3">
      <c r="A1014" s="3">
        <v>45199</v>
      </c>
      <c r="B1014">
        <f t="shared" si="15"/>
        <v>2023</v>
      </c>
      <c r="C1014">
        <v>9</v>
      </c>
      <c r="D1014" t="s">
        <v>25</v>
      </c>
      <c r="E1014" t="s">
        <v>32</v>
      </c>
      <c r="F1014" s="2">
        <v>7120</v>
      </c>
      <c r="G1014" s="2">
        <f>Monthly_Growth!$C$10</f>
        <v>803382</v>
      </c>
      <c r="H1014" s="5">
        <f>Monthly_Growth!$D$10</f>
        <v>8.7875615955324879E-2</v>
      </c>
      <c r="I1014" s="15">
        <f>Yearly_Growth!$C$2</f>
        <v>5.0333827436586778E-2</v>
      </c>
      <c r="J1014" s="15">
        <f>Yearly_Growth!$D$2</f>
        <v>0.03</v>
      </c>
      <c r="K1014">
        <f>Sales_Per_Representative!$C$3</f>
        <v>762157</v>
      </c>
      <c r="L1014">
        <f>Sales_Per_Rep_Yearly_Goal!$B$2</f>
        <v>665544.80000000005</v>
      </c>
      <c r="M1014">
        <f>Sales_Per_Rep_Yearly_Goal!$C$2</f>
        <v>650000</v>
      </c>
    </row>
    <row r="1015" spans="1:13" x14ac:dyDescent="0.3">
      <c r="A1015" s="3">
        <v>45199</v>
      </c>
      <c r="B1015">
        <f t="shared" si="15"/>
        <v>2023</v>
      </c>
      <c r="C1015">
        <v>9</v>
      </c>
      <c r="D1015" t="s">
        <v>7</v>
      </c>
      <c r="E1015" t="s">
        <v>10</v>
      </c>
      <c r="F1015" s="2">
        <v>5923</v>
      </c>
      <c r="G1015" s="2">
        <f>Monthly_Growth!$C$10</f>
        <v>803382</v>
      </c>
      <c r="H1015" s="5">
        <f>Monthly_Growth!$D$10</f>
        <v>8.7875615955324879E-2</v>
      </c>
      <c r="I1015" s="15">
        <f>Yearly_Growth!$C$2</f>
        <v>5.0333827436586778E-2</v>
      </c>
      <c r="J1015" s="15">
        <f>Yearly_Growth!$D$2</f>
        <v>0.03</v>
      </c>
      <c r="K1015">
        <f>Sales_Per_Representative!$C$4</f>
        <v>725713</v>
      </c>
      <c r="L1015">
        <f>Sales_Per_Rep_Yearly_Goal!$B$2</f>
        <v>665544.80000000005</v>
      </c>
      <c r="M1015">
        <f>Sales_Per_Rep_Yearly_Goal!$C$2</f>
        <v>650000</v>
      </c>
    </row>
    <row r="1016" spans="1:13" x14ac:dyDescent="0.3">
      <c r="A1016" s="3">
        <v>45199</v>
      </c>
      <c r="B1016">
        <f t="shared" si="15"/>
        <v>2023</v>
      </c>
      <c r="C1016">
        <v>9</v>
      </c>
      <c r="D1016" t="s">
        <v>28</v>
      </c>
      <c r="E1016" t="s">
        <v>32</v>
      </c>
      <c r="F1016" s="2">
        <v>12683</v>
      </c>
      <c r="G1016" s="2">
        <f>Monthly_Growth!$C$10</f>
        <v>803382</v>
      </c>
      <c r="H1016" s="5">
        <f>Monthly_Growth!$D$10</f>
        <v>8.7875615955324879E-2</v>
      </c>
      <c r="I1016" s="15">
        <f>Yearly_Growth!$C$2</f>
        <v>5.0333827436586778E-2</v>
      </c>
      <c r="J1016" s="15">
        <f>Yearly_Growth!$D$2</f>
        <v>0.03</v>
      </c>
      <c r="K1016">
        <f>Sales_Per_Representative!$C$3</f>
        <v>762157</v>
      </c>
      <c r="L1016">
        <f>Sales_Per_Rep_Yearly_Goal!$B$2</f>
        <v>665544.80000000005</v>
      </c>
      <c r="M1016">
        <f>Sales_Per_Rep_Yearly_Goal!$C$2</f>
        <v>650000</v>
      </c>
    </row>
    <row r="1017" spans="1:13" x14ac:dyDescent="0.3">
      <c r="A1017" s="3">
        <v>45199</v>
      </c>
      <c r="B1017">
        <f t="shared" si="15"/>
        <v>2023</v>
      </c>
      <c r="C1017">
        <v>9</v>
      </c>
      <c r="D1017" t="s">
        <v>12</v>
      </c>
      <c r="E1017" t="s">
        <v>24</v>
      </c>
      <c r="F1017" s="2">
        <v>11900</v>
      </c>
      <c r="G1017" s="2">
        <f>Monthly_Growth!$C$10</f>
        <v>803382</v>
      </c>
      <c r="H1017" s="5">
        <f>Monthly_Growth!$D$10</f>
        <v>8.7875615955324879E-2</v>
      </c>
      <c r="I1017" s="15">
        <f>Yearly_Growth!$C$2</f>
        <v>5.0333827436586778E-2</v>
      </c>
      <c r="J1017" s="15">
        <f>Yearly_Growth!$D$2</f>
        <v>0.03</v>
      </c>
      <c r="K1017">
        <f>Sales_Per_Representative!$C$2</f>
        <v>631195</v>
      </c>
      <c r="L1017">
        <f>Sales_Per_Rep_Yearly_Goal!$B$2</f>
        <v>665544.80000000005</v>
      </c>
      <c r="M1017">
        <f>Sales_Per_Rep_Yearly_Goal!$C$2</f>
        <v>650000</v>
      </c>
    </row>
    <row r="1018" spans="1:13" x14ac:dyDescent="0.3">
      <c r="A1018" s="3">
        <v>45200</v>
      </c>
      <c r="B1018">
        <f t="shared" si="15"/>
        <v>2023</v>
      </c>
      <c r="C1018">
        <v>10</v>
      </c>
      <c r="D1018" t="s">
        <v>14</v>
      </c>
      <c r="E1018" t="s">
        <v>15</v>
      </c>
      <c r="F1018" s="2">
        <v>5163</v>
      </c>
      <c r="G1018" s="2">
        <f>Monthly_Growth!$C$11</f>
        <v>847117</v>
      </c>
      <c r="H1018" s="5">
        <f>Monthly_Growth!$D$11</f>
        <v>5.4438610772957322E-2</v>
      </c>
      <c r="I1018" s="15">
        <f>Yearly_Growth!$C$2</f>
        <v>5.0333827436586778E-2</v>
      </c>
      <c r="J1018" s="15">
        <f>Yearly_Growth!$D$2</f>
        <v>0.03</v>
      </c>
      <c r="K1018">
        <f>Sales_Per_Representative!$C$12</f>
        <v>656359</v>
      </c>
      <c r="L1018">
        <f>Sales_Per_Rep_Yearly_Goal!$B$2</f>
        <v>665544.80000000005</v>
      </c>
      <c r="M1018">
        <f>Sales_Per_Rep_Yearly_Goal!$C$2</f>
        <v>650000</v>
      </c>
    </row>
    <row r="1019" spans="1:13" x14ac:dyDescent="0.3">
      <c r="A1019" s="3">
        <v>45202</v>
      </c>
      <c r="B1019">
        <f t="shared" si="15"/>
        <v>2023</v>
      </c>
      <c r="C1019">
        <v>10</v>
      </c>
      <c r="D1019" t="s">
        <v>28</v>
      </c>
      <c r="E1019" t="s">
        <v>20</v>
      </c>
      <c r="F1019" s="2">
        <v>9233</v>
      </c>
      <c r="G1019" s="2">
        <f>Monthly_Growth!$C$11</f>
        <v>847117</v>
      </c>
      <c r="H1019" s="5">
        <f>Monthly_Growth!$D$11</f>
        <v>5.4438610772957322E-2</v>
      </c>
      <c r="I1019" s="15">
        <f>Yearly_Growth!$C$2</f>
        <v>5.0333827436586778E-2</v>
      </c>
      <c r="J1019" s="15">
        <f>Yearly_Growth!$D$2</f>
        <v>0.03</v>
      </c>
      <c r="K1019">
        <f>Sales_Per_Representative!$C$14</f>
        <v>675530</v>
      </c>
      <c r="L1019">
        <f>Sales_Per_Rep_Yearly_Goal!$B$2</f>
        <v>665544.80000000005</v>
      </c>
      <c r="M1019">
        <f>Sales_Per_Rep_Yearly_Goal!$C$2</f>
        <v>650000</v>
      </c>
    </row>
    <row r="1020" spans="1:13" x14ac:dyDescent="0.3">
      <c r="A1020" s="3">
        <v>45203</v>
      </c>
      <c r="B1020">
        <f t="shared" si="15"/>
        <v>2023</v>
      </c>
      <c r="C1020">
        <v>10</v>
      </c>
      <c r="D1020" t="s">
        <v>14</v>
      </c>
      <c r="E1020" t="s">
        <v>30</v>
      </c>
      <c r="F1020" s="2">
        <v>8028</v>
      </c>
      <c r="G1020" s="2">
        <f>Monthly_Growth!$C$11</f>
        <v>847117</v>
      </c>
      <c r="H1020" s="5">
        <f>Monthly_Growth!$D$11</f>
        <v>5.4438610772957322E-2</v>
      </c>
      <c r="I1020" s="15">
        <f>Yearly_Growth!$C$2</f>
        <v>5.0333827436586778E-2</v>
      </c>
      <c r="J1020" s="15">
        <f>Yearly_Growth!$D$2</f>
        <v>0.03</v>
      </c>
      <c r="K1020">
        <f>Sales_Per_Representative!$C$7</f>
        <v>706974</v>
      </c>
      <c r="L1020">
        <f>Sales_Per_Rep_Yearly_Goal!$B$2</f>
        <v>665544.80000000005</v>
      </c>
      <c r="M1020">
        <f>Sales_Per_Rep_Yearly_Goal!$C$2</f>
        <v>650000</v>
      </c>
    </row>
    <row r="1021" spans="1:13" x14ac:dyDescent="0.3">
      <c r="A1021" s="3">
        <v>45203</v>
      </c>
      <c r="B1021">
        <f t="shared" si="15"/>
        <v>2023</v>
      </c>
      <c r="C1021">
        <v>10</v>
      </c>
      <c r="D1021" t="s">
        <v>14</v>
      </c>
      <c r="E1021" t="s">
        <v>30</v>
      </c>
      <c r="F1021" s="2">
        <v>12915</v>
      </c>
      <c r="G1021" s="2">
        <f>Monthly_Growth!$C$11</f>
        <v>847117</v>
      </c>
      <c r="H1021" s="5">
        <f>Monthly_Growth!$D$11</f>
        <v>5.4438610772957322E-2</v>
      </c>
      <c r="I1021" s="15">
        <f>Yearly_Growth!$C$2</f>
        <v>5.0333827436586778E-2</v>
      </c>
      <c r="J1021" s="15">
        <f>Yearly_Growth!$D$2</f>
        <v>0.03</v>
      </c>
      <c r="K1021">
        <f>Sales_Per_Representative!$C$7</f>
        <v>706974</v>
      </c>
      <c r="L1021">
        <f>Sales_Per_Rep_Yearly_Goal!$B$2</f>
        <v>665544.80000000005</v>
      </c>
      <c r="M1021">
        <f>Sales_Per_Rep_Yearly_Goal!$C$2</f>
        <v>650000</v>
      </c>
    </row>
    <row r="1022" spans="1:13" x14ac:dyDescent="0.3">
      <c r="A1022" s="3">
        <v>45203</v>
      </c>
      <c r="B1022">
        <f t="shared" si="15"/>
        <v>2023</v>
      </c>
      <c r="C1022">
        <v>10</v>
      </c>
      <c r="D1022" t="s">
        <v>19</v>
      </c>
      <c r="E1022" t="s">
        <v>20</v>
      </c>
      <c r="F1022" s="2">
        <v>12350</v>
      </c>
      <c r="G1022" s="2">
        <f>Monthly_Growth!$C$11</f>
        <v>847117</v>
      </c>
      <c r="H1022" s="5">
        <f>Monthly_Growth!$D$11</f>
        <v>5.4438610772957322E-2</v>
      </c>
      <c r="I1022" s="15">
        <f>Yearly_Growth!$C$2</f>
        <v>5.0333827436586778E-2</v>
      </c>
      <c r="J1022" s="15">
        <f>Yearly_Growth!$D$2</f>
        <v>0.03</v>
      </c>
      <c r="K1022">
        <f>Sales_Per_Representative!$C$14</f>
        <v>675530</v>
      </c>
      <c r="L1022">
        <f>Sales_Per_Rep_Yearly_Goal!$B$2</f>
        <v>665544.80000000005</v>
      </c>
      <c r="M1022">
        <f>Sales_Per_Rep_Yearly_Goal!$C$2</f>
        <v>650000</v>
      </c>
    </row>
    <row r="1023" spans="1:13" x14ac:dyDescent="0.3">
      <c r="A1023" s="3">
        <v>45203</v>
      </c>
      <c r="B1023">
        <f t="shared" si="15"/>
        <v>2023</v>
      </c>
      <c r="C1023">
        <v>10</v>
      </c>
      <c r="D1023" t="s">
        <v>25</v>
      </c>
      <c r="E1023" t="s">
        <v>31</v>
      </c>
      <c r="F1023" s="2">
        <v>12540</v>
      </c>
      <c r="G1023" s="2">
        <f>Monthly_Growth!$C$11</f>
        <v>847117</v>
      </c>
      <c r="H1023" s="5">
        <f>Monthly_Growth!$D$11</f>
        <v>5.4438610772957322E-2</v>
      </c>
      <c r="I1023" s="15">
        <f>Yearly_Growth!$C$2</f>
        <v>5.0333827436586778E-2</v>
      </c>
      <c r="J1023" s="15">
        <f>Yearly_Growth!$D$2</f>
        <v>0.03</v>
      </c>
      <c r="K1023">
        <f>Sales_Per_Representative!$C$6</f>
        <v>727823</v>
      </c>
      <c r="L1023">
        <f>Sales_Per_Rep_Yearly_Goal!$B$2</f>
        <v>665544.80000000005</v>
      </c>
      <c r="M1023">
        <f>Sales_Per_Rep_Yearly_Goal!$C$2</f>
        <v>650000</v>
      </c>
    </row>
    <row r="1024" spans="1:13" x14ac:dyDescent="0.3">
      <c r="A1024" s="3">
        <v>45204</v>
      </c>
      <c r="B1024">
        <f t="shared" si="15"/>
        <v>2023</v>
      </c>
      <c r="C1024">
        <v>10</v>
      </c>
      <c r="D1024" t="s">
        <v>19</v>
      </c>
      <c r="E1024" t="s">
        <v>30</v>
      </c>
      <c r="F1024" s="2">
        <v>4201</v>
      </c>
      <c r="G1024" s="2">
        <f>Monthly_Growth!$C$11</f>
        <v>847117</v>
      </c>
      <c r="H1024" s="5">
        <f>Monthly_Growth!$D$11</f>
        <v>5.4438610772957322E-2</v>
      </c>
      <c r="I1024" s="15">
        <f>Yearly_Growth!$C$2</f>
        <v>5.0333827436586778E-2</v>
      </c>
      <c r="J1024" s="15">
        <f>Yearly_Growth!$D$2</f>
        <v>0.03</v>
      </c>
      <c r="K1024">
        <f>Sales_Per_Representative!$C$7</f>
        <v>706974</v>
      </c>
      <c r="L1024">
        <f>Sales_Per_Rep_Yearly_Goal!$B$2</f>
        <v>665544.80000000005</v>
      </c>
      <c r="M1024">
        <f>Sales_Per_Rep_Yearly_Goal!$C$2</f>
        <v>650000</v>
      </c>
    </row>
    <row r="1025" spans="1:13" x14ac:dyDescent="0.3">
      <c r="A1025" s="3">
        <v>45205</v>
      </c>
      <c r="B1025">
        <f t="shared" si="15"/>
        <v>2023</v>
      </c>
      <c r="C1025">
        <v>10</v>
      </c>
      <c r="D1025" t="s">
        <v>23</v>
      </c>
      <c r="E1025" t="s">
        <v>18</v>
      </c>
      <c r="F1025" s="2">
        <v>12880</v>
      </c>
      <c r="G1025" s="2">
        <f>Monthly_Growth!$C$11</f>
        <v>847117</v>
      </c>
      <c r="H1025" s="5">
        <f>Monthly_Growth!$D$11</f>
        <v>5.4438610772957322E-2</v>
      </c>
      <c r="I1025" s="15">
        <f>Yearly_Growth!$C$2</f>
        <v>5.0333827436586778E-2</v>
      </c>
      <c r="J1025" s="15">
        <f>Yearly_Growth!$D$2</f>
        <v>0.03</v>
      </c>
      <c r="K1025">
        <f>Sales_Per_Representative!$C$9</f>
        <v>550835</v>
      </c>
      <c r="L1025">
        <f>Sales_Per_Rep_Yearly_Goal!$B$2</f>
        <v>665544.80000000005</v>
      </c>
      <c r="M1025">
        <f>Sales_Per_Rep_Yearly_Goal!$C$2</f>
        <v>650000</v>
      </c>
    </row>
    <row r="1026" spans="1:13" x14ac:dyDescent="0.3">
      <c r="A1026" s="3">
        <v>45205</v>
      </c>
      <c r="B1026">
        <f t="shared" si="15"/>
        <v>2023</v>
      </c>
      <c r="C1026">
        <v>10</v>
      </c>
      <c r="D1026" t="s">
        <v>25</v>
      </c>
      <c r="E1026" t="s">
        <v>20</v>
      </c>
      <c r="F1026" s="2">
        <v>8516</v>
      </c>
      <c r="G1026" s="2">
        <f>Monthly_Growth!$C$11</f>
        <v>847117</v>
      </c>
      <c r="H1026" s="5">
        <f>Monthly_Growth!$D$11</f>
        <v>5.4438610772957322E-2</v>
      </c>
      <c r="I1026" s="15">
        <f>Yearly_Growth!$C$2</f>
        <v>5.0333827436586778E-2</v>
      </c>
      <c r="J1026" s="15">
        <f>Yearly_Growth!$D$2</f>
        <v>0.03</v>
      </c>
      <c r="K1026">
        <f>Sales_Per_Representative!$C$14</f>
        <v>675530</v>
      </c>
      <c r="L1026">
        <f>Sales_Per_Rep_Yearly_Goal!$B$2</f>
        <v>665544.80000000005</v>
      </c>
      <c r="M1026">
        <f>Sales_Per_Rep_Yearly_Goal!$C$2</f>
        <v>650000</v>
      </c>
    </row>
    <row r="1027" spans="1:13" x14ac:dyDescent="0.3">
      <c r="A1027" s="3">
        <v>45205</v>
      </c>
      <c r="B1027">
        <f t="shared" ref="B1027:B1090" si="16">YEAR(A1027)</f>
        <v>2023</v>
      </c>
      <c r="C1027">
        <v>10</v>
      </c>
      <c r="D1027" t="s">
        <v>7</v>
      </c>
      <c r="E1027" t="s">
        <v>8</v>
      </c>
      <c r="F1027" s="2">
        <v>2729</v>
      </c>
      <c r="G1027" s="2">
        <f>Monthly_Growth!$C$11</f>
        <v>847117</v>
      </c>
      <c r="H1027" s="5">
        <f>Monthly_Growth!$D$11</f>
        <v>5.4438610772957322E-2</v>
      </c>
      <c r="I1027" s="15">
        <f>Yearly_Growth!$C$2</f>
        <v>5.0333827436586778E-2</v>
      </c>
      <c r="J1027" s="15">
        <f>Yearly_Growth!$D$2</f>
        <v>0.03</v>
      </c>
      <c r="K1027">
        <f>Sales_Per_Representative!$C$15</f>
        <v>701242</v>
      </c>
      <c r="L1027">
        <f>Sales_Per_Rep_Yearly_Goal!$B$2</f>
        <v>665544.80000000005</v>
      </c>
      <c r="M1027">
        <f>Sales_Per_Rep_Yearly_Goal!$C$2</f>
        <v>650000</v>
      </c>
    </row>
    <row r="1028" spans="1:13" x14ac:dyDescent="0.3">
      <c r="A1028" s="3">
        <v>45206</v>
      </c>
      <c r="B1028">
        <f t="shared" si="16"/>
        <v>2023</v>
      </c>
      <c r="C1028">
        <v>10</v>
      </c>
      <c r="D1028" t="s">
        <v>14</v>
      </c>
      <c r="E1028" t="s">
        <v>18</v>
      </c>
      <c r="F1028" s="2">
        <v>13502</v>
      </c>
      <c r="G1028" s="2">
        <f>Monthly_Growth!$C$11</f>
        <v>847117</v>
      </c>
      <c r="H1028" s="5">
        <f>Monthly_Growth!$D$11</f>
        <v>5.4438610772957322E-2</v>
      </c>
      <c r="I1028" s="15">
        <f>Yearly_Growth!$C$2</f>
        <v>5.0333827436586778E-2</v>
      </c>
      <c r="J1028" s="15">
        <f>Yearly_Growth!$D$2</f>
        <v>0.03</v>
      </c>
      <c r="K1028">
        <f>Sales_Per_Representative!$C$9</f>
        <v>550835</v>
      </c>
      <c r="L1028">
        <f>Sales_Per_Rep_Yearly_Goal!$B$2</f>
        <v>665544.80000000005</v>
      </c>
      <c r="M1028">
        <f>Sales_Per_Rep_Yearly_Goal!$C$2</f>
        <v>650000</v>
      </c>
    </row>
    <row r="1029" spans="1:13" x14ac:dyDescent="0.3">
      <c r="A1029" s="3">
        <v>45206</v>
      </c>
      <c r="B1029">
        <f t="shared" si="16"/>
        <v>2023</v>
      </c>
      <c r="C1029">
        <v>10</v>
      </c>
      <c r="D1029" t="s">
        <v>17</v>
      </c>
      <c r="E1029" t="s">
        <v>26</v>
      </c>
      <c r="F1029" s="2">
        <v>3888</v>
      </c>
      <c r="G1029" s="2">
        <f>Monthly_Growth!$C$11</f>
        <v>847117</v>
      </c>
      <c r="H1029" s="5">
        <f>Monthly_Growth!$D$11</f>
        <v>5.4438610772957322E-2</v>
      </c>
      <c r="I1029" s="15">
        <f>Yearly_Growth!$C$2</f>
        <v>5.0333827436586778E-2</v>
      </c>
      <c r="J1029" s="15">
        <f>Yearly_Growth!$D$2</f>
        <v>0.03</v>
      </c>
      <c r="K1029">
        <f>Sales_Per_Representative!$C$16</f>
        <v>666159</v>
      </c>
      <c r="L1029">
        <f>Sales_Per_Rep_Yearly_Goal!$B$2</f>
        <v>665544.80000000005</v>
      </c>
      <c r="M1029">
        <f>Sales_Per_Rep_Yearly_Goal!$C$2</f>
        <v>650000</v>
      </c>
    </row>
    <row r="1030" spans="1:13" x14ac:dyDescent="0.3">
      <c r="A1030" s="3">
        <v>45207</v>
      </c>
      <c r="B1030">
        <f t="shared" si="16"/>
        <v>2023</v>
      </c>
      <c r="C1030">
        <v>10</v>
      </c>
      <c r="D1030" t="s">
        <v>14</v>
      </c>
      <c r="E1030" t="s">
        <v>30</v>
      </c>
      <c r="F1030" s="2">
        <v>6709</v>
      </c>
      <c r="G1030" s="2">
        <f>Monthly_Growth!$C$11</f>
        <v>847117</v>
      </c>
      <c r="H1030" s="5">
        <f>Monthly_Growth!$D$11</f>
        <v>5.4438610772957322E-2</v>
      </c>
      <c r="I1030" s="15">
        <f>Yearly_Growth!$C$2</f>
        <v>5.0333827436586778E-2</v>
      </c>
      <c r="J1030" s="15">
        <f>Yearly_Growth!$D$2</f>
        <v>0.03</v>
      </c>
      <c r="K1030">
        <f>Sales_Per_Representative!$C$7</f>
        <v>706974</v>
      </c>
      <c r="L1030">
        <f>Sales_Per_Rep_Yearly_Goal!$B$2</f>
        <v>665544.80000000005</v>
      </c>
      <c r="M1030">
        <f>Sales_Per_Rep_Yearly_Goal!$C$2</f>
        <v>650000</v>
      </c>
    </row>
    <row r="1031" spans="1:13" x14ac:dyDescent="0.3">
      <c r="A1031" s="3">
        <v>45207</v>
      </c>
      <c r="B1031">
        <f t="shared" si="16"/>
        <v>2023</v>
      </c>
      <c r="C1031">
        <v>10</v>
      </c>
      <c r="D1031" t="s">
        <v>25</v>
      </c>
      <c r="E1031" t="s">
        <v>32</v>
      </c>
      <c r="F1031" s="2">
        <v>8547</v>
      </c>
      <c r="G1031" s="2">
        <f>Monthly_Growth!$C$11</f>
        <v>847117</v>
      </c>
      <c r="H1031" s="5">
        <f>Monthly_Growth!$D$11</f>
        <v>5.4438610772957322E-2</v>
      </c>
      <c r="I1031" s="15">
        <f>Yearly_Growth!$C$2</f>
        <v>5.0333827436586778E-2</v>
      </c>
      <c r="J1031" s="15">
        <f>Yearly_Growth!$D$2</f>
        <v>0.03</v>
      </c>
      <c r="K1031">
        <f>Sales_Per_Representative!$C$3</f>
        <v>762157</v>
      </c>
      <c r="L1031">
        <f>Sales_Per_Rep_Yearly_Goal!$B$2</f>
        <v>665544.80000000005</v>
      </c>
      <c r="M1031">
        <f>Sales_Per_Rep_Yearly_Goal!$C$2</f>
        <v>650000</v>
      </c>
    </row>
    <row r="1032" spans="1:13" x14ac:dyDescent="0.3">
      <c r="A1032" s="3">
        <v>45207</v>
      </c>
      <c r="B1032">
        <f t="shared" si="16"/>
        <v>2023</v>
      </c>
      <c r="C1032">
        <v>10</v>
      </c>
      <c r="D1032" t="s">
        <v>28</v>
      </c>
      <c r="E1032" t="s">
        <v>30</v>
      </c>
      <c r="F1032" s="2">
        <v>4571</v>
      </c>
      <c r="G1032" s="2">
        <f>Monthly_Growth!$C$11</f>
        <v>847117</v>
      </c>
      <c r="H1032" s="5">
        <f>Monthly_Growth!$D$11</f>
        <v>5.4438610772957322E-2</v>
      </c>
      <c r="I1032" s="15">
        <f>Yearly_Growth!$C$2</f>
        <v>5.0333827436586778E-2</v>
      </c>
      <c r="J1032" s="15">
        <f>Yearly_Growth!$D$2</f>
        <v>0.03</v>
      </c>
      <c r="K1032">
        <f>Sales_Per_Representative!$C$7</f>
        <v>706974</v>
      </c>
      <c r="L1032">
        <f>Sales_Per_Rep_Yearly_Goal!$B$2</f>
        <v>665544.80000000005</v>
      </c>
      <c r="M1032">
        <f>Sales_Per_Rep_Yearly_Goal!$C$2</f>
        <v>650000</v>
      </c>
    </row>
    <row r="1033" spans="1:13" x14ac:dyDescent="0.3">
      <c r="A1033" s="3">
        <v>45208</v>
      </c>
      <c r="B1033">
        <f t="shared" si="16"/>
        <v>2023</v>
      </c>
      <c r="C1033">
        <v>10</v>
      </c>
      <c r="D1033" t="s">
        <v>14</v>
      </c>
      <c r="E1033" t="s">
        <v>15</v>
      </c>
      <c r="F1033" s="2">
        <v>11953</v>
      </c>
      <c r="G1033" s="2">
        <f>Monthly_Growth!$C$11</f>
        <v>847117</v>
      </c>
      <c r="H1033" s="5">
        <f>Monthly_Growth!$D$11</f>
        <v>5.4438610772957322E-2</v>
      </c>
      <c r="I1033" s="15">
        <f>Yearly_Growth!$C$2</f>
        <v>5.0333827436586778E-2</v>
      </c>
      <c r="J1033" s="15">
        <f>Yearly_Growth!$D$2</f>
        <v>0.03</v>
      </c>
      <c r="K1033">
        <f>Sales_Per_Representative!$C$12</f>
        <v>656359</v>
      </c>
      <c r="L1033">
        <f>Sales_Per_Rep_Yearly_Goal!$B$2</f>
        <v>665544.80000000005</v>
      </c>
      <c r="M1033">
        <f>Sales_Per_Rep_Yearly_Goal!$C$2</f>
        <v>650000</v>
      </c>
    </row>
    <row r="1034" spans="1:13" x14ac:dyDescent="0.3">
      <c r="A1034" s="3">
        <v>45208</v>
      </c>
      <c r="B1034">
        <f t="shared" si="16"/>
        <v>2023</v>
      </c>
      <c r="C1034">
        <v>10</v>
      </c>
      <c r="D1034" t="s">
        <v>14</v>
      </c>
      <c r="E1034" t="s">
        <v>5</v>
      </c>
      <c r="F1034" s="2">
        <v>11708</v>
      </c>
      <c r="G1034" s="2">
        <f>Monthly_Growth!$C$11</f>
        <v>847117</v>
      </c>
      <c r="H1034" s="5">
        <f>Monthly_Growth!$D$11</f>
        <v>5.4438610772957322E-2</v>
      </c>
      <c r="I1034" s="15">
        <f>Yearly_Growth!$C$2</f>
        <v>5.0333827436586778E-2</v>
      </c>
      <c r="J1034" s="15">
        <f>Yearly_Growth!$D$2</f>
        <v>0.03</v>
      </c>
      <c r="K1034">
        <f>Sales_Per_Representative!$C$10</f>
        <v>663333</v>
      </c>
      <c r="L1034">
        <f>Sales_Per_Rep_Yearly_Goal!$B$2</f>
        <v>665544.80000000005</v>
      </c>
      <c r="M1034">
        <f>Sales_Per_Rep_Yearly_Goal!$C$2</f>
        <v>650000</v>
      </c>
    </row>
    <row r="1035" spans="1:13" x14ac:dyDescent="0.3">
      <c r="A1035" s="3">
        <v>45208</v>
      </c>
      <c r="B1035">
        <f t="shared" si="16"/>
        <v>2023</v>
      </c>
      <c r="C1035">
        <v>10</v>
      </c>
      <c r="D1035" t="s">
        <v>7</v>
      </c>
      <c r="E1035" t="s">
        <v>8</v>
      </c>
      <c r="F1035" s="2">
        <v>6039</v>
      </c>
      <c r="G1035" s="2">
        <f>Monthly_Growth!$C$11</f>
        <v>847117</v>
      </c>
      <c r="H1035" s="5">
        <f>Monthly_Growth!$D$11</f>
        <v>5.4438610772957322E-2</v>
      </c>
      <c r="I1035" s="15">
        <f>Yearly_Growth!$C$2</f>
        <v>5.0333827436586778E-2</v>
      </c>
      <c r="J1035" s="15">
        <f>Yearly_Growth!$D$2</f>
        <v>0.03</v>
      </c>
      <c r="K1035">
        <f>Sales_Per_Representative!$C$15</f>
        <v>701242</v>
      </c>
      <c r="L1035">
        <f>Sales_Per_Rep_Yearly_Goal!$B$2</f>
        <v>665544.80000000005</v>
      </c>
      <c r="M1035">
        <f>Sales_Per_Rep_Yearly_Goal!$C$2</f>
        <v>650000</v>
      </c>
    </row>
    <row r="1036" spans="1:13" x14ac:dyDescent="0.3">
      <c r="A1036" s="3">
        <v>45208</v>
      </c>
      <c r="B1036">
        <f t="shared" si="16"/>
        <v>2023</v>
      </c>
      <c r="C1036">
        <v>10</v>
      </c>
      <c r="D1036" t="s">
        <v>17</v>
      </c>
      <c r="E1036" t="s">
        <v>8</v>
      </c>
      <c r="F1036" s="2">
        <v>6862</v>
      </c>
      <c r="G1036" s="2">
        <f>Monthly_Growth!$C$11</f>
        <v>847117</v>
      </c>
      <c r="H1036" s="5">
        <f>Monthly_Growth!$D$11</f>
        <v>5.4438610772957322E-2</v>
      </c>
      <c r="I1036" s="15">
        <f>Yearly_Growth!$C$2</f>
        <v>5.0333827436586778E-2</v>
      </c>
      <c r="J1036" s="15">
        <f>Yearly_Growth!$D$2</f>
        <v>0.03</v>
      </c>
      <c r="K1036">
        <f>Sales_Per_Representative!$C$15</f>
        <v>701242</v>
      </c>
      <c r="L1036">
        <f>Sales_Per_Rep_Yearly_Goal!$B$2</f>
        <v>665544.80000000005</v>
      </c>
      <c r="M1036">
        <f>Sales_Per_Rep_Yearly_Goal!$C$2</f>
        <v>650000</v>
      </c>
    </row>
    <row r="1037" spans="1:13" x14ac:dyDescent="0.3">
      <c r="A1037" s="3">
        <v>45208</v>
      </c>
      <c r="B1037">
        <f t="shared" si="16"/>
        <v>2023</v>
      </c>
      <c r="C1037">
        <v>10</v>
      </c>
      <c r="D1037" t="s">
        <v>12</v>
      </c>
      <c r="E1037" t="s">
        <v>22</v>
      </c>
      <c r="F1037" s="2">
        <v>8719</v>
      </c>
      <c r="G1037" s="2">
        <f>Monthly_Growth!$C$11</f>
        <v>847117</v>
      </c>
      <c r="H1037" s="5">
        <f>Monthly_Growth!$D$11</f>
        <v>5.4438610772957322E-2</v>
      </c>
      <c r="I1037" s="15">
        <f>Yearly_Growth!$C$2</f>
        <v>5.0333827436586778E-2</v>
      </c>
      <c r="J1037" s="15">
        <f>Yearly_Growth!$D$2</f>
        <v>0.03</v>
      </c>
      <c r="K1037">
        <f>Sales_Per_Representative!$C$8</f>
        <v>649456</v>
      </c>
      <c r="L1037">
        <f>Sales_Per_Rep_Yearly_Goal!$B$2</f>
        <v>665544.80000000005</v>
      </c>
      <c r="M1037">
        <f>Sales_Per_Rep_Yearly_Goal!$C$2</f>
        <v>650000</v>
      </c>
    </row>
    <row r="1038" spans="1:13" x14ac:dyDescent="0.3">
      <c r="A1038" s="3">
        <v>45208</v>
      </c>
      <c r="B1038">
        <f t="shared" si="16"/>
        <v>2023</v>
      </c>
      <c r="C1038">
        <v>10</v>
      </c>
      <c r="D1038" t="s">
        <v>12</v>
      </c>
      <c r="E1038" t="s">
        <v>5</v>
      </c>
      <c r="F1038" s="2">
        <v>11673</v>
      </c>
      <c r="G1038" s="2">
        <f>Monthly_Growth!$C$11</f>
        <v>847117</v>
      </c>
      <c r="H1038" s="5">
        <f>Monthly_Growth!$D$11</f>
        <v>5.4438610772957322E-2</v>
      </c>
      <c r="I1038" s="15">
        <f>Yearly_Growth!$C$2</f>
        <v>5.0333827436586778E-2</v>
      </c>
      <c r="J1038" s="15">
        <f>Yearly_Growth!$D$2</f>
        <v>0.03</v>
      </c>
      <c r="K1038">
        <f>Sales_Per_Representative!$C$10</f>
        <v>663333</v>
      </c>
      <c r="L1038">
        <f>Sales_Per_Rep_Yearly_Goal!$B$2</f>
        <v>665544.80000000005</v>
      </c>
      <c r="M1038">
        <f>Sales_Per_Rep_Yearly_Goal!$C$2</f>
        <v>650000</v>
      </c>
    </row>
    <row r="1039" spans="1:13" x14ac:dyDescent="0.3">
      <c r="A1039" s="3">
        <v>45209</v>
      </c>
      <c r="B1039">
        <f t="shared" si="16"/>
        <v>2023</v>
      </c>
      <c r="C1039">
        <v>10</v>
      </c>
      <c r="D1039" t="s">
        <v>25</v>
      </c>
      <c r="E1039" t="s">
        <v>26</v>
      </c>
      <c r="F1039" s="2">
        <v>11792</v>
      </c>
      <c r="G1039" s="2">
        <f>Monthly_Growth!$C$11</f>
        <v>847117</v>
      </c>
      <c r="H1039" s="5">
        <f>Monthly_Growth!$D$11</f>
        <v>5.4438610772957322E-2</v>
      </c>
      <c r="I1039" s="15">
        <f>Yearly_Growth!$C$2</f>
        <v>5.0333827436586778E-2</v>
      </c>
      <c r="J1039" s="15">
        <f>Yearly_Growth!$D$2</f>
        <v>0.03</v>
      </c>
      <c r="K1039">
        <f>Sales_Per_Representative!$C$16</f>
        <v>666159</v>
      </c>
      <c r="L1039">
        <f>Sales_Per_Rep_Yearly_Goal!$B$2</f>
        <v>665544.80000000005</v>
      </c>
      <c r="M1039">
        <f>Sales_Per_Rep_Yearly_Goal!$C$2</f>
        <v>650000</v>
      </c>
    </row>
    <row r="1040" spans="1:13" x14ac:dyDescent="0.3">
      <c r="A1040" s="3">
        <v>45209</v>
      </c>
      <c r="B1040">
        <f t="shared" si="16"/>
        <v>2023</v>
      </c>
      <c r="C1040">
        <v>10</v>
      </c>
      <c r="D1040" t="s">
        <v>7</v>
      </c>
      <c r="E1040" t="s">
        <v>5</v>
      </c>
      <c r="F1040" s="2">
        <v>7634</v>
      </c>
      <c r="G1040" s="2">
        <f>Monthly_Growth!$C$11</f>
        <v>847117</v>
      </c>
      <c r="H1040" s="5">
        <f>Monthly_Growth!$D$11</f>
        <v>5.4438610772957322E-2</v>
      </c>
      <c r="I1040" s="15">
        <f>Yearly_Growth!$C$2</f>
        <v>5.0333827436586778E-2</v>
      </c>
      <c r="J1040" s="15">
        <f>Yearly_Growth!$D$2</f>
        <v>0.03</v>
      </c>
      <c r="K1040">
        <f>Sales_Per_Representative!$C$10</f>
        <v>663333</v>
      </c>
      <c r="L1040">
        <f>Sales_Per_Rep_Yearly_Goal!$B$2</f>
        <v>665544.80000000005</v>
      </c>
      <c r="M1040">
        <f>Sales_Per_Rep_Yearly_Goal!$C$2</f>
        <v>650000</v>
      </c>
    </row>
    <row r="1041" spans="1:13" x14ac:dyDescent="0.3">
      <c r="A1041" s="3">
        <v>45209</v>
      </c>
      <c r="B1041">
        <f t="shared" si="16"/>
        <v>2023</v>
      </c>
      <c r="C1041">
        <v>10</v>
      </c>
      <c r="D1041" t="s">
        <v>17</v>
      </c>
      <c r="E1041" t="s">
        <v>27</v>
      </c>
      <c r="F1041" s="2">
        <v>10103</v>
      </c>
      <c r="G1041" s="2">
        <f>Monthly_Growth!$C$11</f>
        <v>847117</v>
      </c>
      <c r="H1041" s="5">
        <f>Monthly_Growth!$D$11</f>
        <v>5.4438610772957322E-2</v>
      </c>
      <c r="I1041" s="15">
        <f>Yearly_Growth!$C$2</f>
        <v>5.0333827436586778E-2</v>
      </c>
      <c r="J1041" s="15">
        <f>Yearly_Growth!$D$2</f>
        <v>0.03</v>
      </c>
      <c r="K1041">
        <f>Sales_Per_Representative!$C$5</f>
        <v>747962</v>
      </c>
      <c r="L1041">
        <f>Sales_Per_Rep_Yearly_Goal!$B$2</f>
        <v>665544.80000000005</v>
      </c>
      <c r="M1041">
        <f>Sales_Per_Rep_Yearly_Goal!$C$2</f>
        <v>650000</v>
      </c>
    </row>
    <row r="1042" spans="1:13" x14ac:dyDescent="0.3">
      <c r="A1042" s="3">
        <v>45210</v>
      </c>
      <c r="B1042">
        <f t="shared" si="16"/>
        <v>2023</v>
      </c>
      <c r="C1042">
        <v>10</v>
      </c>
      <c r="D1042" t="s">
        <v>25</v>
      </c>
      <c r="E1042" t="s">
        <v>10</v>
      </c>
      <c r="F1042" s="2">
        <v>6624</v>
      </c>
      <c r="G1042" s="2">
        <f>Monthly_Growth!$C$11</f>
        <v>847117</v>
      </c>
      <c r="H1042" s="5">
        <f>Monthly_Growth!$D$11</f>
        <v>5.4438610772957322E-2</v>
      </c>
      <c r="I1042" s="15">
        <f>Yearly_Growth!$C$2</f>
        <v>5.0333827436586778E-2</v>
      </c>
      <c r="J1042" s="15">
        <f>Yearly_Growth!$D$2</f>
        <v>0.03</v>
      </c>
      <c r="K1042">
        <f>Sales_Per_Representative!$C$4</f>
        <v>725713</v>
      </c>
      <c r="L1042">
        <f>Sales_Per_Rep_Yearly_Goal!$B$2</f>
        <v>665544.80000000005</v>
      </c>
      <c r="M1042">
        <f>Sales_Per_Rep_Yearly_Goal!$C$2</f>
        <v>650000</v>
      </c>
    </row>
    <row r="1043" spans="1:13" x14ac:dyDescent="0.3">
      <c r="A1043" s="3">
        <v>45210</v>
      </c>
      <c r="B1043">
        <f t="shared" si="16"/>
        <v>2023</v>
      </c>
      <c r="C1043">
        <v>10</v>
      </c>
      <c r="D1043" t="s">
        <v>25</v>
      </c>
      <c r="E1043" t="s">
        <v>30</v>
      </c>
      <c r="F1043" s="2">
        <v>11004</v>
      </c>
      <c r="G1043" s="2">
        <f>Monthly_Growth!$C$11</f>
        <v>847117</v>
      </c>
      <c r="H1043" s="5">
        <f>Monthly_Growth!$D$11</f>
        <v>5.4438610772957322E-2</v>
      </c>
      <c r="I1043" s="15">
        <f>Yearly_Growth!$C$2</f>
        <v>5.0333827436586778E-2</v>
      </c>
      <c r="J1043" s="15">
        <f>Yearly_Growth!$D$2</f>
        <v>0.03</v>
      </c>
      <c r="K1043">
        <f>Sales_Per_Representative!$C$7</f>
        <v>706974</v>
      </c>
      <c r="L1043">
        <f>Sales_Per_Rep_Yearly_Goal!$B$2</f>
        <v>665544.80000000005</v>
      </c>
      <c r="M1043">
        <f>Sales_Per_Rep_Yearly_Goal!$C$2</f>
        <v>650000</v>
      </c>
    </row>
    <row r="1044" spans="1:13" x14ac:dyDescent="0.3">
      <c r="A1044" s="3">
        <v>45210</v>
      </c>
      <c r="B1044">
        <f t="shared" si="16"/>
        <v>2023</v>
      </c>
      <c r="C1044">
        <v>10</v>
      </c>
      <c r="D1044" t="s">
        <v>25</v>
      </c>
      <c r="E1044" t="s">
        <v>5</v>
      </c>
      <c r="F1044" s="2">
        <v>7179</v>
      </c>
      <c r="G1044" s="2">
        <f>Monthly_Growth!$C$11</f>
        <v>847117</v>
      </c>
      <c r="H1044" s="5">
        <f>Monthly_Growth!$D$11</f>
        <v>5.4438610772957322E-2</v>
      </c>
      <c r="I1044" s="15">
        <f>Yearly_Growth!$C$2</f>
        <v>5.0333827436586778E-2</v>
      </c>
      <c r="J1044" s="15">
        <f>Yearly_Growth!$D$2</f>
        <v>0.03</v>
      </c>
      <c r="K1044">
        <f>Sales_Per_Representative!$C$10</f>
        <v>663333</v>
      </c>
      <c r="L1044">
        <f>Sales_Per_Rep_Yearly_Goal!$B$2</f>
        <v>665544.80000000005</v>
      </c>
      <c r="M1044">
        <f>Sales_Per_Rep_Yearly_Goal!$C$2</f>
        <v>650000</v>
      </c>
    </row>
    <row r="1045" spans="1:13" x14ac:dyDescent="0.3">
      <c r="A1045" s="3">
        <v>45210</v>
      </c>
      <c r="B1045">
        <f t="shared" si="16"/>
        <v>2023</v>
      </c>
      <c r="C1045">
        <v>10</v>
      </c>
      <c r="D1045" t="s">
        <v>17</v>
      </c>
      <c r="E1045" t="s">
        <v>30</v>
      </c>
      <c r="F1045" s="2">
        <v>11541</v>
      </c>
      <c r="G1045" s="2">
        <f>Monthly_Growth!$C$11</f>
        <v>847117</v>
      </c>
      <c r="H1045" s="5">
        <f>Monthly_Growth!$D$11</f>
        <v>5.4438610772957322E-2</v>
      </c>
      <c r="I1045" s="15">
        <f>Yearly_Growth!$C$2</f>
        <v>5.0333827436586778E-2</v>
      </c>
      <c r="J1045" s="15">
        <f>Yearly_Growth!$D$2</f>
        <v>0.03</v>
      </c>
      <c r="K1045">
        <f>Sales_Per_Representative!$C$7</f>
        <v>706974</v>
      </c>
      <c r="L1045">
        <f>Sales_Per_Rep_Yearly_Goal!$B$2</f>
        <v>665544.80000000005</v>
      </c>
      <c r="M1045">
        <f>Sales_Per_Rep_Yearly_Goal!$C$2</f>
        <v>650000</v>
      </c>
    </row>
    <row r="1046" spans="1:13" x14ac:dyDescent="0.3">
      <c r="A1046" s="3">
        <v>45211</v>
      </c>
      <c r="B1046">
        <f t="shared" si="16"/>
        <v>2023</v>
      </c>
      <c r="C1046">
        <v>10</v>
      </c>
      <c r="D1046" t="s">
        <v>14</v>
      </c>
      <c r="E1046" t="s">
        <v>31</v>
      </c>
      <c r="F1046" s="2">
        <v>8400</v>
      </c>
      <c r="G1046" s="2">
        <f>Monthly_Growth!$C$11</f>
        <v>847117</v>
      </c>
      <c r="H1046" s="5">
        <f>Monthly_Growth!$D$11</f>
        <v>5.4438610772957322E-2</v>
      </c>
      <c r="I1046" s="15">
        <f>Yearly_Growth!$C$2</f>
        <v>5.0333827436586778E-2</v>
      </c>
      <c r="J1046" s="15">
        <f>Yearly_Growth!$D$2</f>
        <v>0.03</v>
      </c>
      <c r="K1046">
        <f>Sales_Per_Representative!$C$6</f>
        <v>727823</v>
      </c>
      <c r="L1046">
        <f>Sales_Per_Rep_Yearly_Goal!$B$2</f>
        <v>665544.80000000005</v>
      </c>
      <c r="M1046">
        <f>Sales_Per_Rep_Yearly_Goal!$C$2</f>
        <v>650000</v>
      </c>
    </row>
    <row r="1047" spans="1:13" x14ac:dyDescent="0.3">
      <c r="A1047" s="3">
        <v>45211</v>
      </c>
      <c r="B1047">
        <f t="shared" si="16"/>
        <v>2023</v>
      </c>
      <c r="C1047">
        <v>10</v>
      </c>
      <c r="D1047" t="s">
        <v>14</v>
      </c>
      <c r="E1047" t="s">
        <v>15</v>
      </c>
      <c r="F1047" s="2">
        <v>1554</v>
      </c>
      <c r="G1047" s="2">
        <f>Monthly_Growth!$C$11</f>
        <v>847117</v>
      </c>
      <c r="H1047" s="5">
        <f>Monthly_Growth!$D$11</f>
        <v>5.4438610772957322E-2</v>
      </c>
      <c r="I1047" s="15">
        <f>Yearly_Growth!$C$2</f>
        <v>5.0333827436586778E-2</v>
      </c>
      <c r="J1047" s="15">
        <f>Yearly_Growth!$D$2</f>
        <v>0.03</v>
      </c>
      <c r="K1047">
        <f>Sales_Per_Representative!$C$12</f>
        <v>656359</v>
      </c>
      <c r="L1047">
        <f>Sales_Per_Rep_Yearly_Goal!$B$2</f>
        <v>665544.80000000005</v>
      </c>
      <c r="M1047">
        <f>Sales_Per_Rep_Yearly_Goal!$C$2</f>
        <v>650000</v>
      </c>
    </row>
    <row r="1048" spans="1:13" x14ac:dyDescent="0.3">
      <c r="A1048" s="3">
        <v>45211</v>
      </c>
      <c r="B1048">
        <f t="shared" si="16"/>
        <v>2023</v>
      </c>
      <c r="C1048">
        <v>10</v>
      </c>
      <c r="D1048" t="s">
        <v>19</v>
      </c>
      <c r="E1048" t="s">
        <v>8</v>
      </c>
      <c r="F1048" s="2">
        <v>10467</v>
      </c>
      <c r="G1048" s="2">
        <f>Monthly_Growth!$C$11</f>
        <v>847117</v>
      </c>
      <c r="H1048" s="5">
        <f>Monthly_Growth!$D$11</f>
        <v>5.4438610772957322E-2</v>
      </c>
      <c r="I1048" s="15">
        <f>Yearly_Growth!$C$2</f>
        <v>5.0333827436586778E-2</v>
      </c>
      <c r="J1048" s="15">
        <f>Yearly_Growth!$D$2</f>
        <v>0.03</v>
      </c>
      <c r="K1048">
        <f>Sales_Per_Representative!$C$15</f>
        <v>701242</v>
      </c>
      <c r="L1048">
        <f>Sales_Per_Rep_Yearly_Goal!$B$2</f>
        <v>665544.80000000005</v>
      </c>
      <c r="M1048">
        <f>Sales_Per_Rep_Yearly_Goal!$C$2</f>
        <v>650000</v>
      </c>
    </row>
    <row r="1049" spans="1:13" x14ac:dyDescent="0.3">
      <c r="A1049" s="3">
        <v>45211</v>
      </c>
      <c r="B1049">
        <f t="shared" si="16"/>
        <v>2023</v>
      </c>
      <c r="C1049">
        <v>10</v>
      </c>
      <c r="D1049" t="s">
        <v>23</v>
      </c>
      <c r="E1049" t="s">
        <v>20</v>
      </c>
      <c r="F1049" s="2">
        <v>1562</v>
      </c>
      <c r="G1049" s="2">
        <f>Monthly_Growth!$C$11</f>
        <v>847117</v>
      </c>
      <c r="H1049" s="5">
        <f>Monthly_Growth!$D$11</f>
        <v>5.4438610772957322E-2</v>
      </c>
      <c r="I1049" s="15">
        <f>Yearly_Growth!$C$2</f>
        <v>5.0333827436586778E-2</v>
      </c>
      <c r="J1049" s="15">
        <f>Yearly_Growth!$D$2</f>
        <v>0.03</v>
      </c>
      <c r="K1049">
        <f>Sales_Per_Representative!$C$14</f>
        <v>675530</v>
      </c>
      <c r="L1049">
        <f>Sales_Per_Rep_Yearly_Goal!$B$2</f>
        <v>665544.80000000005</v>
      </c>
      <c r="M1049">
        <f>Sales_Per_Rep_Yearly_Goal!$C$2</f>
        <v>650000</v>
      </c>
    </row>
    <row r="1050" spans="1:13" x14ac:dyDescent="0.3">
      <c r="A1050" s="3">
        <v>45211</v>
      </c>
      <c r="B1050">
        <f t="shared" si="16"/>
        <v>2023</v>
      </c>
      <c r="C1050">
        <v>10</v>
      </c>
      <c r="D1050" t="s">
        <v>25</v>
      </c>
      <c r="E1050" t="s">
        <v>26</v>
      </c>
      <c r="F1050" s="2">
        <v>11882</v>
      </c>
      <c r="G1050" s="2">
        <f>Monthly_Growth!$C$11</f>
        <v>847117</v>
      </c>
      <c r="H1050" s="5">
        <f>Monthly_Growth!$D$11</f>
        <v>5.4438610772957322E-2</v>
      </c>
      <c r="I1050" s="15">
        <f>Yearly_Growth!$C$2</f>
        <v>5.0333827436586778E-2</v>
      </c>
      <c r="J1050" s="15">
        <f>Yearly_Growth!$D$2</f>
        <v>0.03</v>
      </c>
      <c r="K1050">
        <f>Sales_Per_Representative!$C$16</f>
        <v>666159</v>
      </c>
      <c r="L1050">
        <f>Sales_Per_Rep_Yearly_Goal!$B$2</f>
        <v>665544.80000000005</v>
      </c>
      <c r="M1050">
        <f>Sales_Per_Rep_Yearly_Goal!$C$2</f>
        <v>650000</v>
      </c>
    </row>
    <row r="1051" spans="1:13" x14ac:dyDescent="0.3">
      <c r="A1051" s="3">
        <v>45211</v>
      </c>
      <c r="B1051">
        <f t="shared" si="16"/>
        <v>2023</v>
      </c>
      <c r="C1051">
        <v>10</v>
      </c>
      <c r="D1051" t="s">
        <v>28</v>
      </c>
      <c r="E1051" t="s">
        <v>22</v>
      </c>
      <c r="F1051" s="2">
        <v>2303</v>
      </c>
      <c r="G1051" s="2">
        <f>Monthly_Growth!$C$11</f>
        <v>847117</v>
      </c>
      <c r="H1051" s="5">
        <f>Monthly_Growth!$D$11</f>
        <v>5.4438610772957322E-2</v>
      </c>
      <c r="I1051" s="15">
        <f>Yearly_Growth!$C$2</f>
        <v>5.0333827436586778E-2</v>
      </c>
      <c r="J1051" s="15">
        <f>Yearly_Growth!$D$2</f>
        <v>0.03</v>
      </c>
      <c r="K1051">
        <f>Sales_Per_Representative!$C$8</f>
        <v>649456</v>
      </c>
      <c r="L1051">
        <f>Sales_Per_Rep_Yearly_Goal!$B$2</f>
        <v>665544.80000000005</v>
      </c>
      <c r="M1051">
        <f>Sales_Per_Rep_Yearly_Goal!$C$2</f>
        <v>650000</v>
      </c>
    </row>
    <row r="1052" spans="1:13" x14ac:dyDescent="0.3">
      <c r="A1052" s="3">
        <v>45211</v>
      </c>
      <c r="B1052">
        <f t="shared" si="16"/>
        <v>2023</v>
      </c>
      <c r="C1052">
        <v>10</v>
      </c>
      <c r="D1052" t="s">
        <v>17</v>
      </c>
      <c r="E1052" t="s">
        <v>33</v>
      </c>
      <c r="F1052" s="2">
        <v>8882</v>
      </c>
      <c r="G1052" s="2">
        <f>Monthly_Growth!$C$11</f>
        <v>847117</v>
      </c>
      <c r="H1052" s="5">
        <f>Monthly_Growth!$D$11</f>
        <v>5.4438610772957322E-2</v>
      </c>
      <c r="I1052" s="15">
        <f>Yearly_Growth!$C$2</f>
        <v>5.0333827436586778E-2</v>
      </c>
      <c r="J1052" s="15">
        <f>Yearly_Growth!$D$2</f>
        <v>0.03</v>
      </c>
      <c r="K1052">
        <f>Sales_Per_Representative!$C$11</f>
        <v>496886</v>
      </c>
      <c r="L1052">
        <f>Sales_Per_Rep_Yearly_Goal!$B$2</f>
        <v>665544.80000000005</v>
      </c>
      <c r="M1052">
        <f>Sales_Per_Rep_Yearly_Goal!$C$2</f>
        <v>650000</v>
      </c>
    </row>
    <row r="1053" spans="1:13" x14ac:dyDescent="0.3">
      <c r="A1053" s="3">
        <v>45211</v>
      </c>
      <c r="B1053">
        <f t="shared" si="16"/>
        <v>2023</v>
      </c>
      <c r="C1053">
        <v>10</v>
      </c>
      <c r="D1053" t="s">
        <v>12</v>
      </c>
      <c r="E1053" t="s">
        <v>10</v>
      </c>
      <c r="F1053" s="2">
        <v>6272</v>
      </c>
      <c r="G1053" s="2">
        <f>Monthly_Growth!$C$11</f>
        <v>847117</v>
      </c>
      <c r="H1053" s="5">
        <f>Monthly_Growth!$D$11</f>
        <v>5.4438610772957322E-2</v>
      </c>
      <c r="I1053" s="15">
        <f>Yearly_Growth!$C$2</f>
        <v>5.0333827436586778E-2</v>
      </c>
      <c r="J1053" s="15">
        <f>Yearly_Growth!$D$2</f>
        <v>0.03</v>
      </c>
      <c r="K1053">
        <f>Sales_Per_Representative!$C$4</f>
        <v>725713</v>
      </c>
      <c r="L1053">
        <f>Sales_Per_Rep_Yearly_Goal!$B$2</f>
        <v>665544.80000000005</v>
      </c>
      <c r="M1053">
        <f>Sales_Per_Rep_Yearly_Goal!$C$2</f>
        <v>650000</v>
      </c>
    </row>
    <row r="1054" spans="1:13" x14ac:dyDescent="0.3">
      <c r="A1054" s="3">
        <v>45212</v>
      </c>
      <c r="B1054">
        <f t="shared" si="16"/>
        <v>2023</v>
      </c>
      <c r="C1054">
        <v>10</v>
      </c>
      <c r="D1054" t="s">
        <v>14</v>
      </c>
      <c r="E1054" t="s">
        <v>31</v>
      </c>
      <c r="F1054" s="2">
        <v>11715</v>
      </c>
      <c r="G1054" s="2">
        <f>Monthly_Growth!$C$11</f>
        <v>847117</v>
      </c>
      <c r="H1054" s="5">
        <f>Monthly_Growth!$D$11</f>
        <v>5.4438610772957322E-2</v>
      </c>
      <c r="I1054" s="15">
        <f>Yearly_Growth!$C$2</f>
        <v>5.0333827436586778E-2</v>
      </c>
      <c r="J1054" s="15">
        <f>Yearly_Growth!$D$2</f>
        <v>0.03</v>
      </c>
      <c r="K1054">
        <f>Sales_Per_Representative!$C$6</f>
        <v>727823</v>
      </c>
      <c r="L1054">
        <f>Sales_Per_Rep_Yearly_Goal!$B$2</f>
        <v>665544.80000000005</v>
      </c>
      <c r="M1054">
        <f>Sales_Per_Rep_Yearly_Goal!$C$2</f>
        <v>650000</v>
      </c>
    </row>
    <row r="1055" spans="1:13" x14ac:dyDescent="0.3">
      <c r="A1055" s="3">
        <v>45212</v>
      </c>
      <c r="B1055">
        <f t="shared" si="16"/>
        <v>2023</v>
      </c>
      <c r="C1055">
        <v>10</v>
      </c>
      <c r="D1055" t="s">
        <v>17</v>
      </c>
      <c r="E1055" t="s">
        <v>29</v>
      </c>
      <c r="F1055" s="2">
        <v>8816</v>
      </c>
      <c r="G1055" s="2">
        <f>Monthly_Growth!$C$11</f>
        <v>847117</v>
      </c>
      <c r="H1055" s="5">
        <f>Monthly_Growth!$D$11</f>
        <v>5.4438610772957322E-2</v>
      </c>
      <c r="I1055" s="15">
        <f>Yearly_Growth!$C$2</f>
        <v>5.0333827436586778E-2</v>
      </c>
      <c r="J1055" s="15">
        <f>Yearly_Growth!$D$2</f>
        <v>0.03</v>
      </c>
      <c r="K1055">
        <f>Sales_Per_Representative!$C$13</f>
        <v>621548</v>
      </c>
      <c r="L1055">
        <f>Sales_Per_Rep_Yearly_Goal!$B$2</f>
        <v>665544.80000000005</v>
      </c>
      <c r="M1055">
        <f>Sales_Per_Rep_Yearly_Goal!$C$2</f>
        <v>650000</v>
      </c>
    </row>
    <row r="1056" spans="1:13" x14ac:dyDescent="0.3">
      <c r="A1056" s="3">
        <v>45213</v>
      </c>
      <c r="B1056">
        <f t="shared" si="16"/>
        <v>2023</v>
      </c>
      <c r="C1056">
        <v>10</v>
      </c>
      <c r="D1056" t="s">
        <v>19</v>
      </c>
      <c r="E1056" t="s">
        <v>32</v>
      </c>
      <c r="F1056" s="2">
        <v>5871</v>
      </c>
      <c r="G1056" s="2">
        <f>Monthly_Growth!$C$11</f>
        <v>847117</v>
      </c>
      <c r="H1056" s="5">
        <f>Monthly_Growth!$D$11</f>
        <v>5.4438610772957322E-2</v>
      </c>
      <c r="I1056" s="15">
        <f>Yearly_Growth!$C$2</f>
        <v>5.0333827436586778E-2</v>
      </c>
      <c r="J1056" s="15">
        <f>Yearly_Growth!$D$2</f>
        <v>0.03</v>
      </c>
      <c r="K1056">
        <f>Sales_Per_Representative!$C$3</f>
        <v>762157</v>
      </c>
      <c r="L1056">
        <f>Sales_Per_Rep_Yearly_Goal!$B$2</f>
        <v>665544.80000000005</v>
      </c>
      <c r="M1056">
        <f>Sales_Per_Rep_Yearly_Goal!$C$2</f>
        <v>650000</v>
      </c>
    </row>
    <row r="1057" spans="1:13" x14ac:dyDescent="0.3">
      <c r="A1057" s="3">
        <v>45213</v>
      </c>
      <c r="B1057">
        <f t="shared" si="16"/>
        <v>2023</v>
      </c>
      <c r="C1057">
        <v>10</v>
      </c>
      <c r="D1057" t="s">
        <v>28</v>
      </c>
      <c r="E1057" t="s">
        <v>31</v>
      </c>
      <c r="F1057" s="2">
        <v>4345</v>
      </c>
      <c r="G1057" s="2">
        <f>Monthly_Growth!$C$11</f>
        <v>847117</v>
      </c>
      <c r="H1057" s="5">
        <f>Monthly_Growth!$D$11</f>
        <v>5.4438610772957322E-2</v>
      </c>
      <c r="I1057" s="15">
        <f>Yearly_Growth!$C$2</f>
        <v>5.0333827436586778E-2</v>
      </c>
      <c r="J1057" s="15">
        <f>Yearly_Growth!$D$2</f>
        <v>0.03</v>
      </c>
      <c r="K1057">
        <f>Sales_Per_Representative!$C$6</f>
        <v>727823</v>
      </c>
      <c r="L1057">
        <f>Sales_Per_Rep_Yearly_Goal!$B$2</f>
        <v>665544.80000000005</v>
      </c>
      <c r="M1057">
        <f>Sales_Per_Rep_Yearly_Goal!$C$2</f>
        <v>650000</v>
      </c>
    </row>
    <row r="1058" spans="1:13" x14ac:dyDescent="0.3">
      <c r="A1058" s="3">
        <v>45213</v>
      </c>
      <c r="B1058">
        <f t="shared" si="16"/>
        <v>2023</v>
      </c>
      <c r="C1058">
        <v>10</v>
      </c>
      <c r="D1058" t="s">
        <v>12</v>
      </c>
      <c r="E1058" t="s">
        <v>33</v>
      </c>
      <c r="F1058" s="2">
        <v>3922</v>
      </c>
      <c r="G1058" s="2">
        <f>Monthly_Growth!$C$11</f>
        <v>847117</v>
      </c>
      <c r="H1058" s="5">
        <f>Monthly_Growth!$D$11</f>
        <v>5.4438610772957322E-2</v>
      </c>
      <c r="I1058" s="15">
        <f>Yearly_Growth!$C$2</f>
        <v>5.0333827436586778E-2</v>
      </c>
      <c r="J1058" s="15">
        <f>Yearly_Growth!$D$2</f>
        <v>0.03</v>
      </c>
      <c r="K1058">
        <f>Sales_Per_Representative!$C$11</f>
        <v>496886</v>
      </c>
      <c r="L1058">
        <f>Sales_Per_Rep_Yearly_Goal!$B$2</f>
        <v>665544.80000000005</v>
      </c>
      <c r="M1058">
        <f>Sales_Per_Rep_Yearly_Goal!$C$2</f>
        <v>650000</v>
      </c>
    </row>
    <row r="1059" spans="1:13" x14ac:dyDescent="0.3">
      <c r="A1059" s="3">
        <v>45214</v>
      </c>
      <c r="B1059">
        <f t="shared" si="16"/>
        <v>2023</v>
      </c>
      <c r="C1059">
        <v>10</v>
      </c>
      <c r="D1059" t="s">
        <v>14</v>
      </c>
      <c r="E1059" t="s">
        <v>32</v>
      </c>
      <c r="F1059" s="2">
        <v>5550</v>
      </c>
      <c r="G1059" s="2">
        <f>Monthly_Growth!$C$11</f>
        <v>847117</v>
      </c>
      <c r="H1059" s="5">
        <f>Monthly_Growth!$D$11</f>
        <v>5.4438610772957322E-2</v>
      </c>
      <c r="I1059" s="15">
        <f>Yearly_Growth!$C$2</f>
        <v>5.0333827436586778E-2</v>
      </c>
      <c r="J1059" s="15">
        <f>Yearly_Growth!$D$2</f>
        <v>0.03</v>
      </c>
      <c r="K1059">
        <f>Sales_Per_Representative!$C$3</f>
        <v>762157</v>
      </c>
      <c r="L1059">
        <f>Sales_Per_Rep_Yearly_Goal!$B$2</f>
        <v>665544.80000000005</v>
      </c>
      <c r="M1059">
        <f>Sales_Per_Rep_Yearly_Goal!$C$2</f>
        <v>650000</v>
      </c>
    </row>
    <row r="1060" spans="1:13" x14ac:dyDescent="0.3">
      <c r="A1060" s="3">
        <v>45214</v>
      </c>
      <c r="B1060">
        <f t="shared" si="16"/>
        <v>2023</v>
      </c>
      <c r="C1060">
        <v>10</v>
      </c>
      <c r="D1060" t="s">
        <v>14</v>
      </c>
      <c r="E1060" t="s">
        <v>15</v>
      </c>
      <c r="F1060" s="2">
        <v>9664</v>
      </c>
      <c r="G1060" s="2">
        <f>Monthly_Growth!$C$11</f>
        <v>847117</v>
      </c>
      <c r="H1060" s="5">
        <f>Monthly_Growth!$D$11</f>
        <v>5.4438610772957322E-2</v>
      </c>
      <c r="I1060" s="15">
        <f>Yearly_Growth!$C$2</f>
        <v>5.0333827436586778E-2</v>
      </c>
      <c r="J1060" s="15">
        <f>Yearly_Growth!$D$2</f>
        <v>0.03</v>
      </c>
      <c r="K1060">
        <f>Sales_Per_Representative!$C$12</f>
        <v>656359</v>
      </c>
      <c r="L1060">
        <f>Sales_Per_Rep_Yearly_Goal!$B$2</f>
        <v>665544.80000000005</v>
      </c>
      <c r="M1060">
        <f>Sales_Per_Rep_Yearly_Goal!$C$2</f>
        <v>650000</v>
      </c>
    </row>
    <row r="1061" spans="1:13" x14ac:dyDescent="0.3">
      <c r="A1061" s="3">
        <v>45214</v>
      </c>
      <c r="B1061">
        <f t="shared" si="16"/>
        <v>2023</v>
      </c>
      <c r="C1061">
        <v>10</v>
      </c>
      <c r="D1061" t="s">
        <v>19</v>
      </c>
      <c r="E1061" t="s">
        <v>30</v>
      </c>
      <c r="F1061" s="2">
        <v>1625</v>
      </c>
      <c r="G1061" s="2">
        <f>Monthly_Growth!$C$11</f>
        <v>847117</v>
      </c>
      <c r="H1061" s="5">
        <f>Monthly_Growth!$D$11</f>
        <v>5.4438610772957322E-2</v>
      </c>
      <c r="I1061" s="15">
        <f>Yearly_Growth!$C$2</f>
        <v>5.0333827436586778E-2</v>
      </c>
      <c r="J1061" s="15">
        <f>Yearly_Growth!$D$2</f>
        <v>0.03</v>
      </c>
      <c r="K1061">
        <f>Sales_Per_Representative!$C$7</f>
        <v>706974</v>
      </c>
      <c r="L1061">
        <f>Sales_Per_Rep_Yearly_Goal!$B$2</f>
        <v>665544.80000000005</v>
      </c>
      <c r="M1061">
        <f>Sales_Per_Rep_Yearly_Goal!$C$2</f>
        <v>650000</v>
      </c>
    </row>
    <row r="1062" spans="1:13" x14ac:dyDescent="0.3">
      <c r="A1062" s="3">
        <v>45214</v>
      </c>
      <c r="B1062">
        <f t="shared" si="16"/>
        <v>2023</v>
      </c>
      <c r="C1062">
        <v>10</v>
      </c>
      <c r="D1062" t="s">
        <v>19</v>
      </c>
      <c r="E1062" t="s">
        <v>30</v>
      </c>
      <c r="F1062" s="2">
        <v>3630</v>
      </c>
      <c r="G1062" s="2">
        <f>Monthly_Growth!$C$11</f>
        <v>847117</v>
      </c>
      <c r="H1062" s="5">
        <f>Monthly_Growth!$D$11</f>
        <v>5.4438610772957322E-2</v>
      </c>
      <c r="I1062" s="15">
        <f>Yearly_Growth!$C$2</f>
        <v>5.0333827436586778E-2</v>
      </c>
      <c r="J1062" s="15">
        <f>Yearly_Growth!$D$2</f>
        <v>0.03</v>
      </c>
      <c r="K1062">
        <f>Sales_Per_Representative!$C$7</f>
        <v>706974</v>
      </c>
      <c r="L1062">
        <f>Sales_Per_Rep_Yearly_Goal!$B$2</f>
        <v>665544.80000000005</v>
      </c>
      <c r="M1062">
        <f>Sales_Per_Rep_Yearly_Goal!$C$2</f>
        <v>650000</v>
      </c>
    </row>
    <row r="1063" spans="1:13" x14ac:dyDescent="0.3">
      <c r="A1063" s="3">
        <v>45214</v>
      </c>
      <c r="B1063">
        <f t="shared" si="16"/>
        <v>2023</v>
      </c>
      <c r="C1063">
        <v>10</v>
      </c>
      <c r="D1063" t="s">
        <v>23</v>
      </c>
      <c r="E1063" t="s">
        <v>27</v>
      </c>
      <c r="F1063" s="2">
        <v>9325</v>
      </c>
      <c r="G1063" s="2">
        <f>Monthly_Growth!$C$11</f>
        <v>847117</v>
      </c>
      <c r="H1063" s="5">
        <f>Monthly_Growth!$D$11</f>
        <v>5.4438610772957322E-2</v>
      </c>
      <c r="I1063" s="15">
        <f>Yearly_Growth!$C$2</f>
        <v>5.0333827436586778E-2</v>
      </c>
      <c r="J1063" s="15">
        <f>Yearly_Growth!$D$2</f>
        <v>0.03</v>
      </c>
      <c r="K1063">
        <f>Sales_Per_Representative!$C$5</f>
        <v>747962</v>
      </c>
      <c r="L1063">
        <f>Sales_Per_Rep_Yearly_Goal!$B$2</f>
        <v>665544.80000000005</v>
      </c>
      <c r="M1063">
        <f>Sales_Per_Rep_Yearly_Goal!$C$2</f>
        <v>650000</v>
      </c>
    </row>
    <row r="1064" spans="1:13" x14ac:dyDescent="0.3">
      <c r="A1064" s="3">
        <v>45214</v>
      </c>
      <c r="B1064">
        <f t="shared" si="16"/>
        <v>2023</v>
      </c>
      <c r="C1064">
        <v>10</v>
      </c>
      <c r="D1064" t="s">
        <v>23</v>
      </c>
      <c r="E1064" t="s">
        <v>15</v>
      </c>
      <c r="F1064" s="2">
        <v>2022</v>
      </c>
      <c r="G1064" s="2">
        <f>Monthly_Growth!$C$11</f>
        <v>847117</v>
      </c>
      <c r="H1064" s="5">
        <f>Monthly_Growth!$D$11</f>
        <v>5.4438610772957322E-2</v>
      </c>
      <c r="I1064" s="15">
        <f>Yearly_Growth!$C$2</f>
        <v>5.0333827436586778E-2</v>
      </c>
      <c r="J1064" s="15">
        <f>Yearly_Growth!$D$2</f>
        <v>0.03</v>
      </c>
      <c r="K1064">
        <f>Sales_Per_Representative!$C$12</f>
        <v>656359</v>
      </c>
      <c r="L1064">
        <f>Sales_Per_Rep_Yearly_Goal!$B$2</f>
        <v>665544.80000000005</v>
      </c>
      <c r="M1064">
        <f>Sales_Per_Rep_Yearly_Goal!$C$2</f>
        <v>650000</v>
      </c>
    </row>
    <row r="1065" spans="1:13" x14ac:dyDescent="0.3">
      <c r="A1065" s="3">
        <v>45214</v>
      </c>
      <c r="B1065">
        <f t="shared" si="16"/>
        <v>2023</v>
      </c>
      <c r="C1065">
        <v>10</v>
      </c>
      <c r="D1065" t="s">
        <v>23</v>
      </c>
      <c r="E1065" t="s">
        <v>20</v>
      </c>
      <c r="F1065" s="2">
        <v>13890</v>
      </c>
      <c r="G1065" s="2">
        <f>Monthly_Growth!$C$11</f>
        <v>847117</v>
      </c>
      <c r="H1065" s="5">
        <f>Monthly_Growth!$D$11</f>
        <v>5.4438610772957322E-2</v>
      </c>
      <c r="I1065" s="15">
        <f>Yearly_Growth!$C$2</f>
        <v>5.0333827436586778E-2</v>
      </c>
      <c r="J1065" s="15">
        <f>Yearly_Growth!$D$2</f>
        <v>0.03</v>
      </c>
      <c r="K1065">
        <f>Sales_Per_Representative!$C$14</f>
        <v>675530</v>
      </c>
      <c r="L1065">
        <f>Sales_Per_Rep_Yearly_Goal!$B$2</f>
        <v>665544.80000000005</v>
      </c>
      <c r="M1065">
        <f>Sales_Per_Rep_Yearly_Goal!$C$2</f>
        <v>650000</v>
      </c>
    </row>
    <row r="1066" spans="1:13" x14ac:dyDescent="0.3">
      <c r="A1066" s="3">
        <v>45214</v>
      </c>
      <c r="B1066">
        <f t="shared" si="16"/>
        <v>2023</v>
      </c>
      <c r="C1066">
        <v>10</v>
      </c>
      <c r="D1066" t="s">
        <v>25</v>
      </c>
      <c r="E1066" t="s">
        <v>32</v>
      </c>
      <c r="F1066" s="2">
        <v>13472</v>
      </c>
      <c r="G1066" s="2">
        <f>Monthly_Growth!$C$11</f>
        <v>847117</v>
      </c>
      <c r="H1066" s="5">
        <f>Monthly_Growth!$D$11</f>
        <v>5.4438610772957322E-2</v>
      </c>
      <c r="I1066" s="15">
        <f>Yearly_Growth!$C$2</f>
        <v>5.0333827436586778E-2</v>
      </c>
      <c r="J1066" s="15">
        <f>Yearly_Growth!$D$2</f>
        <v>0.03</v>
      </c>
      <c r="K1066">
        <f>Sales_Per_Representative!$C$3</f>
        <v>762157</v>
      </c>
      <c r="L1066">
        <f>Sales_Per_Rep_Yearly_Goal!$B$2</f>
        <v>665544.80000000005</v>
      </c>
      <c r="M1066">
        <f>Sales_Per_Rep_Yearly_Goal!$C$2</f>
        <v>650000</v>
      </c>
    </row>
    <row r="1067" spans="1:13" x14ac:dyDescent="0.3">
      <c r="A1067" s="3">
        <v>45214</v>
      </c>
      <c r="B1067">
        <f t="shared" si="16"/>
        <v>2023</v>
      </c>
      <c r="C1067">
        <v>10</v>
      </c>
      <c r="D1067" t="s">
        <v>7</v>
      </c>
      <c r="E1067" t="s">
        <v>31</v>
      </c>
      <c r="F1067" s="2">
        <v>11233</v>
      </c>
      <c r="G1067" s="2">
        <f>Monthly_Growth!$C$11</f>
        <v>847117</v>
      </c>
      <c r="H1067" s="5">
        <f>Monthly_Growth!$D$11</f>
        <v>5.4438610772957322E-2</v>
      </c>
      <c r="I1067" s="15">
        <f>Yearly_Growth!$C$2</f>
        <v>5.0333827436586778E-2</v>
      </c>
      <c r="J1067" s="15">
        <f>Yearly_Growth!$D$2</f>
        <v>0.03</v>
      </c>
      <c r="K1067">
        <f>Sales_Per_Representative!$C$6</f>
        <v>727823</v>
      </c>
      <c r="L1067">
        <f>Sales_Per_Rep_Yearly_Goal!$B$2</f>
        <v>665544.80000000005</v>
      </c>
      <c r="M1067">
        <f>Sales_Per_Rep_Yearly_Goal!$C$2</f>
        <v>650000</v>
      </c>
    </row>
    <row r="1068" spans="1:13" x14ac:dyDescent="0.3">
      <c r="A1068" s="3">
        <v>45214</v>
      </c>
      <c r="B1068">
        <f t="shared" si="16"/>
        <v>2023</v>
      </c>
      <c r="C1068">
        <v>10</v>
      </c>
      <c r="D1068" t="s">
        <v>17</v>
      </c>
      <c r="E1068" t="s">
        <v>30</v>
      </c>
      <c r="F1068" s="2">
        <v>7448</v>
      </c>
      <c r="G1068" s="2">
        <f>Monthly_Growth!$C$11</f>
        <v>847117</v>
      </c>
      <c r="H1068" s="5">
        <f>Monthly_Growth!$D$11</f>
        <v>5.4438610772957322E-2</v>
      </c>
      <c r="I1068" s="15">
        <f>Yearly_Growth!$C$2</f>
        <v>5.0333827436586778E-2</v>
      </c>
      <c r="J1068" s="15">
        <f>Yearly_Growth!$D$2</f>
        <v>0.03</v>
      </c>
      <c r="K1068">
        <f>Sales_Per_Representative!$C$7</f>
        <v>706974</v>
      </c>
      <c r="L1068">
        <f>Sales_Per_Rep_Yearly_Goal!$B$2</f>
        <v>665544.80000000005</v>
      </c>
      <c r="M1068">
        <f>Sales_Per_Rep_Yearly_Goal!$C$2</f>
        <v>650000</v>
      </c>
    </row>
    <row r="1069" spans="1:13" x14ac:dyDescent="0.3">
      <c r="A1069" s="3">
        <v>45214</v>
      </c>
      <c r="B1069">
        <f t="shared" si="16"/>
        <v>2023</v>
      </c>
      <c r="C1069">
        <v>10</v>
      </c>
      <c r="D1069" t="s">
        <v>12</v>
      </c>
      <c r="E1069" t="s">
        <v>29</v>
      </c>
      <c r="F1069" s="2">
        <v>1821</v>
      </c>
      <c r="G1069" s="2">
        <f>Monthly_Growth!$C$11</f>
        <v>847117</v>
      </c>
      <c r="H1069" s="5">
        <f>Monthly_Growth!$D$11</f>
        <v>5.4438610772957322E-2</v>
      </c>
      <c r="I1069" s="15">
        <f>Yearly_Growth!$C$2</f>
        <v>5.0333827436586778E-2</v>
      </c>
      <c r="J1069" s="15">
        <f>Yearly_Growth!$D$2</f>
        <v>0.03</v>
      </c>
      <c r="K1069">
        <f>Sales_Per_Representative!$C$13</f>
        <v>621548</v>
      </c>
      <c r="L1069">
        <f>Sales_Per_Rep_Yearly_Goal!$B$2</f>
        <v>665544.80000000005</v>
      </c>
      <c r="M1069">
        <f>Sales_Per_Rep_Yearly_Goal!$C$2</f>
        <v>650000</v>
      </c>
    </row>
    <row r="1070" spans="1:13" x14ac:dyDescent="0.3">
      <c r="A1070" s="3">
        <v>45214</v>
      </c>
      <c r="B1070">
        <f t="shared" si="16"/>
        <v>2023</v>
      </c>
      <c r="C1070">
        <v>10</v>
      </c>
      <c r="D1070" t="s">
        <v>12</v>
      </c>
      <c r="E1070" t="s">
        <v>22</v>
      </c>
      <c r="F1070" s="2">
        <v>12745</v>
      </c>
      <c r="G1070" s="2">
        <f>Monthly_Growth!$C$11</f>
        <v>847117</v>
      </c>
      <c r="H1070" s="5">
        <f>Monthly_Growth!$D$11</f>
        <v>5.4438610772957322E-2</v>
      </c>
      <c r="I1070" s="15">
        <f>Yearly_Growth!$C$2</f>
        <v>5.0333827436586778E-2</v>
      </c>
      <c r="J1070" s="15">
        <f>Yearly_Growth!$D$2</f>
        <v>0.03</v>
      </c>
      <c r="K1070">
        <f>Sales_Per_Representative!$C$8</f>
        <v>649456</v>
      </c>
      <c r="L1070">
        <f>Sales_Per_Rep_Yearly_Goal!$B$2</f>
        <v>665544.80000000005</v>
      </c>
      <c r="M1070">
        <f>Sales_Per_Rep_Yearly_Goal!$C$2</f>
        <v>650000</v>
      </c>
    </row>
    <row r="1071" spans="1:13" x14ac:dyDescent="0.3">
      <c r="A1071" s="3">
        <v>45215</v>
      </c>
      <c r="B1071">
        <f t="shared" si="16"/>
        <v>2023</v>
      </c>
      <c r="C1071">
        <v>10</v>
      </c>
      <c r="D1071" t="s">
        <v>19</v>
      </c>
      <c r="E1071" t="s">
        <v>20</v>
      </c>
      <c r="F1071" s="2">
        <v>2075</v>
      </c>
      <c r="G1071" s="2">
        <f>Monthly_Growth!$C$11</f>
        <v>847117</v>
      </c>
      <c r="H1071" s="5">
        <f>Monthly_Growth!$D$11</f>
        <v>5.4438610772957322E-2</v>
      </c>
      <c r="I1071" s="15">
        <f>Yearly_Growth!$C$2</f>
        <v>5.0333827436586778E-2</v>
      </c>
      <c r="J1071" s="15">
        <f>Yearly_Growth!$D$2</f>
        <v>0.03</v>
      </c>
      <c r="K1071">
        <f>Sales_Per_Representative!$C$14</f>
        <v>675530</v>
      </c>
      <c r="L1071">
        <f>Sales_Per_Rep_Yearly_Goal!$B$2</f>
        <v>665544.80000000005</v>
      </c>
      <c r="M1071">
        <f>Sales_Per_Rep_Yearly_Goal!$C$2</f>
        <v>650000</v>
      </c>
    </row>
    <row r="1072" spans="1:13" x14ac:dyDescent="0.3">
      <c r="A1072" s="3">
        <v>45215</v>
      </c>
      <c r="B1072">
        <f t="shared" si="16"/>
        <v>2023</v>
      </c>
      <c r="C1072">
        <v>10</v>
      </c>
      <c r="D1072" t="s">
        <v>28</v>
      </c>
      <c r="E1072" t="s">
        <v>33</v>
      </c>
      <c r="F1072" s="2">
        <v>11541</v>
      </c>
      <c r="G1072" s="2">
        <f>Monthly_Growth!$C$11</f>
        <v>847117</v>
      </c>
      <c r="H1072" s="5">
        <f>Monthly_Growth!$D$11</f>
        <v>5.4438610772957322E-2</v>
      </c>
      <c r="I1072" s="15">
        <f>Yearly_Growth!$C$2</f>
        <v>5.0333827436586778E-2</v>
      </c>
      <c r="J1072" s="15">
        <f>Yearly_Growth!$D$2</f>
        <v>0.03</v>
      </c>
      <c r="K1072">
        <f>Sales_Per_Representative!$C$11</f>
        <v>496886</v>
      </c>
      <c r="L1072">
        <f>Sales_Per_Rep_Yearly_Goal!$B$2</f>
        <v>665544.80000000005</v>
      </c>
      <c r="M1072">
        <f>Sales_Per_Rep_Yearly_Goal!$C$2</f>
        <v>650000</v>
      </c>
    </row>
    <row r="1073" spans="1:13" x14ac:dyDescent="0.3">
      <c r="A1073" s="3">
        <v>45215</v>
      </c>
      <c r="B1073">
        <f t="shared" si="16"/>
        <v>2023</v>
      </c>
      <c r="C1073">
        <v>10</v>
      </c>
      <c r="D1073" t="s">
        <v>28</v>
      </c>
      <c r="E1073" t="s">
        <v>15</v>
      </c>
      <c r="F1073" s="2">
        <v>3058</v>
      </c>
      <c r="G1073" s="2">
        <f>Monthly_Growth!$C$11</f>
        <v>847117</v>
      </c>
      <c r="H1073" s="5">
        <f>Monthly_Growth!$D$11</f>
        <v>5.4438610772957322E-2</v>
      </c>
      <c r="I1073" s="15">
        <f>Yearly_Growth!$C$2</f>
        <v>5.0333827436586778E-2</v>
      </c>
      <c r="J1073" s="15">
        <f>Yearly_Growth!$D$2</f>
        <v>0.03</v>
      </c>
      <c r="K1073">
        <f>Sales_Per_Representative!$C$12</f>
        <v>656359</v>
      </c>
      <c r="L1073">
        <f>Sales_Per_Rep_Yearly_Goal!$B$2</f>
        <v>665544.80000000005</v>
      </c>
      <c r="M1073">
        <f>Sales_Per_Rep_Yearly_Goal!$C$2</f>
        <v>650000</v>
      </c>
    </row>
    <row r="1074" spans="1:13" x14ac:dyDescent="0.3">
      <c r="A1074" s="3">
        <v>45215</v>
      </c>
      <c r="B1074">
        <f t="shared" si="16"/>
        <v>2023</v>
      </c>
      <c r="C1074">
        <v>10</v>
      </c>
      <c r="D1074" t="s">
        <v>28</v>
      </c>
      <c r="E1074" t="s">
        <v>26</v>
      </c>
      <c r="F1074" s="2">
        <v>2646</v>
      </c>
      <c r="G1074" s="2">
        <f>Monthly_Growth!$C$11</f>
        <v>847117</v>
      </c>
      <c r="H1074" s="5">
        <f>Monthly_Growth!$D$11</f>
        <v>5.4438610772957322E-2</v>
      </c>
      <c r="I1074" s="15">
        <f>Yearly_Growth!$C$2</f>
        <v>5.0333827436586778E-2</v>
      </c>
      <c r="J1074" s="15">
        <f>Yearly_Growth!$D$2</f>
        <v>0.03</v>
      </c>
      <c r="K1074">
        <f>Sales_Per_Representative!$C$16</f>
        <v>666159</v>
      </c>
      <c r="L1074">
        <f>Sales_Per_Rep_Yearly_Goal!$B$2</f>
        <v>665544.80000000005</v>
      </c>
      <c r="M1074">
        <f>Sales_Per_Rep_Yearly_Goal!$C$2</f>
        <v>650000</v>
      </c>
    </row>
    <row r="1075" spans="1:13" x14ac:dyDescent="0.3">
      <c r="A1075" s="3">
        <v>45215</v>
      </c>
      <c r="B1075">
        <f t="shared" si="16"/>
        <v>2023</v>
      </c>
      <c r="C1075">
        <v>10</v>
      </c>
      <c r="D1075" t="s">
        <v>17</v>
      </c>
      <c r="E1075" t="s">
        <v>27</v>
      </c>
      <c r="F1075" s="2">
        <v>1837</v>
      </c>
      <c r="G1075" s="2">
        <f>Monthly_Growth!$C$11</f>
        <v>847117</v>
      </c>
      <c r="H1075" s="5">
        <f>Monthly_Growth!$D$11</f>
        <v>5.4438610772957322E-2</v>
      </c>
      <c r="I1075" s="15">
        <f>Yearly_Growth!$C$2</f>
        <v>5.0333827436586778E-2</v>
      </c>
      <c r="J1075" s="15">
        <f>Yearly_Growth!$D$2</f>
        <v>0.03</v>
      </c>
      <c r="K1075">
        <f>Sales_Per_Representative!$C$5</f>
        <v>747962</v>
      </c>
      <c r="L1075">
        <f>Sales_Per_Rep_Yearly_Goal!$B$2</f>
        <v>665544.80000000005</v>
      </c>
      <c r="M1075">
        <f>Sales_Per_Rep_Yearly_Goal!$C$2</f>
        <v>650000</v>
      </c>
    </row>
    <row r="1076" spans="1:13" x14ac:dyDescent="0.3">
      <c r="A1076" s="3">
        <v>45215</v>
      </c>
      <c r="B1076">
        <f t="shared" si="16"/>
        <v>2023</v>
      </c>
      <c r="C1076">
        <v>10</v>
      </c>
      <c r="D1076" t="s">
        <v>12</v>
      </c>
      <c r="E1076" t="s">
        <v>24</v>
      </c>
      <c r="F1076" s="2">
        <v>7606</v>
      </c>
      <c r="G1076" s="2">
        <f>Monthly_Growth!$C$11</f>
        <v>847117</v>
      </c>
      <c r="H1076" s="5">
        <f>Monthly_Growth!$D$11</f>
        <v>5.4438610772957322E-2</v>
      </c>
      <c r="I1076" s="15">
        <f>Yearly_Growth!$C$2</f>
        <v>5.0333827436586778E-2</v>
      </c>
      <c r="J1076" s="15">
        <f>Yearly_Growth!$D$2</f>
        <v>0.03</v>
      </c>
      <c r="K1076">
        <f>Sales_Per_Representative!$C$2</f>
        <v>631195</v>
      </c>
      <c r="L1076">
        <f>Sales_Per_Rep_Yearly_Goal!$B$2</f>
        <v>665544.80000000005</v>
      </c>
      <c r="M1076">
        <f>Sales_Per_Rep_Yearly_Goal!$C$2</f>
        <v>650000</v>
      </c>
    </row>
    <row r="1077" spans="1:13" x14ac:dyDescent="0.3">
      <c r="A1077" s="3">
        <v>45215</v>
      </c>
      <c r="B1077">
        <f t="shared" si="16"/>
        <v>2023</v>
      </c>
      <c r="C1077">
        <v>10</v>
      </c>
      <c r="D1077" t="s">
        <v>12</v>
      </c>
      <c r="E1077" t="s">
        <v>26</v>
      </c>
      <c r="F1077" s="2">
        <v>13921</v>
      </c>
      <c r="G1077" s="2">
        <f>Monthly_Growth!$C$11</f>
        <v>847117</v>
      </c>
      <c r="H1077" s="5">
        <f>Monthly_Growth!$D$11</f>
        <v>5.4438610772957322E-2</v>
      </c>
      <c r="I1077" s="15">
        <f>Yearly_Growth!$C$2</f>
        <v>5.0333827436586778E-2</v>
      </c>
      <c r="J1077" s="15">
        <f>Yearly_Growth!$D$2</f>
        <v>0.03</v>
      </c>
      <c r="K1077">
        <f>Sales_Per_Representative!$C$16</f>
        <v>666159</v>
      </c>
      <c r="L1077">
        <f>Sales_Per_Rep_Yearly_Goal!$B$2</f>
        <v>665544.80000000005</v>
      </c>
      <c r="M1077">
        <f>Sales_Per_Rep_Yearly_Goal!$C$2</f>
        <v>650000</v>
      </c>
    </row>
    <row r="1078" spans="1:13" x14ac:dyDescent="0.3">
      <c r="A1078" s="3">
        <v>45216</v>
      </c>
      <c r="B1078">
        <f t="shared" si="16"/>
        <v>2023</v>
      </c>
      <c r="C1078">
        <v>10</v>
      </c>
      <c r="D1078" t="s">
        <v>14</v>
      </c>
      <c r="E1078" t="s">
        <v>5</v>
      </c>
      <c r="F1078" s="2">
        <v>2627</v>
      </c>
      <c r="G1078" s="2">
        <f>Monthly_Growth!$C$11</f>
        <v>847117</v>
      </c>
      <c r="H1078" s="5">
        <f>Monthly_Growth!$D$11</f>
        <v>5.4438610772957322E-2</v>
      </c>
      <c r="I1078" s="15">
        <f>Yearly_Growth!$C$2</f>
        <v>5.0333827436586778E-2</v>
      </c>
      <c r="J1078" s="15">
        <f>Yearly_Growth!$D$2</f>
        <v>0.03</v>
      </c>
      <c r="K1078">
        <f>Sales_Per_Representative!$C$10</f>
        <v>663333</v>
      </c>
      <c r="L1078">
        <f>Sales_Per_Rep_Yearly_Goal!$B$2</f>
        <v>665544.80000000005</v>
      </c>
      <c r="M1078">
        <f>Sales_Per_Rep_Yearly_Goal!$C$2</f>
        <v>650000</v>
      </c>
    </row>
    <row r="1079" spans="1:13" x14ac:dyDescent="0.3">
      <c r="A1079" s="3">
        <v>45216</v>
      </c>
      <c r="B1079">
        <f t="shared" si="16"/>
        <v>2023</v>
      </c>
      <c r="C1079">
        <v>10</v>
      </c>
      <c r="D1079" t="s">
        <v>25</v>
      </c>
      <c r="E1079" t="s">
        <v>22</v>
      </c>
      <c r="F1079" s="2">
        <v>4497</v>
      </c>
      <c r="G1079" s="2">
        <f>Monthly_Growth!$C$11</f>
        <v>847117</v>
      </c>
      <c r="H1079" s="5">
        <f>Monthly_Growth!$D$11</f>
        <v>5.4438610772957322E-2</v>
      </c>
      <c r="I1079" s="15">
        <f>Yearly_Growth!$C$2</f>
        <v>5.0333827436586778E-2</v>
      </c>
      <c r="J1079" s="15">
        <f>Yearly_Growth!$D$2</f>
        <v>0.03</v>
      </c>
      <c r="K1079">
        <f>Sales_Per_Representative!$C$8</f>
        <v>649456</v>
      </c>
      <c r="L1079">
        <f>Sales_Per_Rep_Yearly_Goal!$B$2</f>
        <v>665544.80000000005</v>
      </c>
      <c r="M1079">
        <f>Sales_Per_Rep_Yearly_Goal!$C$2</f>
        <v>650000</v>
      </c>
    </row>
    <row r="1080" spans="1:13" x14ac:dyDescent="0.3">
      <c r="A1080" s="3">
        <v>45217</v>
      </c>
      <c r="B1080">
        <f t="shared" si="16"/>
        <v>2023</v>
      </c>
      <c r="C1080">
        <v>10</v>
      </c>
      <c r="D1080" t="s">
        <v>23</v>
      </c>
      <c r="E1080" t="s">
        <v>30</v>
      </c>
      <c r="F1080" s="2">
        <v>8592</v>
      </c>
      <c r="G1080" s="2">
        <f>Monthly_Growth!$C$11</f>
        <v>847117</v>
      </c>
      <c r="H1080" s="5">
        <f>Monthly_Growth!$D$11</f>
        <v>5.4438610772957322E-2</v>
      </c>
      <c r="I1080" s="15">
        <f>Yearly_Growth!$C$2</f>
        <v>5.0333827436586778E-2</v>
      </c>
      <c r="J1080" s="15">
        <f>Yearly_Growth!$D$2</f>
        <v>0.03</v>
      </c>
      <c r="K1080">
        <f>Sales_Per_Representative!$C$7</f>
        <v>706974</v>
      </c>
      <c r="L1080">
        <f>Sales_Per_Rep_Yearly_Goal!$B$2</f>
        <v>665544.80000000005</v>
      </c>
      <c r="M1080">
        <f>Sales_Per_Rep_Yearly_Goal!$C$2</f>
        <v>650000</v>
      </c>
    </row>
    <row r="1081" spans="1:13" x14ac:dyDescent="0.3">
      <c r="A1081" s="3">
        <v>45217</v>
      </c>
      <c r="B1081">
        <f t="shared" si="16"/>
        <v>2023</v>
      </c>
      <c r="C1081">
        <v>10</v>
      </c>
      <c r="D1081" t="s">
        <v>25</v>
      </c>
      <c r="E1081" t="s">
        <v>32</v>
      </c>
      <c r="F1081" s="2">
        <v>5519</v>
      </c>
      <c r="G1081" s="2">
        <f>Monthly_Growth!$C$11</f>
        <v>847117</v>
      </c>
      <c r="H1081" s="5">
        <f>Monthly_Growth!$D$11</f>
        <v>5.4438610772957322E-2</v>
      </c>
      <c r="I1081" s="15">
        <f>Yearly_Growth!$C$2</f>
        <v>5.0333827436586778E-2</v>
      </c>
      <c r="J1081" s="15">
        <f>Yearly_Growth!$D$2</f>
        <v>0.03</v>
      </c>
      <c r="K1081">
        <f>Sales_Per_Representative!$C$3</f>
        <v>762157</v>
      </c>
      <c r="L1081">
        <f>Sales_Per_Rep_Yearly_Goal!$B$2</f>
        <v>665544.80000000005</v>
      </c>
      <c r="M1081">
        <f>Sales_Per_Rep_Yearly_Goal!$C$2</f>
        <v>650000</v>
      </c>
    </row>
    <row r="1082" spans="1:13" x14ac:dyDescent="0.3">
      <c r="A1082" s="3">
        <v>45217</v>
      </c>
      <c r="B1082">
        <f t="shared" si="16"/>
        <v>2023</v>
      </c>
      <c r="C1082">
        <v>10</v>
      </c>
      <c r="D1082" t="s">
        <v>25</v>
      </c>
      <c r="E1082" t="s">
        <v>29</v>
      </c>
      <c r="F1082" s="2">
        <v>5400</v>
      </c>
      <c r="G1082" s="2">
        <f>Monthly_Growth!$C$11</f>
        <v>847117</v>
      </c>
      <c r="H1082" s="5">
        <f>Monthly_Growth!$D$11</f>
        <v>5.4438610772957322E-2</v>
      </c>
      <c r="I1082" s="15">
        <f>Yearly_Growth!$C$2</f>
        <v>5.0333827436586778E-2</v>
      </c>
      <c r="J1082" s="15">
        <f>Yearly_Growth!$D$2</f>
        <v>0.03</v>
      </c>
      <c r="K1082">
        <f>Sales_Per_Representative!$C$13</f>
        <v>621548</v>
      </c>
      <c r="L1082">
        <f>Sales_Per_Rep_Yearly_Goal!$B$2</f>
        <v>665544.80000000005</v>
      </c>
      <c r="M1082">
        <f>Sales_Per_Rep_Yearly_Goal!$C$2</f>
        <v>650000</v>
      </c>
    </row>
    <row r="1083" spans="1:13" x14ac:dyDescent="0.3">
      <c r="A1083" s="3">
        <v>45217</v>
      </c>
      <c r="B1083">
        <f t="shared" si="16"/>
        <v>2023</v>
      </c>
      <c r="C1083">
        <v>10</v>
      </c>
      <c r="D1083" t="s">
        <v>7</v>
      </c>
      <c r="E1083" t="s">
        <v>32</v>
      </c>
      <c r="F1083" s="2">
        <v>13817</v>
      </c>
      <c r="G1083" s="2">
        <f>Monthly_Growth!$C$11</f>
        <v>847117</v>
      </c>
      <c r="H1083" s="5">
        <f>Monthly_Growth!$D$11</f>
        <v>5.4438610772957322E-2</v>
      </c>
      <c r="I1083" s="15">
        <f>Yearly_Growth!$C$2</f>
        <v>5.0333827436586778E-2</v>
      </c>
      <c r="J1083" s="15">
        <f>Yearly_Growth!$D$2</f>
        <v>0.03</v>
      </c>
      <c r="K1083">
        <f>Sales_Per_Representative!$C$3</f>
        <v>762157</v>
      </c>
      <c r="L1083">
        <f>Sales_Per_Rep_Yearly_Goal!$B$2</f>
        <v>665544.80000000005</v>
      </c>
      <c r="M1083">
        <f>Sales_Per_Rep_Yearly_Goal!$C$2</f>
        <v>650000</v>
      </c>
    </row>
    <row r="1084" spans="1:13" x14ac:dyDescent="0.3">
      <c r="A1084" s="3">
        <v>45217</v>
      </c>
      <c r="B1084">
        <f t="shared" si="16"/>
        <v>2023</v>
      </c>
      <c r="C1084">
        <v>10</v>
      </c>
      <c r="D1084" t="s">
        <v>12</v>
      </c>
      <c r="E1084" t="s">
        <v>33</v>
      </c>
      <c r="F1084" s="2">
        <v>13993</v>
      </c>
      <c r="G1084" s="2">
        <f>Monthly_Growth!$C$11</f>
        <v>847117</v>
      </c>
      <c r="H1084" s="5">
        <f>Monthly_Growth!$D$11</f>
        <v>5.4438610772957322E-2</v>
      </c>
      <c r="I1084" s="15">
        <f>Yearly_Growth!$C$2</f>
        <v>5.0333827436586778E-2</v>
      </c>
      <c r="J1084" s="15">
        <f>Yearly_Growth!$D$2</f>
        <v>0.03</v>
      </c>
      <c r="K1084">
        <f>Sales_Per_Representative!$C$11</f>
        <v>496886</v>
      </c>
      <c r="L1084">
        <f>Sales_Per_Rep_Yearly_Goal!$B$2</f>
        <v>665544.80000000005</v>
      </c>
      <c r="M1084">
        <f>Sales_Per_Rep_Yearly_Goal!$C$2</f>
        <v>650000</v>
      </c>
    </row>
    <row r="1085" spans="1:13" x14ac:dyDescent="0.3">
      <c r="A1085" s="3">
        <v>45218</v>
      </c>
      <c r="B1085">
        <f t="shared" si="16"/>
        <v>2023</v>
      </c>
      <c r="C1085">
        <v>10</v>
      </c>
      <c r="D1085" t="s">
        <v>25</v>
      </c>
      <c r="E1085" t="s">
        <v>20</v>
      </c>
      <c r="F1085" s="2">
        <v>4190</v>
      </c>
      <c r="G1085" s="2">
        <f>Monthly_Growth!$C$11</f>
        <v>847117</v>
      </c>
      <c r="H1085" s="5">
        <f>Monthly_Growth!$D$11</f>
        <v>5.4438610772957322E-2</v>
      </c>
      <c r="I1085" s="15">
        <f>Yearly_Growth!$C$2</f>
        <v>5.0333827436586778E-2</v>
      </c>
      <c r="J1085" s="15">
        <f>Yearly_Growth!$D$2</f>
        <v>0.03</v>
      </c>
      <c r="K1085">
        <f>Sales_Per_Representative!$C$14</f>
        <v>675530</v>
      </c>
      <c r="L1085">
        <f>Sales_Per_Rep_Yearly_Goal!$B$2</f>
        <v>665544.80000000005</v>
      </c>
      <c r="M1085">
        <f>Sales_Per_Rep_Yearly_Goal!$C$2</f>
        <v>650000</v>
      </c>
    </row>
    <row r="1086" spans="1:13" x14ac:dyDescent="0.3">
      <c r="A1086" s="3">
        <v>45218</v>
      </c>
      <c r="B1086">
        <f t="shared" si="16"/>
        <v>2023</v>
      </c>
      <c r="C1086">
        <v>10</v>
      </c>
      <c r="D1086" t="s">
        <v>25</v>
      </c>
      <c r="E1086" t="s">
        <v>8</v>
      </c>
      <c r="F1086" s="2">
        <v>6673</v>
      </c>
      <c r="G1086" s="2">
        <f>Monthly_Growth!$C$11</f>
        <v>847117</v>
      </c>
      <c r="H1086" s="5">
        <f>Monthly_Growth!$D$11</f>
        <v>5.4438610772957322E-2</v>
      </c>
      <c r="I1086" s="15">
        <f>Yearly_Growth!$C$2</f>
        <v>5.0333827436586778E-2</v>
      </c>
      <c r="J1086" s="15">
        <f>Yearly_Growth!$D$2</f>
        <v>0.03</v>
      </c>
      <c r="K1086">
        <f>Sales_Per_Representative!$C$15</f>
        <v>701242</v>
      </c>
      <c r="L1086">
        <f>Sales_Per_Rep_Yearly_Goal!$B$2</f>
        <v>665544.80000000005</v>
      </c>
      <c r="M1086">
        <f>Sales_Per_Rep_Yearly_Goal!$C$2</f>
        <v>650000</v>
      </c>
    </row>
    <row r="1087" spans="1:13" x14ac:dyDescent="0.3">
      <c r="A1087" s="3">
        <v>45219</v>
      </c>
      <c r="B1087">
        <f t="shared" si="16"/>
        <v>2023</v>
      </c>
      <c r="C1087">
        <v>10</v>
      </c>
      <c r="D1087" t="s">
        <v>23</v>
      </c>
      <c r="E1087" t="s">
        <v>33</v>
      </c>
      <c r="F1087" s="2">
        <v>13435</v>
      </c>
      <c r="G1087" s="2">
        <f>Monthly_Growth!$C$11</f>
        <v>847117</v>
      </c>
      <c r="H1087" s="5">
        <f>Monthly_Growth!$D$11</f>
        <v>5.4438610772957322E-2</v>
      </c>
      <c r="I1087" s="15">
        <f>Yearly_Growth!$C$2</f>
        <v>5.0333827436586778E-2</v>
      </c>
      <c r="J1087" s="15">
        <f>Yearly_Growth!$D$2</f>
        <v>0.03</v>
      </c>
      <c r="K1087">
        <f>Sales_Per_Representative!$C$11</f>
        <v>496886</v>
      </c>
      <c r="L1087">
        <f>Sales_Per_Rep_Yearly_Goal!$B$2</f>
        <v>665544.80000000005</v>
      </c>
      <c r="M1087">
        <f>Sales_Per_Rep_Yearly_Goal!$C$2</f>
        <v>650000</v>
      </c>
    </row>
    <row r="1088" spans="1:13" x14ac:dyDescent="0.3">
      <c r="A1088" s="3">
        <v>45219</v>
      </c>
      <c r="B1088">
        <f t="shared" si="16"/>
        <v>2023</v>
      </c>
      <c r="C1088">
        <v>10</v>
      </c>
      <c r="D1088" t="s">
        <v>7</v>
      </c>
      <c r="E1088" t="s">
        <v>30</v>
      </c>
      <c r="F1088" s="2">
        <v>6310</v>
      </c>
      <c r="G1088" s="2">
        <f>Monthly_Growth!$C$11</f>
        <v>847117</v>
      </c>
      <c r="H1088" s="5">
        <f>Monthly_Growth!$D$11</f>
        <v>5.4438610772957322E-2</v>
      </c>
      <c r="I1088" s="15">
        <f>Yearly_Growth!$C$2</f>
        <v>5.0333827436586778E-2</v>
      </c>
      <c r="J1088" s="15">
        <f>Yearly_Growth!$D$2</f>
        <v>0.03</v>
      </c>
      <c r="K1088">
        <f>Sales_Per_Representative!$C$7</f>
        <v>706974</v>
      </c>
      <c r="L1088">
        <f>Sales_Per_Rep_Yearly_Goal!$B$2</f>
        <v>665544.80000000005</v>
      </c>
      <c r="M1088">
        <f>Sales_Per_Rep_Yearly_Goal!$C$2</f>
        <v>650000</v>
      </c>
    </row>
    <row r="1089" spans="1:13" x14ac:dyDescent="0.3">
      <c r="A1089" s="3">
        <v>45219</v>
      </c>
      <c r="B1089">
        <f t="shared" si="16"/>
        <v>2023</v>
      </c>
      <c r="C1089">
        <v>10</v>
      </c>
      <c r="D1089" t="s">
        <v>28</v>
      </c>
      <c r="E1089" t="s">
        <v>30</v>
      </c>
      <c r="F1089" s="2">
        <v>2353</v>
      </c>
      <c r="G1089" s="2">
        <f>Monthly_Growth!$C$11</f>
        <v>847117</v>
      </c>
      <c r="H1089" s="5">
        <f>Monthly_Growth!$D$11</f>
        <v>5.4438610772957322E-2</v>
      </c>
      <c r="I1089" s="15">
        <f>Yearly_Growth!$C$2</f>
        <v>5.0333827436586778E-2</v>
      </c>
      <c r="J1089" s="15">
        <f>Yearly_Growth!$D$2</f>
        <v>0.03</v>
      </c>
      <c r="K1089">
        <f>Sales_Per_Representative!$C$7</f>
        <v>706974</v>
      </c>
      <c r="L1089">
        <f>Sales_Per_Rep_Yearly_Goal!$B$2</f>
        <v>665544.80000000005</v>
      </c>
      <c r="M1089">
        <f>Sales_Per_Rep_Yearly_Goal!$C$2</f>
        <v>650000</v>
      </c>
    </row>
    <row r="1090" spans="1:13" x14ac:dyDescent="0.3">
      <c r="A1090" s="3">
        <v>45219</v>
      </c>
      <c r="B1090">
        <f t="shared" si="16"/>
        <v>2023</v>
      </c>
      <c r="C1090">
        <v>10</v>
      </c>
      <c r="D1090" t="s">
        <v>28</v>
      </c>
      <c r="E1090" t="s">
        <v>31</v>
      </c>
      <c r="F1090" s="2">
        <v>11851</v>
      </c>
      <c r="G1090" s="2">
        <f>Monthly_Growth!$C$11</f>
        <v>847117</v>
      </c>
      <c r="H1090" s="5">
        <f>Monthly_Growth!$D$11</f>
        <v>5.4438610772957322E-2</v>
      </c>
      <c r="I1090" s="15">
        <f>Yearly_Growth!$C$2</f>
        <v>5.0333827436586778E-2</v>
      </c>
      <c r="J1090" s="15">
        <f>Yearly_Growth!$D$2</f>
        <v>0.03</v>
      </c>
      <c r="K1090">
        <f>Sales_Per_Representative!$C$6</f>
        <v>727823</v>
      </c>
      <c r="L1090">
        <f>Sales_Per_Rep_Yearly_Goal!$B$2</f>
        <v>665544.80000000005</v>
      </c>
      <c r="M1090">
        <f>Sales_Per_Rep_Yearly_Goal!$C$2</f>
        <v>650000</v>
      </c>
    </row>
    <row r="1091" spans="1:13" x14ac:dyDescent="0.3">
      <c r="A1091" s="3">
        <v>45219</v>
      </c>
      <c r="B1091">
        <f t="shared" ref="B1091:B1154" si="17">YEAR(A1091)</f>
        <v>2023</v>
      </c>
      <c r="C1091">
        <v>10</v>
      </c>
      <c r="D1091" t="s">
        <v>12</v>
      </c>
      <c r="E1091" t="s">
        <v>24</v>
      </c>
      <c r="F1091" s="2">
        <v>5789</v>
      </c>
      <c r="G1091" s="2">
        <f>Monthly_Growth!$C$11</f>
        <v>847117</v>
      </c>
      <c r="H1091" s="5">
        <f>Monthly_Growth!$D$11</f>
        <v>5.4438610772957322E-2</v>
      </c>
      <c r="I1091" s="15">
        <f>Yearly_Growth!$C$2</f>
        <v>5.0333827436586778E-2</v>
      </c>
      <c r="J1091" s="15">
        <f>Yearly_Growth!$D$2</f>
        <v>0.03</v>
      </c>
      <c r="K1091">
        <f>Sales_Per_Representative!$C$2</f>
        <v>631195</v>
      </c>
      <c r="L1091">
        <f>Sales_Per_Rep_Yearly_Goal!$B$2</f>
        <v>665544.80000000005</v>
      </c>
      <c r="M1091">
        <f>Sales_Per_Rep_Yearly_Goal!$C$2</f>
        <v>650000</v>
      </c>
    </row>
    <row r="1092" spans="1:13" x14ac:dyDescent="0.3">
      <c r="A1092" s="3">
        <v>45220</v>
      </c>
      <c r="B1092">
        <f t="shared" si="17"/>
        <v>2023</v>
      </c>
      <c r="C1092">
        <v>10</v>
      </c>
      <c r="D1092" t="s">
        <v>14</v>
      </c>
      <c r="E1092" t="s">
        <v>30</v>
      </c>
      <c r="F1092" s="2">
        <v>13165</v>
      </c>
      <c r="G1092" s="2">
        <f>Monthly_Growth!$C$11</f>
        <v>847117</v>
      </c>
      <c r="H1092" s="5">
        <f>Monthly_Growth!$D$11</f>
        <v>5.4438610772957322E-2</v>
      </c>
      <c r="I1092" s="15">
        <f>Yearly_Growth!$C$2</f>
        <v>5.0333827436586778E-2</v>
      </c>
      <c r="J1092" s="15">
        <f>Yearly_Growth!$D$2</f>
        <v>0.03</v>
      </c>
      <c r="K1092">
        <f>Sales_Per_Representative!$C$7</f>
        <v>706974</v>
      </c>
      <c r="L1092">
        <f>Sales_Per_Rep_Yearly_Goal!$B$2</f>
        <v>665544.80000000005</v>
      </c>
      <c r="M1092">
        <f>Sales_Per_Rep_Yearly_Goal!$C$2</f>
        <v>650000</v>
      </c>
    </row>
    <row r="1093" spans="1:13" x14ac:dyDescent="0.3">
      <c r="A1093" s="3">
        <v>45220</v>
      </c>
      <c r="B1093">
        <f t="shared" si="17"/>
        <v>2023</v>
      </c>
      <c r="C1093">
        <v>10</v>
      </c>
      <c r="D1093" t="s">
        <v>7</v>
      </c>
      <c r="E1093" t="s">
        <v>8</v>
      </c>
      <c r="F1093" s="2">
        <v>11602</v>
      </c>
      <c r="G1093" s="2">
        <f>Monthly_Growth!$C$11</f>
        <v>847117</v>
      </c>
      <c r="H1093" s="5">
        <f>Monthly_Growth!$D$11</f>
        <v>5.4438610772957322E-2</v>
      </c>
      <c r="I1093" s="15">
        <f>Yearly_Growth!$C$2</f>
        <v>5.0333827436586778E-2</v>
      </c>
      <c r="J1093" s="15">
        <f>Yearly_Growth!$D$2</f>
        <v>0.03</v>
      </c>
      <c r="K1093">
        <f>Sales_Per_Representative!$C$15</f>
        <v>701242</v>
      </c>
      <c r="L1093">
        <f>Sales_Per_Rep_Yearly_Goal!$B$2</f>
        <v>665544.80000000005</v>
      </c>
      <c r="M1093">
        <f>Sales_Per_Rep_Yearly_Goal!$C$2</f>
        <v>650000</v>
      </c>
    </row>
    <row r="1094" spans="1:13" x14ac:dyDescent="0.3">
      <c r="A1094" s="3">
        <v>45220</v>
      </c>
      <c r="B1094">
        <f t="shared" si="17"/>
        <v>2023</v>
      </c>
      <c r="C1094">
        <v>10</v>
      </c>
      <c r="D1094" t="s">
        <v>7</v>
      </c>
      <c r="E1094" t="s">
        <v>5</v>
      </c>
      <c r="F1094" s="2">
        <v>4836</v>
      </c>
      <c r="G1094" s="2">
        <f>Monthly_Growth!$C$11</f>
        <v>847117</v>
      </c>
      <c r="H1094" s="5">
        <f>Monthly_Growth!$D$11</f>
        <v>5.4438610772957322E-2</v>
      </c>
      <c r="I1094" s="15">
        <f>Yearly_Growth!$C$2</f>
        <v>5.0333827436586778E-2</v>
      </c>
      <c r="J1094" s="15">
        <f>Yearly_Growth!$D$2</f>
        <v>0.03</v>
      </c>
      <c r="K1094">
        <f>Sales_Per_Representative!$C$10</f>
        <v>663333</v>
      </c>
      <c r="L1094">
        <f>Sales_Per_Rep_Yearly_Goal!$B$2</f>
        <v>665544.80000000005</v>
      </c>
      <c r="M1094">
        <f>Sales_Per_Rep_Yearly_Goal!$C$2</f>
        <v>650000</v>
      </c>
    </row>
    <row r="1095" spans="1:13" x14ac:dyDescent="0.3">
      <c r="A1095" s="3">
        <v>45220</v>
      </c>
      <c r="B1095">
        <f t="shared" si="17"/>
        <v>2023</v>
      </c>
      <c r="C1095">
        <v>10</v>
      </c>
      <c r="D1095" t="s">
        <v>28</v>
      </c>
      <c r="E1095" t="s">
        <v>10</v>
      </c>
      <c r="F1095" s="2">
        <v>2475</v>
      </c>
      <c r="G1095" s="2">
        <f>Monthly_Growth!$C$11</f>
        <v>847117</v>
      </c>
      <c r="H1095" s="5">
        <f>Monthly_Growth!$D$11</f>
        <v>5.4438610772957322E-2</v>
      </c>
      <c r="I1095" s="15">
        <f>Yearly_Growth!$C$2</f>
        <v>5.0333827436586778E-2</v>
      </c>
      <c r="J1095" s="15">
        <f>Yearly_Growth!$D$2</f>
        <v>0.03</v>
      </c>
      <c r="K1095">
        <f>Sales_Per_Representative!$C$4</f>
        <v>725713</v>
      </c>
      <c r="L1095">
        <f>Sales_Per_Rep_Yearly_Goal!$B$2</f>
        <v>665544.80000000005</v>
      </c>
      <c r="M1095">
        <f>Sales_Per_Rep_Yearly_Goal!$C$2</f>
        <v>650000</v>
      </c>
    </row>
    <row r="1096" spans="1:13" x14ac:dyDescent="0.3">
      <c r="A1096" s="3">
        <v>45221</v>
      </c>
      <c r="B1096">
        <f t="shared" si="17"/>
        <v>2023</v>
      </c>
      <c r="C1096">
        <v>10</v>
      </c>
      <c r="D1096" t="s">
        <v>17</v>
      </c>
      <c r="E1096" t="s">
        <v>27</v>
      </c>
      <c r="F1096" s="2">
        <v>7063</v>
      </c>
      <c r="G1096" s="2">
        <f>Monthly_Growth!$C$11</f>
        <v>847117</v>
      </c>
      <c r="H1096" s="5">
        <f>Monthly_Growth!$D$11</f>
        <v>5.4438610772957322E-2</v>
      </c>
      <c r="I1096" s="15">
        <f>Yearly_Growth!$C$2</f>
        <v>5.0333827436586778E-2</v>
      </c>
      <c r="J1096" s="15">
        <f>Yearly_Growth!$D$2</f>
        <v>0.03</v>
      </c>
      <c r="K1096">
        <f>Sales_Per_Representative!$C$5</f>
        <v>747962</v>
      </c>
      <c r="L1096">
        <f>Sales_Per_Rep_Yearly_Goal!$B$2</f>
        <v>665544.80000000005</v>
      </c>
      <c r="M1096">
        <f>Sales_Per_Rep_Yearly_Goal!$C$2</f>
        <v>650000</v>
      </c>
    </row>
    <row r="1097" spans="1:13" x14ac:dyDescent="0.3">
      <c r="A1097" s="3">
        <v>45222</v>
      </c>
      <c r="B1097">
        <f t="shared" si="17"/>
        <v>2023</v>
      </c>
      <c r="C1097">
        <v>10</v>
      </c>
      <c r="D1097" t="s">
        <v>14</v>
      </c>
      <c r="E1097" t="s">
        <v>31</v>
      </c>
      <c r="F1097" s="2">
        <v>13705</v>
      </c>
      <c r="G1097" s="2">
        <f>Monthly_Growth!$C$11</f>
        <v>847117</v>
      </c>
      <c r="H1097" s="5">
        <f>Monthly_Growth!$D$11</f>
        <v>5.4438610772957322E-2</v>
      </c>
      <c r="I1097" s="15">
        <f>Yearly_Growth!$C$2</f>
        <v>5.0333827436586778E-2</v>
      </c>
      <c r="J1097" s="15">
        <f>Yearly_Growth!$D$2</f>
        <v>0.03</v>
      </c>
      <c r="K1097">
        <f>Sales_Per_Representative!$C$6</f>
        <v>727823</v>
      </c>
      <c r="L1097">
        <f>Sales_Per_Rep_Yearly_Goal!$B$2</f>
        <v>665544.80000000005</v>
      </c>
      <c r="M1097">
        <f>Sales_Per_Rep_Yearly_Goal!$C$2</f>
        <v>650000</v>
      </c>
    </row>
    <row r="1098" spans="1:13" x14ac:dyDescent="0.3">
      <c r="A1098" s="3">
        <v>45222</v>
      </c>
      <c r="B1098">
        <f t="shared" si="17"/>
        <v>2023</v>
      </c>
      <c r="C1098">
        <v>10</v>
      </c>
      <c r="D1098" t="s">
        <v>7</v>
      </c>
      <c r="E1098" t="s">
        <v>5</v>
      </c>
      <c r="F1098" s="2">
        <v>1236</v>
      </c>
      <c r="G1098" s="2">
        <f>Monthly_Growth!$C$11</f>
        <v>847117</v>
      </c>
      <c r="H1098" s="5">
        <f>Monthly_Growth!$D$11</f>
        <v>5.4438610772957322E-2</v>
      </c>
      <c r="I1098" s="15">
        <f>Yearly_Growth!$C$2</f>
        <v>5.0333827436586778E-2</v>
      </c>
      <c r="J1098" s="15">
        <f>Yearly_Growth!$D$2</f>
        <v>0.03</v>
      </c>
      <c r="K1098">
        <f>Sales_Per_Representative!$C$10</f>
        <v>663333</v>
      </c>
      <c r="L1098">
        <f>Sales_Per_Rep_Yearly_Goal!$B$2</f>
        <v>665544.80000000005</v>
      </c>
      <c r="M1098">
        <f>Sales_Per_Rep_Yearly_Goal!$C$2</f>
        <v>650000</v>
      </c>
    </row>
    <row r="1099" spans="1:13" x14ac:dyDescent="0.3">
      <c r="A1099" s="3">
        <v>45222</v>
      </c>
      <c r="B1099">
        <f t="shared" si="17"/>
        <v>2023</v>
      </c>
      <c r="C1099">
        <v>10</v>
      </c>
      <c r="D1099" t="s">
        <v>28</v>
      </c>
      <c r="E1099" t="s">
        <v>31</v>
      </c>
      <c r="F1099" s="2">
        <v>2550</v>
      </c>
      <c r="G1099" s="2">
        <f>Monthly_Growth!$C$11</f>
        <v>847117</v>
      </c>
      <c r="H1099" s="5">
        <f>Monthly_Growth!$D$11</f>
        <v>5.4438610772957322E-2</v>
      </c>
      <c r="I1099" s="15">
        <f>Yearly_Growth!$C$2</f>
        <v>5.0333827436586778E-2</v>
      </c>
      <c r="J1099" s="15">
        <f>Yearly_Growth!$D$2</f>
        <v>0.03</v>
      </c>
      <c r="K1099">
        <f>Sales_Per_Representative!$C$6</f>
        <v>727823</v>
      </c>
      <c r="L1099">
        <f>Sales_Per_Rep_Yearly_Goal!$B$2</f>
        <v>665544.80000000005</v>
      </c>
      <c r="M1099">
        <f>Sales_Per_Rep_Yearly_Goal!$C$2</f>
        <v>650000</v>
      </c>
    </row>
    <row r="1100" spans="1:13" x14ac:dyDescent="0.3">
      <c r="A1100" s="3">
        <v>45222</v>
      </c>
      <c r="B1100">
        <f t="shared" si="17"/>
        <v>2023</v>
      </c>
      <c r="C1100">
        <v>10</v>
      </c>
      <c r="D1100" t="s">
        <v>12</v>
      </c>
      <c r="E1100" t="s">
        <v>15</v>
      </c>
      <c r="F1100" s="2">
        <v>10973</v>
      </c>
      <c r="G1100" s="2">
        <f>Monthly_Growth!$C$11</f>
        <v>847117</v>
      </c>
      <c r="H1100" s="5">
        <f>Monthly_Growth!$D$11</f>
        <v>5.4438610772957322E-2</v>
      </c>
      <c r="I1100" s="15">
        <f>Yearly_Growth!$C$2</f>
        <v>5.0333827436586778E-2</v>
      </c>
      <c r="J1100" s="15">
        <f>Yearly_Growth!$D$2</f>
        <v>0.03</v>
      </c>
      <c r="K1100">
        <f>Sales_Per_Representative!$C$12</f>
        <v>656359</v>
      </c>
      <c r="L1100">
        <f>Sales_Per_Rep_Yearly_Goal!$B$2</f>
        <v>665544.80000000005</v>
      </c>
      <c r="M1100">
        <f>Sales_Per_Rep_Yearly_Goal!$C$2</f>
        <v>650000</v>
      </c>
    </row>
    <row r="1101" spans="1:13" x14ac:dyDescent="0.3">
      <c r="A1101" s="3">
        <v>45223</v>
      </c>
      <c r="B1101">
        <f t="shared" si="17"/>
        <v>2023</v>
      </c>
      <c r="C1101">
        <v>10</v>
      </c>
      <c r="D1101" t="s">
        <v>12</v>
      </c>
      <c r="E1101" t="s">
        <v>8</v>
      </c>
      <c r="F1101" s="2">
        <v>4450</v>
      </c>
      <c r="G1101" s="2">
        <f>Monthly_Growth!$C$11</f>
        <v>847117</v>
      </c>
      <c r="H1101" s="5">
        <f>Monthly_Growth!$D$11</f>
        <v>5.4438610772957322E-2</v>
      </c>
      <c r="I1101" s="15">
        <f>Yearly_Growth!$C$2</f>
        <v>5.0333827436586778E-2</v>
      </c>
      <c r="J1101" s="15">
        <f>Yearly_Growth!$D$2</f>
        <v>0.03</v>
      </c>
      <c r="K1101">
        <f>Sales_Per_Representative!$C$15</f>
        <v>701242</v>
      </c>
      <c r="L1101">
        <f>Sales_Per_Rep_Yearly_Goal!$B$2</f>
        <v>665544.80000000005</v>
      </c>
      <c r="M1101">
        <f>Sales_Per_Rep_Yearly_Goal!$C$2</f>
        <v>650000</v>
      </c>
    </row>
    <row r="1102" spans="1:13" x14ac:dyDescent="0.3">
      <c r="A1102" s="3">
        <v>45224</v>
      </c>
      <c r="B1102">
        <f t="shared" si="17"/>
        <v>2023</v>
      </c>
      <c r="C1102">
        <v>10</v>
      </c>
      <c r="D1102" t="s">
        <v>19</v>
      </c>
      <c r="E1102" t="s">
        <v>32</v>
      </c>
      <c r="F1102" s="2">
        <v>3421</v>
      </c>
      <c r="G1102" s="2">
        <f>Monthly_Growth!$C$11</f>
        <v>847117</v>
      </c>
      <c r="H1102" s="5">
        <f>Monthly_Growth!$D$11</f>
        <v>5.4438610772957322E-2</v>
      </c>
      <c r="I1102" s="15">
        <f>Yearly_Growth!$C$2</f>
        <v>5.0333827436586778E-2</v>
      </c>
      <c r="J1102" s="15">
        <f>Yearly_Growth!$D$2</f>
        <v>0.03</v>
      </c>
      <c r="K1102">
        <f>Sales_Per_Representative!$C$3</f>
        <v>762157</v>
      </c>
      <c r="L1102">
        <f>Sales_Per_Rep_Yearly_Goal!$B$2</f>
        <v>665544.80000000005</v>
      </c>
      <c r="M1102">
        <f>Sales_Per_Rep_Yearly_Goal!$C$2</f>
        <v>650000</v>
      </c>
    </row>
    <row r="1103" spans="1:13" x14ac:dyDescent="0.3">
      <c r="A1103" s="3">
        <v>45225</v>
      </c>
      <c r="B1103">
        <f t="shared" si="17"/>
        <v>2023</v>
      </c>
      <c r="C1103">
        <v>10</v>
      </c>
      <c r="D1103" t="s">
        <v>14</v>
      </c>
      <c r="E1103" t="s">
        <v>27</v>
      </c>
      <c r="F1103" s="2">
        <v>6311</v>
      </c>
      <c r="G1103" s="2">
        <f>Monthly_Growth!$C$11</f>
        <v>847117</v>
      </c>
      <c r="H1103" s="5">
        <f>Monthly_Growth!$D$11</f>
        <v>5.4438610772957322E-2</v>
      </c>
      <c r="I1103" s="15">
        <f>Yearly_Growth!$C$2</f>
        <v>5.0333827436586778E-2</v>
      </c>
      <c r="J1103" s="15">
        <f>Yearly_Growth!$D$2</f>
        <v>0.03</v>
      </c>
      <c r="K1103">
        <f>Sales_Per_Representative!$C$5</f>
        <v>747962</v>
      </c>
      <c r="L1103">
        <f>Sales_Per_Rep_Yearly_Goal!$B$2</f>
        <v>665544.80000000005</v>
      </c>
      <c r="M1103">
        <f>Sales_Per_Rep_Yearly_Goal!$C$2</f>
        <v>650000</v>
      </c>
    </row>
    <row r="1104" spans="1:13" x14ac:dyDescent="0.3">
      <c r="A1104" s="3">
        <v>45225</v>
      </c>
      <c r="B1104">
        <f t="shared" si="17"/>
        <v>2023</v>
      </c>
      <c r="C1104">
        <v>10</v>
      </c>
      <c r="D1104" t="s">
        <v>23</v>
      </c>
      <c r="E1104" t="s">
        <v>31</v>
      </c>
      <c r="F1104" s="2">
        <v>3342</v>
      </c>
      <c r="G1104" s="2">
        <f>Monthly_Growth!$C$11</f>
        <v>847117</v>
      </c>
      <c r="H1104" s="5">
        <f>Monthly_Growth!$D$11</f>
        <v>5.4438610772957322E-2</v>
      </c>
      <c r="I1104" s="15">
        <f>Yearly_Growth!$C$2</f>
        <v>5.0333827436586778E-2</v>
      </c>
      <c r="J1104" s="15">
        <f>Yearly_Growth!$D$2</f>
        <v>0.03</v>
      </c>
      <c r="K1104">
        <f>Sales_Per_Representative!$C$6</f>
        <v>727823</v>
      </c>
      <c r="L1104">
        <f>Sales_Per_Rep_Yearly_Goal!$B$2</f>
        <v>665544.80000000005</v>
      </c>
      <c r="M1104">
        <f>Sales_Per_Rep_Yearly_Goal!$C$2</f>
        <v>650000</v>
      </c>
    </row>
    <row r="1105" spans="1:13" x14ac:dyDescent="0.3">
      <c r="A1105" s="3">
        <v>45225</v>
      </c>
      <c r="B1105">
        <f t="shared" si="17"/>
        <v>2023</v>
      </c>
      <c r="C1105">
        <v>10</v>
      </c>
      <c r="D1105" t="s">
        <v>7</v>
      </c>
      <c r="E1105" t="s">
        <v>31</v>
      </c>
      <c r="F1105" s="2">
        <v>9611</v>
      </c>
      <c r="G1105" s="2">
        <f>Monthly_Growth!$C$11</f>
        <v>847117</v>
      </c>
      <c r="H1105" s="5">
        <f>Monthly_Growth!$D$11</f>
        <v>5.4438610772957322E-2</v>
      </c>
      <c r="I1105" s="15">
        <f>Yearly_Growth!$C$2</f>
        <v>5.0333827436586778E-2</v>
      </c>
      <c r="J1105" s="15">
        <f>Yearly_Growth!$D$2</f>
        <v>0.03</v>
      </c>
      <c r="K1105">
        <f>Sales_Per_Representative!$C$6</f>
        <v>727823</v>
      </c>
      <c r="L1105">
        <f>Sales_Per_Rep_Yearly_Goal!$B$2</f>
        <v>665544.80000000005</v>
      </c>
      <c r="M1105">
        <f>Sales_Per_Rep_Yearly_Goal!$C$2</f>
        <v>650000</v>
      </c>
    </row>
    <row r="1106" spans="1:13" x14ac:dyDescent="0.3">
      <c r="A1106" s="3">
        <v>45225</v>
      </c>
      <c r="B1106">
        <f t="shared" si="17"/>
        <v>2023</v>
      </c>
      <c r="C1106">
        <v>10</v>
      </c>
      <c r="D1106" t="s">
        <v>28</v>
      </c>
      <c r="E1106" t="s">
        <v>22</v>
      </c>
      <c r="F1106" s="2">
        <v>6775</v>
      </c>
      <c r="G1106" s="2">
        <f>Monthly_Growth!$C$11</f>
        <v>847117</v>
      </c>
      <c r="H1106" s="5">
        <f>Monthly_Growth!$D$11</f>
        <v>5.4438610772957322E-2</v>
      </c>
      <c r="I1106" s="15">
        <f>Yearly_Growth!$C$2</f>
        <v>5.0333827436586778E-2</v>
      </c>
      <c r="J1106" s="15">
        <f>Yearly_Growth!$D$2</f>
        <v>0.03</v>
      </c>
      <c r="K1106">
        <f>Sales_Per_Representative!$C$8</f>
        <v>649456</v>
      </c>
      <c r="L1106">
        <f>Sales_Per_Rep_Yearly_Goal!$B$2</f>
        <v>665544.80000000005</v>
      </c>
      <c r="M1106">
        <f>Sales_Per_Rep_Yearly_Goal!$C$2</f>
        <v>650000</v>
      </c>
    </row>
    <row r="1107" spans="1:13" x14ac:dyDescent="0.3">
      <c r="A1107" s="3">
        <v>45225</v>
      </c>
      <c r="B1107">
        <f t="shared" si="17"/>
        <v>2023</v>
      </c>
      <c r="C1107">
        <v>10</v>
      </c>
      <c r="D1107" t="s">
        <v>17</v>
      </c>
      <c r="E1107" t="s">
        <v>15</v>
      </c>
      <c r="F1107" s="2">
        <v>2432</v>
      </c>
      <c r="G1107" s="2">
        <f>Monthly_Growth!$C$11</f>
        <v>847117</v>
      </c>
      <c r="H1107" s="5">
        <f>Monthly_Growth!$D$11</f>
        <v>5.4438610772957322E-2</v>
      </c>
      <c r="I1107" s="15">
        <f>Yearly_Growth!$C$2</f>
        <v>5.0333827436586778E-2</v>
      </c>
      <c r="J1107" s="15">
        <f>Yearly_Growth!$D$2</f>
        <v>0.03</v>
      </c>
      <c r="K1107">
        <f>Sales_Per_Representative!$C$12</f>
        <v>656359</v>
      </c>
      <c r="L1107">
        <f>Sales_Per_Rep_Yearly_Goal!$B$2</f>
        <v>665544.80000000005</v>
      </c>
      <c r="M1107">
        <f>Sales_Per_Rep_Yearly_Goal!$C$2</f>
        <v>650000</v>
      </c>
    </row>
    <row r="1108" spans="1:13" x14ac:dyDescent="0.3">
      <c r="A1108" s="3">
        <v>45225</v>
      </c>
      <c r="B1108">
        <f t="shared" si="17"/>
        <v>2023</v>
      </c>
      <c r="C1108">
        <v>10</v>
      </c>
      <c r="D1108" t="s">
        <v>17</v>
      </c>
      <c r="E1108" t="s">
        <v>26</v>
      </c>
      <c r="F1108" s="2">
        <v>4149</v>
      </c>
      <c r="G1108" s="2">
        <f>Monthly_Growth!$C$11</f>
        <v>847117</v>
      </c>
      <c r="H1108" s="5">
        <f>Monthly_Growth!$D$11</f>
        <v>5.4438610772957322E-2</v>
      </c>
      <c r="I1108" s="15">
        <f>Yearly_Growth!$C$2</f>
        <v>5.0333827436586778E-2</v>
      </c>
      <c r="J1108" s="15">
        <f>Yearly_Growth!$D$2</f>
        <v>0.03</v>
      </c>
      <c r="K1108">
        <f>Sales_Per_Representative!$C$16</f>
        <v>666159</v>
      </c>
      <c r="L1108">
        <f>Sales_Per_Rep_Yearly_Goal!$B$2</f>
        <v>665544.80000000005</v>
      </c>
      <c r="M1108">
        <f>Sales_Per_Rep_Yearly_Goal!$C$2</f>
        <v>650000</v>
      </c>
    </row>
    <row r="1109" spans="1:13" x14ac:dyDescent="0.3">
      <c r="A1109" s="3">
        <v>45225</v>
      </c>
      <c r="B1109">
        <f t="shared" si="17"/>
        <v>2023</v>
      </c>
      <c r="C1109">
        <v>10</v>
      </c>
      <c r="D1109" t="s">
        <v>17</v>
      </c>
      <c r="E1109" t="s">
        <v>31</v>
      </c>
      <c r="F1109" s="2">
        <v>9661</v>
      </c>
      <c r="G1109" s="2">
        <f>Monthly_Growth!$C$11</f>
        <v>847117</v>
      </c>
      <c r="H1109" s="5">
        <f>Monthly_Growth!$D$11</f>
        <v>5.4438610772957322E-2</v>
      </c>
      <c r="I1109" s="15">
        <f>Yearly_Growth!$C$2</f>
        <v>5.0333827436586778E-2</v>
      </c>
      <c r="J1109" s="15">
        <f>Yearly_Growth!$D$2</f>
        <v>0.03</v>
      </c>
      <c r="K1109">
        <f>Sales_Per_Representative!$C$6</f>
        <v>727823</v>
      </c>
      <c r="L1109">
        <f>Sales_Per_Rep_Yearly_Goal!$B$2</f>
        <v>665544.80000000005</v>
      </c>
      <c r="M1109">
        <f>Sales_Per_Rep_Yearly_Goal!$C$2</f>
        <v>650000</v>
      </c>
    </row>
    <row r="1110" spans="1:13" x14ac:dyDescent="0.3">
      <c r="A1110" s="3">
        <v>45225</v>
      </c>
      <c r="B1110">
        <f t="shared" si="17"/>
        <v>2023</v>
      </c>
      <c r="C1110">
        <v>10</v>
      </c>
      <c r="D1110" t="s">
        <v>17</v>
      </c>
      <c r="E1110" t="s">
        <v>31</v>
      </c>
      <c r="F1110" s="2">
        <v>3381</v>
      </c>
      <c r="G1110" s="2">
        <f>Monthly_Growth!$C$11</f>
        <v>847117</v>
      </c>
      <c r="H1110" s="5">
        <f>Monthly_Growth!$D$11</f>
        <v>5.4438610772957322E-2</v>
      </c>
      <c r="I1110" s="15">
        <f>Yearly_Growth!$C$2</f>
        <v>5.0333827436586778E-2</v>
      </c>
      <c r="J1110" s="15">
        <f>Yearly_Growth!$D$2</f>
        <v>0.03</v>
      </c>
      <c r="K1110">
        <f>Sales_Per_Representative!$C$6</f>
        <v>727823</v>
      </c>
      <c r="L1110">
        <f>Sales_Per_Rep_Yearly_Goal!$B$2</f>
        <v>665544.80000000005</v>
      </c>
      <c r="M1110">
        <f>Sales_Per_Rep_Yearly_Goal!$C$2</f>
        <v>650000</v>
      </c>
    </row>
    <row r="1111" spans="1:13" x14ac:dyDescent="0.3">
      <c r="A1111" s="3">
        <v>45226</v>
      </c>
      <c r="B1111">
        <f t="shared" si="17"/>
        <v>2023</v>
      </c>
      <c r="C1111">
        <v>10</v>
      </c>
      <c r="D1111" t="s">
        <v>14</v>
      </c>
      <c r="E1111" t="s">
        <v>8</v>
      </c>
      <c r="F1111" s="2">
        <v>2479</v>
      </c>
      <c r="G1111" s="2">
        <f>Monthly_Growth!$C$11</f>
        <v>847117</v>
      </c>
      <c r="H1111" s="5">
        <f>Monthly_Growth!$D$11</f>
        <v>5.4438610772957322E-2</v>
      </c>
      <c r="I1111" s="15">
        <f>Yearly_Growth!$C$2</f>
        <v>5.0333827436586778E-2</v>
      </c>
      <c r="J1111" s="15">
        <f>Yearly_Growth!$D$2</f>
        <v>0.03</v>
      </c>
      <c r="K1111">
        <f>Sales_Per_Representative!$C$15</f>
        <v>701242</v>
      </c>
      <c r="L1111">
        <f>Sales_Per_Rep_Yearly_Goal!$B$2</f>
        <v>665544.80000000005</v>
      </c>
      <c r="M1111">
        <f>Sales_Per_Rep_Yearly_Goal!$C$2</f>
        <v>650000</v>
      </c>
    </row>
    <row r="1112" spans="1:13" x14ac:dyDescent="0.3">
      <c r="A1112" s="3">
        <v>45227</v>
      </c>
      <c r="B1112">
        <f t="shared" si="17"/>
        <v>2023</v>
      </c>
      <c r="C1112">
        <v>10</v>
      </c>
      <c r="D1112" t="s">
        <v>19</v>
      </c>
      <c r="E1112" t="s">
        <v>32</v>
      </c>
      <c r="F1112" s="2">
        <v>13494</v>
      </c>
      <c r="G1112" s="2">
        <f>Monthly_Growth!$C$11</f>
        <v>847117</v>
      </c>
      <c r="H1112" s="5">
        <f>Monthly_Growth!$D$11</f>
        <v>5.4438610772957322E-2</v>
      </c>
      <c r="I1112" s="15">
        <f>Yearly_Growth!$C$2</f>
        <v>5.0333827436586778E-2</v>
      </c>
      <c r="J1112" s="15">
        <f>Yearly_Growth!$D$2</f>
        <v>0.03</v>
      </c>
      <c r="K1112">
        <f>Sales_Per_Representative!$C$3</f>
        <v>762157</v>
      </c>
      <c r="L1112">
        <f>Sales_Per_Rep_Yearly_Goal!$B$2</f>
        <v>665544.80000000005</v>
      </c>
      <c r="M1112">
        <f>Sales_Per_Rep_Yearly_Goal!$C$2</f>
        <v>650000</v>
      </c>
    </row>
    <row r="1113" spans="1:13" x14ac:dyDescent="0.3">
      <c r="A1113" s="3">
        <v>45227</v>
      </c>
      <c r="B1113">
        <f t="shared" si="17"/>
        <v>2023</v>
      </c>
      <c r="C1113">
        <v>10</v>
      </c>
      <c r="D1113" t="s">
        <v>28</v>
      </c>
      <c r="E1113" t="s">
        <v>18</v>
      </c>
      <c r="F1113" s="2">
        <v>13834</v>
      </c>
      <c r="G1113" s="2">
        <f>Monthly_Growth!$C$11</f>
        <v>847117</v>
      </c>
      <c r="H1113" s="5">
        <f>Monthly_Growth!$D$11</f>
        <v>5.4438610772957322E-2</v>
      </c>
      <c r="I1113" s="15">
        <f>Yearly_Growth!$C$2</f>
        <v>5.0333827436586778E-2</v>
      </c>
      <c r="J1113" s="15">
        <f>Yearly_Growth!$D$2</f>
        <v>0.03</v>
      </c>
      <c r="K1113">
        <f>Sales_Per_Representative!$C$9</f>
        <v>550835</v>
      </c>
      <c r="L1113">
        <f>Sales_Per_Rep_Yearly_Goal!$B$2</f>
        <v>665544.80000000005</v>
      </c>
      <c r="M1113">
        <f>Sales_Per_Rep_Yearly_Goal!$C$2</f>
        <v>650000</v>
      </c>
    </row>
    <row r="1114" spans="1:13" x14ac:dyDescent="0.3">
      <c r="A1114" s="3">
        <v>45228</v>
      </c>
      <c r="B1114">
        <f t="shared" si="17"/>
        <v>2023</v>
      </c>
      <c r="C1114">
        <v>10</v>
      </c>
      <c r="D1114" t="s">
        <v>14</v>
      </c>
      <c r="E1114" t="s">
        <v>20</v>
      </c>
      <c r="F1114" s="2">
        <v>2174</v>
      </c>
      <c r="G1114" s="2">
        <f>Monthly_Growth!$C$11</f>
        <v>847117</v>
      </c>
      <c r="H1114" s="5">
        <f>Monthly_Growth!$D$11</f>
        <v>5.4438610772957322E-2</v>
      </c>
      <c r="I1114" s="15">
        <f>Yearly_Growth!$C$2</f>
        <v>5.0333827436586778E-2</v>
      </c>
      <c r="J1114" s="15">
        <f>Yearly_Growth!$D$2</f>
        <v>0.03</v>
      </c>
      <c r="K1114">
        <f>Sales_Per_Representative!$C$14</f>
        <v>675530</v>
      </c>
      <c r="L1114">
        <f>Sales_Per_Rep_Yearly_Goal!$B$2</f>
        <v>665544.80000000005</v>
      </c>
      <c r="M1114">
        <f>Sales_Per_Rep_Yearly_Goal!$C$2</f>
        <v>650000</v>
      </c>
    </row>
    <row r="1115" spans="1:13" x14ac:dyDescent="0.3">
      <c r="A1115" s="3">
        <v>45228</v>
      </c>
      <c r="B1115">
        <f t="shared" si="17"/>
        <v>2023</v>
      </c>
      <c r="C1115">
        <v>10</v>
      </c>
      <c r="D1115" t="s">
        <v>19</v>
      </c>
      <c r="E1115" t="s">
        <v>22</v>
      </c>
      <c r="F1115" s="2">
        <v>2204</v>
      </c>
      <c r="G1115" s="2">
        <f>Monthly_Growth!$C$11</f>
        <v>847117</v>
      </c>
      <c r="H1115" s="5">
        <f>Monthly_Growth!$D$11</f>
        <v>5.4438610772957322E-2</v>
      </c>
      <c r="I1115" s="15">
        <f>Yearly_Growth!$C$2</f>
        <v>5.0333827436586778E-2</v>
      </c>
      <c r="J1115" s="15">
        <f>Yearly_Growth!$D$2</f>
        <v>0.03</v>
      </c>
      <c r="K1115">
        <f>Sales_Per_Representative!$C$8</f>
        <v>649456</v>
      </c>
      <c r="L1115">
        <f>Sales_Per_Rep_Yearly_Goal!$B$2</f>
        <v>665544.80000000005</v>
      </c>
      <c r="M1115">
        <f>Sales_Per_Rep_Yearly_Goal!$C$2</f>
        <v>650000</v>
      </c>
    </row>
    <row r="1116" spans="1:13" x14ac:dyDescent="0.3">
      <c r="A1116" s="3">
        <v>45228</v>
      </c>
      <c r="B1116">
        <f t="shared" si="17"/>
        <v>2023</v>
      </c>
      <c r="C1116">
        <v>10</v>
      </c>
      <c r="D1116" t="s">
        <v>23</v>
      </c>
      <c r="E1116" t="s">
        <v>8</v>
      </c>
      <c r="F1116" s="2">
        <v>12065</v>
      </c>
      <c r="G1116" s="2">
        <f>Monthly_Growth!$C$11</f>
        <v>847117</v>
      </c>
      <c r="H1116" s="5">
        <f>Monthly_Growth!$D$11</f>
        <v>5.4438610772957322E-2</v>
      </c>
      <c r="I1116" s="15">
        <f>Yearly_Growth!$C$2</f>
        <v>5.0333827436586778E-2</v>
      </c>
      <c r="J1116" s="15">
        <f>Yearly_Growth!$D$2</f>
        <v>0.03</v>
      </c>
      <c r="K1116">
        <f>Sales_Per_Representative!$C$15</f>
        <v>701242</v>
      </c>
      <c r="L1116">
        <f>Sales_Per_Rep_Yearly_Goal!$B$2</f>
        <v>665544.80000000005</v>
      </c>
      <c r="M1116">
        <f>Sales_Per_Rep_Yearly_Goal!$C$2</f>
        <v>650000</v>
      </c>
    </row>
    <row r="1117" spans="1:13" x14ac:dyDescent="0.3">
      <c r="A1117" s="3">
        <v>45228</v>
      </c>
      <c r="B1117">
        <f t="shared" si="17"/>
        <v>2023</v>
      </c>
      <c r="C1117">
        <v>10</v>
      </c>
      <c r="D1117" t="s">
        <v>23</v>
      </c>
      <c r="E1117" t="s">
        <v>15</v>
      </c>
      <c r="F1117" s="2">
        <v>6056</v>
      </c>
      <c r="G1117" s="2">
        <f>Monthly_Growth!$C$11</f>
        <v>847117</v>
      </c>
      <c r="H1117" s="5">
        <f>Monthly_Growth!$D$11</f>
        <v>5.4438610772957322E-2</v>
      </c>
      <c r="I1117" s="15">
        <f>Yearly_Growth!$C$2</f>
        <v>5.0333827436586778E-2</v>
      </c>
      <c r="J1117" s="15">
        <f>Yearly_Growth!$D$2</f>
        <v>0.03</v>
      </c>
      <c r="K1117">
        <f>Sales_Per_Representative!$C$12</f>
        <v>656359</v>
      </c>
      <c r="L1117">
        <f>Sales_Per_Rep_Yearly_Goal!$B$2</f>
        <v>665544.80000000005</v>
      </c>
      <c r="M1117">
        <f>Sales_Per_Rep_Yearly_Goal!$C$2</f>
        <v>650000</v>
      </c>
    </row>
    <row r="1118" spans="1:13" x14ac:dyDescent="0.3">
      <c r="A1118" s="3">
        <v>45228</v>
      </c>
      <c r="B1118">
        <f t="shared" si="17"/>
        <v>2023</v>
      </c>
      <c r="C1118">
        <v>10</v>
      </c>
      <c r="D1118" t="s">
        <v>25</v>
      </c>
      <c r="E1118" t="s">
        <v>20</v>
      </c>
      <c r="F1118" s="2">
        <v>13815</v>
      </c>
      <c r="G1118" s="2">
        <f>Monthly_Growth!$C$11</f>
        <v>847117</v>
      </c>
      <c r="H1118" s="5">
        <f>Monthly_Growth!$D$11</f>
        <v>5.4438610772957322E-2</v>
      </c>
      <c r="I1118" s="15">
        <f>Yearly_Growth!$C$2</f>
        <v>5.0333827436586778E-2</v>
      </c>
      <c r="J1118" s="15">
        <f>Yearly_Growth!$D$2</f>
        <v>0.03</v>
      </c>
      <c r="K1118">
        <f>Sales_Per_Representative!$C$14</f>
        <v>675530</v>
      </c>
      <c r="L1118">
        <f>Sales_Per_Rep_Yearly_Goal!$B$2</f>
        <v>665544.80000000005</v>
      </c>
      <c r="M1118">
        <f>Sales_Per_Rep_Yearly_Goal!$C$2</f>
        <v>650000</v>
      </c>
    </row>
    <row r="1119" spans="1:13" x14ac:dyDescent="0.3">
      <c r="A1119" s="3">
        <v>45228</v>
      </c>
      <c r="B1119">
        <f t="shared" si="17"/>
        <v>2023</v>
      </c>
      <c r="C1119">
        <v>10</v>
      </c>
      <c r="D1119" t="s">
        <v>17</v>
      </c>
      <c r="E1119" t="s">
        <v>29</v>
      </c>
      <c r="F1119" s="2">
        <v>8436</v>
      </c>
      <c r="G1119" s="2">
        <f>Monthly_Growth!$C$11</f>
        <v>847117</v>
      </c>
      <c r="H1119" s="5">
        <f>Monthly_Growth!$D$11</f>
        <v>5.4438610772957322E-2</v>
      </c>
      <c r="I1119" s="15">
        <f>Yearly_Growth!$C$2</f>
        <v>5.0333827436586778E-2</v>
      </c>
      <c r="J1119" s="15">
        <f>Yearly_Growth!$D$2</f>
        <v>0.03</v>
      </c>
      <c r="K1119">
        <f>Sales_Per_Representative!$C$13</f>
        <v>621548</v>
      </c>
      <c r="L1119">
        <f>Sales_Per_Rep_Yearly_Goal!$B$2</f>
        <v>665544.80000000005</v>
      </c>
      <c r="M1119">
        <f>Sales_Per_Rep_Yearly_Goal!$C$2</f>
        <v>650000</v>
      </c>
    </row>
    <row r="1120" spans="1:13" x14ac:dyDescent="0.3">
      <c r="A1120" s="3">
        <v>45229</v>
      </c>
      <c r="B1120">
        <f t="shared" si="17"/>
        <v>2023</v>
      </c>
      <c r="C1120">
        <v>10</v>
      </c>
      <c r="D1120" t="s">
        <v>14</v>
      </c>
      <c r="E1120" t="s">
        <v>29</v>
      </c>
      <c r="F1120" s="2">
        <v>10251</v>
      </c>
      <c r="G1120" s="2">
        <f>Monthly_Growth!$C$11</f>
        <v>847117</v>
      </c>
      <c r="H1120" s="5">
        <f>Monthly_Growth!$D$11</f>
        <v>5.4438610772957322E-2</v>
      </c>
      <c r="I1120" s="15">
        <f>Yearly_Growth!$C$2</f>
        <v>5.0333827436586778E-2</v>
      </c>
      <c r="J1120" s="15">
        <f>Yearly_Growth!$D$2</f>
        <v>0.03</v>
      </c>
      <c r="K1120">
        <f>Sales_Per_Representative!$C$13</f>
        <v>621548</v>
      </c>
      <c r="L1120">
        <f>Sales_Per_Rep_Yearly_Goal!$B$2</f>
        <v>665544.80000000005</v>
      </c>
      <c r="M1120">
        <f>Sales_Per_Rep_Yearly_Goal!$C$2</f>
        <v>650000</v>
      </c>
    </row>
    <row r="1121" spans="1:13" x14ac:dyDescent="0.3">
      <c r="A1121" s="3">
        <v>45229</v>
      </c>
      <c r="B1121">
        <f t="shared" si="17"/>
        <v>2023</v>
      </c>
      <c r="C1121">
        <v>10</v>
      </c>
      <c r="D1121" t="s">
        <v>25</v>
      </c>
      <c r="E1121" t="s">
        <v>5</v>
      </c>
      <c r="F1121" s="2">
        <v>4657</v>
      </c>
      <c r="G1121" s="2">
        <f>Monthly_Growth!$C$11</f>
        <v>847117</v>
      </c>
      <c r="H1121" s="5">
        <f>Monthly_Growth!$D$11</f>
        <v>5.4438610772957322E-2</v>
      </c>
      <c r="I1121" s="15">
        <f>Yearly_Growth!$C$2</f>
        <v>5.0333827436586778E-2</v>
      </c>
      <c r="J1121" s="15">
        <f>Yearly_Growth!$D$2</f>
        <v>0.03</v>
      </c>
      <c r="K1121">
        <f>Sales_Per_Representative!$C$10</f>
        <v>663333</v>
      </c>
      <c r="L1121">
        <f>Sales_Per_Rep_Yearly_Goal!$B$2</f>
        <v>665544.80000000005</v>
      </c>
      <c r="M1121">
        <f>Sales_Per_Rep_Yearly_Goal!$C$2</f>
        <v>650000</v>
      </c>
    </row>
    <row r="1122" spans="1:13" x14ac:dyDescent="0.3">
      <c r="A1122" s="3">
        <v>45229</v>
      </c>
      <c r="B1122">
        <f t="shared" si="17"/>
        <v>2023</v>
      </c>
      <c r="C1122">
        <v>10</v>
      </c>
      <c r="D1122" t="s">
        <v>25</v>
      </c>
      <c r="E1122" t="s">
        <v>31</v>
      </c>
      <c r="F1122" s="2">
        <v>2864</v>
      </c>
      <c r="G1122" s="2">
        <f>Monthly_Growth!$C$11</f>
        <v>847117</v>
      </c>
      <c r="H1122" s="5">
        <f>Monthly_Growth!$D$11</f>
        <v>5.4438610772957322E-2</v>
      </c>
      <c r="I1122" s="15">
        <f>Yearly_Growth!$C$2</f>
        <v>5.0333827436586778E-2</v>
      </c>
      <c r="J1122" s="15">
        <f>Yearly_Growth!$D$2</f>
        <v>0.03</v>
      </c>
      <c r="K1122">
        <f>Sales_Per_Representative!$C$6</f>
        <v>727823</v>
      </c>
      <c r="L1122">
        <f>Sales_Per_Rep_Yearly_Goal!$B$2</f>
        <v>665544.80000000005</v>
      </c>
      <c r="M1122">
        <f>Sales_Per_Rep_Yearly_Goal!$C$2</f>
        <v>650000</v>
      </c>
    </row>
    <row r="1123" spans="1:13" x14ac:dyDescent="0.3">
      <c r="A1123" s="3">
        <v>45229</v>
      </c>
      <c r="B1123">
        <f t="shared" si="17"/>
        <v>2023</v>
      </c>
      <c r="C1123">
        <v>10</v>
      </c>
      <c r="D1123" t="s">
        <v>7</v>
      </c>
      <c r="E1123" t="s">
        <v>30</v>
      </c>
      <c r="F1123" s="2">
        <v>10766</v>
      </c>
      <c r="G1123" s="2">
        <f>Monthly_Growth!$C$11</f>
        <v>847117</v>
      </c>
      <c r="H1123" s="5">
        <f>Monthly_Growth!$D$11</f>
        <v>5.4438610772957322E-2</v>
      </c>
      <c r="I1123" s="15">
        <f>Yearly_Growth!$C$2</f>
        <v>5.0333827436586778E-2</v>
      </c>
      <c r="J1123" s="15">
        <f>Yearly_Growth!$D$2</f>
        <v>0.03</v>
      </c>
      <c r="K1123">
        <f>Sales_Per_Representative!$C$7</f>
        <v>706974</v>
      </c>
      <c r="L1123">
        <f>Sales_Per_Rep_Yearly_Goal!$B$2</f>
        <v>665544.80000000005</v>
      </c>
      <c r="M1123">
        <f>Sales_Per_Rep_Yearly_Goal!$C$2</f>
        <v>650000</v>
      </c>
    </row>
    <row r="1124" spans="1:13" x14ac:dyDescent="0.3">
      <c r="A1124" s="3">
        <v>45229</v>
      </c>
      <c r="B1124">
        <f t="shared" si="17"/>
        <v>2023</v>
      </c>
      <c r="C1124">
        <v>10</v>
      </c>
      <c r="D1124" t="s">
        <v>17</v>
      </c>
      <c r="E1124" t="s">
        <v>15</v>
      </c>
      <c r="F1124" s="2">
        <v>9069</v>
      </c>
      <c r="G1124" s="2">
        <f>Monthly_Growth!$C$11</f>
        <v>847117</v>
      </c>
      <c r="H1124" s="5">
        <f>Monthly_Growth!$D$11</f>
        <v>5.4438610772957322E-2</v>
      </c>
      <c r="I1124" s="15">
        <f>Yearly_Growth!$C$2</f>
        <v>5.0333827436586778E-2</v>
      </c>
      <c r="J1124" s="15">
        <f>Yearly_Growth!$D$2</f>
        <v>0.03</v>
      </c>
      <c r="K1124">
        <f>Sales_Per_Representative!$C$12</f>
        <v>656359</v>
      </c>
      <c r="L1124">
        <f>Sales_Per_Rep_Yearly_Goal!$B$2</f>
        <v>665544.80000000005</v>
      </c>
      <c r="M1124">
        <f>Sales_Per_Rep_Yearly_Goal!$C$2</f>
        <v>650000</v>
      </c>
    </row>
    <row r="1125" spans="1:13" x14ac:dyDescent="0.3">
      <c r="A1125" s="3">
        <v>45230</v>
      </c>
      <c r="B1125">
        <f t="shared" si="17"/>
        <v>2023</v>
      </c>
      <c r="C1125">
        <v>10</v>
      </c>
      <c r="D1125" t="s">
        <v>23</v>
      </c>
      <c r="E1125" t="s">
        <v>26</v>
      </c>
      <c r="F1125" s="2">
        <v>13248</v>
      </c>
      <c r="G1125" s="2">
        <f>Monthly_Growth!$C$11</f>
        <v>847117</v>
      </c>
      <c r="H1125" s="5">
        <f>Monthly_Growth!$D$11</f>
        <v>5.4438610772957322E-2</v>
      </c>
      <c r="I1125" s="15">
        <f>Yearly_Growth!$C$2</f>
        <v>5.0333827436586778E-2</v>
      </c>
      <c r="J1125" s="15">
        <f>Yearly_Growth!$D$2</f>
        <v>0.03</v>
      </c>
      <c r="K1125">
        <f>Sales_Per_Representative!$C$16</f>
        <v>666159</v>
      </c>
      <c r="L1125">
        <f>Sales_Per_Rep_Yearly_Goal!$B$2</f>
        <v>665544.80000000005</v>
      </c>
      <c r="M1125">
        <f>Sales_Per_Rep_Yearly_Goal!$C$2</f>
        <v>650000</v>
      </c>
    </row>
    <row r="1126" spans="1:13" x14ac:dyDescent="0.3">
      <c r="A1126" s="3">
        <v>45230</v>
      </c>
      <c r="B1126">
        <f t="shared" si="17"/>
        <v>2023</v>
      </c>
      <c r="C1126">
        <v>10</v>
      </c>
      <c r="D1126" t="s">
        <v>7</v>
      </c>
      <c r="E1126" t="s">
        <v>24</v>
      </c>
      <c r="F1126" s="2">
        <v>6644</v>
      </c>
      <c r="G1126" s="2">
        <f>Monthly_Growth!$C$11</f>
        <v>847117</v>
      </c>
      <c r="H1126" s="5">
        <f>Monthly_Growth!$D$11</f>
        <v>5.4438610772957322E-2</v>
      </c>
      <c r="I1126" s="15">
        <f>Yearly_Growth!$C$2</f>
        <v>5.0333827436586778E-2</v>
      </c>
      <c r="J1126" s="15">
        <f>Yearly_Growth!$D$2</f>
        <v>0.03</v>
      </c>
      <c r="K1126">
        <f>Sales_Per_Representative!$C$2</f>
        <v>631195</v>
      </c>
      <c r="L1126">
        <f>Sales_Per_Rep_Yearly_Goal!$B$2</f>
        <v>665544.80000000005</v>
      </c>
      <c r="M1126">
        <f>Sales_Per_Rep_Yearly_Goal!$C$2</f>
        <v>650000</v>
      </c>
    </row>
    <row r="1127" spans="1:13" x14ac:dyDescent="0.3">
      <c r="A1127" s="3">
        <v>45230</v>
      </c>
      <c r="B1127">
        <f t="shared" si="17"/>
        <v>2023</v>
      </c>
      <c r="C1127">
        <v>10</v>
      </c>
      <c r="D1127" t="s">
        <v>7</v>
      </c>
      <c r="E1127" t="s">
        <v>8</v>
      </c>
      <c r="F1127" s="2">
        <v>9467</v>
      </c>
      <c r="G1127" s="2">
        <f>Monthly_Growth!$C$11</f>
        <v>847117</v>
      </c>
      <c r="H1127" s="5">
        <f>Monthly_Growth!$D$11</f>
        <v>5.4438610772957322E-2</v>
      </c>
      <c r="I1127" s="15">
        <f>Yearly_Growth!$C$2</f>
        <v>5.0333827436586778E-2</v>
      </c>
      <c r="J1127" s="15">
        <f>Yearly_Growth!$D$2</f>
        <v>0.03</v>
      </c>
      <c r="K1127">
        <f>Sales_Per_Representative!$C$15</f>
        <v>701242</v>
      </c>
      <c r="L1127">
        <f>Sales_Per_Rep_Yearly_Goal!$B$2</f>
        <v>665544.80000000005</v>
      </c>
      <c r="M1127">
        <f>Sales_Per_Rep_Yearly_Goal!$C$2</f>
        <v>650000</v>
      </c>
    </row>
    <row r="1128" spans="1:13" x14ac:dyDescent="0.3">
      <c r="A1128" s="3">
        <v>45230</v>
      </c>
      <c r="B1128">
        <f t="shared" si="17"/>
        <v>2023</v>
      </c>
      <c r="C1128">
        <v>10</v>
      </c>
      <c r="D1128" t="s">
        <v>12</v>
      </c>
      <c r="E1128" t="s">
        <v>24</v>
      </c>
      <c r="F1128" s="2">
        <v>9707</v>
      </c>
      <c r="G1128" s="2">
        <f>Monthly_Growth!$C$11</f>
        <v>847117</v>
      </c>
      <c r="H1128" s="5">
        <f>Monthly_Growth!$D$11</f>
        <v>5.4438610772957322E-2</v>
      </c>
      <c r="I1128" s="15">
        <f>Yearly_Growth!$C$2</f>
        <v>5.0333827436586778E-2</v>
      </c>
      <c r="J1128" s="15">
        <f>Yearly_Growth!$D$2</f>
        <v>0.03</v>
      </c>
      <c r="K1128">
        <f>Sales_Per_Representative!$C$2</f>
        <v>631195</v>
      </c>
      <c r="L1128">
        <f>Sales_Per_Rep_Yearly_Goal!$B$2</f>
        <v>665544.80000000005</v>
      </c>
      <c r="M1128">
        <f>Sales_Per_Rep_Yearly_Goal!$C$2</f>
        <v>650000</v>
      </c>
    </row>
    <row r="1129" spans="1:13" x14ac:dyDescent="0.3">
      <c r="A1129" s="3">
        <v>45232</v>
      </c>
      <c r="B1129">
        <f t="shared" si="17"/>
        <v>2023</v>
      </c>
      <c r="C1129">
        <v>11</v>
      </c>
      <c r="D1129" t="s">
        <v>23</v>
      </c>
      <c r="E1129" t="s">
        <v>5</v>
      </c>
      <c r="F1129" s="2">
        <v>11797</v>
      </c>
      <c r="G1129" s="2">
        <f>Monthly_Growth!$C$12</f>
        <v>928613</v>
      </c>
      <c r="H1129" s="5">
        <f>Monthly_Growth!$D$12</f>
        <v>9.6203948214945517E-2</v>
      </c>
      <c r="I1129" s="15">
        <f>Yearly_Growth!$C$2</f>
        <v>5.0333827436586778E-2</v>
      </c>
      <c r="J1129" s="15">
        <f>Yearly_Growth!$D$2</f>
        <v>0.03</v>
      </c>
      <c r="K1129">
        <f>Sales_Per_Representative!$C$10</f>
        <v>663333</v>
      </c>
      <c r="L1129">
        <f>Sales_Per_Rep_Yearly_Goal!$B$2</f>
        <v>665544.80000000005</v>
      </c>
      <c r="M1129">
        <f>Sales_Per_Rep_Yearly_Goal!$C$2</f>
        <v>650000</v>
      </c>
    </row>
    <row r="1130" spans="1:13" x14ac:dyDescent="0.3">
      <c r="A1130" s="3">
        <v>45232</v>
      </c>
      <c r="B1130">
        <f t="shared" si="17"/>
        <v>2023</v>
      </c>
      <c r="C1130">
        <v>11</v>
      </c>
      <c r="D1130" t="s">
        <v>23</v>
      </c>
      <c r="E1130" t="s">
        <v>32</v>
      </c>
      <c r="F1130" s="2">
        <v>10783</v>
      </c>
      <c r="G1130" s="2">
        <f>Monthly_Growth!$C$12</f>
        <v>928613</v>
      </c>
      <c r="H1130" s="5">
        <f>Monthly_Growth!$D$12</f>
        <v>9.6203948214945517E-2</v>
      </c>
      <c r="I1130" s="15">
        <f>Yearly_Growth!$C$2</f>
        <v>5.0333827436586778E-2</v>
      </c>
      <c r="J1130" s="15">
        <f>Yearly_Growth!$D$2</f>
        <v>0.03</v>
      </c>
      <c r="K1130">
        <f>Sales_Per_Representative!$C$3</f>
        <v>762157</v>
      </c>
      <c r="L1130">
        <f>Sales_Per_Rep_Yearly_Goal!$B$2</f>
        <v>665544.80000000005</v>
      </c>
      <c r="M1130">
        <f>Sales_Per_Rep_Yearly_Goal!$C$2</f>
        <v>650000</v>
      </c>
    </row>
    <row r="1131" spans="1:13" x14ac:dyDescent="0.3">
      <c r="A1131" s="3">
        <v>45232</v>
      </c>
      <c r="B1131">
        <f t="shared" si="17"/>
        <v>2023</v>
      </c>
      <c r="C1131">
        <v>11</v>
      </c>
      <c r="D1131" t="s">
        <v>17</v>
      </c>
      <c r="E1131" t="s">
        <v>27</v>
      </c>
      <c r="F1131" s="2">
        <v>9898</v>
      </c>
      <c r="G1131" s="2">
        <f>Monthly_Growth!$C$12</f>
        <v>928613</v>
      </c>
      <c r="H1131" s="5">
        <f>Monthly_Growth!$D$12</f>
        <v>9.6203948214945517E-2</v>
      </c>
      <c r="I1131" s="15">
        <f>Yearly_Growth!$C$2</f>
        <v>5.0333827436586778E-2</v>
      </c>
      <c r="J1131" s="15">
        <f>Yearly_Growth!$D$2</f>
        <v>0.03</v>
      </c>
      <c r="K1131">
        <f>Sales_Per_Representative!$C$5</f>
        <v>747962</v>
      </c>
      <c r="L1131">
        <f>Sales_Per_Rep_Yearly_Goal!$B$2</f>
        <v>665544.80000000005</v>
      </c>
      <c r="M1131">
        <f>Sales_Per_Rep_Yearly_Goal!$C$2</f>
        <v>650000</v>
      </c>
    </row>
    <row r="1132" spans="1:13" x14ac:dyDescent="0.3">
      <c r="A1132" s="3">
        <v>45232</v>
      </c>
      <c r="B1132">
        <f t="shared" si="17"/>
        <v>2023</v>
      </c>
      <c r="C1132">
        <v>11</v>
      </c>
      <c r="D1132" t="s">
        <v>17</v>
      </c>
      <c r="E1132" t="s">
        <v>26</v>
      </c>
      <c r="F1132" s="2">
        <v>11924</v>
      </c>
      <c r="G1132" s="2">
        <f>Monthly_Growth!$C$12</f>
        <v>928613</v>
      </c>
      <c r="H1132" s="5">
        <f>Monthly_Growth!$D$12</f>
        <v>9.6203948214945517E-2</v>
      </c>
      <c r="I1132" s="15">
        <f>Yearly_Growth!$C$2</f>
        <v>5.0333827436586778E-2</v>
      </c>
      <c r="J1132" s="15">
        <f>Yearly_Growth!$D$2</f>
        <v>0.03</v>
      </c>
      <c r="K1132">
        <f>Sales_Per_Representative!$C$16</f>
        <v>666159</v>
      </c>
      <c r="L1132">
        <f>Sales_Per_Rep_Yearly_Goal!$B$2</f>
        <v>665544.80000000005</v>
      </c>
      <c r="M1132">
        <f>Sales_Per_Rep_Yearly_Goal!$C$2</f>
        <v>650000</v>
      </c>
    </row>
    <row r="1133" spans="1:13" x14ac:dyDescent="0.3">
      <c r="A1133" s="3">
        <v>45233</v>
      </c>
      <c r="B1133">
        <f t="shared" si="17"/>
        <v>2023</v>
      </c>
      <c r="C1133">
        <v>11</v>
      </c>
      <c r="D1133" t="s">
        <v>19</v>
      </c>
      <c r="E1133" t="s">
        <v>32</v>
      </c>
      <c r="F1133" s="2">
        <v>4910</v>
      </c>
      <c r="G1133" s="2">
        <f>Monthly_Growth!$C$12</f>
        <v>928613</v>
      </c>
      <c r="H1133" s="5">
        <f>Monthly_Growth!$D$12</f>
        <v>9.6203948214945517E-2</v>
      </c>
      <c r="I1133" s="15">
        <f>Yearly_Growth!$C$2</f>
        <v>5.0333827436586778E-2</v>
      </c>
      <c r="J1133" s="15">
        <f>Yearly_Growth!$D$2</f>
        <v>0.03</v>
      </c>
      <c r="K1133">
        <f>Sales_Per_Representative!$C$3</f>
        <v>762157</v>
      </c>
      <c r="L1133">
        <f>Sales_Per_Rep_Yearly_Goal!$B$2</f>
        <v>665544.80000000005</v>
      </c>
      <c r="M1133">
        <f>Sales_Per_Rep_Yearly_Goal!$C$2</f>
        <v>650000</v>
      </c>
    </row>
    <row r="1134" spans="1:13" x14ac:dyDescent="0.3">
      <c r="A1134" s="3">
        <v>45233</v>
      </c>
      <c r="B1134">
        <f t="shared" si="17"/>
        <v>2023</v>
      </c>
      <c r="C1134">
        <v>11</v>
      </c>
      <c r="D1134" t="s">
        <v>25</v>
      </c>
      <c r="E1134" t="s">
        <v>26</v>
      </c>
      <c r="F1134" s="2">
        <v>3021</v>
      </c>
      <c r="G1134" s="2">
        <f>Monthly_Growth!$C$12</f>
        <v>928613</v>
      </c>
      <c r="H1134" s="5">
        <f>Monthly_Growth!$D$12</f>
        <v>9.6203948214945517E-2</v>
      </c>
      <c r="I1134" s="15">
        <f>Yearly_Growth!$C$2</f>
        <v>5.0333827436586778E-2</v>
      </c>
      <c r="J1134" s="15">
        <f>Yearly_Growth!$D$2</f>
        <v>0.03</v>
      </c>
      <c r="K1134">
        <f>Sales_Per_Representative!$C$16</f>
        <v>666159</v>
      </c>
      <c r="L1134">
        <f>Sales_Per_Rep_Yearly_Goal!$B$2</f>
        <v>665544.80000000005</v>
      </c>
      <c r="M1134">
        <f>Sales_Per_Rep_Yearly_Goal!$C$2</f>
        <v>650000</v>
      </c>
    </row>
    <row r="1135" spans="1:13" x14ac:dyDescent="0.3">
      <c r="A1135" s="3">
        <v>45233</v>
      </c>
      <c r="B1135">
        <f t="shared" si="17"/>
        <v>2023</v>
      </c>
      <c r="C1135">
        <v>11</v>
      </c>
      <c r="D1135" t="s">
        <v>7</v>
      </c>
      <c r="E1135" t="s">
        <v>8</v>
      </c>
      <c r="F1135" s="2">
        <v>11741</v>
      </c>
      <c r="G1135" s="2">
        <f>Monthly_Growth!$C$12</f>
        <v>928613</v>
      </c>
      <c r="H1135" s="5">
        <f>Monthly_Growth!$D$12</f>
        <v>9.6203948214945517E-2</v>
      </c>
      <c r="I1135" s="15">
        <f>Yearly_Growth!$C$2</f>
        <v>5.0333827436586778E-2</v>
      </c>
      <c r="J1135" s="15">
        <f>Yearly_Growth!$D$2</f>
        <v>0.03</v>
      </c>
      <c r="K1135">
        <f>Sales_Per_Representative!$C$15</f>
        <v>701242</v>
      </c>
      <c r="L1135">
        <f>Sales_Per_Rep_Yearly_Goal!$B$2</f>
        <v>665544.80000000005</v>
      </c>
      <c r="M1135">
        <f>Sales_Per_Rep_Yearly_Goal!$C$2</f>
        <v>650000</v>
      </c>
    </row>
    <row r="1136" spans="1:13" x14ac:dyDescent="0.3">
      <c r="A1136" s="3">
        <v>45234</v>
      </c>
      <c r="B1136">
        <f t="shared" si="17"/>
        <v>2023</v>
      </c>
      <c r="C1136">
        <v>11</v>
      </c>
      <c r="D1136" t="s">
        <v>19</v>
      </c>
      <c r="E1136" t="s">
        <v>20</v>
      </c>
      <c r="F1136" s="2">
        <v>11678</v>
      </c>
      <c r="G1136" s="2">
        <f>Monthly_Growth!$C$12</f>
        <v>928613</v>
      </c>
      <c r="H1136" s="5">
        <f>Monthly_Growth!$D$12</f>
        <v>9.6203948214945517E-2</v>
      </c>
      <c r="I1136" s="15">
        <f>Yearly_Growth!$C$2</f>
        <v>5.0333827436586778E-2</v>
      </c>
      <c r="J1136" s="15">
        <f>Yearly_Growth!$D$2</f>
        <v>0.03</v>
      </c>
      <c r="K1136">
        <f>Sales_Per_Representative!$C$14</f>
        <v>675530</v>
      </c>
      <c r="L1136">
        <f>Sales_Per_Rep_Yearly_Goal!$B$2</f>
        <v>665544.80000000005</v>
      </c>
      <c r="M1136">
        <f>Sales_Per_Rep_Yearly_Goal!$C$2</f>
        <v>650000</v>
      </c>
    </row>
    <row r="1137" spans="1:13" x14ac:dyDescent="0.3">
      <c r="A1137" s="3">
        <v>45234</v>
      </c>
      <c r="B1137">
        <f t="shared" si="17"/>
        <v>2023</v>
      </c>
      <c r="C1137">
        <v>11</v>
      </c>
      <c r="D1137" t="s">
        <v>23</v>
      </c>
      <c r="E1137" t="s">
        <v>24</v>
      </c>
      <c r="F1137" s="2">
        <v>5258</v>
      </c>
      <c r="G1137" s="2">
        <f>Monthly_Growth!$C$12</f>
        <v>928613</v>
      </c>
      <c r="H1137" s="5">
        <f>Monthly_Growth!$D$12</f>
        <v>9.6203948214945517E-2</v>
      </c>
      <c r="I1137" s="15">
        <f>Yearly_Growth!$C$2</f>
        <v>5.0333827436586778E-2</v>
      </c>
      <c r="J1137" s="15">
        <f>Yearly_Growth!$D$2</f>
        <v>0.03</v>
      </c>
      <c r="K1137">
        <f>Sales_Per_Representative!$C$2</f>
        <v>631195</v>
      </c>
      <c r="L1137">
        <f>Sales_Per_Rep_Yearly_Goal!$B$2</f>
        <v>665544.80000000005</v>
      </c>
      <c r="M1137">
        <f>Sales_Per_Rep_Yearly_Goal!$C$2</f>
        <v>650000</v>
      </c>
    </row>
    <row r="1138" spans="1:13" x14ac:dyDescent="0.3">
      <c r="A1138" s="3">
        <v>45234</v>
      </c>
      <c r="B1138">
        <f t="shared" si="17"/>
        <v>2023</v>
      </c>
      <c r="C1138">
        <v>11</v>
      </c>
      <c r="D1138" t="s">
        <v>23</v>
      </c>
      <c r="E1138" t="s">
        <v>10</v>
      </c>
      <c r="F1138" s="2">
        <v>11227</v>
      </c>
      <c r="G1138" s="2">
        <f>Monthly_Growth!$C$12</f>
        <v>928613</v>
      </c>
      <c r="H1138" s="5">
        <f>Monthly_Growth!$D$12</f>
        <v>9.6203948214945517E-2</v>
      </c>
      <c r="I1138" s="15">
        <f>Yearly_Growth!$C$2</f>
        <v>5.0333827436586778E-2</v>
      </c>
      <c r="J1138" s="15">
        <f>Yearly_Growth!$D$2</f>
        <v>0.03</v>
      </c>
      <c r="K1138">
        <f>Sales_Per_Representative!$C$4</f>
        <v>725713</v>
      </c>
      <c r="L1138">
        <f>Sales_Per_Rep_Yearly_Goal!$B$2</f>
        <v>665544.80000000005</v>
      </c>
      <c r="M1138">
        <f>Sales_Per_Rep_Yearly_Goal!$C$2</f>
        <v>650000</v>
      </c>
    </row>
    <row r="1139" spans="1:13" x14ac:dyDescent="0.3">
      <c r="A1139" s="3">
        <v>45234</v>
      </c>
      <c r="B1139">
        <f t="shared" si="17"/>
        <v>2023</v>
      </c>
      <c r="C1139">
        <v>11</v>
      </c>
      <c r="D1139" t="s">
        <v>7</v>
      </c>
      <c r="E1139" t="s">
        <v>10</v>
      </c>
      <c r="F1139" s="2">
        <v>10938</v>
      </c>
      <c r="G1139" s="2">
        <f>Monthly_Growth!$C$12</f>
        <v>928613</v>
      </c>
      <c r="H1139" s="5">
        <f>Monthly_Growth!$D$12</f>
        <v>9.6203948214945517E-2</v>
      </c>
      <c r="I1139" s="15">
        <f>Yearly_Growth!$C$2</f>
        <v>5.0333827436586778E-2</v>
      </c>
      <c r="J1139" s="15">
        <f>Yearly_Growth!$D$2</f>
        <v>0.03</v>
      </c>
      <c r="K1139">
        <f>Sales_Per_Representative!$C$4</f>
        <v>725713</v>
      </c>
      <c r="L1139">
        <f>Sales_Per_Rep_Yearly_Goal!$B$2</f>
        <v>665544.80000000005</v>
      </c>
      <c r="M1139">
        <f>Sales_Per_Rep_Yearly_Goal!$C$2</f>
        <v>650000</v>
      </c>
    </row>
    <row r="1140" spans="1:13" x14ac:dyDescent="0.3">
      <c r="A1140" s="3">
        <v>45234</v>
      </c>
      <c r="B1140">
        <f t="shared" si="17"/>
        <v>2023</v>
      </c>
      <c r="C1140">
        <v>11</v>
      </c>
      <c r="D1140" t="s">
        <v>7</v>
      </c>
      <c r="E1140" t="s">
        <v>5</v>
      </c>
      <c r="F1140" s="2">
        <v>4247</v>
      </c>
      <c r="G1140" s="2">
        <f>Monthly_Growth!$C$12</f>
        <v>928613</v>
      </c>
      <c r="H1140" s="5">
        <f>Monthly_Growth!$D$12</f>
        <v>9.6203948214945517E-2</v>
      </c>
      <c r="I1140" s="15">
        <f>Yearly_Growth!$C$2</f>
        <v>5.0333827436586778E-2</v>
      </c>
      <c r="J1140" s="15">
        <f>Yearly_Growth!$D$2</f>
        <v>0.03</v>
      </c>
      <c r="K1140">
        <f>Sales_Per_Representative!$C$10</f>
        <v>663333</v>
      </c>
      <c r="L1140">
        <f>Sales_Per_Rep_Yearly_Goal!$B$2</f>
        <v>665544.80000000005</v>
      </c>
      <c r="M1140">
        <f>Sales_Per_Rep_Yearly_Goal!$C$2</f>
        <v>650000</v>
      </c>
    </row>
    <row r="1141" spans="1:13" x14ac:dyDescent="0.3">
      <c r="A1141" s="3">
        <v>45234</v>
      </c>
      <c r="B1141">
        <f t="shared" si="17"/>
        <v>2023</v>
      </c>
      <c r="C1141">
        <v>11</v>
      </c>
      <c r="D1141" t="s">
        <v>17</v>
      </c>
      <c r="E1141" t="s">
        <v>5</v>
      </c>
      <c r="F1141" s="2">
        <v>7205</v>
      </c>
      <c r="G1141" s="2">
        <f>Monthly_Growth!$C$12</f>
        <v>928613</v>
      </c>
      <c r="H1141" s="5">
        <f>Monthly_Growth!$D$12</f>
        <v>9.6203948214945517E-2</v>
      </c>
      <c r="I1141" s="15">
        <f>Yearly_Growth!$C$2</f>
        <v>5.0333827436586778E-2</v>
      </c>
      <c r="J1141" s="15">
        <f>Yearly_Growth!$D$2</f>
        <v>0.03</v>
      </c>
      <c r="K1141">
        <f>Sales_Per_Representative!$C$10</f>
        <v>663333</v>
      </c>
      <c r="L1141">
        <f>Sales_Per_Rep_Yearly_Goal!$B$2</f>
        <v>665544.80000000005</v>
      </c>
      <c r="M1141">
        <f>Sales_Per_Rep_Yearly_Goal!$C$2</f>
        <v>650000</v>
      </c>
    </row>
    <row r="1142" spans="1:13" x14ac:dyDescent="0.3">
      <c r="A1142" s="3">
        <v>45235</v>
      </c>
      <c r="B1142">
        <f t="shared" si="17"/>
        <v>2023</v>
      </c>
      <c r="C1142">
        <v>11</v>
      </c>
      <c r="D1142" t="s">
        <v>17</v>
      </c>
      <c r="E1142" t="s">
        <v>27</v>
      </c>
      <c r="F1142" s="2">
        <v>8001</v>
      </c>
      <c r="G1142" s="2">
        <f>Monthly_Growth!$C$12</f>
        <v>928613</v>
      </c>
      <c r="H1142" s="5">
        <f>Monthly_Growth!$D$12</f>
        <v>9.6203948214945517E-2</v>
      </c>
      <c r="I1142" s="15">
        <f>Yearly_Growth!$C$2</f>
        <v>5.0333827436586778E-2</v>
      </c>
      <c r="J1142" s="15">
        <f>Yearly_Growth!$D$2</f>
        <v>0.03</v>
      </c>
      <c r="K1142">
        <f>Sales_Per_Representative!$C$5</f>
        <v>747962</v>
      </c>
      <c r="L1142">
        <f>Sales_Per_Rep_Yearly_Goal!$B$2</f>
        <v>665544.80000000005</v>
      </c>
      <c r="M1142">
        <f>Sales_Per_Rep_Yearly_Goal!$C$2</f>
        <v>650000</v>
      </c>
    </row>
    <row r="1143" spans="1:13" x14ac:dyDescent="0.3">
      <c r="A1143" s="3">
        <v>45236</v>
      </c>
      <c r="B1143">
        <f t="shared" si="17"/>
        <v>2023</v>
      </c>
      <c r="C1143">
        <v>11</v>
      </c>
      <c r="D1143" t="s">
        <v>14</v>
      </c>
      <c r="E1143" t="s">
        <v>15</v>
      </c>
      <c r="F1143" s="2">
        <v>6801</v>
      </c>
      <c r="G1143" s="2">
        <f>Monthly_Growth!$C$12</f>
        <v>928613</v>
      </c>
      <c r="H1143" s="5">
        <f>Monthly_Growth!$D$12</f>
        <v>9.6203948214945517E-2</v>
      </c>
      <c r="I1143" s="15">
        <f>Yearly_Growth!$C$2</f>
        <v>5.0333827436586778E-2</v>
      </c>
      <c r="J1143" s="15">
        <f>Yearly_Growth!$D$2</f>
        <v>0.03</v>
      </c>
      <c r="K1143">
        <f>Sales_Per_Representative!$C$12</f>
        <v>656359</v>
      </c>
      <c r="L1143">
        <f>Sales_Per_Rep_Yearly_Goal!$B$2</f>
        <v>665544.80000000005</v>
      </c>
      <c r="M1143">
        <f>Sales_Per_Rep_Yearly_Goal!$C$2</f>
        <v>650000</v>
      </c>
    </row>
    <row r="1144" spans="1:13" x14ac:dyDescent="0.3">
      <c r="A1144" s="3">
        <v>45236</v>
      </c>
      <c r="B1144">
        <f t="shared" si="17"/>
        <v>2023</v>
      </c>
      <c r="C1144">
        <v>11</v>
      </c>
      <c r="D1144" t="s">
        <v>14</v>
      </c>
      <c r="E1144" t="s">
        <v>33</v>
      </c>
      <c r="F1144" s="2">
        <v>9219</v>
      </c>
      <c r="G1144" s="2">
        <f>Monthly_Growth!$C$12</f>
        <v>928613</v>
      </c>
      <c r="H1144" s="5">
        <f>Monthly_Growth!$D$12</f>
        <v>9.6203948214945517E-2</v>
      </c>
      <c r="I1144" s="15">
        <f>Yearly_Growth!$C$2</f>
        <v>5.0333827436586778E-2</v>
      </c>
      <c r="J1144" s="15">
        <f>Yearly_Growth!$D$2</f>
        <v>0.03</v>
      </c>
      <c r="K1144">
        <f>Sales_Per_Representative!$C$11</f>
        <v>496886</v>
      </c>
      <c r="L1144">
        <f>Sales_Per_Rep_Yearly_Goal!$B$2</f>
        <v>665544.80000000005</v>
      </c>
      <c r="M1144">
        <f>Sales_Per_Rep_Yearly_Goal!$C$2</f>
        <v>650000</v>
      </c>
    </row>
    <row r="1145" spans="1:13" x14ac:dyDescent="0.3">
      <c r="A1145" s="3">
        <v>45236</v>
      </c>
      <c r="B1145">
        <f t="shared" si="17"/>
        <v>2023</v>
      </c>
      <c r="C1145">
        <v>11</v>
      </c>
      <c r="D1145" t="s">
        <v>19</v>
      </c>
      <c r="E1145" t="s">
        <v>32</v>
      </c>
      <c r="F1145" s="2">
        <v>5045</v>
      </c>
      <c r="G1145" s="2">
        <f>Monthly_Growth!$C$12</f>
        <v>928613</v>
      </c>
      <c r="H1145" s="5">
        <f>Monthly_Growth!$D$12</f>
        <v>9.6203948214945517E-2</v>
      </c>
      <c r="I1145" s="15">
        <f>Yearly_Growth!$C$2</f>
        <v>5.0333827436586778E-2</v>
      </c>
      <c r="J1145" s="15">
        <f>Yearly_Growth!$D$2</f>
        <v>0.03</v>
      </c>
      <c r="K1145">
        <f>Sales_Per_Representative!$C$3</f>
        <v>762157</v>
      </c>
      <c r="L1145">
        <f>Sales_Per_Rep_Yearly_Goal!$B$2</f>
        <v>665544.80000000005</v>
      </c>
      <c r="M1145">
        <f>Sales_Per_Rep_Yearly_Goal!$C$2</f>
        <v>650000</v>
      </c>
    </row>
    <row r="1146" spans="1:13" x14ac:dyDescent="0.3">
      <c r="A1146" s="3">
        <v>45236</v>
      </c>
      <c r="B1146">
        <f t="shared" si="17"/>
        <v>2023</v>
      </c>
      <c r="C1146">
        <v>11</v>
      </c>
      <c r="D1146" t="s">
        <v>23</v>
      </c>
      <c r="E1146" t="s">
        <v>22</v>
      </c>
      <c r="F1146" s="2">
        <v>3531</v>
      </c>
      <c r="G1146" s="2">
        <f>Monthly_Growth!$C$12</f>
        <v>928613</v>
      </c>
      <c r="H1146" s="5">
        <f>Monthly_Growth!$D$12</f>
        <v>9.6203948214945517E-2</v>
      </c>
      <c r="I1146" s="15">
        <f>Yearly_Growth!$C$2</f>
        <v>5.0333827436586778E-2</v>
      </c>
      <c r="J1146" s="15">
        <f>Yearly_Growth!$D$2</f>
        <v>0.03</v>
      </c>
      <c r="K1146">
        <f>Sales_Per_Representative!$C$8</f>
        <v>649456</v>
      </c>
      <c r="L1146">
        <f>Sales_Per_Rep_Yearly_Goal!$B$2</f>
        <v>665544.80000000005</v>
      </c>
      <c r="M1146">
        <f>Sales_Per_Rep_Yearly_Goal!$C$2</f>
        <v>650000</v>
      </c>
    </row>
    <row r="1147" spans="1:13" x14ac:dyDescent="0.3">
      <c r="A1147" s="3">
        <v>45236</v>
      </c>
      <c r="B1147">
        <f t="shared" si="17"/>
        <v>2023</v>
      </c>
      <c r="C1147">
        <v>11</v>
      </c>
      <c r="D1147" t="s">
        <v>25</v>
      </c>
      <c r="E1147" t="s">
        <v>32</v>
      </c>
      <c r="F1147" s="2">
        <v>8712</v>
      </c>
      <c r="G1147" s="2">
        <f>Monthly_Growth!$C$12</f>
        <v>928613</v>
      </c>
      <c r="H1147" s="5">
        <f>Monthly_Growth!$D$12</f>
        <v>9.6203948214945517E-2</v>
      </c>
      <c r="I1147" s="15">
        <f>Yearly_Growth!$C$2</f>
        <v>5.0333827436586778E-2</v>
      </c>
      <c r="J1147" s="15">
        <f>Yearly_Growth!$D$2</f>
        <v>0.03</v>
      </c>
      <c r="K1147">
        <f>Sales_Per_Representative!$C$3</f>
        <v>762157</v>
      </c>
      <c r="L1147">
        <f>Sales_Per_Rep_Yearly_Goal!$B$2</f>
        <v>665544.80000000005</v>
      </c>
      <c r="M1147">
        <f>Sales_Per_Rep_Yearly_Goal!$C$2</f>
        <v>650000</v>
      </c>
    </row>
    <row r="1148" spans="1:13" x14ac:dyDescent="0.3">
      <c r="A1148" s="3">
        <v>45236</v>
      </c>
      <c r="B1148">
        <f t="shared" si="17"/>
        <v>2023</v>
      </c>
      <c r="C1148">
        <v>11</v>
      </c>
      <c r="D1148" t="s">
        <v>7</v>
      </c>
      <c r="E1148" t="s">
        <v>20</v>
      </c>
      <c r="F1148" s="2">
        <v>2196</v>
      </c>
      <c r="G1148" s="2">
        <f>Monthly_Growth!$C$12</f>
        <v>928613</v>
      </c>
      <c r="H1148" s="5">
        <f>Monthly_Growth!$D$12</f>
        <v>9.6203948214945517E-2</v>
      </c>
      <c r="I1148" s="15">
        <f>Yearly_Growth!$C$2</f>
        <v>5.0333827436586778E-2</v>
      </c>
      <c r="J1148" s="15">
        <f>Yearly_Growth!$D$2</f>
        <v>0.03</v>
      </c>
      <c r="K1148">
        <f>Sales_Per_Representative!$C$14</f>
        <v>675530</v>
      </c>
      <c r="L1148">
        <f>Sales_Per_Rep_Yearly_Goal!$B$2</f>
        <v>665544.80000000005</v>
      </c>
      <c r="M1148">
        <f>Sales_Per_Rep_Yearly_Goal!$C$2</f>
        <v>650000</v>
      </c>
    </row>
    <row r="1149" spans="1:13" x14ac:dyDescent="0.3">
      <c r="A1149" s="3">
        <v>45236</v>
      </c>
      <c r="B1149">
        <f t="shared" si="17"/>
        <v>2023</v>
      </c>
      <c r="C1149">
        <v>11</v>
      </c>
      <c r="D1149" t="s">
        <v>17</v>
      </c>
      <c r="E1149" t="s">
        <v>26</v>
      </c>
      <c r="F1149" s="2">
        <v>7860</v>
      </c>
      <c r="G1149" s="2">
        <f>Monthly_Growth!$C$12</f>
        <v>928613</v>
      </c>
      <c r="H1149" s="5">
        <f>Monthly_Growth!$D$12</f>
        <v>9.6203948214945517E-2</v>
      </c>
      <c r="I1149" s="15">
        <f>Yearly_Growth!$C$2</f>
        <v>5.0333827436586778E-2</v>
      </c>
      <c r="J1149" s="15">
        <f>Yearly_Growth!$D$2</f>
        <v>0.03</v>
      </c>
      <c r="K1149">
        <f>Sales_Per_Representative!$C$16</f>
        <v>666159</v>
      </c>
      <c r="L1149">
        <f>Sales_Per_Rep_Yearly_Goal!$B$2</f>
        <v>665544.80000000005</v>
      </c>
      <c r="M1149">
        <f>Sales_Per_Rep_Yearly_Goal!$C$2</f>
        <v>650000</v>
      </c>
    </row>
    <row r="1150" spans="1:13" x14ac:dyDescent="0.3">
      <c r="A1150" s="3">
        <v>45236</v>
      </c>
      <c r="B1150">
        <f t="shared" si="17"/>
        <v>2023</v>
      </c>
      <c r="C1150">
        <v>11</v>
      </c>
      <c r="D1150" t="s">
        <v>17</v>
      </c>
      <c r="E1150" t="s">
        <v>24</v>
      </c>
      <c r="F1150" s="2">
        <v>8774</v>
      </c>
      <c r="G1150" s="2">
        <f>Monthly_Growth!$C$12</f>
        <v>928613</v>
      </c>
      <c r="H1150" s="5">
        <f>Monthly_Growth!$D$12</f>
        <v>9.6203948214945517E-2</v>
      </c>
      <c r="I1150" s="15">
        <f>Yearly_Growth!$C$2</f>
        <v>5.0333827436586778E-2</v>
      </c>
      <c r="J1150" s="15">
        <f>Yearly_Growth!$D$2</f>
        <v>0.03</v>
      </c>
      <c r="K1150">
        <f>Sales_Per_Representative!$C$2</f>
        <v>631195</v>
      </c>
      <c r="L1150">
        <f>Sales_Per_Rep_Yearly_Goal!$B$2</f>
        <v>665544.80000000005</v>
      </c>
      <c r="M1150">
        <f>Sales_Per_Rep_Yearly_Goal!$C$2</f>
        <v>650000</v>
      </c>
    </row>
    <row r="1151" spans="1:13" x14ac:dyDescent="0.3">
      <c r="A1151" s="3">
        <v>45236</v>
      </c>
      <c r="B1151">
        <f t="shared" si="17"/>
        <v>2023</v>
      </c>
      <c r="C1151">
        <v>11</v>
      </c>
      <c r="D1151" t="s">
        <v>12</v>
      </c>
      <c r="E1151" t="s">
        <v>5</v>
      </c>
      <c r="F1151" s="2">
        <v>7154</v>
      </c>
      <c r="G1151" s="2">
        <f>Monthly_Growth!$C$12</f>
        <v>928613</v>
      </c>
      <c r="H1151" s="5">
        <f>Monthly_Growth!$D$12</f>
        <v>9.6203948214945517E-2</v>
      </c>
      <c r="I1151" s="15">
        <f>Yearly_Growth!$C$2</f>
        <v>5.0333827436586778E-2</v>
      </c>
      <c r="J1151" s="15">
        <f>Yearly_Growth!$D$2</f>
        <v>0.03</v>
      </c>
      <c r="K1151">
        <f>Sales_Per_Representative!$C$10</f>
        <v>663333</v>
      </c>
      <c r="L1151">
        <f>Sales_Per_Rep_Yearly_Goal!$B$2</f>
        <v>665544.80000000005</v>
      </c>
      <c r="M1151">
        <f>Sales_Per_Rep_Yearly_Goal!$C$2</f>
        <v>650000</v>
      </c>
    </row>
    <row r="1152" spans="1:13" x14ac:dyDescent="0.3">
      <c r="A1152" s="3">
        <v>45237</v>
      </c>
      <c r="B1152">
        <f t="shared" si="17"/>
        <v>2023</v>
      </c>
      <c r="C1152">
        <v>11</v>
      </c>
      <c r="D1152" t="s">
        <v>14</v>
      </c>
      <c r="E1152" t="s">
        <v>5</v>
      </c>
      <c r="F1152" s="2">
        <v>11906</v>
      </c>
      <c r="G1152" s="2">
        <f>Monthly_Growth!$C$12</f>
        <v>928613</v>
      </c>
      <c r="H1152" s="5">
        <f>Monthly_Growth!$D$12</f>
        <v>9.6203948214945517E-2</v>
      </c>
      <c r="I1152" s="15">
        <f>Yearly_Growth!$C$2</f>
        <v>5.0333827436586778E-2</v>
      </c>
      <c r="J1152" s="15">
        <f>Yearly_Growth!$D$2</f>
        <v>0.03</v>
      </c>
      <c r="K1152">
        <f>Sales_Per_Representative!$C$10</f>
        <v>663333</v>
      </c>
      <c r="L1152">
        <f>Sales_Per_Rep_Yearly_Goal!$B$2</f>
        <v>665544.80000000005</v>
      </c>
      <c r="M1152">
        <f>Sales_Per_Rep_Yearly_Goal!$C$2</f>
        <v>650000</v>
      </c>
    </row>
    <row r="1153" spans="1:13" x14ac:dyDescent="0.3">
      <c r="A1153" s="3">
        <v>45237</v>
      </c>
      <c r="B1153">
        <f t="shared" si="17"/>
        <v>2023</v>
      </c>
      <c r="C1153">
        <v>11</v>
      </c>
      <c r="D1153" t="s">
        <v>17</v>
      </c>
      <c r="E1153" t="s">
        <v>27</v>
      </c>
      <c r="F1153" s="2">
        <v>8688</v>
      </c>
      <c r="G1153" s="2">
        <f>Monthly_Growth!$C$12</f>
        <v>928613</v>
      </c>
      <c r="H1153" s="5">
        <f>Monthly_Growth!$D$12</f>
        <v>9.6203948214945517E-2</v>
      </c>
      <c r="I1153" s="15">
        <f>Yearly_Growth!$C$2</f>
        <v>5.0333827436586778E-2</v>
      </c>
      <c r="J1153" s="15">
        <f>Yearly_Growth!$D$2</f>
        <v>0.03</v>
      </c>
      <c r="K1153">
        <f>Sales_Per_Representative!$C$5</f>
        <v>747962</v>
      </c>
      <c r="L1153">
        <f>Sales_Per_Rep_Yearly_Goal!$B$2</f>
        <v>665544.80000000005</v>
      </c>
      <c r="M1153">
        <f>Sales_Per_Rep_Yearly_Goal!$C$2</f>
        <v>650000</v>
      </c>
    </row>
    <row r="1154" spans="1:13" x14ac:dyDescent="0.3">
      <c r="A1154" s="3">
        <v>45238</v>
      </c>
      <c r="B1154">
        <f t="shared" si="17"/>
        <v>2023</v>
      </c>
      <c r="C1154">
        <v>11</v>
      </c>
      <c r="D1154" t="s">
        <v>19</v>
      </c>
      <c r="E1154" t="s">
        <v>15</v>
      </c>
      <c r="F1154" s="2">
        <v>11990</v>
      </c>
      <c r="G1154" s="2">
        <f>Monthly_Growth!$C$12</f>
        <v>928613</v>
      </c>
      <c r="H1154" s="5">
        <f>Monthly_Growth!$D$12</f>
        <v>9.6203948214945517E-2</v>
      </c>
      <c r="I1154" s="15">
        <f>Yearly_Growth!$C$2</f>
        <v>5.0333827436586778E-2</v>
      </c>
      <c r="J1154" s="15">
        <f>Yearly_Growth!$D$2</f>
        <v>0.03</v>
      </c>
      <c r="K1154">
        <f>Sales_Per_Representative!$C$12</f>
        <v>656359</v>
      </c>
      <c r="L1154">
        <f>Sales_Per_Rep_Yearly_Goal!$B$2</f>
        <v>665544.80000000005</v>
      </c>
      <c r="M1154">
        <f>Sales_Per_Rep_Yearly_Goal!$C$2</f>
        <v>650000</v>
      </c>
    </row>
    <row r="1155" spans="1:13" x14ac:dyDescent="0.3">
      <c r="A1155" s="3">
        <v>45238</v>
      </c>
      <c r="B1155">
        <f t="shared" ref="B1155:B1218" si="18">YEAR(A1155)</f>
        <v>2023</v>
      </c>
      <c r="C1155">
        <v>11</v>
      </c>
      <c r="D1155" t="s">
        <v>19</v>
      </c>
      <c r="E1155" t="s">
        <v>8</v>
      </c>
      <c r="F1155" s="2">
        <v>12074</v>
      </c>
      <c r="G1155" s="2">
        <f>Monthly_Growth!$C$12</f>
        <v>928613</v>
      </c>
      <c r="H1155" s="5">
        <f>Monthly_Growth!$D$12</f>
        <v>9.6203948214945517E-2</v>
      </c>
      <c r="I1155" s="15">
        <f>Yearly_Growth!$C$2</f>
        <v>5.0333827436586778E-2</v>
      </c>
      <c r="J1155" s="15">
        <f>Yearly_Growth!$D$2</f>
        <v>0.03</v>
      </c>
      <c r="K1155">
        <f>Sales_Per_Representative!$C$15</f>
        <v>701242</v>
      </c>
      <c r="L1155">
        <f>Sales_Per_Rep_Yearly_Goal!$B$2</f>
        <v>665544.80000000005</v>
      </c>
      <c r="M1155">
        <f>Sales_Per_Rep_Yearly_Goal!$C$2</f>
        <v>650000</v>
      </c>
    </row>
    <row r="1156" spans="1:13" x14ac:dyDescent="0.3">
      <c r="A1156" s="3">
        <v>45238</v>
      </c>
      <c r="B1156">
        <f t="shared" si="18"/>
        <v>2023</v>
      </c>
      <c r="C1156">
        <v>11</v>
      </c>
      <c r="D1156" t="s">
        <v>17</v>
      </c>
      <c r="E1156" t="s">
        <v>32</v>
      </c>
      <c r="F1156" s="2">
        <v>8749</v>
      </c>
      <c r="G1156" s="2">
        <f>Monthly_Growth!$C$12</f>
        <v>928613</v>
      </c>
      <c r="H1156" s="5">
        <f>Monthly_Growth!$D$12</f>
        <v>9.6203948214945517E-2</v>
      </c>
      <c r="I1156" s="15">
        <f>Yearly_Growth!$C$2</f>
        <v>5.0333827436586778E-2</v>
      </c>
      <c r="J1156" s="15">
        <f>Yearly_Growth!$D$2</f>
        <v>0.03</v>
      </c>
      <c r="K1156">
        <f>Sales_Per_Representative!$C$3</f>
        <v>762157</v>
      </c>
      <c r="L1156">
        <f>Sales_Per_Rep_Yearly_Goal!$B$2</f>
        <v>665544.80000000005</v>
      </c>
      <c r="M1156">
        <f>Sales_Per_Rep_Yearly_Goal!$C$2</f>
        <v>650000</v>
      </c>
    </row>
    <row r="1157" spans="1:13" x14ac:dyDescent="0.3">
      <c r="A1157" s="3">
        <v>45239</v>
      </c>
      <c r="B1157">
        <f t="shared" si="18"/>
        <v>2023</v>
      </c>
      <c r="C1157">
        <v>11</v>
      </c>
      <c r="D1157" t="s">
        <v>19</v>
      </c>
      <c r="E1157" t="s">
        <v>30</v>
      </c>
      <c r="F1157" s="2">
        <v>3296</v>
      </c>
      <c r="G1157" s="2">
        <f>Monthly_Growth!$C$12</f>
        <v>928613</v>
      </c>
      <c r="H1157" s="5">
        <f>Monthly_Growth!$D$12</f>
        <v>9.6203948214945517E-2</v>
      </c>
      <c r="I1157" s="15">
        <f>Yearly_Growth!$C$2</f>
        <v>5.0333827436586778E-2</v>
      </c>
      <c r="J1157" s="15">
        <f>Yearly_Growth!$D$2</f>
        <v>0.03</v>
      </c>
      <c r="K1157">
        <f>Sales_Per_Representative!$C$7</f>
        <v>706974</v>
      </c>
      <c r="L1157">
        <f>Sales_Per_Rep_Yearly_Goal!$B$2</f>
        <v>665544.80000000005</v>
      </c>
      <c r="M1157">
        <f>Sales_Per_Rep_Yearly_Goal!$C$2</f>
        <v>650000</v>
      </c>
    </row>
    <row r="1158" spans="1:13" x14ac:dyDescent="0.3">
      <c r="A1158" s="3">
        <v>45239</v>
      </c>
      <c r="B1158">
        <f t="shared" si="18"/>
        <v>2023</v>
      </c>
      <c r="C1158">
        <v>11</v>
      </c>
      <c r="D1158" t="s">
        <v>23</v>
      </c>
      <c r="E1158" t="s">
        <v>22</v>
      </c>
      <c r="F1158" s="2">
        <v>12664</v>
      </c>
      <c r="G1158" s="2">
        <f>Monthly_Growth!$C$12</f>
        <v>928613</v>
      </c>
      <c r="H1158" s="5">
        <f>Monthly_Growth!$D$12</f>
        <v>9.6203948214945517E-2</v>
      </c>
      <c r="I1158" s="15">
        <f>Yearly_Growth!$C$2</f>
        <v>5.0333827436586778E-2</v>
      </c>
      <c r="J1158" s="15">
        <f>Yearly_Growth!$D$2</f>
        <v>0.03</v>
      </c>
      <c r="K1158">
        <f>Sales_Per_Representative!$C$8</f>
        <v>649456</v>
      </c>
      <c r="L1158">
        <f>Sales_Per_Rep_Yearly_Goal!$B$2</f>
        <v>665544.80000000005</v>
      </c>
      <c r="M1158">
        <f>Sales_Per_Rep_Yearly_Goal!$C$2</f>
        <v>650000</v>
      </c>
    </row>
    <row r="1159" spans="1:13" x14ac:dyDescent="0.3">
      <c r="A1159" s="3">
        <v>45239</v>
      </c>
      <c r="B1159">
        <f t="shared" si="18"/>
        <v>2023</v>
      </c>
      <c r="C1159">
        <v>11</v>
      </c>
      <c r="D1159" t="s">
        <v>7</v>
      </c>
      <c r="E1159" t="s">
        <v>20</v>
      </c>
      <c r="F1159" s="2">
        <v>2948</v>
      </c>
      <c r="G1159" s="2">
        <f>Monthly_Growth!$C$12</f>
        <v>928613</v>
      </c>
      <c r="H1159" s="5">
        <f>Monthly_Growth!$D$12</f>
        <v>9.6203948214945517E-2</v>
      </c>
      <c r="I1159" s="15">
        <f>Yearly_Growth!$C$2</f>
        <v>5.0333827436586778E-2</v>
      </c>
      <c r="J1159" s="15">
        <f>Yearly_Growth!$D$2</f>
        <v>0.03</v>
      </c>
      <c r="K1159">
        <f>Sales_Per_Representative!$C$14</f>
        <v>675530</v>
      </c>
      <c r="L1159">
        <f>Sales_Per_Rep_Yearly_Goal!$B$2</f>
        <v>665544.80000000005</v>
      </c>
      <c r="M1159">
        <f>Sales_Per_Rep_Yearly_Goal!$C$2</f>
        <v>650000</v>
      </c>
    </row>
    <row r="1160" spans="1:13" x14ac:dyDescent="0.3">
      <c r="A1160" s="3">
        <v>45239</v>
      </c>
      <c r="B1160">
        <f t="shared" si="18"/>
        <v>2023</v>
      </c>
      <c r="C1160">
        <v>11</v>
      </c>
      <c r="D1160" t="s">
        <v>7</v>
      </c>
      <c r="E1160" t="s">
        <v>15</v>
      </c>
      <c r="F1160" s="2">
        <v>7360</v>
      </c>
      <c r="G1160" s="2">
        <f>Monthly_Growth!$C$12</f>
        <v>928613</v>
      </c>
      <c r="H1160" s="5">
        <f>Monthly_Growth!$D$12</f>
        <v>9.6203948214945517E-2</v>
      </c>
      <c r="I1160" s="15">
        <f>Yearly_Growth!$C$2</f>
        <v>5.0333827436586778E-2</v>
      </c>
      <c r="J1160" s="15">
        <f>Yearly_Growth!$D$2</f>
        <v>0.03</v>
      </c>
      <c r="K1160">
        <f>Sales_Per_Representative!$C$12</f>
        <v>656359</v>
      </c>
      <c r="L1160">
        <f>Sales_Per_Rep_Yearly_Goal!$B$2</f>
        <v>665544.80000000005</v>
      </c>
      <c r="M1160">
        <f>Sales_Per_Rep_Yearly_Goal!$C$2</f>
        <v>650000</v>
      </c>
    </row>
    <row r="1161" spans="1:13" x14ac:dyDescent="0.3">
      <c r="A1161" s="3">
        <v>45239</v>
      </c>
      <c r="B1161">
        <f t="shared" si="18"/>
        <v>2023</v>
      </c>
      <c r="C1161">
        <v>11</v>
      </c>
      <c r="D1161" t="s">
        <v>17</v>
      </c>
      <c r="E1161" t="s">
        <v>20</v>
      </c>
      <c r="F1161" s="2">
        <v>12019</v>
      </c>
      <c r="G1161" s="2">
        <f>Monthly_Growth!$C$12</f>
        <v>928613</v>
      </c>
      <c r="H1161" s="5">
        <f>Monthly_Growth!$D$12</f>
        <v>9.6203948214945517E-2</v>
      </c>
      <c r="I1161" s="15">
        <f>Yearly_Growth!$C$2</f>
        <v>5.0333827436586778E-2</v>
      </c>
      <c r="J1161" s="15">
        <f>Yearly_Growth!$D$2</f>
        <v>0.03</v>
      </c>
      <c r="K1161">
        <f>Sales_Per_Representative!$C$14</f>
        <v>675530</v>
      </c>
      <c r="L1161">
        <f>Sales_Per_Rep_Yearly_Goal!$B$2</f>
        <v>665544.80000000005</v>
      </c>
      <c r="M1161">
        <f>Sales_Per_Rep_Yearly_Goal!$C$2</f>
        <v>650000</v>
      </c>
    </row>
    <row r="1162" spans="1:13" x14ac:dyDescent="0.3">
      <c r="A1162" s="3">
        <v>45240</v>
      </c>
      <c r="B1162">
        <f t="shared" si="18"/>
        <v>2023</v>
      </c>
      <c r="C1162">
        <v>11</v>
      </c>
      <c r="D1162" t="s">
        <v>19</v>
      </c>
      <c r="E1162" t="s">
        <v>5</v>
      </c>
      <c r="F1162" s="2">
        <v>12938</v>
      </c>
      <c r="G1162" s="2">
        <f>Monthly_Growth!$C$12</f>
        <v>928613</v>
      </c>
      <c r="H1162" s="5">
        <f>Monthly_Growth!$D$12</f>
        <v>9.6203948214945517E-2</v>
      </c>
      <c r="I1162" s="15">
        <f>Yearly_Growth!$C$2</f>
        <v>5.0333827436586778E-2</v>
      </c>
      <c r="J1162" s="15">
        <f>Yearly_Growth!$D$2</f>
        <v>0.03</v>
      </c>
      <c r="K1162">
        <f>Sales_Per_Representative!$C$10</f>
        <v>663333</v>
      </c>
      <c r="L1162">
        <f>Sales_Per_Rep_Yearly_Goal!$B$2</f>
        <v>665544.80000000005</v>
      </c>
      <c r="M1162">
        <f>Sales_Per_Rep_Yearly_Goal!$C$2</f>
        <v>650000</v>
      </c>
    </row>
    <row r="1163" spans="1:13" x14ac:dyDescent="0.3">
      <c r="A1163" s="3">
        <v>45241</v>
      </c>
      <c r="B1163">
        <f t="shared" si="18"/>
        <v>2023</v>
      </c>
      <c r="C1163">
        <v>11</v>
      </c>
      <c r="D1163" t="s">
        <v>19</v>
      </c>
      <c r="E1163" t="s">
        <v>20</v>
      </c>
      <c r="F1163" s="2">
        <v>2536</v>
      </c>
      <c r="G1163" s="2">
        <f>Monthly_Growth!$C$12</f>
        <v>928613</v>
      </c>
      <c r="H1163" s="5">
        <f>Monthly_Growth!$D$12</f>
        <v>9.6203948214945517E-2</v>
      </c>
      <c r="I1163" s="15">
        <f>Yearly_Growth!$C$2</f>
        <v>5.0333827436586778E-2</v>
      </c>
      <c r="J1163" s="15">
        <f>Yearly_Growth!$D$2</f>
        <v>0.03</v>
      </c>
      <c r="K1163">
        <f>Sales_Per_Representative!$C$14</f>
        <v>675530</v>
      </c>
      <c r="L1163">
        <f>Sales_Per_Rep_Yearly_Goal!$B$2</f>
        <v>665544.80000000005</v>
      </c>
      <c r="M1163">
        <f>Sales_Per_Rep_Yearly_Goal!$C$2</f>
        <v>650000</v>
      </c>
    </row>
    <row r="1164" spans="1:13" x14ac:dyDescent="0.3">
      <c r="A1164" s="3">
        <v>45241</v>
      </c>
      <c r="B1164">
        <f t="shared" si="18"/>
        <v>2023</v>
      </c>
      <c r="C1164">
        <v>11</v>
      </c>
      <c r="D1164" t="s">
        <v>25</v>
      </c>
      <c r="E1164" t="s">
        <v>15</v>
      </c>
      <c r="F1164" s="2">
        <v>12016</v>
      </c>
      <c r="G1164" s="2">
        <f>Monthly_Growth!$C$12</f>
        <v>928613</v>
      </c>
      <c r="H1164" s="5">
        <f>Monthly_Growth!$D$12</f>
        <v>9.6203948214945517E-2</v>
      </c>
      <c r="I1164" s="15">
        <f>Yearly_Growth!$C$2</f>
        <v>5.0333827436586778E-2</v>
      </c>
      <c r="J1164" s="15">
        <f>Yearly_Growth!$D$2</f>
        <v>0.03</v>
      </c>
      <c r="K1164">
        <f>Sales_Per_Representative!$C$12</f>
        <v>656359</v>
      </c>
      <c r="L1164">
        <f>Sales_Per_Rep_Yearly_Goal!$B$2</f>
        <v>665544.80000000005</v>
      </c>
      <c r="M1164">
        <f>Sales_Per_Rep_Yearly_Goal!$C$2</f>
        <v>650000</v>
      </c>
    </row>
    <row r="1165" spans="1:13" x14ac:dyDescent="0.3">
      <c r="A1165" s="3">
        <v>45241</v>
      </c>
      <c r="B1165">
        <f t="shared" si="18"/>
        <v>2023</v>
      </c>
      <c r="C1165">
        <v>11</v>
      </c>
      <c r="D1165" t="s">
        <v>28</v>
      </c>
      <c r="E1165" t="s">
        <v>10</v>
      </c>
      <c r="F1165" s="2">
        <v>13407</v>
      </c>
      <c r="G1165" s="2">
        <f>Monthly_Growth!$C$12</f>
        <v>928613</v>
      </c>
      <c r="H1165" s="5">
        <f>Monthly_Growth!$D$12</f>
        <v>9.6203948214945517E-2</v>
      </c>
      <c r="I1165" s="15">
        <f>Yearly_Growth!$C$2</f>
        <v>5.0333827436586778E-2</v>
      </c>
      <c r="J1165" s="15">
        <f>Yearly_Growth!$D$2</f>
        <v>0.03</v>
      </c>
      <c r="K1165">
        <f>Sales_Per_Representative!$C$4</f>
        <v>725713</v>
      </c>
      <c r="L1165">
        <f>Sales_Per_Rep_Yearly_Goal!$B$2</f>
        <v>665544.80000000005</v>
      </c>
      <c r="M1165">
        <f>Sales_Per_Rep_Yearly_Goal!$C$2</f>
        <v>650000</v>
      </c>
    </row>
    <row r="1166" spans="1:13" x14ac:dyDescent="0.3">
      <c r="A1166" s="3">
        <v>45241</v>
      </c>
      <c r="B1166">
        <f t="shared" si="18"/>
        <v>2023</v>
      </c>
      <c r="C1166">
        <v>11</v>
      </c>
      <c r="D1166" t="s">
        <v>17</v>
      </c>
      <c r="E1166" t="s">
        <v>22</v>
      </c>
      <c r="F1166" s="2">
        <v>6840</v>
      </c>
      <c r="G1166" s="2">
        <f>Monthly_Growth!$C$12</f>
        <v>928613</v>
      </c>
      <c r="H1166" s="5">
        <f>Monthly_Growth!$D$12</f>
        <v>9.6203948214945517E-2</v>
      </c>
      <c r="I1166" s="15">
        <f>Yearly_Growth!$C$2</f>
        <v>5.0333827436586778E-2</v>
      </c>
      <c r="J1166" s="15">
        <f>Yearly_Growth!$D$2</f>
        <v>0.03</v>
      </c>
      <c r="K1166">
        <f>Sales_Per_Representative!$C$8</f>
        <v>649456</v>
      </c>
      <c r="L1166">
        <f>Sales_Per_Rep_Yearly_Goal!$B$2</f>
        <v>665544.80000000005</v>
      </c>
      <c r="M1166">
        <f>Sales_Per_Rep_Yearly_Goal!$C$2</f>
        <v>650000</v>
      </c>
    </row>
    <row r="1167" spans="1:13" x14ac:dyDescent="0.3">
      <c r="A1167" s="3">
        <v>45241</v>
      </c>
      <c r="B1167">
        <f t="shared" si="18"/>
        <v>2023</v>
      </c>
      <c r="C1167">
        <v>11</v>
      </c>
      <c r="D1167" t="s">
        <v>17</v>
      </c>
      <c r="E1167" t="s">
        <v>31</v>
      </c>
      <c r="F1167" s="2">
        <v>7080</v>
      </c>
      <c r="G1167" s="2">
        <f>Monthly_Growth!$C$12</f>
        <v>928613</v>
      </c>
      <c r="H1167" s="5">
        <f>Monthly_Growth!$D$12</f>
        <v>9.6203948214945517E-2</v>
      </c>
      <c r="I1167" s="15">
        <f>Yearly_Growth!$C$2</f>
        <v>5.0333827436586778E-2</v>
      </c>
      <c r="J1167" s="15">
        <f>Yearly_Growth!$D$2</f>
        <v>0.03</v>
      </c>
      <c r="K1167">
        <f>Sales_Per_Representative!$C$6</f>
        <v>727823</v>
      </c>
      <c r="L1167">
        <f>Sales_Per_Rep_Yearly_Goal!$B$2</f>
        <v>665544.80000000005</v>
      </c>
      <c r="M1167">
        <f>Sales_Per_Rep_Yearly_Goal!$C$2</f>
        <v>650000</v>
      </c>
    </row>
    <row r="1168" spans="1:13" x14ac:dyDescent="0.3">
      <c r="A1168" s="3">
        <v>45241</v>
      </c>
      <c r="B1168">
        <f t="shared" si="18"/>
        <v>2023</v>
      </c>
      <c r="C1168">
        <v>11</v>
      </c>
      <c r="D1168" t="s">
        <v>17</v>
      </c>
      <c r="E1168" t="s">
        <v>15</v>
      </c>
      <c r="F1168" s="2">
        <v>1986</v>
      </c>
      <c r="G1168" s="2">
        <f>Monthly_Growth!$C$12</f>
        <v>928613</v>
      </c>
      <c r="H1168" s="5">
        <f>Monthly_Growth!$D$12</f>
        <v>9.6203948214945517E-2</v>
      </c>
      <c r="I1168" s="15">
        <f>Yearly_Growth!$C$2</f>
        <v>5.0333827436586778E-2</v>
      </c>
      <c r="J1168" s="15">
        <f>Yearly_Growth!$D$2</f>
        <v>0.03</v>
      </c>
      <c r="K1168">
        <f>Sales_Per_Representative!$C$12</f>
        <v>656359</v>
      </c>
      <c r="L1168">
        <f>Sales_Per_Rep_Yearly_Goal!$B$2</f>
        <v>665544.80000000005</v>
      </c>
      <c r="M1168">
        <f>Sales_Per_Rep_Yearly_Goal!$C$2</f>
        <v>650000</v>
      </c>
    </row>
    <row r="1169" spans="1:13" x14ac:dyDescent="0.3">
      <c r="A1169" s="3">
        <v>45241</v>
      </c>
      <c r="B1169">
        <f t="shared" si="18"/>
        <v>2023</v>
      </c>
      <c r="C1169">
        <v>11</v>
      </c>
      <c r="D1169" t="s">
        <v>12</v>
      </c>
      <c r="E1169" t="s">
        <v>5</v>
      </c>
      <c r="F1169" s="2">
        <v>10115</v>
      </c>
      <c r="G1169" s="2">
        <f>Monthly_Growth!$C$12</f>
        <v>928613</v>
      </c>
      <c r="H1169" s="5">
        <f>Monthly_Growth!$D$12</f>
        <v>9.6203948214945517E-2</v>
      </c>
      <c r="I1169" s="15">
        <f>Yearly_Growth!$C$2</f>
        <v>5.0333827436586778E-2</v>
      </c>
      <c r="J1169" s="15">
        <f>Yearly_Growth!$D$2</f>
        <v>0.03</v>
      </c>
      <c r="K1169">
        <f>Sales_Per_Representative!$C$10</f>
        <v>663333</v>
      </c>
      <c r="L1169">
        <f>Sales_Per_Rep_Yearly_Goal!$B$2</f>
        <v>665544.80000000005</v>
      </c>
      <c r="M1169">
        <f>Sales_Per_Rep_Yearly_Goal!$C$2</f>
        <v>650000</v>
      </c>
    </row>
    <row r="1170" spans="1:13" x14ac:dyDescent="0.3">
      <c r="A1170" s="3">
        <v>45241</v>
      </c>
      <c r="B1170">
        <f t="shared" si="18"/>
        <v>2023</v>
      </c>
      <c r="C1170">
        <v>11</v>
      </c>
      <c r="D1170" t="s">
        <v>12</v>
      </c>
      <c r="E1170" t="s">
        <v>26</v>
      </c>
      <c r="F1170" s="2">
        <v>1115</v>
      </c>
      <c r="G1170" s="2">
        <f>Monthly_Growth!$C$12</f>
        <v>928613</v>
      </c>
      <c r="H1170" s="5">
        <f>Monthly_Growth!$D$12</f>
        <v>9.6203948214945517E-2</v>
      </c>
      <c r="I1170" s="15">
        <f>Yearly_Growth!$C$2</f>
        <v>5.0333827436586778E-2</v>
      </c>
      <c r="J1170" s="15">
        <f>Yearly_Growth!$D$2</f>
        <v>0.03</v>
      </c>
      <c r="K1170">
        <f>Sales_Per_Representative!$C$16</f>
        <v>666159</v>
      </c>
      <c r="L1170">
        <f>Sales_Per_Rep_Yearly_Goal!$B$2</f>
        <v>665544.80000000005</v>
      </c>
      <c r="M1170">
        <f>Sales_Per_Rep_Yearly_Goal!$C$2</f>
        <v>650000</v>
      </c>
    </row>
    <row r="1171" spans="1:13" x14ac:dyDescent="0.3">
      <c r="A1171" s="3">
        <v>45242</v>
      </c>
      <c r="B1171">
        <f t="shared" si="18"/>
        <v>2023</v>
      </c>
      <c r="C1171">
        <v>11</v>
      </c>
      <c r="D1171" t="s">
        <v>25</v>
      </c>
      <c r="E1171" t="s">
        <v>24</v>
      </c>
      <c r="F1171" s="2">
        <v>13076</v>
      </c>
      <c r="G1171" s="2">
        <f>Monthly_Growth!$C$12</f>
        <v>928613</v>
      </c>
      <c r="H1171" s="5">
        <f>Monthly_Growth!$D$12</f>
        <v>9.6203948214945517E-2</v>
      </c>
      <c r="I1171" s="15">
        <f>Yearly_Growth!$C$2</f>
        <v>5.0333827436586778E-2</v>
      </c>
      <c r="J1171" s="15">
        <f>Yearly_Growth!$D$2</f>
        <v>0.03</v>
      </c>
      <c r="K1171">
        <f>Sales_Per_Representative!$C$2</f>
        <v>631195</v>
      </c>
      <c r="L1171">
        <f>Sales_Per_Rep_Yearly_Goal!$B$2</f>
        <v>665544.80000000005</v>
      </c>
      <c r="M1171">
        <f>Sales_Per_Rep_Yearly_Goal!$C$2</f>
        <v>650000</v>
      </c>
    </row>
    <row r="1172" spans="1:13" x14ac:dyDescent="0.3">
      <c r="A1172" s="3">
        <v>45242</v>
      </c>
      <c r="B1172">
        <f t="shared" si="18"/>
        <v>2023</v>
      </c>
      <c r="C1172">
        <v>11</v>
      </c>
      <c r="D1172" t="s">
        <v>28</v>
      </c>
      <c r="E1172" t="s">
        <v>5</v>
      </c>
      <c r="F1172" s="2">
        <v>11444</v>
      </c>
      <c r="G1172" s="2">
        <f>Monthly_Growth!$C$12</f>
        <v>928613</v>
      </c>
      <c r="H1172" s="5">
        <f>Monthly_Growth!$D$12</f>
        <v>9.6203948214945517E-2</v>
      </c>
      <c r="I1172" s="15">
        <f>Yearly_Growth!$C$2</f>
        <v>5.0333827436586778E-2</v>
      </c>
      <c r="J1172" s="15">
        <f>Yearly_Growth!$D$2</f>
        <v>0.03</v>
      </c>
      <c r="K1172">
        <f>Sales_Per_Representative!$C$10</f>
        <v>663333</v>
      </c>
      <c r="L1172">
        <f>Sales_Per_Rep_Yearly_Goal!$B$2</f>
        <v>665544.80000000005</v>
      </c>
      <c r="M1172">
        <f>Sales_Per_Rep_Yearly_Goal!$C$2</f>
        <v>650000</v>
      </c>
    </row>
    <row r="1173" spans="1:13" x14ac:dyDescent="0.3">
      <c r="A1173" s="3">
        <v>45242</v>
      </c>
      <c r="B1173">
        <f t="shared" si="18"/>
        <v>2023</v>
      </c>
      <c r="C1173">
        <v>11</v>
      </c>
      <c r="D1173" t="s">
        <v>28</v>
      </c>
      <c r="E1173" t="s">
        <v>27</v>
      </c>
      <c r="F1173" s="2">
        <v>13625</v>
      </c>
      <c r="G1173" s="2">
        <f>Monthly_Growth!$C$12</f>
        <v>928613</v>
      </c>
      <c r="H1173" s="5">
        <f>Monthly_Growth!$D$12</f>
        <v>9.6203948214945517E-2</v>
      </c>
      <c r="I1173" s="15">
        <f>Yearly_Growth!$C$2</f>
        <v>5.0333827436586778E-2</v>
      </c>
      <c r="J1173" s="15">
        <f>Yearly_Growth!$D$2</f>
        <v>0.03</v>
      </c>
      <c r="K1173">
        <f>Sales_Per_Representative!$C$5</f>
        <v>747962</v>
      </c>
      <c r="L1173">
        <f>Sales_Per_Rep_Yearly_Goal!$B$2</f>
        <v>665544.80000000005</v>
      </c>
      <c r="M1173">
        <f>Sales_Per_Rep_Yearly_Goal!$C$2</f>
        <v>650000</v>
      </c>
    </row>
    <row r="1174" spans="1:13" x14ac:dyDescent="0.3">
      <c r="A1174" s="3">
        <v>45242</v>
      </c>
      <c r="B1174">
        <f t="shared" si="18"/>
        <v>2023</v>
      </c>
      <c r="C1174">
        <v>11</v>
      </c>
      <c r="D1174" t="s">
        <v>28</v>
      </c>
      <c r="E1174" t="s">
        <v>26</v>
      </c>
      <c r="F1174" s="2">
        <v>5838</v>
      </c>
      <c r="G1174" s="2">
        <f>Monthly_Growth!$C$12</f>
        <v>928613</v>
      </c>
      <c r="H1174" s="5">
        <f>Monthly_Growth!$D$12</f>
        <v>9.6203948214945517E-2</v>
      </c>
      <c r="I1174" s="15">
        <f>Yearly_Growth!$C$2</f>
        <v>5.0333827436586778E-2</v>
      </c>
      <c r="J1174" s="15">
        <f>Yearly_Growth!$D$2</f>
        <v>0.03</v>
      </c>
      <c r="K1174">
        <f>Sales_Per_Representative!$C$16</f>
        <v>666159</v>
      </c>
      <c r="L1174">
        <f>Sales_Per_Rep_Yearly_Goal!$B$2</f>
        <v>665544.80000000005</v>
      </c>
      <c r="M1174">
        <f>Sales_Per_Rep_Yearly_Goal!$C$2</f>
        <v>650000</v>
      </c>
    </row>
    <row r="1175" spans="1:13" x14ac:dyDescent="0.3">
      <c r="A1175" s="3">
        <v>45242</v>
      </c>
      <c r="B1175">
        <f t="shared" si="18"/>
        <v>2023</v>
      </c>
      <c r="C1175">
        <v>11</v>
      </c>
      <c r="D1175" t="s">
        <v>17</v>
      </c>
      <c r="E1175" t="s">
        <v>32</v>
      </c>
      <c r="F1175" s="2">
        <v>3861</v>
      </c>
      <c r="G1175" s="2">
        <f>Monthly_Growth!$C$12</f>
        <v>928613</v>
      </c>
      <c r="H1175" s="5">
        <f>Monthly_Growth!$D$12</f>
        <v>9.6203948214945517E-2</v>
      </c>
      <c r="I1175" s="15">
        <f>Yearly_Growth!$C$2</f>
        <v>5.0333827436586778E-2</v>
      </c>
      <c r="J1175" s="15">
        <f>Yearly_Growth!$D$2</f>
        <v>0.03</v>
      </c>
      <c r="K1175">
        <f>Sales_Per_Representative!$C$3</f>
        <v>762157</v>
      </c>
      <c r="L1175">
        <f>Sales_Per_Rep_Yearly_Goal!$B$2</f>
        <v>665544.80000000005</v>
      </c>
      <c r="M1175">
        <f>Sales_Per_Rep_Yearly_Goal!$C$2</f>
        <v>650000</v>
      </c>
    </row>
    <row r="1176" spans="1:13" x14ac:dyDescent="0.3">
      <c r="A1176" s="3">
        <v>45243</v>
      </c>
      <c r="B1176">
        <f t="shared" si="18"/>
        <v>2023</v>
      </c>
      <c r="C1176">
        <v>11</v>
      </c>
      <c r="D1176" t="s">
        <v>14</v>
      </c>
      <c r="E1176" t="s">
        <v>18</v>
      </c>
      <c r="F1176" s="2">
        <v>9374</v>
      </c>
      <c r="G1176" s="2">
        <f>Monthly_Growth!$C$12</f>
        <v>928613</v>
      </c>
      <c r="H1176" s="5">
        <f>Monthly_Growth!$D$12</f>
        <v>9.6203948214945517E-2</v>
      </c>
      <c r="I1176" s="15">
        <f>Yearly_Growth!$C$2</f>
        <v>5.0333827436586778E-2</v>
      </c>
      <c r="J1176" s="15">
        <f>Yearly_Growth!$D$2</f>
        <v>0.03</v>
      </c>
      <c r="K1176">
        <f>Sales_Per_Representative!$C$9</f>
        <v>550835</v>
      </c>
      <c r="L1176">
        <f>Sales_Per_Rep_Yearly_Goal!$B$2</f>
        <v>665544.80000000005</v>
      </c>
      <c r="M1176">
        <f>Sales_Per_Rep_Yearly_Goal!$C$2</f>
        <v>650000</v>
      </c>
    </row>
    <row r="1177" spans="1:13" x14ac:dyDescent="0.3">
      <c r="A1177" s="3">
        <v>45243</v>
      </c>
      <c r="B1177">
        <f t="shared" si="18"/>
        <v>2023</v>
      </c>
      <c r="C1177">
        <v>11</v>
      </c>
      <c r="D1177" t="s">
        <v>19</v>
      </c>
      <c r="E1177" t="s">
        <v>31</v>
      </c>
      <c r="F1177" s="2">
        <v>1939</v>
      </c>
      <c r="G1177" s="2">
        <f>Monthly_Growth!$C$12</f>
        <v>928613</v>
      </c>
      <c r="H1177" s="5">
        <f>Monthly_Growth!$D$12</f>
        <v>9.6203948214945517E-2</v>
      </c>
      <c r="I1177" s="15">
        <f>Yearly_Growth!$C$2</f>
        <v>5.0333827436586778E-2</v>
      </c>
      <c r="J1177" s="15">
        <f>Yearly_Growth!$D$2</f>
        <v>0.03</v>
      </c>
      <c r="K1177">
        <f>Sales_Per_Representative!$C$6</f>
        <v>727823</v>
      </c>
      <c r="L1177">
        <f>Sales_Per_Rep_Yearly_Goal!$B$2</f>
        <v>665544.80000000005</v>
      </c>
      <c r="M1177">
        <f>Sales_Per_Rep_Yearly_Goal!$C$2</f>
        <v>650000</v>
      </c>
    </row>
    <row r="1178" spans="1:13" x14ac:dyDescent="0.3">
      <c r="A1178" s="3">
        <v>45243</v>
      </c>
      <c r="B1178">
        <f t="shared" si="18"/>
        <v>2023</v>
      </c>
      <c r="C1178">
        <v>11</v>
      </c>
      <c r="D1178" t="s">
        <v>23</v>
      </c>
      <c r="E1178" t="s">
        <v>18</v>
      </c>
      <c r="F1178" s="2">
        <v>11489</v>
      </c>
      <c r="G1178" s="2">
        <f>Monthly_Growth!$C$12</f>
        <v>928613</v>
      </c>
      <c r="H1178" s="5">
        <f>Monthly_Growth!$D$12</f>
        <v>9.6203948214945517E-2</v>
      </c>
      <c r="I1178" s="15">
        <f>Yearly_Growth!$C$2</f>
        <v>5.0333827436586778E-2</v>
      </c>
      <c r="J1178" s="15">
        <f>Yearly_Growth!$D$2</f>
        <v>0.03</v>
      </c>
      <c r="K1178">
        <f>Sales_Per_Representative!$C$9</f>
        <v>550835</v>
      </c>
      <c r="L1178">
        <f>Sales_Per_Rep_Yearly_Goal!$B$2</f>
        <v>665544.80000000005</v>
      </c>
      <c r="M1178">
        <f>Sales_Per_Rep_Yearly_Goal!$C$2</f>
        <v>650000</v>
      </c>
    </row>
    <row r="1179" spans="1:13" x14ac:dyDescent="0.3">
      <c r="A1179" s="3">
        <v>45243</v>
      </c>
      <c r="B1179">
        <f t="shared" si="18"/>
        <v>2023</v>
      </c>
      <c r="C1179">
        <v>11</v>
      </c>
      <c r="D1179" t="s">
        <v>28</v>
      </c>
      <c r="E1179" t="s">
        <v>31</v>
      </c>
      <c r="F1179" s="2">
        <v>9254</v>
      </c>
      <c r="G1179" s="2">
        <f>Monthly_Growth!$C$12</f>
        <v>928613</v>
      </c>
      <c r="H1179" s="5">
        <f>Monthly_Growth!$D$12</f>
        <v>9.6203948214945517E-2</v>
      </c>
      <c r="I1179" s="15">
        <f>Yearly_Growth!$C$2</f>
        <v>5.0333827436586778E-2</v>
      </c>
      <c r="J1179" s="15">
        <f>Yearly_Growth!$D$2</f>
        <v>0.03</v>
      </c>
      <c r="K1179">
        <f>Sales_Per_Representative!$C$6</f>
        <v>727823</v>
      </c>
      <c r="L1179">
        <f>Sales_Per_Rep_Yearly_Goal!$B$2</f>
        <v>665544.80000000005</v>
      </c>
      <c r="M1179">
        <f>Sales_Per_Rep_Yearly_Goal!$C$2</f>
        <v>650000</v>
      </c>
    </row>
    <row r="1180" spans="1:13" x14ac:dyDescent="0.3">
      <c r="A1180" s="3">
        <v>45244</v>
      </c>
      <c r="B1180">
        <f t="shared" si="18"/>
        <v>2023</v>
      </c>
      <c r="C1180">
        <v>11</v>
      </c>
      <c r="D1180" t="s">
        <v>14</v>
      </c>
      <c r="E1180" t="s">
        <v>8</v>
      </c>
      <c r="F1180" s="2">
        <v>5895</v>
      </c>
      <c r="G1180" s="2">
        <f>Monthly_Growth!$C$12</f>
        <v>928613</v>
      </c>
      <c r="H1180" s="5">
        <f>Monthly_Growth!$D$12</f>
        <v>9.6203948214945517E-2</v>
      </c>
      <c r="I1180" s="15">
        <f>Yearly_Growth!$C$2</f>
        <v>5.0333827436586778E-2</v>
      </c>
      <c r="J1180" s="15">
        <f>Yearly_Growth!$D$2</f>
        <v>0.03</v>
      </c>
      <c r="K1180">
        <f>Sales_Per_Representative!$C$15</f>
        <v>701242</v>
      </c>
      <c r="L1180">
        <f>Sales_Per_Rep_Yearly_Goal!$B$2</f>
        <v>665544.80000000005</v>
      </c>
      <c r="M1180">
        <f>Sales_Per_Rep_Yearly_Goal!$C$2</f>
        <v>650000</v>
      </c>
    </row>
    <row r="1181" spans="1:13" x14ac:dyDescent="0.3">
      <c r="A1181" s="3">
        <v>45244</v>
      </c>
      <c r="B1181">
        <f t="shared" si="18"/>
        <v>2023</v>
      </c>
      <c r="C1181">
        <v>11</v>
      </c>
      <c r="D1181" t="s">
        <v>14</v>
      </c>
      <c r="E1181" t="s">
        <v>5</v>
      </c>
      <c r="F1181" s="2">
        <v>12491</v>
      </c>
      <c r="G1181" s="2">
        <f>Monthly_Growth!$C$12</f>
        <v>928613</v>
      </c>
      <c r="H1181" s="5">
        <f>Monthly_Growth!$D$12</f>
        <v>9.6203948214945517E-2</v>
      </c>
      <c r="I1181" s="15">
        <f>Yearly_Growth!$C$2</f>
        <v>5.0333827436586778E-2</v>
      </c>
      <c r="J1181" s="15">
        <f>Yearly_Growth!$D$2</f>
        <v>0.03</v>
      </c>
      <c r="K1181">
        <f>Sales_Per_Representative!$C$10</f>
        <v>663333</v>
      </c>
      <c r="L1181">
        <f>Sales_Per_Rep_Yearly_Goal!$B$2</f>
        <v>665544.80000000005</v>
      </c>
      <c r="M1181">
        <f>Sales_Per_Rep_Yearly_Goal!$C$2</f>
        <v>650000</v>
      </c>
    </row>
    <row r="1182" spans="1:13" x14ac:dyDescent="0.3">
      <c r="A1182" s="3">
        <v>45244</v>
      </c>
      <c r="B1182">
        <f t="shared" si="18"/>
        <v>2023</v>
      </c>
      <c r="C1182">
        <v>11</v>
      </c>
      <c r="D1182" t="s">
        <v>19</v>
      </c>
      <c r="E1182" t="s">
        <v>24</v>
      </c>
      <c r="F1182" s="2">
        <v>1297</v>
      </c>
      <c r="G1182" s="2">
        <f>Monthly_Growth!$C$12</f>
        <v>928613</v>
      </c>
      <c r="H1182" s="5">
        <f>Monthly_Growth!$D$12</f>
        <v>9.6203948214945517E-2</v>
      </c>
      <c r="I1182" s="15">
        <f>Yearly_Growth!$C$2</f>
        <v>5.0333827436586778E-2</v>
      </c>
      <c r="J1182" s="15">
        <f>Yearly_Growth!$D$2</f>
        <v>0.03</v>
      </c>
      <c r="K1182">
        <f>Sales_Per_Representative!$C$2</f>
        <v>631195</v>
      </c>
      <c r="L1182">
        <f>Sales_Per_Rep_Yearly_Goal!$B$2</f>
        <v>665544.80000000005</v>
      </c>
      <c r="M1182">
        <f>Sales_Per_Rep_Yearly_Goal!$C$2</f>
        <v>650000</v>
      </c>
    </row>
    <row r="1183" spans="1:13" x14ac:dyDescent="0.3">
      <c r="A1183" s="3">
        <v>45244</v>
      </c>
      <c r="B1183">
        <f t="shared" si="18"/>
        <v>2023</v>
      </c>
      <c r="C1183">
        <v>11</v>
      </c>
      <c r="D1183" t="s">
        <v>23</v>
      </c>
      <c r="E1183" t="s">
        <v>31</v>
      </c>
      <c r="F1183" s="2">
        <v>3864</v>
      </c>
      <c r="G1183" s="2">
        <f>Monthly_Growth!$C$12</f>
        <v>928613</v>
      </c>
      <c r="H1183" s="5">
        <f>Monthly_Growth!$D$12</f>
        <v>9.6203948214945517E-2</v>
      </c>
      <c r="I1183" s="15">
        <f>Yearly_Growth!$C$2</f>
        <v>5.0333827436586778E-2</v>
      </c>
      <c r="J1183" s="15">
        <f>Yearly_Growth!$D$2</f>
        <v>0.03</v>
      </c>
      <c r="K1183">
        <f>Sales_Per_Representative!$C$6</f>
        <v>727823</v>
      </c>
      <c r="L1183">
        <f>Sales_Per_Rep_Yearly_Goal!$B$2</f>
        <v>665544.80000000005</v>
      </c>
      <c r="M1183">
        <f>Sales_Per_Rep_Yearly_Goal!$C$2</f>
        <v>650000</v>
      </c>
    </row>
    <row r="1184" spans="1:13" x14ac:dyDescent="0.3">
      <c r="A1184" s="3">
        <v>45244</v>
      </c>
      <c r="B1184">
        <f t="shared" si="18"/>
        <v>2023</v>
      </c>
      <c r="C1184">
        <v>11</v>
      </c>
      <c r="D1184" t="s">
        <v>25</v>
      </c>
      <c r="E1184" t="s">
        <v>26</v>
      </c>
      <c r="F1184" s="2">
        <v>10956</v>
      </c>
      <c r="G1184" s="2">
        <f>Monthly_Growth!$C$12</f>
        <v>928613</v>
      </c>
      <c r="H1184" s="5">
        <f>Monthly_Growth!$D$12</f>
        <v>9.6203948214945517E-2</v>
      </c>
      <c r="I1184" s="15">
        <f>Yearly_Growth!$C$2</f>
        <v>5.0333827436586778E-2</v>
      </c>
      <c r="J1184" s="15">
        <f>Yearly_Growth!$D$2</f>
        <v>0.03</v>
      </c>
      <c r="K1184">
        <f>Sales_Per_Representative!$C$16</f>
        <v>666159</v>
      </c>
      <c r="L1184">
        <f>Sales_Per_Rep_Yearly_Goal!$B$2</f>
        <v>665544.80000000005</v>
      </c>
      <c r="M1184">
        <f>Sales_Per_Rep_Yearly_Goal!$C$2</f>
        <v>650000</v>
      </c>
    </row>
    <row r="1185" spans="1:13" x14ac:dyDescent="0.3">
      <c r="A1185" s="3">
        <v>45245</v>
      </c>
      <c r="B1185">
        <f t="shared" si="18"/>
        <v>2023</v>
      </c>
      <c r="C1185">
        <v>11</v>
      </c>
      <c r="D1185" t="s">
        <v>14</v>
      </c>
      <c r="E1185" t="s">
        <v>20</v>
      </c>
      <c r="F1185" s="2">
        <v>5104</v>
      </c>
      <c r="G1185" s="2">
        <f>Monthly_Growth!$C$12</f>
        <v>928613</v>
      </c>
      <c r="H1185" s="5">
        <f>Monthly_Growth!$D$12</f>
        <v>9.6203948214945517E-2</v>
      </c>
      <c r="I1185" s="15">
        <f>Yearly_Growth!$C$2</f>
        <v>5.0333827436586778E-2</v>
      </c>
      <c r="J1185" s="15">
        <f>Yearly_Growth!$D$2</f>
        <v>0.03</v>
      </c>
      <c r="K1185">
        <f>Sales_Per_Representative!$C$14</f>
        <v>675530</v>
      </c>
      <c r="L1185">
        <f>Sales_Per_Rep_Yearly_Goal!$B$2</f>
        <v>665544.80000000005</v>
      </c>
      <c r="M1185">
        <f>Sales_Per_Rep_Yearly_Goal!$C$2</f>
        <v>650000</v>
      </c>
    </row>
    <row r="1186" spans="1:13" x14ac:dyDescent="0.3">
      <c r="A1186" s="3">
        <v>45245</v>
      </c>
      <c r="B1186">
        <f t="shared" si="18"/>
        <v>2023</v>
      </c>
      <c r="C1186">
        <v>11</v>
      </c>
      <c r="D1186" t="s">
        <v>7</v>
      </c>
      <c r="E1186" t="s">
        <v>27</v>
      </c>
      <c r="F1186" s="2">
        <v>10253</v>
      </c>
      <c r="G1186" s="2">
        <f>Monthly_Growth!$C$12</f>
        <v>928613</v>
      </c>
      <c r="H1186" s="5">
        <f>Monthly_Growth!$D$12</f>
        <v>9.6203948214945517E-2</v>
      </c>
      <c r="I1186" s="15">
        <f>Yearly_Growth!$C$2</f>
        <v>5.0333827436586778E-2</v>
      </c>
      <c r="J1186" s="15">
        <f>Yearly_Growth!$D$2</f>
        <v>0.03</v>
      </c>
      <c r="K1186">
        <f>Sales_Per_Representative!$C$5</f>
        <v>747962</v>
      </c>
      <c r="L1186">
        <f>Sales_Per_Rep_Yearly_Goal!$B$2</f>
        <v>665544.80000000005</v>
      </c>
      <c r="M1186">
        <f>Sales_Per_Rep_Yearly_Goal!$C$2</f>
        <v>650000</v>
      </c>
    </row>
    <row r="1187" spans="1:13" x14ac:dyDescent="0.3">
      <c r="A1187" s="3">
        <v>45245</v>
      </c>
      <c r="B1187">
        <f t="shared" si="18"/>
        <v>2023</v>
      </c>
      <c r="C1187">
        <v>11</v>
      </c>
      <c r="D1187" t="s">
        <v>12</v>
      </c>
      <c r="E1187" t="s">
        <v>20</v>
      </c>
      <c r="F1187" s="2">
        <v>9375</v>
      </c>
      <c r="G1187" s="2">
        <f>Monthly_Growth!$C$12</f>
        <v>928613</v>
      </c>
      <c r="H1187" s="5">
        <f>Monthly_Growth!$D$12</f>
        <v>9.6203948214945517E-2</v>
      </c>
      <c r="I1187" s="15">
        <f>Yearly_Growth!$C$2</f>
        <v>5.0333827436586778E-2</v>
      </c>
      <c r="J1187" s="15">
        <f>Yearly_Growth!$D$2</f>
        <v>0.03</v>
      </c>
      <c r="K1187">
        <f>Sales_Per_Representative!$C$14</f>
        <v>675530</v>
      </c>
      <c r="L1187">
        <f>Sales_Per_Rep_Yearly_Goal!$B$2</f>
        <v>665544.80000000005</v>
      </c>
      <c r="M1187">
        <f>Sales_Per_Rep_Yearly_Goal!$C$2</f>
        <v>650000</v>
      </c>
    </row>
    <row r="1188" spans="1:13" x14ac:dyDescent="0.3">
      <c r="A1188" s="3">
        <v>45246</v>
      </c>
      <c r="B1188">
        <f t="shared" si="18"/>
        <v>2023</v>
      </c>
      <c r="C1188">
        <v>11</v>
      </c>
      <c r="D1188" t="s">
        <v>23</v>
      </c>
      <c r="E1188" t="s">
        <v>22</v>
      </c>
      <c r="F1188" s="2">
        <v>9237</v>
      </c>
      <c r="G1188" s="2">
        <f>Monthly_Growth!$C$12</f>
        <v>928613</v>
      </c>
      <c r="H1188" s="5">
        <f>Monthly_Growth!$D$12</f>
        <v>9.6203948214945517E-2</v>
      </c>
      <c r="I1188" s="15">
        <f>Yearly_Growth!$C$2</f>
        <v>5.0333827436586778E-2</v>
      </c>
      <c r="J1188" s="15">
        <f>Yearly_Growth!$D$2</f>
        <v>0.03</v>
      </c>
      <c r="K1188">
        <f>Sales_Per_Representative!$C$8</f>
        <v>649456</v>
      </c>
      <c r="L1188">
        <f>Sales_Per_Rep_Yearly_Goal!$B$2</f>
        <v>665544.80000000005</v>
      </c>
      <c r="M1188">
        <f>Sales_Per_Rep_Yearly_Goal!$C$2</f>
        <v>650000</v>
      </c>
    </row>
    <row r="1189" spans="1:13" x14ac:dyDescent="0.3">
      <c r="A1189" s="3">
        <v>45246</v>
      </c>
      <c r="B1189">
        <f t="shared" si="18"/>
        <v>2023</v>
      </c>
      <c r="C1189">
        <v>11</v>
      </c>
      <c r="D1189" t="s">
        <v>28</v>
      </c>
      <c r="E1189" t="s">
        <v>27</v>
      </c>
      <c r="F1189" s="2">
        <v>4781</v>
      </c>
      <c r="G1189" s="2">
        <f>Monthly_Growth!$C$12</f>
        <v>928613</v>
      </c>
      <c r="H1189" s="5">
        <f>Monthly_Growth!$D$12</f>
        <v>9.6203948214945517E-2</v>
      </c>
      <c r="I1189" s="15">
        <f>Yearly_Growth!$C$2</f>
        <v>5.0333827436586778E-2</v>
      </c>
      <c r="J1189" s="15">
        <f>Yearly_Growth!$D$2</f>
        <v>0.03</v>
      </c>
      <c r="K1189">
        <f>Sales_Per_Representative!$C$5</f>
        <v>747962</v>
      </c>
      <c r="L1189">
        <f>Sales_Per_Rep_Yearly_Goal!$B$2</f>
        <v>665544.80000000005</v>
      </c>
      <c r="M1189">
        <f>Sales_Per_Rep_Yearly_Goal!$C$2</f>
        <v>650000</v>
      </c>
    </row>
    <row r="1190" spans="1:13" x14ac:dyDescent="0.3">
      <c r="A1190" s="3">
        <v>45246</v>
      </c>
      <c r="B1190">
        <f t="shared" si="18"/>
        <v>2023</v>
      </c>
      <c r="C1190">
        <v>11</v>
      </c>
      <c r="D1190" t="s">
        <v>12</v>
      </c>
      <c r="E1190" t="s">
        <v>30</v>
      </c>
      <c r="F1190" s="2">
        <v>13052</v>
      </c>
      <c r="G1190" s="2">
        <f>Monthly_Growth!$C$12</f>
        <v>928613</v>
      </c>
      <c r="H1190" s="5">
        <f>Monthly_Growth!$D$12</f>
        <v>9.6203948214945517E-2</v>
      </c>
      <c r="I1190" s="15">
        <f>Yearly_Growth!$C$2</f>
        <v>5.0333827436586778E-2</v>
      </c>
      <c r="J1190" s="15">
        <f>Yearly_Growth!$D$2</f>
        <v>0.03</v>
      </c>
      <c r="K1190">
        <f>Sales_Per_Representative!$C$7</f>
        <v>706974</v>
      </c>
      <c r="L1190">
        <f>Sales_Per_Rep_Yearly_Goal!$B$2</f>
        <v>665544.80000000005</v>
      </c>
      <c r="M1190">
        <f>Sales_Per_Rep_Yearly_Goal!$C$2</f>
        <v>650000</v>
      </c>
    </row>
    <row r="1191" spans="1:13" x14ac:dyDescent="0.3">
      <c r="A1191" s="3">
        <v>45248</v>
      </c>
      <c r="B1191">
        <f t="shared" si="18"/>
        <v>2023</v>
      </c>
      <c r="C1191">
        <v>11</v>
      </c>
      <c r="D1191" t="s">
        <v>19</v>
      </c>
      <c r="E1191" t="s">
        <v>22</v>
      </c>
      <c r="F1191" s="2">
        <v>11333</v>
      </c>
      <c r="G1191" s="2">
        <f>Monthly_Growth!$C$12</f>
        <v>928613</v>
      </c>
      <c r="H1191" s="5">
        <f>Monthly_Growth!$D$12</f>
        <v>9.6203948214945517E-2</v>
      </c>
      <c r="I1191" s="15">
        <f>Yearly_Growth!$C$2</f>
        <v>5.0333827436586778E-2</v>
      </c>
      <c r="J1191" s="15">
        <f>Yearly_Growth!$D$2</f>
        <v>0.03</v>
      </c>
      <c r="K1191">
        <f>Sales_Per_Representative!$C$8</f>
        <v>649456</v>
      </c>
      <c r="L1191">
        <f>Sales_Per_Rep_Yearly_Goal!$B$2</f>
        <v>665544.80000000005</v>
      </c>
      <c r="M1191">
        <f>Sales_Per_Rep_Yearly_Goal!$C$2</f>
        <v>650000</v>
      </c>
    </row>
    <row r="1192" spans="1:13" x14ac:dyDescent="0.3">
      <c r="A1192" s="3">
        <v>45248</v>
      </c>
      <c r="B1192">
        <f t="shared" si="18"/>
        <v>2023</v>
      </c>
      <c r="C1192">
        <v>11</v>
      </c>
      <c r="D1192" t="s">
        <v>23</v>
      </c>
      <c r="E1192" t="s">
        <v>5</v>
      </c>
      <c r="F1192" s="2">
        <v>7523</v>
      </c>
      <c r="G1192" s="2">
        <f>Monthly_Growth!$C$12</f>
        <v>928613</v>
      </c>
      <c r="H1192" s="5">
        <f>Monthly_Growth!$D$12</f>
        <v>9.6203948214945517E-2</v>
      </c>
      <c r="I1192" s="15">
        <f>Yearly_Growth!$C$2</f>
        <v>5.0333827436586778E-2</v>
      </c>
      <c r="J1192" s="15">
        <f>Yearly_Growth!$D$2</f>
        <v>0.03</v>
      </c>
      <c r="K1192">
        <f>Sales_Per_Representative!$C$10</f>
        <v>663333</v>
      </c>
      <c r="L1192">
        <f>Sales_Per_Rep_Yearly_Goal!$B$2</f>
        <v>665544.80000000005</v>
      </c>
      <c r="M1192">
        <f>Sales_Per_Rep_Yearly_Goal!$C$2</f>
        <v>650000</v>
      </c>
    </row>
    <row r="1193" spans="1:13" x14ac:dyDescent="0.3">
      <c r="A1193" s="3">
        <v>45248</v>
      </c>
      <c r="B1193">
        <f t="shared" si="18"/>
        <v>2023</v>
      </c>
      <c r="C1193">
        <v>11</v>
      </c>
      <c r="D1193" t="s">
        <v>28</v>
      </c>
      <c r="E1193" t="s">
        <v>20</v>
      </c>
      <c r="F1193" s="2">
        <v>9160</v>
      </c>
      <c r="G1193" s="2">
        <f>Monthly_Growth!$C$12</f>
        <v>928613</v>
      </c>
      <c r="H1193" s="5">
        <f>Monthly_Growth!$D$12</f>
        <v>9.6203948214945517E-2</v>
      </c>
      <c r="I1193" s="15">
        <f>Yearly_Growth!$C$2</f>
        <v>5.0333827436586778E-2</v>
      </c>
      <c r="J1193" s="15">
        <f>Yearly_Growth!$D$2</f>
        <v>0.03</v>
      </c>
      <c r="K1193">
        <f>Sales_Per_Representative!$C$14</f>
        <v>675530</v>
      </c>
      <c r="L1193">
        <f>Sales_Per_Rep_Yearly_Goal!$B$2</f>
        <v>665544.80000000005</v>
      </c>
      <c r="M1193">
        <f>Sales_Per_Rep_Yearly_Goal!$C$2</f>
        <v>650000</v>
      </c>
    </row>
    <row r="1194" spans="1:13" x14ac:dyDescent="0.3">
      <c r="A1194" s="3">
        <v>45248</v>
      </c>
      <c r="B1194">
        <f t="shared" si="18"/>
        <v>2023</v>
      </c>
      <c r="C1194">
        <v>11</v>
      </c>
      <c r="D1194" t="s">
        <v>12</v>
      </c>
      <c r="E1194" t="s">
        <v>24</v>
      </c>
      <c r="F1194" s="2">
        <v>7994</v>
      </c>
      <c r="G1194" s="2">
        <f>Monthly_Growth!$C$12</f>
        <v>928613</v>
      </c>
      <c r="H1194" s="5">
        <f>Monthly_Growth!$D$12</f>
        <v>9.6203948214945517E-2</v>
      </c>
      <c r="I1194" s="15">
        <f>Yearly_Growth!$C$2</f>
        <v>5.0333827436586778E-2</v>
      </c>
      <c r="J1194" s="15">
        <f>Yearly_Growth!$D$2</f>
        <v>0.03</v>
      </c>
      <c r="K1194">
        <f>Sales_Per_Representative!$C$2</f>
        <v>631195</v>
      </c>
      <c r="L1194">
        <f>Sales_Per_Rep_Yearly_Goal!$B$2</f>
        <v>665544.80000000005</v>
      </c>
      <c r="M1194">
        <f>Sales_Per_Rep_Yearly_Goal!$C$2</f>
        <v>650000</v>
      </c>
    </row>
    <row r="1195" spans="1:13" x14ac:dyDescent="0.3">
      <c r="A1195" s="3">
        <v>45248</v>
      </c>
      <c r="B1195">
        <f t="shared" si="18"/>
        <v>2023</v>
      </c>
      <c r="C1195">
        <v>11</v>
      </c>
      <c r="D1195" t="s">
        <v>12</v>
      </c>
      <c r="E1195" t="s">
        <v>32</v>
      </c>
      <c r="F1195" s="2">
        <v>5824</v>
      </c>
      <c r="G1195" s="2">
        <f>Monthly_Growth!$C$12</f>
        <v>928613</v>
      </c>
      <c r="H1195" s="5">
        <f>Monthly_Growth!$D$12</f>
        <v>9.6203948214945517E-2</v>
      </c>
      <c r="I1195" s="15">
        <f>Yearly_Growth!$C$2</f>
        <v>5.0333827436586778E-2</v>
      </c>
      <c r="J1195" s="15">
        <f>Yearly_Growth!$D$2</f>
        <v>0.03</v>
      </c>
      <c r="K1195">
        <f>Sales_Per_Representative!$C$3</f>
        <v>762157</v>
      </c>
      <c r="L1195">
        <f>Sales_Per_Rep_Yearly_Goal!$B$2</f>
        <v>665544.80000000005</v>
      </c>
      <c r="M1195">
        <f>Sales_Per_Rep_Yearly_Goal!$C$2</f>
        <v>650000</v>
      </c>
    </row>
    <row r="1196" spans="1:13" x14ac:dyDescent="0.3">
      <c r="A1196" s="3">
        <v>45249</v>
      </c>
      <c r="B1196">
        <f t="shared" si="18"/>
        <v>2023</v>
      </c>
      <c r="C1196">
        <v>11</v>
      </c>
      <c r="D1196" t="s">
        <v>19</v>
      </c>
      <c r="E1196" t="s">
        <v>30</v>
      </c>
      <c r="F1196" s="2">
        <v>12677</v>
      </c>
      <c r="G1196" s="2">
        <f>Monthly_Growth!$C$12</f>
        <v>928613</v>
      </c>
      <c r="H1196" s="5">
        <f>Monthly_Growth!$D$12</f>
        <v>9.6203948214945517E-2</v>
      </c>
      <c r="I1196" s="15">
        <f>Yearly_Growth!$C$2</f>
        <v>5.0333827436586778E-2</v>
      </c>
      <c r="J1196" s="15">
        <f>Yearly_Growth!$D$2</f>
        <v>0.03</v>
      </c>
      <c r="K1196">
        <f>Sales_Per_Representative!$C$7</f>
        <v>706974</v>
      </c>
      <c r="L1196">
        <f>Sales_Per_Rep_Yearly_Goal!$B$2</f>
        <v>665544.80000000005</v>
      </c>
      <c r="M1196">
        <f>Sales_Per_Rep_Yearly_Goal!$C$2</f>
        <v>650000</v>
      </c>
    </row>
    <row r="1197" spans="1:13" x14ac:dyDescent="0.3">
      <c r="A1197" s="3">
        <v>45249</v>
      </c>
      <c r="B1197">
        <f t="shared" si="18"/>
        <v>2023</v>
      </c>
      <c r="C1197">
        <v>11</v>
      </c>
      <c r="D1197" t="s">
        <v>17</v>
      </c>
      <c r="E1197" t="s">
        <v>10</v>
      </c>
      <c r="F1197" s="2">
        <v>8193</v>
      </c>
      <c r="G1197" s="2">
        <f>Monthly_Growth!$C$12</f>
        <v>928613</v>
      </c>
      <c r="H1197" s="5">
        <f>Monthly_Growth!$D$12</f>
        <v>9.6203948214945517E-2</v>
      </c>
      <c r="I1197" s="15">
        <f>Yearly_Growth!$C$2</f>
        <v>5.0333827436586778E-2</v>
      </c>
      <c r="J1197" s="15">
        <f>Yearly_Growth!$D$2</f>
        <v>0.03</v>
      </c>
      <c r="K1197">
        <f>Sales_Per_Representative!$C$4</f>
        <v>725713</v>
      </c>
      <c r="L1197">
        <f>Sales_Per_Rep_Yearly_Goal!$B$2</f>
        <v>665544.80000000005</v>
      </c>
      <c r="M1197">
        <f>Sales_Per_Rep_Yearly_Goal!$C$2</f>
        <v>650000</v>
      </c>
    </row>
    <row r="1198" spans="1:13" x14ac:dyDescent="0.3">
      <c r="A1198" s="3">
        <v>45249</v>
      </c>
      <c r="B1198">
        <f t="shared" si="18"/>
        <v>2023</v>
      </c>
      <c r="C1198">
        <v>11</v>
      </c>
      <c r="D1198" t="s">
        <v>17</v>
      </c>
      <c r="E1198" t="s">
        <v>22</v>
      </c>
      <c r="F1198" s="2">
        <v>2780</v>
      </c>
      <c r="G1198" s="2">
        <f>Monthly_Growth!$C$12</f>
        <v>928613</v>
      </c>
      <c r="H1198" s="5">
        <f>Monthly_Growth!$D$12</f>
        <v>9.6203948214945517E-2</v>
      </c>
      <c r="I1198" s="15">
        <f>Yearly_Growth!$C$2</f>
        <v>5.0333827436586778E-2</v>
      </c>
      <c r="J1198" s="15">
        <f>Yearly_Growth!$D$2</f>
        <v>0.03</v>
      </c>
      <c r="K1198">
        <f>Sales_Per_Representative!$C$8</f>
        <v>649456</v>
      </c>
      <c r="L1198">
        <f>Sales_Per_Rep_Yearly_Goal!$B$2</f>
        <v>665544.80000000005</v>
      </c>
      <c r="M1198">
        <f>Sales_Per_Rep_Yearly_Goal!$C$2</f>
        <v>650000</v>
      </c>
    </row>
    <row r="1199" spans="1:13" x14ac:dyDescent="0.3">
      <c r="A1199" s="3">
        <v>45250</v>
      </c>
      <c r="B1199">
        <f t="shared" si="18"/>
        <v>2023</v>
      </c>
      <c r="C1199">
        <v>11</v>
      </c>
      <c r="D1199" t="s">
        <v>19</v>
      </c>
      <c r="E1199" t="s">
        <v>22</v>
      </c>
      <c r="F1199" s="2">
        <v>2557</v>
      </c>
      <c r="G1199" s="2">
        <f>Monthly_Growth!$C$12</f>
        <v>928613</v>
      </c>
      <c r="H1199" s="5">
        <f>Monthly_Growth!$D$12</f>
        <v>9.6203948214945517E-2</v>
      </c>
      <c r="I1199" s="15">
        <f>Yearly_Growth!$C$2</f>
        <v>5.0333827436586778E-2</v>
      </c>
      <c r="J1199" s="15">
        <f>Yearly_Growth!$D$2</f>
        <v>0.03</v>
      </c>
      <c r="K1199">
        <f>Sales_Per_Representative!$C$8</f>
        <v>649456</v>
      </c>
      <c r="L1199">
        <f>Sales_Per_Rep_Yearly_Goal!$B$2</f>
        <v>665544.80000000005</v>
      </c>
      <c r="M1199">
        <f>Sales_Per_Rep_Yearly_Goal!$C$2</f>
        <v>650000</v>
      </c>
    </row>
    <row r="1200" spans="1:13" x14ac:dyDescent="0.3">
      <c r="A1200" s="3">
        <v>45250</v>
      </c>
      <c r="B1200">
        <f t="shared" si="18"/>
        <v>2023</v>
      </c>
      <c r="C1200">
        <v>11</v>
      </c>
      <c r="D1200" t="s">
        <v>7</v>
      </c>
      <c r="E1200" t="s">
        <v>30</v>
      </c>
      <c r="F1200" s="2">
        <v>1121</v>
      </c>
      <c r="G1200" s="2">
        <f>Monthly_Growth!$C$12</f>
        <v>928613</v>
      </c>
      <c r="H1200" s="5">
        <f>Monthly_Growth!$D$12</f>
        <v>9.6203948214945517E-2</v>
      </c>
      <c r="I1200" s="15">
        <f>Yearly_Growth!$C$2</f>
        <v>5.0333827436586778E-2</v>
      </c>
      <c r="J1200" s="15">
        <f>Yearly_Growth!$D$2</f>
        <v>0.03</v>
      </c>
      <c r="K1200">
        <f>Sales_Per_Representative!$C$7</f>
        <v>706974</v>
      </c>
      <c r="L1200">
        <f>Sales_Per_Rep_Yearly_Goal!$B$2</f>
        <v>665544.80000000005</v>
      </c>
      <c r="M1200">
        <f>Sales_Per_Rep_Yearly_Goal!$C$2</f>
        <v>650000</v>
      </c>
    </row>
    <row r="1201" spans="1:13" x14ac:dyDescent="0.3">
      <c r="A1201" s="3">
        <v>45250</v>
      </c>
      <c r="B1201">
        <f t="shared" si="18"/>
        <v>2023</v>
      </c>
      <c r="C1201">
        <v>11</v>
      </c>
      <c r="D1201" t="s">
        <v>28</v>
      </c>
      <c r="E1201" t="s">
        <v>8</v>
      </c>
      <c r="F1201" s="2">
        <v>4043</v>
      </c>
      <c r="G1201" s="2">
        <f>Monthly_Growth!$C$12</f>
        <v>928613</v>
      </c>
      <c r="H1201" s="5">
        <f>Monthly_Growth!$D$12</f>
        <v>9.6203948214945517E-2</v>
      </c>
      <c r="I1201" s="15">
        <f>Yearly_Growth!$C$2</f>
        <v>5.0333827436586778E-2</v>
      </c>
      <c r="J1201" s="15">
        <f>Yearly_Growth!$D$2</f>
        <v>0.03</v>
      </c>
      <c r="K1201">
        <f>Sales_Per_Representative!$C$15</f>
        <v>701242</v>
      </c>
      <c r="L1201">
        <f>Sales_Per_Rep_Yearly_Goal!$B$2</f>
        <v>665544.80000000005</v>
      </c>
      <c r="M1201">
        <f>Sales_Per_Rep_Yearly_Goal!$C$2</f>
        <v>650000</v>
      </c>
    </row>
    <row r="1202" spans="1:13" x14ac:dyDescent="0.3">
      <c r="A1202" s="3">
        <v>45251</v>
      </c>
      <c r="B1202">
        <f t="shared" si="18"/>
        <v>2023</v>
      </c>
      <c r="C1202">
        <v>11</v>
      </c>
      <c r="D1202" t="s">
        <v>19</v>
      </c>
      <c r="E1202" t="s">
        <v>27</v>
      </c>
      <c r="F1202" s="2">
        <v>9254</v>
      </c>
      <c r="G1202" s="2">
        <f>Monthly_Growth!$C$12</f>
        <v>928613</v>
      </c>
      <c r="H1202" s="5">
        <f>Monthly_Growth!$D$12</f>
        <v>9.6203948214945517E-2</v>
      </c>
      <c r="I1202" s="15">
        <f>Yearly_Growth!$C$2</f>
        <v>5.0333827436586778E-2</v>
      </c>
      <c r="J1202" s="15">
        <f>Yearly_Growth!$D$2</f>
        <v>0.03</v>
      </c>
      <c r="K1202">
        <f>Sales_Per_Representative!$C$5</f>
        <v>747962</v>
      </c>
      <c r="L1202">
        <f>Sales_Per_Rep_Yearly_Goal!$B$2</f>
        <v>665544.80000000005</v>
      </c>
      <c r="M1202">
        <f>Sales_Per_Rep_Yearly_Goal!$C$2</f>
        <v>650000</v>
      </c>
    </row>
    <row r="1203" spans="1:13" x14ac:dyDescent="0.3">
      <c r="A1203" s="3">
        <v>45251</v>
      </c>
      <c r="B1203">
        <f t="shared" si="18"/>
        <v>2023</v>
      </c>
      <c r="C1203">
        <v>11</v>
      </c>
      <c r="D1203" t="s">
        <v>12</v>
      </c>
      <c r="E1203" t="s">
        <v>30</v>
      </c>
      <c r="F1203" s="2">
        <v>4687</v>
      </c>
      <c r="G1203" s="2">
        <f>Monthly_Growth!$C$12</f>
        <v>928613</v>
      </c>
      <c r="H1203" s="5">
        <f>Monthly_Growth!$D$12</f>
        <v>9.6203948214945517E-2</v>
      </c>
      <c r="I1203" s="15">
        <f>Yearly_Growth!$C$2</f>
        <v>5.0333827436586778E-2</v>
      </c>
      <c r="J1203" s="15">
        <f>Yearly_Growth!$D$2</f>
        <v>0.03</v>
      </c>
      <c r="K1203">
        <f>Sales_Per_Representative!$C$7</f>
        <v>706974</v>
      </c>
      <c r="L1203">
        <f>Sales_Per_Rep_Yearly_Goal!$B$2</f>
        <v>665544.80000000005</v>
      </c>
      <c r="M1203">
        <f>Sales_Per_Rep_Yearly_Goal!$C$2</f>
        <v>650000</v>
      </c>
    </row>
    <row r="1204" spans="1:13" x14ac:dyDescent="0.3">
      <c r="A1204" s="3">
        <v>45252</v>
      </c>
      <c r="B1204">
        <f t="shared" si="18"/>
        <v>2023</v>
      </c>
      <c r="C1204">
        <v>11</v>
      </c>
      <c r="D1204" t="s">
        <v>14</v>
      </c>
      <c r="E1204" t="s">
        <v>27</v>
      </c>
      <c r="F1204" s="2">
        <v>13654</v>
      </c>
      <c r="G1204" s="2">
        <f>Monthly_Growth!$C$12</f>
        <v>928613</v>
      </c>
      <c r="H1204" s="5">
        <f>Monthly_Growth!$D$12</f>
        <v>9.6203948214945517E-2</v>
      </c>
      <c r="I1204" s="15">
        <f>Yearly_Growth!$C$2</f>
        <v>5.0333827436586778E-2</v>
      </c>
      <c r="J1204" s="15">
        <f>Yearly_Growth!$D$2</f>
        <v>0.03</v>
      </c>
      <c r="K1204">
        <f>Sales_Per_Representative!$C$5</f>
        <v>747962</v>
      </c>
      <c r="L1204">
        <f>Sales_Per_Rep_Yearly_Goal!$B$2</f>
        <v>665544.80000000005</v>
      </c>
      <c r="M1204">
        <f>Sales_Per_Rep_Yearly_Goal!$C$2</f>
        <v>650000</v>
      </c>
    </row>
    <row r="1205" spans="1:13" x14ac:dyDescent="0.3">
      <c r="A1205" s="3">
        <v>45252</v>
      </c>
      <c r="B1205">
        <f t="shared" si="18"/>
        <v>2023</v>
      </c>
      <c r="C1205">
        <v>11</v>
      </c>
      <c r="D1205" t="s">
        <v>23</v>
      </c>
      <c r="E1205" t="s">
        <v>10</v>
      </c>
      <c r="F1205" s="2">
        <v>9733</v>
      </c>
      <c r="G1205" s="2">
        <f>Monthly_Growth!$C$12</f>
        <v>928613</v>
      </c>
      <c r="H1205" s="5">
        <f>Monthly_Growth!$D$12</f>
        <v>9.6203948214945517E-2</v>
      </c>
      <c r="I1205" s="15">
        <f>Yearly_Growth!$C$2</f>
        <v>5.0333827436586778E-2</v>
      </c>
      <c r="J1205" s="15">
        <f>Yearly_Growth!$D$2</f>
        <v>0.03</v>
      </c>
      <c r="K1205">
        <f>Sales_Per_Representative!$C$4</f>
        <v>725713</v>
      </c>
      <c r="L1205">
        <f>Sales_Per_Rep_Yearly_Goal!$B$2</f>
        <v>665544.80000000005</v>
      </c>
      <c r="M1205">
        <f>Sales_Per_Rep_Yearly_Goal!$C$2</f>
        <v>650000</v>
      </c>
    </row>
    <row r="1206" spans="1:13" x14ac:dyDescent="0.3">
      <c r="A1206" s="3">
        <v>45252</v>
      </c>
      <c r="B1206">
        <f t="shared" si="18"/>
        <v>2023</v>
      </c>
      <c r="C1206">
        <v>11</v>
      </c>
      <c r="D1206" t="s">
        <v>12</v>
      </c>
      <c r="E1206" t="s">
        <v>27</v>
      </c>
      <c r="F1206" s="2">
        <v>1280</v>
      </c>
      <c r="G1206" s="2">
        <f>Monthly_Growth!$C$12</f>
        <v>928613</v>
      </c>
      <c r="H1206" s="5">
        <f>Monthly_Growth!$D$12</f>
        <v>9.6203948214945517E-2</v>
      </c>
      <c r="I1206" s="15">
        <f>Yearly_Growth!$C$2</f>
        <v>5.0333827436586778E-2</v>
      </c>
      <c r="J1206" s="15">
        <f>Yearly_Growth!$D$2</f>
        <v>0.03</v>
      </c>
      <c r="K1206">
        <f>Sales_Per_Representative!$C$5</f>
        <v>747962</v>
      </c>
      <c r="L1206">
        <f>Sales_Per_Rep_Yearly_Goal!$B$2</f>
        <v>665544.80000000005</v>
      </c>
      <c r="M1206">
        <f>Sales_Per_Rep_Yearly_Goal!$C$2</f>
        <v>650000</v>
      </c>
    </row>
    <row r="1207" spans="1:13" x14ac:dyDescent="0.3">
      <c r="A1207" s="3">
        <v>45253</v>
      </c>
      <c r="B1207">
        <f t="shared" si="18"/>
        <v>2023</v>
      </c>
      <c r="C1207">
        <v>11</v>
      </c>
      <c r="D1207" t="s">
        <v>14</v>
      </c>
      <c r="E1207" t="s">
        <v>27</v>
      </c>
      <c r="F1207" s="2">
        <v>8242</v>
      </c>
      <c r="G1207" s="2">
        <f>Monthly_Growth!$C$12</f>
        <v>928613</v>
      </c>
      <c r="H1207" s="5">
        <f>Monthly_Growth!$D$12</f>
        <v>9.6203948214945517E-2</v>
      </c>
      <c r="I1207" s="15">
        <f>Yearly_Growth!$C$2</f>
        <v>5.0333827436586778E-2</v>
      </c>
      <c r="J1207" s="15">
        <f>Yearly_Growth!$D$2</f>
        <v>0.03</v>
      </c>
      <c r="K1207">
        <f>Sales_Per_Representative!$C$5</f>
        <v>747962</v>
      </c>
      <c r="L1207">
        <f>Sales_Per_Rep_Yearly_Goal!$B$2</f>
        <v>665544.80000000005</v>
      </c>
      <c r="M1207">
        <f>Sales_Per_Rep_Yearly_Goal!$C$2</f>
        <v>650000</v>
      </c>
    </row>
    <row r="1208" spans="1:13" x14ac:dyDescent="0.3">
      <c r="A1208" s="3">
        <v>45253</v>
      </c>
      <c r="B1208">
        <f t="shared" si="18"/>
        <v>2023</v>
      </c>
      <c r="C1208">
        <v>11</v>
      </c>
      <c r="D1208" t="s">
        <v>19</v>
      </c>
      <c r="E1208" t="s">
        <v>27</v>
      </c>
      <c r="F1208" s="2">
        <v>12693</v>
      </c>
      <c r="G1208" s="2">
        <f>Monthly_Growth!$C$12</f>
        <v>928613</v>
      </c>
      <c r="H1208" s="5">
        <f>Monthly_Growth!$D$12</f>
        <v>9.6203948214945517E-2</v>
      </c>
      <c r="I1208" s="15">
        <f>Yearly_Growth!$C$2</f>
        <v>5.0333827436586778E-2</v>
      </c>
      <c r="J1208" s="15">
        <f>Yearly_Growth!$D$2</f>
        <v>0.03</v>
      </c>
      <c r="K1208">
        <f>Sales_Per_Representative!$C$5</f>
        <v>747962</v>
      </c>
      <c r="L1208">
        <f>Sales_Per_Rep_Yearly_Goal!$B$2</f>
        <v>665544.80000000005</v>
      </c>
      <c r="M1208">
        <f>Sales_Per_Rep_Yearly_Goal!$C$2</f>
        <v>650000</v>
      </c>
    </row>
    <row r="1209" spans="1:13" x14ac:dyDescent="0.3">
      <c r="A1209" s="3">
        <v>45253</v>
      </c>
      <c r="B1209">
        <f t="shared" si="18"/>
        <v>2023</v>
      </c>
      <c r="C1209">
        <v>11</v>
      </c>
      <c r="D1209" t="s">
        <v>28</v>
      </c>
      <c r="E1209" t="s">
        <v>29</v>
      </c>
      <c r="F1209" s="2">
        <v>8537</v>
      </c>
      <c r="G1209" s="2">
        <f>Monthly_Growth!$C$12</f>
        <v>928613</v>
      </c>
      <c r="H1209" s="5">
        <f>Monthly_Growth!$D$12</f>
        <v>9.6203948214945517E-2</v>
      </c>
      <c r="I1209" s="15">
        <f>Yearly_Growth!$C$2</f>
        <v>5.0333827436586778E-2</v>
      </c>
      <c r="J1209" s="15">
        <f>Yearly_Growth!$D$2</f>
        <v>0.03</v>
      </c>
      <c r="K1209">
        <f>Sales_Per_Representative!$C$13</f>
        <v>621548</v>
      </c>
      <c r="L1209">
        <f>Sales_Per_Rep_Yearly_Goal!$B$2</f>
        <v>665544.80000000005</v>
      </c>
      <c r="M1209">
        <f>Sales_Per_Rep_Yearly_Goal!$C$2</f>
        <v>650000</v>
      </c>
    </row>
    <row r="1210" spans="1:13" x14ac:dyDescent="0.3">
      <c r="A1210" s="3">
        <v>45253</v>
      </c>
      <c r="B1210">
        <f t="shared" si="18"/>
        <v>2023</v>
      </c>
      <c r="C1210">
        <v>11</v>
      </c>
      <c r="D1210" t="s">
        <v>17</v>
      </c>
      <c r="E1210" t="s">
        <v>29</v>
      </c>
      <c r="F1210" s="2">
        <v>10516</v>
      </c>
      <c r="G1210" s="2">
        <f>Monthly_Growth!$C$12</f>
        <v>928613</v>
      </c>
      <c r="H1210" s="5">
        <f>Monthly_Growth!$D$12</f>
        <v>9.6203948214945517E-2</v>
      </c>
      <c r="I1210" s="15">
        <f>Yearly_Growth!$C$2</f>
        <v>5.0333827436586778E-2</v>
      </c>
      <c r="J1210" s="15">
        <f>Yearly_Growth!$D$2</f>
        <v>0.03</v>
      </c>
      <c r="K1210">
        <f>Sales_Per_Representative!$C$13</f>
        <v>621548</v>
      </c>
      <c r="L1210">
        <f>Sales_Per_Rep_Yearly_Goal!$B$2</f>
        <v>665544.80000000005</v>
      </c>
      <c r="M1210">
        <f>Sales_Per_Rep_Yearly_Goal!$C$2</f>
        <v>650000</v>
      </c>
    </row>
    <row r="1211" spans="1:13" x14ac:dyDescent="0.3">
      <c r="A1211" s="3">
        <v>45253</v>
      </c>
      <c r="B1211">
        <f t="shared" si="18"/>
        <v>2023</v>
      </c>
      <c r="C1211">
        <v>11</v>
      </c>
      <c r="D1211" t="s">
        <v>12</v>
      </c>
      <c r="E1211" t="s">
        <v>15</v>
      </c>
      <c r="F1211" s="2">
        <v>9232</v>
      </c>
      <c r="G1211" s="2">
        <f>Monthly_Growth!$C$12</f>
        <v>928613</v>
      </c>
      <c r="H1211" s="5">
        <f>Monthly_Growth!$D$12</f>
        <v>9.6203948214945517E-2</v>
      </c>
      <c r="I1211" s="15">
        <f>Yearly_Growth!$C$2</f>
        <v>5.0333827436586778E-2</v>
      </c>
      <c r="J1211" s="15">
        <f>Yearly_Growth!$D$2</f>
        <v>0.03</v>
      </c>
      <c r="K1211">
        <f>Sales_Per_Representative!$C$12</f>
        <v>656359</v>
      </c>
      <c r="L1211">
        <f>Sales_Per_Rep_Yearly_Goal!$B$2</f>
        <v>665544.80000000005</v>
      </c>
      <c r="M1211">
        <f>Sales_Per_Rep_Yearly_Goal!$C$2</f>
        <v>650000</v>
      </c>
    </row>
    <row r="1212" spans="1:13" x14ac:dyDescent="0.3">
      <c r="A1212" s="3">
        <v>45253</v>
      </c>
      <c r="B1212">
        <f t="shared" si="18"/>
        <v>2023</v>
      </c>
      <c r="C1212">
        <v>11</v>
      </c>
      <c r="D1212" t="s">
        <v>12</v>
      </c>
      <c r="E1212" t="s">
        <v>30</v>
      </c>
      <c r="F1212" s="2">
        <v>10390</v>
      </c>
      <c r="G1212" s="2">
        <f>Monthly_Growth!$C$12</f>
        <v>928613</v>
      </c>
      <c r="H1212" s="5">
        <f>Monthly_Growth!$D$12</f>
        <v>9.6203948214945517E-2</v>
      </c>
      <c r="I1212" s="15">
        <f>Yearly_Growth!$C$2</f>
        <v>5.0333827436586778E-2</v>
      </c>
      <c r="J1212" s="15">
        <f>Yearly_Growth!$D$2</f>
        <v>0.03</v>
      </c>
      <c r="K1212">
        <f>Sales_Per_Representative!$C$7</f>
        <v>706974</v>
      </c>
      <c r="L1212">
        <f>Sales_Per_Rep_Yearly_Goal!$B$2</f>
        <v>665544.80000000005</v>
      </c>
      <c r="M1212">
        <f>Sales_Per_Rep_Yearly_Goal!$C$2</f>
        <v>650000</v>
      </c>
    </row>
    <row r="1213" spans="1:13" x14ac:dyDescent="0.3">
      <c r="A1213" s="3">
        <v>45254</v>
      </c>
      <c r="B1213">
        <f t="shared" si="18"/>
        <v>2023</v>
      </c>
      <c r="C1213">
        <v>11</v>
      </c>
      <c r="D1213" t="s">
        <v>23</v>
      </c>
      <c r="E1213" t="s">
        <v>24</v>
      </c>
      <c r="F1213" s="2">
        <v>11210</v>
      </c>
      <c r="G1213" s="2">
        <f>Monthly_Growth!$C$12</f>
        <v>928613</v>
      </c>
      <c r="H1213" s="5">
        <f>Monthly_Growth!$D$12</f>
        <v>9.6203948214945517E-2</v>
      </c>
      <c r="I1213" s="15">
        <f>Yearly_Growth!$C$2</f>
        <v>5.0333827436586778E-2</v>
      </c>
      <c r="J1213" s="15">
        <f>Yearly_Growth!$D$2</f>
        <v>0.03</v>
      </c>
      <c r="K1213">
        <f>Sales_Per_Representative!$C$2</f>
        <v>631195</v>
      </c>
      <c r="L1213">
        <f>Sales_Per_Rep_Yearly_Goal!$B$2</f>
        <v>665544.80000000005</v>
      </c>
      <c r="M1213">
        <f>Sales_Per_Rep_Yearly_Goal!$C$2</f>
        <v>650000</v>
      </c>
    </row>
    <row r="1214" spans="1:13" x14ac:dyDescent="0.3">
      <c r="A1214" s="3">
        <v>45254</v>
      </c>
      <c r="B1214">
        <f t="shared" si="18"/>
        <v>2023</v>
      </c>
      <c r="C1214">
        <v>11</v>
      </c>
      <c r="D1214" t="s">
        <v>17</v>
      </c>
      <c r="E1214" t="s">
        <v>24</v>
      </c>
      <c r="F1214" s="2">
        <v>3197</v>
      </c>
      <c r="G1214" s="2">
        <f>Monthly_Growth!$C$12</f>
        <v>928613</v>
      </c>
      <c r="H1214" s="5">
        <f>Monthly_Growth!$D$12</f>
        <v>9.6203948214945517E-2</v>
      </c>
      <c r="I1214" s="15">
        <f>Yearly_Growth!$C$2</f>
        <v>5.0333827436586778E-2</v>
      </c>
      <c r="J1214" s="15">
        <f>Yearly_Growth!$D$2</f>
        <v>0.03</v>
      </c>
      <c r="K1214">
        <f>Sales_Per_Representative!$C$2</f>
        <v>631195</v>
      </c>
      <c r="L1214">
        <f>Sales_Per_Rep_Yearly_Goal!$B$2</f>
        <v>665544.80000000005</v>
      </c>
      <c r="M1214">
        <f>Sales_Per_Rep_Yearly_Goal!$C$2</f>
        <v>650000</v>
      </c>
    </row>
    <row r="1215" spans="1:13" x14ac:dyDescent="0.3">
      <c r="A1215" s="3">
        <v>45254</v>
      </c>
      <c r="B1215">
        <f t="shared" si="18"/>
        <v>2023</v>
      </c>
      <c r="C1215">
        <v>11</v>
      </c>
      <c r="D1215" t="s">
        <v>12</v>
      </c>
      <c r="E1215" t="s">
        <v>27</v>
      </c>
      <c r="F1215" s="2">
        <v>8893</v>
      </c>
      <c r="G1215" s="2">
        <f>Monthly_Growth!$C$12</f>
        <v>928613</v>
      </c>
      <c r="H1215" s="5">
        <f>Monthly_Growth!$D$12</f>
        <v>9.6203948214945517E-2</v>
      </c>
      <c r="I1215" s="15">
        <f>Yearly_Growth!$C$2</f>
        <v>5.0333827436586778E-2</v>
      </c>
      <c r="J1215" s="15">
        <f>Yearly_Growth!$D$2</f>
        <v>0.03</v>
      </c>
      <c r="K1215">
        <f>Sales_Per_Representative!$C$5</f>
        <v>747962</v>
      </c>
      <c r="L1215">
        <f>Sales_Per_Rep_Yearly_Goal!$B$2</f>
        <v>665544.80000000005</v>
      </c>
      <c r="M1215">
        <f>Sales_Per_Rep_Yearly_Goal!$C$2</f>
        <v>650000</v>
      </c>
    </row>
    <row r="1216" spans="1:13" x14ac:dyDescent="0.3">
      <c r="A1216" s="3">
        <v>45254</v>
      </c>
      <c r="B1216">
        <f t="shared" si="18"/>
        <v>2023</v>
      </c>
      <c r="C1216">
        <v>11</v>
      </c>
      <c r="D1216" t="s">
        <v>12</v>
      </c>
      <c r="E1216" t="s">
        <v>5</v>
      </c>
      <c r="F1216" s="2">
        <v>10909</v>
      </c>
      <c r="G1216" s="2">
        <f>Monthly_Growth!$C$12</f>
        <v>928613</v>
      </c>
      <c r="H1216" s="5">
        <f>Monthly_Growth!$D$12</f>
        <v>9.6203948214945517E-2</v>
      </c>
      <c r="I1216" s="15">
        <f>Yearly_Growth!$C$2</f>
        <v>5.0333827436586778E-2</v>
      </c>
      <c r="J1216" s="15">
        <f>Yearly_Growth!$D$2</f>
        <v>0.03</v>
      </c>
      <c r="K1216">
        <f>Sales_Per_Representative!$C$10</f>
        <v>663333</v>
      </c>
      <c r="L1216">
        <f>Sales_Per_Rep_Yearly_Goal!$B$2</f>
        <v>665544.80000000005</v>
      </c>
      <c r="M1216">
        <f>Sales_Per_Rep_Yearly_Goal!$C$2</f>
        <v>650000</v>
      </c>
    </row>
    <row r="1217" spans="1:13" x14ac:dyDescent="0.3">
      <c r="A1217" s="3">
        <v>45255</v>
      </c>
      <c r="B1217">
        <f t="shared" si="18"/>
        <v>2023</v>
      </c>
      <c r="C1217">
        <v>11</v>
      </c>
      <c r="D1217" t="s">
        <v>14</v>
      </c>
      <c r="E1217" t="s">
        <v>5</v>
      </c>
      <c r="F1217" s="2">
        <v>6656</v>
      </c>
      <c r="G1217" s="2">
        <f>Monthly_Growth!$C$12</f>
        <v>928613</v>
      </c>
      <c r="H1217" s="5">
        <f>Monthly_Growth!$D$12</f>
        <v>9.6203948214945517E-2</v>
      </c>
      <c r="I1217" s="15">
        <f>Yearly_Growth!$C$2</f>
        <v>5.0333827436586778E-2</v>
      </c>
      <c r="J1217" s="15">
        <f>Yearly_Growth!$D$2</f>
        <v>0.03</v>
      </c>
      <c r="K1217">
        <f>Sales_Per_Representative!$C$10</f>
        <v>663333</v>
      </c>
      <c r="L1217">
        <f>Sales_Per_Rep_Yearly_Goal!$B$2</f>
        <v>665544.80000000005</v>
      </c>
      <c r="M1217">
        <f>Sales_Per_Rep_Yearly_Goal!$C$2</f>
        <v>650000</v>
      </c>
    </row>
    <row r="1218" spans="1:13" x14ac:dyDescent="0.3">
      <c r="A1218" s="3">
        <v>45255</v>
      </c>
      <c r="B1218">
        <f t="shared" si="18"/>
        <v>2023</v>
      </c>
      <c r="C1218">
        <v>11</v>
      </c>
      <c r="D1218" t="s">
        <v>23</v>
      </c>
      <c r="E1218" t="s">
        <v>20</v>
      </c>
      <c r="F1218" s="2">
        <v>11098</v>
      </c>
      <c r="G1218" s="2">
        <f>Monthly_Growth!$C$12</f>
        <v>928613</v>
      </c>
      <c r="H1218" s="5">
        <f>Monthly_Growth!$D$12</f>
        <v>9.6203948214945517E-2</v>
      </c>
      <c r="I1218" s="15">
        <f>Yearly_Growth!$C$2</f>
        <v>5.0333827436586778E-2</v>
      </c>
      <c r="J1218" s="15">
        <f>Yearly_Growth!$D$2</f>
        <v>0.03</v>
      </c>
      <c r="K1218">
        <f>Sales_Per_Representative!$C$14</f>
        <v>675530</v>
      </c>
      <c r="L1218">
        <f>Sales_Per_Rep_Yearly_Goal!$B$2</f>
        <v>665544.80000000005</v>
      </c>
      <c r="M1218">
        <f>Sales_Per_Rep_Yearly_Goal!$C$2</f>
        <v>650000</v>
      </c>
    </row>
    <row r="1219" spans="1:13" x14ac:dyDescent="0.3">
      <c r="A1219" s="3">
        <v>45255</v>
      </c>
      <c r="B1219">
        <f t="shared" ref="B1219:B1282" si="19">YEAR(A1219)</f>
        <v>2023</v>
      </c>
      <c r="C1219">
        <v>11</v>
      </c>
      <c r="D1219" t="s">
        <v>23</v>
      </c>
      <c r="E1219" t="s">
        <v>15</v>
      </c>
      <c r="F1219" s="2">
        <v>13078</v>
      </c>
      <c r="G1219" s="2">
        <f>Monthly_Growth!$C$12</f>
        <v>928613</v>
      </c>
      <c r="H1219" s="5">
        <f>Monthly_Growth!$D$12</f>
        <v>9.6203948214945517E-2</v>
      </c>
      <c r="I1219" s="15">
        <f>Yearly_Growth!$C$2</f>
        <v>5.0333827436586778E-2</v>
      </c>
      <c r="J1219" s="15">
        <f>Yearly_Growth!$D$2</f>
        <v>0.03</v>
      </c>
      <c r="K1219">
        <f>Sales_Per_Representative!$C$12</f>
        <v>656359</v>
      </c>
      <c r="L1219">
        <f>Sales_Per_Rep_Yearly_Goal!$B$2</f>
        <v>665544.80000000005</v>
      </c>
      <c r="M1219">
        <f>Sales_Per_Rep_Yearly_Goal!$C$2</f>
        <v>650000</v>
      </c>
    </row>
    <row r="1220" spans="1:13" x14ac:dyDescent="0.3">
      <c r="A1220" s="3">
        <v>45255</v>
      </c>
      <c r="B1220">
        <f t="shared" si="19"/>
        <v>2023</v>
      </c>
      <c r="C1220">
        <v>11</v>
      </c>
      <c r="D1220" t="s">
        <v>28</v>
      </c>
      <c r="E1220" t="s">
        <v>24</v>
      </c>
      <c r="F1220" s="2">
        <v>13259</v>
      </c>
      <c r="G1220" s="2">
        <f>Monthly_Growth!$C$12</f>
        <v>928613</v>
      </c>
      <c r="H1220" s="5">
        <f>Monthly_Growth!$D$12</f>
        <v>9.6203948214945517E-2</v>
      </c>
      <c r="I1220" s="15">
        <f>Yearly_Growth!$C$2</f>
        <v>5.0333827436586778E-2</v>
      </c>
      <c r="J1220" s="15">
        <f>Yearly_Growth!$D$2</f>
        <v>0.03</v>
      </c>
      <c r="K1220">
        <f>Sales_Per_Representative!$C$2</f>
        <v>631195</v>
      </c>
      <c r="L1220">
        <f>Sales_Per_Rep_Yearly_Goal!$B$2</f>
        <v>665544.80000000005</v>
      </c>
      <c r="M1220">
        <f>Sales_Per_Rep_Yearly_Goal!$C$2</f>
        <v>650000</v>
      </c>
    </row>
    <row r="1221" spans="1:13" x14ac:dyDescent="0.3">
      <c r="A1221" s="3">
        <v>45255</v>
      </c>
      <c r="B1221">
        <f t="shared" si="19"/>
        <v>2023</v>
      </c>
      <c r="C1221">
        <v>11</v>
      </c>
      <c r="D1221" t="s">
        <v>17</v>
      </c>
      <c r="E1221" t="s">
        <v>26</v>
      </c>
      <c r="F1221" s="2">
        <v>9952</v>
      </c>
      <c r="G1221" s="2">
        <f>Monthly_Growth!$C$12</f>
        <v>928613</v>
      </c>
      <c r="H1221" s="5">
        <f>Monthly_Growth!$D$12</f>
        <v>9.6203948214945517E-2</v>
      </c>
      <c r="I1221" s="15">
        <f>Yearly_Growth!$C$2</f>
        <v>5.0333827436586778E-2</v>
      </c>
      <c r="J1221" s="15">
        <f>Yearly_Growth!$D$2</f>
        <v>0.03</v>
      </c>
      <c r="K1221">
        <f>Sales_Per_Representative!$C$16</f>
        <v>666159</v>
      </c>
      <c r="L1221">
        <f>Sales_Per_Rep_Yearly_Goal!$B$2</f>
        <v>665544.80000000005</v>
      </c>
      <c r="M1221">
        <f>Sales_Per_Rep_Yearly_Goal!$C$2</f>
        <v>650000</v>
      </c>
    </row>
    <row r="1222" spans="1:13" x14ac:dyDescent="0.3">
      <c r="A1222" s="3">
        <v>45256</v>
      </c>
      <c r="B1222">
        <f t="shared" si="19"/>
        <v>2023</v>
      </c>
      <c r="C1222">
        <v>11</v>
      </c>
      <c r="D1222" t="s">
        <v>23</v>
      </c>
      <c r="E1222" t="s">
        <v>10</v>
      </c>
      <c r="F1222" s="2">
        <v>5445</v>
      </c>
      <c r="G1222" s="2">
        <f>Monthly_Growth!$C$12</f>
        <v>928613</v>
      </c>
      <c r="H1222" s="5">
        <f>Monthly_Growth!$D$12</f>
        <v>9.6203948214945517E-2</v>
      </c>
      <c r="I1222" s="15">
        <f>Yearly_Growth!$C$2</f>
        <v>5.0333827436586778E-2</v>
      </c>
      <c r="J1222" s="15">
        <f>Yearly_Growth!$D$2</f>
        <v>0.03</v>
      </c>
      <c r="K1222">
        <f>Sales_Per_Representative!$C$4</f>
        <v>725713</v>
      </c>
      <c r="L1222">
        <f>Sales_Per_Rep_Yearly_Goal!$B$2</f>
        <v>665544.80000000005</v>
      </c>
      <c r="M1222">
        <f>Sales_Per_Rep_Yearly_Goal!$C$2</f>
        <v>650000</v>
      </c>
    </row>
    <row r="1223" spans="1:13" x14ac:dyDescent="0.3">
      <c r="A1223" s="3">
        <v>45256</v>
      </c>
      <c r="B1223">
        <f t="shared" si="19"/>
        <v>2023</v>
      </c>
      <c r="C1223">
        <v>11</v>
      </c>
      <c r="D1223" t="s">
        <v>23</v>
      </c>
      <c r="E1223" t="s">
        <v>20</v>
      </c>
      <c r="F1223" s="2">
        <v>5321</v>
      </c>
      <c r="G1223" s="2">
        <f>Monthly_Growth!$C$12</f>
        <v>928613</v>
      </c>
      <c r="H1223" s="5">
        <f>Monthly_Growth!$D$12</f>
        <v>9.6203948214945517E-2</v>
      </c>
      <c r="I1223" s="15">
        <f>Yearly_Growth!$C$2</f>
        <v>5.0333827436586778E-2</v>
      </c>
      <c r="J1223" s="15">
        <f>Yearly_Growth!$D$2</f>
        <v>0.03</v>
      </c>
      <c r="K1223">
        <f>Sales_Per_Representative!$C$14</f>
        <v>675530</v>
      </c>
      <c r="L1223">
        <f>Sales_Per_Rep_Yearly_Goal!$B$2</f>
        <v>665544.80000000005</v>
      </c>
      <c r="M1223">
        <f>Sales_Per_Rep_Yearly_Goal!$C$2</f>
        <v>650000</v>
      </c>
    </row>
    <row r="1224" spans="1:13" x14ac:dyDescent="0.3">
      <c r="A1224" s="3">
        <v>45256</v>
      </c>
      <c r="B1224">
        <f t="shared" si="19"/>
        <v>2023</v>
      </c>
      <c r="C1224">
        <v>11</v>
      </c>
      <c r="D1224" t="s">
        <v>28</v>
      </c>
      <c r="E1224" t="s">
        <v>31</v>
      </c>
      <c r="F1224" s="2">
        <v>13630</v>
      </c>
      <c r="G1224" s="2">
        <f>Monthly_Growth!$C$12</f>
        <v>928613</v>
      </c>
      <c r="H1224" s="5">
        <f>Monthly_Growth!$D$12</f>
        <v>9.6203948214945517E-2</v>
      </c>
      <c r="I1224" s="15">
        <f>Yearly_Growth!$C$2</f>
        <v>5.0333827436586778E-2</v>
      </c>
      <c r="J1224" s="15">
        <f>Yearly_Growth!$D$2</f>
        <v>0.03</v>
      </c>
      <c r="K1224">
        <f>Sales_Per_Representative!$C$6</f>
        <v>727823</v>
      </c>
      <c r="L1224">
        <f>Sales_Per_Rep_Yearly_Goal!$B$2</f>
        <v>665544.80000000005</v>
      </c>
      <c r="M1224">
        <f>Sales_Per_Rep_Yearly_Goal!$C$2</f>
        <v>650000</v>
      </c>
    </row>
    <row r="1225" spans="1:13" x14ac:dyDescent="0.3">
      <c r="A1225" s="3">
        <v>45257</v>
      </c>
      <c r="B1225">
        <f t="shared" si="19"/>
        <v>2023</v>
      </c>
      <c r="C1225">
        <v>11</v>
      </c>
      <c r="D1225" t="s">
        <v>14</v>
      </c>
      <c r="E1225" t="s">
        <v>8</v>
      </c>
      <c r="F1225" s="2">
        <v>5265</v>
      </c>
      <c r="G1225" s="2">
        <f>Monthly_Growth!$C$12</f>
        <v>928613</v>
      </c>
      <c r="H1225" s="5">
        <f>Monthly_Growth!$D$12</f>
        <v>9.6203948214945517E-2</v>
      </c>
      <c r="I1225" s="15">
        <f>Yearly_Growth!$C$2</f>
        <v>5.0333827436586778E-2</v>
      </c>
      <c r="J1225" s="15">
        <f>Yearly_Growth!$D$2</f>
        <v>0.03</v>
      </c>
      <c r="K1225">
        <f>Sales_Per_Representative!$C$15</f>
        <v>701242</v>
      </c>
      <c r="L1225">
        <f>Sales_Per_Rep_Yearly_Goal!$B$2</f>
        <v>665544.80000000005</v>
      </c>
      <c r="M1225">
        <f>Sales_Per_Rep_Yearly_Goal!$C$2</f>
        <v>650000</v>
      </c>
    </row>
    <row r="1226" spans="1:13" x14ac:dyDescent="0.3">
      <c r="A1226" s="3">
        <v>45257</v>
      </c>
      <c r="B1226">
        <f t="shared" si="19"/>
        <v>2023</v>
      </c>
      <c r="C1226">
        <v>11</v>
      </c>
      <c r="D1226" t="s">
        <v>23</v>
      </c>
      <c r="E1226" t="s">
        <v>26</v>
      </c>
      <c r="F1226" s="2">
        <v>8773</v>
      </c>
      <c r="G1226" s="2">
        <f>Monthly_Growth!$C$12</f>
        <v>928613</v>
      </c>
      <c r="H1226" s="5">
        <f>Monthly_Growth!$D$12</f>
        <v>9.6203948214945517E-2</v>
      </c>
      <c r="I1226" s="15">
        <f>Yearly_Growth!$C$2</f>
        <v>5.0333827436586778E-2</v>
      </c>
      <c r="J1226" s="15">
        <f>Yearly_Growth!$D$2</f>
        <v>0.03</v>
      </c>
      <c r="K1226">
        <f>Sales_Per_Representative!$C$16</f>
        <v>666159</v>
      </c>
      <c r="L1226">
        <f>Sales_Per_Rep_Yearly_Goal!$B$2</f>
        <v>665544.80000000005</v>
      </c>
      <c r="M1226">
        <f>Sales_Per_Rep_Yearly_Goal!$C$2</f>
        <v>650000</v>
      </c>
    </row>
    <row r="1227" spans="1:13" x14ac:dyDescent="0.3">
      <c r="A1227" s="3">
        <v>45257</v>
      </c>
      <c r="B1227">
        <f t="shared" si="19"/>
        <v>2023</v>
      </c>
      <c r="C1227">
        <v>11</v>
      </c>
      <c r="D1227" t="s">
        <v>23</v>
      </c>
      <c r="E1227" t="s">
        <v>10</v>
      </c>
      <c r="F1227" s="2">
        <v>9724</v>
      </c>
      <c r="G1227" s="2">
        <f>Monthly_Growth!$C$12</f>
        <v>928613</v>
      </c>
      <c r="H1227" s="5">
        <f>Monthly_Growth!$D$12</f>
        <v>9.6203948214945517E-2</v>
      </c>
      <c r="I1227" s="15">
        <f>Yearly_Growth!$C$2</f>
        <v>5.0333827436586778E-2</v>
      </c>
      <c r="J1227" s="15">
        <f>Yearly_Growth!$D$2</f>
        <v>0.03</v>
      </c>
      <c r="K1227">
        <f>Sales_Per_Representative!$C$4</f>
        <v>725713</v>
      </c>
      <c r="L1227">
        <f>Sales_Per_Rep_Yearly_Goal!$B$2</f>
        <v>665544.80000000005</v>
      </c>
      <c r="M1227">
        <f>Sales_Per_Rep_Yearly_Goal!$C$2</f>
        <v>650000</v>
      </c>
    </row>
    <row r="1228" spans="1:13" x14ac:dyDescent="0.3">
      <c r="A1228" s="3">
        <v>45257</v>
      </c>
      <c r="B1228">
        <f t="shared" si="19"/>
        <v>2023</v>
      </c>
      <c r="C1228">
        <v>11</v>
      </c>
      <c r="D1228" t="s">
        <v>17</v>
      </c>
      <c r="E1228" t="s">
        <v>20</v>
      </c>
      <c r="F1228" s="2">
        <v>12587</v>
      </c>
      <c r="G1228" s="2">
        <f>Monthly_Growth!$C$12</f>
        <v>928613</v>
      </c>
      <c r="H1228" s="5">
        <f>Monthly_Growth!$D$12</f>
        <v>9.6203948214945517E-2</v>
      </c>
      <c r="I1228" s="15">
        <f>Yearly_Growth!$C$2</f>
        <v>5.0333827436586778E-2</v>
      </c>
      <c r="J1228" s="15">
        <f>Yearly_Growth!$D$2</f>
        <v>0.03</v>
      </c>
      <c r="K1228">
        <f>Sales_Per_Representative!$C$14</f>
        <v>675530</v>
      </c>
      <c r="L1228">
        <f>Sales_Per_Rep_Yearly_Goal!$B$2</f>
        <v>665544.80000000005</v>
      </c>
      <c r="M1228">
        <f>Sales_Per_Rep_Yearly_Goal!$C$2</f>
        <v>650000</v>
      </c>
    </row>
    <row r="1229" spans="1:13" x14ac:dyDescent="0.3">
      <c r="A1229" s="3">
        <v>45257</v>
      </c>
      <c r="B1229">
        <f t="shared" si="19"/>
        <v>2023</v>
      </c>
      <c r="C1229">
        <v>11</v>
      </c>
      <c r="D1229" t="s">
        <v>17</v>
      </c>
      <c r="E1229" t="s">
        <v>8</v>
      </c>
      <c r="F1229" s="2">
        <v>9023</v>
      </c>
      <c r="G1229" s="2">
        <f>Monthly_Growth!$C$12</f>
        <v>928613</v>
      </c>
      <c r="H1229" s="5">
        <f>Monthly_Growth!$D$12</f>
        <v>9.6203948214945517E-2</v>
      </c>
      <c r="I1229" s="15">
        <f>Yearly_Growth!$C$2</f>
        <v>5.0333827436586778E-2</v>
      </c>
      <c r="J1229" s="15">
        <f>Yearly_Growth!$D$2</f>
        <v>0.03</v>
      </c>
      <c r="K1229">
        <f>Sales_Per_Representative!$C$15</f>
        <v>701242</v>
      </c>
      <c r="L1229">
        <f>Sales_Per_Rep_Yearly_Goal!$B$2</f>
        <v>665544.80000000005</v>
      </c>
      <c r="M1229">
        <f>Sales_Per_Rep_Yearly_Goal!$C$2</f>
        <v>650000</v>
      </c>
    </row>
    <row r="1230" spans="1:13" x14ac:dyDescent="0.3">
      <c r="A1230" s="3">
        <v>45257</v>
      </c>
      <c r="B1230">
        <f t="shared" si="19"/>
        <v>2023</v>
      </c>
      <c r="C1230">
        <v>11</v>
      </c>
      <c r="D1230" t="s">
        <v>17</v>
      </c>
      <c r="E1230" t="s">
        <v>32</v>
      </c>
      <c r="F1230" s="2">
        <v>8453</v>
      </c>
      <c r="G1230" s="2">
        <f>Monthly_Growth!$C$12</f>
        <v>928613</v>
      </c>
      <c r="H1230" s="5">
        <f>Monthly_Growth!$D$12</f>
        <v>9.6203948214945517E-2</v>
      </c>
      <c r="I1230" s="15">
        <f>Yearly_Growth!$C$2</f>
        <v>5.0333827436586778E-2</v>
      </c>
      <c r="J1230" s="15">
        <f>Yearly_Growth!$D$2</f>
        <v>0.03</v>
      </c>
      <c r="K1230">
        <f>Sales_Per_Representative!$C$3</f>
        <v>762157</v>
      </c>
      <c r="L1230">
        <f>Sales_Per_Rep_Yearly_Goal!$B$2</f>
        <v>665544.80000000005</v>
      </c>
      <c r="M1230">
        <f>Sales_Per_Rep_Yearly_Goal!$C$2</f>
        <v>650000</v>
      </c>
    </row>
    <row r="1231" spans="1:13" x14ac:dyDescent="0.3">
      <c r="A1231" s="3">
        <v>45257</v>
      </c>
      <c r="B1231">
        <f t="shared" si="19"/>
        <v>2023</v>
      </c>
      <c r="C1231">
        <v>11</v>
      </c>
      <c r="D1231" t="s">
        <v>12</v>
      </c>
      <c r="E1231" t="s">
        <v>31</v>
      </c>
      <c r="F1231" s="2">
        <v>4813</v>
      </c>
      <c r="G1231" s="2">
        <f>Monthly_Growth!$C$12</f>
        <v>928613</v>
      </c>
      <c r="H1231" s="5">
        <f>Monthly_Growth!$D$12</f>
        <v>9.6203948214945517E-2</v>
      </c>
      <c r="I1231" s="15">
        <f>Yearly_Growth!$C$2</f>
        <v>5.0333827436586778E-2</v>
      </c>
      <c r="J1231" s="15">
        <f>Yearly_Growth!$D$2</f>
        <v>0.03</v>
      </c>
      <c r="K1231">
        <f>Sales_Per_Representative!$C$6</f>
        <v>727823</v>
      </c>
      <c r="L1231">
        <f>Sales_Per_Rep_Yearly_Goal!$B$2</f>
        <v>665544.80000000005</v>
      </c>
      <c r="M1231">
        <f>Sales_Per_Rep_Yearly_Goal!$C$2</f>
        <v>650000</v>
      </c>
    </row>
    <row r="1232" spans="1:13" x14ac:dyDescent="0.3">
      <c r="A1232" s="3">
        <v>45258</v>
      </c>
      <c r="B1232">
        <f t="shared" si="19"/>
        <v>2023</v>
      </c>
      <c r="C1232">
        <v>11</v>
      </c>
      <c r="D1232" t="s">
        <v>19</v>
      </c>
      <c r="E1232" t="s">
        <v>10</v>
      </c>
      <c r="F1232" s="2">
        <v>13958</v>
      </c>
      <c r="G1232" s="2">
        <f>Monthly_Growth!$C$12</f>
        <v>928613</v>
      </c>
      <c r="H1232" s="5">
        <f>Monthly_Growth!$D$12</f>
        <v>9.6203948214945517E-2</v>
      </c>
      <c r="I1232" s="15">
        <f>Yearly_Growth!$C$2</f>
        <v>5.0333827436586778E-2</v>
      </c>
      <c r="J1232" s="15">
        <f>Yearly_Growth!$D$2</f>
        <v>0.03</v>
      </c>
      <c r="K1232">
        <f>Sales_Per_Representative!$C$4</f>
        <v>725713</v>
      </c>
      <c r="L1232">
        <f>Sales_Per_Rep_Yearly_Goal!$B$2</f>
        <v>665544.80000000005</v>
      </c>
      <c r="M1232">
        <f>Sales_Per_Rep_Yearly_Goal!$C$2</f>
        <v>650000</v>
      </c>
    </row>
    <row r="1233" spans="1:13" x14ac:dyDescent="0.3">
      <c r="A1233" s="3">
        <v>45258</v>
      </c>
      <c r="B1233">
        <f t="shared" si="19"/>
        <v>2023</v>
      </c>
      <c r="C1233">
        <v>11</v>
      </c>
      <c r="D1233" t="s">
        <v>23</v>
      </c>
      <c r="E1233" t="s">
        <v>33</v>
      </c>
      <c r="F1233" s="2">
        <v>12277</v>
      </c>
      <c r="G1233" s="2">
        <f>Monthly_Growth!$C$12</f>
        <v>928613</v>
      </c>
      <c r="H1233" s="5">
        <f>Monthly_Growth!$D$12</f>
        <v>9.6203948214945517E-2</v>
      </c>
      <c r="I1233" s="15">
        <f>Yearly_Growth!$C$2</f>
        <v>5.0333827436586778E-2</v>
      </c>
      <c r="J1233" s="15">
        <f>Yearly_Growth!$D$2</f>
        <v>0.03</v>
      </c>
      <c r="K1233">
        <f>Sales_Per_Representative!$C$11</f>
        <v>496886</v>
      </c>
      <c r="L1233">
        <f>Sales_Per_Rep_Yearly_Goal!$B$2</f>
        <v>665544.80000000005</v>
      </c>
      <c r="M1233">
        <f>Sales_Per_Rep_Yearly_Goal!$C$2</f>
        <v>650000</v>
      </c>
    </row>
    <row r="1234" spans="1:13" x14ac:dyDescent="0.3">
      <c r="A1234" s="3">
        <v>45259</v>
      </c>
      <c r="B1234">
        <f t="shared" si="19"/>
        <v>2023</v>
      </c>
      <c r="C1234">
        <v>11</v>
      </c>
      <c r="D1234" t="s">
        <v>19</v>
      </c>
      <c r="E1234" t="s">
        <v>10</v>
      </c>
      <c r="F1234" s="2">
        <v>6101</v>
      </c>
      <c r="G1234" s="2">
        <f>Monthly_Growth!$C$12</f>
        <v>928613</v>
      </c>
      <c r="H1234" s="5">
        <f>Monthly_Growth!$D$12</f>
        <v>9.6203948214945517E-2</v>
      </c>
      <c r="I1234" s="15">
        <f>Yearly_Growth!$C$2</f>
        <v>5.0333827436586778E-2</v>
      </c>
      <c r="J1234" s="15">
        <f>Yearly_Growth!$D$2</f>
        <v>0.03</v>
      </c>
      <c r="K1234">
        <f>Sales_Per_Representative!$C$4</f>
        <v>725713</v>
      </c>
      <c r="L1234">
        <f>Sales_Per_Rep_Yearly_Goal!$B$2</f>
        <v>665544.80000000005</v>
      </c>
      <c r="M1234">
        <f>Sales_Per_Rep_Yearly_Goal!$C$2</f>
        <v>650000</v>
      </c>
    </row>
    <row r="1235" spans="1:13" x14ac:dyDescent="0.3">
      <c r="A1235" s="3">
        <v>45259</v>
      </c>
      <c r="B1235">
        <f t="shared" si="19"/>
        <v>2023</v>
      </c>
      <c r="C1235">
        <v>11</v>
      </c>
      <c r="D1235" t="s">
        <v>12</v>
      </c>
      <c r="E1235" t="s">
        <v>31</v>
      </c>
      <c r="F1235" s="2">
        <v>1111</v>
      </c>
      <c r="G1235" s="2">
        <f>Monthly_Growth!$C$12</f>
        <v>928613</v>
      </c>
      <c r="H1235" s="5">
        <f>Monthly_Growth!$D$12</f>
        <v>9.6203948214945517E-2</v>
      </c>
      <c r="I1235" s="15">
        <f>Yearly_Growth!$C$2</f>
        <v>5.0333827436586778E-2</v>
      </c>
      <c r="J1235" s="15">
        <f>Yearly_Growth!$D$2</f>
        <v>0.03</v>
      </c>
      <c r="K1235">
        <f>Sales_Per_Representative!$C$6</f>
        <v>727823</v>
      </c>
      <c r="L1235">
        <f>Sales_Per_Rep_Yearly_Goal!$B$2</f>
        <v>665544.80000000005</v>
      </c>
      <c r="M1235">
        <f>Sales_Per_Rep_Yearly_Goal!$C$2</f>
        <v>650000</v>
      </c>
    </row>
    <row r="1236" spans="1:13" x14ac:dyDescent="0.3">
      <c r="A1236" s="3">
        <v>45260</v>
      </c>
      <c r="B1236">
        <f t="shared" si="19"/>
        <v>2023</v>
      </c>
      <c r="C1236">
        <v>11</v>
      </c>
      <c r="D1236" t="s">
        <v>14</v>
      </c>
      <c r="E1236" t="s">
        <v>5</v>
      </c>
      <c r="F1236" s="2">
        <v>13451</v>
      </c>
      <c r="G1236" s="2">
        <f>Monthly_Growth!$C$12</f>
        <v>928613</v>
      </c>
      <c r="H1236" s="5">
        <f>Monthly_Growth!$D$12</f>
        <v>9.6203948214945517E-2</v>
      </c>
      <c r="I1236" s="15">
        <f>Yearly_Growth!$C$2</f>
        <v>5.0333827436586778E-2</v>
      </c>
      <c r="J1236" s="15">
        <f>Yearly_Growth!$D$2</f>
        <v>0.03</v>
      </c>
      <c r="K1236">
        <f>Sales_Per_Representative!$C$10</f>
        <v>663333</v>
      </c>
      <c r="L1236">
        <f>Sales_Per_Rep_Yearly_Goal!$B$2</f>
        <v>665544.80000000005</v>
      </c>
      <c r="M1236">
        <f>Sales_Per_Rep_Yearly_Goal!$C$2</f>
        <v>650000</v>
      </c>
    </row>
    <row r="1237" spans="1:13" x14ac:dyDescent="0.3">
      <c r="A1237" s="3">
        <v>45260</v>
      </c>
      <c r="B1237">
        <f t="shared" si="19"/>
        <v>2023</v>
      </c>
      <c r="C1237">
        <v>11</v>
      </c>
      <c r="D1237" t="s">
        <v>14</v>
      </c>
      <c r="E1237" t="s">
        <v>30</v>
      </c>
      <c r="F1237" s="2">
        <v>8480</v>
      </c>
      <c r="G1237" s="2">
        <f>Monthly_Growth!$C$12</f>
        <v>928613</v>
      </c>
      <c r="H1237" s="5">
        <f>Monthly_Growth!$D$12</f>
        <v>9.6203948214945517E-2</v>
      </c>
      <c r="I1237" s="15">
        <f>Yearly_Growth!$C$2</f>
        <v>5.0333827436586778E-2</v>
      </c>
      <c r="J1237" s="15">
        <f>Yearly_Growth!$D$2</f>
        <v>0.03</v>
      </c>
      <c r="K1237">
        <f>Sales_Per_Representative!$C$7</f>
        <v>706974</v>
      </c>
      <c r="L1237">
        <f>Sales_Per_Rep_Yearly_Goal!$B$2</f>
        <v>665544.80000000005</v>
      </c>
      <c r="M1237">
        <f>Sales_Per_Rep_Yearly_Goal!$C$2</f>
        <v>650000</v>
      </c>
    </row>
    <row r="1238" spans="1:13" x14ac:dyDescent="0.3">
      <c r="A1238" s="3">
        <v>45260</v>
      </c>
      <c r="B1238">
        <f t="shared" si="19"/>
        <v>2023</v>
      </c>
      <c r="C1238">
        <v>11</v>
      </c>
      <c r="D1238" t="s">
        <v>28</v>
      </c>
      <c r="E1238" t="s">
        <v>15</v>
      </c>
      <c r="F1238" s="2">
        <v>10057</v>
      </c>
      <c r="G1238" s="2">
        <f>Monthly_Growth!$C$12</f>
        <v>928613</v>
      </c>
      <c r="H1238" s="5">
        <f>Monthly_Growth!$D$12</f>
        <v>9.6203948214945517E-2</v>
      </c>
      <c r="I1238" s="15">
        <f>Yearly_Growth!$C$2</f>
        <v>5.0333827436586778E-2</v>
      </c>
      <c r="J1238" s="15">
        <f>Yearly_Growth!$D$2</f>
        <v>0.03</v>
      </c>
      <c r="K1238">
        <f>Sales_Per_Representative!$C$12</f>
        <v>656359</v>
      </c>
      <c r="L1238">
        <f>Sales_Per_Rep_Yearly_Goal!$B$2</f>
        <v>665544.80000000005</v>
      </c>
      <c r="M1238">
        <f>Sales_Per_Rep_Yearly_Goal!$C$2</f>
        <v>650000</v>
      </c>
    </row>
    <row r="1239" spans="1:13" x14ac:dyDescent="0.3">
      <c r="A1239" s="3">
        <v>45260</v>
      </c>
      <c r="B1239">
        <f t="shared" si="19"/>
        <v>2023</v>
      </c>
      <c r="C1239">
        <v>11</v>
      </c>
      <c r="D1239" t="s">
        <v>28</v>
      </c>
      <c r="E1239" t="s">
        <v>29</v>
      </c>
      <c r="F1239" s="2">
        <v>9605</v>
      </c>
      <c r="G1239" s="2">
        <f>Monthly_Growth!$C$12</f>
        <v>928613</v>
      </c>
      <c r="H1239" s="5">
        <f>Monthly_Growth!$D$12</f>
        <v>9.6203948214945517E-2</v>
      </c>
      <c r="I1239" s="15">
        <f>Yearly_Growth!$C$2</f>
        <v>5.0333827436586778E-2</v>
      </c>
      <c r="J1239" s="15">
        <f>Yearly_Growth!$D$2</f>
        <v>0.03</v>
      </c>
      <c r="K1239">
        <f>Sales_Per_Representative!$C$13</f>
        <v>621548</v>
      </c>
      <c r="L1239">
        <f>Sales_Per_Rep_Yearly_Goal!$B$2</f>
        <v>665544.80000000005</v>
      </c>
      <c r="M1239">
        <f>Sales_Per_Rep_Yearly_Goal!$C$2</f>
        <v>650000</v>
      </c>
    </row>
    <row r="1240" spans="1:13" x14ac:dyDescent="0.3">
      <c r="A1240" s="3">
        <v>45260</v>
      </c>
      <c r="B1240">
        <f t="shared" si="19"/>
        <v>2023</v>
      </c>
      <c r="C1240">
        <v>11</v>
      </c>
      <c r="D1240" t="s">
        <v>17</v>
      </c>
      <c r="E1240" t="s">
        <v>26</v>
      </c>
      <c r="F1240" s="2">
        <v>3012</v>
      </c>
      <c r="G1240" s="2">
        <f>Monthly_Growth!$C$12</f>
        <v>928613</v>
      </c>
      <c r="H1240" s="5">
        <f>Monthly_Growth!$D$12</f>
        <v>9.6203948214945517E-2</v>
      </c>
      <c r="I1240" s="15">
        <f>Yearly_Growth!$C$2</f>
        <v>5.0333827436586778E-2</v>
      </c>
      <c r="J1240" s="15">
        <f>Yearly_Growth!$D$2</f>
        <v>0.03</v>
      </c>
      <c r="K1240">
        <f>Sales_Per_Representative!$C$16</f>
        <v>666159</v>
      </c>
      <c r="L1240">
        <f>Sales_Per_Rep_Yearly_Goal!$B$2</f>
        <v>665544.80000000005</v>
      </c>
      <c r="M1240">
        <f>Sales_Per_Rep_Yearly_Goal!$C$2</f>
        <v>650000</v>
      </c>
    </row>
    <row r="1241" spans="1:13" x14ac:dyDescent="0.3">
      <c r="A1241" s="3">
        <v>45261</v>
      </c>
      <c r="B1241">
        <f t="shared" si="19"/>
        <v>2023</v>
      </c>
      <c r="C1241">
        <v>12</v>
      </c>
      <c r="D1241" t="s">
        <v>7</v>
      </c>
      <c r="E1241" t="s">
        <v>33</v>
      </c>
      <c r="F1241" s="2">
        <v>4491</v>
      </c>
      <c r="G1241" s="2">
        <f>Monthly_Growth!$C$13</f>
        <v>821865</v>
      </c>
      <c r="H1241" s="5">
        <f>Monthly_Growth!$D$13</f>
        <v>-0.11495423820256663</v>
      </c>
      <c r="I1241" s="15">
        <f>Yearly_Growth!$C$2</f>
        <v>5.0333827436586778E-2</v>
      </c>
      <c r="J1241" s="15">
        <f>Yearly_Growth!$D$2</f>
        <v>0.03</v>
      </c>
      <c r="K1241">
        <f>Sales_Per_Representative!$C$11</f>
        <v>496886</v>
      </c>
      <c r="L1241">
        <f>Sales_Per_Rep_Yearly_Goal!$B$2</f>
        <v>665544.80000000005</v>
      </c>
      <c r="M1241">
        <f>Sales_Per_Rep_Yearly_Goal!$C$2</f>
        <v>650000</v>
      </c>
    </row>
    <row r="1242" spans="1:13" x14ac:dyDescent="0.3">
      <c r="A1242" s="3">
        <v>45261</v>
      </c>
      <c r="B1242">
        <f t="shared" si="19"/>
        <v>2023</v>
      </c>
      <c r="C1242">
        <v>12</v>
      </c>
      <c r="D1242" t="s">
        <v>17</v>
      </c>
      <c r="E1242" t="s">
        <v>5</v>
      </c>
      <c r="F1242" s="2">
        <v>13852</v>
      </c>
      <c r="G1242" s="2">
        <f>Monthly_Growth!$C$13</f>
        <v>821865</v>
      </c>
      <c r="H1242" s="5">
        <f>Monthly_Growth!$D$13</f>
        <v>-0.11495423820256663</v>
      </c>
      <c r="I1242" s="15">
        <f>Yearly_Growth!$C$2</f>
        <v>5.0333827436586778E-2</v>
      </c>
      <c r="J1242" s="15">
        <f>Yearly_Growth!$D$2</f>
        <v>0.03</v>
      </c>
      <c r="K1242">
        <f>Sales_Per_Representative!$C$10</f>
        <v>663333</v>
      </c>
      <c r="L1242">
        <f>Sales_Per_Rep_Yearly_Goal!$B$2</f>
        <v>665544.80000000005</v>
      </c>
      <c r="M1242">
        <f>Sales_Per_Rep_Yearly_Goal!$C$2</f>
        <v>650000</v>
      </c>
    </row>
    <row r="1243" spans="1:13" x14ac:dyDescent="0.3">
      <c r="A1243" s="3">
        <v>45262</v>
      </c>
      <c r="B1243">
        <f t="shared" si="19"/>
        <v>2023</v>
      </c>
      <c r="C1243">
        <v>12</v>
      </c>
      <c r="D1243" t="s">
        <v>14</v>
      </c>
      <c r="E1243" t="s">
        <v>27</v>
      </c>
      <c r="F1243" s="2">
        <v>13421</v>
      </c>
      <c r="G1243" s="2">
        <f>Monthly_Growth!$C$13</f>
        <v>821865</v>
      </c>
      <c r="H1243" s="5">
        <f>Monthly_Growth!$D$13</f>
        <v>-0.11495423820256663</v>
      </c>
      <c r="I1243" s="15">
        <f>Yearly_Growth!$C$2</f>
        <v>5.0333827436586778E-2</v>
      </c>
      <c r="J1243" s="15">
        <f>Yearly_Growth!$D$2</f>
        <v>0.03</v>
      </c>
      <c r="K1243">
        <f>Sales_Per_Representative!$C$5</f>
        <v>747962</v>
      </c>
      <c r="L1243">
        <f>Sales_Per_Rep_Yearly_Goal!$B$2</f>
        <v>665544.80000000005</v>
      </c>
      <c r="M1243">
        <f>Sales_Per_Rep_Yearly_Goal!$C$2</f>
        <v>650000</v>
      </c>
    </row>
    <row r="1244" spans="1:13" x14ac:dyDescent="0.3">
      <c r="A1244" s="3">
        <v>45262</v>
      </c>
      <c r="B1244">
        <f t="shared" si="19"/>
        <v>2023</v>
      </c>
      <c r="C1244">
        <v>12</v>
      </c>
      <c r="D1244" t="s">
        <v>19</v>
      </c>
      <c r="E1244" t="s">
        <v>8</v>
      </c>
      <c r="F1244" s="2">
        <v>8912</v>
      </c>
      <c r="G1244" s="2">
        <f>Monthly_Growth!$C$13</f>
        <v>821865</v>
      </c>
      <c r="H1244" s="5">
        <f>Monthly_Growth!$D$13</f>
        <v>-0.11495423820256663</v>
      </c>
      <c r="I1244" s="15">
        <f>Yearly_Growth!$C$2</f>
        <v>5.0333827436586778E-2</v>
      </c>
      <c r="J1244" s="15">
        <f>Yearly_Growth!$D$2</f>
        <v>0.03</v>
      </c>
      <c r="K1244">
        <f>Sales_Per_Representative!$C$15</f>
        <v>701242</v>
      </c>
      <c r="L1244">
        <f>Sales_Per_Rep_Yearly_Goal!$B$2</f>
        <v>665544.80000000005</v>
      </c>
      <c r="M1244">
        <f>Sales_Per_Rep_Yearly_Goal!$C$2</f>
        <v>650000</v>
      </c>
    </row>
    <row r="1245" spans="1:13" x14ac:dyDescent="0.3">
      <c r="A1245" s="3">
        <v>45262</v>
      </c>
      <c r="B1245">
        <f t="shared" si="19"/>
        <v>2023</v>
      </c>
      <c r="C1245">
        <v>12</v>
      </c>
      <c r="D1245" t="s">
        <v>23</v>
      </c>
      <c r="E1245" t="s">
        <v>20</v>
      </c>
      <c r="F1245" s="2">
        <v>5599</v>
      </c>
      <c r="G1245" s="2">
        <f>Monthly_Growth!$C$13</f>
        <v>821865</v>
      </c>
      <c r="H1245" s="5">
        <f>Monthly_Growth!$D$13</f>
        <v>-0.11495423820256663</v>
      </c>
      <c r="I1245" s="15">
        <f>Yearly_Growth!$C$2</f>
        <v>5.0333827436586778E-2</v>
      </c>
      <c r="J1245" s="15">
        <f>Yearly_Growth!$D$2</f>
        <v>0.03</v>
      </c>
      <c r="K1245">
        <f>Sales_Per_Representative!$C$14</f>
        <v>675530</v>
      </c>
      <c r="L1245">
        <f>Sales_Per_Rep_Yearly_Goal!$B$2</f>
        <v>665544.80000000005</v>
      </c>
      <c r="M1245">
        <f>Sales_Per_Rep_Yearly_Goal!$C$2</f>
        <v>650000</v>
      </c>
    </row>
    <row r="1246" spans="1:13" x14ac:dyDescent="0.3">
      <c r="A1246" s="3">
        <v>45262</v>
      </c>
      <c r="B1246">
        <f t="shared" si="19"/>
        <v>2023</v>
      </c>
      <c r="C1246">
        <v>12</v>
      </c>
      <c r="D1246" t="s">
        <v>23</v>
      </c>
      <c r="E1246" t="s">
        <v>15</v>
      </c>
      <c r="F1246" s="2">
        <v>11089</v>
      </c>
      <c r="G1246" s="2">
        <f>Monthly_Growth!$C$13</f>
        <v>821865</v>
      </c>
      <c r="H1246" s="5">
        <f>Monthly_Growth!$D$13</f>
        <v>-0.11495423820256663</v>
      </c>
      <c r="I1246" s="15">
        <f>Yearly_Growth!$C$2</f>
        <v>5.0333827436586778E-2</v>
      </c>
      <c r="J1246" s="15">
        <f>Yearly_Growth!$D$2</f>
        <v>0.03</v>
      </c>
      <c r="K1246">
        <f>Sales_Per_Representative!$C$12</f>
        <v>656359</v>
      </c>
      <c r="L1246">
        <f>Sales_Per_Rep_Yearly_Goal!$B$2</f>
        <v>665544.80000000005</v>
      </c>
      <c r="M1246">
        <f>Sales_Per_Rep_Yearly_Goal!$C$2</f>
        <v>650000</v>
      </c>
    </row>
    <row r="1247" spans="1:13" x14ac:dyDescent="0.3">
      <c r="A1247" s="3">
        <v>45262</v>
      </c>
      <c r="B1247">
        <f t="shared" si="19"/>
        <v>2023</v>
      </c>
      <c r="C1247">
        <v>12</v>
      </c>
      <c r="D1247" t="s">
        <v>23</v>
      </c>
      <c r="E1247" t="s">
        <v>29</v>
      </c>
      <c r="F1247" s="2">
        <v>7132</v>
      </c>
      <c r="G1247" s="2">
        <f>Monthly_Growth!$C$13</f>
        <v>821865</v>
      </c>
      <c r="H1247" s="5">
        <f>Monthly_Growth!$D$13</f>
        <v>-0.11495423820256663</v>
      </c>
      <c r="I1247" s="15">
        <f>Yearly_Growth!$C$2</f>
        <v>5.0333827436586778E-2</v>
      </c>
      <c r="J1247" s="15">
        <f>Yearly_Growth!$D$2</f>
        <v>0.03</v>
      </c>
      <c r="K1247">
        <f>Sales_Per_Representative!$C$13</f>
        <v>621548</v>
      </c>
      <c r="L1247">
        <f>Sales_Per_Rep_Yearly_Goal!$B$2</f>
        <v>665544.80000000005</v>
      </c>
      <c r="M1247">
        <f>Sales_Per_Rep_Yearly_Goal!$C$2</f>
        <v>650000</v>
      </c>
    </row>
    <row r="1248" spans="1:13" x14ac:dyDescent="0.3">
      <c r="A1248" s="3">
        <v>45262</v>
      </c>
      <c r="B1248">
        <f t="shared" si="19"/>
        <v>2023</v>
      </c>
      <c r="C1248">
        <v>12</v>
      </c>
      <c r="D1248" t="s">
        <v>17</v>
      </c>
      <c r="E1248" t="s">
        <v>18</v>
      </c>
      <c r="F1248" s="2">
        <v>2270</v>
      </c>
      <c r="G1248" s="2">
        <f>Monthly_Growth!$C$13</f>
        <v>821865</v>
      </c>
      <c r="H1248" s="5">
        <f>Monthly_Growth!$D$13</f>
        <v>-0.11495423820256663</v>
      </c>
      <c r="I1248" s="15">
        <f>Yearly_Growth!$C$2</f>
        <v>5.0333827436586778E-2</v>
      </c>
      <c r="J1248" s="15">
        <f>Yearly_Growth!$D$2</f>
        <v>0.03</v>
      </c>
      <c r="K1248">
        <f>Sales_Per_Representative!$C$9</f>
        <v>550835</v>
      </c>
      <c r="L1248">
        <f>Sales_Per_Rep_Yearly_Goal!$B$2</f>
        <v>665544.80000000005</v>
      </c>
      <c r="M1248">
        <f>Sales_Per_Rep_Yearly_Goal!$C$2</f>
        <v>650000</v>
      </c>
    </row>
    <row r="1249" spans="1:13" x14ac:dyDescent="0.3">
      <c r="A1249" s="3">
        <v>45262</v>
      </c>
      <c r="B1249">
        <f t="shared" si="19"/>
        <v>2023</v>
      </c>
      <c r="C1249">
        <v>12</v>
      </c>
      <c r="D1249" t="s">
        <v>12</v>
      </c>
      <c r="E1249" t="s">
        <v>15</v>
      </c>
      <c r="F1249" s="2">
        <v>11096</v>
      </c>
      <c r="G1249" s="2">
        <f>Monthly_Growth!$C$13</f>
        <v>821865</v>
      </c>
      <c r="H1249" s="5">
        <f>Monthly_Growth!$D$13</f>
        <v>-0.11495423820256663</v>
      </c>
      <c r="I1249" s="15">
        <f>Yearly_Growth!$C$2</f>
        <v>5.0333827436586778E-2</v>
      </c>
      <c r="J1249" s="15">
        <f>Yearly_Growth!$D$2</f>
        <v>0.03</v>
      </c>
      <c r="K1249">
        <f>Sales_Per_Representative!$C$12</f>
        <v>656359</v>
      </c>
      <c r="L1249">
        <f>Sales_Per_Rep_Yearly_Goal!$B$2</f>
        <v>665544.80000000005</v>
      </c>
      <c r="M1249">
        <f>Sales_Per_Rep_Yearly_Goal!$C$2</f>
        <v>650000</v>
      </c>
    </row>
    <row r="1250" spans="1:13" x14ac:dyDescent="0.3">
      <c r="A1250" s="3">
        <v>45263</v>
      </c>
      <c r="B1250">
        <f t="shared" si="19"/>
        <v>2023</v>
      </c>
      <c r="C1250">
        <v>12</v>
      </c>
      <c r="D1250" t="s">
        <v>19</v>
      </c>
      <c r="E1250" t="s">
        <v>26</v>
      </c>
      <c r="F1250" s="2">
        <v>2340</v>
      </c>
      <c r="G1250" s="2">
        <f>Monthly_Growth!$C$13</f>
        <v>821865</v>
      </c>
      <c r="H1250" s="5">
        <f>Monthly_Growth!$D$13</f>
        <v>-0.11495423820256663</v>
      </c>
      <c r="I1250" s="15">
        <f>Yearly_Growth!$C$2</f>
        <v>5.0333827436586778E-2</v>
      </c>
      <c r="J1250" s="15">
        <f>Yearly_Growth!$D$2</f>
        <v>0.03</v>
      </c>
      <c r="K1250">
        <f>Sales_Per_Representative!$C$16</f>
        <v>666159</v>
      </c>
      <c r="L1250">
        <f>Sales_Per_Rep_Yearly_Goal!$B$2</f>
        <v>665544.80000000005</v>
      </c>
      <c r="M1250">
        <f>Sales_Per_Rep_Yearly_Goal!$C$2</f>
        <v>650000</v>
      </c>
    </row>
    <row r="1251" spans="1:13" x14ac:dyDescent="0.3">
      <c r="A1251" s="3">
        <v>45263</v>
      </c>
      <c r="B1251">
        <f t="shared" si="19"/>
        <v>2023</v>
      </c>
      <c r="C1251">
        <v>12</v>
      </c>
      <c r="D1251" t="s">
        <v>19</v>
      </c>
      <c r="E1251" t="s">
        <v>8</v>
      </c>
      <c r="F1251" s="2">
        <v>7115</v>
      </c>
      <c r="G1251" s="2">
        <f>Monthly_Growth!$C$13</f>
        <v>821865</v>
      </c>
      <c r="H1251" s="5">
        <f>Monthly_Growth!$D$13</f>
        <v>-0.11495423820256663</v>
      </c>
      <c r="I1251" s="15">
        <f>Yearly_Growth!$C$2</f>
        <v>5.0333827436586778E-2</v>
      </c>
      <c r="J1251" s="15">
        <f>Yearly_Growth!$D$2</f>
        <v>0.03</v>
      </c>
      <c r="K1251">
        <f>Sales_Per_Representative!$C$15</f>
        <v>701242</v>
      </c>
      <c r="L1251">
        <f>Sales_Per_Rep_Yearly_Goal!$B$2</f>
        <v>665544.80000000005</v>
      </c>
      <c r="M1251">
        <f>Sales_Per_Rep_Yearly_Goal!$C$2</f>
        <v>650000</v>
      </c>
    </row>
    <row r="1252" spans="1:13" x14ac:dyDescent="0.3">
      <c r="A1252" s="3">
        <v>45263</v>
      </c>
      <c r="B1252">
        <f t="shared" si="19"/>
        <v>2023</v>
      </c>
      <c r="C1252">
        <v>12</v>
      </c>
      <c r="D1252" t="s">
        <v>19</v>
      </c>
      <c r="E1252" t="s">
        <v>29</v>
      </c>
      <c r="F1252" s="2">
        <v>11623</v>
      </c>
      <c r="G1252" s="2">
        <f>Monthly_Growth!$C$13</f>
        <v>821865</v>
      </c>
      <c r="H1252" s="5">
        <f>Monthly_Growth!$D$13</f>
        <v>-0.11495423820256663</v>
      </c>
      <c r="I1252" s="15">
        <f>Yearly_Growth!$C$2</f>
        <v>5.0333827436586778E-2</v>
      </c>
      <c r="J1252" s="15">
        <f>Yearly_Growth!$D$2</f>
        <v>0.03</v>
      </c>
      <c r="K1252">
        <f>Sales_Per_Representative!$C$13</f>
        <v>621548</v>
      </c>
      <c r="L1252">
        <f>Sales_Per_Rep_Yearly_Goal!$B$2</f>
        <v>665544.80000000005</v>
      </c>
      <c r="M1252">
        <f>Sales_Per_Rep_Yearly_Goal!$C$2</f>
        <v>650000</v>
      </c>
    </row>
    <row r="1253" spans="1:13" x14ac:dyDescent="0.3">
      <c r="A1253" s="3">
        <v>45263</v>
      </c>
      <c r="B1253">
        <f t="shared" si="19"/>
        <v>2023</v>
      </c>
      <c r="C1253">
        <v>12</v>
      </c>
      <c r="D1253" t="s">
        <v>7</v>
      </c>
      <c r="E1253" t="s">
        <v>33</v>
      </c>
      <c r="F1253" s="2">
        <v>1728</v>
      </c>
      <c r="G1253" s="2">
        <f>Monthly_Growth!$C$13</f>
        <v>821865</v>
      </c>
      <c r="H1253" s="5">
        <f>Monthly_Growth!$D$13</f>
        <v>-0.11495423820256663</v>
      </c>
      <c r="I1253" s="15">
        <f>Yearly_Growth!$C$2</f>
        <v>5.0333827436586778E-2</v>
      </c>
      <c r="J1253" s="15">
        <f>Yearly_Growth!$D$2</f>
        <v>0.03</v>
      </c>
      <c r="K1253">
        <f>Sales_Per_Representative!$C$11</f>
        <v>496886</v>
      </c>
      <c r="L1253">
        <f>Sales_Per_Rep_Yearly_Goal!$B$2</f>
        <v>665544.80000000005</v>
      </c>
      <c r="M1253">
        <f>Sales_Per_Rep_Yearly_Goal!$C$2</f>
        <v>650000</v>
      </c>
    </row>
    <row r="1254" spans="1:13" x14ac:dyDescent="0.3">
      <c r="A1254" s="3">
        <v>45263</v>
      </c>
      <c r="B1254">
        <f t="shared" si="19"/>
        <v>2023</v>
      </c>
      <c r="C1254">
        <v>12</v>
      </c>
      <c r="D1254" t="s">
        <v>28</v>
      </c>
      <c r="E1254" t="s">
        <v>15</v>
      </c>
      <c r="F1254" s="2">
        <v>4568</v>
      </c>
      <c r="G1254" s="2">
        <f>Monthly_Growth!$C$13</f>
        <v>821865</v>
      </c>
      <c r="H1254" s="5">
        <f>Monthly_Growth!$D$13</f>
        <v>-0.11495423820256663</v>
      </c>
      <c r="I1254" s="15">
        <f>Yearly_Growth!$C$2</f>
        <v>5.0333827436586778E-2</v>
      </c>
      <c r="J1254" s="15">
        <f>Yearly_Growth!$D$2</f>
        <v>0.03</v>
      </c>
      <c r="K1254">
        <f>Sales_Per_Representative!$C$12</f>
        <v>656359</v>
      </c>
      <c r="L1254">
        <f>Sales_Per_Rep_Yearly_Goal!$B$2</f>
        <v>665544.80000000005</v>
      </c>
      <c r="M1254">
        <f>Sales_Per_Rep_Yearly_Goal!$C$2</f>
        <v>650000</v>
      </c>
    </row>
    <row r="1255" spans="1:13" x14ac:dyDescent="0.3">
      <c r="A1255" s="3">
        <v>45264</v>
      </c>
      <c r="B1255">
        <f t="shared" si="19"/>
        <v>2023</v>
      </c>
      <c r="C1255">
        <v>12</v>
      </c>
      <c r="D1255" t="s">
        <v>23</v>
      </c>
      <c r="E1255" t="s">
        <v>32</v>
      </c>
      <c r="F1255" s="2">
        <v>6483</v>
      </c>
      <c r="G1255" s="2">
        <f>Monthly_Growth!$C$13</f>
        <v>821865</v>
      </c>
      <c r="H1255" s="5">
        <f>Monthly_Growth!$D$13</f>
        <v>-0.11495423820256663</v>
      </c>
      <c r="I1255" s="15">
        <f>Yearly_Growth!$C$2</f>
        <v>5.0333827436586778E-2</v>
      </c>
      <c r="J1255" s="15">
        <f>Yearly_Growth!$D$2</f>
        <v>0.03</v>
      </c>
      <c r="K1255">
        <f>Sales_Per_Representative!$C$3</f>
        <v>762157</v>
      </c>
      <c r="L1255">
        <f>Sales_Per_Rep_Yearly_Goal!$B$2</f>
        <v>665544.80000000005</v>
      </c>
      <c r="M1255">
        <f>Sales_Per_Rep_Yearly_Goal!$C$2</f>
        <v>650000</v>
      </c>
    </row>
    <row r="1256" spans="1:13" x14ac:dyDescent="0.3">
      <c r="A1256" s="3">
        <v>45264</v>
      </c>
      <c r="B1256">
        <f t="shared" si="19"/>
        <v>2023</v>
      </c>
      <c r="C1256">
        <v>12</v>
      </c>
      <c r="D1256" t="s">
        <v>23</v>
      </c>
      <c r="E1256" t="s">
        <v>22</v>
      </c>
      <c r="F1256" s="2">
        <v>9293</v>
      </c>
      <c r="G1256" s="2">
        <f>Monthly_Growth!$C$13</f>
        <v>821865</v>
      </c>
      <c r="H1256" s="5">
        <f>Monthly_Growth!$D$13</f>
        <v>-0.11495423820256663</v>
      </c>
      <c r="I1256" s="15">
        <f>Yearly_Growth!$C$2</f>
        <v>5.0333827436586778E-2</v>
      </c>
      <c r="J1256" s="15">
        <f>Yearly_Growth!$D$2</f>
        <v>0.03</v>
      </c>
      <c r="K1256">
        <f>Sales_Per_Representative!$C$8</f>
        <v>649456</v>
      </c>
      <c r="L1256">
        <f>Sales_Per_Rep_Yearly_Goal!$B$2</f>
        <v>665544.80000000005</v>
      </c>
      <c r="M1256">
        <f>Sales_Per_Rep_Yearly_Goal!$C$2</f>
        <v>650000</v>
      </c>
    </row>
    <row r="1257" spans="1:13" x14ac:dyDescent="0.3">
      <c r="A1257" s="3">
        <v>45264</v>
      </c>
      <c r="B1257">
        <f t="shared" si="19"/>
        <v>2023</v>
      </c>
      <c r="C1257">
        <v>12</v>
      </c>
      <c r="D1257" t="s">
        <v>7</v>
      </c>
      <c r="E1257" t="s">
        <v>32</v>
      </c>
      <c r="F1257" s="2">
        <v>10430</v>
      </c>
      <c r="G1257" s="2">
        <f>Monthly_Growth!$C$13</f>
        <v>821865</v>
      </c>
      <c r="H1257" s="5">
        <f>Monthly_Growth!$D$13</f>
        <v>-0.11495423820256663</v>
      </c>
      <c r="I1257" s="15">
        <f>Yearly_Growth!$C$2</f>
        <v>5.0333827436586778E-2</v>
      </c>
      <c r="J1257" s="15">
        <f>Yearly_Growth!$D$2</f>
        <v>0.03</v>
      </c>
      <c r="K1257">
        <f>Sales_Per_Representative!$C$3</f>
        <v>762157</v>
      </c>
      <c r="L1257">
        <f>Sales_Per_Rep_Yearly_Goal!$B$2</f>
        <v>665544.80000000005</v>
      </c>
      <c r="M1257">
        <f>Sales_Per_Rep_Yearly_Goal!$C$2</f>
        <v>650000</v>
      </c>
    </row>
    <row r="1258" spans="1:13" x14ac:dyDescent="0.3">
      <c r="A1258" s="3">
        <v>45264</v>
      </c>
      <c r="B1258">
        <f t="shared" si="19"/>
        <v>2023</v>
      </c>
      <c r="C1258">
        <v>12</v>
      </c>
      <c r="D1258" t="s">
        <v>28</v>
      </c>
      <c r="E1258" t="s">
        <v>31</v>
      </c>
      <c r="F1258" s="2">
        <v>1775</v>
      </c>
      <c r="G1258" s="2">
        <f>Monthly_Growth!$C$13</f>
        <v>821865</v>
      </c>
      <c r="H1258" s="5">
        <f>Monthly_Growth!$D$13</f>
        <v>-0.11495423820256663</v>
      </c>
      <c r="I1258" s="15">
        <f>Yearly_Growth!$C$2</f>
        <v>5.0333827436586778E-2</v>
      </c>
      <c r="J1258" s="15">
        <f>Yearly_Growth!$D$2</f>
        <v>0.03</v>
      </c>
      <c r="K1258">
        <f>Sales_Per_Representative!$C$6</f>
        <v>727823</v>
      </c>
      <c r="L1258">
        <f>Sales_Per_Rep_Yearly_Goal!$B$2</f>
        <v>665544.80000000005</v>
      </c>
      <c r="M1258">
        <f>Sales_Per_Rep_Yearly_Goal!$C$2</f>
        <v>650000</v>
      </c>
    </row>
    <row r="1259" spans="1:13" x14ac:dyDescent="0.3">
      <c r="A1259" s="3">
        <v>45264</v>
      </c>
      <c r="B1259">
        <f t="shared" si="19"/>
        <v>2023</v>
      </c>
      <c r="C1259">
        <v>12</v>
      </c>
      <c r="D1259" t="s">
        <v>28</v>
      </c>
      <c r="E1259" t="s">
        <v>15</v>
      </c>
      <c r="F1259" s="2">
        <v>10830</v>
      </c>
      <c r="G1259" s="2">
        <f>Monthly_Growth!$C$13</f>
        <v>821865</v>
      </c>
      <c r="H1259" s="5">
        <f>Monthly_Growth!$D$13</f>
        <v>-0.11495423820256663</v>
      </c>
      <c r="I1259" s="15">
        <f>Yearly_Growth!$C$2</f>
        <v>5.0333827436586778E-2</v>
      </c>
      <c r="J1259" s="15">
        <f>Yearly_Growth!$D$2</f>
        <v>0.03</v>
      </c>
      <c r="K1259">
        <f>Sales_Per_Representative!$C$12</f>
        <v>656359</v>
      </c>
      <c r="L1259">
        <f>Sales_Per_Rep_Yearly_Goal!$B$2</f>
        <v>665544.80000000005</v>
      </c>
      <c r="M1259">
        <f>Sales_Per_Rep_Yearly_Goal!$C$2</f>
        <v>650000</v>
      </c>
    </row>
    <row r="1260" spans="1:13" x14ac:dyDescent="0.3">
      <c r="A1260" s="3">
        <v>45264</v>
      </c>
      <c r="B1260">
        <f t="shared" si="19"/>
        <v>2023</v>
      </c>
      <c r="C1260">
        <v>12</v>
      </c>
      <c r="D1260" t="s">
        <v>17</v>
      </c>
      <c r="E1260" t="s">
        <v>31</v>
      </c>
      <c r="F1260" s="2">
        <v>6906</v>
      </c>
      <c r="G1260" s="2">
        <f>Monthly_Growth!$C$13</f>
        <v>821865</v>
      </c>
      <c r="H1260" s="5">
        <f>Monthly_Growth!$D$13</f>
        <v>-0.11495423820256663</v>
      </c>
      <c r="I1260" s="15">
        <f>Yearly_Growth!$C$2</f>
        <v>5.0333827436586778E-2</v>
      </c>
      <c r="J1260" s="15">
        <f>Yearly_Growth!$D$2</f>
        <v>0.03</v>
      </c>
      <c r="K1260">
        <f>Sales_Per_Representative!$C$6</f>
        <v>727823</v>
      </c>
      <c r="L1260">
        <f>Sales_Per_Rep_Yearly_Goal!$B$2</f>
        <v>665544.80000000005</v>
      </c>
      <c r="M1260">
        <f>Sales_Per_Rep_Yearly_Goal!$C$2</f>
        <v>650000</v>
      </c>
    </row>
    <row r="1261" spans="1:13" x14ac:dyDescent="0.3">
      <c r="A1261" s="3">
        <v>45265</v>
      </c>
      <c r="B1261">
        <f t="shared" si="19"/>
        <v>2023</v>
      </c>
      <c r="C1261">
        <v>12</v>
      </c>
      <c r="D1261" t="s">
        <v>14</v>
      </c>
      <c r="E1261" t="s">
        <v>10</v>
      </c>
      <c r="F1261" s="2">
        <v>11743</v>
      </c>
      <c r="G1261" s="2">
        <f>Monthly_Growth!$C$13</f>
        <v>821865</v>
      </c>
      <c r="H1261" s="5">
        <f>Monthly_Growth!$D$13</f>
        <v>-0.11495423820256663</v>
      </c>
      <c r="I1261" s="15">
        <f>Yearly_Growth!$C$2</f>
        <v>5.0333827436586778E-2</v>
      </c>
      <c r="J1261" s="15">
        <f>Yearly_Growth!$D$2</f>
        <v>0.03</v>
      </c>
      <c r="K1261">
        <f>Sales_Per_Representative!$C$4</f>
        <v>725713</v>
      </c>
      <c r="L1261">
        <f>Sales_Per_Rep_Yearly_Goal!$B$2</f>
        <v>665544.80000000005</v>
      </c>
      <c r="M1261">
        <f>Sales_Per_Rep_Yearly_Goal!$C$2</f>
        <v>650000</v>
      </c>
    </row>
    <row r="1262" spans="1:13" x14ac:dyDescent="0.3">
      <c r="A1262" s="3">
        <v>45265</v>
      </c>
      <c r="B1262">
        <f t="shared" si="19"/>
        <v>2023</v>
      </c>
      <c r="C1262">
        <v>12</v>
      </c>
      <c r="D1262" t="s">
        <v>7</v>
      </c>
      <c r="E1262" t="s">
        <v>20</v>
      </c>
      <c r="F1262" s="2">
        <v>2241</v>
      </c>
      <c r="G1262" s="2">
        <f>Monthly_Growth!$C$13</f>
        <v>821865</v>
      </c>
      <c r="H1262" s="5">
        <f>Monthly_Growth!$D$13</f>
        <v>-0.11495423820256663</v>
      </c>
      <c r="I1262" s="15">
        <f>Yearly_Growth!$C$2</f>
        <v>5.0333827436586778E-2</v>
      </c>
      <c r="J1262" s="15">
        <f>Yearly_Growth!$D$2</f>
        <v>0.03</v>
      </c>
      <c r="K1262">
        <f>Sales_Per_Representative!$C$14</f>
        <v>675530</v>
      </c>
      <c r="L1262">
        <f>Sales_Per_Rep_Yearly_Goal!$B$2</f>
        <v>665544.80000000005</v>
      </c>
      <c r="M1262">
        <f>Sales_Per_Rep_Yearly_Goal!$C$2</f>
        <v>650000</v>
      </c>
    </row>
    <row r="1263" spans="1:13" x14ac:dyDescent="0.3">
      <c r="A1263" s="3">
        <v>45265</v>
      </c>
      <c r="B1263">
        <f t="shared" si="19"/>
        <v>2023</v>
      </c>
      <c r="C1263">
        <v>12</v>
      </c>
      <c r="D1263" t="s">
        <v>28</v>
      </c>
      <c r="E1263" t="s">
        <v>29</v>
      </c>
      <c r="F1263" s="2">
        <v>4921</v>
      </c>
      <c r="G1263" s="2">
        <f>Monthly_Growth!$C$13</f>
        <v>821865</v>
      </c>
      <c r="H1263" s="5">
        <f>Monthly_Growth!$D$13</f>
        <v>-0.11495423820256663</v>
      </c>
      <c r="I1263" s="15">
        <f>Yearly_Growth!$C$2</f>
        <v>5.0333827436586778E-2</v>
      </c>
      <c r="J1263" s="15">
        <f>Yearly_Growth!$D$2</f>
        <v>0.03</v>
      </c>
      <c r="K1263">
        <f>Sales_Per_Representative!$C$13</f>
        <v>621548</v>
      </c>
      <c r="L1263">
        <f>Sales_Per_Rep_Yearly_Goal!$B$2</f>
        <v>665544.80000000005</v>
      </c>
      <c r="M1263">
        <f>Sales_Per_Rep_Yearly_Goal!$C$2</f>
        <v>650000</v>
      </c>
    </row>
    <row r="1264" spans="1:13" x14ac:dyDescent="0.3">
      <c r="A1264" s="3">
        <v>45266</v>
      </c>
      <c r="B1264">
        <f t="shared" si="19"/>
        <v>2023</v>
      </c>
      <c r="C1264">
        <v>12</v>
      </c>
      <c r="D1264" t="s">
        <v>23</v>
      </c>
      <c r="E1264" t="s">
        <v>31</v>
      </c>
      <c r="F1264" s="2">
        <v>10396</v>
      </c>
      <c r="G1264" s="2">
        <f>Monthly_Growth!$C$13</f>
        <v>821865</v>
      </c>
      <c r="H1264" s="5">
        <f>Monthly_Growth!$D$13</f>
        <v>-0.11495423820256663</v>
      </c>
      <c r="I1264" s="15">
        <f>Yearly_Growth!$C$2</f>
        <v>5.0333827436586778E-2</v>
      </c>
      <c r="J1264" s="15">
        <f>Yearly_Growth!$D$2</f>
        <v>0.03</v>
      </c>
      <c r="K1264">
        <f>Sales_Per_Representative!$C$6</f>
        <v>727823</v>
      </c>
      <c r="L1264">
        <f>Sales_Per_Rep_Yearly_Goal!$B$2</f>
        <v>665544.80000000005</v>
      </c>
      <c r="M1264">
        <f>Sales_Per_Rep_Yearly_Goal!$C$2</f>
        <v>650000</v>
      </c>
    </row>
    <row r="1265" spans="1:13" x14ac:dyDescent="0.3">
      <c r="A1265" s="3">
        <v>45266</v>
      </c>
      <c r="B1265">
        <f t="shared" si="19"/>
        <v>2023</v>
      </c>
      <c r="C1265">
        <v>12</v>
      </c>
      <c r="D1265" t="s">
        <v>25</v>
      </c>
      <c r="E1265" t="s">
        <v>8</v>
      </c>
      <c r="F1265" s="2">
        <v>12276</v>
      </c>
      <c r="G1265" s="2">
        <f>Monthly_Growth!$C$13</f>
        <v>821865</v>
      </c>
      <c r="H1265" s="5">
        <f>Monthly_Growth!$D$13</f>
        <v>-0.11495423820256663</v>
      </c>
      <c r="I1265" s="15">
        <f>Yearly_Growth!$C$2</f>
        <v>5.0333827436586778E-2</v>
      </c>
      <c r="J1265" s="15">
        <f>Yearly_Growth!$D$2</f>
        <v>0.03</v>
      </c>
      <c r="K1265">
        <f>Sales_Per_Representative!$C$15</f>
        <v>701242</v>
      </c>
      <c r="L1265">
        <f>Sales_Per_Rep_Yearly_Goal!$B$2</f>
        <v>665544.80000000005</v>
      </c>
      <c r="M1265">
        <f>Sales_Per_Rep_Yearly_Goal!$C$2</f>
        <v>650000</v>
      </c>
    </row>
    <row r="1266" spans="1:13" x14ac:dyDescent="0.3">
      <c r="A1266" s="3">
        <v>45266</v>
      </c>
      <c r="B1266">
        <f t="shared" si="19"/>
        <v>2023</v>
      </c>
      <c r="C1266">
        <v>12</v>
      </c>
      <c r="D1266" t="s">
        <v>7</v>
      </c>
      <c r="E1266" t="s">
        <v>26</v>
      </c>
      <c r="F1266" s="2">
        <v>1826</v>
      </c>
      <c r="G1266" s="2">
        <f>Monthly_Growth!$C$13</f>
        <v>821865</v>
      </c>
      <c r="H1266" s="5">
        <f>Monthly_Growth!$D$13</f>
        <v>-0.11495423820256663</v>
      </c>
      <c r="I1266" s="15">
        <f>Yearly_Growth!$C$2</f>
        <v>5.0333827436586778E-2</v>
      </c>
      <c r="J1266" s="15">
        <f>Yearly_Growth!$D$2</f>
        <v>0.03</v>
      </c>
      <c r="K1266">
        <f>Sales_Per_Representative!$C$16</f>
        <v>666159</v>
      </c>
      <c r="L1266">
        <f>Sales_Per_Rep_Yearly_Goal!$B$2</f>
        <v>665544.80000000005</v>
      </c>
      <c r="M1266">
        <f>Sales_Per_Rep_Yearly_Goal!$C$2</f>
        <v>650000</v>
      </c>
    </row>
    <row r="1267" spans="1:13" x14ac:dyDescent="0.3">
      <c r="A1267" s="3">
        <v>45266</v>
      </c>
      <c r="B1267">
        <f t="shared" si="19"/>
        <v>2023</v>
      </c>
      <c r="C1267">
        <v>12</v>
      </c>
      <c r="D1267" t="s">
        <v>28</v>
      </c>
      <c r="E1267" t="s">
        <v>15</v>
      </c>
      <c r="F1267" s="2">
        <v>4350</v>
      </c>
      <c r="G1267" s="2">
        <f>Monthly_Growth!$C$13</f>
        <v>821865</v>
      </c>
      <c r="H1267" s="5">
        <f>Monthly_Growth!$D$13</f>
        <v>-0.11495423820256663</v>
      </c>
      <c r="I1267" s="15">
        <f>Yearly_Growth!$C$2</f>
        <v>5.0333827436586778E-2</v>
      </c>
      <c r="J1267" s="15">
        <f>Yearly_Growth!$D$2</f>
        <v>0.03</v>
      </c>
      <c r="K1267">
        <f>Sales_Per_Representative!$C$12</f>
        <v>656359</v>
      </c>
      <c r="L1267">
        <f>Sales_Per_Rep_Yearly_Goal!$B$2</f>
        <v>665544.80000000005</v>
      </c>
      <c r="M1267">
        <f>Sales_Per_Rep_Yearly_Goal!$C$2</f>
        <v>650000</v>
      </c>
    </row>
    <row r="1268" spans="1:13" x14ac:dyDescent="0.3">
      <c r="A1268" s="3">
        <v>45266</v>
      </c>
      <c r="B1268">
        <f t="shared" si="19"/>
        <v>2023</v>
      </c>
      <c r="C1268">
        <v>12</v>
      </c>
      <c r="D1268" t="s">
        <v>17</v>
      </c>
      <c r="E1268" t="s">
        <v>27</v>
      </c>
      <c r="F1268" s="2">
        <v>12639</v>
      </c>
      <c r="G1268" s="2">
        <f>Monthly_Growth!$C$13</f>
        <v>821865</v>
      </c>
      <c r="H1268" s="5">
        <f>Monthly_Growth!$D$13</f>
        <v>-0.11495423820256663</v>
      </c>
      <c r="I1268" s="15">
        <f>Yearly_Growth!$C$2</f>
        <v>5.0333827436586778E-2</v>
      </c>
      <c r="J1268" s="15">
        <f>Yearly_Growth!$D$2</f>
        <v>0.03</v>
      </c>
      <c r="K1268">
        <f>Sales_Per_Representative!$C$5</f>
        <v>747962</v>
      </c>
      <c r="L1268">
        <f>Sales_Per_Rep_Yearly_Goal!$B$2</f>
        <v>665544.80000000005</v>
      </c>
      <c r="M1268">
        <f>Sales_Per_Rep_Yearly_Goal!$C$2</f>
        <v>650000</v>
      </c>
    </row>
    <row r="1269" spans="1:13" x14ac:dyDescent="0.3">
      <c r="A1269" s="3">
        <v>45267</v>
      </c>
      <c r="B1269">
        <f t="shared" si="19"/>
        <v>2023</v>
      </c>
      <c r="C1269">
        <v>12</v>
      </c>
      <c r="D1269" t="s">
        <v>19</v>
      </c>
      <c r="E1269" t="s">
        <v>27</v>
      </c>
      <c r="F1269" s="2">
        <v>11131</v>
      </c>
      <c r="G1269" s="2">
        <f>Monthly_Growth!$C$13</f>
        <v>821865</v>
      </c>
      <c r="H1269" s="5">
        <f>Monthly_Growth!$D$13</f>
        <v>-0.11495423820256663</v>
      </c>
      <c r="I1269" s="15">
        <f>Yearly_Growth!$C$2</f>
        <v>5.0333827436586778E-2</v>
      </c>
      <c r="J1269" s="15">
        <f>Yearly_Growth!$D$2</f>
        <v>0.03</v>
      </c>
      <c r="K1269">
        <f>Sales_Per_Representative!$C$5</f>
        <v>747962</v>
      </c>
      <c r="L1269">
        <f>Sales_Per_Rep_Yearly_Goal!$B$2</f>
        <v>665544.80000000005</v>
      </c>
      <c r="M1269">
        <f>Sales_Per_Rep_Yearly_Goal!$C$2</f>
        <v>650000</v>
      </c>
    </row>
    <row r="1270" spans="1:13" x14ac:dyDescent="0.3">
      <c r="A1270" s="3">
        <v>45267</v>
      </c>
      <c r="B1270">
        <f t="shared" si="19"/>
        <v>2023</v>
      </c>
      <c r="C1270">
        <v>12</v>
      </c>
      <c r="D1270" t="s">
        <v>23</v>
      </c>
      <c r="E1270" t="s">
        <v>33</v>
      </c>
      <c r="F1270" s="2">
        <v>11008</v>
      </c>
      <c r="G1270" s="2">
        <f>Monthly_Growth!$C$13</f>
        <v>821865</v>
      </c>
      <c r="H1270" s="5">
        <f>Monthly_Growth!$D$13</f>
        <v>-0.11495423820256663</v>
      </c>
      <c r="I1270" s="15">
        <f>Yearly_Growth!$C$2</f>
        <v>5.0333827436586778E-2</v>
      </c>
      <c r="J1270" s="15">
        <f>Yearly_Growth!$D$2</f>
        <v>0.03</v>
      </c>
      <c r="K1270">
        <f>Sales_Per_Representative!$C$11</f>
        <v>496886</v>
      </c>
      <c r="L1270">
        <f>Sales_Per_Rep_Yearly_Goal!$B$2</f>
        <v>665544.80000000005</v>
      </c>
      <c r="M1270">
        <f>Sales_Per_Rep_Yearly_Goal!$C$2</f>
        <v>650000</v>
      </c>
    </row>
    <row r="1271" spans="1:13" x14ac:dyDescent="0.3">
      <c r="A1271" s="3">
        <v>45267</v>
      </c>
      <c r="B1271">
        <f t="shared" si="19"/>
        <v>2023</v>
      </c>
      <c r="C1271">
        <v>12</v>
      </c>
      <c r="D1271" t="s">
        <v>23</v>
      </c>
      <c r="E1271" t="s">
        <v>24</v>
      </c>
      <c r="F1271" s="2">
        <v>6089</v>
      </c>
      <c r="G1271" s="2">
        <f>Monthly_Growth!$C$13</f>
        <v>821865</v>
      </c>
      <c r="H1271" s="5">
        <f>Monthly_Growth!$D$13</f>
        <v>-0.11495423820256663</v>
      </c>
      <c r="I1271" s="15">
        <f>Yearly_Growth!$C$2</f>
        <v>5.0333827436586778E-2</v>
      </c>
      <c r="J1271" s="15">
        <f>Yearly_Growth!$D$2</f>
        <v>0.03</v>
      </c>
      <c r="K1271">
        <f>Sales_Per_Representative!$C$2</f>
        <v>631195</v>
      </c>
      <c r="L1271">
        <f>Sales_Per_Rep_Yearly_Goal!$B$2</f>
        <v>665544.80000000005</v>
      </c>
      <c r="M1271">
        <f>Sales_Per_Rep_Yearly_Goal!$C$2</f>
        <v>650000</v>
      </c>
    </row>
    <row r="1272" spans="1:13" x14ac:dyDescent="0.3">
      <c r="A1272" s="3">
        <v>45267</v>
      </c>
      <c r="B1272">
        <f t="shared" si="19"/>
        <v>2023</v>
      </c>
      <c r="C1272">
        <v>12</v>
      </c>
      <c r="D1272" t="s">
        <v>12</v>
      </c>
      <c r="E1272" t="s">
        <v>26</v>
      </c>
      <c r="F1272" s="2">
        <v>2743</v>
      </c>
      <c r="G1272" s="2">
        <f>Monthly_Growth!$C$13</f>
        <v>821865</v>
      </c>
      <c r="H1272" s="5">
        <f>Monthly_Growth!$D$13</f>
        <v>-0.11495423820256663</v>
      </c>
      <c r="I1272" s="15">
        <f>Yearly_Growth!$C$2</f>
        <v>5.0333827436586778E-2</v>
      </c>
      <c r="J1272" s="15">
        <f>Yearly_Growth!$D$2</f>
        <v>0.03</v>
      </c>
      <c r="K1272">
        <f>Sales_Per_Representative!$C$16</f>
        <v>666159</v>
      </c>
      <c r="L1272">
        <f>Sales_Per_Rep_Yearly_Goal!$B$2</f>
        <v>665544.80000000005</v>
      </c>
      <c r="M1272">
        <f>Sales_Per_Rep_Yearly_Goal!$C$2</f>
        <v>650000</v>
      </c>
    </row>
    <row r="1273" spans="1:13" x14ac:dyDescent="0.3">
      <c r="A1273" s="3">
        <v>45267</v>
      </c>
      <c r="B1273">
        <f t="shared" si="19"/>
        <v>2023</v>
      </c>
      <c r="C1273">
        <v>12</v>
      </c>
      <c r="D1273" t="s">
        <v>12</v>
      </c>
      <c r="E1273" t="s">
        <v>30</v>
      </c>
      <c r="F1273" s="2">
        <v>2370</v>
      </c>
      <c r="G1273" s="2">
        <f>Monthly_Growth!$C$13</f>
        <v>821865</v>
      </c>
      <c r="H1273" s="5">
        <f>Monthly_Growth!$D$13</f>
        <v>-0.11495423820256663</v>
      </c>
      <c r="I1273" s="15">
        <f>Yearly_Growth!$C$2</f>
        <v>5.0333827436586778E-2</v>
      </c>
      <c r="J1273" s="15">
        <f>Yearly_Growth!$D$2</f>
        <v>0.03</v>
      </c>
      <c r="K1273">
        <f>Sales_Per_Representative!$C$7</f>
        <v>706974</v>
      </c>
      <c r="L1273">
        <f>Sales_Per_Rep_Yearly_Goal!$B$2</f>
        <v>665544.80000000005</v>
      </c>
      <c r="M1273">
        <f>Sales_Per_Rep_Yearly_Goal!$C$2</f>
        <v>650000</v>
      </c>
    </row>
    <row r="1274" spans="1:13" x14ac:dyDescent="0.3">
      <c r="A1274" s="3">
        <v>45268</v>
      </c>
      <c r="B1274">
        <f t="shared" si="19"/>
        <v>2023</v>
      </c>
      <c r="C1274">
        <v>12</v>
      </c>
      <c r="D1274" t="s">
        <v>19</v>
      </c>
      <c r="E1274" t="s">
        <v>30</v>
      </c>
      <c r="F1274" s="2">
        <v>2601</v>
      </c>
      <c r="G1274" s="2">
        <f>Monthly_Growth!$C$13</f>
        <v>821865</v>
      </c>
      <c r="H1274" s="5">
        <f>Monthly_Growth!$D$13</f>
        <v>-0.11495423820256663</v>
      </c>
      <c r="I1274" s="15">
        <f>Yearly_Growth!$C$2</f>
        <v>5.0333827436586778E-2</v>
      </c>
      <c r="J1274" s="15">
        <f>Yearly_Growth!$D$2</f>
        <v>0.03</v>
      </c>
      <c r="K1274">
        <f>Sales_Per_Representative!$C$7</f>
        <v>706974</v>
      </c>
      <c r="L1274">
        <f>Sales_Per_Rep_Yearly_Goal!$B$2</f>
        <v>665544.80000000005</v>
      </c>
      <c r="M1274">
        <f>Sales_Per_Rep_Yearly_Goal!$C$2</f>
        <v>650000</v>
      </c>
    </row>
    <row r="1275" spans="1:13" x14ac:dyDescent="0.3">
      <c r="A1275" s="3">
        <v>45268</v>
      </c>
      <c r="B1275">
        <f t="shared" si="19"/>
        <v>2023</v>
      </c>
      <c r="C1275">
        <v>12</v>
      </c>
      <c r="D1275" t="s">
        <v>12</v>
      </c>
      <c r="E1275" t="s">
        <v>33</v>
      </c>
      <c r="F1275" s="2">
        <v>11804</v>
      </c>
      <c r="G1275" s="2">
        <f>Monthly_Growth!$C$13</f>
        <v>821865</v>
      </c>
      <c r="H1275" s="5">
        <f>Monthly_Growth!$D$13</f>
        <v>-0.11495423820256663</v>
      </c>
      <c r="I1275" s="15">
        <f>Yearly_Growth!$C$2</f>
        <v>5.0333827436586778E-2</v>
      </c>
      <c r="J1275" s="15">
        <f>Yearly_Growth!$D$2</f>
        <v>0.03</v>
      </c>
      <c r="K1275">
        <f>Sales_Per_Representative!$C$11</f>
        <v>496886</v>
      </c>
      <c r="L1275">
        <f>Sales_Per_Rep_Yearly_Goal!$B$2</f>
        <v>665544.80000000005</v>
      </c>
      <c r="M1275">
        <f>Sales_Per_Rep_Yearly_Goal!$C$2</f>
        <v>650000</v>
      </c>
    </row>
    <row r="1276" spans="1:13" x14ac:dyDescent="0.3">
      <c r="A1276" s="3">
        <v>45269</v>
      </c>
      <c r="B1276">
        <f t="shared" si="19"/>
        <v>2023</v>
      </c>
      <c r="C1276">
        <v>12</v>
      </c>
      <c r="D1276" t="s">
        <v>19</v>
      </c>
      <c r="E1276" t="s">
        <v>15</v>
      </c>
      <c r="F1276" s="2">
        <v>1216</v>
      </c>
      <c r="G1276" s="2">
        <f>Monthly_Growth!$C$13</f>
        <v>821865</v>
      </c>
      <c r="H1276" s="5">
        <f>Monthly_Growth!$D$13</f>
        <v>-0.11495423820256663</v>
      </c>
      <c r="I1276" s="15">
        <f>Yearly_Growth!$C$2</f>
        <v>5.0333827436586778E-2</v>
      </c>
      <c r="J1276" s="15">
        <f>Yearly_Growth!$D$2</f>
        <v>0.03</v>
      </c>
      <c r="K1276">
        <f>Sales_Per_Representative!$C$12</f>
        <v>656359</v>
      </c>
      <c r="L1276">
        <f>Sales_Per_Rep_Yearly_Goal!$B$2</f>
        <v>665544.80000000005</v>
      </c>
      <c r="M1276">
        <f>Sales_Per_Rep_Yearly_Goal!$C$2</f>
        <v>650000</v>
      </c>
    </row>
    <row r="1277" spans="1:13" x14ac:dyDescent="0.3">
      <c r="A1277" s="3">
        <v>45269</v>
      </c>
      <c r="B1277">
        <f t="shared" si="19"/>
        <v>2023</v>
      </c>
      <c r="C1277">
        <v>12</v>
      </c>
      <c r="D1277" t="s">
        <v>17</v>
      </c>
      <c r="E1277" t="s">
        <v>20</v>
      </c>
      <c r="F1277" s="2">
        <v>5608</v>
      </c>
      <c r="G1277" s="2">
        <f>Monthly_Growth!$C$13</f>
        <v>821865</v>
      </c>
      <c r="H1277" s="5">
        <f>Monthly_Growth!$D$13</f>
        <v>-0.11495423820256663</v>
      </c>
      <c r="I1277" s="15">
        <f>Yearly_Growth!$C$2</f>
        <v>5.0333827436586778E-2</v>
      </c>
      <c r="J1277" s="15">
        <f>Yearly_Growth!$D$2</f>
        <v>0.03</v>
      </c>
      <c r="K1277">
        <f>Sales_Per_Representative!$C$14</f>
        <v>675530</v>
      </c>
      <c r="L1277">
        <f>Sales_Per_Rep_Yearly_Goal!$B$2</f>
        <v>665544.80000000005</v>
      </c>
      <c r="M1277">
        <f>Sales_Per_Rep_Yearly_Goal!$C$2</f>
        <v>650000</v>
      </c>
    </row>
    <row r="1278" spans="1:13" x14ac:dyDescent="0.3">
      <c r="A1278" s="3">
        <v>45269</v>
      </c>
      <c r="B1278">
        <f t="shared" si="19"/>
        <v>2023</v>
      </c>
      <c r="C1278">
        <v>12</v>
      </c>
      <c r="D1278" t="s">
        <v>12</v>
      </c>
      <c r="E1278" t="s">
        <v>20</v>
      </c>
      <c r="F1278" s="2">
        <v>6588</v>
      </c>
      <c r="G1278" s="2">
        <f>Monthly_Growth!$C$13</f>
        <v>821865</v>
      </c>
      <c r="H1278" s="5">
        <f>Monthly_Growth!$D$13</f>
        <v>-0.11495423820256663</v>
      </c>
      <c r="I1278" s="15">
        <f>Yearly_Growth!$C$2</f>
        <v>5.0333827436586778E-2</v>
      </c>
      <c r="J1278" s="15">
        <f>Yearly_Growth!$D$2</f>
        <v>0.03</v>
      </c>
      <c r="K1278">
        <f>Sales_Per_Representative!$C$14</f>
        <v>675530</v>
      </c>
      <c r="L1278">
        <f>Sales_Per_Rep_Yearly_Goal!$B$2</f>
        <v>665544.80000000005</v>
      </c>
      <c r="M1278">
        <f>Sales_Per_Rep_Yearly_Goal!$C$2</f>
        <v>650000</v>
      </c>
    </row>
    <row r="1279" spans="1:13" x14ac:dyDescent="0.3">
      <c r="A1279" s="3">
        <v>45269</v>
      </c>
      <c r="B1279">
        <f t="shared" si="19"/>
        <v>2023</v>
      </c>
      <c r="C1279">
        <v>12</v>
      </c>
      <c r="D1279" t="s">
        <v>12</v>
      </c>
      <c r="E1279" t="s">
        <v>15</v>
      </c>
      <c r="F1279" s="2">
        <v>8302</v>
      </c>
      <c r="G1279" s="2">
        <f>Monthly_Growth!$C$13</f>
        <v>821865</v>
      </c>
      <c r="H1279" s="5">
        <f>Monthly_Growth!$D$13</f>
        <v>-0.11495423820256663</v>
      </c>
      <c r="I1279" s="15">
        <f>Yearly_Growth!$C$2</f>
        <v>5.0333827436586778E-2</v>
      </c>
      <c r="J1279" s="15">
        <f>Yearly_Growth!$D$2</f>
        <v>0.03</v>
      </c>
      <c r="K1279">
        <f>Sales_Per_Representative!$C$12</f>
        <v>656359</v>
      </c>
      <c r="L1279">
        <f>Sales_Per_Rep_Yearly_Goal!$B$2</f>
        <v>665544.80000000005</v>
      </c>
      <c r="M1279">
        <f>Sales_Per_Rep_Yearly_Goal!$C$2</f>
        <v>650000</v>
      </c>
    </row>
    <row r="1280" spans="1:13" x14ac:dyDescent="0.3">
      <c r="A1280" s="3">
        <v>45270</v>
      </c>
      <c r="B1280">
        <f t="shared" si="19"/>
        <v>2023</v>
      </c>
      <c r="C1280">
        <v>12</v>
      </c>
      <c r="D1280" t="s">
        <v>23</v>
      </c>
      <c r="E1280" t="s">
        <v>31</v>
      </c>
      <c r="F1280" s="2">
        <v>6370</v>
      </c>
      <c r="G1280" s="2">
        <f>Monthly_Growth!$C$13</f>
        <v>821865</v>
      </c>
      <c r="H1280" s="5">
        <f>Monthly_Growth!$D$13</f>
        <v>-0.11495423820256663</v>
      </c>
      <c r="I1280" s="15">
        <f>Yearly_Growth!$C$2</f>
        <v>5.0333827436586778E-2</v>
      </c>
      <c r="J1280" s="15">
        <f>Yearly_Growth!$D$2</f>
        <v>0.03</v>
      </c>
      <c r="K1280">
        <f>Sales_Per_Representative!$C$6</f>
        <v>727823</v>
      </c>
      <c r="L1280">
        <f>Sales_Per_Rep_Yearly_Goal!$B$2</f>
        <v>665544.80000000005</v>
      </c>
      <c r="M1280">
        <f>Sales_Per_Rep_Yearly_Goal!$C$2</f>
        <v>650000</v>
      </c>
    </row>
    <row r="1281" spans="1:13" x14ac:dyDescent="0.3">
      <c r="A1281" s="3">
        <v>45270</v>
      </c>
      <c r="B1281">
        <f t="shared" si="19"/>
        <v>2023</v>
      </c>
      <c r="C1281">
        <v>12</v>
      </c>
      <c r="D1281" t="s">
        <v>23</v>
      </c>
      <c r="E1281" t="s">
        <v>18</v>
      </c>
      <c r="F1281" s="2">
        <v>6782</v>
      </c>
      <c r="G1281" s="2">
        <f>Monthly_Growth!$C$13</f>
        <v>821865</v>
      </c>
      <c r="H1281" s="5">
        <f>Monthly_Growth!$D$13</f>
        <v>-0.11495423820256663</v>
      </c>
      <c r="I1281" s="15">
        <f>Yearly_Growth!$C$2</f>
        <v>5.0333827436586778E-2</v>
      </c>
      <c r="J1281" s="15">
        <f>Yearly_Growth!$D$2</f>
        <v>0.03</v>
      </c>
      <c r="K1281">
        <f>Sales_Per_Representative!$C$9</f>
        <v>550835</v>
      </c>
      <c r="L1281">
        <f>Sales_Per_Rep_Yearly_Goal!$B$2</f>
        <v>665544.80000000005</v>
      </c>
      <c r="M1281">
        <f>Sales_Per_Rep_Yearly_Goal!$C$2</f>
        <v>650000</v>
      </c>
    </row>
    <row r="1282" spans="1:13" x14ac:dyDescent="0.3">
      <c r="A1282" s="3">
        <v>45270</v>
      </c>
      <c r="B1282">
        <f t="shared" si="19"/>
        <v>2023</v>
      </c>
      <c r="C1282">
        <v>12</v>
      </c>
      <c r="D1282" t="s">
        <v>25</v>
      </c>
      <c r="E1282" t="s">
        <v>27</v>
      </c>
      <c r="F1282" s="2">
        <v>8663</v>
      </c>
      <c r="G1282" s="2">
        <f>Monthly_Growth!$C$13</f>
        <v>821865</v>
      </c>
      <c r="H1282" s="5">
        <f>Monthly_Growth!$D$13</f>
        <v>-0.11495423820256663</v>
      </c>
      <c r="I1282" s="15">
        <f>Yearly_Growth!$C$2</f>
        <v>5.0333827436586778E-2</v>
      </c>
      <c r="J1282" s="15">
        <f>Yearly_Growth!$D$2</f>
        <v>0.03</v>
      </c>
      <c r="K1282">
        <f>Sales_Per_Representative!$C$5</f>
        <v>747962</v>
      </c>
      <c r="L1282">
        <f>Sales_Per_Rep_Yearly_Goal!$B$2</f>
        <v>665544.80000000005</v>
      </c>
      <c r="M1282">
        <f>Sales_Per_Rep_Yearly_Goal!$C$2</f>
        <v>650000</v>
      </c>
    </row>
    <row r="1283" spans="1:13" x14ac:dyDescent="0.3">
      <c r="A1283" s="3">
        <v>45270</v>
      </c>
      <c r="B1283">
        <f t="shared" ref="B1283:B1346" si="20">YEAR(A1283)</f>
        <v>2023</v>
      </c>
      <c r="C1283">
        <v>12</v>
      </c>
      <c r="D1283" t="s">
        <v>7</v>
      </c>
      <c r="E1283" t="s">
        <v>24</v>
      </c>
      <c r="F1283" s="2">
        <v>1220</v>
      </c>
      <c r="G1283" s="2">
        <f>Monthly_Growth!$C$13</f>
        <v>821865</v>
      </c>
      <c r="H1283" s="5">
        <f>Monthly_Growth!$D$13</f>
        <v>-0.11495423820256663</v>
      </c>
      <c r="I1283" s="15">
        <f>Yearly_Growth!$C$2</f>
        <v>5.0333827436586778E-2</v>
      </c>
      <c r="J1283" s="15">
        <f>Yearly_Growth!$D$2</f>
        <v>0.03</v>
      </c>
      <c r="K1283">
        <f>Sales_Per_Representative!$C$2</f>
        <v>631195</v>
      </c>
      <c r="L1283">
        <f>Sales_Per_Rep_Yearly_Goal!$B$2</f>
        <v>665544.80000000005</v>
      </c>
      <c r="M1283">
        <f>Sales_Per_Rep_Yearly_Goal!$C$2</f>
        <v>650000</v>
      </c>
    </row>
    <row r="1284" spans="1:13" x14ac:dyDescent="0.3">
      <c r="A1284" s="3">
        <v>45270</v>
      </c>
      <c r="B1284">
        <f t="shared" si="20"/>
        <v>2023</v>
      </c>
      <c r="C1284">
        <v>12</v>
      </c>
      <c r="D1284" t="s">
        <v>28</v>
      </c>
      <c r="E1284" t="s">
        <v>27</v>
      </c>
      <c r="F1284" s="2">
        <v>2941</v>
      </c>
      <c r="G1284" s="2">
        <f>Monthly_Growth!$C$13</f>
        <v>821865</v>
      </c>
      <c r="H1284" s="5">
        <f>Monthly_Growth!$D$13</f>
        <v>-0.11495423820256663</v>
      </c>
      <c r="I1284" s="15">
        <f>Yearly_Growth!$C$2</f>
        <v>5.0333827436586778E-2</v>
      </c>
      <c r="J1284" s="15">
        <f>Yearly_Growth!$D$2</f>
        <v>0.03</v>
      </c>
      <c r="K1284">
        <f>Sales_Per_Representative!$C$5</f>
        <v>747962</v>
      </c>
      <c r="L1284">
        <f>Sales_Per_Rep_Yearly_Goal!$B$2</f>
        <v>665544.80000000005</v>
      </c>
      <c r="M1284">
        <f>Sales_Per_Rep_Yearly_Goal!$C$2</f>
        <v>650000</v>
      </c>
    </row>
    <row r="1285" spans="1:13" x14ac:dyDescent="0.3">
      <c r="A1285" s="3">
        <v>45270</v>
      </c>
      <c r="B1285">
        <f t="shared" si="20"/>
        <v>2023</v>
      </c>
      <c r="C1285">
        <v>12</v>
      </c>
      <c r="D1285" t="s">
        <v>17</v>
      </c>
      <c r="E1285" t="s">
        <v>5</v>
      </c>
      <c r="F1285" s="2">
        <v>3917</v>
      </c>
      <c r="G1285" s="2">
        <f>Monthly_Growth!$C$13</f>
        <v>821865</v>
      </c>
      <c r="H1285" s="5">
        <f>Monthly_Growth!$D$13</f>
        <v>-0.11495423820256663</v>
      </c>
      <c r="I1285" s="15">
        <f>Yearly_Growth!$C$2</f>
        <v>5.0333827436586778E-2</v>
      </c>
      <c r="J1285" s="15">
        <f>Yearly_Growth!$D$2</f>
        <v>0.03</v>
      </c>
      <c r="K1285">
        <f>Sales_Per_Representative!$C$10</f>
        <v>663333</v>
      </c>
      <c r="L1285">
        <f>Sales_Per_Rep_Yearly_Goal!$B$2</f>
        <v>665544.80000000005</v>
      </c>
      <c r="M1285">
        <f>Sales_Per_Rep_Yearly_Goal!$C$2</f>
        <v>650000</v>
      </c>
    </row>
    <row r="1286" spans="1:13" x14ac:dyDescent="0.3">
      <c r="A1286" s="3">
        <v>45270</v>
      </c>
      <c r="B1286">
        <f t="shared" si="20"/>
        <v>2023</v>
      </c>
      <c r="C1286">
        <v>12</v>
      </c>
      <c r="D1286" t="s">
        <v>17</v>
      </c>
      <c r="E1286" t="s">
        <v>18</v>
      </c>
      <c r="F1286" s="2">
        <v>11292</v>
      </c>
      <c r="G1286" s="2">
        <f>Monthly_Growth!$C$13</f>
        <v>821865</v>
      </c>
      <c r="H1286" s="5">
        <f>Monthly_Growth!$D$13</f>
        <v>-0.11495423820256663</v>
      </c>
      <c r="I1286" s="15">
        <f>Yearly_Growth!$C$2</f>
        <v>5.0333827436586778E-2</v>
      </c>
      <c r="J1286" s="15">
        <f>Yearly_Growth!$D$2</f>
        <v>0.03</v>
      </c>
      <c r="K1286">
        <f>Sales_Per_Representative!$C$9</f>
        <v>550835</v>
      </c>
      <c r="L1286">
        <f>Sales_Per_Rep_Yearly_Goal!$B$2</f>
        <v>665544.80000000005</v>
      </c>
      <c r="M1286">
        <f>Sales_Per_Rep_Yearly_Goal!$C$2</f>
        <v>650000</v>
      </c>
    </row>
    <row r="1287" spans="1:13" x14ac:dyDescent="0.3">
      <c r="A1287" s="3">
        <v>45271</v>
      </c>
      <c r="B1287">
        <f t="shared" si="20"/>
        <v>2023</v>
      </c>
      <c r="C1287">
        <v>12</v>
      </c>
      <c r="D1287" t="s">
        <v>14</v>
      </c>
      <c r="E1287" t="s">
        <v>27</v>
      </c>
      <c r="F1287" s="2">
        <v>5197</v>
      </c>
      <c r="G1287" s="2">
        <f>Monthly_Growth!$C$13</f>
        <v>821865</v>
      </c>
      <c r="H1287" s="5">
        <f>Monthly_Growth!$D$13</f>
        <v>-0.11495423820256663</v>
      </c>
      <c r="I1287" s="15">
        <f>Yearly_Growth!$C$2</f>
        <v>5.0333827436586778E-2</v>
      </c>
      <c r="J1287" s="15">
        <f>Yearly_Growth!$D$2</f>
        <v>0.03</v>
      </c>
      <c r="K1287">
        <f>Sales_Per_Representative!$C$5</f>
        <v>747962</v>
      </c>
      <c r="L1287">
        <f>Sales_Per_Rep_Yearly_Goal!$B$2</f>
        <v>665544.80000000005</v>
      </c>
      <c r="M1287">
        <f>Sales_Per_Rep_Yearly_Goal!$C$2</f>
        <v>650000</v>
      </c>
    </row>
    <row r="1288" spans="1:13" x14ac:dyDescent="0.3">
      <c r="A1288" s="3">
        <v>45271</v>
      </c>
      <c r="B1288">
        <f t="shared" si="20"/>
        <v>2023</v>
      </c>
      <c r="C1288">
        <v>12</v>
      </c>
      <c r="D1288" t="s">
        <v>25</v>
      </c>
      <c r="E1288" t="s">
        <v>26</v>
      </c>
      <c r="F1288" s="2">
        <v>10407</v>
      </c>
      <c r="G1288" s="2">
        <f>Monthly_Growth!$C$13</f>
        <v>821865</v>
      </c>
      <c r="H1288" s="5">
        <f>Monthly_Growth!$D$13</f>
        <v>-0.11495423820256663</v>
      </c>
      <c r="I1288" s="15">
        <f>Yearly_Growth!$C$2</f>
        <v>5.0333827436586778E-2</v>
      </c>
      <c r="J1288" s="15">
        <f>Yearly_Growth!$D$2</f>
        <v>0.03</v>
      </c>
      <c r="K1288">
        <f>Sales_Per_Representative!$C$16</f>
        <v>666159</v>
      </c>
      <c r="L1288">
        <f>Sales_Per_Rep_Yearly_Goal!$B$2</f>
        <v>665544.80000000005</v>
      </c>
      <c r="M1288">
        <f>Sales_Per_Rep_Yearly_Goal!$C$2</f>
        <v>650000</v>
      </c>
    </row>
    <row r="1289" spans="1:13" x14ac:dyDescent="0.3">
      <c r="A1289" s="3">
        <v>45271</v>
      </c>
      <c r="B1289">
        <f t="shared" si="20"/>
        <v>2023</v>
      </c>
      <c r="C1289">
        <v>12</v>
      </c>
      <c r="D1289" t="s">
        <v>28</v>
      </c>
      <c r="E1289" t="s">
        <v>5</v>
      </c>
      <c r="F1289" s="2">
        <v>11179</v>
      </c>
      <c r="G1289" s="2">
        <f>Monthly_Growth!$C$13</f>
        <v>821865</v>
      </c>
      <c r="H1289" s="5">
        <f>Monthly_Growth!$D$13</f>
        <v>-0.11495423820256663</v>
      </c>
      <c r="I1289" s="15">
        <f>Yearly_Growth!$C$2</f>
        <v>5.0333827436586778E-2</v>
      </c>
      <c r="J1289" s="15">
        <f>Yearly_Growth!$D$2</f>
        <v>0.03</v>
      </c>
      <c r="K1289">
        <f>Sales_Per_Representative!$C$10</f>
        <v>663333</v>
      </c>
      <c r="L1289">
        <f>Sales_Per_Rep_Yearly_Goal!$B$2</f>
        <v>665544.80000000005</v>
      </c>
      <c r="M1289">
        <f>Sales_Per_Rep_Yearly_Goal!$C$2</f>
        <v>650000</v>
      </c>
    </row>
    <row r="1290" spans="1:13" x14ac:dyDescent="0.3">
      <c r="A1290" s="3">
        <v>45272</v>
      </c>
      <c r="B1290">
        <f t="shared" si="20"/>
        <v>2023</v>
      </c>
      <c r="C1290">
        <v>12</v>
      </c>
      <c r="D1290" t="s">
        <v>19</v>
      </c>
      <c r="E1290" t="s">
        <v>18</v>
      </c>
      <c r="F1290" s="2">
        <v>9285</v>
      </c>
      <c r="G1290" s="2">
        <f>Monthly_Growth!$C$13</f>
        <v>821865</v>
      </c>
      <c r="H1290" s="5">
        <f>Monthly_Growth!$D$13</f>
        <v>-0.11495423820256663</v>
      </c>
      <c r="I1290" s="15">
        <f>Yearly_Growth!$C$2</f>
        <v>5.0333827436586778E-2</v>
      </c>
      <c r="J1290" s="15">
        <f>Yearly_Growth!$D$2</f>
        <v>0.03</v>
      </c>
      <c r="K1290">
        <f>Sales_Per_Representative!$C$9</f>
        <v>550835</v>
      </c>
      <c r="L1290">
        <f>Sales_Per_Rep_Yearly_Goal!$B$2</f>
        <v>665544.80000000005</v>
      </c>
      <c r="M1290">
        <f>Sales_Per_Rep_Yearly_Goal!$C$2</f>
        <v>650000</v>
      </c>
    </row>
    <row r="1291" spans="1:13" x14ac:dyDescent="0.3">
      <c r="A1291" s="3">
        <v>45272</v>
      </c>
      <c r="B1291">
        <f t="shared" si="20"/>
        <v>2023</v>
      </c>
      <c r="C1291">
        <v>12</v>
      </c>
      <c r="D1291" t="s">
        <v>28</v>
      </c>
      <c r="E1291" t="s">
        <v>20</v>
      </c>
      <c r="F1291" s="2">
        <v>3713</v>
      </c>
      <c r="G1291" s="2">
        <f>Monthly_Growth!$C$13</f>
        <v>821865</v>
      </c>
      <c r="H1291" s="5">
        <f>Monthly_Growth!$D$13</f>
        <v>-0.11495423820256663</v>
      </c>
      <c r="I1291" s="15">
        <f>Yearly_Growth!$C$2</f>
        <v>5.0333827436586778E-2</v>
      </c>
      <c r="J1291" s="15">
        <f>Yearly_Growth!$D$2</f>
        <v>0.03</v>
      </c>
      <c r="K1291">
        <f>Sales_Per_Representative!$C$14</f>
        <v>675530</v>
      </c>
      <c r="L1291">
        <f>Sales_Per_Rep_Yearly_Goal!$B$2</f>
        <v>665544.80000000005</v>
      </c>
      <c r="M1291">
        <f>Sales_Per_Rep_Yearly_Goal!$C$2</f>
        <v>650000</v>
      </c>
    </row>
    <row r="1292" spans="1:13" x14ac:dyDescent="0.3">
      <c r="A1292" s="3">
        <v>45272</v>
      </c>
      <c r="B1292">
        <f t="shared" si="20"/>
        <v>2023</v>
      </c>
      <c r="C1292">
        <v>12</v>
      </c>
      <c r="D1292" t="s">
        <v>17</v>
      </c>
      <c r="E1292" t="s">
        <v>26</v>
      </c>
      <c r="F1292" s="2">
        <v>6697</v>
      </c>
      <c r="G1292" s="2">
        <f>Monthly_Growth!$C$13</f>
        <v>821865</v>
      </c>
      <c r="H1292" s="5">
        <f>Monthly_Growth!$D$13</f>
        <v>-0.11495423820256663</v>
      </c>
      <c r="I1292" s="15">
        <f>Yearly_Growth!$C$2</f>
        <v>5.0333827436586778E-2</v>
      </c>
      <c r="J1292" s="15">
        <f>Yearly_Growth!$D$2</f>
        <v>0.03</v>
      </c>
      <c r="K1292">
        <f>Sales_Per_Representative!$C$16</f>
        <v>666159</v>
      </c>
      <c r="L1292">
        <f>Sales_Per_Rep_Yearly_Goal!$B$2</f>
        <v>665544.80000000005</v>
      </c>
      <c r="M1292">
        <f>Sales_Per_Rep_Yearly_Goal!$C$2</f>
        <v>650000</v>
      </c>
    </row>
    <row r="1293" spans="1:13" x14ac:dyDescent="0.3">
      <c r="A1293" s="3">
        <v>45272</v>
      </c>
      <c r="B1293">
        <f t="shared" si="20"/>
        <v>2023</v>
      </c>
      <c r="C1293">
        <v>12</v>
      </c>
      <c r="D1293" t="s">
        <v>17</v>
      </c>
      <c r="E1293" t="s">
        <v>31</v>
      </c>
      <c r="F1293" s="2">
        <v>8886</v>
      </c>
      <c r="G1293" s="2">
        <f>Monthly_Growth!$C$13</f>
        <v>821865</v>
      </c>
      <c r="H1293" s="5">
        <f>Monthly_Growth!$D$13</f>
        <v>-0.11495423820256663</v>
      </c>
      <c r="I1293" s="15">
        <f>Yearly_Growth!$C$2</f>
        <v>5.0333827436586778E-2</v>
      </c>
      <c r="J1293" s="15">
        <f>Yearly_Growth!$D$2</f>
        <v>0.03</v>
      </c>
      <c r="K1293">
        <f>Sales_Per_Representative!$C$6</f>
        <v>727823</v>
      </c>
      <c r="L1293">
        <f>Sales_Per_Rep_Yearly_Goal!$B$2</f>
        <v>665544.80000000005</v>
      </c>
      <c r="M1293">
        <f>Sales_Per_Rep_Yearly_Goal!$C$2</f>
        <v>650000</v>
      </c>
    </row>
    <row r="1294" spans="1:13" x14ac:dyDescent="0.3">
      <c r="A1294" s="3">
        <v>45273</v>
      </c>
      <c r="B1294">
        <f t="shared" si="20"/>
        <v>2023</v>
      </c>
      <c r="C1294">
        <v>12</v>
      </c>
      <c r="D1294" t="s">
        <v>12</v>
      </c>
      <c r="E1294" t="s">
        <v>30</v>
      </c>
      <c r="F1294" s="2">
        <v>5607</v>
      </c>
      <c r="G1294" s="2">
        <f>Monthly_Growth!$C$13</f>
        <v>821865</v>
      </c>
      <c r="H1294" s="5">
        <f>Monthly_Growth!$D$13</f>
        <v>-0.11495423820256663</v>
      </c>
      <c r="I1294" s="15">
        <f>Yearly_Growth!$C$2</f>
        <v>5.0333827436586778E-2</v>
      </c>
      <c r="J1294" s="15">
        <f>Yearly_Growth!$D$2</f>
        <v>0.03</v>
      </c>
      <c r="K1294">
        <f>Sales_Per_Representative!$C$7</f>
        <v>706974</v>
      </c>
      <c r="L1294">
        <f>Sales_Per_Rep_Yearly_Goal!$B$2</f>
        <v>665544.80000000005</v>
      </c>
      <c r="M1294">
        <f>Sales_Per_Rep_Yearly_Goal!$C$2</f>
        <v>650000</v>
      </c>
    </row>
    <row r="1295" spans="1:13" x14ac:dyDescent="0.3">
      <c r="A1295" s="3">
        <v>45274</v>
      </c>
      <c r="B1295">
        <f t="shared" si="20"/>
        <v>2023</v>
      </c>
      <c r="C1295">
        <v>12</v>
      </c>
      <c r="D1295" t="s">
        <v>23</v>
      </c>
      <c r="E1295" t="s">
        <v>24</v>
      </c>
      <c r="F1295" s="2">
        <v>5632</v>
      </c>
      <c r="G1295" s="2">
        <f>Monthly_Growth!$C$13</f>
        <v>821865</v>
      </c>
      <c r="H1295" s="5">
        <f>Monthly_Growth!$D$13</f>
        <v>-0.11495423820256663</v>
      </c>
      <c r="I1295" s="15">
        <f>Yearly_Growth!$C$2</f>
        <v>5.0333827436586778E-2</v>
      </c>
      <c r="J1295" s="15">
        <f>Yearly_Growth!$D$2</f>
        <v>0.03</v>
      </c>
      <c r="K1295">
        <f>Sales_Per_Representative!$C$2</f>
        <v>631195</v>
      </c>
      <c r="L1295">
        <f>Sales_Per_Rep_Yearly_Goal!$B$2</f>
        <v>665544.80000000005</v>
      </c>
      <c r="M1295">
        <f>Sales_Per_Rep_Yearly_Goal!$C$2</f>
        <v>650000</v>
      </c>
    </row>
    <row r="1296" spans="1:13" x14ac:dyDescent="0.3">
      <c r="A1296" s="3">
        <v>45274</v>
      </c>
      <c r="B1296">
        <f t="shared" si="20"/>
        <v>2023</v>
      </c>
      <c r="C1296">
        <v>12</v>
      </c>
      <c r="D1296" t="s">
        <v>17</v>
      </c>
      <c r="E1296" t="s">
        <v>29</v>
      </c>
      <c r="F1296" s="2">
        <v>7358</v>
      </c>
      <c r="G1296" s="2">
        <f>Monthly_Growth!$C$13</f>
        <v>821865</v>
      </c>
      <c r="H1296" s="5">
        <f>Monthly_Growth!$D$13</f>
        <v>-0.11495423820256663</v>
      </c>
      <c r="I1296" s="15">
        <f>Yearly_Growth!$C$2</f>
        <v>5.0333827436586778E-2</v>
      </c>
      <c r="J1296" s="15">
        <f>Yearly_Growth!$D$2</f>
        <v>0.03</v>
      </c>
      <c r="K1296">
        <f>Sales_Per_Representative!$C$13</f>
        <v>621548</v>
      </c>
      <c r="L1296">
        <f>Sales_Per_Rep_Yearly_Goal!$B$2</f>
        <v>665544.80000000005</v>
      </c>
      <c r="M1296">
        <f>Sales_Per_Rep_Yearly_Goal!$C$2</f>
        <v>650000</v>
      </c>
    </row>
    <row r="1297" spans="1:13" x14ac:dyDescent="0.3">
      <c r="A1297" s="3">
        <v>45274</v>
      </c>
      <c r="B1297">
        <f t="shared" si="20"/>
        <v>2023</v>
      </c>
      <c r="C1297">
        <v>12</v>
      </c>
      <c r="D1297" t="s">
        <v>12</v>
      </c>
      <c r="E1297" t="s">
        <v>26</v>
      </c>
      <c r="F1297" s="2">
        <v>8686</v>
      </c>
      <c r="G1297" s="2">
        <f>Monthly_Growth!$C$13</f>
        <v>821865</v>
      </c>
      <c r="H1297" s="5">
        <f>Monthly_Growth!$D$13</f>
        <v>-0.11495423820256663</v>
      </c>
      <c r="I1297" s="15">
        <f>Yearly_Growth!$C$2</f>
        <v>5.0333827436586778E-2</v>
      </c>
      <c r="J1297" s="15">
        <f>Yearly_Growth!$D$2</f>
        <v>0.03</v>
      </c>
      <c r="K1297">
        <f>Sales_Per_Representative!$C$16</f>
        <v>666159</v>
      </c>
      <c r="L1297">
        <f>Sales_Per_Rep_Yearly_Goal!$B$2</f>
        <v>665544.80000000005</v>
      </c>
      <c r="M1297">
        <f>Sales_Per_Rep_Yearly_Goal!$C$2</f>
        <v>650000</v>
      </c>
    </row>
    <row r="1298" spans="1:13" x14ac:dyDescent="0.3">
      <c r="A1298" s="3">
        <v>45275</v>
      </c>
      <c r="B1298">
        <f t="shared" si="20"/>
        <v>2023</v>
      </c>
      <c r="C1298">
        <v>12</v>
      </c>
      <c r="D1298" t="s">
        <v>7</v>
      </c>
      <c r="E1298" t="s">
        <v>10</v>
      </c>
      <c r="F1298" s="2">
        <v>10898</v>
      </c>
      <c r="G1298" s="2">
        <f>Monthly_Growth!$C$13</f>
        <v>821865</v>
      </c>
      <c r="H1298" s="5">
        <f>Monthly_Growth!$D$13</f>
        <v>-0.11495423820256663</v>
      </c>
      <c r="I1298" s="15">
        <f>Yearly_Growth!$C$2</f>
        <v>5.0333827436586778E-2</v>
      </c>
      <c r="J1298" s="15">
        <f>Yearly_Growth!$D$2</f>
        <v>0.03</v>
      </c>
      <c r="K1298">
        <f>Sales_Per_Representative!$C$4</f>
        <v>725713</v>
      </c>
      <c r="L1298">
        <f>Sales_Per_Rep_Yearly_Goal!$B$2</f>
        <v>665544.80000000005</v>
      </c>
      <c r="M1298">
        <f>Sales_Per_Rep_Yearly_Goal!$C$2</f>
        <v>650000</v>
      </c>
    </row>
    <row r="1299" spans="1:13" x14ac:dyDescent="0.3">
      <c r="A1299" s="3">
        <v>45276</v>
      </c>
      <c r="B1299">
        <f t="shared" si="20"/>
        <v>2023</v>
      </c>
      <c r="C1299">
        <v>12</v>
      </c>
      <c r="D1299" t="s">
        <v>25</v>
      </c>
      <c r="E1299" t="s">
        <v>27</v>
      </c>
      <c r="F1299" s="2">
        <v>3717</v>
      </c>
      <c r="G1299" s="2">
        <f>Monthly_Growth!$C$13</f>
        <v>821865</v>
      </c>
      <c r="H1299" s="5">
        <f>Monthly_Growth!$D$13</f>
        <v>-0.11495423820256663</v>
      </c>
      <c r="I1299" s="15">
        <f>Yearly_Growth!$C$2</f>
        <v>5.0333827436586778E-2</v>
      </c>
      <c r="J1299" s="15">
        <f>Yearly_Growth!$D$2</f>
        <v>0.03</v>
      </c>
      <c r="K1299">
        <f>Sales_Per_Representative!$C$5</f>
        <v>747962</v>
      </c>
      <c r="L1299">
        <f>Sales_Per_Rep_Yearly_Goal!$B$2</f>
        <v>665544.80000000005</v>
      </c>
      <c r="M1299">
        <f>Sales_Per_Rep_Yearly_Goal!$C$2</f>
        <v>650000</v>
      </c>
    </row>
    <row r="1300" spans="1:13" x14ac:dyDescent="0.3">
      <c r="A1300" s="3">
        <v>45277</v>
      </c>
      <c r="B1300">
        <f t="shared" si="20"/>
        <v>2023</v>
      </c>
      <c r="C1300">
        <v>12</v>
      </c>
      <c r="D1300" t="s">
        <v>23</v>
      </c>
      <c r="E1300" t="s">
        <v>30</v>
      </c>
      <c r="F1300" s="2">
        <v>5736</v>
      </c>
      <c r="G1300" s="2">
        <f>Monthly_Growth!$C$13</f>
        <v>821865</v>
      </c>
      <c r="H1300" s="5">
        <f>Monthly_Growth!$D$13</f>
        <v>-0.11495423820256663</v>
      </c>
      <c r="I1300" s="15">
        <f>Yearly_Growth!$C$2</f>
        <v>5.0333827436586778E-2</v>
      </c>
      <c r="J1300" s="15">
        <f>Yearly_Growth!$D$2</f>
        <v>0.03</v>
      </c>
      <c r="K1300">
        <f>Sales_Per_Representative!$C$7</f>
        <v>706974</v>
      </c>
      <c r="L1300">
        <f>Sales_Per_Rep_Yearly_Goal!$B$2</f>
        <v>665544.80000000005</v>
      </c>
      <c r="M1300">
        <f>Sales_Per_Rep_Yearly_Goal!$C$2</f>
        <v>650000</v>
      </c>
    </row>
    <row r="1301" spans="1:13" x14ac:dyDescent="0.3">
      <c r="A1301" s="3">
        <v>45278</v>
      </c>
      <c r="B1301">
        <f t="shared" si="20"/>
        <v>2023</v>
      </c>
      <c r="C1301">
        <v>12</v>
      </c>
      <c r="D1301" t="s">
        <v>14</v>
      </c>
      <c r="E1301" t="s">
        <v>5</v>
      </c>
      <c r="F1301" s="2">
        <v>8833</v>
      </c>
      <c r="G1301" s="2">
        <f>Monthly_Growth!$C$13</f>
        <v>821865</v>
      </c>
      <c r="H1301" s="5">
        <f>Monthly_Growth!$D$13</f>
        <v>-0.11495423820256663</v>
      </c>
      <c r="I1301" s="15">
        <f>Yearly_Growth!$C$2</f>
        <v>5.0333827436586778E-2</v>
      </c>
      <c r="J1301" s="15">
        <f>Yearly_Growth!$D$2</f>
        <v>0.03</v>
      </c>
      <c r="K1301">
        <f>Sales_Per_Representative!$C$10</f>
        <v>663333</v>
      </c>
      <c r="L1301">
        <f>Sales_Per_Rep_Yearly_Goal!$B$2</f>
        <v>665544.80000000005</v>
      </c>
      <c r="M1301">
        <f>Sales_Per_Rep_Yearly_Goal!$C$2</f>
        <v>650000</v>
      </c>
    </row>
    <row r="1302" spans="1:13" x14ac:dyDescent="0.3">
      <c r="A1302" s="3">
        <v>45278</v>
      </c>
      <c r="B1302">
        <f t="shared" si="20"/>
        <v>2023</v>
      </c>
      <c r="C1302">
        <v>12</v>
      </c>
      <c r="D1302" t="s">
        <v>19</v>
      </c>
      <c r="E1302" t="s">
        <v>26</v>
      </c>
      <c r="F1302" s="2">
        <v>4877</v>
      </c>
      <c r="G1302" s="2">
        <f>Monthly_Growth!$C$13</f>
        <v>821865</v>
      </c>
      <c r="H1302" s="5">
        <f>Monthly_Growth!$D$13</f>
        <v>-0.11495423820256663</v>
      </c>
      <c r="I1302" s="15">
        <f>Yearly_Growth!$C$2</f>
        <v>5.0333827436586778E-2</v>
      </c>
      <c r="J1302" s="15">
        <f>Yearly_Growth!$D$2</f>
        <v>0.03</v>
      </c>
      <c r="K1302">
        <f>Sales_Per_Representative!$C$16</f>
        <v>666159</v>
      </c>
      <c r="L1302">
        <f>Sales_Per_Rep_Yearly_Goal!$B$2</f>
        <v>665544.80000000005</v>
      </c>
      <c r="M1302">
        <f>Sales_Per_Rep_Yearly_Goal!$C$2</f>
        <v>650000</v>
      </c>
    </row>
    <row r="1303" spans="1:13" x14ac:dyDescent="0.3">
      <c r="A1303" s="3">
        <v>45278</v>
      </c>
      <c r="B1303">
        <f t="shared" si="20"/>
        <v>2023</v>
      </c>
      <c r="C1303">
        <v>12</v>
      </c>
      <c r="D1303" t="s">
        <v>19</v>
      </c>
      <c r="E1303" t="s">
        <v>29</v>
      </c>
      <c r="F1303" s="2">
        <v>11435</v>
      </c>
      <c r="G1303" s="2">
        <f>Monthly_Growth!$C$13</f>
        <v>821865</v>
      </c>
      <c r="H1303" s="5">
        <f>Monthly_Growth!$D$13</f>
        <v>-0.11495423820256663</v>
      </c>
      <c r="I1303" s="15">
        <f>Yearly_Growth!$C$2</f>
        <v>5.0333827436586778E-2</v>
      </c>
      <c r="J1303" s="15">
        <f>Yearly_Growth!$D$2</f>
        <v>0.03</v>
      </c>
      <c r="K1303">
        <f>Sales_Per_Representative!$C$13</f>
        <v>621548</v>
      </c>
      <c r="L1303">
        <f>Sales_Per_Rep_Yearly_Goal!$B$2</f>
        <v>665544.80000000005</v>
      </c>
      <c r="M1303">
        <f>Sales_Per_Rep_Yearly_Goal!$C$2</f>
        <v>650000</v>
      </c>
    </row>
    <row r="1304" spans="1:13" x14ac:dyDescent="0.3">
      <c r="A1304" s="3">
        <v>45278</v>
      </c>
      <c r="B1304">
        <f t="shared" si="20"/>
        <v>2023</v>
      </c>
      <c r="C1304">
        <v>12</v>
      </c>
      <c r="D1304" t="s">
        <v>23</v>
      </c>
      <c r="E1304" t="s">
        <v>29</v>
      </c>
      <c r="F1304" s="2">
        <v>1921</v>
      </c>
      <c r="G1304" s="2">
        <f>Monthly_Growth!$C$13</f>
        <v>821865</v>
      </c>
      <c r="H1304" s="5">
        <f>Monthly_Growth!$D$13</f>
        <v>-0.11495423820256663</v>
      </c>
      <c r="I1304" s="15">
        <f>Yearly_Growth!$C$2</f>
        <v>5.0333827436586778E-2</v>
      </c>
      <c r="J1304" s="15">
        <f>Yearly_Growth!$D$2</f>
        <v>0.03</v>
      </c>
      <c r="K1304">
        <f>Sales_Per_Representative!$C$13</f>
        <v>621548</v>
      </c>
      <c r="L1304">
        <f>Sales_Per_Rep_Yearly_Goal!$B$2</f>
        <v>665544.80000000005</v>
      </c>
      <c r="M1304">
        <f>Sales_Per_Rep_Yearly_Goal!$C$2</f>
        <v>650000</v>
      </c>
    </row>
    <row r="1305" spans="1:13" x14ac:dyDescent="0.3">
      <c r="A1305" s="3">
        <v>45278</v>
      </c>
      <c r="B1305">
        <f t="shared" si="20"/>
        <v>2023</v>
      </c>
      <c r="C1305">
        <v>12</v>
      </c>
      <c r="D1305" t="s">
        <v>25</v>
      </c>
      <c r="E1305" t="s">
        <v>22</v>
      </c>
      <c r="F1305" s="2">
        <v>2583</v>
      </c>
      <c r="G1305" s="2">
        <f>Monthly_Growth!$C$13</f>
        <v>821865</v>
      </c>
      <c r="H1305" s="5">
        <f>Monthly_Growth!$D$13</f>
        <v>-0.11495423820256663</v>
      </c>
      <c r="I1305" s="15">
        <f>Yearly_Growth!$C$2</f>
        <v>5.0333827436586778E-2</v>
      </c>
      <c r="J1305" s="15">
        <f>Yearly_Growth!$D$2</f>
        <v>0.03</v>
      </c>
      <c r="K1305">
        <f>Sales_Per_Representative!$C$8</f>
        <v>649456</v>
      </c>
      <c r="L1305">
        <f>Sales_Per_Rep_Yearly_Goal!$B$2</f>
        <v>665544.80000000005</v>
      </c>
      <c r="M1305">
        <f>Sales_Per_Rep_Yearly_Goal!$C$2</f>
        <v>650000</v>
      </c>
    </row>
    <row r="1306" spans="1:13" x14ac:dyDescent="0.3">
      <c r="A1306" s="3">
        <v>45278</v>
      </c>
      <c r="B1306">
        <f t="shared" si="20"/>
        <v>2023</v>
      </c>
      <c r="C1306">
        <v>12</v>
      </c>
      <c r="D1306" t="s">
        <v>28</v>
      </c>
      <c r="E1306" t="s">
        <v>30</v>
      </c>
      <c r="F1306" s="2">
        <v>8007</v>
      </c>
      <c r="G1306" s="2">
        <f>Monthly_Growth!$C$13</f>
        <v>821865</v>
      </c>
      <c r="H1306" s="5">
        <f>Monthly_Growth!$D$13</f>
        <v>-0.11495423820256663</v>
      </c>
      <c r="I1306" s="15">
        <f>Yearly_Growth!$C$2</f>
        <v>5.0333827436586778E-2</v>
      </c>
      <c r="J1306" s="15">
        <f>Yearly_Growth!$D$2</f>
        <v>0.03</v>
      </c>
      <c r="K1306">
        <f>Sales_Per_Representative!$C$7</f>
        <v>706974</v>
      </c>
      <c r="L1306">
        <f>Sales_Per_Rep_Yearly_Goal!$B$2</f>
        <v>665544.80000000005</v>
      </c>
      <c r="M1306">
        <f>Sales_Per_Rep_Yearly_Goal!$C$2</f>
        <v>650000</v>
      </c>
    </row>
    <row r="1307" spans="1:13" x14ac:dyDescent="0.3">
      <c r="A1307" s="3">
        <v>45278</v>
      </c>
      <c r="B1307">
        <f t="shared" si="20"/>
        <v>2023</v>
      </c>
      <c r="C1307">
        <v>12</v>
      </c>
      <c r="D1307" t="s">
        <v>12</v>
      </c>
      <c r="E1307" t="s">
        <v>15</v>
      </c>
      <c r="F1307" s="2">
        <v>10668</v>
      </c>
      <c r="G1307" s="2">
        <f>Monthly_Growth!$C$13</f>
        <v>821865</v>
      </c>
      <c r="H1307" s="5">
        <f>Monthly_Growth!$D$13</f>
        <v>-0.11495423820256663</v>
      </c>
      <c r="I1307" s="15">
        <f>Yearly_Growth!$C$2</f>
        <v>5.0333827436586778E-2</v>
      </c>
      <c r="J1307" s="15">
        <f>Yearly_Growth!$D$2</f>
        <v>0.03</v>
      </c>
      <c r="K1307">
        <f>Sales_Per_Representative!$C$12</f>
        <v>656359</v>
      </c>
      <c r="L1307">
        <f>Sales_Per_Rep_Yearly_Goal!$B$2</f>
        <v>665544.80000000005</v>
      </c>
      <c r="M1307">
        <f>Sales_Per_Rep_Yearly_Goal!$C$2</f>
        <v>650000</v>
      </c>
    </row>
    <row r="1308" spans="1:13" x14ac:dyDescent="0.3">
      <c r="A1308" s="3">
        <v>45279</v>
      </c>
      <c r="B1308">
        <f t="shared" si="20"/>
        <v>2023</v>
      </c>
      <c r="C1308">
        <v>12</v>
      </c>
      <c r="D1308" t="s">
        <v>19</v>
      </c>
      <c r="E1308" t="s">
        <v>24</v>
      </c>
      <c r="F1308" s="2">
        <v>6287</v>
      </c>
      <c r="G1308" s="2">
        <f>Monthly_Growth!$C$13</f>
        <v>821865</v>
      </c>
      <c r="H1308" s="5">
        <f>Monthly_Growth!$D$13</f>
        <v>-0.11495423820256663</v>
      </c>
      <c r="I1308" s="15">
        <f>Yearly_Growth!$C$2</f>
        <v>5.0333827436586778E-2</v>
      </c>
      <c r="J1308" s="15">
        <f>Yearly_Growth!$D$2</f>
        <v>0.03</v>
      </c>
      <c r="K1308">
        <f>Sales_Per_Representative!$C$2</f>
        <v>631195</v>
      </c>
      <c r="L1308">
        <f>Sales_Per_Rep_Yearly_Goal!$B$2</f>
        <v>665544.80000000005</v>
      </c>
      <c r="M1308">
        <f>Sales_Per_Rep_Yearly_Goal!$C$2</f>
        <v>650000</v>
      </c>
    </row>
    <row r="1309" spans="1:13" x14ac:dyDescent="0.3">
      <c r="A1309" s="3">
        <v>45279</v>
      </c>
      <c r="B1309">
        <f t="shared" si="20"/>
        <v>2023</v>
      </c>
      <c r="C1309">
        <v>12</v>
      </c>
      <c r="D1309" t="s">
        <v>23</v>
      </c>
      <c r="E1309" t="s">
        <v>32</v>
      </c>
      <c r="F1309" s="2">
        <v>2494</v>
      </c>
      <c r="G1309" s="2">
        <f>Monthly_Growth!$C$13</f>
        <v>821865</v>
      </c>
      <c r="H1309" s="5">
        <f>Monthly_Growth!$D$13</f>
        <v>-0.11495423820256663</v>
      </c>
      <c r="I1309" s="15">
        <f>Yearly_Growth!$C$2</f>
        <v>5.0333827436586778E-2</v>
      </c>
      <c r="J1309" s="15">
        <f>Yearly_Growth!$D$2</f>
        <v>0.03</v>
      </c>
      <c r="K1309">
        <f>Sales_Per_Representative!$C$3</f>
        <v>762157</v>
      </c>
      <c r="L1309">
        <f>Sales_Per_Rep_Yearly_Goal!$B$2</f>
        <v>665544.80000000005</v>
      </c>
      <c r="M1309">
        <f>Sales_Per_Rep_Yearly_Goal!$C$2</f>
        <v>650000</v>
      </c>
    </row>
    <row r="1310" spans="1:13" x14ac:dyDescent="0.3">
      <c r="A1310" s="3">
        <v>45279</v>
      </c>
      <c r="B1310">
        <f t="shared" si="20"/>
        <v>2023</v>
      </c>
      <c r="C1310">
        <v>12</v>
      </c>
      <c r="D1310" t="s">
        <v>23</v>
      </c>
      <c r="E1310" t="s">
        <v>22</v>
      </c>
      <c r="F1310" s="2">
        <v>11568</v>
      </c>
      <c r="G1310" s="2">
        <f>Monthly_Growth!$C$13</f>
        <v>821865</v>
      </c>
      <c r="H1310" s="5">
        <f>Monthly_Growth!$D$13</f>
        <v>-0.11495423820256663</v>
      </c>
      <c r="I1310" s="15">
        <f>Yearly_Growth!$C$2</f>
        <v>5.0333827436586778E-2</v>
      </c>
      <c r="J1310" s="15">
        <f>Yearly_Growth!$D$2</f>
        <v>0.03</v>
      </c>
      <c r="K1310">
        <f>Sales_Per_Representative!$C$8</f>
        <v>649456</v>
      </c>
      <c r="L1310">
        <f>Sales_Per_Rep_Yearly_Goal!$B$2</f>
        <v>665544.80000000005</v>
      </c>
      <c r="M1310">
        <f>Sales_Per_Rep_Yearly_Goal!$C$2</f>
        <v>650000</v>
      </c>
    </row>
    <row r="1311" spans="1:13" x14ac:dyDescent="0.3">
      <c r="A1311" s="3">
        <v>45279</v>
      </c>
      <c r="B1311">
        <f t="shared" si="20"/>
        <v>2023</v>
      </c>
      <c r="C1311">
        <v>12</v>
      </c>
      <c r="D1311" t="s">
        <v>25</v>
      </c>
      <c r="E1311" t="s">
        <v>15</v>
      </c>
      <c r="F1311" s="2">
        <v>3952</v>
      </c>
      <c r="G1311" s="2">
        <f>Monthly_Growth!$C$13</f>
        <v>821865</v>
      </c>
      <c r="H1311" s="5">
        <f>Monthly_Growth!$D$13</f>
        <v>-0.11495423820256663</v>
      </c>
      <c r="I1311" s="15">
        <f>Yearly_Growth!$C$2</f>
        <v>5.0333827436586778E-2</v>
      </c>
      <c r="J1311" s="15">
        <f>Yearly_Growth!$D$2</f>
        <v>0.03</v>
      </c>
      <c r="K1311">
        <f>Sales_Per_Representative!$C$12</f>
        <v>656359</v>
      </c>
      <c r="L1311">
        <f>Sales_Per_Rep_Yearly_Goal!$B$2</f>
        <v>665544.80000000005</v>
      </c>
      <c r="M1311">
        <f>Sales_Per_Rep_Yearly_Goal!$C$2</f>
        <v>650000</v>
      </c>
    </row>
    <row r="1312" spans="1:13" x14ac:dyDescent="0.3">
      <c r="A1312" s="3">
        <v>45279</v>
      </c>
      <c r="B1312">
        <f t="shared" si="20"/>
        <v>2023</v>
      </c>
      <c r="C1312">
        <v>12</v>
      </c>
      <c r="D1312" t="s">
        <v>28</v>
      </c>
      <c r="E1312" t="s">
        <v>26</v>
      </c>
      <c r="F1312" s="2">
        <v>9315</v>
      </c>
      <c r="G1312" s="2">
        <f>Monthly_Growth!$C$13</f>
        <v>821865</v>
      </c>
      <c r="H1312" s="5">
        <f>Monthly_Growth!$D$13</f>
        <v>-0.11495423820256663</v>
      </c>
      <c r="I1312" s="15">
        <f>Yearly_Growth!$C$2</f>
        <v>5.0333827436586778E-2</v>
      </c>
      <c r="J1312" s="15">
        <f>Yearly_Growth!$D$2</f>
        <v>0.03</v>
      </c>
      <c r="K1312">
        <f>Sales_Per_Representative!$C$16</f>
        <v>666159</v>
      </c>
      <c r="L1312">
        <f>Sales_Per_Rep_Yearly_Goal!$B$2</f>
        <v>665544.80000000005</v>
      </c>
      <c r="M1312">
        <f>Sales_Per_Rep_Yearly_Goal!$C$2</f>
        <v>650000</v>
      </c>
    </row>
    <row r="1313" spans="1:13" x14ac:dyDescent="0.3">
      <c r="A1313" s="3">
        <v>45280</v>
      </c>
      <c r="B1313">
        <f t="shared" si="20"/>
        <v>2023</v>
      </c>
      <c r="C1313">
        <v>12</v>
      </c>
      <c r="D1313" t="s">
        <v>25</v>
      </c>
      <c r="E1313" t="s">
        <v>30</v>
      </c>
      <c r="F1313" s="2">
        <v>4404</v>
      </c>
      <c r="G1313" s="2">
        <f>Monthly_Growth!$C$13</f>
        <v>821865</v>
      </c>
      <c r="H1313" s="5">
        <f>Monthly_Growth!$D$13</f>
        <v>-0.11495423820256663</v>
      </c>
      <c r="I1313" s="15">
        <f>Yearly_Growth!$C$2</f>
        <v>5.0333827436586778E-2</v>
      </c>
      <c r="J1313" s="15">
        <f>Yearly_Growth!$D$2</f>
        <v>0.03</v>
      </c>
      <c r="K1313">
        <f>Sales_Per_Representative!$C$7</f>
        <v>706974</v>
      </c>
      <c r="L1313">
        <f>Sales_Per_Rep_Yearly_Goal!$B$2</f>
        <v>665544.80000000005</v>
      </c>
      <c r="M1313">
        <f>Sales_Per_Rep_Yearly_Goal!$C$2</f>
        <v>650000</v>
      </c>
    </row>
    <row r="1314" spans="1:13" x14ac:dyDescent="0.3">
      <c r="A1314" s="3">
        <v>45280</v>
      </c>
      <c r="B1314">
        <f t="shared" si="20"/>
        <v>2023</v>
      </c>
      <c r="C1314">
        <v>12</v>
      </c>
      <c r="D1314" t="s">
        <v>17</v>
      </c>
      <c r="E1314" t="s">
        <v>26</v>
      </c>
      <c r="F1314" s="2">
        <v>8299</v>
      </c>
      <c r="G1314" s="2">
        <f>Monthly_Growth!$C$13</f>
        <v>821865</v>
      </c>
      <c r="H1314" s="5">
        <f>Monthly_Growth!$D$13</f>
        <v>-0.11495423820256663</v>
      </c>
      <c r="I1314" s="15">
        <f>Yearly_Growth!$C$2</f>
        <v>5.0333827436586778E-2</v>
      </c>
      <c r="J1314" s="15">
        <f>Yearly_Growth!$D$2</f>
        <v>0.03</v>
      </c>
      <c r="K1314">
        <f>Sales_Per_Representative!$C$16</f>
        <v>666159</v>
      </c>
      <c r="L1314">
        <f>Sales_Per_Rep_Yearly_Goal!$B$2</f>
        <v>665544.80000000005</v>
      </c>
      <c r="M1314">
        <f>Sales_Per_Rep_Yearly_Goal!$C$2</f>
        <v>650000</v>
      </c>
    </row>
    <row r="1315" spans="1:13" x14ac:dyDescent="0.3">
      <c r="A1315" s="3">
        <v>45281</v>
      </c>
      <c r="B1315">
        <f t="shared" si="20"/>
        <v>2023</v>
      </c>
      <c r="C1315">
        <v>12</v>
      </c>
      <c r="D1315" t="s">
        <v>14</v>
      </c>
      <c r="E1315" t="s">
        <v>33</v>
      </c>
      <c r="F1315" s="2">
        <v>9428</v>
      </c>
      <c r="G1315" s="2">
        <f>Monthly_Growth!$C$13</f>
        <v>821865</v>
      </c>
      <c r="H1315" s="5">
        <f>Monthly_Growth!$D$13</f>
        <v>-0.11495423820256663</v>
      </c>
      <c r="I1315" s="15">
        <f>Yearly_Growth!$C$2</f>
        <v>5.0333827436586778E-2</v>
      </c>
      <c r="J1315" s="15">
        <f>Yearly_Growth!$D$2</f>
        <v>0.03</v>
      </c>
      <c r="K1315">
        <f>Sales_Per_Representative!$C$11</f>
        <v>496886</v>
      </c>
      <c r="L1315">
        <f>Sales_Per_Rep_Yearly_Goal!$B$2</f>
        <v>665544.80000000005</v>
      </c>
      <c r="M1315">
        <f>Sales_Per_Rep_Yearly_Goal!$C$2</f>
        <v>650000</v>
      </c>
    </row>
    <row r="1316" spans="1:13" x14ac:dyDescent="0.3">
      <c r="A1316" s="3">
        <v>45281</v>
      </c>
      <c r="B1316">
        <f t="shared" si="20"/>
        <v>2023</v>
      </c>
      <c r="C1316">
        <v>12</v>
      </c>
      <c r="D1316" t="s">
        <v>23</v>
      </c>
      <c r="E1316" t="s">
        <v>27</v>
      </c>
      <c r="F1316" s="2">
        <v>8307</v>
      </c>
      <c r="G1316" s="2">
        <f>Monthly_Growth!$C$13</f>
        <v>821865</v>
      </c>
      <c r="H1316" s="5">
        <f>Monthly_Growth!$D$13</f>
        <v>-0.11495423820256663</v>
      </c>
      <c r="I1316" s="15">
        <f>Yearly_Growth!$C$2</f>
        <v>5.0333827436586778E-2</v>
      </c>
      <c r="J1316" s="15">
        <f>Yearly_Growth!$D$2</f>
        <v>0.03</v>
      </c>
      <c r="K1316">
        <f>Sales_Per_Representative!$C$5</f>
        <v>747962</v>
      </c>
      <c r="L1316">
        <f>Sales_Per_Rep_Yearly_Goal!$B$2</f>
        <v>665544.80000000005</v>
      </c>
      <c r="M1316">
        <f>Sales_Per_Rep_Yearly_Goal!$C$2</f>
        <v>650000</v>
      </c>
    </row>
    <row r="1317" spans="1:13" x14ac:dyDescent="0.3">
      <c r="A1317" s="3">
        <v>45281</v>
      </c>
      <c r="B1317">
        <f t="shared" si="20"/>
        <v>2023</v>
      </c>
      <c r="C1317">
        <v>12</v>
      </c>
      <c r="D1317" t="s">
        <v>25</v>
      </c>
      <c r="E1317" t="s">
        <v>22</v>
      </c>
      <c r="F1317" s="2">
        <v>3600</v>
      </c>
      <c r="G1317" s="2">
        <f>Monthly_Growth!$C$13</f>
        <v>821865</v>
      </c>
      <c r="H1317" s="5">
        <f>Monthly_Growth!$D$13</f>
        <v>-0.11495423820256663</v>
      </c>
      <c r="I1317" s="15">
        <f>Yearly_Growth!$C$2</f>
        <v>5.0333827436586778E-2</v>
      </c>
      <c r="J1317" s="15">
        <f>Yearly_Growth!$D$2</f>
        <v>0.03</v>
      </c>
      <c r="K1317">
        <f>Sales_Per_Representative!$C$8</f>
        <v>649456</v>
      </c>
      <c r="L1317">
        <f>Sales_Per_Rep_Yearly_Goal!$B$2</f>
        <v>665544.80000000005</v>
      </c>
      <c r="M1317">
        <f>Sales_Per_Rep_Yearly_Goal!$C$2</f>
        <v>650000</v>
      </c>
    </row>
    <row r="1318" spans="1:13" x14ac:dyDescent="0.3">
      <c r="A1318" s="3">
        <v>45281</v>
      </c>
      <c r="B1318">
        <f t="shared" si="20"/>
        <v>2023</v>
      </c>
      <c r="C1318">
        <v>12</v>
      </c>
      <c r="D1318" t="s">
        <v>25</v>
      </c>
      <c r="E1318" t="s">
        <v>32</v>
      </c>
      <c r="F1318" s="2">
        <v>4920</v>
      </c>
      <c r="G1318" s="2">
        <f>Monthly_Growth!$C$13</f>
        <v>821865</v>
      </c>
      <c r="H1318" s="5">
        <f>Monthly_Growth!$D$13</f>
        <v>-0.11495423820256663</v>
      </c>
      <c r="I1318" s="15">
        <f>Yearly_Growth!$C$2</f>
        <v>5.0333827436586778E-2</v>
      </c>
      <c r="J1318" s="15">
        <f>Yearly_Growth!$D$2</f>
        <v>0.03</v>
      </c>
      <c r="K1318">
        <f>Sales_Per_Representative!$C$3</f>
        <v>762157</v>
      </c>
      <c r="L1318">
        <f>Sales_Per_Rep_Yearly_Goal!$B$2</f>
        <v>665544.80000000005</v>
      </c>
      <c r="M1318">
        <f>Sales_Per_Rep_Yearly_Goal!$C$2</f>
        <v>650000</v>
      </c>
    </row>
    <row r="1319" spans="1:13" x14ac:dyDescent="0.3">
      <c r="A1319" s="3">
        <v>45281</v>
      </c>
      <c r="B1319">
        <f t="shared" si="20"/>
        <v>2023</v>
      </c>
      <c r="C1319">
        <v>12</v>
      </c>
      <c r="D1319" t="s">
        <v>12</v>
      </c>
      <c r="E1319" t="s">
        <v>10</v>
      </c>
      <c r="F1319" s="2">
        <v>2307</v>
      </c>
      <c r="G1319" s="2">
        <f>Monthly_Growth!$C$13</f>
        <v>821865</v>
      </c>
      <c r="H1319" s="5">
        <f>Monthly_Growth!$D$13</f>
        <v>-0.11495423820256663</v>
      </c>
      <c r="I1319" s="15">
        <f>Yearly_Growth!$C$2</f>
        <v>5.0333827436586778E-2</v>
      </c>
      <c r="J1319" s="15">
        <f>Yearly_Growth!$D$2</f>
        <v>0.03</v>
      </c>
      <c r="K1319">
        <f>Sales_Per_Representative!$C$4</f>
        <v>725713</v>
      </c>
      <c r="L1319">
        <f>Sales_Per_Rep_Yearly_Goal!$B$2</f>
        <v>665544.80000000005</v>
      </c>
      <c r="M1319">
        <f>Sales_Per_Rep_Yearly_Goal!$C$2</f>
        <v>650000</v>
      </c>
    </row>
    <row r="1320" spans="1:13" x14ac:dyDescent="0.3">
      <c r="A1320" s="3">
        <v>45282</v>
      </c>
      <c r="B1320">
        <f t="shared" si="20"/>
        <v>2023</v>
      </c>
      <c r="C1320">
        <v>12</v>
      </c>
      <c r="D1320" t="s">
        <v>14</v>
      </c>
      <c r="E1320" t="s">
        <v>30</v>
      </c>
      <c r="F1320" s="2">
        <v>3872</v>
      </c>
      <c r="G1320" s="2">
        <f>Monthly_Growth!$C$13</f>
        <v>821865</v>
      </c>
      <c r="H1320" s="5">
        <f>Monthly_Growth!$D$13</f>
        <v>-0.11495423820256663</v>
      </c>
      <c r="I1320" s="15">
        <f>Yearly_Growth!$C$2</f>
        <v>5.0333827436586778E-2</v>
      </c>
      <c r="J1320" s="15">
        <f>Yearly_Growth!$D$2</f>
        <v>0.03</v>
      </c>
      <c r="K1320">
        <f>Sales_Per_Representative!$C$7</f>
        <v>706974</v>
      </c>
      <c r="L1320">
        <f>Sales_Per_Rep_Yearly_Goal!$B$2</f>
        <v>665544.80000000005</v>
      </c>
      <c r="M1320">
        <f>Sales_Per_Rep_Yearly_Goal!$C$2</f>
        <v>650000</v>
      </c>
    </row>
    <row r="1321" spans="1:13" x14ac:dyDescent="0.3">
      <c r="A1321" s="3">
        <v>45282</v>
      </c>
      <c r="B1321">
        <f t="shared" si="20"/>
        <v>2023</v>
      </c>
      <c r="C1321">
        <v>12</v>
      </c>
      <c r="D1321" t="s">
        <v>25</v>
      </c>
      <c r="E1321" t="s">
        <v>31</v>
      </c>
      <c r="F1321" s="2">
        <v>3517</v>
      </c>
      <c r="G1321" s="2">
        <f>Monthly_Growth!$C$13</f>
        <v>821865</v>
      </c>
      <c r="H1321" s="5">
        <f>Monthly_Growth!$D$13</f>
        <v>-0.11495423820256663</v>
      </c>
      <c r="I1321" s="15">
        <f>Yearly_Growth!$C$2</f>
        <v>5.0333827436586778E-2</v>
      </c>
      <c r="J1321" s="15">
        <f>Yearly_Growth!$D$2</f>
        <v>0.03</v>
      </c>
      <c r="K1321">
        <f>Sales_Per_Representative!$C$6</f>
        <v>727823</v>
      </c>
      <c r="L1321">
        <f>Sales_Per_Rep_Yearly_Goal!$B$2</f>
        <v>665544.80000000005</v>
      </c>
      <c r="M1321">
        <f>Sales_Per_Rep_Yearly_Goal!$C$2</f>
        <v>650000</v>
      </c>
    </row>
    <row r="1322" spans="1:13" x14ac:dyDescent="0.3">
      <c r="A1322" s="3">
        <v>45282</v>
      </c>
      <c r="B1322">
        <f t="shared" si="20"/>
        <v>2023</v>
      </c>
      <c r="C1322">
        <v>12</v>
      </c>
      <c r="D1322" t="s">
        <v>17</v>
      </c>
      <c r="E1322" t="s">
        <v>30</v>
      </c>
      <c r="F1322" s="2">
        <v>8822</v>
      </c>
      <c r="G1322" s="2">
        <f>Monthly_Growth!$C$13</f>
        <v>821865</v>
      </c>
      <c r="H1322" s="5">
        <f>Monthly_Growth!$D$13</f>
        <v>-0.11495423820256663</v>
      </c>
      <c r="I1322" s="15">
        <f>Yearly_Growth!$C$2</f>
        <v>5.0333827436586778E-2</v>
      </c>
      <c r="J1322" s="15">
        <f>Yearly_Growth!$D$2</f>
        <v>0.03</v>
      </c>
      <c r="K1322">
        <f>Sales_Per_Representative!$C$7</f>
        <v>706974</v>
      </c>
      <c r="L1322">
        <f>Sales_Per_Rep_Yearly_Goal!$B$2</f>
        <v>665544.80000000005</v>
      </c>
      <c r="M1322">
        <f>Sales_Per_Rep_Yearly_Goal!$C$2</f>
        <v>650000</v>
      </c>
    </row>
    <row r="1323" spans="1:13" x14ac:dyDescent="0.3">
      <c r="A1323" s="3">
        <v>45282</v>
      </c>
      <c r="B1323">
        <f t="shared" si="20"/>
        <v>2023</v>
      </c>
      <c r="C1323">
        <v>12</v>
      </c>
      <c r="D1323" t="s">
        <v>17</v>
      </c>
      <c r="E1323" t="s">
        <v>18</v>
      </c>
      <c r="F1323" s="2">
        <v>8590</v>
      </c>
      <c r="G1323" s="2">
        <f>Monthly_Growth!$C$13</f>
        <v>821865</v>
      </c>
      <c r="H1323" s="5">
        <f>Monthly_Growth!$D$13</f>
        <v>-0.11495423820256663</v>
      </c>
      <c r="I1323" s="15">
        <f>Yearly_Growth!$C$2</f>
        <v>5.0333827436586778E-2</v>
      </c>
      <c r="J1323" s="15">
        <f>Yearly_Growth!$D$2</f>
        <v>0.03</v>
      </c>
      <c r="K1323">
        <f>Sales_Per_Representative!$C$9</f>
        <v>550835</v>
      </c>
      <c r="L1323">
        <f>Sales_Per_Rep_Yearly_Goal!$B$2</f>
        <v>665544.80000000005</v>
      </c>
      <c r="M1323">
        <f>Sales_Per_Rep_Yearly_Goal!$C$2</f>
        <v>650000</v>
      </c>
    </row>
    <row r="1324" spans="1:13" x14ac:dyDescent="0.3">
      <c r="A1324" s="3">
        <v>45283</v>
      </c>
      <c r="B1324">
        <f t="shared" si="20"/>
        <v>2023</v>
      </c>
      <c r="C1324">
        <v>12</v>
      </c>
      <c r="D1324" t="s">
        <v>23</v>
      </c>
      <c r="E1324" t="s">
        <v>30</v>
      </c>
      <c r="F1324" s="2">
        <v>7721</v>
      </c>
      <c r="G1324" s="2">
        <f>Monthly_Growth!$C$13</f>
        <v>821865</v>
      </c>
      <c r="H1324" s="5">
        <f>Monthly_Growth!$D$13</f>
        <v>-0.11495423820256663</v>
      </c>
      <c r="I1324" s="15">
        <f>Yearly_Growth!$C$2</f>
        <v>5.0333827436586778E-2</v>
      </c>
      <c r="J1324" s="15">
        <f>Yearly_Growth!$D$2</f>
        <v>0.03</v>
      </c>
      <c r="K1324">
        <f>Sales_Per_Representative!$C$7</f>
        <v>706974</v>
      </c>
      <c r="L1324">
        <f>Sales_Per_Rep_Yearly_Goal!$B$2</f>
        <v>665544.80000000005</v>
      </c>
      <c r="M1324">
        <f>Sales_Per_Rep_Yearly_Goal!$C$2</f>
        <v>650000</v>
      </c>
    </row>
    <row r="1325" spans="1:13" x14ac:dyDescent="0.3">
      <c r="A1325" s="3">
        <v>45283</v>
      </c>
      <c r="B1325">
        <f t="shared" si="20"/>
        <v>2023</v>
      </c>
      <c r="C1325">
        <v>12</v>
      </c>
      <c r="D1325" t="s">
        <v>17</v>
      </c>
      <c r="E1325" t="s">
        <v>18</v>
      </c>
      <c r="F1325" s="2">
        <v>1942</v>
      </c>
      <c r="G1325" s="2">
        <f>Monthly_Growth!$C$13</f>
        <v>821865</v>
      </c>
      <c r="H1325" s="5">
        <f>Monthly_Growth!$D$13</f>
        <v>-0.11495423820256663</v>
      </c>
      <c r="I1325" s="15">
        <f>Yearly_Growth!$C$2</f>
        <v>5.0333827436586778E-2</v>
      </c>
      <c r="J1325" s="15">
        <f>Yearly_Growth!$D$2</f>
        <v>0.03</v>
      </c>
      <c r="K1325">
        <f>Sales_Per_Representative!$C$9</f>
        <v>550835</v>
      </c>
      <c r="L1325">
        <f>Sales_Per_Rep_Yearly_Goal!$B$2</f>
        <v>665544.80000000005</v>
      </c>
      <c r="M1325">
        <f>Sales_Per_Rep_Yearly_Goal!$C$2</f>
        <v>650000</v>
      </c>
    </row>
    <row r="1326" spans="1:13" x14ac:dyDescent="0.3">
      <c r="A1326" s="3">
        <v>45284</v>
      </c>
      <c r="B1326">
        <f t="shared" si="20"/>
        <v>2023</v>
      </c>
      <c r="C1326">
        <v>12</v>
      </c>
      <c r="D1326" t="s">
        <v>19</v>
      </c>
      <c r="E1326" t="s">
        <v>31</v>
      </c>
      <c r="F1326" s="2">
        <v>13008</v>
      </c>
      <c r="G1326" s="2">
        <f>Monthly_Growth!$C$13</f>
        <v>821865</v>
      </c>
      <c r="H1326" s="5">
        <f>Monthly_Growth!$D$13</f>
        <v>-0.11495423820256663</v>
      </c>
      <c r="I1326" s="15">
        <f>Yearly_Growth!$C$2</f>
        <v>5.0333827436586778E-2</v>
      </c>
      <c r="J1326" s="15">
        <f>Yearly_Growth!$D$2</f>
        <v>0.03</v>
      </c>
      <c r="K1326">
        <f>Sales_Per_Representative!$C$6</f>
        <v>727823</v>
      </c>
      <c r="L1326">
        <f>Sales_Per_Rep_Yearly_Goal!$B$2</f>
        <v>665544.80000000005</v>
      </c>
      <c r="M1326">
        <f>Sales_Per_Rep_Yearly_Goal!$C$2</f>
        <v>650000</v>
      </c>
    </row>
    <row r="1327" spans="1:13" x14ac:dyDescent="0.3">
      <c r="A1327" s="3">
        <v>45284</v>
      </c>
      <c r="B1327">
        <f t="shared" si="20"/>
        <v>2023</v>
      </c>
      <c r="C1327">
        <v>12</v>
      </c>
      <c r="D1327" t="s">
        <v>23</v>
      </c>
      <c r="E1327" t="s">
        <v>27</v>
      </c>
      <c r="F1327" s="2">
        <v>2907</v>
      </c>
      <c r="G1327" s="2">
        <f>Monthly_Growth!$C$13</f>
        <v>821865</v>
      </c>
      <c r="H1327" s="5">
        <f>Monthly_Growth!$D$13</f>
        <v>-0.11495423820256663</v>
      </c>
      <c r="I1327" s="15">
        <f>Yearly_Growth!$C$2</f>
        <v>5.0333827436586778E-2</v>
      </c>
      <c r="J1327" s="15">
        <f>Yearly_Growth!$D$2</f>
        <v>0.03</v>
      </c>
      <c r="K1327">
        <f>Sales_Per_Representative!$C$5</f>
        <v>747962</v>
      </c>
      <c r="L1327">
        <f>Sales_Per_Rep_Yearly_Goal!$B$2</f>
        <v>665544.80000000005</v>
      </c>
      <c r="M1327">
        <f>Sales_Per_Rep_Yearly_Goal!$C$2</f>
        <v>650000</v>
      </c>
    </row>
    <row r="1328" spans="1:13" x14ac:dyDescent="0.3">
      <c r="A1328" s="3">
        <v>45284</v>
      </c>
      <c r="B1328">
        <f t="shared" si="20"/>
        <v>2023</v>
      </c>
      <c r="C1328">
        <v>12</v>
      </c>
      <c r="D1328" t="s">
        <v>28</v>
      </c>
      <c r="E1328" t="s">
        <v>29</v>
      </c>
      <c r="F1328" s="2">
        <v>11725</v>
      </c>
      <c r="G1328" s="2">
        <f>Monthly_Growth!$C$13</f>
        <v>821865</v>
      </c>
      <c r="H1328" s="5">
        <f>Monthly_Growth!$D$13</f>
        <v>-0.11495423820256663</v>
      </c>
      <c r="I1328" s="15">
        <f>Yearly_Growth!$C$2</f>
        <v>5.0333827436586778E-2</v>
      </c>
      <c r="J1328" s="15">
        <f>Yearly_Growth!$D$2</f>
        <v>0.03</v>
      </c>
      <c r="K1328">
        <f>Sales_Per_Representative!$C$13</f>
        <v>621548</v>
      </c>
      <c r="L1328">
        <f>Sales_Per_Rep_Yearly_Goal!$B$2</f>
        <v>665544.80000000005</v>
      </c>
      <c r="M1328">
        <f>Sales_Per_Rep_Yearly_Goal!$C$2</f>
        <v>650000</v>
      </c>
    </row>
    <row r="1329" spans="1:13" x14ac:dyDescent="0.3">
      <c r="A1329" s="3">
        <v>45284</v>
      </c>
      <c r="B1329">
        <f t="shared" si="20"/>
        <v>2023</v>
      </c>
      <c r="C1329">
        <v>12</v>
      </c>
      <c r="D1329" t="s">
        <v>17</v>
      </c>
      <c r="E1329" t="s">
        <v>24</v>
      </c>
      <c r="F1329" s="2">
        <v>6801</v>
      </c>
      <c r="G1329" s="2">
        <f>Monthly_Growth!$C$13</f>
        <v>821865</v>
      </c>
      <c r="H1329" s="5">
        <f>Monthly_Growth!$D$13</f>
        <v>-0.11495423820256663</v>
      </c>
      <c r="I1329" s="15">
        <f>Yearly_Growth!$C$2</f>
        <v>5.0333827436586778E-2</v>
      </c>
      <c r="J1329" s="15">
        <f>Yearly_Growth!$D$2</f>
        <v>0.03</v>
      </c>
      <c r="K1329">
        <f>Sales_Per_Representative!$C$2</f>
        <v>631195</v>
      </c>
      <c r="L1329">
        <f>Sales_Per_Rep_Yearly_Goal!$B$2</f>
        <v>665544.80000000005</v>
      </c>
      <c r="M1329">
        <f>Sales_Per_Rep_Yearly_Goal!$C$2</f>
        <v>650000</v>
      </c>
    </row>
    <row r="1330" spans="1:13" x14ac:dyDescent="0.3">
      <c r="A1330" s="3">
        <v>45284</v>
      </c>
      <c r="B1330">
        <f t="shared" si="20"/>
        <v>2023</v>
      </c>
      <c r="C1330">
        <v>12</v>
      </c>
      <c r="D1330" t="s">
        <v>17</v>
      </c>
      <c r="E1330" t="s">
        <v>33</v>
      </c>
      <c r="F1330" s="2">
        <v>10213</v>
      </c>
      <c r="G1330" s="2">
        <f>Monthly_Growth!$C$13</f>
        <v>821865</v>
      </c>
      <c r="H1330" s="5">
        <f>Monthly_Growth!$D$13</f>
        <v>-0.11495423820256663</v>
      </c>
      <c r="I1330" s="15">
        <f>Yearly_Growth!$C$2</f>
        <v>5.0333827436586778E-2</v>
      </c>
      <c r="J1330" s="15">
        <f>Yearly_Growth!$D$2</f>
        <v>0.03</v>
      </c>
      <c r="K1330">
        <f>Sales_Per_Representative!$C$11</f>
        <v>496886</v>
      </c>
      <c r="L1330">
        <f>Sales_Per_Rep_Yearly_Goal!$B$2</f>
        <v>665544.80000000005</v>
      </c>
      <c r="M1330">
        <f>Sales_Per_Rep_Yearly_Goal!$C$2</f>
        <v>650000</v>
      </c>
    </row>
    <row r="1331" spans="1:13" x14ac:dyDescent="0.3">
      <c r="A1331" s="3">
        <v>45284</v>
      </c>
      <c r="B1331">
        <f t="shared" si="20"/>
        <v>2023</v>
      </c>
      <c r="C1331">
        <v>12</v>
      </c>
      <c r="D1331" t="s">
        <v>12</v>
      </c>
      <c r="E1331" t="s">
        <v>27</v>
      </c>
      <c r="F1331" s="2">
        <v>7611</v>
      </c>
      <c r="G1331" s="2">
        <f>Monthly_Growth!$C$13</f>
        <v>821865</v>
      </c>
      <c r="H1331" s="5">
        <f>Monthly_Growth!$D$13</f>
        <v>-0.11495423820256663</v>
      </c>
      <c r="I1331" s="15">
        <f>Yearly_Growth!$C$2</f>
        <v>5.0333827436586778E-2</v>
      </c>
      <c r="J1331" s="15">
        <f>Yearly_Growth!$D$2</f>
        <v>0.03</v>
      </c>
      <c r="K1331">
        <f>Sales_Per_Representative!$C$5</f>
        <v>747962</v>
      </c>
      <c r="L1331">
        <f>Sales_Per_Rep_Yearly_Goal!$B$2</f>
        <v>665544.80000000005</v>
      </c>
      <c r="M1331">
        <f>Sales_Per_Rep_Yearly_Goal!$C$2</f>
        <v>650000</v>
      </c>
    </row>
    <row r="1332" spans="1:13" x14ac:dyDescent="0.3">
      <c r="A1332" s="3">
        <v>45284</v>
      </c>
      <c r="B1332">
        <f t="shared" si="20"/>
        <v>2023</v>
      </c>
      <c r="C1332">
        <v>12</v>
      </c>
      <c r="D1332" t="s">
        <v>12</v>
      </c>
      <c r="E1332" t="s">
        <v>5</v>
      </c>
      <c r="F1332" s="2">
        <v>12255</v>
      </c>
      <c r="G1332" s="2">
        <f>Monthly_Growth!$C$13</f>
        <v>821865</v>
      </c>
      <c r="H1332" s="5">
        <f>Monthly_Growth!$D$13</f>
        <v>-0.11495423820256663</v>
      </c>
      <c r="I1332" s="15">
        <f>Yearly_Growth!$C$2</f>
        <v>5.0333827436586778E-2</v>
      </c>
      <c r="J1332" s="15">
        <f>Yearly_Growth!$D$2</f>
        <v>0.03</v>
      </c>
      <c r="K1332">
        <f>Sales_Per_Representative!$C$10</f>
        <v>663333</v>
      </c>
      <c r="L1332">
        <f>Sales_Per_Rep_Yearly_Goal!$B$2</f>
        <v>665544.80000000005</v>
      </c>
      <c r="M1332">
        <f>Sales_Per_Rep_Yearly_Goal!$C$2</f>
        <v>650000</v>
      </c>
    </row>
    <row r="1333" spans="1:13" x14ac:dyDescent="0.3">
      <c r="A1333" s="3">
        <v>45285</v>
      </c>
      <c r="B1333">
        <f t="shared" si="20"/>
        <v>2023</v>
      </c>
      <c r="C1333">
        <v>12</v>
      </c>
      <c r="D1333" t="s">
        <v>14</v>
      </c>
      <c r="E1333" t="s">
        <v>24</v>
      </c>
      <c r="F1333" s="2">
        <v>8152</v>
      </c>
      <c r="G1333" s="2">
        <f>Monthly_Growth!$C$13</f>
        <v>821865</v>
      </c>
      <c r="H1333" s="5">
        <f>Monthly_Growth!$D$13</f>
        <v>-0.11495423820256663</v>
      </c>
      <c r="I1333" s="15">
        <f>Yearly_Growth!$C$2</f>
        <v>5.0333827436586778E-2</v>
      </c>
      <c r="J1333" s="15">
        <f>Yearly_Growth!$D$2</f>
        <v>0.03</v>
      </c>
      <c r="K1333">
        <f>Sales_Per_Representative!$C$2</f>
        <v>631195</v>
      </c>
      <c r="L1333">
        <f>Sales_Per_Rep_Yearly_Goal!$B$2</f>
        <v>665544.80000000005</v>
      </c>
      <c r="M1333">
        <f>Sales_Per_Rep_Yearly_Goal!$C$2</f>
        <v>650000</v>
      </c>
    </row>
    <row r="1334" spans="1:13" x14ac:dyDescent="0.3">
      <c r="A1334" s="3">
        <v>45285</v>
      </c>
      <c r="B1334">
        <f t="shared" si="20"/>
        <v>2023</v>
      </c>
      <c r="C1334">
        <v>12</v>
      </c>
      <c r="D1334" t="s">
        <v>7</v>
      </c>
      <c r="E1334" t="s">
        <v>26</v>
      </c>
      <c r="F1334" s="2">
        <v>13433</v>
      </c>
      <c r="G1334" s="2">
        <f>Monthly_Growth!$C$13</f>
        <v>821865</v>
      </c>
      <c r="H1334" s="5">
        <f>Monthly_Growth!$D$13</f>
        <v>-0.11495423820256663</v>
      </c>
      <c r="I1334" s="15">
        <f>Yearly_Growth!$C$2</f>
        <v>5.0333827436586778E-2</v>
      </c>
      <c r="J1334" s="15">
        <f>Yearly_Growth!$D$2</f>
        <v>0.03</v>
      </c>
      <c r="K1334">
        <f>Sales_Per_Representative!$C$16</f>
        <v>666159</v>
      </c>
      <c r="L1334">
        <f>Sales_Per_Rep_Yearly_Goal!$B$2</f>
        <v>665544.80000000005</v>
      </c>
      <c r="M1334">
        <f>Sales_Per_Rep_Yearly_Goal!$C$2</f>
        <v>650000</v>
      </c>
    </row>
    <row r="1335" spans="1:13" x14ac:dyDescent="0.3">
      <c r="A1335" s="3">
        <v>45285</v>
      </c>
      <c r="B1335">
        <f t="shared" si="20"/>
        <v>2023</v>
      </c>
      <c r="C1335">
        <v>12</v>
      </c>
      <c r="D1335" t="s">
        <v>7</v>
      </c>
      <c r="E1335" t="s">
        <v>30</v>
      </c>
      <c r="F1335" s="2">
        <v>12288</v>
      </c>
      <c r="G1335" s="2">
        <f>Monthly_Growth!$C$13</f>
        <v>821865</v>
      </c>
      <c r="H1335" s="5">
        <f>Monthly_Growth!$D$13</f>
        <v>-0.11495423820256663</v>
      </c>
      <c r="I1335" s="15">
        <f>Yearly_Growth!$C$2</f>
        <v>5.0333827436586778E-2</v>
      </c>
      <c r="J1335" s="15">
        <f>Yearly_Growth!$D$2</f>
        <v>0.03</v>
      </c>
      <c r="K1335">
        <f>Sales_Per_Representative!$C$7</f>
        <v>706974</v>
      </c>
      <c r="L1335">
        <f>Sales_Per_Rep_Yearly_Goal!$B$2</f>
        <v>665544.80000000005</v>
      </c>
      <c r="M1335">
        <f>Sales_Per_Rep_Yearly_Goal!$C$2</f>
        <v>650000</v>
      </c>
    </row>
    <row r="1336" spans="1:13" x14ac:dyDescent="0.3">
      <c r="A1336" s="3">
        <v>45285</v>
      </c>
      <c r="B1336">
        <f t="shared" si="20"/>
        <v>2023</v>
      </c>
      <c r="C1336">
        <v>12</v>
      </c>
      <c r="D1336" t="s">
        <v>28</v>
      </c>
      <c r="E1336" t="s">
        <v>31</v>
      </c>
      <c r="F1336" s="2">
        <v>5772</v>
      </c>
      <c r="G1336" s="2">
        <f>Monthly_Growth!$C$13</f>
        <v>821865</v>
      </c>
      <c r="H1336" s="5">
        <f>Monthly_Growth!$D$13</f>
        <v>-0.11495423820256663</v>
      </c>
      <c r="I1336" s="15">
        <f>Yearly_Growth!$C$2</f>
        <v>5.0333827436586778E-2</v>
      </c>
      <c r="J1336" s="15">
        <f>Yearly_Growth!$D$2</f>
        <v>0.03</v>
      </c>
      <c r="K1336">
        <f>Sales_Per_Representative!$C$6</f>
        <v>727823</v>
      </c>
      <c r="L1336">
        <f>Sales_Per_Rep_Yearly_Goal!$B$2</f>
        <v>665544.80000000005</v>
      </c>
      <c r="M1336">
        <f>Sales_Per_Rep_Yearly_Goal!$C$2</f>
        <v>650000</v>
      </c>
    </row>
    <row r="1337" spans="1:13" x14ac:dyDescent="0.3">
      <c r="A1337" s="3">
        <v>45286</v>
      </c>
      <c r="B1337">
        <f t="shared" si="20"/>
        <v>2023</v>
      </c>
      <c r="C1337">
        <v>12</v>
      </c>
      <c r="D1337" t="s">
        <v>23</v>
      </c>
      <c r="E1337" t="s">
        <v>32</v>
      </c>
      <c r="F1337" s="2">
        <v>8609</v>
      </c>
      <c r="G1337" s="2">
        <f>Monthly_Growth!$C$13</f>
        <v>821865</v>
      </c>
      <c r="H1337" s="5">
        <f>Monthly_Growth!$D$13</f>
        <v>-0.11495423820256663</v>
      </c>
      <c r="I1337" s="15">
        <f>Yearly_Growth!$C$2</f>
        <v>5.0333827436586778E-2</v>
      </c>
      <c r="J1337" s="15">
        <f>Yearly_Growth!$D$2</f>
        <v>0.03</v>
      </c>
      <c r="K1337">
        <f>Sales_Per_Representative!$C$3</f>
        <v>762157</v>
      </c>
      <c r="L1337">
        <f>Sales_Per_Rep_Yearly_Goal!$B$2</f>
        <v>665544.80000000005</v>
      </c>
      <c r="M1337">
        <f>Sales_Per_Rep_Yearly_Goal!$C$2</f>
        <v>650000</v>
      </c>
    </row>
    <row r="1338" spans="1:13" x14ac:dyDescent="0.3">
      <c r="A1338" s="3">
        <v>45286</v>
      </c>
      <c r="B1338">
        <f t="shared" si="20"/>
        <v>2023</v>
      </c>
      <c r="C1338">
        <v>12</v>
      </c>
      <c r="D1338" t="s">
        <v>23</v>
      </c>
      <c r="E1338" t="s">
        <v>18</v>
      </c>
      <c r="F1338" s="2">
        <v>4952</v>
      </c>
      <c r="G1338" s="2">
        <f>Monthly_Growth!$C$13</f>
        <v>821865</v>
      </c>
      <c r="H1338" s="5">
        <f>Monthly_Growth!$D$13</f>
        <v>-0.11495423820256663</v>
      </c>
      <c r="I1338" s="15">
        <f>Yearly_Growth!$C$2</f>
        <v>5.0333827436586778E-2</v>
      </c>
      <c r="J1338" s="15">
        <f>Yearly_Growth!$D$2</f>
        <v>0.03</v>
      </c>
      <c r="K1338">
        <f>Sales_Per_Representative!$C$9</f>
        <v>550835</v>
      </c>
      <c r="L1338">
        <f>Sales_Per_Rep_Yearly_Goal!$B$2</f>
        <v>665544.80000000005</v>
      </c>
      <c r="M1338">
        <f>Sales_Per_Rep_Yearly_Goal!$C$2</f>
        <v>650000</v>
      </c>
    </row>
    <row r="1339" spans="1:13" x14ac:dyDescent="0.3">
      <c r="A1339" s="3">
        <v>45286</v>
      </c>
      <c r="B1339">
        <f t="shared" si="20"/>
        <v>2023</v>
      </c>
      <c r="C1339">
        <v>12</v>
      </c>
      <c r="D1339" t="s">
        <v>25</v>
      </c>
      <c r="E1339" t="s">
        <v>10</v>
      </c>
      <c r="F1339" s="2">
        <v>9195</v>
      </c>
      <c r="G1339" s="2">
        <f>Monthly_Growth!$C$13</f>
        <v>821865</v>
      </c>
      <c r="H1339" s="5">
        <f>Monthly_Growth!$D$13</f>
        <v>-0.11495423820256663</v>
      </c>
      <c r="I1339" s="15">
        <f>Yearly_Growth!$C$2</f>
        <v>5.0333827436586778E-2</v>
      </c>
      <c r="J1339" s="15">
        <f>Yearly_Growth!$D$2</f>
        <v>0.03</v>
      </c>
      <c r="K1339">
        <f>Sales_Per_Representative!$C$4</f>
        <v>725713</v>
      </c>
      <c r="L1339">
        <f>Sales_Per_Rep_Yearly_Goal!$B$2</f>
        <v>665544.80000000005</v>
      </c>
      <c r="M1339">
        <f>Sales_Per_Rep_Yearly_Goal!$C$2</f>
        <v>650000</v>
      </c>
    </row>
    <row r="1340" spans="1:13" x14ac:dyDescent="0.3">
      <c r="A1340" s="3">
        <v>45287</v>
      </c>
      <c r="B1340">
        <f t="shared" si="20"/>
        <v>2023</v>
      </c>
      <c r="C1340">
        <v>12</v>
      </c>
      <c r="D1340" t="s">
        <v>23</v>
      </c>
      <c r="E1340" t="s">
        <v>29</v>
      </c>
      <c r="F1340" s="2">
        <v>1585</v>
      </c>
      <c r="G1340" s="2">
        <f>Monthly_Growth!$C$13</f>
        <v>821865</v>
      </c>
      <c r="H1340" s="5">
        <f>Monthly_Growth!$D$13</f>
        <v>-0.11495423820256663</v>
      </c>
      <c r="I1340" s="15">
        <f>Yearly_Growth!$C$2</f>
        <v>5.0333827436586778E-2</v>
      </c>
      <c r="J1340" s="15">
        <f>Yearly_Growth!$D$2</f>
        <v>0.03</v>
      </c>
      <c r="K1340">
        <f>Sales_Per_Representative!$C$13</f>
        <v>621548</v>
      </c>
      <c r="L1340">
        <f>Sales_Per_Rep_Yearly_Goal!$B$2</f>
        <v>665544.80000000005</v>
      </c>
      <c r="M1340">
        <f>Sales_Per_Rep_Yearly_Goal!$C$2</f>
        <v>650000</v>
      </c>
    </row>
    <row r="1341" spans="1:13" x14ac:dyDescent="0.3">
      <c r="A1341" s="3">
        <v>45287</v>
      </c>
      <c r="B1341">
        <f t="shared" si="20"/>
        <v>2023</v>
      </c>
      <c r="C1341">
        <v>12</v>
      </c>
      <c r="D1341" t="s">
        <v>25</v>
      </c>
      <c r="E1341" t="s">
        <v>18</v>
      </c>
      <c r="F1341" s="2">
        <v>8863</v>
      </c>
      <c r="G1341" s="2">
        <f>Monthly_Growth!$C$13</f>
        <v>821865</v>
      </c>
      <c r="H1341" s="5">
        <f>Monthly_Growth!$D$13</f>
        <v>-0.11495423820256663</v>
      </c>
      <c r="I1341" s="15">
        <f>Yearly_Growth!$C$2</f>
        <v>5.0333827436586778E-2</v>
      </c>
      <c r="J1341" s="15">
        <f>Yearly_Growth!$D$2</f>
        <v>0.03</v>
      </c>
      <c r="K1341">
        <f>Sales_Per_Representative!$C$9</f>
        <v>550835</v>
      </c>
      <c r="L1341">
        <f>Sales_Per_Rep_Yearly_Goal!$B$2</f>
        <v>665544.80000000005</v>
      </c>
      <c r="M1341">
        <f>Sales_Per_Rep_Yearly_Goal!$C$2</f>
        <v>650000</v>
      </c>
    </row>
    <row r="1342" spans="1:13" x14ac:dyDescent="0.3">
      <c r="A1342" s="3">
        <v>45287</v>
      </c>
      <c r="B1342">
        <f t="shared" si="20"/>
        <v>2023</v>
      </c>
      <c r="C1342">
        <v>12</v>
      </c>
      <c r="D1342" t="s">
        <v>25</v>
      </c>
      <c r="E1342" t="s">
        <v>18</v>
      </c>
      <c r="F1342" s="2">
        <v>4370</v>
      </c>
      <c r="G1342" s="2">
        <f>Monthly_Growth!$C$13</f>
        <v>821865</v>
      </c>
      <c r="H1342" s="5">
        <f>Monthly_Growth!$D$13</f>
        <v>-0.11495423820256663</v>
      </c>
      <c r="I1342" s="15">
        <f>Yearly_Growth!$C$2</f>
        <v>5.0333827436586778E-2</v>
      </c>
      <c r="J1342" s="15">
        <f>Yearly_Growth!$D$2</f>
        <v>0.03</v>
      </c>
      <c r="K1342">
        <f>Sales_Per_Representative!$C$9</f>
        <v>550835</v>
      </c>
      <c r="L1342">
        <f>Sales_Per_Rep_Yearly_Goal!$B$2</f>
        <v>665544.80000000005</v>
      </c>
      <c r="M1342">
        <f>Sales_Per_Rep_Yearly_Goal!$C$2</f>
        <v>650000</v>
      </c>
    </row>
    <row r="1343" spans="1:13" x14ac:dyDescent="0.3">
      <c r="A1343" s="3">
        <v>45287</v>
      </c>
      <c r="B1343">
        <f t="shared" si="20"/>
        <v>2023</v>
      </c>
      <c r="C1343">
        <v>12</v>
      </c>
      <c r="D1343" t="s">
        <v>28</v>
      </c>
      <c r="E1343" t="s">
        <v>31</v>
      </c>
      <c r="F1343" s="2">
        <v>7954</v>
      </c>
      <c r="G1343" s="2">
        <f>Monthly_Growth!$C$13</f>
        <v>821865</v>
      </c>
      <c r="H1343" s="5">
        <f>Monthly_Growth!$D$13</f>
        <v>-0.11495423820256663</v>
      </c>
      <c r="I1343" s="15">
        <f>Yearly_Growth!$C$2</f>
        <v>5.0333827436586778E-2</v>
      </c>
      <c r="J1343" s="15">
        <f>Yearly_Growth!$D$2</f>
        <v>0.03</v>
      </c>
      <c r="K1343">
        <f>Sales_Per_Representative!$C$6</f>
        <v>727823</v>
      </c>
      <c r="L1343">
        <f>Sales_Per_Rep_Yearly_Goal!$B$2</f>
        <v>665544.80000000005</v>
      </c>
      <c r="M1343">
        <f>Sales_Per_Rep_Yearly_Goal!$C$2</f>
        <v>650000</v>
      </c>
    </row>
    <row r="1344" spans="1:13" x14ac:dyDescent="0.3">
      <c r="A1344" s="3">
        <v>45288</v>
      </c>
      <c r="B1344">
        <f t="shared" si="20"/>
        <v>2023</v>
      </c>
      <c r="C1344">
        <v>12</v>
      </c>
      <c r="D1344" t="s">
        <v>14</v>
      </c>
      <c r="E1344" t="s">
        <v>29</v>
      </c>
      <c r="F1344" s="2">
        <v>12974</v>
      </c>
      <c r="G1344" s="2">
        <f>Monthly_Growth!$C$13</f>
        <v>821865</v>
      </c>
      <c r="H1344" s="5">
        <f>Monthly_Growth!$D$13</f>
        <v>-0.11495423820256663</v>
      </c>
      <c r="I1344" s="15">
        <f>Yearly_Growth!$C$2</f>
        <v>5.0333827436586778E-2</v>
      </c>
      <c r="J1344" s="15">
        <f>Yearly_Growth!$D$2</f>
        <v>0.03</v>
      </c>
      <c r="K1344">
        <f>Sales_Per_Representative!$C$13</f>
        <v>621548</v>
      </c>
      <c r="L1344">
        <f>Sales_Per_Rep_Yearly_Goal!$B$2</f>
        <v>665544.80000000005</v>
      </c>
      <c r="M1344">
        <f>Sales_Per_Rep_Yearly_Goal!$C$2</f>
        <v>650000</v>
      </c>
    </row>
    <row r="1345" spans="1:13" x14ac:dyDescent="0.3">
      <c r="A1345" s="3">
        <v>45288</v>
      </c>
      <c r="B1345">
        <f t="shared" si="20"/>
        <v>2023</v>
      </c>
      <c r="C1345">
        <v>12</v>
      </c>
      <c r="D1345" t="s">
        <v>19</v>
      </c>
      <c r="E1345" t="s">
        <v>18</v>
      </c>
      <c r="F1345" s="2">
        <v>5452</v>
      </c>
      <c r="G1345" s="2">
        <f>Monthly_Growth!$C$13</f>
        <v>821865</v>
      </c>
      <c r="H1345" s="5">
        <f>Monthly_Growth!$D$13</f>
        <v>-0.11495423820256663</v>
      </c>
      <c r="I1345" s="15">
        <f>Yearly_Growth!$C$2</f>
        <v>5.0333827436586778E-2</v>
      </c>
      <c r="J1345" s="15">
        <f>Yearly_Growth!$D$2</f>
        <v>0.03</v>
      </c>
      <c r="K1345">
        <f>Sales_Per_Representative!$C$9</f>
        <v>550835</v>
      </c>
      <c r="L1345">
        <f>Sales_Per_Rep_Yearly_Goal!$B$2</f>
        <v>665544.80000000005</v>
      </c>
      <c r="M1345">
        <f>Sales_Per_Rep_Yearly_Goal!$C$2</f>
        <v>650000</v>
      </c>
    </row>
    <row r="1346" spans="1:13" x14ac:dyDescent="0.3">
      <c r="A1346" s="3">
        <v>45288</v>
      </c>
      <c r="B1346">
        <f t="shared" si="20"/>
        <v>2023</v>
      </c>
      <c r="C1346">
        <v>12</v>
      </c>
      <c r="D1346" t="s">
        <v>25</v>
      </c>
      <c r="E1346" t="s">
        <v>26</v>
      </c>
      <c r="F1346" s="2">
        <v>1554</v>
      </c>
      <c r="G1346" s="2">
        <f>Monthly_Growth!$C$13</f>
        <v>821865</v>
      </c>
      <c r="H1346" s="5">
        <f>Monthly_Growth!$D$13</f>
        <v>-0.11495423820256663</v>
      </c>
      <c r="I1346" s="15">
        <f>Yearly_Growth!$C$2</f>
        <v>5.0333827436586778E-2</v>
      </c>
      <c r="J1346" s="15">
        <f>Yearly_Growth!$D$2</f>
        <v>0.03</v>
      </c>
      <c r="K1346">
        <f>Sales_Per_Representative!$C$16</f>
        <v>666159</v>
      </c>
      <c r="L1346">
        <f>Sales_Per_Rep_Yearly_Goal!$B$2</f>
        <v>665544.80000000005</v>
      </c>
      <c r="M1346">
        <f>Sales_Per_Rep_Yearly_Goal!$C$2</f>
        <v>650000</v>
      </c>
    </row>
    <row r="1347" spans="1:13" x14ac:dyDescent="0.3">
      <c r="A1347" s="3">
        <v>45288</v>
      </c>
      <c r="B1347">
        <f t="shared" ref="B1347:B1410" si="21">YEAR(A1347)</f>
        <v>2023</v>
      </c>
      <c r="C1347">
        <v>12</v>
      </c>
      <c r="D1347" t="s">
        <v>7</v>
      </c>
      <c r="E1347" t="s">
        <v>18</v>
      </c>
      <c r="F1347" s="2">
        <v>13613</v>
      </c>
      <c r="G1347" s="2">
        <f>Monthly_Growth!$C$13</f>
        <v>821865</v>
      </c>
      <c r="H1347" s="5">
        <f>Monthly_Growth!$D$13</f>
        <v>-0.11495423820256663</v>
      </c>
      <c r="I1347" s="15">
        <f>Yearly_Growth!$C$2</f>
        <v>5.0333827436586778E-2</v>
      </c>
      <c r="J1347" s="15">
        <f>Yearly_Growth!$D$2</f>
        <v>0.03</v>
      </c>
      <c r="K1347">
        <f>Sales_Per_Representative!$C$9</f>
        <v>550835</v>
      </c>
      <c r="L1347">
        <f>Sales_Per_Rep_Yearly_Goal!$B$2</f>
        <v>665544.80000000005</v>
      </c>
      <c r="M1347">
        <f>Sales_Per_Rep_Yearly_Goal!$C$2</f>
        <v>650000</v>
      </c>
    </row>
    <row r="1348" spans="1:13" x14ac:dyDescent="0.3">
      <c r="A1348" s="3">
        <v>45289</v>
      </c>
      <c r="B1348">
        <f t="shared" si="21"/>
        <v>2023</v>
      </c>
      <c r="C1348">
        <v>12</v>
      </c>
      <c r="D1348" t="s">
        <v>14</v>
      </c>
      <c r="E1348" t="s">
        <v>8</v>
      </c>
      <c r="F1348" s="2">
        <v>10387</v>
      </c>
      <c r="G1348" s="2">
        <f>Monthly_Growth!$C$13</f>
        <v>821865</v>
      </c>
      <c r="H1348" s="5">
        <f>Monthly_Growth!$D$13</f>
        <v>-0.11495423820256663</v>
      </c>
      <c r="I1348" s="15">
        <f>Yearly_Growth!$C$2</f>
        <v>5.0333827436586778E-2</v>
      </c>
      <c r="J1348" s="15">
        <f>Yearly_Growth!$D$2</f>
        <v>0.03</v>
      </c>
      <c r="K1348">
        <f>Sales_Per_Representative!$C$15</f>
        <v>701242</v>
      </c>
      <c r="L1348">
        <f>Sales_Per_Rep_Yearly_Goal!$B$2</f>
        <v>665544.80000000005</v>
      </c>
      <c r="M1348">
        <f>Sales_Per_Rep_Yearly_Goal!$C$2</f>
        <v>650000</v>
      </c>
    </row>
    <row r="1349" spans="1:13" x14ac:dyDescent="0.3">
      <c r="A1349" s="3">
        <v>45289</v>
      </c>
      <c r="B1349">
        <f t="shared" si="21"/>
        <v>2023</v>
      </c>
      <c r="C1349">
        <v>12</v>
      </c>
      <c r="D1349" t="s">
        <v>23</v>
      </c>
      <c r="E1349" t="s">
        <v>15</v>
      </c>
      <c r="F1349" s="2">
        <v>1828</v>
      </c>
      <c r="G1349" s="2">
        <f>Monthly_Growth!$C$13</f>
        <v>821865</v>
      </c>
      <c r="H1349" s="5">
        <f>Monthly_Growth!$D$13</f>
        <v>-0.11495423820256663</v>
      </c>
      <c r="I1349" s="15">
        <f>Yearly_Growth!$C$2</f>
        <v>5.0333827436586778E-2</v>
      </c>
      <c r="J1349" s="15">
        <f>Yearly_Growth!$D$2</f>
        <v>0.03</v>
      </c>
      <c r="K1349">
        <f>Sales_Per_Representative!$C$12</f>
        <v>656359</v>
      </c>
      <c r="L1349">
        <f>Sales_Per_Rep_Yearly_Goal!$B$2</f>
        <v>665544.80000000005</v>
      </c>
      <c r="M1349">
        <f>Sales_Per_Rep_Yearly_Goal!$C$2</f>
        <v>650000</v>
      </c>
    </row>
    <row r="1350" spans="1:13" x14ac:dyDescent="0.3">
      <c r="A1350" s="3">
        <v>45290</v>
      </c>
      <c r="B1350">
        <f t="shared" si="21"/>
        <v>2023</v>
      </c>
      <c r="C1350">
        <v>12</v>
      </c>
      <c r="D1350" t="s">
        <v>19</v>
      </c>
      <c r="E1350" t="s">
        <v>27</v>
      </c>
      <c r="F1350" s="2">
        <v>5544</v>
      </c>
      <c r="G1350" s="2">
        <f>Monthly_Growth!$C$13</f>
        <v>821865</v>
      </c>
      <c r="H1350" s="5">
        <f>Monthly_Growth!$D$13</f>
        <v>-0.11495423820256663</v>
      </c>
      <c r="I1350" s="15">
        <f>Yearly_Growth!$C$2</f>
        <v>5.0333827436586778E-2</v>
      </c>
      <c r="J1350" s="15">
        <f>Yearly_Growth!$D$2</f>
        <v>0.03</v>
      </c>
      <c r="K1350">
        <f>Sales_Per_Representative!$C$5</f>
        <v>747962</v>
      </c>
      <c r="L1350">
        <f>Sales_Per_Rep_Yearly_Goal!$B$2</f>
        <v>665544.80000000005</v>
      </c>
      <c r="M1350">
        <f>Sales_Per_Rep_Yearly_Goal!$C$2</f>
        <v>650000</v>
      </c>
    </row>
    <row r="1351" spans="1:13" x14ac:dyDescent="0.3">
      <c r="A1351" s="3">
        <v>45290</v>
      </c>
      <c r="B1351">
        <f t="shared" si="21"/>
        <v>2023</v>
      </c>
      <c r="C1351">
        <v>12</v>
      </c>
      <c r="D1351" t="s">
        <v>19</v>
      </c>
      <c r="E1351" t="s">
        <v>8</v>
      </c>
      <c r="F1351" s="2">
        <v>9027</v>
      </c>
      <c r="G1351" s="2">
        <f>Monthly_Growth!$C$13</f>
        <v>821865</v>
      </c>
      <c r="H1351" s="5">
        <f>Monthly_Growth!$D$13</f>
        <v>-0.11495423820256663</v>
      </c>
      <c r="I1351" s="15">
        <f>Yearly_Growth!$C$2</f>
        <v>5.0333827436586778E-2</v>
      </c>
      <c r="J1351" s="15">
        <f>Yearly_Growth!$D$2</f>
        <v>0.03</v>
      </c>
      <c r="K1351">
        <f>Sales_Per_Representative!$C$15</f>
        <v>701242</v>
      </c>
      <c r="L1351">
        <f>Sales_Per_Rep_Yearly_Goal!$B$2</f>
        <v>665544.80000000005</v>
      </c>
      <c r="M1351">
        <f>Sales_Per_Rep_Yearly_Goal!$C$2</f>
        <v>650000</v>
      </c>
    </row>
    <row r="1352" spans="1:13" x14ac:dyDescent="0.3">
      <c r="A1352" s="3">
        <v>45290</v>
      </c>
      <c r="B1352">
        <f t="shared" si="21"/>
        <v>2023</v>
      </c>
      <c r="C1352">
        <v>12</v>
      </c>
      <c r="D1352" t="s">
        <v>28</v>
      </c>
      <c r="E1352" t="s">
        <v>8</v>
      </c>
      <c r="F1352" s="2">
        <v>1322</v>
      </c>
      <c r="G1352" s="2">
        <f>Monthly_Growth!$C$13</f>
        <v>821865</v>
      </c>
      <c r="H1352" s="5">
        <f>Monthly_Growth!$D$13</f>
        <v>-0.11495423820256663</v>
      </c>
      <c r="I1352" s="15">
        <f>Yearly_Growth!$C$2</f>
        <v>5.0333827436586778E-2</v>
      </c>
      <c r="J1352" s="15">
        <f>Yearly_Growth!$D$2</f>
        <v>0.03</v>
      </c>
      <c r="K1352">
        <f>Sales_Per_Representative!$C$15</f>
        <v>701242</v>
      </c>
      <c r="L1352">
        <f>Sales_Per_Rep_Yearly_Goal!$B$2</f>
        <v>665544.80000000005</v>
      </c>
      <c r="M1352">
        <f>Sales_Per_Rep_Yearly_Goal!$C$2</f>
        <v>650000</v>
      </c>
    </row>
    <row r="1353" spans="1:13" x14ac:dyDescent="0.3">
      <c r="A1353" s="3">
        <v>45290</v>
      </c>
      <c r="B1353">
        <f t="shared" si="21"/>
        <v>2023</v>
      </c>
      <c r="C1353">
        <v>12</v>
      </c>
      <c r="D1353" t="s">
        <v>17</v>
      </c>
      <c r="E1353" t="s">
        <v>24</v>
      </c>
      <c r="F1353" s="2">
        <v>10220</v>
      </c>
      <c r="G1353" s="2">
        <f>Monthly_Growth!$C$13</f>
        <v>821865</v>
      </c>
      <c r="H1353" s="5">
        <f>Monthly_Growth!$D$13</f>
        <v>-0.11495423820256663</v>
      </c>
      <c r="I1353" s="15">
        <f>Yearly_Growth!$C$2</f>
        <v>5.0333827436586778E-2</v>
      </c>
      <c r="J1353" s="15">
        <f>Yearly_Growth!$D$2</f>
        <v>0.03</v>
      </c>
      <c r="K1353">
        <f>Sales_Per_Representative!$C$2</f>
        <v>631195</v>
      </c>
      <c r="L1353">
        <f>Sales_Per_Rep_Yearly_Goal!$B$2</f>
        <v>665544.80000000005</v>
      </c>
      <c r="M1353">
        <f>Sales_Per_Rep_Yearly_Goal!$C$2</f>
        <v>650000</v>
      </c>
    </row>
    <row r="1354" spans="1:13" x14ac:dyDescent="0.3">
      <c r="A1354" s="3">
        <v>45291</v>
      </c>
      <c r="B1354">
        <f t="shared" si="21"/>
        <v>2023</v>
      </c>
      <c r="C1354">
        <v>12</v>
      </c>
      <c r="D1354" t="s">
        <v>14</v>
      </c>
      <c r="E1354" t="s">
        <v>22</v>
      </c>
      <c r="F1354" s="2">
        <v>1731</v>
      </c>
      <c r="G1354" s="2">
        <f>Monthly_Growth!$C$13</f>
        <v>821865</v>
      </c>
      <c r="H1354" s="5">
        <f>Monthly_Growth!$D$13</f>
        <v>-0.11495423820256663</v>
      </c>
      <c r="I1354" s="15">
        <f>Yearly_Growth!$C$2</f>
        <v>5.0333827436586778E-2</v>
      </c>
      <c r="J1354" s="15">
        <f>Yearly_Growth!$D$2</f>
        <v>0.03</v>
      </c>
      <c r="K1354">
        <f>Sales_Per_Representative!$C$8</f>
        <v>649456</v>
      </c>
      <c r="L1354">
        <f>Sales_Per_Rep_Yearly_Goal!$B$2</f>
        <v>665544.80000000005</v>
      </c>
      <c r="M1354">
        <f>Sales_Per_Rep_Yearly_Goal!$C$2</f>
        <v>650000</v>
      </c>
    </row>
    <row r="1355" spans="1:13" x14ac:dyDescent="0.3">
      <c r="A1355" s="3">
        <v>45291</v>
      </c>
      <c r="B1355">
        <f t="shared" si="21"/>
        <v>2023</v>
      </c>
      <c r="C1355">
        <v>12</v>
      </c>
      <c r="D1355" t="s">
        <v>19</v>
      </c>
      <c r="E1355" t="s">
        <v>26</v>
      </c>
      <c r="F1355" s="2">
        <v>12292</v>
      </c>
      <c r="G1355" s="2">
        <f>Monthly_Growth!$C$13</f>
        <v>821865</v>
      </c>
      <c r="H1355" s="5">
        <f>Monthly_Growth!$D$13</f>
        <v>-0.11495423820256663</v>
      </c>
      <c r="I1355" s="15">
        <f>Yearly_Growth!$C$2</f>
        <v>5.0333827436586778E-2</v>
      </c>
      <c r="J1355" s="15">
        <f>Yearly_Growth!$D$2</f>
        <v>0.03</v>
      </c>
      <c r="K1355">
        <f>Sales_Per_Representative!$C$16</f>
        <v>666159</v>
      </c>
      <c r="L1355">
        <f>Sales_Per_Rep_Yearly_Goal!$B$2</f>
        <v>665544.80000000005</v>
      </c>
      <c r="M1355">
        <f>Sales_Per_Rep_Yearly_Goal!$C$2</f>
        <v>650000</v>
      </c>
    </row>
    <row r="1356" spans="1:13" x14ac:dyDescent="0.3">
      <c r="A1356" s="3">
        <v>45291</v>
      </c>
      <c r="B1356">
        <f t="shared" si="21"/>
        <v>2023</v>
      </c>
      <c r="C1356">
        <v>12</v>
      </c>
      <c r="D1356" t="s">
        <v>28</v>
      </c>
      <c r="E1356" t="s">
        <v>30</v>
      </c>
      <c r="F1356" s="2">
        <v>3571</v>
      </c>
      <c r="G1356" s="2">
        <f>Monthly_Growth!$C$13</f>
        <v>821865</v>
      </c>
      <c r="H1356" s="5">
        <f>Monthly_Growth!$D$13</f>
        <v>-0.11495423820256663</v>
      </c>
      <c r="I1356" s="15">
        <f>Yearly_Growth!$C$2</f>
        <v>5.0333827436586778E-2</v>
      </c>
      <c r="J1356" s="15">
        <f>Yearly_Growth!$D$2</f>
        <v>0.03</v>
      </c>
      <c r="K1356">
        <f>Sales_Per_Representative!$C$7</f>
        <v>706974</v>
      </c>
      <c r="L1356">
        <f>Sales_Per_Rep_Yearly_Goal!$B$2</f>
        <v>665544.80000000005</v>
      </c>
      <c r="M1356">
        <f>Sales_Per_Rep_Yearly_Goal!$C$2</f>
        <v>650000</v>
      </c>
    </row>
    <row r="1357" spans="1:13" x14ac:dyDescent="0.3">
      <c r="A1357" s="3">
        <v>45292</v>
      </c>
      <c r="B1357">
        <f t="shared" si="21"/>
        <v>2024</v>
      </c>
      <c r="C1357">
        <v>1</v>
      </c>
      <c r="D1357" t="s">
        <v>25</v>
      </c>
      <c r="E1357" t="s">
        <v>32</v>
      </c>
      <c r="F1357" s="2">
        <v>2579</v>
      </c>
      <c r="G1357" s="2">
        <f>Monthly_Growth!$C$14</f>
        <v>1007750</v>
      </c>
      <c r="H1357" s="5">
        <f>Monthly_Growth!$D$14</f>
        <v>0.22617461505235045</v>
      </c>
      <c r="I1357" s="15">
        <f>Yearly_Growth!$C$3</f>
        <v>0.11893113731787852</v>
      </c>
      <c r="J1357" s="15">
        <f>Yearly_Growth!$D$3</f>
        <v>0.09</v>
      </c>
      <c r="K1357">
        <f>Sales_Per_Representative!$C$18</f>
        <v>783907</v>
      </c>
      <c r="L1357">
        <f>Sales_Per_Rep_Yearly_Goal!$B$3</f>
        <v>689907.8</v>
      </c>
      <c r="M1357">
        <f>Sales_Per_Rep_Yearly_Goal!$C$3</f>
        <v>690000</v>
      </c>
    </row>
    <row r="1358" spans="1:13" x14ac:dyDescent="0.3">
      <c r="A1358" s="3">
        <v>45292</v>
      </c>
      <c r="B1358">
        <f t="shared" si="21"/>
        <v>2024</v>
      </c>
      <c r="C1358">
        <v>1</v>
      </c>
      <c r="D1358" t="s">
        <v>7</v>
      </c>
      <c r="E1358" t="s">
        <v>29</v>
      </c>
      <c r="F1358" s="2">
        <v>5835</v>
      </c>
      <c r="G1358" s="2">
        <f>Monthly_Growth!$C$14</f>
        <v>1007750</v>
      </c>
      <c r="H1358" s="5">
        <f>Monthly_Growth!$D$14</f>
        <v>0.22617461505235045</v>
      </c>
      <c r="I1358" s="15">
        <f>Yearly_Growth!$C$3</f>
        <v>0.11893113731787852</v>
      </c>
      <c r="J1358" s="15">
        <f>Yearly_Growth!$D$3</f>
        <v>0.09</v>
      </c>
      <c r="K1358">
        <f>Sales_Per_Representative!$C$28</f>
        <v>691917</v>
      </c>
      <c r="L1358">
        <f>Sales_Per_Rep_Yearly_Goal!$B$3</f>
        <v>689907.8</v>
      </c>
      <c r="M1358">
        <f>Sales_Per_Rep_Yearly_Goal!$C$3</f>
        <v>690000</v>
      </c>
    </row>
    <row r="1359" spans="1:13" x14ac:dyDescent="0.3">
      <c r="A1359" s="3">
        <v>45292</v>
      </c>
      <c r="B1359">
        <f t="shared" si="21"/>
        <v>2024</v>
      </c>
      <c r="C1359">
        <v>1</v>
      </c>
      <c r="D1359" t="s">
        <v>7</v>
      </c>
      <c r="E1359" t="s">
        <v>33</v>
      </c>
      <c r="F1359" s="2">
        <v>13704</v>
      </c>
      <c r="G1359" s="2">
        <f>Monthly_Growth!$C$14</f>
        <v>1007750</v>
      </c>
      <c r="H1359" s="5">
        <f>Monthly_Growth!$D$14</f>
        <v>0.22617461505235045</v>
      </c>
      <c r="I1359" s="15">
        <f>Yearly_Growth!$C$3</f>
        <v>0.11893113731787852</v>
      </c>
      <c r="J1359" s="15">
        <f>Yearly_Growth!$D$3</f>
        <v>0.09</v>
      </c>
      <c r="K1359">
        <f>Sales_Per_Representative!$C$26</f>
        <v>501360</v>
      </c>
      <c r="L1359">
        <f>Sales_Per_Rep_Yearly_Goal!$B$3</f>
        <v>689907.8</v>
      </c>
      <c r="M1359">
        <f>Sales_Per_Rep_Yearly_Goal!$C$3</f>
        <v>690000</v>
      </c>
    </row>
    <row r="1360" spans="1:13" x14ac:dyDescent="0.3">
      <c r="A1360" s="3">
        <v>45293</v>
      </c>
      <c r="B1360">
        <f t="shared" si="21"/>
        <v>2024</v>
      </c>
      <c r="C1360">
        <v>1</v>
      </c>
      <c r="D1360" t="s">
        <v>19</v>
      </c>
      <c r="E1360" t="s">
        <v>10</v>
      </c>
      <c r="F1360" s="2">
        <v>1551</v>
      </c>
      <c r="G1360" s="2">
        <f>Monthly_Growth!$C$14</f>
        <v>1007750</v>
      </c>
      <c r="H1360" s="5">
        <f>Monthly_Growth!$D$14</f>
        <v>0.22617461505235045</v>
      </c>
      <c r="I1360" s="15">
        <f>Yearly_Growth!$C$3</f>
        <v>0.11893113731787852</v>
      </c>
      <c r="J1360" s="15">
        <f>Yearly_Growth!$D$3</f>
        <v>0.09</v>
      </c>
      <c r="K1360">
        <f>Sales_Per_Representative!$C$19</f>
        <v>711816</v>
      </c>
      <c r="L1360">
        <f>Sales_Per_Rep_Yearly_Goal!$B$3</f>
        <v>689907.8</v>
      </c>
      <c r="M1360">
        <f>Sales_Per_Rep_Yearly_Goal!$C$3</f>
        <v>690000</v>
      </c>
    </row>
    <row r="1361" spans="1:13" x14ac:dyDescent="0.3">
      <c r="A1361" s="3">
        <v>45293</v>
      </c>
      <c r="B1361">
        <f t="shared" si="21"/>
        <v>2024</v>
      </c>
      <c r="C1361">
        <v>1</v>
      </c>
      <c r="D1361" t="s">
        <v>19</v>
      </c>
      <c r="E1361" t="s">
        <v>32</v>
      </c>
      <c r="F1361" s="2">
        <v>7917</v>
      </c>
      <c r="G1361" s="2">
        <f>Monthly_Growth!$C$14</f>
        <v>1007750</v>
      </c>
      <c r="H1361" s="5">
        <f>Monthly_Growth!$D$14</f>
        <v>0.22617461505235045</v>
      </c>
      <c r="I1361" s="15">
        <f>Yearly_Growth!$C$3</f>
        <v>0.11893113731787852</v>
      </c>
      <c r="J1361" s="15">
        <f>Yearly_Growth!$D$3</f>
        <v>0.09</v>
      </c>
      <c r="K1361">
        <f>Sales_Per_Representative!$C$18</f>
        <v>783907</v>
      </c>
      <c r="L1361">
        <f>Sales_Per_Rep_Yearly_Goal!$B$3</f>
        <v>689907.8</v>
      </c>
      <c r="M1361">
        <f>Sales_Per_Rep_Yearly_Goal!$C$3</f>
        <v>690000</v>
      </c>
    </row>
    <row r="1362" spans="1:13" x14ac:dyDescent="0.3">
      <c r="A1362" s="3">
        <v>45293</v>
      </c>
      <c r="B1362">
        <f t="shared" si="21"/>
        <v>2024</v>
      </c>
      <c r="C1362">
        <v>1</v>
      </c>
      <c r="D1362" t="s">
        <v>7</v>
      </c>
      <c r="E1362" t="s">
        <v>20</v>
      </c>
      <c r="F1362" s="2">
        <v>6777</v>
      </c>
      <c r="G1362" s="2">
        <f>Monthly_Growth!$C$14</f>
        <v>1007750</v>
      </c>
      <c r="H1362" s="5">
        <f>Monthly_Growth!$D$14</f>
        <v>0.22617461505235045</v>
      </c>
      <c r="I1362" s="15">
        <f>Yearly_Growth!$C$3</f>
        <v>0.11893113731787852</v>
      </c>
      <c r="J1362" s="15">
        <f>Yearly_Growth!$D$3</f>
        <v>0.09</v>
      </c>
      <c r="K1362">
        <f>Sales_Per_Representative!$C$29</f>
        <v>753085</v>
      </c>
      <c r="L1362">
        <f>Sales_Per_Rep_Yearly_Goal!$B$3</f>
        <v>689907.8</v>
      </c>
      <c r="M1362">
        <f>Sales_Per_Rep_Yearly_Goal!$C$3</f>
        <v>690000</v>
      </c>
    </row>
    <row r="1363" spans="1:13" x14ac:dyDescent="0.3">
      <c r="A1363" s="3">
        <v>45293</v>
      </c>
      <c r="B1363">
        <f t="shared" si="21"/>
        <v>2024</v>
      </c>
      <c r="C1363">
        <v>1</v>
      </c>
      <c r="D1363" t="s">
        <v>7</v>
      </c>
      <c r="E1363" t="s">
        <v>20</v>
      </c>
      <c r="F1363" s="2">
        <v>4268</v>
      </c>
      <c r="G1363" s="2">
        <f>Monthly_Growth!$C$14</f>
        <v>1007750</v>
      </c>
      <c r="H1363" s="5">
        <f>Monthly_Growth!$D$14</f>
        <v>0.22617461505235045</v>
      </c>
      <c r="I1363" s="15">
        <f>Yearly_Growth!$C$3</f>
        <v>0.11893113731787852</v>
      </c>
      <c r="J1363" s="15">
        <f>Yearly_Growth!$D$3</f>
        <v>0.09</v>
      </c>
      <c r="K1363">
        <f>Sales_Per_Representative!$C$29</f>
        <v>753085</v>
      </c>
      <c r="L1363">
        <f>Sales_Per_Rep_Yearly_Goal!$B$3</f>
        <v>689907.8</v>
      </c>
      <c r="M1363">
        <f>Sales_Per_Rep_Yearly_Goal!$C$3</f>
        <v>690000</v>
      </c>
    </row>
    <row r="1364" spans="1:13" x14ac:dyDescent="0.3">
      <c r="A1364" s="3">
        <v>45293</v>
      </c>
      <c r="B1364">
        <f t="shared" si="21"/>
        <v>2024</v>
      </c>
      <c r="C1364">
        <v>1</v>
      </c>
      <c r="D1364" t="s">
        <v>28</v>
      </c>
      <c r="E1364" t="s">
        <v>31</v>
      </c>
      <c r="F1364" s="2">
        <v>9621</v>
      </c>
      <c r="G1364" s="2">
        <f>Monthly_Growth!$C$14</f>
        <v>1007750</v>
      </c>
      <c r="H1364" s="5">
        <f>Monthly_Growth!$D$14</f>
        <v>0.22617461505235045</v>
      </c>
      <c r="I1364" s="15">
        <f>Yearly_Growth!$C$3</f>
        <v>0.11893113731787852</v>
      </c>
      <c r="J1364" s="15">
        <f>Yearly_Growth!$D$3</f>
        <v>0.09</v>
      </c>
      <c r="K1364">
        <f>Sales_Per_Representative!$C$21</f>
        <v>679421</v>
      </c>
      <c r="L1364">
        <f>Sales_Per_Rep_Yearly_Goal!$B$3</f>
        <v>689907.8</v>
      </c>
      <c r="M1364">
        <f>Sales_Per_Rep_Yearly_Goal!$C$3</f>
        <v>690000</v>
      </c>
    </row>
    <row r="1365" spans="1:13" x14ac:dyDescent="0.3">
      <c r="A1365" s="3">
        <v>45293</v>
      </c>
      <c r="B1365">
        <f t="shared" si="21"/>
        <v>2024</v>
      </c>
      <c r="C1365">
        <v>1</v>
      </c>
      <c r="D1365" t="s">
        <v>17</v>
      </c>
      <c r="E1365" t="s">
        <v>5</v>
      </c>
      <c r="F1365" s="2">
        <v>6022</v>
      </c>
      <c r="G1365" s="2">
        <f>Monthly_Growth!$C$14</f>
        <v>1007750</v>
      </c>
      <c r="H1365" s="5">
        <f>Monthly_Growth!$D$14</f>
        <v>0.22617461505235045</v>
      </c>
      <c r="I1365" s="15">
        <f>Yearly_Growth!$C$3</f>
        <v>0.11893113731787852</v>
      </c>
      <c r="J1365" s="15">
        <f>Yearly_Growth!$D$3</f>
        <v>0.09</v>
      </c>
      <c r="K1365">
        <f>Sales_Per_Representative!$C$25</f>
        <v>749460</v>
      </c>
      <c r="L1365">
        <f>Sales_Per_Rep_Yearly_Goal!$B$3</f>
        <v>689907.8</v>
      </c>
      <c r="M1365">
        <f>Sales_Per_Rep_Yearly_Goal!$C$3</f>
        <v>690000</v>
      </c>
    </row>
    <row r="1366" spans="1:13" x14ac:dyDescent="0.3">
      <c r="A1366" s="3">
        <v>45293</v>
      </c>
      <c r="B1366">
        <f t="shared" si="21"/>
        <v>2024</v>
      </c>
      <c r="C1366">
        <v>1</v>
      </c>
      <c r="D1366" t="s">
        <v>17</v>
      </c>
      <c r="E1366" t="s">
        <v>30</v>
      </c>
      <c r="F1366" s="2">
        <v>3007</v>
      </c>
      <c r="G1366" s="2">
        <f>Monthly_Growth!$C$14</f>
        <v>1007750</v>
      </c>
      <c r="H1366" s="5">
        <f>Monthly_Growth!$D$14</f>
        <v>0.22617461505235045</v>
      </c>
      <c r="I1366" s="15">
        <f>Yearly_Growth!$C$3</f>
        <v>0.11893113731787852</v>
      </c>
      <c r="J1366" s="15">
        <f>Yearly_Growth!$D$3</f>
        <v>0.09</v>
      </c>
      <c r="K1366">
        <f>Sales_Per_Representative!$C$22</f>
        <v>700142</v>
      </c>
      <c r="L1366">
        <f>Sales_Per_Rep_Yearly_Goal!$B$3</f>
        <v>689907.8</v>
      </c>
      <c r="M1366">
        <f>Sales_Per_Rep_Yearly_Goal!$C$3</f>
        <v>690000</v>
      </c>
    </row>
    <row r="1367" spans="1:13" x14ac:dyDescent="0.3">
      <c r="A1367" s="3">
        <v>45294</v>
      </c>
      <c r="B1367">
        <f t="shared" si="21"/>
        <v>2024</v>
      </c>
      <c r="C1367">
        <v>1</v>
      </c>
      <c r="D1367" t="s">
        <v>25</v>
      </c>
      <c r="E1367" t="s">
        <v>24</v>
      </c>
      <c r="F1367" s="2">
        <v>7839</v>
      </c>
      <c r="G1367" s="2">
        <f>Monthly_Growth!$C$14</f>
        <v>1007750</v>
      </c>
      <c r="H1367" s="5">
        <f>Monthly_Growth!$D$14</f>
        <v>0.22617461505235045</v>
      </c>
      <c r="I1367" s="15">
        <f>Yearly_Growth!$C$3</f>
        <v>0.11893113731787852</v>
      </c>
      <c r="J1367" s="15">
        <f>Yearly_Growth!$D$3</f>
        <v>0.09</v>
      </c>
      <c r="K1367">
        <f>Sales_Per_Representative!$C$17</f>
        <v>633956</v>
      </c>
      <c r="L1367">
        <f>Sales_Per_Rep_Yearly_Goal!$B$3</f>
        <v>689907.8</v>
      </c>
      <c r="M1367">
        <f>Sales_Per_Rep_Yearly_Goal!$C$3</f>
        <v>690000</v>
      </c>
    </row>
    <row r="1368" spans="1:13" x14ac:dyDescent="0.3">
      <c r="A1368" s="3">
        <v>45294</v>
      </c>
      <c r="B1368">
        <f t="shared" si="21"/>
        <v>2024</v>
      </c>
      <c r="C1368">
        <v>1</v>
      </c>
      <c r="D1368" t="s">
        <v>25</v>
      </c>
      <c r="E1368" t="s">
        <v>26</v>
      </c>
      <c r="F1368" s="2">
        <v>10560</v>
      </c>
      <c r="G1368" s="2">
        <f>Monthly_Growth!$C$14</f>
        <v>1007750</v>
      </c>
      <c r="H1368" s="5">
        <f>Monthly_Growth!$D$14</f>
        <v>0.22617461505235045</v>
      </c>
      <c r="I1368" s="15">
        <f>Yearly_Growth!$C$3</f>
        <v>0.11893113731787852</v>
      </c>
      <c r="J1368" s="15">
        <f>Yearly_Growth!$D$3</f>
        <v>0.09</v>
      </c>
      <c r="K1368">
        <f>Sales_Per_Representative!$C$31</f>
        <v>664244</v>
      </c>
      <c r="L1368">
        <f>Sales_Per_Rep_Yearly_Goal!$B$3</f>
        <v>689907.8</v>
      </c>
      <c r="M1368">
        <f>Sales_Per_Rep_Yearly_Goal!$C$3</f>
        <v>690000</v>
      </c>
    </row>
    <row r="1369" spans="1:13" x14ac:dyDescent="0.3">
      <c r="A1369" s="3">
        <v>45294</v>
      </c>
      <c r="B1369">
        <f t="shared" si="21"/>
        <v>2024</v>
      </c>
      <c r="C1369">
        <v>1</v>
      </c>
      <c r="D1369" t="s">
        <v>12</v>
      </c>
      <c r="E1369" t="s">
        <v>18</v>
      </c>
      <c r="F1369" s="2">
        <v>13045</v>
      </c>
      <c r="G1369" s="2">
        <f>Monthly_Growth!$C$14</f>
        <v>1007750</v>
      </c>
      <c r="H1369" s="5">
        <f>Monthly_Growth!$D$14</f>
        <v>0.22617461505235045</v>
      </c>
      <c r="I1369" s="15">
        <f>Yearly_Growth!$C$3</f>
        <v>0.11893113731787852</v>
      </c>
      <c r="J1369" s="15">
        <f>Yearly_Growth!$D$3</f>
        <v>0.09</v>
      </c>
      <c r="K1369">
        <f>Sales_Per_Representative!$C$24</f>
        <v>699277</v>
      </c>
      <c r="L1369">
        <f>Sales_Per_Rep_Yearly_Goal!$B$3</f>
        <v>689907.8</v>
      </c>
      <c r="M1369">
        <f>Sales_Per_Rep_Yearly_Goal!$C$3</f>
        <v>690000</v>
      </c>
    </row>
    <row r="1370" spans="1:13" x14ac:dyDescent="0.3">
      <c r="A1370" s="3">
        <v>45294</v>
      </c>
      <c r="B1370">
        <f t="shared" si="21"/>
        <v>2024</v>
      </c>
      <c r="C1370">
        <v>1</v>
      </c>
      <c r="D1370" t="s">
        <v>12</v>
      </c>
      <c r="E1370" t="s">
        <v>5</v>
      </c>
      <c r="F1370" s="2">
        <v>12825</v>
      </c>
      <c r="G1370" s="2">
        <f>Monthly_Growth!$C$14</f>
        <v>1007750</v>
      </c>
      <c r="H1370" s="5">
        <f>Monthly_Growth!$D$14</f>
        <v>0.22617461505235045</v>
      </c>
      <c r="I1370" s="15">
        <f>Yearly_Growth!$C$3</f>
        <v>0.11893113731787852</v>
      </c>
      <c r="J1370" s="15">
        <f>Yearly_Growth!$D$3</f>
        <v>0.09</v>
      </c>
      <c r="K1370">
        <f>Sales_Per_Representative!$C$25</f>
        <v>749460</v>
      </c>
      <c r="L1370">
        <f>Sales_Per_Rep_Yearly_Goal!$B$3</f>
        <v>689907.8</v>
      </c>
      <c r="M1370">
        <f>Sales_Per_Rep_Yearly_Goal!$C$3</f>
        <v>690000</v>
      </c>
    </row>
    <row r="1371" spans="1:13" x14ac:dyDescent="0.3">
      <c r="A1371" s="3">
        <v>45295</v>
      </c>
      <c r="B1371">
        <f t="shared" si="21"/>
        <v>2024</v>
      </c>
      <c r="C1371">
        <v>1</v>
      </c>
      <c r="D1371" t="s">
        <v>19</v>
      </c>
      <c r="E1371" t="s">
        <v>27</v>
      </c>
      <c r="F1371" s="2">
        <v>3890</v>
      </c>
      <c r="G1371" s="2">
        <f>Monthly_Growth!$C$14</f>
        <v>1007750</v>
      </c>
      <c r="H1371" s="5">
        <f>Monthly_Growth!$D$14</f>
        <v>0.22617461505235045</v>
      </c>
      <c r="I1371" s="15">
        <f>Yearly_Growth!$C$3</f>
        <v>0.11893113731787852</v>
      </c>
      <c r="J1371" s="15">
        <f>Yearly_Growth!$D$3</f>
        <v>0.09</v>
      </c>
      <c r="K1371">
        <f>Sales_Per_Representative!$C$20</f>
        <v>685380</v>
      </c>
      <c r="L1371">
        <f>Sales_Per_Rep_Yearly_Goal!$B$3</f>
        <v>689907.8</v>
      </c>
      <c r="M1371">
        <f>Sales_Per_Rep_Yearly_Goal!$C$3</f>
        <v>690000</v>
      </c>
    </row>
    <row r="1372" spans="1:13" x14ac:dyDescent="0.3">
      <c r="A1372" s="3">
        <v>45295</v>
      </c>
      <c r="B1372">
        <f t="shared" si="21"/>
        <v>2024</v>
      </c>
      <c r="C1372">
        <v>1</v>
      </c>
      <c r="D1372" t="s">
        <v>25</v>
      </c>
      <c r="E1372" t="s">
        <v>24</v>
      </c>
      <c r="F1372" s="2">
        <v>7733</v>
      </c>
      <c r="G1372" s="2">
        <f>Monthly_Growth!$C$14</f>
        <v>1007750</v>
      </c>
      <c r="H1372" s="5">
        <f>Monthly_Growth!$D$14</f>
        <v>0.22617461505235045</v>
      </c>
      <c r="I1372" s="15">
        <f>Yearly_Growth!$C$3</f>
        <v>0.11893113731787852</v>
      </c>
      <c r="J1372" s="15">
        <f>Yearly_Growth!$D$3</f>
        <v>0.09</v>
      </c>
      <c r="K1372">
        <f>Sales_Per_Representative!$C$17</f>
        <v>633956</v>
      </c>
      <c r="L1372">
        <f>Sales_Per_Rep_Yearly_Goal!$B$3</f>
        <v>689907.8</v>
      </c>
      <c r="M1372">
        <f>Sales_Per_Rep_Yearly_Goal!$C$3</f>
        <v>690000</v>
      </c>
    </row>
    <row r="1373" spans="1:13" x14ac:dyDescent="0.3">
      <c r="A1373" s="3">
        <v>45295</v>
      </c>
      <c r="B1373">
        <f t="shared" si="21"/>
        <v>2024</v>
      </c>
      <c r="C1373">
        <v>1</v>
      </c>
      <c r="D1373" t="s">
        <v>17</v>
      </c>
      <c r="E1373" t="s">
        <v>22</v>
      </c>
      <c r="F1373" s="2">
        <v>11656</v>
      </c>
      <c r="G1373" s="2">
        <f>Monthly_Growth!$C$14</f>
        <v>1007750</v>
      </c>
      <c r="H1373" s="5">
        <f>Monthly_Growth!$D$14</f>
        <v>0.22617461505235045</v>
      </c>
      <c r="I1373" s="15">
        <f>Yearly_Growth!$C$3</f>
        <v>0.11893113731787852</v>
      </c>
      <c r="J1373" s="15">
        <f>Yearly_Growth!$D$3</f>
        <v>0.09</v>
      </c>
      <c r="K1373">
        <f>Sales_Per_Representative!$C$23</f>
        <v>697444</v>
      </c>
      <c r="L1373">
        <f>Sales_Per_Rep_Yearly_Goal!$B$3</f>
        <v>689907.8</v>
      </c>
      <c r="M1373">
        <f>Sales_Per_Rep_Yearly_Goal!$C$3</f>
        <v>690000</v>
      </c>
    </row>
    <row r="1374" spans="1:13" x14ac:dyDescent="0.3">
      <c r="A1374" s="3">
        <v>45295</v>
      </c>
      <c r="B1374">
        <f t="shared" si="21"/>
        <v>2024</v>
      </c>
      <c r="C1374">
        <v>1</v>
      </c>
      <c r="D1374" t="s">
        <v>12</v>
      </c>
      <c r="E1374" t="s">
        <v>27</v>
      </c>
      <c r="F1374" s="2">
        <v>10029</v>
      </c>
      <c r="G1374" s="2">
        <f>Monthly_Growth!$C$14</f>
        <v>1007750</v>
      </c>
      <c r="H1374" s="5">
        <f>Monthly_Growth!$D$14</f>
        <v>0.22617461505235045</v>
      </c>
      <c r="I1374" s="15">
        <f>Yearly_Growth!$C$3</f>
        <v>0.11893113731787852</v>
      </c>
      <c r="J1374" s="15">
        <f>Yearly_Growth!$D$3</f>
        <v>0.09</v>
      </c>
      <c r="K1374">
        <f>Sales_Per_Representative!$C$20</f>
        <v>685380</v>
      </c>
      <c r="L1374">
        <f>Sales_Per_Rep_Yearly_Goal!$B$3</f>
        <v>689907.8</v>
      </c>
      <c r="M1374">
        <f>Sales_Per_Rep_Yearly_Goal!$C$3</f>
        <v>690000</v>
      </c>
    </row>
    <row r="1375" spans="1:13" x14ac:dyDescent="0.3">
      <c r="A1375" s="3">
        <v>45295</v>
      </c>
      <c r="B1375">
        <f t="shared" si="21"/>
        <v>2024</v>
      </c>
      <c r="C1375">
        <v>1</v>
      </c>
      <c r="D1375" t="s">
        <v>12</v>
      </c>
      <c r="E1375" t="s">
        <v>30</v>
      </c>
      <c r="F1375" s="2">
        <v>9119</v>
      </c>
      <c r="G1375" s="2">
        <f>Monthly_Growth!$C$14</f>
        <v>1007750</v>
      </c>
      <c r="H1375" s="5">
        <f>Monthly_Growth!$D$14</f>
        <v>0.22617461505235045</v>
      </c>
      <c r="I1375" s="15">
        <f>Yearly_Growth!$C$3</f>
        <v>0.11893113731787852</v>
      </c>
      <c r="J1375" s="15">
        <f>Yearly_Growth!$D$3</f>
        <v>0.09</v>
      </c>
      <c r="K1375">
        <f>Sales_Per_Representative!$C$22</f>
        <v>700142</v>
      </c>
      <c r="L1375">
        <f>Sales_Per_Rep_Yearly_Goal!$B$3</f>
        <v>689907.8</v>
      </c>
      <c r="M1375">
        <f>Sales_Per_Rep_Yearly_Goal!$C$3</f>
        <v>690000</v>
      </c>
    </row>
    <row r="1376" spans="1:13" x14ac:dyDescent="0.3">
      <c r="A1376" s="3">
        <v>45296</v>
      </c>
      <c r="B1376">
        <f t="shared" si="21"/>
        <v>2024</v>
      </c>
      <c r="C1376">
        <v>1</v>
      </c>
      <c r="D1376" t="s">
        <v>14</v>
      </c>
      <c r="E1376" t="s">
        <v>22</v>
      </c>
      <c r="F1376" s="2">
        <v>7088</v>
      </c>
      <c r="G1376" s="2">
        <f>Monthly_Growth!$C$14</f>
        <v>1007750</v>
      </c>
      <c r="H1376" s="5">
        <f>Monthly_Growth!$D$14</f>
        <v>0.22617461505235045</v>
      </c>
      <c r="I1376" s="15">
        <f>Yearly_Growth!$C$3</f>
        <v>0.11893113731787852</v>
      </c>
      <c r="J1376" s="15">
        <f>Yearly_Growth!$D$3</f>
        <v>0.09</v>
      </c>
      <c r="K1376">
        <f>Sales_Per_Representative!$C$23</f>
        <v>697444</v>
      </c>
      <c r="L1376">
        <f>Sales_Per_Rep_Yearly_Goal!$B$3</f>
        <v>689907.8</v>
      </c>
      <c r="M1376">
        <f>Sales_Per_Rep_Yearly_Goal!$C$3</f>
        <v>690000</v>
      </c>
    </row>
    <row r="1377" spans="1:13" x14ac:dyDescent="0.3">
      <c r="A1377" s="3">
        <v>45296</v>
      </c>
      <c r="B1377">
        <f t="shared" si="21"/>
        <v>2024</v>
      </c>
      <c r="C1377">
        <v>1</v>
      </c>
      <c r="D1377" t="s">
        <v>19</v>
      </c>
      <c r="E1377" t="s">
        <v>30</v>
      </c>
      <c r="F1377" s="2">
        <v>8370</v>
      </c>
      <c r="G1377" s="2">
        <f>Monthly_Growth!$C$14</f>
        <v>1007750</v>
      </c>
      <c r="H1377" s="5">
        <f>Monthly_Growth!$D$14</f>
        <v>0.22617461505235045</v>
      </c>
      <c r="I1377" s="15">
        <f>Yearly_Growth!$C$3</f>
        <v>0.11893113731787852</v>
      </c>
      <c r="J1377" s="15">
        <f>Yearly_Growth!$D$3</f>
        <v>0.09</v>
      </c>
      <c r="K1377">
        <f>Sales_Per_Representative!$C$22</f>
        <v>700142</v>
      </c>
      <c r="L1377">
        <f>Sales_Per_Rep_Yearly_Goal!$B$3</f>
        <v>689907.8</v>
      </c>
      <c r="M1377">
        <f>Sales_Per_Rep_Yearly_Goal!$C$3</f>
        <v>690000</v>
      </c>
    </row>
    <row r="1378" spans="1:13" x14ac:dyDescent="0.3">
      <c r="A1378" s="3">
        <v>45296</v>
      </c>
      <c r="B1378">
        <f t="shared" si="21"/>
        <v>2024</v>
      </c>
      <c r="C1378">
        <v>1</v>
      </c>
      <c r="D1378" t="s">
        <v>19</v>
      </c>
      <c r="E1378" t="s">
        <v>31</v>
      </c>
      <c r="F1378" s="2">
        <v>3864</v>
      </c>
      <c r="G1378" s="2">
        <f>Monthly_Growth!$C$14</f>
        <v>1007750</v>
      </c>
      <c r="H1378" s="5">
        <f>Monthly_Growth!$D$14</f>
        <v>0.22617461505235045</v>
      </c>
      <c r="I1378" s="15">
        <f>Yearly_Growth!$C$3</f>
        <v>0.11893113731787852</v>
      </c>
      <c r="J1378" s="15">
        <f>Yearly_Growth!$D$3</f>
        <v>0.09</v>
      </c>
      <c r="K1378">
        <f>Sales_Per_Representative!$C$21</f>
        <v>679421</v>
      </c>
      <c r="L1378">
        <f>Sales_Per_Rep_Yearly_Goal!$B$3</f>
        <v>689907.8</v>
      </c>
      <c r="M1378">
        <f>Sales_Per_Rep_Yearly_Goal!$C$3</f>
        <v>690000</v>
      </c>
    </row>
    <row r="1379" spans="1:13" x14ac:dyDescent="0.3">
      <c r="A1379" s="3">
        <v>45296</v>
      </c>
      <c r="B1379">
        <f t="shared" si="21"/>
        <v>2024</v>
      </c>
      <c r="C1379">
        <v>1</v>
      </c>
      <c r="D1379" t="s">
        <v>23</v>
      </c>
      <c r="E1379" t="s">
        <v>31</v>
      </c>
      <c r="F1379" s="2">
        <v>9639</v>
      </c>
      <c r="G1379" s="2">
        <f>Monthly_Growth!$C$14</f>
        <v>1007750</v>
      </c>
      <c r="H1379" s="5">
        <f>Monthly_Growth!$D$14</f>
        <v>0.22617461505235045</v>
      </c>
      <c r="I1379" s="15">
        <f>Yearly_Growth!$C$3</f>
        <v>0.11893113731787852</v>
      </c>
      <c r="J1379" s="15">
        <f>Yearly_Growth!$D$3</f>
        <v>0.09</v>
      </c>
      <c r="K1379">
        <f>Sales_Per_Representative!$C$21</f>
        <v>679421</v>
      </c>
      <c r="L1379">
        <f>Sales_Per_Rep_Yearly_Goal!$B$3</f>
        <v>689907.8</v>
      </c>
      <c r="M1379">
        <f>Sales_Per_Rep_Yearly_Goal!$C$3</f>
        <v>690000</v>
      </c>
    </row>
    <row r="1380" spans="1:13" x14ac:dyDescent="0.3">
      <c r="A1380" s="3">
        <v>45296</v>
      </c>
      <c r="B1380">
        <f t="shared" si="21"/>
        <v>2024</v>
      </c>
      <c r="C1380">
        <v>1</v>
      </c>
      <c r="D1380" t="s">
        <v>23</v>
      </c>
      <c r="E1380" t="s">
        <v>5</v>
      </c>
      <c r="F1380" s="2">
        <v>6490</v>
      </c>
      <c r="G1380" s="2">
        <f>Monthly_Growth!$C$14</f>
        <v>1007750</v>
      </c>
      <c r="H1380" s="5">
        <f>Monthly_Growth!$D$14</f>
        <v>0.22617461505235045</v>
      </c>
      <c r="I1380" s="15">
        <f>Yearly_Growth!$C$3</f>
        <v>0.11893113731787852</v>
      </c>
      <c r="J1380" s="15">
        <f>Yearly_Growth!$D$3</f>
        <v>0.09</v>
      </c>
      <c r="K1380">
        <f>Sales_Per_Representative!$C$25</f>
        <v>749460</v>
      </c>
      <c r="L1380">
        <f>Sales_Per_Rep_Yearly_Goal!$B$3</f>
        <v>689907.8</v>
      </c>
      <c r="M1380">
        <f>Sales_Per_Rep_Yearly_Goal!$C$3</f>
        <v>690000</v>
      </c>
    </row>
    <row r="1381" spans="1:13" x14ac:dyDescent="0.3">
      <c r="A1381" s="3">
        <v>45296</v>
      </c>
      <c r="B1381">
        <f t="shared" si="21"/>
        <v>2024</v>
      </c>
      <c r="C1381">
        <v>1</v>
      </c>
      <c r="D1381" t="s">
        <v>7</v>
      </c>
      <c r="E1381" t="s">
        <v>27</v>
      </c>
      <c r="F1381" s="2">
        <v>7358</v>
      </c>
      <c r="G1381" s="2">
        <f>Monthly_Growth!$C$14</f>
        <v>1007750</v>
      </c>
      <c r="H1381" s="5">
        <f>Monthly_Growth!$D$14</f>
        <v>0.22617461505235045</v>
      </c>
      <c r="I1381" s="15">
        <f>Yearly_Growth!$C$3</f>
        <v>0.11893113731787852</v>
      </c>
      <c r="J1381" s="15">
        <f>Yearly_Growth!$D$3</f>
        <v>0.09</v>
      </c>
      <c r="K1381">
        <f>Sales_Per_Representative!$C$20</f>
        <v>685380</v>
      </c>
      <c r="L1381">
        <f>Sales_Per_Rep_Yearly_Goal!$B$3</f>
        <v>689907.8</v>
      </c>
      <c r="M1381">
        <f>Sales_Per_Rep_Yearly_Goal!$C$3</f>
        <v>690000</v>
      </c>
    </row>
    <row r="1382" spans="1:13" x14ac:dyDescent="0.3">
      <c r="A1382" s="3">
        <v>45296</v>
      </c>
      <c r="B1382">
        <f t="shared" si="21"/>
        <v>2024</v>
      </c>
      <c r="C1382">
        <v>1</v>
      </c>
      <c r="D1382" t="s">
        <v>7</v>
      </c>
      <c r="E1382" t="s">
        <v>27</v>
      </c>
      <c r="F1382" s="2">
        <v>10934</v>
      </c>
      <c r="G1382" s="2">
        <f>Monthly_Growth!$C$14</f>
        <v>1007750</v>
      </c>
      <c r="H1382" s="5">
        <f>Monthly_Growth!$D$14</f>
        <v>0.22617461505235045</v>
      </c>
      <c r="I1382" s="15">
        <f>Yearly_Growth!$C$3</f>
        <v>0.11893113731787852</v>
      </c>
      <c r="J1382" s="15">
        <f>Yearly_Growth!$D$3</f>
        <v>0.09</v>
      </c>
      <c r="K1382">
        <f>Sales_Per_Representative!$C$20</f>
        <v>685380</v>
      </c>
      <c r="L1382">
        <f>Sales_Per_Rep_Yearly_Goal!$B$3</f>
        <v>689907.8</v>
      </c>
      <c r="M1382">
        <f>Sales_Per_Rep_Yearly_Goal!$C$3</f>
        <v>690000</v>
      </c>
    </row>
    <row r="1383" spans="1:13" x14ac:dyDescent="0.3">
      <c r="A1383" s="3">
        <v>45296</v>
      </c>
      <c r="B1383">
        <f t="shared" si="21"/>
        <v>2024</v>
      </c>
      <c r="C1383">
        <v>1</v>
      </c>
      <c r="D1383" t="s">
        <v>28</v>
      </c>
      <c r="E1383" t="s">
        <v>31</v>
      </c>
      <c r="F1383" s="2">
        <v>12356</v>
      </c>
      <c r="G1383" s="2">
        <f>Monthly_Growth!$C$14</f>
        <v>1007750</v>
      </c>
      <c r="H1383" s="5">
        <f>Monthly_Growth!$D$14</f>
        <v>0.22617461505235045</v>
      </c>
      <c r="I1383" s="15">
        <f>Yearly_Growth!$C$3</f>
        <v>0.11893113731787852</v>
      </c>
      <c r="J1383" s="15">
        <f>Yearly_Growth!$D$3</f>
        <v>0.09</v>
      </c>
      <c r="K1383">
        <f>Sales_Per_Representative!$C$21</f>
        <v>679421</v>
      </c>
      <c r="L1383">
        <f>Sales_Per_Rep_Yearly_Goal!$B$3</f>
        <v>689907.8</v>
      </c>
      <c r="M1383">
        <f>Sales_Per_Rep_Yearly_Goal!$C$3</f>
        <v>690000</v>
      </c>
    </row>
    <row r="1384" spans="1:13" x14ac:dyDescent="0.3">
      <c r="A1384" s="3">
        <v>45297</v>
      </c>
      <c r="B1384">
        <f t="shared" si="21"/>
        <v>2024</v>
      </c>
      <c r="C1384">
        <v>1</v>
      </c>
      <c r="D1384" t="s">
        <v>25</v>
      </c>
      <c r="E1384" t="s">
        <v>18</v>
      </c>
      <c r="F1384" s="2">
        <v>4751</v>
      </c>
      <c r="G1384" s="2">
        <f>Monthly_Growth!$C$14</f>
        <v>1007750</v>
      </c>
      <c r="H1384" s="5">
        <f>Monthly_Growth!$D$14</f>
        <v>0.22617461505235045</v>
      </c>
      <c r="I1384" s="15">
        <f>Yearly_Growth!$C$3</f>
        <v>0.11893113731787852</v>
      </c>
      <c r="J1384" s="15">
        <f>Yearly_Growth!$D$3</f>
        <v>0.09</v>
      </c>
      <c r="K1384">
        <f>Sales_Per_Representative!$C$24</f>
        <v>699277</v>
      </c>
      <c r="L1384">
        <f>Sales_Per_Rep_Yearly_Goal!$B$3</f>
        <v>689907.8</v>
      </c>
      <c r="M1384">
        <f>Sales_Per_Rep_Yearly_Goal!$C$3</f>
        <v>690000</v>
      </c>
    </row>
    <row r="1385" spans="1:13" x14ac:dyDescent="0.3">
      <c r="A1385" s="3">
        <v>45297</v>
      </c>
      <c r="B1385">
        <f t="shared" si="21"/>
        <v>2024</v>
      </c>
      <c r="C1385">
        <v>1</v>
      </c>
      <c r="D1385" t="s">
        <v>25</v>
      </c>
      <c r="E1385" t="s">
        <v>29</v>
      </c>
      <c r="F1385" s="2">
        <v>4511</v>
      </c>
      <c r="G1385" s="2">
        <f>Monthly_Growth!$C$14</f>
        <v>1007750</v>
      </c>
      <c r="H1385" s="5">
        <f>Monthly_Growth!$D$14</f>
        <v>0.22617461505235045</v>
      </c>
      <c r="I1385" s="15">
        <f>Yearly_Growth!$C$3</f>
        <v>0.11893113731787852</v>
      </c>
      <c r="J1385" s="15">
        <f>Yearly_Growth!$D$3</f>
        <v>0.09</v>
      </c>
      <c r="K1385">
        <f>Sales_Per_Representative!$C$28</f>
        <v>691917</v>
      </c>
      <c r="L1385">
        <f>Sales_Per_Rep_Yearly_Goal!$B$3</f>
        <v>689907.8</v>
      </c>
      <c r="M1385">
        <f>Sales_Per_Rep_Yearly_Goal!$C$3</f>
        <v>690000</v>
      </c>
    </row>
    <row r="1386" spans="1:13" x14ac:dyDescent="0.3">
      <c r="A1386" s="3">
        <v>45297</v>
      </c>
      <c r="B1386">
        <f t="shared" si="21"/>
        <v>2024</v>
      </c>
      <c r="C1386">
        <v>1</v>
      </c>
      <c r="D1386" t="s">
        <v>7</v>
      </c>
      <c r="E1386" t="s">
        <v>20</v>
      </c>
      <c r="F1386" s="2">
        <v>13876</v>
      </c>
      <c r="G1386" s="2">
        <f>Monthly_Growth!$C$14</f>
        <v>1007750</v>
      </c>
      <c r="H1386" s="5">
        <f>Monthly_Growth!$D$14</f>
        <v>0.22617461505235045</v>
      </c>
      <c r="I1386" s="15">
        <f>Yearly_Growth!$C$3</f>
        <v>0.11893113731787852</v>
      </c>
      <c r="J1386" s="15">
        <f>Yearly_Growth!$D$3</f>
        <v>0.09</v>
      </c>
      <c r="K1386">
        <f>Sales_Per_Representative!$C$29</f>
        <v>753085</v>
      </c>
      <c r="L1386">
        <f>Sales_Per_Rep_Yearly_Goal!$B$3</f>
        <v>689907.8</v>
      </c>
      <c r="M1386">
        <f>Sales_Per_Rep_Yearly_Goal!$C$3</f>
        <v>690000</v>
      </c>
    </row>
    <row r="1387" spans="1:13" x14ac:dyDescent="0.3">
      <c r="A1387" s="3">
        <v>45297</v>
      </c>
      <c r="B1387">
        <f t="shared" si="21"/>
        <v>2024</v>
      </c>
      <c r="C1387">
        <v>1</v>
      </c>
      <c r="D1387" t="s">
        <v>28</v>
      </c>
      <c r="E1387" t="s">
        <v>5</v>
      </c>
      <c r="F1387" s="2">
        <v>6115</v>
      </c>
      <c r="G1387" s="2">
        <f>Monthly_Growth!$C$14</f>
        <v>1007750</v>
      </c>
      <c r="H1387" s="5">
        <f>Monthly_Growth!$D$14</f>
        <v>0.22617461505235045</v>
      </c>
      <c r="I1387" s="15">
        <f>Yearly_Growth!$C$3</f>
        <v>0.11893113731787852</v>
      </c>
      <c r="J1387" s="15">
        <f>Yearly_Growth!$D$3</f>
        <v>0.09</v>
      </c>
      <c r="K1387">
        <f>Sales_Per_Representative!$C$25</f>
        <v>749460</v>
      </c>
      <c r="L1387">
        <f>Sales_Per_Rep_Yearly_Goal!$B$3</f>
        <v>689907.8</v>
      </c>
      <c r="M1387">
        <f>Sales_Per_Rep_Yearly_Goal!$C$3</f>
        <v>690000</v>
      </c>
    </row>
    <row r="1388" spans="1:13" x14ac:dyDescent="0.3">
      <c r="A1388" s="3">
        <v>45297</v>
      </c>
      <c r="B1388">
        <f t="shared" si="21"/>
        <v>2024</v>
      </c>
      <c r="C1388">
        <v>1</v>
      </c>
      <c r="D1388" t="s">
        <v>12</v>
      </c>
      <c r="E1388" t="s">
        <v>29</v>
      </c>
      <c r="F1388" s="2">
        <v>5090</v>
      </c>
      <c r="G1388" s="2">
        <f>Monthly_Growth!$C$14</f>
        <v>1007750</v>
      </c>
      <c r="H1388" s="5">
        <f>Monthly_Growth!$D$14</f>
        <v>0.22617461505235045</v>
      </c>
      <c r="I1388" s="15">
        <f>Yearly_Growth!$C$3</f>
        <v>0.11893113731787852</v>
      </c>
      <c r="J1388" s="15">
        <f>Yearly_Growth!$D$3</f>
        <v>0.09</v>
      </c>
      <c r="K1388">
        <f>Sales_Per_Representative!$C$28</f>
        <v>691917</v>
      </c>
      <c r="L1388">
        <f>Sales_Per_Rep_Yearly_Goal!$B$3</f>
        <v>689907.8</v>
      </c>
      <c r="M1388">
        <f>Sales_Per_Rep_Yearly_Goal!$C$3</f>
        <v>690000</v>
      </c>
    </row>
    <row r="1389" spans="1:13" x14ac:dyDescent="0.3">
      <c r="A1389" s="3">
        <v>45298</v>
      </c>
      <c r="B1389">
        <f t="shared" si="21"/>
        <v>2024</v>
      </c>
      <c r="C1389">
        <v>1</v>
      </c>
      <c r="D1389" t="s">
        <v>25</v>
      </c>
      <c r="E1389" t="s">
        <v>8</v>
      </c>
      <c r="F1389" s="2">
        <v>11007</v>
      </c>
      <c r="G1389" s="2">
        <f>Monthly_Growth!$C$14</f>
        <v>1007750</v>
      </c>
      <c r="H1389" s="5">
        <f>Monthly_Growth!$D$14</f>
        <v>0.22617461505235045</v>
      </c>
      <c r="I1389" s="15">
        <f>Yearly_Growth!$C$3</f>
        <v>0.11893113731787852</v>
      </c>
      <c r="J1389" s="15">
        <f>Yearly_Growth!$D$3</f>
        <v>0.09</v>
      </c>
      <c r="K1389">
        <f>Sales_Per_Representative!$C$30</f>
        <v>780006</v>
      </c>
      <c r="L1389">
        <f>Sales_Per_Rep_Yearly_Goal!$B$3</f>
        <v>689907.8</v>
      </c>
      <c r="M1389">
        <f>Sales_Per_Rep_Yearly_Goal!$C$3</f>
        <v>690000</v>
      </c>
    </row>
    <row r="1390" spans="1:13" x14ac:dyDescent="0.3">
      <c r="A1390" s="3">
        <v>45298</v>
      </c>
      <c r="B1390">
        <f t="shared" si="21"/>
        <v>2024</v>
      </c>
      <c r="C1390">
        <v>1</v>
      </c>
      <c r="D1390" t="s">
        <v>7</v>
      </c>
      <c r="E1390" t="s">
        <v>26</v>
      </c>
      <c r="F1390" s="2">
        <v>7699</v>
      </c>
      <c r="G1390" s="2">
        <f>Monthly_Growth!$C$14</f>
        <v>1007750</v>
      </c>
      <c r="H1390" s="5">
        <f>Monthly_Growth!$D$14</f>
        <v>0.22617461505235045</v>
      </c>
      <c r="I1390" s="15">
        <f>Yearly_Growth!$C$3</f>
        <v>0.11893113731787852</v>
      </c>
      <c r="J1390" s="15">
        <f>Yearly_Growth!$D$3</f>
        <v>0.09</v>
      </c>
      <c r="K1390">
        <f>Sales_Per_Representative!$C$31</f>
        <v>664244</v>
      </c>
      <c r="L1390">
        <f>Sales_Per_Rep_Yearly_Goal!$B$3</f>
        <v>689907.8</v>
      </c>
      <c r="M1390">
        <f>Sales_Per_Rep_Yearly_Goal!$C$3</f>
        <v>690000</v>
      </c>
    </row>
    <row r="1391" spans="1:13" x14ac:dyDescent="0.3">
      <c r="A1391" s="3">
        <v>45299</v>
      </c>
      <c r="B1391">
        <f t="shared" si="21"/>
        <v>2024</v>
      </c>
      <c r="C1391">
        <v>1</v>
      </c>
      <c r="D1391" t="s">
        <v>14</v>
      </c>
      <c r="E1391" t="s">
        <v>20</v>
      </c>
      <c r="F1391" s="2">
        <v>3267</v>
      </c>
      <c r="G1391" s="2">
        <f>Monthly_Growth!$C$14</f>
        <v>1007750</v>
      </c>
      <c r="H1391" s="5">
        <f>Monthly_Growth!$D$14</f>
        <v>0.22617461505235045</v>
      </c>
      <c r="I1391" s="15">
        <f>Yearly_Growth!$C$3</f>
        <v>0.11893113731787852</v>
      </c>
      <c r="J1391" s="15">
        <f>Yearly_Growth!$D$3</f>
        <v>0.09</v>
      </c>
      <c r="K1391">
        <f>Sales_Per_Representative!$C$29</f>
        <v>753085</v>
      </c>
      <c r="L1391">
        <f>Sales_Per_Rep_Yearly_Goal!$B$3</f>
        <v>689907.8</v>
      </c>
      <c r="M1391">
        <f>Sales_Per_Rep_Yearly_Goal!$C$3</f>
        <v>690000</v>
      </c>
    </row>
    <row r="1392" spans="1:13" x14ac:dyDescent="0.3">
      <c r="A1392" s="3">
        <v>45299</v>
      </c>
      <c r="B1392">
        <f t="shared" si="21"/>
        <v>2024</v>
      </c>
      <c r="C1392">
        <v>1</v>
      </c>
      <c r="D1392" t="s">
        <v>19</v>
      </c>
      <c r="E1392" t="s">
        <v>10</v>
      </c>
      <c r="F1392" s="2">
        <v>7424</v>
      </c>
      <c r="G1392" s="2">
        <f>Monthly_Growth!$C$14</f>
        <v>1007750</v>
      </c>
      <c r="H1392" s="5">
        <f>Monthly_Growth!$D$14</f>
        <v>0.22617461505235045</v>
      </c>
      <c r="I1392" s="15">
        <f>Yearly_Growth!$C$3</f>
        <v>0.11893113731787852</v>
      </c>
      <c r="J1392" s="15">
        <f>Yearly_Growth!$D$3</f>
        <v>0.09</v>
      </c>
      <c r="K1392">
        <f>Sales_Per_Representative!$C$19</f>
        <v>711816</v>
      </c>
      <c r="L1392">
        <f>Sales_Per_Rep_Yearly_Goal!$B$3</f>
        <v>689907.8</v>
      </c>
      <c r="M1392">
        <f>Sales_Per_Rep_Yearly_Goal!$C$3</f>
        <v>690000</v>
      </c>
    </row>
    <row r="1393" spans="1:13" x14ac:dyDescent="0.3">
      <c r="A1393" s="3">
        <v>45299</v>
      </c>
      <c r="B1393">
        <f t="shared" si="21"/>
        <v>2024</v>
      </c>
      <c r="C1393">
        <v>1</v>
      </c>
      <c r="D1393" t="s">
        <v>23</v>
      </c>
      <c r="E1393" t="s">
        <v>31</v>
      </c>
      <c r="F1393" s="2">
        <v>2981</v>
      </c>
      <c r="G1393" s="2">
        <f>Monthly_Growth!$C$14</f>
        <v>1007750</v>
      </c>
      <c r="H1393" s="5">
        <f>Monthly_Growth!$D$14</f>
        <v>0.22617461505235045</v>
      </c>
      <c r="I1393" s="15">
        <f>Yearly_Growth!$C$3</f>
        <v>0.11893113731787852</v>
      </c>
      <c r="J1393" s="15">
        <f>Yearly_Growth!$D$3</f>
        <v>0.09</v>
      </c>
      <c r="K1393">
        <f>Sales_Per_Representative!$C$21</f>
        <v>679421</v>
      </c>
      <c r="L1393">
        <f>Sales_Per_Rep_Yearly_Goal!$B$3</f>
        <v>689907.8</v>
      </c>
      <c r="M1393">
        <f>Sales_Per_Rep_Yearly_Goal!$C$3</f>
        <v>690000</v>
      </c>
    </row>
    <row r="1394" spans="1:13" x14ac:dyDescent="0.3">
      <c r="A1394" s="3">
        <v>45299</v>
      </c>
      <c r="B1394">
        <f t="shared" si="21"/>
        <v>2024</v>
      </c>
      <c r="C1394">
        <v>1</v>
      </c>
      <c r="D1394" t="s">
        <v>23</v>
      </c>
      <c r="E1394" t="s">
        <v>29</v>
      </c>
      <c r="F1394" s="2">
        <v>1680</v>
      </c>
      <c r="G1394" s="2">
        <f>Monthly_Growth!$C$14</f>
        <v>1007750</v>
      </c>
      <c r="H1394" s="5">
        <f>Monthly_Growth!$D$14</f>
        <v>0.22617461505235045</v>
      </c>
      <c r="I1394" s="15">
        <f>Yearly_Growth!$C$3</f>
        <v>0.11893113731787852</v>
      </c>
      <c r="J1394" s="15">
        <f>Yearly_Growth!$D$3</f>
        <v>0.09</v>
      </c>
      <c r="K1394">
        <f>Sales_Per_Representative!$C$28</f>
        <v>691917</v>
      </c>
      <c r="L1394">
        <f>Sales_Per_Rep_Yearly_Goal!$B$3</f>
        <v>689907.8</v>
      </c>
      <c r="M1394">
        <f>Sales_Per_Rep_Yearly_Goal!$C$3</f>
        <v>690000</v>
      </c>
    </row>
    <row r="1395" spans="1:13" x14ac:dyDescent="0.3">
      <c r="A1395" s="3">
        <v>45299</v>
      </c>
      <c r="B1395">
        <f t="shared" si="21"/>
        <v>2024</v>
      </c>
      <c r="C1395">
        <v>1</v>
      </c>
      <c r="D1395" t="s">
        <v>23</v>
      </c>
      <c r="E1395" t="s">
        <v>5</v>
      </c>
      <c r="F1395" s="2">
        <v>8234</v>
      </c>
      <c r="G1395" s="2">
        <f>Monthly_Growth!$C$14</f>
        <v>1007750</v>
      </c>
      <c r="H1395" s="5">
        <f>Monthly_Growth!$D$14</f>
        <v>0.22617461505235045</v>
      </c>
      <c r="I1395" s="15">
        <f>Yearly_Growth!$C$3</f>
        <v>0.11893113731787852</v>
      </c>
      <c r="J1395" s="15">
        <f>Yearly_Growth!$D$3</f>
        <v>0.09</v>
      </c>
      <c r="K1395">
        <f>Sales_Per_Representative!$C$25</f>
        <v>749460</v>
      </c>
      <c r="L1395">
        <f>Sales_Per_Rep_Yearly_Goal!$B$3</f>
        <v>689907.8</v>
      </c>
      <c r="M1395">
        <f>Sales_Per_Rep_Yearly_Goal!$C$3</f>
        <v>690000</v>
      </c>
    </row>
    <row r="1396" spans="1:13" x14ac:dyDescent="0.3">
      <c r="A1396" s="3">
        <v>45299</v>
      </c>
      <c r="B1396">
        <f t="shared" si="21"/>
        <v>2024</v>
      </c>
      <c r="C1396">
        <v>1</v>
      </c>
      <c r="D1396" t="s">
        <v>25</v>
      </c>
      <c r="E1396" t="s">
        <v>27</v>
      </c>
      <c r="F1396" s="2">
        <v>10024</v>
      </c>
      <c r="G1396" s="2">
        <f>Monthly_Growth!$C$14</f>
        <v>1007750</v>
      </c>
      <c r="H1396" s="5">
        <f>Monthly_Growth!$D$14</f>
        <v>0.22617461505235045</v>
      </c>
      <c r="I1396" s="15">
        <f>Yearly_Growth!$C$3</f>
        <v>0.11893113731787852</v>
      </c>
      <c r="J1396" s="15">
        <f>Yearly_Growth!$D$3</f>
        <v>0.09</v>
      </c>
      <c r="K1396">
        <f>Sales_Per_Representative!$C$20</f>
        <v>685380</v>
      </c>
      <c r="L1396">
        <f>Sales_Per_Rep_Yearly_Goal!$B$3</f>
        <v>689907.8</v>
      </c>
      <c r="M1396">
        <f>Sales_Per_Rep_Yearly_Goal!$C$3</f>
        <v>690000</v>
      </c>
    </row>
    <row r="1397" spans="1:13" x14ac:dyDescent="0.3">
      <c r="A1397" s="3">
        <v>45299</v>
      </c>
      <c r="B1397">
        <f t="shared" si="21"/>
        <v>2024</v>
      </c>
      <c r="C1397">
        <v>1</v>
      </c>
      <c r="D1397" t="s">
        <v>28</v>
      </c>
      <c r="E1397" t="s">
        <v>24</v>
      </c>
      <c r="F1397" s="2">
        <v>5670</v>
      </c>
      <c r="G1397" s="2">
        <f>Monthly_Growth!$C$14</f>
        <v>1007750</v>
      </c>
      <c r="H1397" s="5">
        <f>Monthly_Growth!$D$14</f>
        <v>0.22617461505235045</v>
      </c>
      <c r="I1397" s="15">
        <f>Yearly_Growth!$C$3</f>
        <v>0.11893113731787852</v>
      </c>
      <c r="J1397" s="15">
        <f>Yearly_Growth!$D$3</f>
        <v>0.09</v>
      </c>
      <c r="K1397">
        <f>Sales_Per_Representative!$C$17</f>
        <v>633956</v>
      </c>
      <c r="L1397">
        <f>Sales_Per_Rep_Yearly_Goal!$B$3</f>
        <v>689907.8</v>
      </c>
      <c r="M1397">
        <f>Sales_Per_Rep_Yearly_Goal!$C$3</f>
        <v>690000</v>
      </c>
    </row>
    <row r="1398" spans="1:13" x14ac:dyDescent="0.3">
      <c r="A1398" s="3">
        <v>45299</v>
      </c>
      <c r="B1398">
        <f t="shared" si="21"/>
        <v>2024</v>
      </c>
      <c r="C1398">
        <v>1</v>
      </c>
      <c r="D1398" t="s">
        <v>17</v>
      </c>
      <c r="E1398" t="s">
        <v>26</v>
      </c>
      <c r="F1398" s="2">
        <v>8151</v>
      </c>
      <c r="G1398" s="2">
        <f>Monthly_Growth!$C$14</f>
        <v>1007750</v>
      </c>
      <c r="H1398" s="5">
        <f>Monthly_Growth!$D$14</f>
        <v>0.22617461505235045</v>
      </c>
      <c r="I1398" s="15">
        <f>Yearly_Growth!$C$3</f>
        <v>0.11893113731787852</v>
      </c>
      <c r="J1398" s="15">
        <f>Yearly_Growth!$D$3</f>
        <v>0.09</v>
      </c>
      <c r="K1398">
        <f>Sales_Per_Representative!$C$31</f>
        <v>664244</v>
      </c>
      <c r="L1398">
        <f>Sales_Per_Rep_Yearly_Goal!$B$3</f>
        <v>689907.8</v>
      </c>
      <c r="M1398">
        <f>Sales_Per_Rep_Yearly_Goal!$C$3</f>
        <v>690000</v>
      </c>
    </row>
    <row r="1399" spans="1:13" x14ac:dyDescent="0.3">
      <c r="A1399" s="3">
        <v>45300</v>
      </c>
      <c r="B1399">
        <f t="shared" si="21"/>
        <v>2024</v>
      </c>
      <c r="C1399">
        <v>1</v>
      </c>
      <c r="D1399" t="s">
        <v>14</v>
      </c>
      <c r="E1399" t="s">
        <v>18</v>
      </c>
      <c r="F1399" s="2">
        <v>9608</v>
      </c>
      <c r="G1399" s="2">
        <f>Monthly_Growth!$C$14</f>
        <v>1007750</v>
      </c>
      <c r="H1399" s="5">
        <f>Monthly_Growth!$D$14</f>
        <v>0.22617461505235045</v>
      </c>
      <c r="I1399" s="15">
        <f>Yearly_Growth!$C$3</f>
        <v>0.11893113731787852</v>
      </c>
      <c r="J1399" s="15">
        <f>Yearly_Growth!$D$3</f>
        <v>0.09</v>
      </c>
      <c r="K1399">
        <f>Sales_Per_Representative!$C$24</f>
        <v>699277</v>
      </c>
      <c r="L1399">
        <f>Sales_Per_Rep_Yearly_Goal!$B$3</f>
        <v>689907.8</v>
      </c>
      <c r="M1399">
        <f>Sales_Per_Rep_Yearly_Goal!$C$3</f>
        <v>690000</v>
      </c>
    </row>
    <row r="1400" spans="1:13" x14ac:dyDescent="0.3">
      <c r="A1400" s="3">
        <v>45300</v>
      </c>
      <c r="B1400">
        <f t="shared" si="21"/>
        <v>2024</v>
      </c>
      <c r="C1400">
        <v>1</v>
      </c>
      <c r="D1400" t="s">
        <v>19</v>
      </c>
      <c r="E1400" t="s">
        <v>33</v>
      </c>
      <c r="F1400" s="2">
        <v>1398</v>
      </c>
      <c r="G1400" s="2">
        <f>Monthly_Growth!$C$14</f>
        <v>1007750</v>
      </c>
      <c r="H1400" s="5">
        <f>Monthly_Growth!$D$14</f>
        <v>0.22617461505235045</v>
      </c>
      <c r="I1400" s="15">
        <f>Yearly_Growth!$C$3</f>
        <v>0.11893113731787852</v>
      </c>
      <c r="J1400" s="15">
        <f>Yearly_Growth!$D$3</f>
        <v>0.09</v>
      </c>
      <c r="K1400">
        <f>Sales_Per_Representative!$C$26</f>
        <v>501360</v>
      </c>
      <c r="L1400">
        <f>Sales_Per_Rep_Yearly_Goal!$B$3</f>
        <v>689907.8</v>
      </c>
      <c r="M1400">
        <f>Sales_Per_Rep_Yearly_Goal!$C$3</f>
        <v>690000</v>
      </c>
    </row>
    <row r="1401" spans="1:13" x14ac:dyDescent="0.3">
      <c r="A1401" s="3">
        <v>45300</v>
      </c>
      <c r="B1401">
        <f t="shared" si="21"/>
        <v>2024</v>
      </c>
      <c r="C1401">
        <v>1</v>
      </c>
      <c r="D1401" t="s">
        <v>25</v>
      </c>
      <c r="E1401" t="s">
        <v>15</v>
      </c>
      <c r="F1401" s="2">
        <v>1975</v>
      </c>
      <c r="G1401" s="2">
        <f>Monthly_Growth!$C$14</f>
        <v>1007750</v>
      </c>
      <c r="H1401" s="5">
        <f>Monthly_Growth!$D$14</f>
        <v>0.22617461505235045</v>
      </c>
      <c r="I1401" s="15">
        <f>Yearly_Growth!$C$3</f>
        <v>0.11893113731787852</v>
      </c>
      <c r="J1401" s="15">
        <f>Yearly_Growth!$D$3</f>
        <v>0.09</v>
      </c>
      <c r="K1401">
        <f>Sales_Per_Representative!$C$27</f>
        <v>617202</v>
      </c>
      <c r="L1401">
        <f>Sales_Per_Rep_Yearly_Goal!$B$3</f>
        <v>689907.8</v>
      </c>
      <c r="M1401">
        <f>Sales_Per_Rep_Yearly_Goal!$C$3</f>
        <v>690000</v>
      </c>
    </row>
    <row r="1402" spans="1:13" x14ac:dyDescent="0.3">
      <c r="A1402" s="3">
        <v>45300</v>
      </c>
      <c r="B1402">
        <f t="shared" si="21"/>
        <v>2024</v>
      </c>
      <c r="C1402">
        <v>1</v>
      </c>
      <c r="D1402" t="s">
        <v>25</v>
      </c>
      <c r="E1402" t="s">
        <v>29</v>
      </c>
      <c r="F1402" s="2">
        <v>9132</v>
      </c>
      <c r="G1402" s="2">
        <f>Monthly_Growth!$C$14</f>
        <v>1007750</v>
      </c>
      <c r="H1402" s="5">
        <f>Monthly_Growth!$D$14</f>
        <v>0.22617461505235045</v>
      </c>
      <c r="I1402" s="15">
        <f>Yearly_Growth!$C$3</f>
        <v>0.11893113731787852</v>
      </c>
      <c r="J1402" s="15">
        <f>Yearly_Growth!$D$3</f>
        <v>0.09</v>
      </c>
      <c r="K1402">
        <f>Sales_Per_Representative!$C$28</f>
        <v>691917</v>
      </c>
      <c r="L1402">
        <f>Sales_Per_Rep_Yearly_Goal!$B$3</f>
        <v>689907.8</v>
      </c>
      <c r="M1402">
        <f>Sales_Per_Rep_Yearly_Goal!$C$3</f>
        <v>690000</v>
      </c>
    </row>
    <row r="1403" spans="1:13" x14ac:dyDescent="0.3">
      <c r="A1403" s="3">
        <v>45300</v>
      </c>
      <c r="B1403">
        <f t="shared" si="21"/>
        <v>2024</v>
      </c>
      <c r="C1403">
        <v>1</v>
      </c>
      <c r="D1403" t="s">
        <v>7</v>
      </c>
      <c r="E1403" t="s">
        <v>18</v>
      </c>
      <c r="F1403" s="2">
        <v>3723</v>
      </c>
      <c r="G1403" s="2">
        <f>Monthly_Growth!$C$14</f>
        <v>1007750</v>
      </c>
      <c r="H1403" s="5">
        <f>Monthly_Growth!$D$14</f>
        <v>0.22617461505235045</v>
      </c>
      <c r="I1403" s="15">
        <f>Yearly_Growth!$C$3</f>
        <v>0.11893113731787852</v>
      </c>
      <c r="J1403" s="15">
        <f>Yearly_Growth!$D$3</f>
        <v>0.09</v>
      </c>
      <c r="K1403">
        <f>Sales_Per_Representative!$C$24</f>
        <v>699277</v>
      </c>
      <c r="L1403">
        <f>Sales_Per_Rep_Yearly_Goal!$B$3</f>
        <v>689907.8</v>
      </c>
      <c r="M1403">
        <f>Sales_Per_Rep_Yearly_Goal!$C$3</f>
        <v>690000</v>
      </c>
    </row>
    <row r="1404" spans="1:13" x14ac:dyDescent="0.3">
      <c r="A1404" s="3">
        <v>45300</v>
      </c>
      <c r="B1404">
        <f t="shared" si="21"/>
        <v>2024</v>
      </c>
      <c r="C1404">
        <v>1</v>
      </c>
      <c r="D1404" t="s">
        <v>28</v>
      </c>
      <c r="E1404" t="s">
        <v>5</v>
      </c>
      <c r="F1404" s="2">
        <v>1243</v>
      </c>
      <c r="G1404" s="2">
        <f>Monthly_Growth!$C$14</f>
        <v>1007750</v>
      </c>
      <c r="H1404" s="5">
        <f>Monthly_Growth!$D$14</f>
        <v>0.22617461505235045</v>
      </c>
      <c r="I1404" s="15">
        <f>Yearly_Growth!$C$3</f>
        <v>0.11893113731787852</v>
      </c>
      <c r="J1404" s="15">
        <f>Yearly_Growth!$D$3</f>
        <v>0.09</v>
      </c>
      <c r="K1404">
        <f>Sales_Per_Representative!$C$25</f>
        <v>749460</v>
      </c>
      <c r="L1404">
        <f>Sales_Per_Rep_Yearly_Goal!$B$3</f>
        <v>689907.8</v>
      </c>
      <c r="M1404">
        <f>Sales_Per_Rep_Yearly_Goal!$C$3</f>
        <v>690000</v>
      </c>
    </row>
    <row r="1405" spans="1:13" x14ac:dyDescent="0.3">
      <c r="A1405" s="3">
        <v>45301</v>
      </c>
      <c r="B1405">
        <f t="shared" si="21"/>
        <v>2024</v>
      </c>
      <c r="C1405">
        <v>1</v>
      </c>
      <c r="D1405" t="s">
        <v>25</v>
      </c>
      <c r="E1405" t="s">
        <v>20</v>
      </c>
      <c r="F1405" s="2">
        <v>11464</v>
      </c>
      <c r="G1405" s="2">
        <f>Monthly_Growth!$C$14</f>
        <v>1007750</v>
      </c>
      <c r="H1405" s="5">
        <f>Monthly_Growth!$D$14</f>
        <v>0.22617461505235045</v>
      </c>
      <c r="I1405" s="15">
        <f>Yearly_Growth!$C$3</f>
        <v>0.11893113731787852</v>
      </c>
      <c r="J1405" s="15">
        <f>Yearly_Growth!$D$3</f>
        <v>0.09</v>
      </c>
      <c r="K1405">
        <f>Sales_Per_Representative!$C$29</f>
        <v>753085</v>
      </c>
      <c r="L1405">
        <f>Sales_Per_Rep_Yearly_Goal!$B$3</f>
        <v>689907.8</v>
      </c>
      <c r="M1405">
        <f>Sales_Per_Rep_Yearly_Goal!$C$3</f>
        <v>690000</v>
      </c>
    </row>
    <row r="1406" spans="1:13" x14ac:dyDescent="0.3">
      <c r="A1406" s="3">
        <v>45301</v>
      </c>
      <c r="B1406">
        <f t="shared" si="21"/>
        <v>2024</v>
      </c>
      <c r="C1406">
        <v>1</v>
      </c>
      <c r="D1406" t="s">
        <v>28</v>
      </c>
      <c r="E1406" t="s">
        <v>15</v>
      </c>
      <c r="F1406" s="2">
        <v>3469</v>
      </c>
      <c r="G1406" s="2">
        <f>Monthly_Growth!$C$14</f>
        <v>1007750</v>
      </c>
      <c r="H1406" s="5">
        <f>Monthly_Growth!$D$14</f>
        <v>0.22617461505235045</v>
      </c>
      <c r="I1406" s="15">
        <f>Yearly_Growth!$C$3</f>
        <v>0.11893113731787852</v>
      </c>
      <c r="J1406" s="15">
        <f>Yearly_Growth!$D$3</f>
        <v>0.09</v>
      </c>
      <c r="K1406">
        <f>Sales_Per_Representative!$C$27</f>
        <v>617202</v>
      </c>
      <c r="L1406">
        <f>Sales_Per_Rep_Yearly_Goal!$B$3</f>
        <v>689907.8</v>
      </c>
      <c r="M1406">
        <f>Sales_Per_Rep_Yearly_Goal!$C$3</f>
        <v>690000</v>
      </c>
    </row>
    <row r="1407" spans="1:13" x14ac:dyDescent="0.3">
      <c r="A1407" s="3">
        <v>45301</v>
      </c>
      <c r="B1407">
        <f t="shared" si="21"/>
        <v>2024</v>
      </c>
      <c r="C1407">
        <v>1</v>
      </c>
      <c r="D1407" t="s">
        <v>28</v>
      </c>
      <c r="E1407" t="s">
        <v>29</v>
      </c>
      <c r="F1407" s="2">
        <v>9136</v>
      </c>
      <c r="G1407" s="2">
        <f>Monthly_Growth!$C$14</f>
        <v>1007750</v>
      </c>
      <c r="H1407" s="5">
        <f>Monthly_Growth!$D$14</f>
        <v>0.22617461505235045</v>
      </c>
      <c r="I1407" s="15">
        <f>Yearly_Growth!$C$3</f>
        <v>0.11893113731787852</v>
      </c>
      <c r="J1407" s="15">
        <f>Yearly_Growth!$D$3</f>
        <v>0.09</v>
      </c>
      <c r="K1407">
        <f>Sales_Per_Representative!$C$28</f>
        <v>691917</v>
      </c>
      <c r="L1407">
        <f>Sales_Per_Rep_Yearly_Goal!$B$3</f>
        <v>689907.8</v>
      </c>
      <c r="M1407">
        <f>Sales_Per_Rep_Yearly_Goal!$C$3</f>
        <v>690000</v>
      </c>
    </row>
    <row r="1408" spans="1:13" x14ac:dyDescent="0.3">
      <c r="A1408" s="3">
        <v>45302</v>
      </c>
      <c r="B1408">
        <f t="shared" si="21"/>
        <v>2024</v>
      </c>
      <c r="C1408">
        <v>1</v>
      </c>
      <c r="D1408" t="s">
        <v>14</v>
      </c>
      <c r="E1408" t="s">
        <v>33</v>
      </c>
      <c r="F1408" s="2">
        <v>11549</v>
      </c>
      <c r="G1408" s="2">
        <f>Monthly_Growth!$C$14</f>
        <v>1007750</v>
      </c>
      <c r="H1408" s="5">
        <f>Monthly_Growth!$D$14</f>
        <v>0.22617461505235045</v>
      </c>
      <c r="I1408" s="15">
        <f>Yearly_Growth!$C$3</f>
        <v>0.11893113731787852</v>
      </c>
      <c r="J1408" s="15">
        <f>Yearly_Growth!$D$3</f>
        <v>0.09</v>
      </c>
      <c r="K1408">
        <f>Sales_Per_Representative!$C$26</f>
        <v>501360</v>
      </c>
      <c r="L1408">
        <f>Sales_Per_Rep_Yearly_Goal!$B$3</f>
        <v>689907.8</v>
      </c>
      <c r="M1408">
        <f>Sales_Per_Rep_Yearly_Goal!$C$3</f>
        <v>690000</v>
      </c>
    </row>
    <row r="1409" spans="1:13" x14ac:dyDescent="0.3">
      <c r="A1409" s="3">
        <v>45302</v>
      </c>
      <c r="B1409">
        <f t="shared" si="21"/>
        <v>2024</v>
      </c>
      <c r="C1409">
        <v>1</v>
      </c>
      <c r="D1409" t="s">
        <v>25</v>
      </c>
      <c r="E1409" t="s">
        <v>26</v>
      </c>
      <c r="F1409" s="2">
        <v>11348</v>
      </c>
      <c r="G1409" s="2">
        <f>Monthly_Growth!$C$14</f>
        <v>1007750</v>
      </c>
      <c r="H1409" s="5">
        <f>Monthly_Growth!$D$14</f>
        <v>0.22617461505235045</v>
      </c>
      <c r="I1409" s="15">
        <f>Yearly_Growth!$C$3</f>
        <v>0.11893113731787852</v>
      </c>
      <c r="J1409" s="15">
        <f>Yearly_Growth!$D$3</f>
        <v>0.09</v>
      </c>
      <c r="K1409">
        <f>Sales_Per_Representative!$C$31</f>
        <v>664244</v>
      </c>
      <c r="L1409">
        <f>Sales_Per_Rep_Yearly_Goal!$B$3</f>
        <v>689907.8</v>
      </c>
      <c r="M1409">
        <f>Sales_Per_Rep_Yearly_Goal!$C$3</f>
        <v>690000</v>
      </c>
    </row>
    <row r="1410" spans="1:13" x14ac:dyDescent="0.3">
      <c r="A1410" s="3">
        <v>45302</v>
      </c>
      <c r="B1410">
        <f t="shared" si="21"/>
        <v>2024</v>
      </c>
      <c r="C1410">
        <v>1</v>
      </c>
      <c r="D1410" t="s">
        <v>25</v>
      </c>
      <c r="E1410" t="s">
        <v>27</v>
      </c>
      <c r="F1410" s="2">
        <v>8021</v>
      </c>
      <c r="G1410" s="2">
        <f>Monthly_Growth!$C$14</f>
        <v>1007750</v>
      </c>
      <c r="H1410" s="5">
        <f>Monthly_Growth!$D$14</f>
        <v>0.22617461505235045</v>
      </c>
      <c r="I1410" s="15">
        <f>Yearly_Growth!$C$3</f>
        <v>0.11893113731787852</v>
      </c>
      <c r="J1410" s="15">
        <f>Yearly_Growth!$D$3</f>
        <v>0.09</v>
      </c>
      <c r="K1410">
        <f>Sales_Per_Representative!$C$20</f>
        <v>685380</v>
      </c>
      <c r="L1410">
        <f>Sales_Per_Rep_Yearly_Goal!$B$3</f>
        <v>689907.8</v>
      </c>
      <c r="M1410">
        <f>Sales_Per_Rep_Yearly_Goal!$C$3</f>
        <v>690000</v>
      </c>
    </row>
    <row r="1411" spans="1:13" x14ac:dyDescent="0.3">
      <c r="A1411" s="3">
        <v>45302</v>
      </c>
      <c r="B1411">
        <f t="shared" ref="B1411:B1474" si="22">YEAR(A1411)</f>
        <v>2024</v>
      </c>
      <c r="C1411">
        <v>1</v>
      </c>
      <c r="D1411" t="s">
        <v>7</v>
      </c>
      <c r="E1411" t="s">
        <v>30</v>
      </c>
      <c r="F1411" s="2">
        <v>9330</v>
      </c>
      <c r="G1411" s="2">
        <f>Monthly_Growth!$C$14</f>
        <v>1007750</v>
      </c>
      <c r="H1411" s="5">
        <f>Monthly_Growth!$D$14</f>
        <v>0.22617461505235045</v>
      </c>
      <c r="I1411" s="15">
        <f>Yearly_Growth!$C$3</f>
        <v>0.11893113731787852</v>
      </c>
      <c r="J1411" s="15">
        <f>Yearly_Growth!$D$3</f>
        <v>0.09</v>
      </c>
      <c r="K1411">
        <f>Sales_Per_Representative!$C$22</f>
        <v>700142</v>
      </c>
      <c r="L1411">
        <f>Sales_Per_Rep_Yearly_Goal!$B$3</f>
        <v>689907.8</v>
      </c>
      <c r="M1411">
        <f>Sales_Per_Rep_Yearly_Goal!$C$3</f>
        <v>690000</v>
      </c>
    </row>
    <row r="1412" spans="1:13" x14ac:dyDescent="0.3">
      <c r="A1412" s="3">
        <v>45302</v>
      </c>
      <c r="B1412">
        <f t="shared" si="22"/>
        <v>2024</v>
      </c>
      <c r="C1412">
        <v>1</v>
      </c>
      <c r="D1412" t="s">
        <v>12</v>
      </c>
      <c r="E1412" t="s">
        <v>29</v>
      </c>
      <c r="F1412" s="2">
        <v>7024</v>
      </c>
      <c r="G1412" s="2">
        <f>Monthly_Growth!$C$14</f>
        <v>1007750</v>
      </c>
      <c r="H1412" s="5">
        <f>Monthly_Growth!$D$14</f>
        <v>0.22617461505235045</v>
      </c>
      <c r="I1412" s="15">
        <f>Yearly_Growth!$C$3</f>
        <v>0.11893113731787852</v>
      </c>
      <c r="J1412" s="15">
        <f>Yearly_Growth!$D$3</f>
        <v>0.09</v>
      </c>
      <c r="K1412">
        <f>Sales_Per_Representative!$C$28</f>
        <v>691917</v>
      </c>
      <c r="L1412">
        <f>Sales_Per_Rep_Yearly_Goal!$B$3</f>
        <v>689907.8</v>
      </c>
      <c r="M1412">
        <f>Sales_Per_Rep_Yearly_Goal!$C$3</f>
        <v>690000</v>
      </c>
    </row>
    <row r="1413" spans="1:13" x14ac:dyDescent="0.3">
      <c r="A1413" s="3">
        <v>45303</v>
      </c>
      <c r="B1413">
        <f t="shared" si="22"/>
        <v>2024</v>
      </c>
      <c r="C1413">
        <v>1</v>
      </c>
      <c r="D1413" t="s">
        <v>14</v>
      </c>
      <c r="E1413" t="s">
        <v>5</v>
      </c>
      <c r="F1413" s="2">
        <v>3790</v>
      </c>
      <c r="G1413" s="2">
        <f>Monthly_Growth!$C$14</f>
        <v>1007750</v>
      </c>
      <c r="H1413" s="5">
        <f>Monthly_Growth!$D$14</f>
        <v>0.22617461505235045</v>
      </c>
      <c r="I1413" s="15">
        <f>Yearly_Growth!$C$3</f>
        <v>0.11893113731787852</v>
      </c>
      <c r="J1413" s="15">
        <f>Yearly_Growth!$D$3</f>
        <v>0.09</v>
      </c>
      <c r="K1413">
        <f>Sales_Per_Representative!$C$25</f>
        <v>749460</v>
      </c>
      <c r="L1413">
        <f>Sales_Per_Rep_Yearly_Goal!$B$3</f>
        <v>689907.8</v>
      </c>
      <c r="M1413">
        <f>Sales_Per_Rep_Yearly_Goal!$C$3</f>
        <v>690000</v>
      </c>
    </row>
    <row r="1414" spans="1:13" x14ac:dyDescent="0.3">
      <c r="A1414" s="3">
        <v>45303</v>
      </c>
      <c r="B1414">
        <f t="shared" si="22"/>
        <v>2024</v>
      </c>
      <c r="C1414">
        <v>1</v>
      </c>
      <c r="D1414" t="s">
        <v>14</v>
      </c>
      <c r="E1414" t="s">
        <v>5</v>
      </c>
      <c r="F1414" s="2">
        <v>12482</v>
      </c>
      <c r="G1414" s="2">
        <f>Monthly_Growth!$C$14</f>
        <v>1007750</v>
      </c>
      <c r="H1414" s="5">
        <f>Monthly_Growth!$D$14</f>
        <v>0.22617461505235045</v>
      </c>
      <c r="I1414" s="15">
        <f>Yearly_Growth!$C$3</f>
        <v>0.11893113731787852</v>
      </c>
      <c r="J1414" s="15">
        <f>Yearly_Growth!$D$3</f>
        <v>0.09</v>
      </c>
      <c r="K1414">
        <f>Sales_Per_Representative!$C$25</f>
        <v>749460</v>
      </c>
      <c r="L1414">
        <f>Sales_Per_Rep_Yearly_Goal!$B$3</f>
        <v>689907.8</v>
      </c>
      <c r="M1414">
        <f>Sales_Per_Rep_Yearly_Goal!$C$3</f>
        <v>690000</v>
      </c>
    </row>
    <row r="1415" spans="1:13" x14ac:dyDescent="0.3">
      <c r="A1415" s="3">
        <v>45303</v>
      </c>
      <c r="B1415">
        <f t="shared" si="22"/>
        <v>2024</v>
      </c>
      <c r="C1415">
        <v>1</v>
      </c>
      <c r="D1415" t="s">
        <v>28</v>
      </c>
      <c r="E1415" t="s">
        <v>8</v>
      </c>
      <c r="F1415" s="2">
        <v>3147</v>
      </c>
      <c r="G1415" s="2">
        <f>Monthly_Growth!$C$14</f>
        <v>1007750</v>
      </c>
      <c r="H1415" s="5">
        <f>Monthly_Growth!$D$14</f>
        <v>0.22617461505235045</v>
      </c>
      <c r="I1415" s="15">
        <f>Yearly_Growth!$C$3</f>
        <v>0.11893113731787852</v>
      </c>
      <c r="J1415" s="15">
        <f>Yearly_Growth!$D$3</f>
        <v>0.09</v>
      </c>
      <c r="K1415">
        <f>Sales_Per_Representative!$C$30</f>
        <v>780006</v>
      </c>
      <c r="L1415">
        <f>Sales_Per_Rep_Yearly_Goal!$B$3</f>
        <v>689907.8</v>
      </c>
      <c r="M1415">
        <f>Sales_Per_Rep_Yearly_Goal!$C$3</f>
        <v>690000</v>
      </c>
    </row>
    <row r="1416" spans="1:13" x14ac:dyDescent="0.3">
      <c r="A1416" s="3">
        <v>45303</v>
      </c>
      <c r="B1416">
        <f t="shared" si="22"/>
        <v>2024</v>
      </c>
      <c r="C1416">
        <v>1</v>
      </c>
      <c r="D1416" t="s">
        <v>12</v>
      </c>
      <c r="E1416" t="s">
        <v>10</v>
      </c>
      <c r="F1416" s="2">
        <v>1280</v>
      </c>
      <c r="G1416" s="2">
        <f>Monthly_Growth!$C$14</f>
        <v>1007750</v>
      </c>
      <c r="H1416" s="5">
        <f>Monthly_Growth!$D$14</f>
        <v>0.22617461505235045</v>
      </c>
      <c r="I1416" s="15">
        <f>Yearly_Growth!$C$3</f>
        <v>0.11893113731787852</v>
      </c>
      <c r="J1416" s="15">
        <f>Yearly_Growth!$D$3</f>
        <v>0.09</v>
      </c>
      <c r="K1416">
        <f>Sales_Per_Representative!$C$19</f>
        <v>711816</v>
      </c>
      <c r="L1416">
        <f>Sales_Per_Rep_Yearly_Goal!$B$3</f>
        <v>689907.8</v>
      </c>
      <c r="M1416">
        <f>Sales_Per_Rep_Yearly_Goal!$C$3</f>
        <v>690000</v>
      </c>
    </row>
    <row r="1417" spans="1:13" x14ac:dyDescent="0.3">
      <c r="A1417" s="3">
        <v>45303</v>
      </c>
      <c r="B1417">
        <f t="shared" si="22"/>
        <v>2024</v>
      </c>
      <c r="C1417">
        <v>1</v>
      </c>
      <c r="D1417" t="s">
        <v>12</v>
      </c>
      <c r="E1417" t="s">
        <v>20</v>
      </c>
      <c r="F1417" s="2">
        <v>2160</v>
      </c>
      <c r="G1417" s="2">
        <f>Monthly_Growth!$C$14</f>
        <v>1007750</v>
      </c>
      <c r="H1417" s="5">
        <f>Monthly_Growth!$D$14</f>
        <v>0.22617461505235045</v>
      </c>
      <c r="I1417" s="15">
        <f>Yearly_Growth!$C$3</f>
        <v>0.11893113731787852</v>
      </c>
      <c r="J1417" s="15">
        <f>Yearly_Growth!$D$3</f>
        <v>0.09</v>
      </c>
      <c r="K1417">
        <f>Sales_Per_Representative!$C$29</f>
        <v>753085</v>
      </c>
      <c r="L1417">
        <f>Sales_Per_Rep_Yearly_Goal!$B$3</f>
        <v>689907.8</v>
      </c>
      <c r="M1417">
        <f>Sales_Per_Rep_Yearly_Goal!$C$3</f>
        <v>690000</v>
      </c>
    </row>
    <row r="1418" spans="1:13" x14ac:dyDescent="0.3">
      <c r="A1418" s="3">
        <v>45304</v>
      </c>
      <c r="B1418">
        <f t="shared" si="22"/>
        <v>2024</v>
      </c>
      <c r="C1418">
        <v>1</v>
      </c>
      <c r="D1418" t="s">
        <v>14</v>
      </c>
      <c r="E1418" t="s">
        <v>18</v>
      </c>
      <c r="F1418" s="2">
        <v>8538</v>
      </c>
      <c r="G1418" s="2">
        <f>Monthly_Growth!$C$14</f>
        <v>1007750</v>
      </c>
      <c r="H1418" s="5">
        <f>Monthly_Growth!$D$14</f>
        <v>0.22617461505235045</v>
      </c>
      <c r="I1418" s="15">
        <f>Yearly_Growth!$C$3</f>
        <v>0.11893113731787852</v>
      </c>
      <c r="J1418" s="15">
        <f>Yearly_Growth!$D$3</f>
        <v>0.09</v>
      </c>
      <c r="K1418">
        <f>Sales_Per_Representative!$C$24</f>
        <v>699277</v>
      </c>
      <c r="L1418">
        <f>Sales_Per_Rep_Yearly_Goal!$B$3</f>
        <v>689907.8</v>
      </c>
      <c r="M1418">
        <f>Sales_Per_Rep_Yearly_Goal!$C$3</f>
        <v>690000</v>
      </c>
    </row>
    <row r="1419" spans="1:13" x14ac:dyDescent="0.3">
      <c r="A1419" s="3">
        <v>45304</v>
      </c>
      <c r="B1419">
        <f t="shared" si="22"/>
        <v>2024</v>
      </c>
      <c r="C1419">
        <v>1</v>
      </c>
      <c r="D1419" t="s">
        <v>14</v>
      </c>
      <c r="E1419" t="s">
        <v>29</v>
      </c>
      <c r="F1419" s="2">
        <v>7712</v>
      </c>
      <c r="G1419" s="2">
        <f>Monthly_Growth!$C$14</f>
        <v>1007750</v>
      </c>
      <c r="H1419" s="5">
        <f>Monthly_Growth!$D$14</f>
        <v>0.22617461505235045</v>
      </c>
      <c r="I1419" s="15">
        <f>Yearly_Growth!$C$3</f>
        <v>0.11893113731787852</v>
      </c>
      <c r="J1419" s="15">
        <f>Yearly_Growth!$D$3</f>
        <v>0.09</v>
      </c>
      <c r="K1419">
        <f>Sales_Per_Representative!$C$28</f>
        <v>691917</v>
      </c>
      <c r="L1419">
        <f>Sales_Per_Rep_Yearly_Goal!$B$3</f>
        <v>689907.8</v>
      </c>
      <c r="M1419">
        <f>Sales_Per_Rep_Yearly_Goal!$C$3</f>
        <v>690000</v>
      </c>
    </row>
    <row r="1420" spans="1:13" x14ac:dyDescent="0.3">
      <c r="A1420" s="3">
        <v>45304</v>
      </c>
      <c r="B1420">
        <f t="shared" si="22"/>
        <v>2024</v>
      </c>
      <c r="C1420">
        <v>1</v>
      </c>
      <c r="D1420" t="s">
        <v>17</v>
      </c>
      <c r="E1420" t="s">
        <v>30</v>
      </c>
      <c r="F1420" s="2">
        <v>2882</v>
      </c>
      <c r="G1420" s="2">
        <f>Monthly_Growth!$C$14</f>
        <v>1007750</v>
      </c>
      <c r="H1420" s="5">
        <f>Monthly_Growth!$D$14</f>
        <v>0.22617461505235045</v>
      </c>
      <c r="I1420" s="15">
        <f>Yearly_Growth!$C$3</f>
        <v>0.11893113731787852</v>
      </c>
      <c r="J1420" s="15">
        <f>Yearly_Growth!$D$3</f>
        <v>0.09</v>
      </c>
      <c r="K1420">
        <f>Sales_Per_Representative!$C$22</f>
        <v>700142</v>
      </c>
      <c r="L1420">
        <f>Sales_Per_Rep_Yearly_Goal!$B$3</f>
        <v>689907.8</v>
      </c>
      <c r="M1420">
        <f>Sales_Per_Rep_Yearly_Goal!$C$3</f>
        <v>690000</v>
      </c>
    </row>
    <row r="1421" spans="1:13" x14ac:dyDescent="0.3">
      <c r="A1421" s="3">
        <v>45304</v>
      </c>
      <c r="B1421">
        <f t="shared" si="22"/>
        <v>2024</v>
      </c>
      <c r="C1421">
        <v>1</v>
      </c>
      <c r="D1421" t="s">
        <v>12</v>
      </c>
      <c r="E1421" t="s">
        <v>29</v>
      </c>
      <c r="F1421" s="2">
        <v>8920</v>
      </c>
      <c r="G1421" s="2">
        <f>Monthly_Growth!$C$14</f>
        <v>1007750</v>
      </c>
      <c r="H1421" s="5">
        <f>Monthly_Growth!$D$14</f>
        <v>0.22617461505235045</v>
      </c>
      <c r="I1421" s="15">
        <f>Yearly_Growth!$C$3</f>
        <v>0.11893113731787852</v>
      </c>
      <c r="J1421" s="15">
        <f>Yearly_Growth!$D$3</f>
        <v>0.09</v>
      </c>
      <c r="K1421">
        <f>Sales_Per_Representative!$C$28</f>
        <v>691917</v>
      </c>
      <c r="L1421">
        <f>Sales_Per_Rep_Yearly_Goal!$B$3</f>
        <v>689907.8</v>
      </c>
      <c r="M1421">
        <f>Sales_Per_Rep_Yearly_Goal!$C$3</f>
        <v>690000</v>
      </c>
    </row>
    <row r="1422" spans="1:13" x14ac:dyDescent="0.3">
      <c r="A1422" s="3">
        <v>45305</v>
      </c>
      <c r="B1422">
        <f t="shared" si="22"/>
        <v>2024</v>
      </c>
      <c r="C1422">
        <v>1</v>
      </c>
      <c r="D1422" t="s">
        <v>19</v>
      </c>
      <c r="E1422" t="s">
        <v>22</v>
      </c>
      <c r="F1422" s="2">
        <v>3757</v>
      </c>
      <c r="G1422" s="2">
        <f>Monthly_Growth!$C$14</f>
        <v>1007750</v>
      </c>
      <c r="H1422" s="5">
        <f>Monthly_Growth!$D$14</f>
        <v>0.22617461505235045</v>
      </c>
      <c r="I1422" s="15">
        <f>Yearly_Growth!$C$3</f>
        <v>0.11893113731787852</v>
      </c>
      <c r="J1422" s="15">
        <f>Yearly_Growth!$D$3</f>
        <v>0.09</v>
      </c>
      <c r="K1422">
        <f>Sales_Per_Representative!$C$23</f>
        <v>697444</v>
      </c>
      <c r="L1422">
        <f>Sales_Per_Rep_Yearly_Goal!$B$3</f>
        <v>689907.8</v>
      </c>
      <c r="M1422">
        <f>Sales_Per_Rep_Yearly_Goal!$C$3</f>
        <v>690000</v>
      </c>
    </row>
    <row r="1423" spans="1:13" x14ac:dyDescent="0.3">
      <c r="A1423" s="3">
        <v>45305</v>
      </c>
      <c r="B1423">
        <f t="shared" si="22"/>
        <v>2024</v>
      </c>
      <c r="C1423">
        <v>1</v>
      </c>
      <c r="D1423" t="s">
        <v>23</v>
      </c>
      <c r="E1423" t="s">
        <v>8</v>
      </c>
      <c r="F1423" s="2">
        <v>13946</v>
      </c>
      <c r="G1423" s="2">
        <f>Monthly_Growth!$C$14</f>
        <v>1007750</v>
      </c>
      <c r="H1423" s="5">
        <f>Monthly_Growth!$D$14</f>
        <v>0.22617461505235045</v>
      </c>
      <c r="I1423" s="15">
        <f>Yearly_Growth!$C$3</f>
        <v>0.11893113731787852</v>
      </c>
      <c r="J1423" s="15">
        <f>Yearly_Growth!$D$3</f>
        <v>0.09</v>
      </c>
      <c r="K1423">
        <f>Sales_Per_Representative!$C$30</f>
        <v>780006</v>
      </c>
      <c r="L1423">
        <f>Sales_Per_Rep_Yearly_Goal!$B$3</f>
        <v>689907.8</v>
      </c>
      <c r="M1423">
        <f>Sales_Per_Rep_Yearly_Goal!$C$3</f>
        <v>690000</v>
      </c>
    </row>
    <row r="1424" spans="1:13" x14ac:dyDescent="0.3">
      <c r="A1424" s="3">
        <v>45305</v>
      </c>
      <c r="B1424">
        <f t="shared" si="22"/>
        <v>2024</v>
      </c>
      <c r="C1424">
        <v>1</v>
      </c>
      <c r="D1424" t="s">
        <v>25</v>
      </c>
      <c r="E1424" t="s">
        <v>15</v>
      </c>
      <c r="F1424" s="2">
        <v>3206</v>
      </c>
      <c r="G1424" s="2">
        <f>Monthly_Growth!$C$14</f>
        <v>1007750</v>
      </c>
      <c r="H1424" s="5">
        <f>Monthly_Growth!$D$14</f>
        <v>0.22617461505235045</v>
      </c>
      <c r="I1424" s="15">
        <f>Yearly_Growth!$C$3</f>
        <v>0.11893113731787852</v>
      </c>
      <c r="J1424" s="15">
        <f>Yearly_Growth!$D$3</f>
        <v>0.09</v>
      </c>
      <c r="K1424">
        <f>Sales_Per_Representative!$C$27</f>
        <v>617202</v>
      </c>
      <c r="L1424">
        <f>Sales_Per_Rep_Yearly_Goal!$B$3</f>
        <v>689907.8</v>
      </c>
      <c r="M1424">
        <f>Sales_Per_Rep_Yearly_Goal!$C$3</f>
        <v>690000</v>
      </c>
    </row>
    <row r="1425" spans="1:13" x14ac:dyDescent="0.3">
      <c r="A1425" s="3">
        <v>45305</v>
      </c>
      <c r="B1425">
        <f t="shared" si="22"/>
        <v>2024</v>
      </c>
      <c r="C1425">
        <v>1</v>
      </c>
      <c r="D1425" t="s">
        <v>28</v>
      </c>
      <c r="E1425" t="s">
        <v>24</v>
      </c>
      <c r="F1425" s="2">
        <v>10245</v>
      </c>
      <c r="G1425" s="2">
        <f>Monthly_Growth!$C$14</f>
        <v>1007750</v>
      </c>
      <c r="H1425" s="5">
        <f>Monthly_Growth!$D$14</f>
        <v>0.22617461505235045</v>
      </c>
      <c r="I1425" s="15">
        <f>Yearly_Growth!$C$3</f>
        <v>0.11893113731787852</v>
      </c>
      <c r="J1425" s="15">
        <f>Yearly_Growth!$D$3</f>
        <v>0.09</v>
      </c>
      <c r="K1425">
        <f>Sales_Per_Representative!$C$17</f>
        <v>633956</v>
      </c>
      <c r="L1425">
        <f>Sales_Per_Rep_Yearly_Goal!$B$3</f>
        <v>689907.8</v>
      </c>
      <c r="M1425">
        <f>Sales_Per_Rep_Yearly_Goal!$C$3</f>
        <v>690000</v>
      </c>
    </row>
    <row r="1426" spans="1:13" x14ac:dyDescent="0.3">
      <c r="A1426" s="3">
        <v>45305</v>
      </c>
      <c r="B1426">
        <f t="shared" si="22"/>
        <v>2024</v>
      </c>
      <c r="C1426">
        <v>1</v>
      </c>
      <c r="D1426" t="s">
        <v>17</v>
      </c>
      <c r="E1426" t="s">
        <v>10</v>
      </c>
      <c r="F1426" s="2">
        <v>8862</v>
      </c>
      <c r="G1426" s="2">
        <f>Monthly_Growth!$C$14</f>
        <v>1007750</v>
      </c>
      <c r="H1426" s="5">
        <f>Monthly_Growth!$D$14</f>
        <v>0.22617461505235045</v>
      </c>
      <c r="I1426" s="15">
        <f>Yearly_Growth!$C$3</f>
        <v>0.11893113731787852</v>
      </c>
      <c r="J1426" s="15">
        <f>Yearly_Growth!$D$3</f>
        <v>0.09</v>
      </c>
      <c r="K1426">
        <f>Sales_Per_Representative!$C$19</f>
        <v>711816</v>
      </c>
      <c r="L1426">
        <f>Sales_Per_Rep_Yearly_Goal!$B$3</f>
        <v>689907.8</v>
      </c>
      <c r="M1426">
        <f>Sales_Per_Rep_Yearly_Goal!$C$3</f>
        <v>690000</v>
      </c>
    </row>
    <row r="1427" spans="1:13" x14ac:dyDescent="0.3">
      <c r="A1427" s="3">
        <v>45305</v>
      </c>
      <c r="B1427">
        <f t="shared" si="22"/>
        <v>2024</v>
      </c>
      <c r="C1427">
        <v>1</v>
      </c>
      <c r="D1427" t="s">
        <v>17</v>
      </c>
      <c r="E1427" t="s">
        <v>32</v>
      </c>
      <c r="F1427" s="2">
        <v>5034</v>
      </c>
      <c r="G1427" s="2">
        <f>Monthly_Growth!$C$14</f>
        <v>1007750</v>
      </c>
      <c r="H1427" s="5">
        <f>Monthly_Growth!$D$14</f>
        <v>0.22617461505235045</v>
      </c>
      <c r="I1427" s="15">
        <f>Yearly_Growth!$C$3</f>
        <v>0.11893113731787852</v>
      </c>
      <c r="J1427" s="15">
        <f>Yearly_Growth!$D$3</f>
        <v>0.09</v>
      </c>
      <c r="K1427">
        <f>Sales_Per_Representative!$C$18</f>
        <v>783907</v>
      </c>
      <c r="L1427">
        <f>Sales_Per_Rep_Yearly_Goal!$B$3</f>
        <v>689907.8</v>
      </c>
      <c r="M1427">
        <f>Sales_Per_Rep_Yearly_Goal!$C$3</f>
        <v>690000</v>
      </c>
    </row>
    <row r="1428" spans="1:13" x14ac:dyDescent="0.3">
      <c r="A1428" s="3">
        <v>45305</v>
      </c>
      <c r="B1428">
        <f t="shared" si="22"/>
        <v>2024</v>
      </c>
      <c r="C1428">
        <v>1</v>
      </c>
      <c r="D1428" t="s">
        <v>17</v>
      </c>
      <c r="E1428" t="s">
        <v>8</v>
      </c>
      <c r="F1428" s="2">
        <v>13921</v>
      </c>
      <c r="G1428" s="2">
        <f>Monthly_Growth!$C$14</f>
        <v>1007750</v>
      </c>
      <c r="H1428" s="5">
        <f>Monthly_Growth!$D$14</f>
        <v>0.22617461505235045</v>
      </c>
      <c r="I1428" s="15">
        <f>Yearly_Growth!$C$3</f>
        <v>0.11893113731787852</v>
      </c>
      <c r="J1428" s="15">
        <f>Yearly_Growth!$D$3</f>
        <v>0.09</v>
      </c>
      <c r="K1428">
        <f>Sales_Per_Representative!$C$30</f>
        <v>780006</v>
      </c>
      <c r="L1428">
        <f>Sales_Per_Rep_Yearly_Goal!$B$3</f>
        <v>689907.8</v>
      </c>
      <c r="M1428">
        <f>Sales_Per_Rep_Yearly_Goal!$C$3</f>
        <v>690000</v>
      </c>
    </row>
    <row r="1429" spans="1:13" x14ac:dyDescent="0.3">
      <c r="A1429" s="3">
        <v>45306</v>
      </c>
      <c r="B1429">
        <f t="shared" si="22"/>
        <v>2024</v>
      </c>
      <c r="C1429">
        <v>1</v>
      </c>
      <c r="D1429" t="s">
        <v>14</v>
      </c>
      <c r="E1429" t="s">
        <v>20</v>
      </c>
      <c r="F1429" s="2">
        <v>11961</v>
      </c>
      <c r="G1429" s="2">
        <f>Monthly_Growth!$C$14</f>
        <v>1007750</v>
      </c>
      <c r="H1429" s="5">
        <f>Monthly_Growth!$D$14</f>
        <v>0.22617461505235045</v>
      </c>
      <c r="I1429" s="15">
        <f>Yearly_Growth!$C$3</f>
        <v>0.11893113731787852</v>
      </c>
      <c r="J1429" s="15">
        <f>Yearly_Growth!$D$3</f>
        <v>0.09</v>
      </c>
      <c r="K1429">
        <f>Sales_Per_Representative!$C$29</f>
        <v>753085</v>
      </c>
      <c r="L1429">
        <f>Sales_Per_Rep_Yearly_Goal!$B$3</f>
        <v>689907.8</v>
      </c>
      <c r="M1429">
        <f>Sales_Per_Rep_Yearly_Goal!$C$3</f>
        <v>690000</v>
      </c>
    </row>
    <row r="1430" spans="1:13" x14ac:dyDescent="0.3">
      <c r="A1430" s="3">
        <v>45306</v>
      </c>
      <c r="B1430">
        <f t="shared" si="22"/>
        <v>2024</v>
      </c>
      <c r="C1430">
        <v>1</v>
      </c>
      <c r="D1430" t="s">
        <v>14</v>
      </c>
      <c r="E1430" t="s">
        <v>8</v>
      </c>
      <c r="F1430" s="2">
        <v>3255</v>
      </c>
      <c r="G1430" s="2">
        <f>Monthly_Growth!$C$14</f>
        <v>1007750</v>
      </c>
      <c r="H1430" s="5">
        <f>Monthly_Growth!$D$14</f>
        <v>0.22617461505235045</v>
      </c>
      <c r="I1430" s="15">
        <f>Yearly_Growth!$C$3</f>
        <v>0.11893113731787852</v>
      </c>
      <c r="J1430" s="15">
        <f>Yearly_Growth!$D$3</f>
        <v>0.09</v>
      </c>
      <c r="K1430">
        <f>Sales_Per_Representative!$C$30</f>
        <v>780006</v>
      </c>
      <c r="L1430">
        <f>Sales_Per_Rep_Yearly_Goal!$B$3</f>
        <v>689907.8</v>
      </c>
      <c r="M1430">
        <f>Sales_Per_Rep_Yearly_Goal!$C$3</f>
        <v>690000</v>
      </c>
    </row>
    <row r="1431" spans="1:13" x14ac:dyDescent="0.3">
      <c r="A1431" s="3">
        <v>45306</v>
      </c>
      <c r="B1431">
        <f t="shared" si="22"/>
        <v>2024</v>
      </c>
      <c r="C1431">
        <v>1</v>
      </c>
      <c r="D1431" t="s">
        <v>25</v>
      </c>
      <c r="E1431" t="s">
        <v>22</v>
      </c>
      <c r="F1431" s="2">
        <v>13991</v>
      </c>
      <c r="G1431" s="2">
        <f>Monthly_Growth!$C$14</f>
        <v>1007750</v>
      </c>
      <c r="H1431" s="5">
        <f>Monthly_Growth!$D$14</f>
        <v>0.22617461505235045</v>
      </c>
      <c r="I1431" s="15">
        <f>Yearly_Growth!$C$3</f>
        <v>0.11893113731787852</v>
      </c>
      <c r="J1431" s="15">
        <f>Yearly_Growth!$D$3</f>
        <v>0.09</v>
      </c>
      <c r="K1431">
        <f>Sales_Per_Representative!$C$23</f>
        <v>697444</v>
      </c>
      <c r="L1431">
        <f>Sales_Per_Rep_Yearly_Goal!$B$3</f>
        <v>689907.8</v>
      </c>
      <c r="M1431">
        <f>Sales_Per_Rep_Yearly_Goal!$C$3</f>
        <v>690000</v>
      </c>
    </row>
    <row r="1432" spans="1:13" x14ac:dyDescent="0.3">
      <c r="A1432" s="3">
        <v>45306</v>
      </c>
      <c r="B1432">
        <f t="shared" si="22"/>
        <v>2024</v>
      </c>
      <c r="C1432">
        <v>1</v>
      </c>
      <c r="D1432" t="s">
        <v>17</v>
      </c>
      <c r="E1432" t="s">
        <v>22</v>
      </c>
      <c r="F1432" s="2">
        <v>12954</v>
      </c>
      <c r="G1432" s="2">
        <f>Monthly_Growth!$C$14</f>
        <v>1007750</v>
      </c>
      <c r="H1432" s="5">
        <f>Monthly_Growth!$D$14</f>
        <v>0.22617461505235045</v>
      </c>
      <c r="I1432" s="15">
        <f>Yearly_Growth!$C$3</f>
        <v>0.11893113731787852</v>
      </c>
      <c r="J1432" s="15">
        <f>Yearly_Growth!$D$3</f>
        <v>0.09</v>
      </c>
      <c r="K1432">
        <f>Sales_Per_Representative!$C$23</f>
        <v>697444</v>
      </c>
      <c r="L1432">
        <f>Sales_Per_Rep_Yearly_Goal!$B$3</f>
        <v>689907.8</v>
      </c>
      <c r="M1432">
        <f>Sales_Per_Rep_Yearly_Goal!$C$3</f>
        <v>690000</v>
      </c>
    </row>
    <row r="1433" spans="1:13" x14ac:dyDescent="0.3">
      <c r="A1433" s="3">
        <v>45306</v>
      </c>
      <c r="B1433">
        <f t="shared" si="22"/>
        <v>2024</v>
      </c>
      <c r="C1433">
        <v>1</v>
      </c>
      <c r="D1433" t="s">
        <v>12</v>
      </c>
      <c r="E1433" t="s">
        <v>20</v>
      </c>
      <c r="F1433" s="2">
        <v>5548</v>
      </c>
      <c r="G1433" s="2">
        <f>Monthly_Growth!$C$14</f>
        <v>1007750</v>
      </c>
      <c r="H1433" s="5">
        <f>Monthly_Growth!$D$14</f>
        <v>0.22617461505235045</v>
      </c>
      <c r="I1433" s="15">
        <f>Yearly_Growth!$C$3</f>
        <v>0.11893113731787852</v>
      </c>
      <c r="J1433" s="15">
        <f>Yearly_Growth!$D$3</f>
        <v>0.09</v>
      </c>
      <c r="K1433">
        <f>Sales_Per_Representative!$C$29</f>
        <v>753085</v>
      </c>
      <c r="L1433">
        <f>Sales_Per_Rep_Yearly_Goal!$B$3</f>
        <v>689907.8</v>
      </c>
      <c r="M1433">
        <f>Sales_Per_Rep_Yearly_Goal!$C$3</f>
        <v>690000</v>
      </c>
    </row>
    <row r="1434" spans="1:13" x14ac:dyDescent="0.3">
      <c r="A1434" s="3">
        <v>45307</v>
      </c>
      <c r="B1434">
        <f t="shared" si="22"/>
        <v>2024</v>
      </c>
      <c r="C1434">
        <v>1</v>
      </c>
      <c r="D1434" t="s">
        <v>19</v>
      </c>
      <c r="E1434" t="s">
        <v>27</v>
      </c>
      <c r="F1434" s="2">
        <v>3338</v>
      </c>
      <c r="G1434" s="2">
        <f>Monthly_Growth!$C$14</f>
        <v>1007750</v>
      </c>
      <c r="H1434" s="5">
        <f>Monthly_Growth!$D$14</f>
        <v>0.22617461505235045</v>
      </c>
      <c r="I1434" s="15">
        <f>Yearly_Growth!$C$3</f>
        <v>0.11893113731787852</v>
      </c>
      <c r="J1434" s="15">
        <f>Yearly_Growth!$D$3</f>
        <v>0.09</v>
      </c>
      <c r="K1434">
        <f>Sales_Per_Representative!$C$20</f>
        <v>685380</v>
      </c>
      <c r="L1434">
        <f>Sales_Per_Rep_Yearly_Goal!$B$3</f>
        <v>689907.8</v>
      </c>
      <c r="M1434">
        <f>Sales_Per_Rep_Yearly_Goal!$C$3</f>
        <v>690000</v>
      </c>
    </row>
    <row r="1435" spans="1:13" x14ac:dyDescent="0.3">
      <c r="A1435" s="3">
        <v>45307</v>
      </c>
      <c r="B1435">
        <f t="shared" si="22"/>
        <v>2024</v>
      </c>
      <c r="C1435">
        <v>1</v>
      </c>
      <c r="D1435" t="s">
        <v>23</v>
      </c>
      <c r="E1435" t="s">
        <v>20</v>
      </c>
      <c r="F1435" s="2">
        <v>8111</v>
      </c>
      <c r="G1435" s="2">
        <f>Monthly_Growth!$C$14</f>
        <v>1007750</v>
      </c>
      <c r="H1435" s="5">
        <f>Monthly_Growth!$D$14</f>
        <v>0.22617461505235045</v>
      </c>
      <c r="I1435" s="15">
        <f>Yearly_Growth!$C$3</f>
        <v>0.11893113731787852</v>
      </c>
      <c r="J1435" s="15">
        <f>Yearly_Growth!$D$3</f>
        <v>0.09</v>
      </c>
      <c r="K1435">
        <f>Sales_Per_Representative!$C$29</f>
        <v>753085</v>
      </c>
      <c r="L1435">
        <f>Sales_Per_Rep_Yearly_Goal!$B$3</f>
        <v>689907.8</v>
      </c>
      <c r="M1435">
        <f>Sales_Per_Rep_Yearly_Goal!$C$3</f>
        <v>690000</v>
      </c>
    </row>
    <row r="1436" spans="1:13" x14ac:dyDescent="0.3">
      <c r="A1436" s="3">
        <v>45307</v>
      </c>
      <c r="B1436">
        <f t="shared" si="22"/>
        <v>2024</v>
      </c>
      <c r="C1436">
        <v>1</v>
      </c>
      <c r="D1436" t="s">
        <v>25</v>
      </c>
      <c r="E1436" t="s">
        <v>31</v>
      </c>
      <c r="F1436" s="2">
        <v>3388</v>
      </c>
      <c r="G1436" s="2">
        <f>Monthly_Growth!$C$14</f>
        <v>1007750</v>
      </c>
      <c r="H1436" s="5">
        <f>Monthly_Growth!$D$14</f>
        <v>0.22617461505235045</v>
      </c>
      <c r="I1436" s="15">
        <f>Yearly_Growth!$C$3</f>
        <v>0.11893113731787852</v>
      </c>
      <c r="J1436" s="15">
        <f>Yearly_Growth!$D$3</f>
        <v>0.09</v>
      </c>
      <c r="K1436">
        <f>Sales_Per_Representative!$C$21</f>
        <v>679421</v>
      </c>
      <c r="L1436">
        <f>Sales_Per_Rep_Yearly_Goal!$B$3</f>
        <v>689907.8</v>
      </c>
      <c r="M1436">
        <f>Sales_Per_Rep_Yearly_Goal!$C$3</f>
        <v>690000</v>
      </c>
    </row>
    <row r="1437" spans="1:13" x14ac:dyDescent="0.3">
      <c r="A1437" s="3">
        <v>45307</v>
      </c>
      <c r="B1437">
        <f t="shared" si="22"/>
        <v>2024</v>
      </c>
      <c r="C1437">
        <v>1</v>
      </c>
      <c r="D1437" t="s">
        <v>17</v>
      </c>
      <c r="E1437" t="s">
        <v>22</v>
      </c>
      <c r="F1437" s="2">
        <v>6031</v>
      </c>
      <c r="G1437" s="2">
        <f>Monthly_Growth!$C$14</f>
        <v>1007750</v>
      </c>
      <c r="H1437" s="5">
        <f>Monthly_Growth!$D$14</f>
        <v>0.22617461505235045</v>
      </c>
      <c r="I1437" s="15">
        <f>Yearly_Growth!$C$3</f>
        <v>0.11893113731787852</v>
      </c>
      <c r="J1437" s="15">
        <f>Yearly_Growth!$D$3</f>
        <v>0.09</v>
      </c>
      <c r="K1437">
        <f>Sales_Per_Representative!$C$23</f>
        <v>697444</v>
      </c>
      <c r="L1437">
        <f>Sales_Per_Rep_Yearly_Goal!$B$3</f>
        <v>689907.8</v>
      </c>
      <c r="M1437">
        <f>Sales_Per_Rep_Yearly_Goal!$C$3</f>
        <v>690000</v>
      </c>
    </row>
    <row r="1438" spans="1:13" x14ac:dyDescent="0.3">
      <c r="A1438" s="3">
        <v>45307</v>
      </c>
      <c r="B1438">
        <f t="shared" si="22"/>
        <v>2024</v>
      </c>
      <c r="C1438">
        <v>1</v>
      </c>
      <c r="D1438" t="s">
        <v>17</v>
      </c>
      <c r="E1438" t="s">
        <v>5</v>
      </c>
      <c r="F1438" s="2">
        <v>7427</v>
      </c>
      <c r="G1438" s="2">
        <f>Monthly_Growth!$C$14</f>
        <v>1007750</v>
      </c>
      <c r="H1438" s="5">
        <f>Monthly_Growth!$D$14</f>
        <v>0.22617461505235045</v>
      </c>
      <c r="I1438" s="15">
        <f>Yearly_Growth!$C$3</f>
        <v>0.11893113731787852</v>
      </c>
      <c r="J1438" s="15">
        <f>Yearly_Growth!$D$3</f>
        <v>0.09</v>
      </c>
      <c r="K1438">
        <f>Sales_Per_Representative!$C$25</f>
        <v>749460</v>
      </c>
      <c r="L1438">
        <f>Sales_Per_Rep_Yearly_Goal!$B$3</f>
        <v>689907.8</v>
      </c>
      <c r="M1438">
        <f>Sales_Per_Rep_Yearly_Goal!$C$3</f>
        <v>690000</v>
      </c>
    </row>
    <row r="1439" spans="1:13" x14ac:dyDescent="0.3">
      <c r="A1439" s="3">
        <v>45308</v>
      </c>
      <c r="B1439">
        <f t="shared" si="22"/>
        <v>2024</v>
      </c>
      <c r="C1439">
        <v>1</v>
      </c>
      <c r="D1439" t="s">
        <v>28</v>
      </c>
      <c r="E1439" t="s">
        <v>15</v>
      </c>
      <c r="F1439" s="2">
        <v>2277</v>
      </c>
      <c r="G1439" s="2">
        <f>Monthly_Growth!$C$14</f>
        <v>1007750</v>
      </c>
      <c r="H1439" s="5">
        <f>Monthly_Growth!$D$14</f>
        <v>0.22617461505235045</v>
      </c>
      <c r="I1439" s="15">
        <f>Yearly_Growth!$C$3</f>
        <v>0.11893113731787852</v>
      </c>
      <c r="J1439" s="15">
        <f>Yearly_Growth!$D$3</f>
        <v>0.09</v>
      </c>
      <c r="K1439">
        <f>Sales_Per_Representative!$C$27</f>
        <v>617202</v>
      </c>
      <c r="L1439">
        <f>Sales_Per_Rep_Yearly_Goal!$B$3</f>
        <v>689907.8</v>
      </c>
      <c r="M1439">
        <f>Sales_Per_Rep_Yearly_Goal!$C$3</f>
        <v>690000</v>
      </c>
    </row>
    <row r="1440" spans="1:13" x14ac:dyDescent="0.3">
      <c r="A1440" s="3">
        <v>45309</v>
      </c>
      <c r="B1440">
        <f t="shared" si="22"/>
        <v>2024</v>
      </c>
      <c r="C1440">
        <v>1</v>
      </c>
      <c r="D1440" t="s">
        <v>23</v>
      </c>
      <c r="E1440" t="s">
        <v>5</v>
      </c>
      <c r="F1440" s="2">
        <v>2711</v>
      </c>
      <c r="G1440" s="2">
        <f>Monthly_Growth!$C$14</f>
        <v>1007750</v>
      </c>
      <c r="H1440" s="5">
        <f>Monthly_Growth!$D$14</f>
        <v>0.22617461505235045</v>
      </c>
      <c r="I1440" s="15">
        <f>Yearly_Growth!$C$3</f>
        <v>0.11893113731787852</v>
      </c>
      <c r="J1440" s="15">
        <f>Yearly_Growth!$D$3</f>
        <v>0.09</v>
      </c>
      <c r="K1440">
        <f>Sales_Per_Representative!$C$25</f>
        <v>749460</v>
      </c>
      <c r="L1440">
        <f>Sales_Per_Rep_Yearly_Goal!$B$3</f>
        <v>689907.8</v>
      </c>
      <c r="M1440">
        <f>Sales_Per_Rep_Yearly_Goal!$C$3</f>
        <v>690000</v>
      </c>
    </row>
    <row r="1441" spans="1:13" x14ac:dyDescent="0.3">
      <c r="A1441" s="3">
        <v>45309</v>
      </c>
      <c r="B1441">
        <f t="shared" si="22"/>
        <v>2024</v>
      </c>
      <c r="C1441">
        <v>1</v>
      </c>
      <c r="D1441" t="s">
        <v>25</v>
      </c>
      <c r="E1441" t="s">
        <v>15</v>
      </c>
      <c r="F1441" s="2">
        <v>7226</v>
      </c>
      <c r="G1441" s="2">
        <f>Monthly_Growth!$C$14</f>
        <v>1007750</v>
      </c>
      <c r="H1441" s="5">
        <f>Monthly_Growth!$D$14</f>
        <v>0.22617461505235045</v>
      </c>
      <c r="I1441" s="15">
        <f>Yearly_Growth!$C$3</f>
        <v>0.11893113731787852</v>
      </c>
      <c r="J1441" s="15">
        <f>Yearly_Growth!$D$3</f>
        <v>0.09</v>
      </c>
      <c r="K1441">
        <f>Sales_Per_Representative!$C$27</f>
        <v>617202</v>
      </c>
      <c r="L1441">
        <f>Sales_Per_Rep_Yearly_Goal!$B$3</f>
        <v>689907.8</v>
      </c>
      <c r="M1441">
        <f>Sales_Per_Rep_Yearly_Goal!$C$3</f>
        <v>690000</v>
      </c>
    </row>
    <row r="1442" spans="1:13" x14ac:dyDescent="0.3">
      <c r="A1442" s="3">
        <v>45309</v>
      </c>
      <c r="B1442">
        <f t="shared" si="22"/>
        <v>2024</v>
      </c>
      <c r="C1442">
        <v>1</v>
      </c>
      <c r="D1442" t="s">
        <v>12</v>
      </c>
      <c r="E1442" t="s">
        <v>10</v>
      </c>
      <c r="F1442" s="2">
        <v>2255</v>
      </c>
      <c r="G1442" s="2">
        <f>Monthly_Growth!$C$14</f>
        <v>1007750</v>
      </c>
      <c r="H1442" s="5">
        <f>Monthly_Growth!$D$14</f>
        <v>0.22617461505235045</v>
      </c>
      <c r="I1442" s="15">
        <f>Yearly_Growth!$C$3</f>
        <v>0.11893113731787852</v>
      </c>
      <c r="J1442" s="15">
        <f>Yearly_Growth!$D$3</f>
        <v>0.09</v>
      </c>
      <c r="K1442">
        <f>Sales_Per_Representative!$C$19</f>
        <v>711816</v>
      </c>
      <c r="L1442">
        <f>Sales_Per_Rep_Yearly_Goal!$B$3</f>
        <v>689907.8</v>
      </c>
      <c r="M1442">
        <f>Sales_Per_Rep_Yearly_Goal!$C$3</f>
        <v>690000</v>
      </c>
    </row>
    <row r="1443" spans="1:13" x14ac:dyDescent="0.3">
      <c r="A1443" s="3">
        <v>45309</v>
      </c>
      <c r="B1443">
        <f t="shared" si="22"/>
        <v>2024</v>
      </c>
      <c r="C1443">
        <v>1</v>
      </c>
      <c r="D1443" t="s">
        <v>12</v>
      </c>
      <c r="E1443" t="s">
        <v>8</v>
      </c>
      <c r="F1443" s="2">
        <v>4056</v>
      </c>
      <c r="G1443" s="2">
        <f>Monthly_Growth!$C$14</f>
        <v>1007750</v>
      </c>
      <c r="H1443" s="5">
        <f>Monthly_Growth!$D$14</f>
        <v>0.22617461505235045</v>
      </c>
      <c r="I1443" s="15">
        <f>Yearly_Growth!$C$3</f>
        <v>0.11893113731787852</v>
      </c>
      <c r="J1443" s="15">
        <f>Yearly_Growth!$D$3</f>
        <v>0.09</v>
      </c>
      <c r="K1443">
        <f>Sales_Per_Representative!$C$30</f>
        <v>780006</v>
      </c>
      <c r="L1443">
        <f>Sales_Per_Rep_Yearly_Goal!$B$3</f>
        <v>689907.8</v>
      </c>
      <c r="M1443">
        <f>Sales_Per_Rep_Yearly_Goal!$C$3</f>
        <v>690000</v>
      </c>
    </row>
    <row r="1444" spans="1:13" x14ac:dyDescent="0.3">
      <c r="A1444" s="3">
        <v>45309</v>
      </c>
      <c r="B1444">
        <f t="shared" si="22"/>
        <v>2024</v>
      </c>
      <c r="C1444">
        <v>1</v>
      </c>
      <c r="D1444" t="s">
        <v>12</v>
      </c>
      <c r="E1444" t="s">
        <v>24</v>
      </c>
      <c r="F1444" s="2">
        <v>7099</v>
      </c>
      <c r="G1444" s="2">
        <f>Monthly_Growth!$C$14</f>
        <v>1007750</v>
      </c>
      <c r="H1444" s="5">
        <f>Monthly_Growth!$D$14</f>
        <v>0.22617461505235045</v>
      </c>
      <c r="I1444" s="15">
        <f>Yearly_Growth!$C$3</f>
        <v>0.11893113731787852</v>
      </c>
      <c r="J1444" s="15">
        <f>Yearly_Growth!$D$3</f>
        <v>0.09</v>
      </c>
      <c r="K1444">
        <f>Sales_Per_Representative!$C$17</f>
        <v>633956</v>
      </c>
      <c r="L1444">
        <f>Sales_Per_Rep_Yearly_Goal!$B$3</f>
        <v>689907.8</v>
      </c>
      <c r="M1444">
        <f>Sales_Per_Rep_Yearly_Goal!$C$3</f>
        <v>690000</v>
      </c>
    </row>
    <row r="1445" spans="1:13" x14ac:dyDescent="0.3">
      <c r="A1445" s="3">
        <v>45310</v>
      </c>
      <c r="B1445">
        <f t="shared" si="22"/>
        <v>2024</v>
      </c>
      <c r="C1445">
        <v>1</v>
      </c>
      <c r="D1445" t="s">
        <v>23</v>
      </c>
      <c r="E1445" t="s">
        <v>20</v>
      </c>
      <c r="F1445" s="2">
        <v>12145</v>
      </c>
      <c r="G1445" s="2">
        <f>Monthly_Growth!$C$14</f>
        <v>1007750</v>
      </c>
      <c r="H1445" s="5">
        <f>Monthly_Growth!$D$14</f>
        <v>0.22617461505235045</v>
      </c>
      <c r="I1445" s="15">
        <f>Yearly_Growth!$C$3</f>
        <v>0.11893113731787852</v>
      </c>
      <c r="J1445" s="15">
        <f>Yearly_Growth!$D$3</f>
        <v>0.09</v>
      </c>
      <c r="K1445">
        <f>Sales_Per_Representative!$C$29</f>
        <v>753085</v>
      </c>
      <c r="L1445">
        <f>Sales_Per_Rep_Yearly_Goal!$B$3</f>
        <v>689907.8</v>
      </c>
      <c r="M1445">
        <f>Sales_Per_Rep_Yearly_Goal!$C$3</f>
        <v>690000</v>
      </c>
    </row>
    <row r="1446" spans="1:13" x14ac:dyDescent="0.3">
      <c r="A1446" s="3">
        <v>45310</v>
      </c>
      <c r="B1446">
        <f t="shared" si="22"/>
        <v>2024</v>
      </c>
      <c r="C1446">
        <v>1</v>
      </c>
      <c r="D1446" t="s">
        <v>23</v>
      </c>
      <c r="E1446" t="s">
        <v>26</v>
      </c>
      <c r="F1446" s="2">
        <v>6408</v>
      </c>
      <c r="G1446" s="2">
        <f>Monthly_Growth!$C$14</f>
        <v>1007750</v>
      </c>
      <c r="H1446" s="5">
        <f>Monthly_Growth!$D$14</f>
        <v>0.22617461505235045</v>
      </c>
      <c r="I1446" s="15">
        <f>Yearly_Growth!$C$3</f>
        <v>0.11893113731787852</v>
      </c>
      <c r="J1446" s="15">
        <f>Yearly_Growth!$D$3</f>
        <v>0.09</v>
      </c>
      <c r="K1446">
        <f>Sales_Per_Representative!$C$31</f>
        <v>664244</v>
      </c>
      <c r="L1446">
        <f>Sales_Per_Rep_Yearly_Goal!$B$3</f>
        <v>689907.8</v>
      </c>
      <c r="M1446">
        <f>Sales_Per_Rep_Yearly_Goal!$C$3</f>
        <v>690000</v>
      </c>
    </row>
    <row r="1447" spans="1:13" x14ac:dyDescent="0.3">
      <c r="A1447" s="3">
        <v>45310</v>
      </c>
      <c r="B1447">
        <f t="shared" si="22"/>
        <v>2024</v>
      </c>
      <c r="C1447">
        <v>1</v>
      </c>
      <c r="D1447" t="s">
        <v>25</v>
      </c>
      <c r="E1447" t="s">
        <v>8</v>
      </c>
      <c r="F1447" s="2">
        <v>11167</v>
      </c>
      <c r="G1447" s="2">
        <f>Monthly_Growth!$C$14</f>
        <v>1007750</v>
      </c>
      <c r="H1447" s="5">
        <f>Monthly_Growth!$D$14</f>
        <v>0.22617461505235045</v>
      </c>
      <c r="I1447" s="15">
        <f>Yearly_Growth!$C$3</f>
        <v>0.11893113731787852</v>
      </c>
      <c r="J1447" s="15">
        <f>Yearly_Growth!$D$3</f>
        <v>0.09</v>
      </c>
      <c r="K1447">
        <f>Sales_Per_Representative!$C$30</f>
        <v>780006</v>
      </c>
      <c r="L1447">
        <f>Sales_Per_Rep_Yearly_Goal!$B$3</f>
        <v>689907.8</v>
      </c>
      <c r="M1447">
        <f>Sales_Per_Rep_Yearly_Goal!$C$3</f>
        <v>690000</v>
      </c>
    </row>
    <row r="1448" spans="1:13" x14ac:dyDescent="0.3">
      <c r="A1448" s="3">
        <v>45311</v>
      </c>
      <c r="B1448">
        <f t="shared" si="22"/>
        <v>2024</v>
      </c>
      <c r="C1448">
        <v>1</v>
      </c>
      <c r="D1448" t="s">
        <v>25</v>
      </c>
      <c r="E1448" t="s">
        <v>24</v>
      </c>
      <c r="F1448" s="2">
        <v>2777</v>
      </c>
      <c r="G1448" s="2">
        <f>Monthly_Growth!$C$14</f>
        <v>1007750</v>
      </c>
      <c r="H1448" s="5">
        <f>Monthly_Growth!$D$14</f>
        <v>0.22617461505235045</v>
      </c>
      <c r="I1448" s="15">
        <f>Yearly_Growth!$C$3</f>
        <v>0.11893113731787852</v>
      </c>
      <c r="J1448" s="15">
        <f>Yearly_Growth!$D$3</f>
        <v>0.09</v>
      </c>
      <c r="K1448">
        <f>Sales_Per_Representative!$C$17</f>
        <v>633956</v>
      </c>
      <c r="L1448">
        <f>Sales_Per_Rep_Yearly_Goal!$B$3</f>
        <v>689907.8</v>
      </c>
      <c r="M1448">
        <f>Sales_Per_Rep_Yearly_Goal!$C$3</f>
        <v>690000</v>
      </c>
    </row>
    <row r="1449" spans="1:13" x14ac:dyDescent="0.3">
      <c r="A1449" s="3">
        <v>45311</v>
      </c>
      <c r="B1449">
        <f t="shared" si="22"/>
        <v>2024</v>
      </c>
      <c r="C1449">
        <v>1</v>
      </c>
      <c r="D1449" t="s">
        <v>28</v>
      </c>
      <c r="E1449" t="s">
        <v>33</v>
      </c>
      <c r="F1449" s="2">
        <v>1195</v>
      </c>
      <c r="G1449" s="2">
        <f>Monthly_Growth!$C$14</f>
        <v>1007750</v>
      </c>
      <c r="H1449" s="5">
        <f>Monthly_Growth!$D$14</f>
        <v>0.22617461505235045</v>
      </c>
      <c r="I1449" s="15">
        <f>Yearly_Growth!$C$3</f>
        <v>0.11893113731787852</v>
      </c>
      <c r="J1449" s="15">
        <f>Yearly_Growth!$D$3</f>
        <v>0.09</v>
      </c>
      <c r="K1449">
        <f>Sales_Per_Representative!$C$26</f>
        <v>501360</v>
      </c>
      <c r="L1449">
        <f>Sales_Per_Rep_Yearly_Goal!$B$3</f>
        <v>689907.8</v>
      </c>
      <c r="M1449">
        <f>Sales_Per_Rep_Yearly_Goal!$C$3</f>
        <v>690000</v>
      </c>
    </row>
    <row r="1450" spans="1:13" x14ac:dyDescent="0.3">
      <c r="A1450" s="3">
        <v>45311</v>
      </c>
      <c r="B1450">
        <f t="shared" si="22"/>
        <v>2024</v>
      </c>
      <c r="C1450">
        <v>1</v>
      </c>
      <c r="D1450" t="s">
        <v>12</v>
      </c>
      <c r="E1450" t="s">
        <v>32</v>
      </c>
      <c r="F1450" s="2">
        <v>10757</v>
      </c>
      <c r="G1450" s="2">
        <f>Monthly_Growth!$C$14</f>
        <v>1007750</v>
      </c>
      <c r="H1450" s="5">
        <f>Monthly_Growth!$D$14</f>
        <v>0.22617461505235045</v>
      </c>
      <c r="I1450" s="15">
        <f>Yearly_Growth!$C$3</f>
        <v>0.11893113731787852</v>
      </c>
      <c r="J1450" s="15">
        <f>Yearly_Growth!$D$3</f>
        <v>0.09</v>
      </c>
      <c r="K1450">
        <f>Sales_Per_Representative!$C$18</f>
        <v>783907</v>
      </c>
      <c r="L1450">
        <f>Sales_Per_Rep_Yearly_Goal!$B$3</f>
        <v>689907.8</v>
      </c>
      <c r="M1450">
        <f>Sales_Per_Rep_Yearly_Goal!$C$3</f>
        <v>690000</v>
      </c>
    </row>
    <row r="1451" spans="1:13" x14ac:dyDescent="0.3">
      <c r="A1451" s="3">
        <v>45312</v>
      </c>
      <c r="B1451">
        <f t="shared" si="22"/>
        <v>2024</v>
      </c>
      <c r="C1451">
        <v>1</v>
      </c>
      <c r="D1451" t="s">
        <v>25</v>
      </c>
      <c r="E1451" t="s">
        <v>8</v>
      </c>
      <c r="F1451" s="2">
        <v>10355</v>
      </c>
      <c r="G1451" s="2">
        <f>Monthly_Growth!$C$14</f>
        <v>1007750</v>
      </c>
      <c r="H1451" s="5">
        <f>Monthly_Growth!$D$14</f>
        <v>0.22617461505235045</v>
      </c>
      <c r="I1451" s="15">
        <f>Yearly_Growth!$C$3</f>
        <v>0.11893113731787852</v>
      </c>
      <c r="J1451" s="15">
        <f>Yearly_Growth!$D$3</f>
        <v>0.09</v>
      </c>
      <c r="K1451">
        <f>Sales_Per_Representative!$C$30</f>
        <v>780006</v>
      </c>
      <c r="L1451">
        <f>Sales_Per_Rep_Yearly_Goal!$B$3</f>
        <v>689907.8</v>
      </c>
      <c r="M1451">
        <f>Sales_Per_Rep_Yearly_Goal!$C$3</f>
        <v>690000</v>
      </c>
    </row>
    <row r="1452" spans="1:13" x14ac:dyDescent="0.3">
      <c r="A1452" s="3">
        <v>45313</v>
      </c>
      <c r="B1452">
        <f t="shared" si="22"/>
        <v>2024</v>
      </c>
      <c r="C1452">
        <v>1</v>
      </c>
      <c r="D1452" t="s">
        <v>23</v>
      </c>
      <c r="E1452" t="s">
        <v>32</v>
      </c>
      <c r="F1452" s="2">
        <v>4063</v>
      </c>
      <c r="G1452" s="2">
        <f>Monthly_Growth!$C$14</f>
        <v>1007750</v>
      </c>
      <c r="H1452" s="5">
        <f>Monthly_Growth!$D$14</f>
        <v>0.22617461505235045</v>
      </c>
      <c r="I1452" s="15">
        <f>Yearly_Growth!$C$3</f>
        <v>0.11893113731787852</v>
      </c>
      <c r="J1452" s="15">
        <f>Yearly_Growth!$D$3</f>
        <v>0.09</v>
      </c>
      <c r="K1452">
        <f>Sales_Per_Representative!$C$18</f>
        <v>783907</v>
      </c>
      <c r="L1452">
        <f>Sales_Per_Rep_Yearly_Goal!$B$3</f>
        <v>689907.8</v>
      </c>
      <c r="M1452">
        <f>Sales_Per_Rep_Yearly_Goal!$C$3</f>
        <v>690000</v>
      </c>
    </row>
    <row r="1453" spans="1:13" x14ac:dyDescent="0.3">
      <c r="A1453" s="3">
        <v>45313</v>
      </c>
      <c r="B1453">
        <f t="shared" si="22"/>
        <v>2024</v>
      </c>
      <c r="C1453">
        <v>1</v>
      </c>
      <c r="D1453" t="s">
        <v>23</v>
      </c>
      <c r="E1453" t="s">
        <v>30</v>
      </c>
      <c r="F1453" s="2">
        <v>6940</v>
      </c>
      <c r="G1453" s="2">
        <f>Monthly_Growth!$C$14</f>
        <v>1007750</v>
      </c>
      <c r="H1453" s="5">
        <f>Monthly_Growth!$D$14</f>
        <v>0.22617461505235045</v>
      </c>
      <c r="I1453" s="15">
        <f>Yearly_Growth!$C$3</f>
        <v>0.11893113731787852</v>
      </c>
      <c r="J1453" s="15">
        <f>Yearly_Growth!$D$3</f>
        <v>0.09</v>
      </c>
      <c r="K1453">
        <f>Sales_Per_Representative!$C$22</f>
        <v>700142</v>
      </c>
      <c r="L1453">
        <f>Sales_Per_Rep_Yearly_Goal!$B$3</f>
        <v>689907.8</v>
      </c>
      <c r="M1453">
        <f>Sales_Per_Rep_Yearly_Goal!$C$3</f>
        <v>690000</v>
      </c>
    </row>
    <row r="1454" spans="1:13" x14ac:dyDescent="0.3">
      <c r="A1454" s="3">
        <v>45313</v>
      </c>
      <c r="B1454">
        <f t="shared" si="22"/>
        <v>2024</v>
      </c>
      <c r="C1454">
        <v>1</v>
      </c>
      <c r="D1454" t="s">
        <v>28</v>
      </c>
      <c r="E1454" t="s">
        <v>29</v>
      </c>
      <c r="F1454" s="2">
        <v>11454</v>
      </c>
      <c r="G1454" s="2">
        <f>Monthly_Growth!$C$14</f>
        <v>1007750</v>
      </c>
      <c r="H1454" s="5">
        <f>Monthly_Growth!$D$14</f>
        <v>0.22617461505235045</v>
      </c>
      <c r="I1454" s="15">
        <f>Yearly_Growth!$C$3</f>
        <v>0.11893113731787852</v>
      </c>
      <c r="J1454" s="15">
        <f>Yearly_Growth!$D$3</f>
        <v>0.09</v>
      </c>
      <c r="K1454">
        <f>Sales_Per_Representative!$C$28</f>
        <v>691917</v>
      </c>
      <c r="L1454">
        <f>Sales_Per_Rep_Yearly_Goal!$B$3</f>
        <v>689907.8</v>
      </c>
      <c r="M1454">
        <f>Sales_Per_Rep_Yearly_Goal!$C$3</f>
        <v>690000</v>
      </c>
    </row>
    <row r="1455" spans="1:13" x14ac:dyDescent="0.3">
      <c r="A1455" s="3">
        <v>45313</v>
      </c>
      <c r="B1455">
        <f t="shared" si="22"/>
        <v>2024</v>
      </c>
      <c r="C1455">
        <v>1</v>
      </c>
      <c r="D1455" t="s">
        <v>28</v>
      </c>
      <c r="E1455" t="s">
        <v>8</v>
      </c>
      <c r="F1455" s="2">
        <v>7770</v>
      </c>
      <c r="G1455" s="2">
        <f>Monthly_Growth!$C$14</f>
        <v>1007750</v>
      </c>
      <c r="H1455" s="5">
        <f>Monthly_Growth!$D$14</f>
        <v>0.22617461505235045</v>
      </c>
      <c r="I1455" s="15">
        <f>Yearly_Growth!$C$3</f>
        <v>0.11893113731787852</v>
      </c>
      <c r="J1455" s="15">
        <f>Yearly_Growth!$D$3</f>
        <v>0.09</v>
      </c>
      <c r="K1455">
        <f>Sales_Per_Representative!$C$30</f>
        <v>780006</v>
      </c>
      <c r="L1455">
        <f>Sales_Per_Rep_Yearly_Goal!$B$3</f>
        <v>689907.8</v>
      </c>
      <c r="M1455">
        <f>Sales_Per_Rep_Yearly_Goal!$C$3</f>
        <v>690000</v>
      </c>
    </row>
    <row r="1456" spans="1:13" x14ac:dyDescent="0.3">
      <c r="A1456" s="3">
        <v>45313</v>
      </c>
      <c r="B1456">
        <f t="shared" si="22"/>
        <v>2024</v>
      </c>
      <c r="C1456">
        <v>1</v>
      </c>
      <c r="D1456" t="s">
        <v>12</v>
      </c>
      <c r="E1456" t="s">
        <v>20</v>
      </c>
      <c r="F1456" s="2">
        <v>12408</v>
      </c>
      <c r="G1456" s="2">
        <f>Monthly_Growth!$C$14</f>
        <v>1007750</v>
      </c>
      <c r="H1456" s="5">
        <f>Monthly_Growth!$D$14</f>
        <v>0.22617461505235045</v>
      </c>
      <c r="I1456" s="15">
        <f>Yearly_Growth!$C$3</f>
        <v>0.11893113731787852</v>
      </c>
      <c r="J1456" s="15">
        <f>Yearly_Growth!$D$3</f>
        <v>0.09</v>
      </c>
      <c r="K1456">
        <f>Sales_Per_Representative!$C$29</f>
        <v>753085</v>
      </c>
      <c r="L1456">
        <f>Sales_Per_Rep_Yearly_Goal!$B$3</f>
        <v>689907.8</v>
      </c>
      <c r="M1456">
        <f>Sales_Per_Rep_Yearly_Goal!$C$3</f>
        <v>690000</v>
      </c>
    </row>
    <row r="1457" spans="1:13" x14ac:dyDescent="0.3">
      <c r="A1457" s="3">
        <v>45314</v>
      </c>
      <c r="B1457">
        <f t="shared" si="22"/>
        <v>2024</v>
      </c>
      <c r="C1457">
        <v>1</v>
      </c>
      <c r="D1457" t="s">
        <v>14</v>
      </c>
      <c r="E1457" t="s">
        <v>27</v>
      </c>
      <c r="F1457" s="2">
        <v>2625</v>
      </c>
      <c r="G1457" s="2">
        <f>Monthly_Growth!$C$14</f>
        <v>1007750</v>
      </c>
      <c r="H1457" s="5">
        <f>Monthly_Growth!$D$14</f>
        <v>0.22617461505235045</v>
      </c>
      <c r="I1457" s="15">
        <f>Yearly_Growth!$C$3</f>
        <v>0.11893113731787852</v>
      </c>
      <c r="J1457" s="15">
        <f>Yearly_Growth!$D$3</f>
        <v>0.09</v>
      </c>
      <c r="K1457">
        <f>Sales_Per_Representative!$C$20</f>
        <v>685380</v>
      </c>
      <c r="L1457">
        <f>Sales_Per_Rep_Yearly_Goal!$B$3</f>
        <v>689907.8</v>
      </c>
      <c r="M1457">
        <f>Sales_Per_Rep_Yearly_Goal!$C$3</f>
        <v>690000</v>
      </c>
    </row>
    <row r="1458" spans="1:13" x14ac:dyDescent="0.3">
      <c r="A1458" s="3">
        <v>45314</v>
      </c>
      <c r="B1458">
        <f t="shared" si="22"/>
        <v>2024</v>
      </c>
      <c r="C1458">
        <v>1</v>
      </c>
      <c r="D1458" t="s">
        <v>23</v>
      </c>
      <c r="E1458" t="s">
        <v>32</v>
      </c>
      <c r="F1458" s="2">
        <v>12674</v>
      </c>
      <c r="G1458" s="2">
        <f>Monthly_Growth!$C$14</f>
        <v>1007750</v>
      </c>
      <c r="H1458" s="5">
        <f>Monthly_Growth!$D$14</f>
        <v>0.22617461505235045</v>
      </c>
      <c r="I1458" s="15">
        <f>Yearly_Growth!$C$3</f>
        <v>0.11893113731787852</v>
      </c>
      <c r="J1458" s="15">
        <f>Yearly_Growth!$D$3</f>
        <v>0.09</v>
      </c>
      <c r="K1458">
        <f>Sales_Per_Representative!$C$18</f>
        <v>783907</v>
      </c>
      <c r="L1458">
        <f>Sales_Per_Rep_Yearly_Goal!$B$3</f>
        <v>689907.8</v>
      </c>
      <c r="M1458">
        <f>Sales_Per_Rep_Yearly_Goal!$C$3</f>
        <v>690000</v>
      </c>
    </row>
    <row r="1459" spans="1:13" x14ac:dyDescent="0.3">
      <c r="A1459" s="3">
        <v>45314</v>
      </c>
      <c r="B1459">
        <f t="shared" si="22"/>
        <v>2024</v>
      </c>
      <c r="C1459">
        <v>1</v>
      </c>
      <c r="D1459" t="s">
        <v>23</v>
      </c>
      <c r="E1459" t="s">
        <v>30</v>
      </c>
      <c r="F1459" s="2">
        <v>11831</v>
      </c>
      <c r="G1459" s="2">
        <f>Monthly_Growth!$C$14</f>
        <v>1007750</v>
      </c>
      <c r="H1459" s="5">
        <f>Monthly_Growth!$D$14</f>
        <v>0.22617461505235045</v>
      </c>
      <c r="I1459" s="15">
        <f>Yearly_Growth!$C$3</f>
        <v>0.11893113731787852</v>
      </c>
      <c r="J1459" s="15">
        <f>Yearly_Growth!$D$3</f>
        <v>0.09</v>
      </c>
      <c r="K1459">
        <f>Sales_Per_Representative!$C$22</f>
        <v>700142</v>
      </c>
      <c r="L1459">
        <f>Sales_Per_Rep_Yearly_Goal!$B$3</f>
        <v>689907.8</v>
      </c>
      <c r="M1459">
        <f>Sales_Per_Rep_Yearly_Goal!$C$3</f>
        <v>690000</v>
      </c>
    </row>
    <row r="1460" spans="1:13" x14ac:dyDescent="0.3">
      <c r="A1460" s="3">
        <v>45314</v>
      </c>
      <c r="B1460">
        <f t="shared" si="22"/>
        <v>2024</v>
      </c>
      <c r="C1460">
        <v>1</v>
      </c>
      <c r="D1460" t="s">
        <v>7</v>
      </c>
      <c r="E1460" t="s">
        <v>8</v>
      </c>
      <c r="F1460" s="2">
        <v>13222</v>
      </c>
      <c r="G1460" s="2">
        <f>Monthly_Growth!$C$14</f>
        <v>1007750</v>
      </c>
      <c r="H1460" s="5">
        <f>Monthly_Growth!$D$14</f>
        <v>0.22617461505235045</v>
      </c>
      <c r="I1460" s="15">
        <f>Yearly_Growth!$C$3</f>
        <v>0.11893113731787852</v>
      </c>
      <c r="J1460" s="15">
        <f>Yearly_Growth!$D$3</f>
        <v>0.09</v>
      </c>
      <c r="K1460">
        <f>Sales_Per_Representative!$C$30</f>
        <v>780006</v>
      </c>
      <c r="L1460">
        <f>Sales_Per_Rep_Yearly_Goal!$B$3</f>
        <v>689907.8</v>
      </c>
      <c r="M1460">
        <f>Sales_Per_Rep_Yearly_Goal!$C$3</f>
        <v>690000</v>
      </c>
    </row>
    <row r="1461" spans="1:13" x14ac:dyDescent="0.3">
      <c r="A1461" s="3">
        <v>45314</v>
      </c>
      <c r="B1461">
        <f t="shared" si="22"/>
        <v>2024</v>
      </c>
      <c r="C1461">
        <v>1</v>
      </c>
      <c r="D1461" t="s">
        <v>12</v>
      </c>
      <c r="E1461" t="s">
        <v>15</v>
      </c>
      <c r="F1461" s="2">
        <v>11437</v>
      </c>
      <c r="G1461" s="2">
        <f>Monthly_Growth!$C$14</f>
        <v>1007750</v>
      </c>
      <c r="H1461" s="5">
        <f>Monthly_Growth!$D$14</f>
        <v>0.22617461505235045</v>
      </c>
      <c r="I1461" s="15">
        <f>Yearly_Growth!$C$3</f>
        <v>0.11893113731787852</v>
      </c>
      <c r="J1461" s="15">
        <f>Yearly_Growth!$D$3</f>
        <v>0.09</v>
      </c>
      <c r="K1461">
        <f>Sales_Per_Representative!$C$27</f>
        <v>617202</v>
      </c>
      <c r="L1461">
        <f>Sales_Per_Rep_Yearly_Goal!$B$3</f>
        <v>689907.8</v>
      </c>
      <c r="M1461">
        <f>Sales_Per_Rep_Yearly_Goal!$C$3</f>
        <v>690000</v>
      </c>
    </row>
    <row r="1462" spans="1:13" x14ac:dyDescent="0.3">
      <c r="A1462" s="3">
        <v>45315</v>
      </c>
      <c r="B1462">
        <f t="shared" si="22"/>
        <v>2024</v>
      </c>
      <c r="C1462">
        <v>1</v>
      </c>
      <c r="D1462" t="s">
        <v>14</v>
      </c>
      <c r="E1462" t="s">
        <v>33</v>
      </c>
      <c r="F1462" s="2">
        <v>11245</v>
      </c>
      <c r="G1462" s="2">
        <f>Monthly_Growth!$C$14</f>
        <v>1007750</v>
      </c>
      <c r="H1462" s="5">
        <f>Monthly_Growth!$D$14</f>
        <v>0.22617461505235045</v>
      </c>
      <c r="I1462" s="15">
        <f>Yearly_Growth!$C$3</f>
        <v>0.11893113731787852</v>
      </c>
      <c r="J1462" s="15">
        <f>Yearly_Growth!$D$3</f>
        <v>0.09</v>
      </c>
      <c r="K1462">
        <f>Sales_Per_Representative!$C$26</f>
        <v>501360</v>
      </c>
      <c r="L1462">
        <f>Sales_Per_Rep_Yearly_Goal!$B$3</f>
        <v>689907.8</v>
      </c>
      <c r="M1462">
        <f>Sales_Per_Rep_Yearly_Goal!$C$3</f>
        <v>690000</v>
      </c>
    </row>
    <row r="1463" spans="1:13" x14ac:dyDescent="0.3">
      <c r="A1463" s="3">
        <v>45315</v>
      </c>
      <c r="B1463">
        <f t="shared" si="22"/>
        <v>2024</v>
      </c>
      <c r="C1463">
        <v>1</v>
      </c>
      <c r="D1463" t="s">
        <v>19</v>
      </c>
      <c r="E1463" t="s">
        <v>22</v>
      </c>
      <c r="F1463" s="2">
        <v>12076</v>
      </c>
      <c r="G1463" s="2">
        <f>Monthly_Growth!$C$14</f>
        <v>1007750</v>
      </c>
      <c r="H1463" s="5">
        <f>Monthly_Growth!$D$14</f>
        <v>0.22617461505235045</v>
      </c>
      <c r="I1463" s="15">
        <f>Yearly_Growth!$C$3</f>
        <v>0.11893113731787852</v>
      </c>
      <c r="J1463" s="15">
        <f>Yearly_Growth!$D$3</f>
        <v>0.09</v>
      </c>
      <c r="K1463">
        <f>Sales_Per_Representative!$C$23</f>
        <v>697444</v>
      </c>
      <c r="L1463">
        <f>Sales_Per_Rep_Yearly_Goal!$B$3</f>
        <v>689907.8</v>
      </c>
      <c r="M1463">
        <f>Sales_Per_Rep_Yearly_Goal!$C$3</f>
        <v>690000</v>
      </c>
    </row>
    <row r="1464" spans="1:13" x14ac:dyDescent="0.3">
      <c r="A1464" s="3">
        <v>45316</v>
      </c>
      <c r="B1464">
        <f t="shared" si="22"/>
        <v>2024</v>
      </c>
      <c r="C1464">
        <v>1</v>
      </c>
      <c r="D1464" t="s">
        <v>23</v>
      </c>
      <c r="E1464" t="s">
        <v>10</v>
      </c>
      <c r="F1464" s="2">
        <v>4966</v>
      </c>
      <c r="G1464" s="2">
        <f>Monthly_Growth!$C$14</f>
        <v>1007750</v>
      </c>
      <c r="H1464" s="5">
        <f>Monthly_Growth!$D$14</f>
        <v>0.22617461505235045</v>
      </c>
      <c r="I1464" s="15">
        <f>Yearly_Growth!$C$3</f>
        <v>0.11893113731787852</v>
      </c>
      <c r="J1464" s="15">
        <f>Yearly_Growth!$D$3</f>
        <v>0.09</v>
      </c>
      <c r="K1464">
        <f>Sales_Per_Representative!$C$19</f>
        <v>711816</v>
      </c>
      <c r="L1464">
        <f>Sales_Per_Rep_Yearly_Goal!$B$3</f>
        <v>689907.8</v>
      </c>
      <c r="M1464">
        <f>Sales_Per_Rep_Yearly_Goal!$C$3</f>
        <v>690000</v>
      </c>
    </row>
    <row r="1465" spans="1:13" x14ac:dyDescent="0.3">
      <c r="A1465" s="3">
        <v>45316</v>
      </c>
      <c r="B1465">
        <f t="shared" si="22"/>
        <v>2024</v>
      </c>
      <c r="C1465">
        <v>1</v>
      </c>
      <c r="D1465" t="s">
        <v>25</v>
      </c>
      <c r="E1465" t="s">
        <v>32</v>
      </c>
      <c r="F1465" s="2">
        <v>9309</v>
      </c>
      <c r="G1465" s="2">
        <f>Monthly_Growth!$C$14</f>
        <v>1007750</v>
      </c>
      <c r="H1465" s="5">
        <f>Monthly_Growth!$D$14</f>
        <v>0.22617461505235045</v>
      </c>
      <c r="I1465" s="15">
        <f>Yearly_Growth!$C$3</f>
        <v>0.11893113731787852</v>
      </c>
      <c r="J1465" s="15">
        <f>Yearly_Growth!$D$3</f>
        <v>0.09</v>
      </c>
      <c r="K1465">
        <f>Sales_Per_Representative!$C$18</f>
        <v>783907</v>
      </c>
      <c r="L1465">
        <f>Sales_Per_Rep_Yearly_Goal!$B$3</f>
        <v>689907.8</v>
      </c>
      <c r="M1465">
        <f>Sales_Per_Rep_Yearly_Goal!$C$3</f>
        <v>690000</v>
      </c>
    </row>
    <row r="1466" spans="1:13" x14ac:dyDescent="0.3">
      <c r="A1466" s="3">
        <v>45316</v>
      </c>
      <c r="B1466">
        <f t="shared" si="22"/>
        <v>2024</v>
      </c>
      <c r="C1466">
        <v>1</v>
      </c>
      <c r="D1466" t="s">
        <v>7</v>
      </c>
      <c r="E1466" t="s">
        <v>10</v>
      </c>
      <c r="F1466" s="2">
        <v>3365</v>
      </c>
      <c r="G1466" s="2">
        <f>Monthly_Growth!$C$14</f>
        <v>1007750</v>
      </c>
      <c r="H1466" s="5">
        <f>Monthly_Growth!$D$14</f>
        <v>0.22617461505235045</v>
      </c>
      <c r="I1466" s="15">
        <f>Yearly_Growth!$C$3</f>
        <v>0.11893113731787852</v>
      </c>
      <c r="J1466" s="15">
        <f>Yearly_Growth!$D$3</f>
        <v>0.09</v>
      </c>
      <c r="K1466">
        <f>Sales_Per_Representative!$C$19</f>
        <v>711816</v>
      </c>
      <c r="L1466">
        <f>Sales_Per_Rep_Yearly_Goal!$B$3</f>
        <v>689907.8</v>
      </c>
      <c r="M1466">
        <f>Sales_Per_Rep_Yearly_Goal!$C$3</f>
        <v>690000</v>
      </c>
    </row>
    <row r="1467" spans="1:13" x14ac:dyDescent="0.3">
      <c r="A1467" s="3">
        <v>45316</v>
      </c>
      <c r="B1467">
        <f t="shared" si="22"/>
        <v>2024</v>
      </c>
      <c r="C1467">
        <v>1</v>
      </c>
      <c r="D1467" t="s">
        <v>7</v>
      </c>
      <c r="E1467" t="s">
        <v>22</v>
      </c>
      <c r="F1467" s="2">
        <v>2847</v>
      </c>
      <c r="G1467" s="2">
        <f>Monthly_Growth!$C$14</f>
        <v>1007750</v>
      </c>
      <c r="H1467" s="5">
        <f>Monthly_Growth!$D$14</f>
        <v>0.22617461505235045</v>
      </c>
      <c r="I1467" s="15">
        <f>Yearly_Growth!$C$3</f>
        <v>0.11893113731787852</v>
      </c>
      <c r="J1467" s="15">
        <f>Yearly_Growth!$D$3</f>
        <v>0.09</v>
      </c>
      <c r="K1467">
        <f>Sales_Per_Representative!$C$23</f>
        <v>697444</v>
      </c>
      <c r="L1467">
        <f>Sales_Per_Rep_Yearly_Goal!$B$3</f>
        <v>689907.8</v>
      </c>
      <c r="M1467">
        <f>Sales_Per_Rep_Yearly_Goal!$C$3</f>
        <v>690000</v>
      </c>
    </row>
    <row r="1468" spans="1:13" x14ac:dyDescent="0.3">
      <c r="A1468" s="3">
        <v>45316</v>
      </c>
      <c r="B1468">
        <f t="shared" si="22"/>
        <v>2024</v>
      </c>
      <c r="C1468">
        <v>1</v>
      </c>
      <c r="D1468" t="s">
        <v>17</v>
      </c>
      <c r="E1468" t="s">
        <v>18</v>
      </c>
      <c r="F1468" s="2">
        <v>10714</v>
      </c>
      <c r="G1468" s="2">
        <f>Monthly_Growth!$C$14</f>
        <v>1007750</v>
      </c>
      <c r="H1468" s="5">
        <f>Monthly_Growth!$D$14</f>
        <v>0.22617461505235045</v>
      </c>
      <c r="I1468" s="15">
        <f>Yearly_Growth!$C$3</f>
        <v>0.11893113731787852</v>
      </c>
      <c r="J1468" s="15">
        <f>Yearly_Growth!$D$3</f>
        <v>0.09</v>
      </c>
      <c r="K1468">
        <f>Sales_Per_Representative!$C$24</f>
        <v>699277</v>
      </c>
      <c r="L1468">
        <f>Sales_Per_Rep_Yearly_Goal!$B$3</f>
        <v>689907.8</v>
      </c>
      <c r="M1468">
        <f>Sales_Per_Rep_Yearly_Goal!$C$3</f>
        <v>690000</v>
      </c>
    </row>
    <row r="1469" spans="1:13" x14ac:dyDescent="0.3">
      <c r="A1469" s="3">
        <v>45316</v>
      </c>
      <c r="B1469">
        <f t="shared" si="22"/>
        <v>2024</v>
      </c>
      <c r="C1469">
        <v>1</v>
      </c>
      <c r="D1469" t="s">
        <v>12</v>
      </c>
      <c r="E1469" t="s">
        <v>10</v>
      </c>
      <c r="F1469" s="2">
        <v>13965</v>
      </c>
      <c r="G1469" s="2">
        <f>Monthly_Growth!$C$14</f>
        <v>1007750</v>
      </c>
      <c r="H1469" s="5">
        <f>Monthly_Growth!$D$14</f>
        <v>0.22617461505235045</v>
      </c>
      <c r="I1469" s="15">
        <f>Yearly_Growth!$C$3</f>
        <v>0.11893113731787852</v>
      </c>
      <c r="J1469" s="15">
        <f>Yearly_Growth!$D$3</f>
        <v>0.09</v>
      </c>
      <c r="K1469">
        <f>Sales_Per_Representative!$C$19</f>
        <v>711816</v>
      </c>
      <c r="L1469">
        <f>Sales_Per_Rep_Yearly_Goal!$B$3</f>
        <v>689907.8</v>
      </c>
      <c r="M1469">
        <f>Sales_Per_Rep_Yearly_Goal!$C$3</f>
        <v>690000</v>
      </c>
    </row>
    <row r="1470" spans="1:13" x14ac:dyDescent="0.3">
      <c r="A1470" s="3">
        <v>45316</v>
      </c>
      <c r="B1470">
        <f t="shared" si="22"/>
        <v>2024</v>
      </c>
      <c r="C1470">
        <v>1</v>
      </c>
      <c r="D1470" t="s">
        <v>12</v>
      </c>
      <c r="E1470" t="s">
        <v>33</v>
      </c>
      <c r="F1470" s="2">
        <v>2841</v>
      </c>
      <c r="G1470" s="2">
        <f>Monthly_Growth!$C$14</f>
        <v>1007750</v>
      </c>
      <c r="H1470" s="5">
        <f>Monthly_Growth!$D$14</f>
        <v>0.22617461505235045</v>
      </c>
      <c r="I1470" s="15">
        <f>Yearly_Growth!$C$3</f>
        <v>0.11893113731787852</v>
      </c>
      <c r="J1470" s="15">
        <f>Yearly_Growth!$D$3</f>
        <v>0.09</v>
      </c>
      <c r="K1470">
        <f>Sales_Per_Representative!$C$26</f>
        <v>501360</v>
      </c>
      <c r="L1470">
        <f>Sales_Per_Rep_Yearly_Goal!$B$3</f>
        <v>689907.8</v>
      </c>
      <c r="M1470">
        <f>Sales_Per_Rep_Yearly_Goal!$C$3</f>
        <v>690000</v>
      </c>
    </row>
    <row r="1471" spans="1:13" x14ac:dyDescent="0.3">
      <c r="A1471" s="3">
        <v>45317</v>
      </c>
      <c r="B1471">
        <f t="shared" si="22"/>
        <v>2024</v>
      </c>
      <c r="C1471">
        <v>1</v>
      </c>
      <c r="D1471" t="s">
        <v>14</v>
      </c>
      <c r="E1471" t="s">
        <v>18</v>
      </c>
      <c r="F1471" s="2">
        <v>9998</v>
      </c>
      <c r="G1471" s="2">
        <f>Monthly_Growth!$C$14</f>
        <v>1007750</v>
      </c>
      <c r="H1471" s="5">
        <f>Monthly_Growth!$D$14</f>
        <v>0.22617461505235045</v>
      </c>
      <c r="I1471" s="15">
        <f>Yearly_Growth!$C$3</f>
        <v>0.11893113731787852</v>
      </c>
      <c r="J1471" s="15">
        <f>Yearly_Growth!$D$3</f>
        <v>0.09</v>
      </c>
      <c r="K1471">
        <f>Sales_Per_Representative!$C$24</f>
        <v>699277</v>
      </c>
      <c r="L1471">
        <f>Sales_Per_Rep_Yearly_Goal!$B$3</f>
        <v>689907.8</v>
      </c>
      <c r="M1471">
        <f>Sales_Per_Rep_Yearly_Goal!$C$3</f>
        <v>690000</v>
      </c>
    </row>
    <row r="1472" spans="1:13" x14ac:dyDescent="0.3">
      <c r="A1472" s="3">
        <v>45317</v>
      </c>
      <c r="B1472">
        <f t="shared" si="22"/>
        <v>2024</v>
      </c>
      <c r="C1472">
        <v>1</v>
      </c>
      <c r="D1472" t="s">
        <v>23</v>
      </c>
      <c r="E1472" t="s">
        <v>29</v>
      </c>
      <c r="F1472" s="2">
        <v>10019</v>
      </c>
      <c r="G1472" s="2">
        <f>Monthly_Growth!$C$14</f>
        <v>1007750</v>
      </c>
      <c r="H1472" s="5">
        <f>Monthly_Growth!$D$14</f>
        <v>0.22617461505235045</v>
      </c>
      <c r="I1472" s="15">
        <f>Yearly_Growth!$C$3</f>
        <v>0.11893113731787852</v>
      </c>
      <c r="J1472" s="15">
        <f>Yearly_Growth!$D$3</f>
        <v>0.09</v>
      </c>
      <c r="K1472">
        <f>Sales_Per_Representative!$C$28</f>
        <v>691917</v>
      </c>
      <c r="L1472">
        <f>Sales_Per_Rep_Yearly_Goal!$B$3</f>
        <v>689907.8</v>
      </c>
      <c r="M1472">
        <f>Sales_Per_Rep_Yearly_Goal!$C$3</f>
        <v>690000</v>
      </c>
    </row>
    <row r="1473" spans="1:13" x14ac:dyDescent="0.3">
      <c r="A1473" s="3">
        <v>45317</v>
      </c>
      <c r="B1473">
        <f t="shared" si="22"/>
        <v>2024</v>
      </c>
      <c r="C1473">
        <v>1</v>
      </c>
      <c r="D1473" t="s">
        <v>28</v>
      </c>
      <c r="E1473" t="s">
        <v>8</v>
      </c>
      <c r="F1473" s="2">
        <v>12072</v>
      </c>
      <c r="G1473" s="2">
        <f>Monthly_Growth!$C$14</f>
        <v>1007750</v>
      </c>
      <c r="H1473" s="5">
        <f>Monthly_Growth!$D$14</f>
        <v>0.22617461505235045</v>
      </c>
      <c r="I1473" s="15">
        <f>Yearly_Growth!$C$3</f>
        <v>0.11893113731787852</v>
      </c>
      <c r="J1473" s="15">
        <f>Yearly_Growth!$D$3</f>
        <v>0.09</v>
      </c>
      <c r="K1473">
        <f>Sales_Per_Representative!$C$30</f>
        <v>780006</v>
      </c>
      <c r="L1473">
        <f>Sales_Per_Rep_Yearly_Goal!$B$3</f>
        <v>689907.8</v>
      </c>
      <c r="M1473">
        <f>Sales_Per_Rep_Yearly_Goal!$C$3</f>
        <v>690000</v>
      </c>
    </row>
    <row r="1474" spans="1:13" x14ac:dyDescent="0.3">
      <c r="A1474" s="3">
        <v>45317</v>
      </c>
      <c r="B1474">
        <f t="shared" si="22"/>
        <v>2024</v>
      </c>
      <c r="C1474">
        <v>1</v>
      </c>
      <c r="D1474" t="s">
        <v>17</v>
      </c>
      <c r="E1474" t="s">
        <v>5</v>
      </c>
      <c r="F1474" s="2">
        <v>6881</v>
      </c>
      <c r="G1474" s="2">
        <f>Monthly_Growth!$C$14</f>
        <v>1007750</v>
      </c>
      <c r="H1474" s="5">
        <f>Monthly_Growth!$D$14</f>
        <v>0.22617461505235045</v>
      </c>
      <c r="I1474" s="15">
        <f>Yearly_Growth!$C$3</f>
        <v>0.11893113731787852</v>
      </c>
      <c r="J1474" s="15">
        <f>Yearly_Growth!$D$3</f>
        <v>0.09</v>
      </c>
      <c r="K1474">
        <f>Sales_Per_Representative!$C$25</f>
        <v>749460</v>
      </c>
      <c r="L1474">
        <f>Sales_Per_Rep_Yearly_Goal!$B$3</f>
        <v>689907.8</v>
      </c>
      <c r="M1474">
        <f>Sales_Per_Rep_Yearly_Goal!$C$3</f>
        <v>690000</v>
      </c>
    </row>
    <row r="1475" spans="1:13" x14ac:dyDescent="0.3">
      <c r="A1475" s="3">
        <v>45317</v>
      </c>
      <c r="B1475">
        <f t="shared" ref="B1475:B1538" si="23">YEAR(A1475)</f>
        <v>2024</v>
      </c>
      <c r="C1475">
        <v>1</v>
      </c>
      <c r="D1475" t="s">
        <v>12</v>
      </c>
      <c r="E1475" t="s">
        <v>5</v>
      </c>
      <c r="F1475" s="2">
        <v>4414</v>
      </c>
      <c r="G1475" s="2">
        <f>Monthly_Growth!$C$14</f>
        <v>1007750</v>
      </c>
      <c r="H1475" s="5">
        <f>Monthly_Growth!$D$14</f>
        <v>0.22617461505235045</v>
      </c>
      <c r="I1475" s="15">
        <f>Yearly_Growth!$C$3</f>
        <v>0.11893113731787852</v>
      </c>
      <c r="J1475" s="15">
        <f>Yearly_Growth!$D$3</f>
        <v>0.09</v>
      </c>
      <c r="K1475">
        <f>Sales_Per_Representative!$C$25</f>
        <v>749460</v>
      </c>
      <c r="L1475">
        <f>Sales_Per_Rep_Yearly_Goal!$B$3</f>
        <v>689907.8</v>
      </c>
      <c r="M1475">
        <f>Sales_Per_Rep_Yearly_Goal!$C$3</f>
        <v>690000</v>
      </c>
    </row>
    <row r="1476" spans="1:13" x14ac:dyDescent="0.3">
      <c r="A1476" s="3">
        <v>45317</v>
      </c>
      <c r="B1476">
        <f t="shared" si="23"/>
        <v>2024</v>
      </c>
      <c r="C1476">
        <v>1</v>
      </c>
      <c r="D1476" t="s">
        <v>12</v>
      </c>
      <c r="E1476" t="s">
        <v>8</v>
      </c>
      <c r="F1476" s="2">
        <v>6083</v>
      </c>
      <c r="G1476" s="2">
        <f>Monthly_Growth!$C$14</f>
        <v>1007750</v>
      </c>
      <c r="H1476" s="5">
        <f>Monthly_Growth!$D$14</f>
        <v>0.22617461505235045</v>
      </c>
      <c r="I1476" s="15">
        <f>Yearly_Growth!$C$3</f>
        <v>0.11893113731787852</v>
      </c>
      <c r="J1476" s="15">
        <f>Yearly_Growth!$D$3</f>
        <v>0.09</v>
      </c>
      <c r="K1476">
        <f>Sales_Per_Representative!$C$30</f>
        <v>780006</v>
      </c>
      <c r="L1476">
        <f>Sales_Per_Rep_Yearly_Goal!$B$3</f>
        <v>689907.8</v>
      </c>
      <c r="M1476">
        <f>Sales_Per_Rep_Yearly_Goal!$C$3</f>
        <v>690000</v>
      </c>
    </row>
    <row r="1477" spans="1:13" x14ac:dyDescent="0.3">
      <c r="A1477" s="3">
        <v>45318</v>
      </c>
      <c r="B1477">
        <f t="shared" si="23"/>
        <v>2024</v>
      </c>
      <c r="C1477">
        <v>1</v>
      </c>
      <c r="D1477" t="s">
        <v>23</v>
      </c>
      <c r="E1477" t="s">
        <v>8</v>
      </c>
      <c r="F1477" s="2">
        <v>5648</v>
      </c>
      <c r="G1477" s="2">
        <f>Monthly_Growth!$C$14</f>
        <v>1007750</v>
      </c>
      <c r="H1477" s="5">
        <f>Monthly_Growth!$D$14</f>
        <v>0.22617461505235045</v>
      </c>
      <c r="I1477" s="15">
        <f>Yearly_Growth!$C$3</f>
        <v>0.11893113731787852</v>
      </c>
      <c r="J1477" s="15">
        <f>Yearly_Growth!$D$3</f>
        <v>0.09</v>
      </c>
      <c r="K1477">
        <f>Sales_Per_Representative!$C$30</f>
        <v>780006</v>
      </c>
      <c r="L1477">
        <f>Sales_Per_Rep_Yearly_Goal!$B$3</f>
        <v>689907.8</v>
      </c>
      <c r="M1477">
        <f>Sales_Per_Rep_Yearly_Goal!$C$3</f>
        <v>690000</v>
      </c>
    </row>
    <row r="1478" spans="1:13" x14ac:dyDescent="0.3">
      <c r="A1478" s="3">
        <v>45318</v>
      </c>
      <c r="B1478">
        <f t="shared" si="23"/>
        <v>2024</v>
      </c>
      <c r="C1478">
        <v>1</v>
      </c>
      <c r="D1478" t="s">
        <v>28</v>
      </c>
      <c r="E1478" t="s">
        <v>26</v>
      </c>
      <c r="F1478" s="2">
        <v>1932</v>
      </c>
      <c r="G1478" s="2">
        <f>Monthly_Growth!$C$14</f>
        <v>1007750</v>
      </c>
      <c r="H1478" s="5">
        <f>Monthly_Growth!$D$14</f>
        <v>0.22617461505235045</v>
      </c>
      <c r="I1478" s="15">
        <f>Yearly_Growth!$C$3</f>
        <v>0.11893113731787852</v>
      </c>
      <c r="J1478" s="15">
        <f>Yearly_Growth!$D$3</f>
        <v>0.09</v>
      </c>
      <c r="K1478">
        <f>Sales_Per_Representative!$C$31</f>
        <v>664244</v>
      </c>
      <c r="L1478">
        <f>Sales_Per_Rep_Yearly_Goal!$B$3</f>
        <v>689907.8</v>
      </c>
      <c r="M1478">
        <f>Sales_Per_Rep_Yearly_Goal!$C$3</f>
        <v>690000</v>
      </c>
    </row>
    <row r="1479" spans="1:13" x14ac:dyDescent="0.3">
      <c r="A1479" s="3">
        <v>45318</v>
      </c>
      <c r="B1479">
        <f t="shared" si="23"/>
        <v>2024</v>
      </c>
      <c r="C1479">
        <v>1</v>
      </c>
      <c r="D1479" t="s">
        <v>17</v>
      </c>
      <c r="E1479" t="s">
        <v>29</v>
      </c>
      <c r="F1479" s="2">
        <v>4466</v>
      </c>
      <c r="G1479" s="2">
        <f>Monthly_Growth!$C$14</f>
        <v>1007750</v>
      </c>
      <c r="H1479" s="5">
        <f>Monthly_Growth!$D$14</f>
        <v>0.22617461505235045</v>
      </c>
      <c r="I1479" s="15">
        <f>Yearly_Growth!$C$3</f>
        <v>0.11893113731787852</v>
      </c>
      <c r="J1479" s="15">
        <f>Yearly_Growth!$D$3</f>
        <v>0.09</v>
      </c>
      <c r="K1479">
        <f>Sales_Per_Representative!$C$28</f>
        <v>691917</v>
      </c>
      <c r="L1479">
        <f>Sales_Per_Rep_Yearly_Goal!$B$3</f>
        <v>689907.8</v>
      </c>
      <c r="M1479">
        <f>Sales_Per_Rep_Yearly_Goal!$C$3</f>
        <v>690000</v>
      </c>
    </row>
    <row r="1480" spans="1:13" x14ac:dyDescent="0.3">
      <c r="A1480" s="3">
        <v>45319</v>
      </c>
      <c r="B1480">
        <f t="shared" si="23"/>
        <v>2024</v>
      </c>
      <c r="C1480">
        <v>1</v>
      </c>
      <c r="D1480" t="s">
        <v>19</v>
      </c>
      <c r="E1480" t="s">
        <v>20</v>
      </c>
      <c r="F1480" s="2">
        <v>8317</v>
      </c>
      <c r="G1480" s="2">
        <f>Monthly_Growth!$C$14</f>
        <v>1007750</v>
      </c>
      <c r="H1480" s="5">
        <f>Monthly_Growth!$D$14</f>
        <v>0.22617461505235045</v>
      </c>
      <c r="I1480" s="15">
        <f>Yearly_Growth!$C$3</f>
        <v>0.11893113731787852</v>
      </c>
      <c r="J1480" s="15">
        <f>Yearly_Growth!$D$3</f>
        <v>0.09</v>
      </c>
      <c r="K1480">
        <f>Sales_Per_Representative!$C$29</f>
        <v>753085</v>
      </c>
      <c r="L1480">
        <f>Sales_Per_Rep_Yearly_Goal!$B$3</f>
        <v>689907.8</v>
      </c>
      <c r="M1480">
        <f>Sales_Per_Rep_Yearly_Goal!$C$3</f>
        <v>690000</v>
      </c>
    </row>
    <row r="1481" spans="1:13" x14ac:dyDescent="0.3">
      <c r="A1481" s="3">
        <v>45319</v>
      </c>
      <c r="B1481">
        <f t="shared" si="23"/>
        <v>2024</v>
      </c>
      <c r="C1481">
        <v>1</v>
      </c>
      <c r="D1481" t="s">
        <v>7</v>
      </c>
      <c r="E1481" t="s">
        <v>29</v>
      </c>
      <c r="F1481" s="2">
        <v>3212</v>
      </c>
      <c r="G1481" s="2">
        <f>Monthly_Growth!$C$14</f>
        <v>1007750</v>
      </c>
      <c r="H1481" s="5">
        <f>Monthly_Growth!$D$14</f>
        <v>0.22617461505235045</v>
      </c>
      <c r="I1481" s="15">
        <f>Yearly_Growth!$C$3</f>
        <v>0.11893113731787852</v>
      </c>
      <c r="J1481" s="15">
        <f>Yearly_Growth!$D$3</f>
        <v>0.09</v>
      </c>
      <c r="K1481">
        <f>Sales_Per_Representative!$C$28</f>
        <v>691917</v>
      </c>
      <c r="L1481">
        <f>Sales_Per_Rep_Yearly_Goal!$B$3</f>
        <v>689907.8</v>
      </c>
      <c r="M1481">
        <f>Sales_Per_Rep_Yearly_Goal!$C$3</f>
        <v>690000</v>
      </c>
    </row>
    <row r="1482" spans="1:13" x14ac:dyDescent="0.3">
      <c r="A1482" s="3">
        <v>45320</v>
      </c>
      <c r="B1482">
        <f t="shared" si="23"/>
        <v>2024</v>
      </c>
      <c r="C1482">
        <v>1</v>
      </c>
      <c r="D1482" t="s">
        <v>14</v>
      </c>
      <c r="E1482" t="s">
        <v>15</v>
      </c>
      <c r="F1482" s="2">
        <v>10664</v>
      </c>
      <c r="G1482" s="2">
        <f>Monthly_Growth!$C$14</f>
        <v>1007750</v>
      </c>
      <c r="H1482" s="5">
        <f>Monthly_Growth!$D$14</f>
        <v>0.22617461505235045</v>
      </c>
      <c r="I1482" s="15">
        <f>Yearly_Growth!$C$3</f>
        <v>0.11893113731787852</v>
      </c>
      <c r="J1482" s="15">
        <f>Yearly_Growth!$D$3</f>
        <v>0.09</v>
      </c>
      <c r="K1482">
        <f>Sales_Per_Representative!$C$27</f>
        <v>617202</v>
      </c>
      <c r="L1482">
        <f>Sales_Per_Rep_Yearly_Goal!$B$3</f>
        <v>689907.8</v>
      </c>
      <c r="M1482">
        <f>Sales_Per_Rep_Yearly_Goal!$C$3</f>
        <v>690000</v>
      </c>
    </row>
    <row r="1483" spans="1:13" x14ac:dyDescent="0.3">
      <c r="A1483" s="3">
        <v>45320</v>
      </c>
      <c r="B1483">
        <f t="shared" si="23"/>
        <v>2024</v>
      </c>
      <c r="C1483">
        <v>1</v>
      </c>
      <c r="D1483" t="s">
        <v>23</v>
      </c>
      <c r="E1483" t="s">
        <v>22</v>
      </c>
      <c r="F1483" s="2">
        <v>12783</v>
      </c>
      <c r="G1483" s="2">
        <f>Monthly_Growth!$C$14</f>
        <v>1007750</v>
      </c>
      <c r="H1483" s="5">
        <f>Monthly_Growth!$D$14</f>
        <v>0.22617461505235045</v>
      </c>
      <c r="I1483" s="15">
        <f>Yearly_Growth!$C$3</f>
        <v>0.11893113731787852</v>
      </c>
      <c r="J1483" s="15">
        <f>Yearly_Growth!$D$3</f>
        <v>0.09</v>
      </c>
      <c r="K1483">
        <f>Sales_Per_Representative!$C$23</f>
        <v>697444</v>
      </c>
      <c r="L1483">
        <f>Sales_Per_Rep_Yearly_Goal!$B$3</f>
        <v>689907.8</v>
      </c>
      <c r="M1483">
        <f>Sales_Per_Rep_Yearly_Goal!$C$3</f>
        <v>690000</v>
      </c>
    </row>
    <row r="1484" spans="1:13" x14ac:dyDescent="0.3">
      <c r="A1484" s="3">
        <v>45320</v>
      </c>
      <c r="B1484">
        <f t="shared" si="23"/>
        <v>2024</v>
      </c>
      <c r="C1484">
        <v>1</v>
      </c>
      <c r="D1484" t="s">
        <v>25</v>
      </c>
      <c r="E1484" t="s">
        <v>29</v>
      </c>
      <c r="F1484" s="2">
        <v>6558</v>
      </c>
      <c r="G1484" s="2">
        <f>Monthly_Growth!$C$14</f>
        <v>1007750</v>
      </c>
      <c r="H1484" s="5">
        <f>Monthly_Growth!$D$14</f>
        <v>0.22617461505235045</v>
      </c>
      <c r="I1484" s="15">
        <f>Yearly_Growth!$C$3</f>
        <v>0.11893113731787852</v>
      </c>
      <c r="J1484" s="15">
        <f>Yearly_Growth!$D$3</f>
        <v>0.09</v>
      </c>
      <c r="K1484">
        <f>Sales_Per_Representative!$C$28</f>
        <v>691917</v>
      </c>
      <c r="L1484">
        <f>Sales_Per_Rep_Yearly_Goal!$B$3</f>
        <v>689907.8</v>
      </c>
      <c r="M1484">
        <f>Sales_Per_Rep_Yearly_Goal!$C$3</f>
        <v>690000</v>
      </c>
    </row>
    <row r="1485" spans="1:13" x14ac:dyDescent="0.3">
      <c r="A1485" s="3">
        <v>45320</v>
      </c>
      <c r="B1485">
        <f t="shared" si="23"/>
        <v>2024</v>
      </c>
      <c r="C1485">
        <v>1</v>
      </c>
      <c r="D1485" t="s">
        <v>7</v>
      </c>
      <c r="E1485" t="s">
        <v>5</v>
      </c>
      <c r="F1485" s="2">
        <v>7410</v>
      </c>
      <c r="G1485" s="2">
        <f>Monthly_Growth!$C$14</f>
        <v>1007750</v>
      </c>
      <c r="H1485" s="5">
        <f>Monthly_Growth!$D$14</f>
        <v>0.22617461505235045</v>
      </c>
      <c r="I1485" s="15">
        <f>Yearly_Growth!$C$3</f>
        <v>0.11893113731787852</v>
      </c>
      <c r="J1485" s="15">
        <f>Yearly_Growth!$D$3</f>
        <v>0.09</v>
      </c>
      <c r="K1485">
        <f>Sales_Per_Representative!$C$25</f>
        <v>749460</v>
      </c>
      <c r="L1485">
        <f>Sales_Per_Rep_Yearly_Goal!$B$3</f>
        <v>689907.8</v>
      </c>
      <c r="M1485">
        <f>Sales_Per_Rep_Yearly_Goal!$C$3</f>
        <v>690000</v>
      </c>
    </row>
    <row r="1486" spans="1:13" x14ac:dyDescent="0.3">
      <c r="A1486" s="3">
        <v>45320</v>
      </c>
      <c r="B1486">
        <f t="shared" si="23"/>
        <v>2024</v>
      </c>
      <c r="C1486">
        <v>1</v>
      </c>
      <c r="D1486" t="s">
        <v>12</v>
      </c>
      <c r="E1486" t="s">
        <v>27</v>
      </c>
      <c r="F1486" s="2">
        <v>13831</v>
      </c>
      <c r="G1486" s="2">
        <f>Monthly_Growth!$C$14</f>
        <v>1007750</v>
      </c>
      <c r="H1486" s="5">
        <f>Monthly_Growth!$D$14</f>
        <v>0.22617461505235045</v>
      </c>
      <c r="I1486" s="15">
        <f>Yearly_Growth!$C$3</f>
        <v>0.11893113731787852</v>
      </c>
      <c r="J1486" s="15">
        <f>Yearly_Growth!$D$3</f>
        <v>0.09</v>
      </c>
      <c r="K1486">
        <f>Sales_Per_Representative!$C$20</f>
        <v>685380</v>
      </c>
      <c r="L1486">
        <f>Sales_Per_Rep_Yearly_Goal!$B$3</f>
        <v>689907.8</v>
      </c>
      <c r="M1486">
        <f>Sales_Per_Rep_Yearly_Goal!$C$3</f>
        <v>690000</v>
      </c>
    </row>
    <row r="1487" spans="1:13" x14ac:dyDescent="0.3">
      <c r="A1487" s="3">
        <v>45321</v>
      </c>
      <c r="B1487">
        <f t="shared" si="23"/>
        <v>2024</v>
      </c>
      <c r="C1487">
        <v>1</v>
      </c>
      <c r="D1487" t="s">
        <v>25</v>
      </c>
      <c r="E1487" t="s">
        <v>24</v>
      </c>
      <c r="F1487" s="2">
        <v>11971</v>
      </c>
      <c r="G1487" s="2">
        <f>Monthly_Growth!$C$14</f>
        <v>1007750</v>
      </c>
      <c r="H1487" s="5">
        <f>Monthly_Growth!$D$14</f>
        <v>0.22617461505235045</v>
      </c>
      <c r="I1487" s="15">
        <f>Yearly_Growth!$C$3</f>
        <v>0.11893113731787852</v>
      </c>
      <c r="J1487" s="15">
        <f>Yearly_Growth!$D$3</f>
        <v>0.09</v>
      </c>
      <c r="K1487">
        <f>Sales_Per_Representative!$C$17</f>
        <v>633956</v>
      </c>
      <c r="L1487">
        <f>Sales_Per_Rep_Yearly_Goal!$B$3</f>
        <v>689907.8</v>
      </c>
      <c r="M1487">
        <f>Sales_Per_Rep_Yearly_Goal!$C$3</f>
        <v>690000</v>
      </c>
    </row>
    <row r="1488" spans="1:13" x14ac:dyDescent="0.3">
      <c r="A1488" s="3">
        <v>45322</v>
      </c>
      <c r="B1488">
        <f t="shared" si="23"/>
        <v>2024</v>
      </c>
      <c r="C1488">
        <v>1</v>
      </c>
      <c r="D1488" t="s">
        <v>14</v>
      </c>
      <c r="E1488" t="s">
        <v>24</v>
      </c>
      <c r="F1488" s="2">
        <v>9373</v>
      </c>
      <c r="G1488" s="2">
        <f>Monthly_Growth!$C$14</f>
        <v>1007750</v>
      </c>
      <c r="H1488" s="5">
        <f>Monthly_Growth!$D$14</f>
        <v>0.22617461505235045</v>
      </c>
      <c r="I1488" s="15">
        <f>Yearly_Growth!$C$3</f>
        <v>0.11893113731787852</v>
      </c>
      <c r="J1488" s="15">
        <f>Yearly_Growth!$D$3</f>
        <v>0.09</v>
      </c>
      <c r="K1488">
        <f>Sales_Per_Representative!$C$17</f>
        <v>633956</v>
      </c>
      <c r="L1488">
        <f>Sales_Per_Rep_Yearly_Goal!$B$3</f>
        <v>689907.8</v>
      </c>
      <c r="M1488">
        <f>Sales_Per_Rep_Yearly_Goal!$C$3</f>
        <v>690000</v>
      </c>
    </row>
    <row r="1489" spans="1:13" x14ac:dyDescent="0.3">
      <c r="A1489" s="3">
        <v>45322</v>
      </c>
      <c r="B1489">
        <f t="shared" si="23"/>
        <v>2024</v>
      </c>
      <c r="C1489">
        <v>1</v>
      </c>
      <c r="D1489" t="s">
        <v>14</v>
      </c>
      <c r="E1489" t="s">
        <v>20</v>
      </c>
      <c r="F1489" s="2">
        <v>13782</v>
      </c>
      <c r="G1489" s="2">
        <f>Monthly_Growth!$C$14</f>
        <v>1007750</v>
      </c>
      <c r="H1489" s="5">
        <f>Monthly_Growth!$D$14</f>
        <v>0.22617461505235045</v>
      </c>
      <c r="I1489" s="15">
        <f>Yearly_Growth!$C$3</f>
        <v>0.11893113731787852</v>
      </c>
      <c r="J1489" s="15">
        <f>Yearly_Growth!$D$3</f>
        <v>0.09</v>
      </c>
      <c r="K1489">
        <f>Sales_Per_Representative!$C$29</f>
        <v>753085</v>
      </c>
      <c r="L1489">
        <f>Sales_Per_Rep_Yearly_Goal!$B$3</f>
        <v>689907.8</v>
      </c>
      <c r="M1489">
        <f>Sales_Per_Rep_Yearly_Goal!$C$3</f>
        <v>690000</v>
      </c>
    </row>
    <row r="1490" spans="1:13" x14ac:dyDescent="0.3">
      <c r="A1490" s="3">
        <v>45322</v>
      </c>
      <c r="B1490">
        <f t="shared" si="23"/>
        <v>2024</v>
      </c>
      <c r="C1490">
        <v>1</v>
      </c>
      <c r="D1490" t="s">
        <v>25</v>
      </c>
      <c r="E1490" t="s">
        <v>31</v>
      </c>
      <c r="F1490" s="2">
        <v>3294</v>
      </c>
      <c r="G1490" s="2">
        <f>Monthly_Growth!$C$14</f>
        <v>1007750</v>
      </c>
      <c r="H1490" s="5">
        <f>Monthly_Growth!$D$14</f>
        <v>0.22617461505235045</v>
      </c>
      <c r="I1490" s="15">
        <f>Yearly_Growth!$C$3</f>
        <v>0.11893113731787852</v>
      </c>
      <c r="J1490" s="15">
        <f>Yearly_Growth!$D$3</f>
        <v>0.09</v>
      </c>
      <c r="K1490">
        <f>Sales_Per_Representative!$C$21</f>
        <v>679421</v>
      </c>
      <c r="L1490">
        <f>Sales_Per_Rep_Yearly_Goal!$B$3</f>
        <v>689907.8</v>
      </c>
      <c r="M1490">
        <f>Sales_Per_Rep_Yearly_Goal!$C$3</f>
        <v>690000</v>
      </c>
    </row>
    <row r="1491" spans="1:13" x14ac:dyDescent="0.3">
      <c r="A1491" s="3">
        <v>45323</v>
      </c>
      <c r="B1491">
        <f t="shared" si="23"/>
        <v>2024</v>
      </c>
      <c r="C1491">
        <v>2</v>
      </c>
      <c r="D1491" t="s">
        <v>19</v>
      </c>
      <c r="E1491" t="s">
        <v>18</v>
      </c>
      <c r="F1491" s="2">
        <v>5975</v>
      </c>
      <c r="G1491" s="2">
        <f>Monthly_Growth!$C$15</f>
        <v>714609</v>
      </c>
      <c r="H1491" s="5">
        <f>Monthly_Growth!$D$15</f>
        <v>-0.29088662862813197</v>
      </c>
      <c r="I1491" s="15">
        <f>Yearly_Growth!$C$3</f>
        <v>0.11893113731787852</v>
      </c>
      <c r="J1491" s="15">
        <f>Yearly_Growth!$D$3</f>
        <v>0.09</v>
      </c>
      <c r="K1491">
        <f>Sales_Per_Representative!$C$24</f>
        <v>699277</v>
      </c>
      <c r="L1491">
        <f>Sales_Per_Rep_Yearly_Goal!$B$3</f>
        <v>689907.8</v>
      </c>
      <c r="M1491">
        <f>Sales_Per_Rep_Yearly_Goal!$C$3</f>
        <v>690000</v>
      </c>
    </row>
    <row r="1492" spans="1:13" x14ac:dyDescent="0.3">
      <c r="A1492" s="3">
        <v>45323</v>
      </c>
      <c r="B1492">
        <f t="shared" si="23"/>
        <v>2024</v>
      </c>
      <c r="C1492">
        <v>2</v>
      </c>
      <c r="D1492" t="s">
        <v>19</v>
      </c>
      <c r="E1492" t="s">
        <v>24</v>
      </c>
      <c r="F1492" s="2">
        <v>9986</v>
      </c>
      <c r="G1492" s="2">
        <f>Monthly_Growth!$C$15</f>
        <v>714609</v>
      </c>
      <c r="H1492" s="5">
        <f>Monthly_Growth!$D$15</f>
        <v>-0.29088662862813197</v>
      </c>
      <c r="I1492" s="15">
        <f>Yearly_Growth!$C$3</f>
        <v>0.11893113731787852</v>
      </c>
      <c r="J1492" s="15">
        <f>Yearly_Growth!$D$3</f>
        <v>0.09</v>
      </c>
      <c r="K1492">
        <f>Sales_Per_Representative!$C$17</f>
        <v>633956</v>
      </c>
      <c r="L1492">
        <f>Sales_Per_Rep_Yearly_Goal!$B$3</f>
        <v>689907.8</v>
      </c>
      <c r="M1492">
        <f>Sales_Per_Rep_Yearly_Goal!$C$3</f>
        <v>690000</v>
      </c>
    </row>
    <row r="1493" spans="1:13" x14ac:dyDescent="0.3">
      <c r="A1493" s="3">
        <v>45323</v>
      </c>
      <c r="B1493">
        <f t="shared" si="23"/>
        <v>2024</v>
      </c>
      <c r="C1493">
        <v>2</v>
      </c>
      <c r="D1493" t="s">
        <v>25</v>
      </c>
      <c r="E1493" t="s">
        <v>8</v>
      </c>
      <c r="F1493" s="2">
        <v>10455</v>
      </c>
      <c r="G1493" s="2">
        <f>Monthly_Growth!$C$15</f>
        <v>714609</v>
      </c>
      <c r="H1493" s="5">
        <f>Monthly_Growth!$D$15</f>
        <v>-0.29088662862813197</v>
      </c>
      <c r="I1493" s="15">
        <f>Yearly_Growth!$C$3</f>
        <v>0.11893113731787852</v>
      </c>
      <c r="J1493" s="15">
        <f>Yearly_Growth!$D$3</f>
        <v>0.09</v>
      </c>
      <c r="K1493">
        <f>Sales_Per_Representative!$C$30</f>
        <v>780006</v>
      </c>
      <c r="L1493">
        <f>Sales_Per_Rep_Yearly_Goal!$B$3</f>
        <v>689907.8</v>
      </c>
      <c r="M1493">
        <f>Sales_Per_Rep_Yearly_Goal!$C$3</f>
        <v>690000</v>
      </c>
    </row>
    <row r="1494" spans="1:13" x14ac:dyDescent="0.3">
      <c r="A1494" s="3">
        <v>45323</v>
      </c>
      <c r="B1494">
        <f t="shared" si="23"/>
        <v>2024</v>
      </c>
      <c r="C1494">
        <v>2</v>
      </c>
      <c r="D1494" t="s">
        <v>28</v>
      </c>
      <c r="E1494" t="s">
        <v>24</v>
      </c>
      <c r="F1494" s="2">
        <v>6110</v>
      </c>
      <c r="G1494" s="2">
        <f>Monthly_Growth!$C$15</f>
        <v>714609</v>
      </c>
      <c r="H1494" s="5">
        <f>Monthly_Growth!$D$15</f>
        <v>-0.29088662862813197</v>
      </c>
      <c r="I1494" s="15">
        <f>Yearly_Growth!$C$3</f>
        <v>0.11893113731787852</v>
      </c>
      <c r="J1494" s="15">
        <f>Yearly_Growth!$D$3</f>
        <v>0.09</v>
      </c>
      <c r="K1494">
        <f>Sales_Per_Representative!$C$17</f>
        <v>633956</v>
      </c>
      <c r="L1494">
        <f>Sales_Per_Rep_Yearly_Goal!$B$3</f>
        <v>689907.8</v>
      </c>
      <c r="M1494">
        <f>Sales_Per_Rep_Yearly_Goal!$C$3</f>
        <v>690000</v>
      </c>
    </row>
    <row r="1495" spans="1:13" x14ac:dyDescent="0.3">
      <c r="A1495" s="3">
        <v>45323</v>
      </c>
      <c r="B1495">
        <f t="shared" si="23"/>
        <v>2024</v>
      </c>
      <c r="C1495">
        <v>2</v>
      </c>
      <c r="D1495" t="s">
        <v>12</v>
      </c>
      <c r="E1495" t="s">
        <v>27</v>
      </c>
      <c r="F1495" s="2">
        <v>12934</v>
      </c>
      <c r="G1495" s="2">
        <f>Monthly_Growth!$C$15</f>
        <v>714609</v>
      </c>
      <c r="H1495" s="5">
        <f>Monthly_Growth!$D$15</f>
        <v>-0.29088662862813197</v>
      </c>
      <c r="I1495" s="15">
        <f>Yearly_Growth!$C$3</f>
        <v>0.11893113731787852</v>
      </c>
      <c r="J1495" s="15">
        <f>Yearly_Growth!$D$3</f>
        <v>0.09</v>
      </c>
      <c r="K1495">
        <f>Sales_Per_Representative!$C$20</f>
        <v>685380</v>
      </c>
      <c r="L1495">
        <f>Sales_Per_Rep_Yearly_Goal!$B$3</f>
        <v>689907.8</v>
      </c>
      <c r="M1495">
        <f>Sales_Per_Rep_Yearly_Goal!$C$3</f>
        <v>690000</v>
      </c>
    </row>
    <row r="1496" spans="1:13" x14ac:dyDescent="0.3">
      <c r="A1496" s="3">
        <v>45324</v>
      </c>
      <c r="B1496">
        <f t="shared" si="23"/>
        <v>2024</v>
      </c>
      <c r="C1496">
        <v>2</v>
      </c>
      <c r="D1496" t="s">
        <v>19</v>
      </c>
      <c r="E1496" t="s">
        <v>24</v>
      </c>
      <c r="F1496" s="2">
        <v>2728</v>
      </c>
      <c r="G1496" s="2">
        <f>Monthly_Growth!$C$15</f>
        <v>714609</v>
      </c>
      <c r="H1496" s="5">
        <f>Monthly_Growth!$D$15</f>
        <v>-0.29088662862813197</v>
      </c>
      <c r="I1496" s="15">
        <f>Yearly_Growth!$C$3</f>
        <v>0.11893113731787852</v>
      </c>
      <c r="J1496" s="15">
        <f>Yearly_Growth!$D$3</f>
        <v>0.09</v>
      </c>
      <c r="K1496">
        <f>Sales_Per_Representative!$C$17</f>
        <v>633956</v>
      </c>
      <c r="L1496">
        <f>Sales_Per_Rep_Yearly_Goal!$B$3</f>
        <v>689907.8</v>
      </c>
      <c r="M1496">
        <f>Sales_Per_Rep_Yearly_Goal!$C$3</f>
        <v>690000</v>
      </c>
    </row>
    <row r="1497" spans="1:13" x14ac:dyDescent="0.3">
      <c r="A1497" s="3">
        <v>45325</v>
      </c>
      <c r="B1497">
        <f t="shared" si="23"/>
        <v>2024</v>
      </c>
      <c r="C1497">
        <v>2</v>
      </c>
      <c r="D1497" t="s">
        <v>25</v>
      </c>
      <c r="E1497" t="s">
        <v>32</v>
      </c>
      <c r="F1497" s="2">
        <v>9183</v>
      </c>
      <c r="G1497" s="2">
        <f>Monthly_Growth!$C$15</f>
        <v>714609</v>
      </c>
      <c r="H1497" s="5">
        <f>Monthly_Growth!$D$15</f>
        <v>-0.29088662862813197</v>
      </c>
      <c r="I1497" s="15">
        <f>Yearly_Growth!$C$3</f>
        <v>0.11893113731787852</v>
      </c>
      <c r="J1497" s="15">
        <f>Yearly_Growth!$D$3</f>
        <v>0.09</v>
      </c>
      <c r="K1497">
        <f>Sales_Per_Representative!$C$18</f>
        <v>783907</v>
      </c>
      <c r="L1497">
        <f>Sales_Per_Rep_Yearly_Goal!$B$3</f>
        <v>689907.8</v>
      </c>
      <c r="M1497">
        <f>Sales_Per_Rep_Yearly_Goal!$C$3</f>
        <v>690000</v>
      </c>
    </row>
    <row r="1498" spans="1:13" x14ac:dyDescent="0.3">
      <c r="A1498" s="3">
        <v>45325</v>
      </c>
      <c r="B1498">
        <f t="shared" si="23"/>
        <v>2024</v>
      </c>
      <c r="C1498">
        <v>2</v>
      </c>
      <c r="D1498" t="s">
        <v>28</v>
      </c>
      <c r="E1498" t="s">
        <v>27</v>
      </c>
      <c r="F1498" s="2">
        <v>3327</v>
      </c>
      <c r="G1498" s="2">
        <f>Monthly_Growth!$C$15</f>
        <v>714609</v>
      </c>
      <c r="H1498" s="5">
        <f>Monthly_Growth!$D$15</f>
        <v>-0.29088662862813197</v>
      </c>
      <c r="I1498" s="15">
        <f>Yearly_Growth!$C$3</f>
        <v>0.11893113731787852</v>
      </c>
      <c r="J1498" s="15">
        <f>Yearly_Growth!$D$3</f>
        <v>0.09</v>
      </c>
      <c r="K1498">
        <f>Sales_Per_Representative!$C$20</f>
        <v>685380</v>
      </c>
      <c r="L1498">
        <f>Sales_Per_Rep_Yearly_Goal!$B$3</f>
        <v>689907.8</v>
      </c>
      <c r="M1498">
        <f>Sales_Per_Rep_Yearly_Goal!$C$3</f>
        <v>690000</v>
      </c>
    </row>
    <row r="1499" spans="1:13" x14ac:dyDescent="0.3">
      <c r="A1499" s="3">
        <v>45325</v>
      </c>
      <c r="B1499">
        <f t="shared" si="23"/>
        <v>2024</v>
      </c>
      <c r="C1499">
        <v>2</v>
      </c>
      <c r="D1499" t="s">
        <v>28</v>
      </c>
      <c r="E1499" t="s">
        <v>26</v>
      </c>
      <c r="F1499" s="2">
        <v>12096</v>
      </c>
      <c r="G1499" s="2">
        <f>Monthly_Growth!$C$15</f>
        <v>714609</v>
      </c>
      <c r="H1499" s="5">
        <f>Monthly_Growth!$D$15</f>
        <v>-0.29088662862813197</v>
      </c>
      <c r="I1499" s="15">
        <f>Yearly_Growth!$C$3</f>
        <v>0.11893113731787852</v>
      </c>
      <c r="J1499" s="15">
        <f>Yearly_Growth!$D$3</f>
        <v>0.09</v>
      </c>
      <c r="K1499">
        <f>Sales_Per_Representative!$C$31</f>
        <v>664244</v>
      </c>
      <c r="L1499">
        <f>Sales_Per_Rep_Yearly_Goal!$B$3</f>
        <v>689907.8</v>
      </c>
      <c r="M1499">
        <f>Sales_Per_Rep_Yearly_Goal!$C$3</f>
        <v>690000</v>
      </c>
    </row>
    <row r="1500" spans="1:13" x14ac:dyDescent="0.3">
      <c r="A1500" s="3">
        <v>45326</v>
      </c>
      <c r="B1500">
        <f t="shared" si="23"/>
        <v>2024</v>
      </c>
      <c r="C1500">
        <v>2</v>
      </c>
      <c r="D1500" t="s">
        <v>14</v>
      </c>
      <c r="E1500" t="s">
        <v>30</v>
      </c>
      <c r="F1500" s="2">
        <v>8289</v>
      </c>
      <c r="G1500" s="2">
        <f>Monthly_Growth!$C$15</f>
        <v>714609</v>
      </c>
      <c r="H1500" s="5">
        <f>Monthly_Growth!$D$15</f>
        <v>-0.29088662862813197</v>
      </c>
      <c r="I1500" s="15">
        <f>Yearly_Growth!$C$3</f>
        <v>0.11893113731787852</v>
      </c>
      <c r="J1500" s="15">
        <f>Yearly_Growth!$D$3</f>
        <v>0.09</v>
      </c>
      <c r="K1500">
        <f>Sales_Per_Representative!$C$22</f>
        <v>700142</v>
      </c>
      <c r="L1500">
        <f>Sales_Per_Rep_Yearly_Goal!$B$3</f>
        <v>689907.8</v>
      </c>
      <c r="M1500">
        <f>Sales_Per_Rep_Yearly_Goal!$C$3</f>
        <v>690000</v>
      </c>
    </row>
    <row r="1501" spans="1:13" x14ac:dyDescent="0.3">
      <c r="A1501" s="3">
        <v>45326</v>
      </c>
      <c r="B1501">
        <f t="shared" si="23"/>
        <v>2024</v>
      </c>
      <c r="C1501">
        <v>2</v>
      </c>
      <c r="D1501" t="s">
        <v>23</v>
      </c>
      <c r="E1501" t="s">
        <v>24</v>
      </c>
      <c r="F1501" s="2">
        <v>12579</v>
      </c>
      <c r="G1501" s="2">
        <f>Monthly_Growth!$C$15</f>
        <v>714609</v>
      </c>
      <c r="H1501" s="5">
        <f>Monthly_Growth!$D$15</f>
        <v>-0.29088662862813197</v>
      </c>
      <c r="I1501" s="15">
        <f>Yearly_Growth!$C$3</f>
        <v>0.11893113731787852</v>
      </c>
      <c r="J1501" s="15">
        <f>Yearly_Growth!$D$3</f>
        <v>0.09</v>
      </c>
      <c r="K1501">
        <f>Sales_Per_Representative!$C$17</f>
        <v>633956</v>
      </c>
      <c r="L1501">
        <f>Sales_Per_Rep_Yearly_Goal!$B$3</f>
        <v>689907.8</v>
      </c>
      <c r="M1501">
        <f>Sales_Per_Rep_Yearly_Goal!$C$3</f>
        <v>690000</v>
      </c>
    </row>
    <row r="1502" spans="1:13" x14ac:dyDescent="0.3">
      <c r="A1502" s="3">
        <v>45326</v>
      </c>
      <c r="B1502">
        <f t="shared" si="23"/>
        <v>2024</v>
      </c>
      <c r="C1502">
        <v>2</v>
      </c>
      <c r="D1502" t="s">
        <v>25</v>
      </c>
      <c r="E1502" t="s">
        <v>32</v>
      </c>
      <c r="F1502" s="2">
        <v>3926</v>
      </c>
      <c r="G1502" s="2">
        <f>Monthly_Growth!$C$15</f>
        <v>714609</v>
      </c>
      <c r="H1502" s="5">
        <f>Monthly_Growth!$D$15</f>
        <v>-0.29088662862813197</v>
      </c>
      <c r="I1502" s="15">
        <f>Yearly_Growth!$C$3</f>
        <v>0.11893113731787852</v>
      </c>
      <c r="J1502" s="15">
        <f>Yearly_Growth!$D$3</f>
        <v>0.09</v>
      </c>
      <c r="K1502">
        <f>Sales_Per_Representative!$C$18</f>
        <v>783907</v>
      </c>
      <c r="L1502">
        <f>Sales_Per_Rep_Yearly_Goal!$B$3</f>
        <v>689907.8</v>
      </c>
      <c r="M1502">
        <f>Sales_Per_Rep_Yearly_Goal!$C$3</f>
        <v>690000</v>
      </c>
    </row>
    <row r="1503" spans="1:13" x14ac:dyDescent="0.3">
      <c r="A1503" s="3">
        <v>45326</v>
      </c>
      <c r="B1503">
        <f t="shared" si="23"/>
        <v>2024</v>
      </c>
      <c r="C1503">
        <v>2</v>
      </c>
      <c r="D1503" t="s">
        <v>7</v>
      </c>
      <c r="E1503" t="s">
        <v>10</v>
      </c>
      <c r="F1503" s="2">
        <v>5313</v>
      </c>
      <c r="G1503" s="2">
        <f>Monthly_Growth!$C$15</f>
        <v>714609</v>
      </c>
      <c r="H1503" s="5">
        <f>Monthly_Growth!$D$15</f>
        <v>-0.29088662862813197</v>
      </c>
      <c r="I1503" s="15">
        <f>Yearly_Growth!$C$3</f>
        <v>0.11893113731787852</v>
      </c>
      <c r="J1503" s="15">
        <f>Yearly_Growth!$D$3</f>
        <v>0.09</v>
      </c>
      <c r="K1503">
        <f>Sales_Per_Representative!$C$19</f>
        <v>711816</v>
      </c>
      <c r="L1503">
        <f>Sales_Per_Rep_Yearly_Goal!$B$3</f>
        <v>689907.8</v>
      </c>
      <c r="M1503">
        <f>Sales_Per_Rep_Yearly_Goal!$C$3</f>
        <v>690000</v>
      </c>
    </row>
    <row r="1504" spans="1:13" x14ac:dyDescent="0.3">
      <c r="A1504" s="3">
        <v>45327</v>
      </c>
      <c r="B1504">
        <f t="shared" si="23"/>
        <v>2024</v>
      </c>
      <c r="C1504">
        <v>2</v>
      </c>
      <c r="D1504" t="s">
        <v>28</v>
      </c>
      <c r="E1504" t="s">
        <v>10</v>
      </c>
      <c r="F1504" s="2">
        <v>1587</v>
      </c>
      <c r="G1504" s="2">
        <f>Monthly_Growth!$C$15</f>
        <v>714609</v>
      </c>
      <c r="H1504" s="5">
        <f>Monthly_Growth!$D$15</f>
        <v>-0.29088662862813197</v>
      </c>
      <c r="I1504" s="15">
        <f>Yearly_Growth!$C$3</f>
        <v>0.11893113731787852</v>
      </c>
      <c r="J1504" s="15">
        <f>Yearly_Growth!$D$3</f>
        <v>0.09</v>
      </c>
      <c r="K1504">
        <f>Sales_Per_Representative!$C$19</f>
        <v>711816</v>
      </c>
      <c r="L1504">
        <f>Sales_Per_Rep_Yearly_Goal!$B$3</f>
        <v>689907.8</v>
      </c>
      <c r="M1504">
        <f>Sales_Per_Rep_Yearly_Goal!$C$3</f>
        <v>690000</v>
      </c>
    </row>
    <row r="1505" spans="1:13" x14ac:dyDescent="0.3">
      <c r="A1505" s="3">
        <v>45327</v>
      </c>
      <c r="B1505">
        <f t="shared" si="23"/>
        <v>2024</v>
      </c>
      <c r="C1505">
        <v>2</v>
      </c>
      <c r="D1505" t="s">
        <v>28</v>
      </c>
      <c r="E1505" t="s">
        <v>22</v>
      </c>
      <c r="F1505" s="2">
        <v>12056</v>
      </c>
      <c r="G1505" s="2">
        <f>Monthly_Growth!$C$15</f>
        <v>714609</v>
      </c>
      <c r="H1505" s="5">
        <f>Monthly_Growth!$D$15</f>
        <v>-0.29088662862813197</v>
      </c>
      <c r="I1505" s="15">
        <f>Yearly_Growth!$C$3</f>
        <v>0.11893113731787852</v>
      </c>
      <c r="J1505" s="15">
        <f>Yearly_Growth!$D$3</f>
        <v>0.09</v>
      </c>
      <c r="K1505">
        <f>Sales_Per_Representative!$C$23</f>
        <v>697444</v>
      </c>
      <c r="L1505">
        <f>Sales_Per_Rep_Yearly_Goal!$B$3</f>
        <v>689907.8</v>
      </c>
      <c r="M1505">
        <f>Sales_Per_Rep_Yearly_Goal!$C$3</f>
        <v>690000</v>
      </c>
    </row>
    <row r="1506" spans="1:13" x14ac:dyDescent="0.3">
      <c r="A1506" s="3">
        <v>45327</v>
      </c>
      <c r="B1506">
        <f t="shared" si="23"/>
        <v>2024</v>
      </c>
      <c r="C1506">
        <v>2</v>
      </c>
      <c r="D1506" t="s">
        <v>28</v>
      </c>
      <c r="E1506" t="s">
        <v>5</v>
      </c>
      <c r="F1506" s="2">
        <v>11892</v>
      </c>
      <c r="G1506" s="2">
        <f>Monthly_Growth!$C$15</f>
        <v>714609</v>
      </c>
      <c r="H1506" s="5">
        <f>Monthly_Growth!$D$15</f>
        <v>-0.29088662862813197</v>
      </c>
      <c r="I1506" s="15">
        <f>Yearly_Growth!$C$3</f>
        <v>0.11893113731787852</v>
      </c>
      <c r="J1506" s="15">
        <f>Yearly_Growth!$D$3</f>
        <v>0.09</v>
      </c>
      <c r="K1506">
        <f>Sales_Per_Representative!$C$25</f>
        <v>749460</v>
      </c>
      <c r="L1506">
        <f>Sales_Per_Rep_Yearly_Goal!$B$3</f>
        <v>689907.8</v>
      </c>
      <c r="M1506">
        <f>Sales_Per_Rep_Yearly_Goal!$C$3</f>
        <v>690000</v>
      </c>
    </row>
    <row r="1507" spans="1:13" x14ac:dyDescent="0.3">
      <c r="A1507" s="3">
        <v>45327</v>
      </c>
      <c r="B1507">
        <f t="shared" si="23"/>
        <v>2024</v>
      </c>
      <c r="C1507">
        <v>2</v>
      </c>
      <c r="D1507" t="s">
        <v>17</v>
      </c>
      <c r="E1507" t="s">
        <v>27</v>
      </c>
      <c r="F1507" s="2">
        <v>10203</v>
      </c>
      <c r="G1507" s="2">
        <f>Monthly_Growth!$C$15</f>
        <v>714609</v>
      </c>
      <c r="H1507" s="5">
        <f>Monthly_Growth!$D$15</f>
        <v>-0.29088662862813197</v>
      </c>
      <c r="I1507" s="15">
        <f>Yearly_Growth!$C$3</f>
        <v>0.11893113731787852</v>
      </c>
      <c r="J1507" s="15">
        <f>Yearly_Growth!$D$3</f>
        <v>0.09</v>
      </c>
      <c r="K1507">
        <f>Sales_Per_Representative!$C$20</f>
        <v>685380</v>
      </c>
      <c r="L1507">
        <f>Sales_Per_Rep_Yearly_Goal!$B$3</f>
        <v>689907.8</v>
      </c>
      <c r="M1507">
        <f>Sales_Per_Rep_Yearly_Goal!$C$3</f>
        <v>690000</v>
      </c>
    </row>
    <row r="1508" spans="1:13" x14ac:dyDescent="0.3">
      <c r="A1508" s="3">
        <v>45328</v>
      </c>
      <c r="B1508">
        <f t="shared" si="23"/>
        <v>2024</v>
      </c>
      <c r="C1508">
        <v>2</v>
      </c>
      <c r="D1508" t="s">
        <v>25</v>
      </c>
      <c r="E1508" t="s">
        <v>24</v>
      </c>
      <c r="F1508" s="2">
        <v>2147</v>
      </c>
      <c r="G1508" s="2">
        <f>Monthly_Growth!$C$15</f>
        <v>714609</v>
      </c>
      <c r="H1508" s="5">
        <f>Monthly_Growth!$D$15</f>
        <v>-0.29088662862813197</v>
      </c>
      <c r="I1508" s="15">
        <f>Yearly_Growth!$C$3</f>
        <v>0.11893113731787852</v>
      </c>
      <c r="J1508" s="15">
        <f>Yearly_Growth!$D$3</f>
        <v>0.09</v>
      </c>
      <c r="K1508">
        <f>Sales_Per_Representative!$C$17</f>
        <v>633956</v>
      </c>
      <c r="L1508">
        <f>Sales_Per_Rep_Yearly_Goal!$B$3</f>
        <v>689907.8</v>
      </c>
      <c r="M1508">
        <f>Sales_Per_Rep_Yearly_Goal!$C$3</f>
        <v>690000</v>
      </c>
    </row>
    <row r="1509" spans="1:13" x14ac:dyDescent="0.3">
      <c r="A1509" s="3">
        <v>45328</v>
      </c>
      <c r="B1509">
        <f t="shared" si="23"/>
        <v>2024</v>
      </c>
      <c r="C1509">
        <v>2</v>
      </c>
      <c r="D1509" t="s">
        <v>25</v>
      </c>
      <c r="E1509" t="s">
        <v>27</v>
      </c>
      <c r="F1509" s="2">
        <v>6607</v>
      </c>
      <c r="G1509" s="2">
        <f>Monthly_Growth!$C$15</f>
        <v>714609</v>
      </c>
      <c r="H1509" s="5">
        <f>Monthly_Growth!$D$15</f>
        <v>-0.29088662862813197</v>
      </c>
      <c r="I1509" s="15">
        <f>Yearly_Growth!$C$3</f>
        <v>0.11893113731787852</v>
      </c>
      <c r="J1509" s="15">
        <f>Yearly_Growth!$D$3</f>
        <v>0.09</v>
      </c>
      <c r="K1509">
        <f>Sales_Per_Representative!$C$20</f>
        <v>685380</v>
      </c>
      <c r="L1509">
        <f>Sales_Per_Rep_Yearly_Goal!$B$3</f>
        <v>689907.8</v>
      </c>
      <c r="M1509">
        <f>Sales_Per_Rep_Yearly_Goal!$C$3</f>
        <v>690000</v>
      </c>
    </row>
    <row r="1510" spans="1:13" x14ac:dyDescent="0.3">
      <c r="A1510" s="3">
        <v>45328</v>
      </c>
      <c r="B1510">
        <f t="shared" si="23"/>
        <v>2024</v>
      </c>
      <c r="C1510">
        <v>2</v>
      </c>
      <c r="D1510" t="s">
        <v>7</v>
      </c>
      <c r="E1510" t="s">
        <v>5</v>
      </c>
      <c r="F1510" s="2">
        <v>7221</v>
      </c>
      <c r="G1510" s="2">
        <f>Monthly_Growth!$C$15</f>
        <v>714609</v>
      </c>
      <c r="H1510" s="5">
        <f>Monthly_Growth!$D$15</f>
        <v>-0.29088662862813197</v>
      </c>
      <c r="I1510" s="15">
        <f>Yearly_Growth!$C$3</f>
        <v>0.11893113731787852</v>
      </c>
      <c r="J1510" s="15">
        <f>Yearly_Growth!$D$3</f>
        <v>0.09</v>
      </c>
      <c r="K1510">
        <f>Sales_Per_Representative!$C$25</f>
        <v>749460</v>
      </c>
      <c r="L1510">
        <f>Sales_Per_Rep_Yearly_Goal!$B$3</f>
        <v>689907.8</v>
      </c>
      <c r="M1510">
        <f>Sales_Per_Rep_Yearly_Goal!$C$3</f>
        <v>690000</v>
      </c>
    </row>
    <row r="1511" spans="1:13" x14ac:dyDescent="0.3">
      <c r="A1511" s="3">
        <v>45328</v>
      </c>
      <c r="B1511">
        <f t="shared" si="23"/>
        <v>2024</v>
      </c>
      <c r="C1511">
        <v>2</v>
      </c>
      <c r="D1511" t="s">
        <v>7</v>
      </c>
      <c r="E1511" t="s">
        <v>24</v>
      </c>
      <c r="F1511" s="2">
        <v>11411</v>
      </c>
      <c r="G1511" s="2">
        <f>Monthly_Growth!$C$15</f>
        <v>714609</v>
      </c>
      <c r="H1511" s="5">
        <f>Monthly_Growth!$D$15</f>
        <v>-0.29088662862813197</v>
      </c>
      <c r="I1511" s="15">
        <f>Yearly_Growth!$C$3</f>
        <v>0.11893113731787852</v>
      </c>
      <c r="J1511" s="15">
        <f>Yearly_Growth!$D$3</f>
        <v>0.09</v>
      </c>
      <c r="K1511">
        <f>Sales_Per_Representative!$C$17</f>
        <v>633956</v>
      </c>
      <c r="L1511">
        <f>Sales_Per_Rep_Yearly_Goal!$B$3</f>
        <v>689907.8</v>
      </c>
      <c r="M1511">
        <f>Sales_Per_Rep_Yearly_Goal!$C$3</f>
        <v>690000</v>
      </c>
    </row>
    <row r="1512" spans="1:13" x14ac:dyDescent="0.3">
      <c r="A1512" s="3">
        <v>45328</v>
      </c>
      <c r="B1512">
        <f t="shared" si="23"/>
        <v>2024</v>
      </c>
      <c r="C1512">
        <v>2</v>
      </c>
      <c r="D1512" t="s">
        <v>28</v>
      </c>
      <c r="E1512" t="s">
        <v>20</v>
      </c>
      <c r="F1512" s="2">
        <v>3169</v>
      </c>
      <c r="G1512" s="2">
        <f>Monthly_Growth!$C$15</f>
        <v>714609</v>
      </c>
      <c r="H1512" s="5">
        <f>Monthly_Growth!$D$15</f>
        <v>-0.29088662862813197</v>
      </c>
      <c r="I1512" s="15">
        <f>Yearly_Growth!$C$3</f>
        <v>0.11893113731787852</v>
      </c>
      <c r="J1512" s="15">
        <f>Yearly_Growth!$D$3</f>
        <v>0.09</v>
      </c>
      <c r="K1512">
        <f>Sales_Per_Representative!$C$29</f>
        <v>753085</v>
      </c>
      <c r="L1512">
        <f>Sales_Per_Rep_Yearly_Goal!$B$3</f>
        <v>689907.8</v>
      </c>
      <c r="M1512">
        <f>Sales_Per_Rep_Yearly_Goal!$C$3</f>
        <v>690000</v>
      </c>
    </row>
    <row r="1513" spans="1:13" x14ac:dyDescent="0.3">
      <c r="A1513" s="3">
        <v>45328</v>
      </c>
      <c r="B1513">
        <f t="shared" si="23"/>
        <v>2024</v>
      </c>
      <c r="C1513">
        <v>2</v>
      </c>
      <c r="D1513" t="s">
        <v>17</v>
      </c>
      <c r="E1513" t="s">
        <v>10</v>
      </c>
      <c r="F1513" s="2">
        <v>2877</v>
      </c>
      <c r="G1513" s="2">
        <f>Monthly_Growth!$C$15</f>
        <v>714609</v>
      </c>
      <c r="H1513" s="5">
        <f>Monthly_Growth!$D$15</f>
        <v>-0.29088662862813197</v>
      </c>
      <c r="I1513" s="15">
        <f>Yearly_Growth!$C$3</f>
        <v>0.11893113731787852</v>
      </c>
      <c r="J1513" s="15">
        <f>Yearly_Growth!$D$3</f>
        <v>0.09</v>
      </c>
      <c r="K1513">
        <f>Sales_Per_Representative!$C$19</f>
        <v>711816</v>
      </c>
      <c r="L1513">
        <f>Sales_Per_Rep_Yearly_Goal!$B$3</f>
        <v>689907.8</v>
      </c>
      <c r="M1513">
        <f>Sales_Per_Rep_Yearly_Goal!$C$3</f>
        <v>690000</v>
      </c>
    </row>
    <row r="1514" spans="1:13" x14ac:dyDescent="0.3">
      <c r="A1514" s="3">
        <v>45329</v>
      </c>
      <c r="B1514">
        <f t="shared" si="23"/>
        <v>2024</v>
      </c>
      <c r="C1514">
        <v>2</v>
      </c>
      <c r="D1514" t="s">
        <v>14</v>
      </c>
      <c r="E1514" t="s">
        <v>15</v>
      </c>
      <c r="F1514" s="2">
        <v>7885</v>
      </c>
      <c r="G1514" s="2">
        <f>Monthly_Growth!$C$15</f>
        <v>714609</v>
      </c>
      <c r="H1514" s="5">
        <f>Monthly_Growth!$D$15</f>
        <v>-0.29088662862813197</v>
      </c>
      <c r="I1514" s="15">
        <f>Yearly_Growth!$C$3</f>
        <v>0.11893113731787852</v>
      </c>
      <c r="J1514" s="15">
        <f>Yearly_Growth!$D$3</f>
        <v>0.09</v>
      </c>
      <c r="K1514">
        <f>Sales_Per_Representative!$C$27</f>
        <v>617202</v>
      </c>
      <c r="L1514">
        <f>Sales_Per_Rep_Yearly_Goal!$B$3</f>
        <v>689907.8</v>
      </c>
      <c r="M1514">
        <f>Sales_Per_Rep_Yearly_Goal!$C$3</f>
        <v>690000</v>
      </c>
    </row>
    <row r="1515" spans="1:13" x14ac:dyDescent="0.3">
      <c r="A1515" s="3">
        <v>45329</v>
      </c>
      <c r="B1515">
        <f t="shared" si="23"/>
        <v>2024</v>
      </c>
      <c r="C1515">
        <v>2</v>
      </c>
      <c r="D1515" t="s">
        <v>7</v>
      </c>
      <c r="E1515" t="s">
        <v>10</v>
      </c>
      <c r="F1515" s="2">
        <v>5604</v>
      </c>
      <c r="G1515" s="2">
        <f>Monthly_Growth!$C$15</f>
        <v>714609</v>
      </c>
      <c r="H1515" s="5">
        <f>Monthly_Growth!$D$15</f>
        <v>-0.29088662862813197</v>
      </c>
      <c r="I1515" s="15">
        <f>Yearly_Growth!$C$3</f>
        <v>0.11893113731787852</v>
      </c>
      <c r="J1515" s="15">
        <f>Yearly_Growth!$D$3</f>
        <v>0.09</v>
      </c>
      <c r="K1515">
        <f>Sales_Per_Representative!$C$19</f>
        <v>711816</v>
      </c>
      <c r="L1515">
        <f>Sales_Per_Rep_Yearly_Goal!$B$3</f>
        <v>689907.8</v>
      </c>
      <c r="M1515">
        <f>Sales_Per_Rep_Yearly_Goal!$C$3</f>
        <v>690000</v>
      </c>
    </row>
    <row r="1516" spans="1:13" x14ac:dyDescent="0.3">
      <c r="A1516" s="3">
        <v>45329</v>
      </c>
      <c r="B1516">
        <f t="shared" si="23"/>
        <v>2024</v>
      </c>
      <c r="C1516">
        <v>2</v>
      </c>
      <c r="D1516" t="s">
        <v>28</v>
      </c>
      <c r="E1516" t="s">
        <v>29</v>
      </c>
      <c r="F1516" s="2">
        <v>2682</v>
      </c>
      <c r="G1516" s="2">
        <f>Monthly_Growth!$C$15</f>
        <v>714609</v>
      </c>
      <c r="H1516" s="5">
        <f>Monthly_Growth!$D$15</f>
        <v>-0.29088662862813197</v>
      </c>
      <c r="I1516" s="15">
        <f>Yearly_Growth!$C$3</f>
        <v>0.11893113731787852</v>
      </c>
      <c r="J1516" s="15">
        <f>Yearly_Growth!$D$3</f>
        <v>0.09</v>
      </c>
      <c r="K1516">
        <f>Sales_Per_Representative!$C$28</f>
        <v>691917</v>
      </c>
      <c r="L1516">
        <f>Sales_Per_Rep_Yearly_Goal!$B$3</f>
        <v>689907.8</v>
      </c>
      <c r="M1516">
        <f>Sales_Per_Rep_Yearly_Goal!$C$3</f>
        <v>690000</v>
      </c>
    </row>
    <row r="1517" spans="1:13" x14ac:dyDescent="0.3">
      <c r="A1517" s="3">
        <v>45330</v>
      </c>
      <c r="B1517">
        <f t="shared" si="23"/>
        <v>2024</v>
      </c>
      <c r="C1517">
        <v>2</v>
      </c>
      <c r="D1517" t="s">
        <v>19</v>
      </c>
      <c r="E1517" t="s">
        <v>29</v>
      </c>
      <c r="F1517" s="2">
        <v>7658</v>
      </c>
      <c r="G1517" s="2">
        <f>Monthly_Growth!$C$15</f>
        <v>714609</v>
      </c>
      <c r="H1517" s="5">
        <f>Monthly_Growth!$D$15</f>
        <v>-0.29088662862813197</v>
      </c>
      <c r="I1517" s="15">
        <f>Yearly_Growth!$C$3</f>
        <v>0.11893113731787852</v>
      </c>
      <c r="J1517" s="15">
        <f>Yearly_Growth!$D$3</f>
        <v>0.09</v>
      </c>
      <c r="K1517">
        <f>Sales_Per_Representative!$C$28</f>
        <v>691917</v>
      </c>
      <c r="L1517">
        <f>Sales_Per_Rep_Yearly_Goal!$B$3</f>
        <v>689907.8</v>
      </c>
      <c r="M1517">
        <f>Sales_Per_Rep_Yearly_Goal!$C$3</f>
        <v>690000</v>
      </c>
    </row>
    <row r="1518" spans="1:13" x14ac:dyDescent="0.3">
      <c r="A1518" s="3">
        <v>45330</v>
      </c>
      <c r="B1518">
        <f t="shared" si="23"/>
        <v>2024</v>
      </c>
      <c r="C1518">
        <v>2</v>
      </c>
      <c r="D1518" t="s">
        <v>19</v>
      </c>
      <c r="E1518" t="s">
        <v>31</v>
      </c>
      <c r="F1518" s="2">
        <v>4406</v>
      </c>
      <c r="G1518" s="2">
        <f>Monthly_Growth!$C$15</f>
        <v>714609</v>
      </c>
      <c r="H1518" s="5">
        <f>Monthly_Growth!$D$15</f>
        <v>-0.29088662862813197</v>
      </c>
      <c r="I1518" s="15">
        <f>Yearly_Growth!$C$3</f>
        <v>0.11893113731787852</v>
      </c>
      <c r="J1518" s="15">
        <f>Yearly_Growth!$D$3</f>
        <v>0.09</v>
      </c>
      <c r="K1518">
        <f>Sales_Per_Representative!$C$21</f>
        <v>679421</v>
      </c>
      <c r="L1518">
        <f>Sales_Per_Rep_Yearly_Goal!$B$3</f>
        <v>689907.8</v>
      </c>
      <c r="M1518">
        <f>Sales_Per_Rep_Yearly_Goal!$C$3</f>
        <v>690000</v>
      </c>
    </row>
    <row r="1519" spans="1:13" x14ac:dyDescent="0.3">
      <c r="A1519" s="3">
        <v>45330</v>
      </c>
      <c r="B1519">
        <f t="shared" si="23"/>
        <v>2024</v>
      </c>
      <c r="C1519">
        <v>2</v>
      </c>
      <c r="D1519" t="s">
        <v>7</v>
      </c>
      <c r="E1519" t="s">
        <v>8</v>
      </c>
      <c r="F1519" s="2">
        <v>2876</v>
      </c>
      <c r="G1519" s="2">
        <f>Monthly_Growth!$C$15</f>
        <v>714609</v>
      </c>
      <c r="H1519" s="5">
        <f>Monthly_Growth!$D$15</f>
        <v>-0.29088662862813197</v>
      </c>
      <c r="I1519" s="15">
        <f>Yearly_Growth!$C$3</f>
        <v>0.11893113731787852</v>
      </c>
      <c r="J1519" s="15">
        <f>Yearly_Growth!$D$3</f>
        <v>0.09</v>
      </c>
      <c r="K1519">
        <f>Sales_Per_Representative!$C$30</f>
        <v>780006</v>
      </c>
      <c r="L1519">
        <f>Sales_Per_Rep_Yearly_Goal!$B$3</f>
        <v>689907.8</v>
      </c>
      <c r="M1519">
        <f>Sales_Per_Rep_Yearly_Goal!$C$3</f>
        <v>690000</v>
      </c>
    </row>
    <row r="1520" spans="1:13" x14ac:dyDescent="0.3">
      <c r="A1520" s="3">
        <v>45330</v>
      </c>
      <c r="B1520">
        <f t="shared" si="23"/>
        <v>2024</v>
      </c>
      <c r="C1520">
        <v>2</v>
      </c>
      <c r="D1520" t="s">
        <v>17</v>
      </c>
      <c r="E1520" t="s">
        <v>5</v>
      </c>
      <c r="F1520" s="2">
        <v>13595</v>
      </c>
      <c r="G1520" s="2">
        <f>Monthly_Growth!$C$15</f>
        <v>714609</v>
      </c>
      <c r="H1520" s="5">
        <f>Monthly_Growth!$D$15</f>
        <v>-0.29088662862813197</v>
      </c>
      <c r="I1520" s="15">
        <f>Yearly_Growth!$C$3</f>
        <v>0.11893113731787852</v>
      </c>
      <c r="J1520" s="15">
        <f>Yearly_Growth!$D$3</f>
        <v>0.09</v>
      </c>
      <c r="K1520">
        <f>Sales_Per_Representative!$C$25</f>
        <v>749460</v>
      </c>
      <c r="L1520">
        <f>Sales_Per_Rep_Yearly_Goal!$B$3</f>
        <v>689907.8</v>
      </c>
      <c r="M1520">
        <f>Sales_Per_Rep_Yearly_Goal!$C$3</f>
        <v>690000</v>
      </c>
    </row>
    <row r="1521" spans="1:13" x14ac:dyDescent="0.3">
      <c r="A1521" s="3">
        <v>45330</v>
      </c>
      <c r="B1521">
        <f t="shared" si="23"/>
        <v>2024</v>
      </c>
      <c r="C1521">
        <v>2</v>
      </c>
      <c r="D1521" t="s">
        <v>12</v>
      </c>
      <c r="E1521" t="s">
        <v>33</v>
      </c>
      <c r="F1521" s="2">
        <v>9175</v>
      </c>
      <c r="G1521" s="2">
        <f>Monthly_Growth!$C$15</f>
        <v>714609</v>
      </c>
      <c r="H1521" s="5">
        <f>Monthly_Growth!$D$15</f>
        <v>-0.29088662862813197</v>
      </c>
      <c r="I1521" s="15">
        <f>Yearly_Growth!$C$3</f>
        <v>0.11893113731787852</v>
      </c>
      <c r="J1521" s="15">
        <f>Yearly_Growth!$D$3</f>
        <v>0.09</v>
      </c>
      <c r="K1521">
        <f>Sales_Per_Representative!$C$26</f>
        <v>501360</v>
      </c>
      <c r="L1521">
        <f>Sales_Per_Rep_Yearly_Goal!$B$3</f>
        <v>689907.8</v>
      </c>
      <c r="M1521">
        <f>Sales_Per_Rep_Yearly_Goal!$C$3</f>
        <v>690000</v>
      </c>
    </row>
    <row r="1522" spans="1:13" x14ac:dyDescent="0.3">
      <c r="A1522" s="3">
        <v>45331</v>
      </c>
      <c r="B1522">
        <f t="shared" si="23"/>
        <v>2024</v>
      </c>
      <c r="C1522">
        <v>2</v>
      </c>
      <c r="D1522" t="s">
        <v>14</v>
      </c>
      <c r="E1522" t="s">
        <v>20</v>
      </c>
      <c r="F1522" s="2">
        <v>1949</v>
      </c>
      <c r="G1522" s="2">
        <f>Monthly_Growth!$C$15</f>
        <v>714609</v>
      </c>
      <c r="H1522" s="5">
        <f>Monthly_Growth!$D$15</f>
        <v>-0.29088662862813197</v>
      </c>
      <c r="I1522" s="15">
        <f>Yearly_Growth!$C$3</f>
        <v>0.11893113731787852</v>
      </c>
      <c r="J1522" s="15">
        <f>Yearly_Growth!$D$3</f>
        <v>0.09</v>
      </c>
      <c r="K1522">
        <f>Sales_Per_Representative!$C$29</f>
        <v>753085</v>
      </c>
      <c r="L1522">
        <f>Sales_Per_Rep_Yearly_Goal!$B$3</f>
        <v>689907.8</v>
      </c>
      <c r="M1522">
        <f>Sales_Per_Rep_Yearly_Goal!$C$3</f>
        <v>690000</v>
      </c>
    </row>
    <row r="1523" spans="1:13" x14ac:dyDescent="0.3">
      <c r="A1523" s="3">
        <v>45331</v>
      </c>
      <c r="B1523">
        <f t="shared" si="23"/>
        <v>2024</v>
      </c>
      <c r="C1523">
        <v>2</v>
      </c>
      <c r="D1523" t="s">
        <v>23</v>
      </c>
      <c r="E1523" t="s">
        <v>32</v>
      </c>
      <c r="F1523" s="2">
        <v>5749</v>
      </c>
      <c r="G1523" s="2">
        <f>Monthly_Growth!$C$15</f>
        <v>714609</v>
      </c>
      <c r="H1523" s="5">
        <f>Monthly_Growth!$D$15</f>
        <v>-0.29088662862813197</v>
      </c>
      <c r="I1523" s="15">
        <f>Yearly_Growth!$C$3</f>
        <v>0.11893113731787852</v>
      </c>
      <c r="J1523" s="15">
        <f>Yearly_Growth!$D$3</f>
        <v>0.09</v>
      </c>
      <c r="K1523">
        <f>Sales_Per_Representative!$C$18</f>
        <v>783907</v>
      </c>
      <c r="L1523">
        <f>Sales_Per_Rep_Yearly_Goal!$B$3</f>
        <v>689907.8</v>
      </c>
      <c r="M1523">
        <f>Sales_Per_Rep_Yearly_Goal!$C$3</f>
        <v>690000</v>
      </c>
    </row>
    <row r="1524" spans="1:13" x14ac:dyDescent="0.3">
      <c r="A1524" s="3">
        <v>45332</v>
      </c>
      <c r="B1524">
        <f t="shared" si="23"/>
        <v>2024</v>
      </c>
      <c r="C1524">
        <v>2</v>
      </c>
      <c r="D1524" t="s">
        <v>19</v>
      </c>
      <c r="E1524" t="s">
        <v>20</v>
      </c>
      <c r="F1524" s="2">
        <v>4813</v>
      </c>
      <c r="G1524" s="2">
        <f>Monthly_Growth!$C$15</f>
        <v>714609</v>
      </c>
      <c r="H1524" s="5">
        <f>Monthly_Growth!$D$15</f>
        <v>-0.29088662862813197</v>
      </c>
      <c r="I1524" s="15">
        <f>Yearly_Growth!$C$3</f>
        <v>0.11893113731787852</v>
      </c>
      <c r="J1524" s="15">
        <f>Yearly_Growth!$D$3</f>
        <v>0.09</v>
      </c>
      <c r="K1524">
        <f>Sales_Per_Representative!$C$29</f>
        <v>753085</v>
      </c>
      <c r="L1524">
        <f>Sales_Per_Rep_Yearly_Goal!$B$3</f>
        <v>689907.8</v>
      </c>
      <c r="M1524">
        <f>Sales_Per_Rep_Yearly_Goal!$C$3</f>
        <v>690000</v>
      </c>
    </row>
    <row r="1525" spans="1:13" x14ac:dyDescent="0.3">
      <c r="A1525" s="3">
        <v>45332</v>
      </c>
      <c r="B1525">
        <f t="shared" si="23"/>
        <v>2024</v>
      </c>
      <c r="C1525">
        <v>2</v>
      </c>
      <c r="D1525" t="s">
        <v>23</v>
      </c>
      <c r="E1525" t="s">
        <v>18</v>
      </c>
      <c r="F1525" s="2">
        <v>7002</v>
      </c>
      <c r="G1525" s="2">
        <f>Monthly_Growth!$C$15</f>
        <v>714609</v>
      </c>
      <c r="H1525" s="5">
        <f>Monthly_Growth!$D$15</f>
        <v>-0.29088662862813197</v>
      </c>
      <c r="I1525" s="15">
        <f>Yearly_Growth!$C$3</f>
        <v>0.11893113731787852</v>
      </c>
      <c r="J1525" s="15">
        <f>Yearly_Growth!$D$3</f>
        <v>0.09</v>
      </c>
      <c r="K1525">
        <f>Sales_Per_Representative!$C$24</f>
        <v>699277</v>
      </c>
      <c r="L1525">
        <f>Sales_Per_Rep_Yearly_Goal!$B$3</f>
        <v>689907.8</v>
      </c>
      <c r="M1525">
        <f>Sales_Per_Rep_Yearly_Goal!$C$3</f>
        <v>690000</v>
      </c>
    </row>
    <row r="1526" spans="1:13" x14ac:dyDescent="0.3">
      <c r="A1526" s="3">
        <v>45332</v>
      </c>
      <c r="B1526">
        <f t="shared" si="23"/>
        <v>2024</v>
      </c>
      <c r="C1526">
        <v>2</v>
      </c>
      <c r="D1526" t="s">
        <v>12</v>
      </c>
      <c r="E1526" t="s">
        <v>27</v>
      </c>
      <c r="F1526" s="2">
        <v>9369</v>
      </c>
      <c r="G1526" s="2">
        <f>Monthly_Growth!$C$15</f>
        <v>714609</v>
      </c>
      <c r="H1526" s="5">
        <f>Monthly_Growth!$D$15</f>
        <v>-0.29088662862813197</v>
      </c>
      <c r="I1526" s="15">
        <f>Yearly_Growth!$C$3</f>
        <v>0.11893113731787852</v>
      </c>
      <c r="J1526" s="15">
        <f>Yearly_Growth!$D$3</f>
        <v>0.09</v>
      </c>
      <c r="K1526">
        <f>Sales_Per_Representative!$C$20</f>
        <v>685380</v>
      </c>
      <c r="L1526">
        <f>Sales_Per_Rep_Yearly_Goal!$B$3</f>
        <v>689907.8</v>
      </c>
      <c r="M1526">
        <f>Sales_Per_Rep_Yearly_Goal!$C$3</f>
        <v>690000</v>
      </c>
    </row>
    <row r="1527" spans="1:13" x14ac:dyDescent="0.3">
      <c r="A1527" s="3">
        <v>45333</v>
      </c>
      <c r="B1527">
        <f t="shared" si="23"/>
        <v>2024</v>
      </c>
      <c r="C1527">
        <v>2</v>
      </c>
      <c r="D1527" t="s">
        <v>12</v>
      </c>
      <c r="E1527" t="s">
        <v>30</v>
      </c>
      <c r="F1527" s="2">
        <v>12616</v>
      </c>
      <c r="G1527" s="2">
        <f>Monthly_Growth!$C$15</f>
        <v>714609</v>
      </c>
      <c r="H1527" s="5">
        <f>Monthly_Growth!$D$15</f>
        <v>-0.29088662862813197</v>
      </c>
      <c r="I1527" s="15">
        <f>Yearly_Growth!$C$3</f>
        <v>0.11893113731787852</v>
      </c>
      <c r="J1527" s="15">
        <f>Yearly_Growth!$D$3</f>
        <v>0.09</v>
      </c>
      <c r="K1527">
        <f>Sales_Per_Representative!$C$22</f>
        <v>700142</v>
      </c>
      <c r="L1527">
        <f>Sales_Per_Rep_Yearly_Goal!$B$3</f>
        <v>689907.8</v>
      </c>
      <c r="M1527">
        <f>Sales_Per_Rep_Yearly_Goal!$C$3</f>
        <v>690000</v>
      </c>
    </row>
    <row r="1528" spans="1:13" x14ac:dyDescent="0.3">
      <c r="A1528" s="3">
        <v>45334</v>
      </c>
      <c r="B1528">
        <f t="shared" si="23"/>
        <v>2024</v>
      </c>
      <c r="C1528">
        <v>2</v>
      </c>
      <c r="D1528" t="s">
        <v>19</v>
      </c>
      <c r="E1528" t="s">
        <v>15</v>
      </c>
      <c r="F1528" s="2">
        <v>6131</v>
      </c>
      <c r="G1528" s="2">
        <f>Monthly_Growth!$C$15</f>
        <v>714609</v>
      </c>
      <c r="H1528" s="5">
        <f>Monthly_Growth!$D$15</f>
        <v>-0.29088662862813197</v>
      </c>
      <c r="I1528" s="15">
        <f>Yearly_Growth!$C$3</f>
        <v>0.11893113731787852</v>
      </c>
      <c r="J1528" s="15">
        <f>Yearly_Growth!$D$3</f>
        <v>0.09</v>
      </c>
      <c r="K1528">
        <f>Sales_Per_Representative!$C$27</f>
        <v>617202</v>
      </c>
      <c r="L1528">
        <f>Sales_Per_Rep_Yearly_Goal!$B$3</f>
        <v>689907.8</v>
      </c>
      <c r="M1528">
        <f>Sales_Per_Rep_Yearly_Goal!$C$3</f>
        <v>690000</v>
      </c>
    </row>
    <row r="1529" spans="1:13" x14ac:dyDescent="0.3">
      <c r="A1529" s="3">
        <v>45334</v>
      </c>
      <c r="B1529">
        <f t="shared" si="23"/>
        <v>2024</v>
      </c>
      <c r="C1529">
        <v>2</v>
      </c>
      <c r="D1529" t="s">
        <v>7</v>
      </c>
      <c r="E1529" t="s">
        <v>32</v>
      </c>
      <c r="F1529" s="2">
        <v>10099</v>
      </c>
      <c r="G1529" s="2">
        <f>Monthly_Growth!$C$15</f>
        <v>714609</v>
      </c>
      <c r="H1529" s="5">
        <f>Monthly_Growth!$D$15</f>
        <v>-0.29088662862813197</v>
      </c>
      <c r="I1529" s="15">
        <f>Yearly_Growth!$C$3</f>
        <v>0.11893113731787852</v>
      </c>
      <c r="J1529" s="15">
        <f>Yearly_Growth!$D$3</f>
        <v>0.09</v>
      </c>
      <c r="K1529">
        <f>Sales_Per_Representative!$C$18</f>
        <v>783907</v>
      </c>
      <c r="L1529">
        <f>Sales_Per_Rep_Yearly_Goal!$B$3</f>
        <v>689907.8</v>
      </c>
      <c r="M1529">
        <f>Sales_Per_Rep_Yearly_Goal!$C$3</f>
        <v>690000</v>
      </c>
    </row>
    <row r="1530" spans="1:13" x14ac:dyDescent="0.3">
      <c r="A1530" s="3">
        <v>45334</v>
      </c>
      <c r="B1530">
        <f t="shared" si="23"/>
        <v>2024</v>
      </c>
      <c r="C1530">
        <v>2</v>
      </c>
      <c r="D1530" t="s">
        <v>7</v>
      </c>
      <c r="E1530" t="s">
        <v>5</v>
      </c>
      <c r="F1530" s="2">
        <v>13731</v>
      </c>
      <c r="G1530" s="2">
        <f>Monthly_Growth!$C$15</f>
        <v>714609</v>
      </c>
      <c r="H1530" s="5">
        <f>Monthly_Growth!$D$15</f>
        <v>-0.29088662862813197</v>
      </c>
      <c r="I1530" s="15">
        <f>Yearly_Growth!$C$3</f>
        <v>0.11893113731787852</v>
      </c>
      <c r="J1530" s="15">
        <f>Yearly_Growth!$D$3</f>
        <v>0.09</v>
      </c>
      <c r="K1530">
        <f>Sales_Per_Representative!$C$25</f>
        <v>749460</v>
      </c>
      <c r="L1530">
        <f>Sales_Per_Rep_Yearly_Goal!$B$3</f>
        <v>689907.8</v>
      </c>
      <c r="M1530">
        <f>Sales_Per_Rep_Yearly_Goal!$C$3</f>
        <v>690000</v>
      </c>
    </row>
    <row r="1531" spans="1:13" x14ac:dyDescent="0.3">
      <c r="A1531" s="3">
        <v>45335</v>
      </c>
      <c r="B1531">
        <f t="shared" si="23"/>
        <v>2024</v>
      </c>
      <c r="C1531">
        <v>2</v>
      </c>
      <c r="D1531" t="s">
        <v>14</v>
      </c>
      <c r="E1531" t="s">
        <v>20</v>
      </c>
      <c r="F1531" s="2">
        <v>9193</v>
      </c>
      <c r="G1531" s="2">
        <f>Monthly_Growth!$C$15</f>
        <v>714609</v>
      </c>
      <c r="H1531" s="5">
        <f>Monthly_Growth!$D$15</f>
        <v>-0.29088662862813197</v>
      </c>
      <c r="I1531" s="15">
        <f>Yearly_Growth!$C$3</f>
        <v>0.11893113731787852</v>
      </c>
      <c r="J1531" s="15">
        <f>Yearly_Growth!$D$3</f>
        <v>0.09</v>
      </c>
      <c r="K1531">
        <f>Sales_Per_Representative!$C$29</f>
        <v>753085</v>
      </c>
      <c r="L1531">
        <f>Sales_Per_Rep_Yearly_Goal!$B$3</f>
        <v>689907.8</v>
      </c>
      <c r="M1531">
        <f>Sales_Per_Rep_Yearly_Goal!$C$3</f>
        <v>690000</v>
      </c>
    </row>
    <row r="1532" spans="1:13" x14ac:dyDescent="0.3">
      <c r="A1532" s="3">
        <v>45335</v>
      </c>
      <c r="B1532">
        <f t="shared" si="23"/>
        <v>2024</v>
      </c>
      <c r="C1532">
        <v>2</v>
      </c>
      <c r="D1532" t="s">
        <v>7</v>
      </c>
      <c r="E1532" t="s">
        <v>26</v>
      </c>
      <c r="F1532" s="2">
        <v>12749</v>
      </c>
      <c r="G1532" s="2">
        <f>Monthly_Growth!$C$15</f>
        <v>714609</v>
      </c>
      <c r="H1532" s="5">
        <f>Monthly_Growth!$D$15</f>
        <v>-0.29088662862813197</v>
      </c>
      <c r="I1532" s="15">
        <f>Yearly_Growth!$C$3</f>
        <v>0.11893113731787852</v>
      </c>
      <c r="J1532" s="15">
        <f>Yearly_Growth!$D$3</f>
        <v>0.09</v>
      </c>
      <c r="K1532">
        <f>Sales_Per_Representative!$C$31</f>
        <v>664244</v>
      </c>
      <c r="L1532">
        <f>Sales_Per_Rep_Yearly_Goal!$B$3</f>
        <v>689907.8</v>
      </c>
      <c r="M1532">
        <f>Sales_Per_Rep_Yearly_Goal!$C$3</f>
        <v>690000</v>
      </c>
    </row>
    <row r="1533" spans="1:13" x14ac:dyDescent="0.3">
      <c r="A1533" s="3">
        <v>45335</v>
      </c>
      <c r="B1533">
        <f t="shared" si="23"/>
        <v>2024</v>
      </c>
      <c r="C1533">
        <v>2</v>
      </c>
      <c r="D1533" t="s">
        <v>7</v>
      </c>
      <c r="E1533" t="s">
        <v>26</v>
      </c>
      <c r="F1533" s="2">
        <v>10153</v>
      </c>
      <c r="G1533" s="2">
        <f>Monthly_Growth!$C$15</f>
        <v>714609</v>
      </c>
      <c r="H1533" s="5">
        <f>Monthly_Growth!$D$15</f>
        <v>-0.29088662862813197</v>
      </c>
      <c r="I1533" s="15">
        <f>Yearly_Growth!$C$3</f>
        <v>0.11893113731787852</v>
      </c>
      <c r="J1533" s="15">
        <f>Yearly_Growth!$D$3</f>
        <v>0.09</v>
      </c>
      <c r="K1533">
        <f>Sales_Per_Representative!$C$31</f>
        <v>664244</v>
      </c>
      <c r="L1533">
        <f>Sales_Per_Rep_Yearly_Goal!$B$3</f>
        <v>689907.8</v>
      </c>
      <c r="M1533">
        <f>Sales_Per_Rep_Yearly_Goal!$C$3</f>
        <v>690000</v>
      </c>
    </row>
    <row r="1534" spans="1:13" x14ac:dyDescent="0.3">
      <c r="A1534" s="3">
        <v>45335</v>
      </c>
      <c r="B1534">
        <f t="shared" si="23"/>
        <v>2024</v>
      </c>
      <c r="C1534">
        <v>2</v>
      </c>
      <c r="D1534" t="s">
        <v>17</v>
      </c>
      <c r="E1534" t="s">
        <v>10</v>
      </c>
      <c r="F1534" s="2">
        <v>8102</v>
      </c>
      <c r="G1534" s="2">
        <f>Monthly_Growth!$C$15</f>
        <v>714609</v>
      </c>
      <c r="H1534" s="5">
        <f>Monthly_Growth!$D$15</f>
        <v>-0.29088662862813197</v>
      </c>
      <c r="I1534" s="15">
        <f>Yearly_Growth!$C$3</f>
        <v>0.11893113731787852</v>
      </c>
      <c r="J1534" s="15">
        <f>Yearly_Growth!$D$3</f>
        <v>0.09</v>
      </c>
      <c r="K1534">
        <f>Sales_Per_Representative!$C$19</f>
        <v>711816</v>
      </c>
      <c r="L1534">
        <f>Sales_Per_Rep_Yearly_Goal!$B$3</f>
        <v>689907.8</v>
      </c>
      <c r="M1534">
        <f>Sales_Per_Rep_Yearly_Goal!$C$3</f>
        <v>690000</v>
      </c>
    </row>
    <row r="1535" spans="1:13" x14ac:dyDescent="0.3">
      <c r="A1535" s="3">
        <v>45336</v>
      </c>
      <c r="B1535">
        <f t="shared" si="23"/>
        <v>2024</v>
      </c>
      <c r="C1535">
        <v>2</v>
      </c>
      <c r="D1535" t="s">
        <v>23</v>
      </c>
      <c r="E1535" t="s">
        <v>29</v>
      </c>
      <c r="F1535" s="2">
        <v>6637</v>
      </c>
      <c r="G1535" s="2">
        <f>Monthly_Growth!$C$15</f>
        <v>714609</v>
      </c>
      <c r="H1535" s="5">
        <f>Monthly_Growth!$D$15</f>
        <v>-0.29088662862813197</v>
      </c>
      <c r="I1535" s="15">
        <f>Yearly_Growth!$C$3</f>
        <v>0.11893113731787852</v>
      </c>
      <c r="J1535" s="15">
        <f>Yearly_Growth!$D$3</f>
        <v>0.09</v>
      </c>
      <c r="K1535">
        <f>Sales_Per_Representative!$C$28</f>
        <v>691917</v>
      </c>
      <c r="L1535">
        <f>Sales_Per_Rep_Yearly_Goal!$B$3</f>
        <v>689907.8</v>
      </c>
      <c r="M1535">
        <f>Sales_Per_Rep_Yearly_Goal!$C$3</f>
        <v>690000</v>
      </c>
    </row>
    <row r="1536" spans="1:13" x14ac:dyDescent="0.3">
      <c r="A1536" s="3">
        <v>45336</v>
      </c>
      <c r="B1536">
        <f t="shared" si="23"/>
        <v>2024</v>
      </c>
      <c r="C1536">
        <v>2</v>
      </c>
      <c r="D1536" t="s">
        <v>7</v>
      </c>
      <c r="E1536" t="s">
        <v>20</v>
      </c>
      <c r="F1536" s="2">
        <v>10681</v>
      </c>
      <c r="G1536" s="2">
        <f>Monthly_Growth!$C$15</f>
        <v>714609</v>
      </c>
      <c r="H1536" s="5">
        <f>Monthly_Growth!$D$15</f>
        <v>-0.29088662862813197</v>
      </c>
      <c r="I1536" s="15">
        <f>Yearly_Growth!$C$3</f>
        <v>0.11893113731787852</v>
      </c>
      <c r="J1536" s="15">
        <f>Yearly_Growth!$D$3</f>
        <v>0.09</v>
      </c>
      <c r="K1536">
        <f>Sales_Per_Representative!$C$29</f>
        <v>753085</v>
      </c>
      <c r="L1536">
        <f>Sales_Per_Rep_Yearly_Goal!$B$3</f>
        <v>689907.8</v>
      </c>
      <c r="M1536">
        <f>Sales_Per_Rep_Yearly_Goal!$C$3</f>
        <v>690000</v>
      </c>
    </row>
    <row r="1537" spans="1:13" x14ac:dyDescent="0.3">
      <c r="A1537" s="3">
        <v>45336</v>
      </c>
      <c r="B1537">
        <f t="shared" si="23"/>
        <v>2024</v>
      </c>
      <c r="C1537">
        <v>2</v>
      </c>
      <c r="D1537" t="s">
        <v>28</v>
      </c>
      <c r="E1537" t="s">
        <v>30</v>
      </c>
      <c r="F1537" s="2">
        <v>3395</v>
      </c>
      <c r="G1537" s="2">
        <f>Monthly_Growth!$C$15</f>
        <v>714609</v>
      </c>
      <c r="H1537" s="5">
        <f>Monthly_Growth!$D$15</f>
        <v>-0.29088662862813197</v>
      </c>
      <c r="I1537" s="15">
        <f>Yearly_Growth!$C$3</f>
        <v>0.11893113731787852</v>
      </c>
      <c r="J1537" s="15">
        <f>Yearly_Growth!$D$3</f>
        <v>0.09</v>
      </c>
      <c r="K1537">
        <f>Sales_Per_Representative!$C$22</f>
        <v>700142</v>
      </c>
      <c r="L1537">
        <f>Sales_Per_Rep_Yearly_Goal!$B$3</f>
        <v>689907.8</v>
      </c>
      <c r="M1537">
        <f>Sales_Per_Rep_Yearly_Goal!$C$3</f>
        <v>690000</v>
      </c>
    </row>
    <row r="1538" spans="1:13" x14ac:dyDescent="0.3">
      <c r="A1538" s="3">
        <v>45337</v>
      </c>
      <c r="B1538">
        <f t="shared" si="23"/>
        <v>2024</v>
      </c>
      <c r="C1538">
        <v>2</v>
      </c>
      <c r="D1538" t="s">
        <v>23</v>
      </c>
      <c r="E1538" t="s">
        <v>30</v>
      </c>
      <c r="F1538" s="2">
        <v>8479</v>
      </c>
      <c r="G1538" s="2">
        <f>Monthly_Growth!$C$15</f>
        <v>714609</v>
      </c>
      <c r="H1538" s="5">
        <f>Monthly_Growth!$D$15</f>
        <v>-0.29088662862813197</v>
      </c>
      <c r="I1538" s="15">
        <f>Yearly_Growth!$C$3</f>
        <v>0.11893113731787852</v>
      </c>
      <c r="J1538" s="15">
        <f>Yearly_Growth!$D$3</f>
        <v>0.09</v>
      </c>
      <c r="K1538">
        <f>Sales_Per_Representative!$C$22</f>
        <v>700142</v>
      </c>
      <c r="L1538">
        <f>Sales_Per_Rep_Yearly_Goal!$B$3</f>
        <v>689907.8</v>
      </c>
      <c r="M1538">
        <f>Sales_Per_Rep_Yearly_Goal!$C$3</f>
        <v>690000</v>
      </c>
    </row>
    <row r="1539" spans="1:13" x14ac:dyDescent="0.3">
      <c r="A1539" s="3">
        <v>45337</v>
      </c>
      <c r="B1539">
        <f t="shared" ref="B1539:B1602" si="24">YEAR(A1539)</f>
        <v>2024</v>
      </c>
      <c r="C1539">
        <v>2</v>
      </c>
      <c r="D1539" t="s">
        <v>23</v>
      </c>
      <c r="E1539" t="s">
        <v>10</v>
      </c>
      <c r="F1539" s="2">
        <v>2616</v>
      </c>
      <c r="G1539" s="2">
        <f>Monthly_Growth!$C$15</f>
        <v>714609</v>
      </c>
      <c r="H1539" s="5">
        <f>Monthly_Growth!$D$15</f>
        <v>-0.29088662862813197</v>
      </c>
      <c r="I1539" s="15">
        <f>Yearly_Growth!$C$3</f>
        <v>0.11893113731787852</v>
      </c>
      <c r="J1539" s="15">
        <f>Yearly_Growth!$D$3</f>
        <v>0.09</v>
      </c>
      <c r="K1539">
        <f>Sales_Per_Representative!$C$19</f>
        <v>711816</v>
      </c>
      <c r="L1539">
        <f>Sales_Per_Rep_Yearly_Goal!$B$3</f>
        <v>689907.8</v>
      </c>
      <c r="M1539">
        <f>Sales_Per_Rep_Yearly_Goal!$C$3</f>
        <v>690000</v>
      </c>
    </row>
    <row r="1540" spans="1:13" x14ac:dyDescent="0.3">
      <c r="A1540" s="3">
        <v>45337</v>
      </c>
      <c r="B1540">
        <f t="shared" si="24"/>
        <v>2024</v>
      </c>
      <c r="C1540">
        <v>2</v>
      </c>
      <c r="D1540" t="s">
        <v>7</v>
      </c>
      <c r="E1540" t="s">
        <v>26</v>
      </c>
      <c r="F1540" s="2">
        <v>4764</v>
      </c>
      <c r="G1540" s="2">
        <f>Monthly_Growth!$C$15</f>
        <v>714609</v>
      </c>
      <c r="H1540" s="5">
        <f>Monthly_Growth!$D$15</f>
        <v>-0.29088662862813197</v>
      </c>
      <c r="I1540" s="15">
        <f>Yearly_Growth!$C$3</f>
        <v>0.11893113731787852</v>
      </c>
      <c r="J1540" s="15">
        <f>Yearly_Growth!$D$3</f>
        <v>0.09</v>
      </c>
      <c r="K1540">
        <f>Sales_Per_Representative!$C$31</f>
        <v>664244</v>
      </c>
      <c r="L1540">
        <f>Sales_Per_Rep_Yearly_Goal!$B$3</f>
        <v>689907.8</v>
      </c>
      <c r="M1540">
        <f>Sales_Per_Rep_Yearly_Goal!$C$3</f>
        <v>690000</v>
      </c>
    </row>
    <row r="1541" spans="1:13" x14ac:dyDescent="0.3">
      <c r="A1541" s="3">
        <v>45337</v>
      </c>
      <c r="B1541">
        <f t="shared" si="24"/>
        <v>2024</v>
      </c>
      <c r="C1541">
        <v>2</v>
      </c>
      <c r="D1541" t="s">
        <v>17</v>
      </c>
      <c r="E1541" t="s">
        <v>30</v>
      </c>
      <c r="F1541" s="2">
        <v>1971</v>
      </c>
      <c r="G1541" s="2">
        <f>Monthly_Growth!$C$15</f>
        <v>714609</v>
      </c>
      <c r="H1541" s="5">
        <f>Monthly_Growth!$D$15</f>
        <v>-0.29088662862813197</v>
      </c>
      <c r="I1541" s="15">
        <f>Yearly_Growth!$C$3</f>
        <v>0.11893113731787852</v>
      </c>
      <c r="J1541" s="15">
        <f>Yearly_Growth!$D$3</f>
        <v>0.09</v>
      </c>
      <c r="K1541">
        <f>Sales_Per_Representative!$C$22</f>
        <v>700142</v>
      </c>
      <c r="L1541">
        <f>Sales_Per_Rep_Yearly_Goal!$B$3</f>
        <v>689907.8</v>
      </c>
      <c r="M1541">
        <f>Sales_Per_Rep_Yearly_Goal!$C$3</f>
        <v>690000</v>
      </c>
    </row>
    <row r="1542" spans="1:13" x14ac:dyDescent="0.3">
      <c r="A1542" s="3">
        <v>45337</v>
      </c>
      <c r="B1542">
        <f t="shared" si="24"/>
        <v>2024</v>
      </c>
      <c r="C1542">
        <v>2</v>
      </c>
      <c r="D1542" t="s">
        <v>12</v>
      </c>
      <c r="E1542" t="s">
        <v>29</v>
      </c>
      <c r="F1542" s="2">
        <v>4954</v>
      </c>
      <c r="G1542" s="2">
        <f>Monthly_Growth!$C$15</f>
        <v>714609</v>
      </c>
      <c r="H1542" s="5">
        <f>Monthly_Growth!$D$15</f>
        <v>-0.29088662862813197</v>
      </c>
      <c r="I1542" s="15">
        <f>Yearly_Growth!$C$3</f>
        <v>0.11893113731787852</v>
      </c>
      <c r="J1542" s="15">
        <f>Yearly_Growth!$D$3</f>
        <v>0.09</v>
      </c>
      <c r="K1542">
        <f>Sales_Per_Representative!$C$28</f>
        <v>691917</v>
      </c>
      <c r="L1542">
        <f>Sales_Per_Rep_Yearly_Goal!$B$3</f>
        <v>689907.8</v>
      </c>
      <c r="M1542">
        <f>Sales_Per_Rep_Yearly_Goal!$C$3</f>
        <v>690000</v>
      </c>
    </row>
    <row r="1543" spans="1:13" x14ac:dyDescent="0.3">
      <c r="A1543" s="3">
        <v>45338</v>
      </c>
      <c r="B1543">
        <f t="shared" si="24"/>
        <v>2024</v>
      </c>
      <c r="C1543">
        <v>2</v>
      </c>
      <c r="D1543" t="s">
        <v>23</v>
      </c>
      <c r="E1543" t="s">
        <v>31</v>
      </c>
      <c r="F1543" s="2">
        <v>10537</v>
      </c>
      <c r="G1543" s="2">
        <f>Monthly_Growth!$C$15</f>
        <v>714609</v>
      </c>
      <c r="H1543" s="5">
        <f>Monthly_Growth!$D$15</f>
        <v>-0.29088662862813197</v>
      </c>
      <c r="I1543" s="15">
        <f>Yearly_Growth!$C$3</f>
        <v>0.11893113731787852</v>
      </c>
      <c r="J1543" s="15">
        <f>Yearly_Growth!$D$3</f>
        <v>0.09</v>
      </c>
      <c r="K1543">
        <f>Sales_Per_Representative!$C$21</f>
        <v>679421</v>
      </c>
      <c r="L1543">
        <f>Sales_Per_Rep_Yearly_Goal!$B$3</f>
        <v>689907.8</v>
      </c>
      <c r="M1543">
        <f>Sales_Per_Rep_Yearly_Goal!$C$3</f>
        <v>690000</v>
      </c>
    </row>
    <row r="1544" spans="1:13" x14ac:dyDescent="0.3">
      <c r="A1544" s="3">
        <v>45338</v>
      </c>
      <c r="B1544">
        <f t="shared" si="24"/>
        <v>2024</v>
      </c>
      <c r="C1544">
        <v>2</v>
      </c>
      <c r="D1544" t="s">
        <v>25</v>
      </c>
      <c r="E1544" t="s">
        <v>22</v>
      </c>
      <c r="F1544" s="2">
        <v>2529</v>
      </c>
      <c r="G1544" s="2">
        <f>Monthly_Growth!$C$15</f>
        <v>714609</v>
      </c>
      <c r="H1544" s="5">
        <f>Monthly_Growth!$D$15</f>
        <v>-0.29088662862813197</v>
      </c>
      <c r="I1544" s="15">
        <f>Yearly_Growth!$C$3</f>
        <v>0.11893113731787852</v>
      </c>
      <c r="J1544" s="15">
        <f>Yearly_Growth!$D$3</f>
        <v>0.09</v>
      </c>
      <c r="K1544">
        <f>Sales_Per_Representative!$C$23</f>
        <v>697444</v>
      </c>
      <c r="L1544">
        <f>Sales_Per_Rep_Yearly_Goal!$B$3</f>
        <v>689907.8</v>
      </c>
      <c r="M1544">
        <f>Sales_Per_Rep_Yearly_Goal!$C$3</f>
        <v>690000</v>
      </c>
    </row>
    <row r="1545" spans="1:13" x14ac:dyDescent="0.3">
      <c r="A1545" s="3">
        <v>45338</v>
      </c>
      <c r="B1545">
        <f t="shared" si="24"/>
        <v>2024</v>
      </c>
      <c r="C1545">
        <v>2</v>
      </c>
      <c r="D1545" t="s">
        <v>12</v>
      </c>
      <c r="E1545" t="s">
        <v>15</v>
      </c>
      <c r="F1545" s="2">
        <v>6971</v>
      </c>
      <c r="G1545" s="2">
        <f>Monthly_Growth!$C$15</f>
        <v>714609</v>
      </c>
      <c r="H1545" s="5">
        <f>Monthly_Growth!$D$15</f>
        <v>-0.29088662862813197</v>
      </c>
      <c r="I1545" s="15">
        <f>Yearly_Growth!$C$3</f>
        <v>0.11893113731787852</v>
      </c>
      <c r="J1545" s="15">
        <f>Yearly_Growth!$D$3</f>
        <v>0.09</v>
      </c>
      <c r="K1545">
        <f>Sales_Per_Representative!$C$27</f>
        <v>617202</v>
      </c>
      <c r="L1545">
        <f>Sales_Per_Rep_Yearly_Goal!$B$3</f>
        <v>689907.8</v>
      </c>
      <c r="M1545">
        <f>Sales_Per_Rep_Yearly_Goal!$C$3</f>
        <v>690000</v>
      </c>
    </row>
    <row r="1546" spans="1:13" x14ac:dyDescent="0.3">
      <c r="A1546" s="3">
        <v>45339</v>
      </c>
      <c r="B1546">
        <f t="shared" si="24"/>
        <v>2024</v>
      </c>
      <c r="C1546">
        <v>2</v>
      </c>
      <c r="D1546" t="s">
        <v>19</v>
      </c>
      <c r="E1546" t="s">
        <v>32</v>
      </c>
      <c r="F1546" s="2">
        <v>10576</v>
      </c>
      <c r="G1546" s="2">
        <f>Monthly_Growth!$C$15</f>
        <v>714609</v>
      </c>
      <c r="H1546" s="5">
        <f>Monthly_Growth!$D$15</f>
        <v>-0.29088662862813197</v>
      </c>
      <c r="I1546" s="15">
        <f>Yearly_Growth!$C$3</f>
        <v>0.11893113731787852</v>
      </c>
      <c r="J1546" s="15">
        <f>Yearly_Growth!$D$3</f>
        <v>0.09</v>
      </c>
      <c r="K1546">
        <f>Sales_Per_Representative!$C$18</f>
        <v>783907</v>
      </c>
      <c r="L1546">
        <f>Sales_Per_Rep_Yearly_Goal!$B$3</f>
        <v>689907.8</v>
      </c>
      <c r="M1546">
        <f>Sales_Per_Rep_Yearly_Goal!$C$3</f>
        <v>690000</v>
      </c>
    </row>
    <row r="1547" spans="1:13" x14ac:dyDescent="0.3">
      <c r="A1547" s="3">
        <v>45339</v>
      </c>
      <c r="B1547">
        <f t="shared" si="24"/>
        <v>2024</v>
      </c>
      <c r="C1547">
        <v>2</v>
      </c>
      <c r="D1547" t="s">
        <v>25</v>
      </c>
      <c r="E1547" t="s">
        <v>8</v>
      </c>
      <c r="F1547" s="2">
        <v>7025</v>
      </c>
      <c r="G1547" s="2">
        <f>Monthly_Growth!$C$15</f>
        <v>714609</v>
      </c>
      <c r="H1547" s="5">
        <f>Monthly_Growth!$D$15</f>
        <v>-0.29088662862813197</v>
      </c>
      <c r="I1547" s="15">
        <f>Yearly_Growth!$C$3</f>
        <v>0.11893113731787852</v>
      </c>
      <c r="J1547" s="15">
        <f>Yearly_Growth!$D$3</f>
        <v>0.09</v>
      </c>
      <c r="K1547">
        <f>Sales_Per_Representative!$C$30</f>
        <v>780006</v>
      </c>
      <c r="L1547">
        <f>Sales_Per_Rep_Yearly_Goal!$B$3</f>
        <v>689907.8</v>
      </c>
      <c r="M1547">
        <f>Sales_Per_Rep_Yearly_Goal!$C$3</f>
        <v>690000</v>
      </c>
    </row>
    <row r="1548" spans="1:13" x14ac:dyDescent="0.3">
      <c r="A1548" s="3">
        <v>45339</v>
      </c>
      <c r="B1548">
        <f t="shared" si="24"/>
        <v>2024</v>
      </c>
      <c r="C1548">
        <v>2</v>
      </c>
      <c r="D1548" t="s">
        <v>7</v>
      </c>
      <c r="E1548" t="s">
        <v>31</v>
      </c>
      <c r="F1548" s="2">
        <v>4890</v>
      </c>
      <c r="G1548" s="2">
        <f>Monthly_Growth!$C$15</f>
        <v>714609</v>
      </c>
      <c r="H1548" s="5">
        <f>Monthly_Growth!$D$15</f>
        <v>-0.29088662862813197</v>
      </c>
      <c r="I1548" s="15">
        <f>Yearly_Growth!$C$3</f>
        <v>0.11893113731787852</v>
      </c>
      <c r="J1548" s="15">
        <f>Yearly_Growth!$D$3</f>
        <v>0.09</v>
      </c>
      <c r="K1548">
        <f>Sales_Per_Representative!$C$21</f>
        <v>679421</v>
      </c>
      <c r="L1548">
        <f>Sales_Per_Rep_Yearly_Goal!$B$3</f>
        <v>689907.8</v>
      </c>
      <c r="M1548">
        <f>Sales_Per_Rep_Yearly_Goal!$C$3</f>
        <v>690000</v>
      </c>
    </row>
    <row r="1549" spans="1:13" x14ac:dyDescent="0.3">
      <c r="A1549" s="3">
        <v>45339</v>
      </c>
      <c r="B1549">
        <f t="shared" si="24"/>
        <v>2024</v>
      </c>
      <c r="C1549">
        <v>2</v>
      </c>
      <c r="D1549" t="s">
        <v>7</v>
      </c>
      <c r="E1549" t="s">
        <v>8</v>
      </c>
      <c r="F1549" s="2">
        <v>2723</v>
      </c>
      <c r="G1549" s="2">
        <f>Monthly_Growth!$C$15</f>
        <v>714609</v>
      </c>
      <c r="H1549" s="5">
        <f>Monthly_Growth!$D$15</f>
        <v>-0.29088662862813197</v>
      </c>
      <c r="I1549" s="15">
        <f>Yearly_Growth!$C$3</f>
        <v>0.11893113731787852</v>
      </c>
      <c r="J1549" s="15">
        <f>Yearly_Growth!$D$3</f>
        <v>0.09</v>
      </c>
      <c r="K1549">
        <f>Sales_Per_Representative!$C$30</f>
        <v>780006</v>
      </c>
      <c r="L1549">
        <f>Sales_Per_Rep_Yearly_Goal!$B$3</f>
        <v>689907.8</v>
      </c>
      <c r="M1549">
        <f>Sales_Per_Rep_Yearly_Goal!$C$3</f>
        <v>690000</v>
      </c>
    </row>
    <row r="1550" spans="1:13" x14ac:dyDescent="0.3">
      <c r="A1550" s="3">
        <v>45340</v>
      </c>
      <c r="B1550">
        <f t="shared" si="24"/>
        <v>2024</v>
      </c>
      <c r="C1550">
        <v>2</v>
      </c>
      <c r="D1550" t="s">
        <v>7</v>
      </c>
      <c r="E1550" t="s">
        <v>32</v>
      </c>
      <c r="F1550" s="2">
        <v>2657</v>
      </c>
      <c r="G1550" s="2">
        <f>Monthly_Growth!$C$15</f>
        <v>714609</v>
      </c>
      <c r="H1550" s="5">
        <f>Monthly_Growth!$D$15</f>
        <v>-0.29088662862813197</v>
      </c>
      <c r="I1550" s="15">
        <f>Yearly_Growth!$C$3</f>
        <v>0.11893113731787852</v>
      </c>
      <c r="J1550" s="15">
        <f>Yearly_Growth!$D$3</f>
        <v>0.09</v>
      </c>
      <c r="K1550">
        <f>Sales_Per_Representative!$C$18</f>
        <v>783907</v>
      </c>
      <c r="L1550">
        <f>Sales_Per_Rep_Yearly_Goal!$B$3</f>
        <v>689907.8</v>
      </c>
      <c r="M1550">
        <f>Sales_Per_Rep_Yearly_Goal!$C$3</f>
        <v>690000</v>
      </c>
    </row>
    <row r="1551" spans="1:13" x14ac:dyDescent="0.3">
      <c r="A1551" s="3">
        <v>45340</v>
      </c>
      <c r="B1551">
        <f t="shared" si="24"/>
        <v>2024</v>
      </c>
      <c r="C1551">
        <v>2</v>
      </c>
      <c r="D1551" t="s">
        <v>17</v>
      </c>
      <c r="E1551" t="s">
        <v>33</v>
      </c>
      <c r="F1551" s="2">
        <v>4189</v>
      </c>
      <c r="G1551" s="2">
        <f>Monthly_Growth!$C$15</f>
        <v>714609</v>
      </c>
      <c r="H1551" s="5">
        <f>Monthly_Growth!$D$15</f>
        <v>-0.29088662862813197</v>
      </c>
      <c r="I1551" s="15">
        <f>Yearly_Growth!$C$3</f>
        <v>0.11893113731787852</v>
      </c>
      <c r="J1551" s="15">
        <f>Yearly_Growth!$D$3</f>
        <v>0.09</v>
      </c>
      <c r="K1551">
        <f>Sales_Per_Representative!$C$26</f>
        <v>501360</v>
      </c>
      <c r="L1551">
        <f>Sales_Per_Rep_Yearly_Goal!$B$3</f>
        <v>689907.8</v>
      </c>
      <c r="M1551">
        <f>Sales_Per_Rep_Yearly_Goal!$C$3</f>
        <v>690000</v>
      </c>
    </row>
    <row r="1552" spans="1:13" x14ac:dyDescent="0.3">
      <c r="A1552" s="3">
        <v>45340</v>
      </c>
      <c r="B1552">
        <f t="shared" si="24"/>
        <v>2024</v>
      </c>
      <c r="C1552">
        <v>2</v>
      </c>
      <c r="D1552" t="s">
        <v>12</v>
      </c>
      <c r="E1552" t="s">
        <v>22</v>
      </c>
      <c r="F1552" s="2">
        <v>9572</v>
      </c>
      <c r="G1552" s="2">
        <f>Monthly_Growth!$C$15</f>
        <v>714609</v>
      </c>
      <c r="H1552" s="5">
        <f>Monthly_Growth!$D$15</f>
        <v>-0.29088662862813197</v>
      </c>
      <c r="I1552" s="15">
        <f>Yearly_Growth!$C$3</f>
        <v>0.11893113731787852</v>
      </c>
      <c r="J1552" s="15">
        <f>Yearly_Growth!$D$3</f>
        <v>0.09</v>
      </c>
      <c r="K1552">
        <f>Sales_Per_Representative!$C$23</f>
        <v>697444</v>
      </c>
      <c r="L1552">
        <f>Sales_Per_Rep_Yearly_Goal!$B$3</f>
        <v>689907.8</v>
      </c>
      <c r="M1552">
        <f>Sales_Per_Rep_Yearly_Goal!$C$3</f>
        <v>690000</v>
      </c>
    </row>
    <row r="1553" spans="1:13" x14ac:dyDescent="0.3">
      <c r="A1553" s="3">
        <v>45341</v>
      </c>
      <c r="B1553">
        <f t="shared" si="24"/>
        <v>2024</v>
      </c>
      <c r="C1553">
        <v>2</v>
      </c>
      <c r="D1553" t="s">
        <v>14</v>
      </c>
      <c r="E1553" t="s">
        <v>15</v>
      </c>
      <c r="F1553" s="2">
        <v>1983</v>
      </c>
      <c r="G1553" s="2">
        <f>Monthly_Growth!$C$15</f>
        <v>714609</v>
      </c>
      <c r="H1553" s="5">
        <f>Monthly_Growth!$D$15</f>
        <v>-0.29088662862813197</v>
      </c>
      <c r="I1553" s="15">
        <f>Yearly_Growth!$C$3</f>
        <v>0.11893113731787852</v>
      </c>
      <c r="J1553" s="15">
        <f>Yearly_Growth!$D$3</f>
        <v>0.09</v>
      </c>
      <c r="K1553">
        <f>Sales_Per_Representative!$C$27</f>
        <v>617202</v>
      </c>
      <c r="L1553">
        <f>Sales_Per_Rep_Yearly_Goal!$B$3</f>
        <v>689907.8</v>
      </c>
      <c r="M1553">
        <f>Sales_Per_Rep_Yearly_Goal!$C$3</f>
        <v>690000</v>
      </c>
    </row>
    <row r="1554" spans="1:13" x14ac:dyDescent="0.3">
      <c r="A1554" s="3">
        <v>45342</v>
      </c>
      <c r="B1554">
        <f t="shared" si="24"/>
        <v>2024</v>
      </c>
      <c r="C1554">
        <v>2</v>
      </c>
      <c r="D1554" t="s">
        <v>14</v>
      </c>
      <c r="E1554" t="s">
        <v>10</v>
      </c>
      <c r="F1554" s="2">
        <v>9789</v>
      </c>
      <c r="G1554" s="2">
        <f>Monthly_Growth!$C$15</f>
        <v>714609</v>
      </c>
      <c r="H1554" s="5">
        <f>Monthly_Growth!$D$15</f>
        <v>-0.29088662862813197</v>
      </c>
      <c r="I1554" s="15">
        <f>Yearly_Growth!$C$3</f>
        <v>0.11893113731787852</v>
      </c>
      <c r="J1554" s="15">
        <f>Yearly_Growth!$D$3</f>
        <v>0.09</v>
      </c>
      <c r="K1554">
        <f>Sales_Per_Representative!$C$19</f>
        <v>711816</v>
      </c>
      <c r="L1554">
        <f>Sales_Per_Rep_Yearly_Goal!$B$3</f>
        <v>689907.8</v>
      </c>
      <c r="M1554">
        <f>Sales_Per_Rep_Yearly_Goal!$C$3</f>
        <v>690000</v>
      </c>
    </row>
    <row r="1555" spans="1:13" x14ac:dyDescent="0.3">
      <c r="A1555" s="3">
        <v>45342</v>
      </c>
      <c r="B1555">
        <f t="shared" si="24"/>
        <v>2024</v>
      </c>
      <c r="C1555">
        <v>2</v>
      </c>
      <c r="D1555" t="s">
        <v>25</v>
      </c>
      <c r="E1555" t="s">
        <v>18</v>
      </c>
      <c r="F1555" s="2">
        <v>3402</v>
      </c>
      <c r="G1555" s="2">
        <f>Monthly_Growth!$C$15</f>
        <v>714609</v>
      </c>
      <c r="H1555" s="5">
        <f>Monthly_Growth!$D$15</f>
        <v>-0.29088662862813197</v>
      </c>
      <c r="I1555" s="15">
        <f>Yearly_Growth!$C$3</f>
        <v>0.11893113731787852</v>
      </c>
      <c r="J1555" s="15">
        <f>Yearly_Growth!$D$3</f>
        <v>0.09</v>
      </c>
      <c r="K1555">
        <f>Sales_Per_Representative!$C$24</f>
        <v>699277</v>
      </c>
      <c r="L1555">
        <f>Sales_Per_Rep_Yearly_Goal!$B$3</f>
        <v>689907.8</v>
      </c>
      <c r="M1555">
        <f>Sales_Per_Rep_Yearly_Goal!$C$3</f>
        <v>690000</v>
      </c>
    </row>
    <row r="1556" spans="1:13" x14ac:dyDescent="0.3">
      <c r="A1556" s="3">
        <v>45342</v>
      </c>
      <c r="B1556">
        <f t="shared" si="24"/>
        <v>2024</v>
      </c>
      <c r="C1556">
        <v>2</v>
      </c>
      <c r="D1556" t="s">
        <v>25</v>
      </c>
      <c r="E1556" t="s">
        <v>24</v>
      </c>
      <c r="F1556" s="2">
        <v>13949</v>
      </c>
      <c r="G1556" s="2">
        <f>Monthly_Growth!$C$15</f>
        <v>714609</v>
      </c>
      <c r="H1556" s="5">
        <f>Monthly_Growth!$D$15</f>
        <v>-0.29088662862813197</v>
      </c>
      <c r="I1556" s="15">
        <f>Yearly_Growth!$C$3</f>
        <v>0.11893113731787852</v>
      </c>
      <c r="J1556" s="15">
        <f>Yearly_Growth!$D$3</f>
        <v>0.09</v>
      </c>
      <c r="K1556">
        <f>Sales_Per_Representative!$C$17</f>
        <v>633956</v>
      </c>
      <c r="L1556">
        <f>Sales_Per_Rep_Yearly_Goal!$B$3</f>
        <v>689907.8</v>
      </c>
      <c r="M1556">
        <f>Sales_Per_Rep_Yearly_Goal!$C$3</f>
        <v>690000</v>
      </c>
    </row>
    <row r="1557" spans="1:13" x14ac:dyDescent="0.3">
      <c r="A1557" s="3">
        <v>45342</v>
      </c>
      <c r="B1557">
        <f t="shared" si="24"/>
        <v>2024</v>
      </c>
      <c r="C1557">
        <v>2</v>
      </c>
      <c r="D1557" t="s">
        <v>28</v>
      </c>
      <c r="E1557" t="s">
        <v>32</v>
      </c>
      <c r="F1557" s="2">
        <v>7850</v>
      </c>
      <c r="G1557" s="2">
        <f>Monthly_Growth!$C$15</f>
        <v>714609</v>
      </c>
      <c r="H1557" s="5">
        <f>Monthly_Growth!$D$15</f>
        <v>-0.29088662862813197</v>
      </c>
      <c r="I1557" s="15">
        <f>Yearly_Growth!$C$3</f>
        <v>0.11893113731787852</v>
      </c>
      <c r="J1557" s="15">
        <f>Yearly_Growth!$D$3</f>
        <v>0.09</v>
      </c>
      <c r="K1557">
        <f>Sales_Per_Representative!$C$18</f>
        <v>783907</v>
      </c>
      <c r="L1557">
        <f>Sales_Per_Rep_Yearly_Goal!$B$3</f>
        <v>689907.8</v>
      </c>
      <c r="M1557">
        <f>Sales_Per_Rep_Yearly_Goal!$C$3</f>
        <v>690000</v>
      </c>
    </row>
    <row r="1558" spans="1:13" x14ac:dyDescent="0.3">
      <c r="A1558" s="3">
        <v>45343</v>
      </c>
      <c r="B1558">
        <f t="shared" si="24"/>
        <v>2024</v>
      </c>
      <c r="C1558">
        <v>2</v>
      </c>
      <c r="D1558" t="s">
        <v>14</v>
      </c>
      <c r="E1558" t="s">
        <v>33</v>
      </c>
      <c r="F1558" s="2">
        <v>11944</v>
      </c>
      <c r="G1558" s="2">
        <f>Monthly_Growth!$C$15</f>
        <v>714609</v>
      </c>
      <c r="H1558" s="5">
        <f>Monthly_Growth!$D$15</f>
        <v>-0.29088662862813197</v>
      </c>
      <c r="I1558" s="15">
        <f>Yearly_Growth!$C$3</f>
        <v>0.11893113731787852</v>
      </c>
      <c r="J1558" s="15">
        <f>Yearly_Growth!$D$3</f>
        <v>0.09</v>
      </c>
      <c r="K1558">
        <f>Sales_Per_Representative!$C$26</f>
        <v>501360</v>
      </c>
      <c r="L1558">
        <f>Sales_Per_Rep_Yearly_Goal!$B$3</f>
        <v>689907.8</v>
      </c>
      <c r="M1558">
        <f>Sales_Per_Rep_Yearly_Goal!$C$3</f>
        <v>690000</v>
      </c>
    </row>
    <row r="1559" spans="1:13" x14ac:dyDescent="0.3">
      <c r="A1559" s="3">
        <v>45343</v>
      </c>
      <c r="B1559">
        <f t="shared" si="24"/>
        <v>2024</v>
      </c>
      <c r="C1559">
        <v>2</v>
      </c>
      <c r="D1559" t="s">
        <v>23</v>
      </c>
      <c r="E1559" t="s">
        <v>15</v>
      </c>
      <c r="F1559" s="2">
        <v>13684</v>
      </c>
      <c r="G1559" s="2">
        <f>Monthly_Growth!$C$15</f>
        <v>714609</v>
      </c>
      <c r="H1559" s="5">
        <f>Monthly_Growth!$D$15</f>
        <v>-0.29088662862813197</v>
      </c>
      <c r="I1559" s="15">
        <f>Yearly_Growth!$C$3</f>
        <v>0.11893113731787852</v>
      </c>
      <c r="J1559" s="15">
        <f>Yearly_Growth!$D$3</f>
        <v>0.09</v>
      </c>
      <c r="K1559">
        <f>Sales_Per_Representative!$C$27</f>
        <v>617202</v>
      </c>
      <c r="L1559">
        <f>Sales_Per_Rep_Yearly_Goal!$B$3</f>
        <v>689907.8</v>
      </c>
      <c r="M1559">
        <f>Sales_Per_Rep_Yearly_Goal!$C$3</f>
        <v>690000</v>
      </c>
    </row>
    <row r="1560" spans="1:13" x14ac:dyDescent="0.3">
      <c r="A1560" s="3">
        <v>45343</v>
      </c>
      <c r="B1560">
        <f t="shared" si="24"/>
        <v>2024</v>
      </c>
      <c r="C1560">
        <v>2</v>
      </c>
      <c r="D1560" t="s">
        <v>25</v>
      </c>
      <c r="E1560" t="s">
        <v>5</v>
      </c>
      <c r="F1560" s="2">
        <v>8437</v>
      </c>
      <c r="G1560" s="2">
        <f>Monthly_Growth!$C$15</f>
        <v>714609</v>
      </c>
      <c r="H1560" s="5">
        <f>Monthly_Growth!$D$15</f>
        <v>-0.29088662862813197</v>
      </c>
      <c r="I1560" s="15">
        <f>Yearly_Growth!$C$3</f>
        <v>0.11893113731787852</v>
      </c>
      <c r="J1560" s="15">
        <f>Yearly_Growth!$D$3</f>
        <v>0.09</v>
      </c>
      <c r="K1560">
        <f>Sales_Per_Representative!$C$25</f>
        <v>749460</v>
      </c>
      <c r="L1560">
        <f>Sales_Per_Rep_Yearly_Goal!$B$3</f>
        <v>689907.8</v>
      </c>
      <c r="M1560">
        <f>Sales_Per_Rep_Yearly_Goal!$C$3</f>
        <v>690000</v>
      </c>
    </row>
    <row r="1561" spans="1:13" x14ac:dyDescent="0.3">
      <c r="A1561" s="3">
        <v>45343</v>
      </c>
      <c r="B1561">
        <f t="shared" si="24"/>
        <v>2024</v>
      </c>
      <c r="C1561">
        <v>2</v>
      </c>
      <c r="D1561" t="s">
        <v>25</v>
      </c>
      <c r="E1561" t="s">
        <v>18</v>
      </c>
      <c r="F1561" s="2">
        <v>6097</v>
      </c>
      <c r="G1561" s="2">
        <f>Monthly_Growth!$C$15</f>
        <v>714609</v>
      </c>
      <c r="H1561" s="5">
        <f>Monthly_Growth!$D$15</f>
        <v>-0.29088662862813197</v>
      </c>
      <c r="I1561" s="15">
        <f>Yearly_Growth!$C$3</f>
        <v>0.11893113731787852</v>
      </c>
      <c r="J1561" s="15">
        <f>Yearly_Growth!$D$3</f>
        <v>0.09</v>
      </c>
      <c r="K1561">
        <f>Sales_Per_Representative!$C$24</f>
        <v>699277</v>
      </c>
      <c r="L1561">
        <f>Sales_Per_Rep_Yearly_Goal!$B$3</f>
        <v>689907.8</v>
      </c>
      <c r="M1561">
        <f>Sales_Per_Rep_Yearly_Goal!$C$3</f>
        <v>690000</v>
      </c>
    </row>
    <row r="1562" spans="1:13" x14ac:dyDescent="0.3">
      <c r="A1562" s="3">
        <v>45344</v>
      </c>
      <c r="B1562">
        <f t="shared" si="24"/>
        <v>2024</v>
      </c>
      <c r="C1562">
        <v>2</v>
      </c>
      <c r="D1562" t="s">
        <v>19</v>
      </c>
      <c r="E1562" t="s">
        <v>8</v>
      </c>
      <c r="F1562" s="2">
        <v>13795</v>
      </c>
      <c r="G1562" s="2">
        <f>Monthly_Growth!$C$15</f>
        <v>714609</v>
      </c>
      <c r="H1562" s="5">
        <f>Monthly_Growth!$D$15</f>
        <v>-0.29088662862813197</v>
      </c>
      <c r="I1562" s="15">
        <f>Yearly_Growth!$C$3</f>
        <v>0.11893113731787852</v>
      </c>
      <c r="J1562" s="15">
        <f>Yearly_Growth!$D$3</f>
        <v>0.09</v>
      </c>
      <c r="K1562">
        <f>Sales_Per_Representative!$C$30</f>
        <v>780006</v>
      </c>
      <c r="L1562">
        <f>Sales_Per_Rep_Yearly_Goal!$B$3</f>
        <v>689907.8</v>
      </c>
      <c r="M1562">
        <f>Sales_Per_Rep_Yearly_Goal!$C$3</f>
        <v>690000</v>
      </c>
    </row>
    <row r="1563" spans="1:13" x14ac:dyDescent="0.3">
      <c r="A1563" s="3">
        <v>45344</v>
      </c>
      <c r="B1563">
        <f t="shared" si="24"/>
        <v>2024</v>
      </c>
      <c r="C1563">
        <v>2</v>
      </c>
      <c r="D1563" t="s">
        <v>12</v>
      </c>
      <c r="E1563" t="s">
        <v>30</v>
      </c>
      <c r="F1563" s="2">
        <v>13388</v>
      </c>
      <c r="G1563" s="2">
        <f>Monthly_Growth!$C$15</f>
        <v>714609</v>
      </c>
      <c r="H1563" s="5">
        <f>Monthly_Growth!$D$15</f>
        <v>-0.29088662862813197</v>
      </c>
      <c r="I1563" s="15">
        <f>Yearly_Growth!$C$3</f>
        <v>0.11893113731787852</v>
      </c>
      <c r="J1563" s="15">
        <f>Yearly_Growth!$D$3</f>
        <v>0.09</v>
      </c>
      <c r="K1563">
        <f>Sales_Per_Representative!$C$22</f>
        <v>700142</v>
      </c>
      <c r="L1563">
        <f>Sales_Per_Rep_Yearly_Goal!$B$3</f>
        <v>689907.8</v>
      </c>
      <c r="M1563">
        <f>Sales_Per_Rep_Yearly_Goal!$C$3</f>
        <v>690000</v>
      </c>
    </row>
    <row r="1564" spans="1:13" x14ac:dyDescent="0.3">
      <c r="A1564" s="3">
        <v>45345</v>
      </c>
      <c r="B1564">
        <f t="shared" si="24"/>
        <v>2024</v>
      </c>
      <c r="C1564">
        <v>2</v>
      </c>
      <c r="D1564" t="s">
        <v>23</v>
      </c>
      <c r="E1564" t="s">
        <v>26</v>
      </c>
      <c r="F1564" s="2">
        <v>12713</v>
      </c>
      <c r="G1564" s="2">
        <f>Monthly_Growth!$C$15</f>
        <v>714609</v>
      </c>
      <c r="H1564" s="5">
        <f>Monthly_Growth!$D$15</f>
        <v>-0.29088662862813197</v>
      </c>
      <c r="I1564" s="15">
        <f>Yearly_Growth!$C$3</f>
        <v>0.11893113731787852</v>
      </c>
      <c r="J1564" s="15">
        <f>Yearly_Growth!$D$3</f>
        <v>0.09</v>
      </c>
      <c r="K1564">
        <f>Sales_Per_Representative!$C$31</f>
        <v>664244</v>
      </c>
      <c r="L1564">
        <f>Sales_Per_Rep_Yearly_Goal!$B$3</f>
        <v>689907.8</v>
      </c>
      <c r="M1564">
        <f>Sales_Per_Rep_Yearly_Goal!$C$3</f>
        <v>690000</v>
      </c>
    </row>
    <row r="1565" spans="1:13" x14ac:dyDescent="0.3">
      <c r="A1565" s="3">
        <v>45345</v>
      </c>
      <c r="B1565">
        <f t="shared" si="24"/>
        <v>2024</v>
      </c>
      <c r="C1565">
        <v>2</v>
      </c>
      <c r="D1565" t="s">
        <v>7</v>
      </c>
      <c r="E1565" t="s">
        <v>30</v>
      </c>
      <c r="F1565" s="2">
        <v>4494</v>
      </c>
      <c r="G1565" s="2">
        <f>Monthly_Growth!$C$15</f>
        <v>714609</v>
      </c>
      <c r="H1565" s="5">
        <f>Monthly_Growth!$D$15</f>
        <v>-0.29088662862813197</v>
      </c>
      <c r="I1565" s="15">
        <f>Yearly_Growth!$C$3</f>
        <v>0.11893113731787852</v>
      </c>
      <c r="J1565" s="15">
        <f>Yearly_Growth!$D$3</f>
        <v>0.09</v>
      </c>
      <c r="K1565">
        <f>Sales_Per_Representative!$C$22</f>
        <v>700142</v>
      </c>
      <c r="L1565">
        <f>Sales_Per_Rep_Yearly_Goal!$B$3</f>
        <v>689907.8</v>
      </c>
      <c r="M1565">
        <f>Sales_Per_Rep_Yearly_Goal!$C$3</f>
        <v>690000</v>
      </c>
    </row>
    <row r="1566" spans="1:13" x14ac:dyDescent="0.3">
      <c r="A1566" s="3">
        <v>45345</v>
      </c>
      <c r="B1566">
        <f t="shared" si="24"/>
        <v>2024</v>
      </c>
      <c r="C1566">
        <v>2</v>
      </c>
      <c r="D1566" t="s">
        <v>28</v>
      </c>
      <c r="E1566" t="s">
        <v>15</v>
      </c>
      <c r="F1566" s="2">
        <v>5359</v>
      </c>
      <c r="G1566" s="2">
        <f>Monthly_Growth!$C$15</f>
        <v>714609</v>
      </c>
      <c r="H1566" s="5">
        <f>Monthly_Growth!$D$15</f>
        <v>-0.29088662862813197</v>
      </c>
      <c r="I1566" s="15">
        <f>Yearly_Growth!$C$3</f>
        <v>0.11893113731787852</v>
      </c>
      <c r="J1566" s="15">
        <f>Yearly_Growth!$D$3</f>
        <v>0.09</v>
      </c>
      <c r="K1566">
        <f>Sales_Per_Representative!$C$27</f>
        <v>617202</v>
      </c>
      <c r="L1566">
        <f>Sales_Per_Rep_Yearly_Goal!$B$3</f>
        <v>689907.8</v>
      </c>
      <c r="M1566">
        <f>Sales_Per_Rep_Yearly_Goal!$C$3</f>
        <v>690000</v>
      </c>
    </row>
    <row r="1567" spans="1:13" x14ac:dyDescent="0.3">
      <c r="A1567" s="3">
        <v>45346</v>
      </c>
      <c r="B1567">
        <f t="shared" si="24"/>
        <v>2024</v>
      </c>
      <c r="C1567">
        <v>2</v>
      </c>
      <c r="D1567" t="s">
        <v>23</v>
      </c>
      <c r="E1567" t="s">
        <v>20</v>
      </c>
      <c r="F1567" s="2">
        <v>7093</v>
      </c>
      <c r="G1567" s="2">
        <f>Monthly_Growth!$C$15</f>
        <v>714609</v>
      </c>
      <c r="H1567" s="5">
        <f>Monthly_Growth!$D$15</f>
        <v>-0.29088662862813197</v>
      </c>
      <c r="I1567" s="15">
        <f>Yearly_Growth!$C$3</f>
        <v>0.11893113731787852</v>
      </c>
      <c r="J1567" s="15">
        <f>Yearly_Growth!$D$3</f>
        <v>0.09</v>
      </c>
      <c r="K1567">
        <f>Sales_Per_Representative!$C$29</f>
        <v>753085</v>
      </c>
      <c r="L1567">
        <f>Sales_Per_Rep_Yearly_Goal!$B$3</f>
        <v>689907.8</v>
      </c>
      <c r="M1567">
        <f>Sales_Per_Rep_Yearly_Goal!$C$3</f>
        <v>690000</v>
      </c>
    </row>
    <row r="1568" spans="1:13" x14ac:dyDescent="0.3">
      <c r="A1568" s="3">
        <v>45346</v>
      </c>
      <c r="B1568">
        <f t="shared" si="24"/>
        <v>2024</v>
      </c>
      <c r="C1568">
        <v>2</v>
      </c>
      <c r="D1568" t="s">
        <v>17</v>
      </c>
      <c r="E1568" t="s">
        <v>10</v>
      </c>
      <c r="F1568" s="2">
        <v>10320</v>
      </c>
      <c r="G1568" s="2">
        <f>Monthly_Growth!$C$15</f>
        <v>714609</v>
      </c>
      <c r="H1568" s="5">
        <f>Monthly_Growth!$D$15</f>
        <v>-0.29088662862813197</v>
      </c>
      <c r="I1568" s="15">
        <f>Yearly_Growth!$C$3</f>
        <v>0.11893113731787852</v>
      </c>
      <c r="J1568" s="15">
        <f>Yearly_Growth!$D$3</f>
        <v>0.09</v>
      </c>
      <c r="K1568">
        <f>Sales_Per_Representative!$C$19</f>
        <v>711816</v>
      </c>
      <c r="L1568">
        <f>Sales_Per_Rep_Yearly_Goal!$B$3</f>
        <v>689907.8</v>
      </c>
      <c r="M1568">
        <f>Sales_Per_Rep_Yearly_Goal!$C$3</f>
        <v>690000</v>
      </c>
    </row>
    <row r="1569" spans="1:13" x14ac:dyDescent="0.3">
      <c r="A1569" s="3">
        <v>45346</v>
      </c>
      <c r="B1569">
        <f t="shared" si="24"/>
        <v>2024</v>
      </c>
      <c r="C1569">
        <v>2</v>
      </c>
      <c r="D1569" t="s">
        <v>12</v>
      </c>
      <c r="E1569" t="s">
        <v>15</v>
      </c>
      <c r="F1569" s="2">
        <v>3379</v>
      </c>
      <c r="G1569" s="2">
        <f>Monthly_Growth!$C$15</f>
        <v>714609</v>
      </c>
      <c r="H1569" s="5">
        <f>Monthly_Growth!$D$15</f>
        <v>-0.29088662862813197</v>
      </c>
      <c r="I1569" s="15">
        <f>Yearly_Growth!$C$3</f>
        <v>0.11893113731787852</v>
      </c>
      <c r="J1569" s="15">
        <f>Yearly_Growth!$D$3</f>
        <v>0.09</v>
      </c>
      <c r="K1569">
        <f>Sales_Per_Representative!$C$27</f>
        <v>617202</v>
      </c>
      <c r="L1569">
        <f>Sales_Per_Rep_Yearly_Goal!$B$3</f>
        <v>689907.8</v>
      </c>
      <c r="M1569">
        <f>Sales_Per_Rep_Yearly_Goal!$C$3</f>
        <v>690000</v>
      </c>
    </row>
    <row r="1570" spans="1:13" x14ac:dyDescent="0.3">
      <c r="A1570" s="3">
        <v>45347</v>
      </c>
      <c r="B1570">
        <f t="shared" si="24"/>
        <v>2024</v>
      </c>
      <c r="C1570">
        <v>2</v>
      </c>
      <c r="D1570" t="s">
        <v>14</v>
      </c>
      <c r="E1570" t="s">
        <v>15</v>
      </c>
      <c r="F1570" s="2">
        <v>6160</v>
      </c>
      <c r="G1570" s="2">
        <f>Monthly_Growth!$C$15</f>
        <v>714609</v>
      </c>
      <c r="H1570" s="5">
        <f>Monthly_Growth!$D$15</f>
        <v>-0.29088662862813197</v>
      </c>
      <c r="I1570" s="15">
        <f>Yearly_Growth!$C$3</f>
        <v>0.11893113731787852</v>
      </c>
      <c r="J1570" s="15">
        <f>Yearly_Growth!$D$3</f>
        <v>0.09</v>
      </c>
      <c r="K1570">
        <f>Sales_Per_Representative!$C$27</f>
        <v>617202</v>
      </c>
      <c r="L1570">
        <f>Sales_Per_Rep_Yearly_Goal!$B$3</f>
        <v>689907.8</v>
      </c>
      <c r="M1570">
        <f>Sales_Per_Rep_Yearly_Goal!$C$3</f>
        <v>690000</v>
      </c>
    </row>
    <row r="1571" spans="1:13" x14ac:dyDescent="0.3">
      <c r="A1571" s="3">
        <v>45347</v>
      </c>
      <c r="B1571">
        <f t="shared" si="24"/>
        <v>2024</v>
      </c>
      <c r="C1571">
        <v>2</v>
      </c>
      <c r="D1571" t="s">
        <v>14</v>
      </c>
      <c r="E1571" t="s">
        <v>5</v>
      </c>
      <c r="F1571" s="2">
        <v>6113</v>
      </c>
      <c r="G1571" s="2">
        <f>Monthly_Growth!$C$15</f>
        <v>714609</v>
      </c>
      <c r="H1571" s="5">
        <f>Monthly_Growth!$D$15</f>
        <v>-0.29088662862813197</v>
      </c>
      <c r="I1571" s="15">
        <f>Yearly_Growth!$C$3</f>
        <v>0.11893113731787852</v>
      </c>
      <c r="J1571" s="15">
        <f>Yearly_Growth!$D$3</f>
        <v>0.09</v>
      </c>
      <c r="K1571">
        <f>Sales_Per_Representative!$C$25</f>
        <v>749460</v>
      </c>
      <c r="L1571">
        <f>Sales_Per_Rep_Yearly_Goal!$B$3</f>
        <v>689907.8</v>
      </c>
      <c r="M1571">
        <f>Sales_Per_Rep_Yearly_Goal!$C$3</f>
        <v>690000</v>
      </c>
    </row>
    <row r="1572" spans="1:13" x14ac:dyDescent="0.3">
      <c r="A1572" s="3">
        <v>45347</v>
      </c>
      <c r="B1572">
        <f t="shared" si="24"/>
        <v>2024</v>
      </c>
      <c r="C1572">
        <v>2</v>
      </c>
      <c r="D1572" t="s">
        <v>19</v>
      </c>
      <c r="E1572" t="s">
        <v>10</v>
      </c>
      <c r="F1572" s="2">
        <v>8374</v>
      </c>
      <c r="G1572" s="2">
        <f>Monthly_Growth!$C$15</f>
        <v>714609</v>
      </c>
      <c r="H1572" s="5">
        <f>Monthly_Growth!$D$15</f>
        <v>-0.29088662862813197</v>
      </c>
      <c r="I1572" s="15">
        <f>Yearly_Growth!$C$3</f>
        <v>0.11893113731787852</v>
      </c>
      <c r="J1572" s="15">
        <f>Yearly_Growth!$D$3</f>
        <v>0.09</v>
      </c>
      <c r="K1572">
        <f>Sales_Per_Representative!$C$19</f>
        <v>711816</v>
      </c>
      <c r="L1572">
        <f>Sales_Per_Rep_Yearly_Goal!$B$3</f>
        <v>689907.8</v>
      </c>
      <c r="M1572">
        <f>Sales_Per_Rep_Yearly_Goal!$C$3</f>
        <v>690000</v>
      </c>
    </row>
    <row r="1573" spans="1:13" x14ac:dyDescent="0.3">
      <c r="A1573" s="3">
        <v>45347</v>
      </c>
      <c r="B1573">
        <f t="shared" si="24"/>
        <v>2024</v>
      </c>
      <c r="C1573">
        <v>2</v>
      </c>
      <c r="D1573" t="s">
        <v>19</v>
      </c>
      <c r="E1573" t="s">
        <v>24</v>
      </c>
      <c r="F1573" s="2">
        <v>8698</v>
      </c>
      <c r="G1573" s="2">
        <f>Monthly_Growth!$C$15</f>
        <v>714609</v>
      </c>
      <c r="H1573" s="5">
        <f>Monthly_Growth!$D$15</f>
        <v>-0.29088662862813197</v>
      </c>
      <c r="I1573" s="15">
        <f>Yearly_Growth!$C$3</f>
        <v>0.11893113731787852</v>
      </c>
      <c r="J1573" s="15">
        <f>Yearly_Growth!$D$3</f>
        <v>0.09</v>
      </c>
      <c r="K1573">
        <f>Sales_Per_Representative!$C$17</f>
        <v>633956</v>
      </c>
      <c r="L1573">
        <f>Sales_Per_Rep_Yearly_Goal!$B$3</f>
        <v>689907.8</v>
      </c>
      <c r="M1573">
        <f>Sales_Per_Rep_Yearly_Goal!$C$3</f>
        <v>690000</v>
      </c>
    </row>
    <row r="1574" spans="1:13" x14ac:dyDescent="0.3">
      <c r="A1574" s="3">
        <v>45347</v>
      </c>
      <c r="B1574">
        <f t="shared" si="24"/>
        <v>2024</v>
      </c>
      <c r="C1574">
        <v>2</v>
      </c>
      <c r="D1574" t="s">
        <v>7</v>
      </c>
      <c r="E1574" t="s">
        <v>10</v>
      </c>
      <c r="F1574" s="2">
        <v>8621</v>
      </c>
      <c r="G1574" s="2">
        <f>Monthly_Growth!$C$15</f>
        <v>714609</v>
      </c>
      <c r="H1574" s="5">
        <f>Monthly_Growth!$D$15</f>
        <v>-0.29088662862813197</v>
      </c>
      <c r="I1574" s="15">
        <f>Yearly_Growth!$C$3</f>
        <v>0.11893113731787852</v>
      </c>
      <c r="J1574" s="15">
        <f>Yearly_Growth!$D$3</f>
        <v>0.09</v>
      </c>
      <c r="K1574">
        <f>Sales_Per_Representative!$C$19</f>
        <v>711816</v>
      </c>
      <c r="L1574">
        <f>Sales_Per_Rep_Yearly_Goal!$B$3</f>
        <v>689907.8</v>
      </c>
      <c r="M1574">
        <f>Sales_Per_Rep_Yearly_Goal!$C$3</f>
        <v>690000</v>
      </c>
    </row>
    <row r="1575" spans="1:13" x14ac:dyDescent="0.3">
      <c r="A1575" s="3">
        <v>45347</v>
      </c>
      <c r="B1575">
        <f t="shared" si="24"/>
        <v>2024</v>
      </c>
      <c r="C1575">
        <v>2</v>
      </c>
      <c r="D1575" t="s">
        <v>28</v>
      </c>
      <c r="E1575" t="s">
        <v>5</v>
      </c>
      <c r="F1575" s="2">
        <v>3829</v>
      </c>
      <c r="G1575" s="2">
        <f>Monthly_Growth!$C$15</f>
        <v>714609</v>
      </c>
      <c r="H1575" s="5">
        <f>Monthly_Growth!$D$15</f>
        <v>-0.29088662862813197</v>
      </c>
      <c r="I1575" s="15">
        <f>Yearly_Growth!$C$3</f>
        <v>0.11893113731787852</v>
      </c>
      <c r="J1575" s="15">
        <f>Yearly_Growth!$D$3</f>
        <v>0.09</v>
      </c>
      <c r="K1575">
        <f>Sales_Per_Representative!$C$25</f>
        <v>749460</v>
      </c>
      <c r="L1575">
        <f>Sales_Per_Rep_Yearly_Goal!$B$3</f>
        <v>689907.8</v>
      </c>
      <c r="M1575">
        <f>Sales_Per_Rep_Yearly_Goal!$C$3</f>
        <v>690000</v>
      </c>
    </row>
    <row r="1576" spans="1:13" x14ac:dyDescent="0.3">
      <c r="A1576" s="3">
        <v>45348</v>
      </c>
      <c r="B1576">
        <f t="shared" si="24"/>
        <v>2024</v>
      </c>
      <c r="C1576">
        <v>2</v>
      </c>
      <c r="D1576" t="s">
        <v>7</v>
      </c>
      <c r="E1576" t="s">
        <v>18</v>
      </c>
      <c r="F1576" s="2">
        <v>9213</v>
      </c>
      <c r="G1576" s="2">
        <f>Monthly_Growth!$C$15</f>
        <v>714609</v>
      </c>
      <c r="H1576" s="5">
        <f>Monthly_Growth!$D$15</f>
        <v>-0.29088662862813197</v>
      </c>
      <c r="I1576" s="15">
        <f>Yearly_Growth!$C$3</f>
        <v>0.11893113731787852</v>
      </c>
      <c r="J1576" s="15">
        <f>Yearly_Growth!$D$3</f>
        <v>0.09</v>
      </c>
      <c r="K1576">
        <f>Sales_Per_Representative!$C$24</f>
        <v>699277</v>
      </c>
      <c r="L1576">
        <f>Sales_Per_Rep_Yearly_Goal!$B$3</f>
        <v>689907.8</v>
      </c>
      <c r="M1576">
        <f>Sales_Per_Rep_Yearly_Goal!$C$3</f>
        <v>690000</v>
      </c>
    </row>
    <row r="1577" spans="1:13" x14ac:dyDescent="0.3">
      <c r="A1577" s="3">
        <v>45348</v>
      </c>
      <c r="B1577">
        <f t="shared" si="24"/>
        <v>2024</v>
      </c>
      <c r="C1577">
        <v>2</v>
      </c>
      <c r="D1577" t="s">
        <v>28</v>
      </c>
      <c r="E1577" t="s">
        <v>22</v>
      </c>
      <c r="F1577" s="2">
        <v>13087</v>
      </c>
      <c r="G1577" s="2">
        <f>Monthly_Growth!$C$15</f>
        <v>714609</v>
      </c>
      <c r="H1577" s="5">
        <f>Monthly_Growth!$D$15</f>
        <v>-0.29088662862813197</v>
      </c>
      <c r="I1577" s="15">
        <f>Yearly_Growth!$C$3</f>
        <v>0.11893113731787852</v>
      </c>
      <c r="J1577" s="15">
        <f>Yearly_Growth!$D$3</f>
        <v>0.09</v>
      </c>
      <c r="K1577">
        <f>Sales_Per_Representative!$C$23</f>
        <v>697444</v>
      </c>
      <c r="L1577">
        <f>Sales_Per_Rep_Yearly_Goal!$B$3</f>
        <v>689907.8</v>
      </c>
      <c r="M1577">
        <f>Sales_Per_Rep_Yearly_Goal!$C$3</f>
        <v>690000</v>
      </c>
    </row>
    <row r="1578" spans="1:13" x14ac:dyDescent="0.3">
      <c r="A1578" s="3">
        <v>45349</v>
      </c>
      <c r="B1578">
        <f t="shared" si="24"/>
        <v>2024</v>
      </c>
      <c r="C1578">
        <v>2</v>
      </c>
      <c r="D1578" t="s">
        <v>7</v>
      </c>
      <c r="E1578" t="s">
        <v>30</v>
      </c>
      <c r="F1578" s="2">
        <v>13373</v>
      </c>
      <c r="G1578" s="2">
        <f>Monthly_Growth!$C$15</f>
        <v>714609</v>
      </c>
      <c r="H1578" s="5">
        <f>Monthly_Growth!$D$15</f>
        <v>-0.29088662862813197</v>
      </c>
      <c r="I1578" s="15">
        <f>Yearly_Growth!$C$3</f>
        <v>0.11893113731787852</v>
      </c>
      <c r="J1578" s="15">
        <f>Yearly_Growth!$D$3</f>
        <v>0.09</v>
      </c>
      <c r="K1578">
        <f>Sales_Per_Representative!$C$22</f>
        <v>700142</v>
      </c>
      <c r="L1578">
        <f>Sales_Per_Rep_Yearly_Goal!$B$3</f>
        <v>689907.8</v>
      </c>
      <c r="M1578">
        <f>Sales_Per_Rep_Yearly_Goal!$C$3</f>
        <v>690000</v>
      </c>
    </row>
    <row r="1579" spans="1:13" x14ac:dyDescent="0.3">
      <c r="A1579" s="3">
        <v>45349</v>
      </c>
      <c r="B1579">
        <f t="shared" si="24"/>
        <v>2024</v>
      </c>
      <c r="C1579">
        <v>2</v>
      </c>
      <c r="D1579" t="s">
        <v>17</v>
      </c>
      <c r="E1579" t="s">
        <v>18</v>
      </c>
      <c r="F1579" s="2">
        <v>11478</v>
      </c>
      <c r="G1579" s="2">
        <f>Monthly_Growth!$C$15</f>
        <v>714609</v>
      </c>
      <c r="H1579" s="5">
        <f>Monthly_Growth!$D$15</f>
        <v>-0.29088662862813197</v>
      </c>
      <c r="I1579" s="15">
        <f>Yearly_Growth!$C$3</f>
        <v>0.11893113731787852</v>
      </c>
      <c r="J1579" s="15">
        <f>Yearly_Growth!$D$3</f>
        <v>0.09</v>
      </c>
      <c r="K1579">
        <f>Sales_Per_Representative!$C$24</f>
        <v>699277</v>
      </c>
      <c r="L1579">
        <f>Sales_Per_Rep_Yearly_Goal!$B$3</f>
        <v>689907.8</v>
      </c>
      <c r="M1579">
        <f>Sales_Per_Rep_Yearly_Goal!$C$3</f>
        <v>690000</v>
      </c>
    </row>
    <row r="1580" spans="1:13" x14ac:dyDescent="0.3">
      <c r="A1580" s="3">
        <v>45350</v>
      </c>
      <c r="B1580">
        <f t="shared" si="24"/>
        <v>2024</v>
      </c>
      <c r="C1580">
        <v>2</v>
      </c>
      <c r="D1580" t="s">
        <v>17</v>
      </c>
      <c r="E1580" t="s">
        <v>24</v>
      </c>
      <c r="F1580" s="2">
        <v>2342</v>
      </c>
      <c r="G1580" s="2">
        <f>Monthly_Growth!$C$15</f>
        <v>714609</v>
      </c>
      <c r="H1580" s="5">
        <f>Monthly_Growth!$D$15</f>
        <v>-0.29088662862813197</v>
      </c>
      <c r="I1580" s="15">
        <f>Yearly_Growth!$C$3</f>
        <v>0.11893113731787852</v>
      </c>
      <c r="J1580" s="15">
        <f>Yearly_Growth!$D$3</f>
        <v>0.09</v>
      </c>
      <c r="K1580">
        <f>Sales_Per_Representative!$C$17</f>
        <v>633956</v>
      </c>
      <c r="L1580">
        <f>Sales_Per_Rep_Yearly_Goal!$B$3</f>
        <v>689907.8</v>
      </c>
      <c r="M1580">
        <f>Sales_Per_Rep_Yearly_Goal!$C$3</f>
        <v>690000</v>
      </c>
    </row>
    <row r="1581" spans="1:13" x14ac:dyDescent="0.3">
      <c r="A1581" s="3">
        <v>45350</v>
      </c>
      <c r="B1581">
        <f t="shared" si="24"/>
        <v>2024</v>
      </c>
      <c r="C1581">
        <v>2</v>
      </c>
      <c r="D1581" t="s">
        <v>17</v>
      </c>
      <c r="E1581" t="s">
        <v>15</v>
      </c>
      <c r="F1581" s="2">
        <v>13705</v>
      </c>
      <c r="G1581" s="2">
        <f>Monthly_Growth!$C$15</f>
        <v>714609</v>
      </c>
      <c r="H1581" s="5">
        <f>Monthly_Growth!$D$15</f>
        <v>-0.29088662862813197</v>
      </c>
      <c r="I1581" s="15">
        <f>Yearly_Growth!$C$3</f>
        <v>0.11893113731787852</v>
      </c>
      <c r="J1581" s="15">
        <f>Yearly_Growth!$D$3</f>
        <v>0.09</v>
      </c>
      <c r="K1581">
        <f>Sales_Per_Representative!$C$27</f>
        <v>617202</v>
      </c>
      <c r="L1581">
        <f>Sales_Per_Rep_Yearly_Goal!$B$3</f>
        <v>689907.8</v>
      </c>
      <c r="M1581">
        <f>Sales_Per_Rep_Yearly_Goal!$C$3</f>
        <v>690000</v>
      </c>
    </row>
    <row r="1582" spans="1:13" x14ac:dyDescent="0.3">
      <c r="A1582" s="3">
        <v>45351</v>
      </c>
      <c r="B1582">
        <f t="shared" si="24"/>
        <v>2024</v>
      </c>
      <c r="C1582">
        <v>2</v>
      </c>
      <c r="D1582" t="s">
        <v>23</v>
      </c>
      <c r="E1582" t="s">
        <v>29</v>
      </c>
      <c r="F1582" s="2">
        <v>3193</v>
      </c>
      <c r="G1582" s="2">
        <f>Monthly_Growth!$C$15</f>
        <v>714609</v>
      </c>
      <c r="H1582" s="5">
        <f>Monthly_Growth!$D$15</f>
        <v>-0.29088662862813197</v>
      </c>
      <c r="I1582" s="15">
        <f>Yearly_Growth!$C$3</f>
        <v>0.11893113731787852</v>
      </c>
      <c r="J1582" s="15">
        <f>Yearly_Growth!$D$3</f>
        <v>0.09</v>
      </c>
      <c r="K1582">
        <f>Sales_Per_Representative!$C$28</f>
        <v>691917</v>
      </c>
      <c r="L1582">
        <f>Sales_Per_Rep_Yearly_Goal!$B$3</f>
        <v>689907.8</v>
      </c>
      <c r="M1582">
        <f>Sales_Per_Rep_Yearly_Goal!$C$3</f>
        <v>690000</v>
      </c>
    </row>
    <row r="1583" spans="1:13" x14ac:dyDescent="0.3">
      <c r="A1583" s="3">
        <v>45351</v>
      </c>
      <c r="B1583">
        <f t="shared" si="24"/>
        <v>2024</v>
      </c>
      <c r="C1583">
        <v>2</v>
      </c>
      <c r="D1583" t="s">
        <v>17</v>
      </c>
      <c r="E1583" t="s">
        <v>18</v>
      </c>
      <c r="F1583" s="2">
        <v>11231</v>
      </c>
      <c r="G1583" s="2">
        <f>Monthly_Growth!$C$15</f>
        <v>714609</v>
      </c>
      <c r="H1583" s="5">
        <f>Monthly_Growth!$D$15</f>
        <v>-0.29088662862813197</v>
      </c>
      <c r="I1583" s="15">
        <f>Yearly_Growth!$C$3</f>
        <v>0.11893113731787852</v>
      </c>
      <c r="J1583" s="15">
        <f>Yearly_Growth!$D$3</f>
        <v>0.09</v>
      </c>
      <c r="K1583">
        <f>Sales_Per_Representative!$C$24</f>
        <v>699277</v>
      </c>
      <c r="L1583">
        <f>Sales_Per_Rep_Yearly_Goal!$B$3</f>
        <v>689907.8</v>
      </c>
      <c r="M1583">
        <f>Sales_Per_Rep_Yearly_Goal!$C$3</f>
        <v>690000</v>
      </c>
    </row>
    <row r="1584" spans="1:13" x14ac:dyDescent="0.3">
      <c r="A1584" s="3">
        <v>45351</v>
      </c>
      <c r="B1584">
        <f t="shared" si="24"/>
        <v>2024</v>
      </c>
      <c r="C1584">
        <v>2</v>
      </c>
      <c r="D1584" t="s">
        <v>12</v>
      </c>
      <c r="E1584" t="s">
        <v>15</v>
      </c>
      <c r="F1584" s="2">
        <v>4742</v>
      </c>
      <c r="G1584" s="2">
        <f>Monthly_Growth!$C$15</f>
        <v>714609</v>
      </c>
      <c r="H1584" s="5">
        <f>Monthly_Growth!$D$15</f>
        <v>-0.29088662862813197</v>
      </c>
      <c r="I1584" s="15">
        <f>Yearly_Growth!$C$3</f>
        <v>0.11893113731787852</v>
      </c>
      <c r="J1584" s="15">
        <f>Yearly_Growth!$D$3</f>
        <v>0.09</v>
      </c>
      <c r="K1584">
        <f>Sales_Per_Representative!$C$27</f>
        <v>617202</v>
      </c>
      <c r="L1584">
        <f>Sales_Per_Rep_Yearly_Goal!$B$3</f>
        <v>689907.8</v>
      </c>
      <c r="M1584">
        <f>Sales_Per_Rep_Yearly_Goal!$C$3</f>
        <v>690000</v>
      </c>
    </row>
    <row r="1585" spans="1:13" x14ac:dyDescent="0.3">
      <c r="A1585" s="3">
        <v>45352</v>
      </c>
      <c r="B1585">
        <f t="shared" si="24"/>
        <v>2024</v>
      </c>
      <c r="C1585">
        <v>3</v>
      </c>
      <c r="D1585" t="s">
        <v>19</v>
      </c>
      <c r="E1585" t="s">
        <v>15</v>
      </c>
      <c r="F1585" s="2">
        <v>11899</v>
      </c>
      <c r="G1585" s="2">
        <f>Monthly_Growth!$C$16</f>
        <v>925825</v>
      </c>
      <c r="H1585" s="5">
        <f>Monthly_Growth!$D$16</f>
        <v>0.29556862564003533</v>
      </c>
      <c r="I1585" s="15">
        <f>Yearly_Growth!$C$3</f>
        <v>0.11893113731787852</v>
      </c>
      <c r="J1585" s="15">
        <f>Yearly_Growth!$D$3</f>
        <v>0.09</v>
      </c>
      <c r="K1585">
        <f>Sales_Per_Representative!$C$27</f>
        <v>617202</v>
      </c>
      <c r="L1585">
        <f>Sales_Per_Rep_Yearly_Goal!$B$3</f>
        <v>689907.8</v>
      </c>
      <c r="M1585">
        <f>Sales_Per_Rep_Yearly_Goal!$C$3</f>
        <v>690000</v>
      </c>
    </row>
    <row r="1586" spans="1:13" x14ac:dyDescent="0.3">
      <c r="A1586" s="3">
        <v>45352</v>
      </c>
      <c r="B1586">
        <f t="shared" si="24"/>
        <v>2024</v>
      </c>
      <c r="C1586">
        <v>3</v>
      </c>
      <c r="D1586" t="s">
        <v>19</v>
      </c>
      <c r="E1586" t="s">
        <v>32</v>
      </c>
      <c r="F1586" s="2">
        <v>6816</v>
      </c>
      <c r="G1586" s="2">
        <f>Monthly_Growth!$C$16</f>
        <v>925825</v>
      </c>
      <c r="H1586" s="5">
        <f>Monthly_Growth!$D$16</f>
        <v>0.29556862564003533</v>
      </c>
      <c r="I1586" s="15">
        <f>Yearly_Growth!$C$3</f>
        <v>0.11893113731787852</v>
      </c>
      <c r="J1586" s="15">
        <f>Yearly_Growth!$D$3</f>
        <v>0.09</v>
      </c>
      <c r="K1586">
        <f>Sales_Per_Representative!$C$18</f>
        <v>783907</v>
      </c>
      <c r="L1586">
        <f>Sales_Per_Rep_Yearly_Goal!$B$3</f>
        <v>689907.8</v>
      </c>
      <c r="M1586">
        <f>Sales_Per_Rep_Yearly_Goal!$C$3</f>
        <v>690000</v>
      </c>
    </row>
    <row r="1587" spans="1:13" x14ac:dyDescent="0.3">
      <c r="A1587" s="3">
        <v>45352</v>
      </c>
      <c r="B1587">
        <f t="shared" si="24"/>
        <v>2024</v>
      </c>
      <c r="C1587">
        <v>3</v>
      </c>
      <c r="D1587" t="s">
        <v>7</v>
      </c>
      <c r="E1587" t="s">
        <v>20</v>
      </c>
      <c r="F1587" s="2">
        <v>5292</v>
      </c>
      <c r="G1587" s="2">
        <f>Monthly_Growth!$C$16</f>
        <v>925825</v>
      </c>
      <c r="H1587" s="5">
        <f>Monthly_Growth!$D$16</f>
        <v>0.29556862564003533</v>
      </c>
      <c r="I1587" s="15">
        <f>Yearly_Growth!$C$3</f>
        <v>0.11893113731787852</v>
      </c>
      <c r="J1587" s="15">
        <f>Yearly_Growth!$D$3</f>
        <v>0.09</v>
      </c>
      <c r="K1587">
        <f>Sales_Per_Representative!$C$29</f>
        <v>753085</v>
      </c>
      <c r="L1587">
        <f>Sales_Per_Rep_Yearly_Goal!$B$3</f>
        <v>689907.8</v>
      </c>
      <c r="M1587">
        <f>Sales_Per_Rep_Yearly_Goal!$C$3</f>
        <v>690000</v>
      </c>
    </row>
    <row r="1588" spans="1:13" x14ac:dyDescent="0.3">
      <c r="A1588" s="3">
        <v>45352</v>
      </c>
      <c r="B1588">
        <f t="shared" si="24"/>
        <v>2024</v>
      </c>
      <c r="C1588">
        <v>3</v>
      </c>
      <c r="D1588" t="s">
        <v>7</v>
      </c>
      <c r="E1588" t="s">
        <v>33</v>
      </c>
      <c r="F1588" s="2">
        <v>7588</v>
      </c>
      <c r="G1588" s="2">
        <f>Monthly_Growth!$C$16</f>
        <v>925825</v>
      </c>
      <c r="H1588" s="5">
        <f>Monthly_Growth!$D$16</f>
        <v>0.29556862564003533</v>
      </c>
      <c r="I1588" s="15">
        <f>Yearly_Growth!$C$3</f>
        <v>0.11893113731787852</v>
      </c>
      <c r="J1588" s="15">
        <f>Yearly_Growth!$D$3</f>
        <v>0.09</v>
      </c>
      <c r="K1588">
        <f>Sales_Per_Representative!$C$26</f>
        <v>501360</v>
      </c>
      <c r="L1588">
        <f>Sales_Per_Rep_Yearly_Goal!$B$3</f>
        <v>689907.8</v>
      </c>
      <c r="M1588">
        <f>Sales_Per_Rep_Yearly_Goal!$C$3</f>
        <v>690000</v>
      </c>
    </row>
    <row r="1589" spans="1:13" x14ac:dyDescent="0.3">
      <c r="A1589" s="3">
        <v>45353</v>
      </c>
      <c r="B1589">
        <f t="shared" si="24"/>
        <v>2024</v>
      </c>
      <c r="C1589">
        <v>3</v>
      </c>
      <c r="D1589" t="s">
        <v>19</v>
      </c>
      <c r="E1589" t="s">
        <v>10</v>
      </c>
      <c r="F1589" s="2">
        <v>12980</v>
      </c>
      <c r="G1589" s="2">
        <f>Monthly_Growth!$C$16</f>
        <v>925825</v>
      </c>
      <c r="H1589" s="5">
        <f>Monthly_Growth!$D$16</f>
        <v>0.29556862564003533</v>
      </c>
      <c r="I1589" s="15">
        <f>Yearly_Growth!$C$3</f>
        <v>0.11893113731787852</v>
      </c>
      <c r="J1589" s="15">
        <f>Yearly_Growth!$D$3</f>
        <v>0.09</v>
      </c>
      <c r="K1589">
        <f>Sales_Per_Representative!$C$19</f>
        <v>711816</v>
      </c>
      <c r="L1589">
        <f>Sales_Per_Rep_Yearly_Goal!$B$3</f>
        <v>689907.8</v>
      </c>
      <c r="M1589">
        <f>Sales_Per_Rep_Yearly_Goal!$C$3</f>
        <v>690000</v>
      </c>
    </row>
    <row r="1590" spans="1:13" x14ac:dyDescent="0.3">
      <c r="A1590" s="3">
        <v>45353</v>
      </c>
      <c r="B1590">
        <f t="shared" si="24"/>
        <v>2024</v>
      </c>
      <c r="C1590">
        <v>3</v>
      </c>
      <c r="D1590" t="s">
        <v>23</v>
      </c>
      <c r="E1590" t="s">
        <v>20</v>
      </c>
      <c r="F1590" s="2">
        <v>10521</v>
      </c>
      <c r="G1590" s="2">
        <f>Monthly_Growth!$C$16</f>
        <v>925825</v>
      </c>
      <c r="H1590" s="5">
        <f>Monthly_Growth!$D$16</f>
        <v>0.29556862564003533</v>
      </c>
      <c r="I1590" s="15">
        <f>Yearly_Growth!$C$3</f>
        <v>0.11893113731787852</v>
      </c>
      <c r="J1590" s="15">
        <f>Yearly_Growth!$D$3</f>
        <v>0.09</v>
      </c>
      <c r="K1590">
        <f>Sales_Per_Representative!$C$29</f>
        <v>753085</v>
      </c>
      <c r="L1590">
        <f>Sales_Per_Rep_Yearly_Goal!$B$3</f>
        <v>689907.8</v>
      </c>
      <c r="M1590">
        <f>Sales_Per_Rep_Yearly_Goal!$C$3</f>
        <v>690000</v>
      </c>
    </row>
    <row r="1591" spans="1:13" x14ac:dyDescent="0.3">
      <c r="A1591" s="3">
        <v>45353</v>
      </c>
      <c r="B1591">
        <f t="shared" si="24"/>
        <v>2024</v>
      </c>
      <c r="C1591">
        <v>3</v>
      </c>
      <c r="D1591" t="s">
        <v>23</v>
      </c>
      <c r="E1591" t="s">
        <v>10</v>
      </c>
      <c r="F1591" s="2">
        <v>12276</v>
      </c>
      <c r="G1591" s="2">
        <f>Monthly_Growth!$C$16</f>
        <v>925825</v>
      </c>
      <c r="H1591" s="5">
        <f>Monthly_Growth!$D$16</f>
        <v>0.29556862564003533</v>
      </c>
      <c r="I1591" s="15">
        <f>Yearly_Growth!$C$3</f>
        <v>0.11893113731787852</v>
      </c>
      <c r="J1591" s="15">
        <f>Yearly_Growth!$D$3</f>
        <v>0.09</v>
      </c>
      <c r="K1591">
        <f>Sales_Per_Representative!$C$19</f>
        <v>711816</v>
      </c>
      <c r="L1591">
        <f>Sales_Per_Rep_Yearly_Goal!$B$3</f>
        <v>689907.8</v>
      </c>
      <c r="M1591">
        <f>Sales_Per_Rep_Yearly_Goal!$C$3</f>
        <v>690000</v>
      </c>
    </row>
    <row r="1592" spans="1:13" x14ac:dyDescent="0.3">
      <c r="A1592" s="3">
        <v>45353</v>
      </c>
      <c r="B1592">
        <f t="shared" si="24"/>
        <v>2024</v>
      </c>
      <c r="C1592">
        <v>3</v>
      </c>
      <c r="D1592" t="s">
        <v>28</v>
      </c>
      <c r="E1592" t="s">
        <v>33</v>
      </c>
      <c r="F1592" s="2">
        <v>6571</v>
      </c>
      <c r="G1592" s="2">
        <f>Monthly_Growth!$C$16</f>
        <v>925825</v>
      </c>
      <c r="H1592" s="5">
        <f>Monthly_Growth!$D$16</f>
        <v>0.29556862564003533</v>
      </c>
      <c r="I1592" s="15">
        <f>Yearly_Growth!$C$3</f>
        <v>0.11893113731787852</v>
      </c>
      <c r="J1592" s="15">
        <f>Yearly_Growth!$D$3</f>
        <v>0.09</v>
      </c>
      <c r="K1592">
        <f>Sales_Per_Representative!$C$26</f>
        <v>501360</v>
      </c>
      <c r="L1592">
        <f>Sales_Per_Rep_Yearly_Goal!$B$3</f>
        <v>689907.8</v>
      </c>
      <c r="M1592">
        <f>Sales_Per_Rep_Yearly_Goal!$C$3</f>
        <v>690000</v>
      </c>
    </row>
    <row r="1593" spans="1:13" x14ac:dyDescent="0.3">
      <c r="A1593" s="3">
        <v>45353</v>
      </c>
      <c r="B1593">
        <f t="shared" si="24"/>
        <v>2024</v>
      </c>
      <c r="C1593">
        <v>3</v>
      </c>
      <c r="D1593" t="s">
        <v>28</v>
      </c>
      <c r="E1593" t="s">
        <v>31</v>
      </c>
      <c r="F1593" s="2">
        <v>8818</v>
      </c>
      <c r="G1593" s="2">
        <f>Monthly_Growth!$C$16</f>
        <v>925825</v>
      </c>
      <c r="H1593" s="5">
        <f>Monthly_Growth!$D$16</f>
        <v>0.29556862564003533</v>
      </c>
      <c r="I1593" s="15">
        <f>Yearly_Growth!$C$3</f>
        <v>0.11893113731787852</v>
      </c>
      <c r="J1593" s="15">
        <f>Yearly_Growth!$D$3</f>
        <v>0.09</v>
      </c>
      <c r="K1593">
        <f>Sales_Per_Representative!$C$21</f>
        <v>679421</v>
      </c>
      <c r="L1593">
        <f>Sales_Per_Rep_Yearly_Goal!$B$3</f>
        <v>689907.8</v>
      </c>
      <c r="M1593">
        <f>Sales_Per_Rep_Yearly_Goal!$C$3</f>
        <v>690000</v>
      </c>
    </row>
    <row r="1594" spans="1:13" x14ac:dyDescent="0.3">
      <c r="A1594" s="3">
        <v>45354</v>
      </c>
      <c r="B1594">
        <f t="shared" si="24"/>
        <v>2024</v>
      </c>
      <c r="C1594">
        <v>3</v>
      </c>
      <c r="D1594" t="s">
        <v>23</v>
      </c>
      <c r="E1594" t="s">
        <v>33</v>
      </c>
      <c r="F1594" s="2">
        <v>4415</v>
      </c>
      <c r="G1594" s="2">
        <f>Monthly_Growth!$C$16</f>
        <v>925825</v>
      </c>
      <c r="H1594" s="5">
        <f>Monthly_Growth!$D$16</f>
        <v>0.29556862564003533</v>
      </c>
      <c r="I1594" s="15">
        <f>Yearly_Growth!$C$3</f>
        <v>0.11893113731787852</v>
      </c>
      <c r="J1594" s="15">
        <f>Yearly_Growth!$D$3</f>
        <v>0.09</v>
      </c>
      <c r="K1594">
        <f>Sales_Per_Representative!$C$26</f>
        <v>501360</v>
      </c>
      <c r="L1594">
        <f>Sales_Per_Rep_Yearly_Goal!$B$3</f>
        <v>689907.8</v>
      </c>
      <c r="M1594">
        <f>Sales_Per_Rep_Yearly_Goal!$C$3</f>
        <v>690000</v>
      </c>
    </row>
    <row r="1595" spans="1:13" x14ac:dyDescent="0.3">
      <c r="A1595" s="3">
        <v>45354</v>
      </c>
      <c r="B1595">
        <f t="shared" si="24"/>
        <v>2024</v>
      </c>
      <c r="C1595">
        <v>3</v>
      </c>
      <c r="D1595" t="s">
        <v>7</v>
      </c>
      <c r="E1595" t="s">
        <v>22</v>
      </c>
      <c r="F1595" s="2">
        <v>4597</v>
      </c>
      <c r="G1595" s="2">
        <f>Monthly_Growth!$C$16</f>
        <v>925825</v>
      </c>
      <c r="H1595" s="5">
        <f>Monthly_Growth!$D$16</f>
        <v>0.29556862564003533</v>
      </c>
      <c r="I1595" s="15">
        <f>Yearly_Growth!$C$3</f>
        <v>0.11893113731787852</v>
      </c>
      <c r="J1595" s="15">
        <f>Yearly_Growth!$D$3</f>
        <v>0.09</v>
      </c>
      <c r="K1595">
        <f>Sales_Per_Representative!$C$23</f>
        <v>697444</v>
      </c>
      <c r="L1595">
        <f>Sales_Per_Rep_Yearly_Goal!$B$3</f>
        <v>689907.8</v>
      </c>
      <c r="M1595">
        <f>Sales_Per_Rep_Yearly_Goal!$C$3</f>
        <v>690000</v>
      </c>
    </row>
    <row r="1596" spans="1:13" x14ac:dyDescent="0.3">
      <c r="A1596" s="3">
        <v>45355</v>
      </c>
      <c r="B1596">
        <f t="shared" si="24"/>
        <v>2024</v>
      </c>
      <c r="C1596">
        <v>3</v>
      </c>
      <c r="D1596" t="s">
        <v>7</v>
      </c>
      <c r="E1596" t="s">
        <v>33</v>
      </c>
      <c r="F1596" s="2">
        <v>1475</v>
      </c>
      <c r="G1596" s="2">
        <f>Monthly_Growth!$C$16</f>
        <v>925825</v>
      </c>
      <c r="H1596" s="5">
        <f>Monthly_Growth!$D$16</f>
        <v>0.29556862564003533</v>
      </c>
      <c r="I1596" s="15">
        <f>Yearly_Growth!$C$3</f>
        <v>0.11893113731787852</v>
      </c>
      <c r="J1596" s="15">
        <f>Yearly_Growth!$D$3</f>
        <v>0.09</v>
      </c>
      <c r="K1596">
        <f>Sales_Per_Representative!$C$26</f>
        <v>501360</v>
      </c>
      <c r="L1596">
        <f>Sales_Per_Rep_Yearly_Goal!$B$3</f>
        <v>689907.8</v>
      </c>
      <c r="M1596">
        <f>Sales_Per_Rep_Yearly_Goal!$C$3</f>
        <v>690000</v>
      </c>
    </row>
    <row r="1597" spans="1:13" x14ac:dyDescent="0.3">
      <c r="A1597" s="3">
        <v>45355</v>
      </c>
      <c r="B1597">
        <f t="shared" si="24"/>
        <v>2024</v>
      </c>
      <c r="C1597">
        <v>3</v>
      </c>
      <c r="D1597" t="s">
        <v>28</v>
      </c>
      <c r="E1597" t="s">
        <v>27</v>
      </c>
      <c r="F1597" s="2">
        <v>13015</v>
      </c>
      <c r="G1597" s="2">
        <f>Monthly_Growth!$C$16</f>
        <v>925825</v>
      </c>
      <c r="H1597" s="5">
        <f>Monthly_Growth!$D$16</f>
        <v>0.29556862564003533</v>
      </c>
      <c r="I1597" s="15">
        <f>Yearly_Growth!$C$3</f>
        <v>0.11893113731787852</v>
      </c>
      <c r="J1597" s="15">
        <f>Yearly_Growth!$D$3</f>
        <v>0.09</v>
      </c>
      <c r="K1597">
        <f>Sales_Per_Representative!$C$20</f>
        <v>685380</v>
      </c>
      <c r="L1597">
        <f>Sales_Per_Rep_Yearly_Goal!$B$3</f>
        <v>689907.8</v>
      </c>
      <c r="M1597">
        <f>Sales_Per_Rep_Yearly_Goal!$C$3</f>
        <v>690000</v>
      </c>
    </row>
    <row r="1598" spans="1:13" x14ac:dyDescent="0.3">
      <c r="A1598" s="3">
        <v>45356</v>
      </c>
      <c r="B1598">
        <f t="shared" si="24"/>
        <v>2024</v>
      </c>
      <c r="C1598">
        <v>3</v>
      </c>
      <c r="D1598" t="s">
        <v>14</v>
      </c>
      <c r="E1598" t="s">
        <v>24</v>
      </c>
      <c r="F1598" s="2">
        <v>10479</v>
      </c>
      <c r="G1598" s="2">
        <f>Monthly_Growth!$C$16</f>
        <v>925825</v>
      </c>
      <c r="H1598" s="5">
        <f>Monthly_Growth!$D$16</f>
        <v>0.29556862564003533</v>
      </c>
      <c r="I1598" s="15">
        <f>Yearly_Growth!$C$3</f>
        <v>0.11893113731787852</v>
      </c>
      <c r="J1598" s="15">
        <f>Yearly_Growth!$D$3</f>
        <v>0.09</v>
      </c>
      <c r="K1598">
        <f>Sales_Per_Representative!$C$17</f>
        <v>633956</v>
      </c>
      <c r="L1598">
        <f>Sales_Per_Rep_Yearly_Goal!$B$3</f>
        <v>689907.8</v>
      </c>
      <c r="M1598">
        <f>Sales_Per_Rep_Yearly_Goal!$C$3</f>
        <v>690000</v>
      </c>
    </row>
    <row r="1599" spans="1:13" x14ac:dyDescent="0.3">
      <c r="A1599" s="3">
        <v>45356</v>
      </c>
      <c r="B1599">
        <f t="shared" si="24"/>
        <v>2024</v>
      </c>
      <c r="C1599">
        <v>3</v>
      </c>
      <c r="D1599" t="s">
        <v>19</v>
      </c>
      <c r="E1599" t="s">
        <v>30</v>
      </c>
      <c r="F1599" s="2">
        <v>1918</v>
      </c>
      <c r="G1599" s="2">
        <f>Monthly_Growth!$C$16</f>
        <v>925825</v>
      </c>
      <c r="H1599" s="5">
        <f>Monthly_Growth!$D$16</f>
        <v>0.29556862564003533</v>
      </c>
      <c r="I1599" s="15">
        <f>Yearly_Growth!$C$3</f>
        <v>0.11893113731787852</v>
      </c>
      <c r="J1599" s="15">
        <f>Yearly_Growth!$D$3</f>
        <v>0.09</v>
      </c>
      <c r="K1599">
        <f>Sales_Per_Representative!$C$22</f>
        <v>700142</v>
      </c>
      <c r="L1599">
        <f>Sales_Per_Rep_Yearly_Goal!$B$3</f>
        <v>689907.8</v>
      </c>
      <c r="M1599">
        <f>Sales_Per_Rep_Yearly_Goal!$C$3</f>
        <v>690000</v>
      </c>
    </row>
    <row r="1600" spans="1:13" x14ac:dyDescent="0.3">
      <c r="A1600" s="3">
        <v>45356</v>
      </c>
      <c r="B1600">
        <f t="shared" si="24"/>
        <v>2024</v>
      </c>
      <c r="C1600">
        <v>3</v>
      </c>
      <c r="D1600" t="s">
        <v>23</v>
      </c>
      <c r="E1600" t="s">
        <v>20</v>
      </c>
      <c r="F1600" s="2">
        <v>8038</v>
      </c>
      <c r="G1600" s="2">
        <f>Monthly_Growth!$C$16</f>
        <v>925825</v>
      </c>
      <c r="H1600" s="5">
        <f>Monthly_Growth!$D$16</f>
        <v>0.29556862564003533</v>
      </c>
      <c r="I1600" s="15">
        <f>Yearly_Growth!$C$3</f>
        <v>0.11893113731787852</v>
      </c>
      <c r="J1600" s="15">
        <f>Yearly_Growth!$D$3</f>
        <v>0.09</v>
      </c>
      <c r="K1600">
        <f>Sales_Per_Representative!$C$29</f>
        <v>753085</v>
      </c>
      <c r="L1600">
        <f>Sales_Per_Rep_Yearly_Goal!$B$3</f>
        <v>689907.8</v>
      </c>
      <c r="M1600">
        <f>Sales_Per_Rep_Yearly_Goal!$C$3</f>
        <v>690000</v>
      </c>
    </row>
    <row r="1601" spans="1:13" x14ac:dyDescent="0.3">
      <c r="A1601" s="3">
        <v>45356</v>
      </c>
      <c r="B1601">
        <f t="shared" si="24"/>
        <v>2024</v>
      </c>
      <c r="C1601">
        <v>3</v>
      </c>
      <c r="D1601" t="s">
        <v>7</v>
      </c>
      <c r="E1601" t="s">
        <v>27</v>
      </c>
      <c r="F1601" s="2">
        <v>3138</v>
      </c>
      <c r="G1601" s="2">
        <f>Monthly_Growth!$C$16</f>
        <v>925825</v>
      </c>
      <c r="H1601" s="5">
        <f>Monthly_Growth!$D$16</f>
        <v>0.29556862564003533</v>
      </c>
      <c r="I1601" s="15">
        <f>Yearly_Growth!$C$3</f>
        <v>0.11893113731787852</v>
      </c>
      <c r="J1601" s="15">
        <f>Yearly_Growth!$D$3</f>
        <v>0.09</v>
      </c>
      <c r="K1601">
        <f>Sales_Per_Representative!$C$20</f>
        <v>685380</v>
      </c>
      <c r="L1601">
        <f>Sales_Per_Rep_Yearly_Goal!$B$3</f>
        <v>689907.8</v>
      </c>
      <c r="M1601">
        <f>Sales_Per_Rep_Yearly_Goal!$C$3</f>
        <v>690000</v>
      </c>
    </row>
    <row r="1602" spans="1:13" x14ac:dyDescent="0.3">
      <c r="A1602" s="3">
        <v>45356</v>
      </c>
      <c r="B1602">
        <f t="shared" si="24"/>
        <v>2024</v>
      </c>
      <c r="C1602">
        <v>3</v>
      </c>
      <c r="D1602" t="s">
        <v>17</v>
      </c>
      <c r="E1602" t="s">
        <v>27</v>
      </c>
      <c r="F1602" s="2">
        <v>11824</v>
      </c>
      <c r="G1602" s="2">
        <f>Monthly_Growth!$C$16</f>
        <v>925825</v>
      </c>
      <c r="H1602" s="5">
        <f>Monthly_Growth!$D$16</f>
        <v>0.29556862564003533</v>
      </c>
      <c r="I1602" s="15">
        <f>Yearly_Growth!$C$3</f>
        <v>0.11893113731787852</v>
      </c>
      <c r="J1602" s="15">
        <f>Yearly_Growth!$D$3</f>
        <v>0.09</v>
      </c>
      <c r="K1602">
        <f>Sales_Per_Representative!$C$20</f>
        <v>685380</v>
      </c>
      <c r="L1602">
        <f>Sales_Per_Rep_Yearly_Goal!$B$3</f>
        <v>689907.8</v>
      </c>
      <c r="M1602">
        <f>Sales_Per_Rep_Yearly_Goal!$C$3</f>
        <v>690000</v>
      </c>
    </row>
    <row r="1603" spans="1:13" x14ac:dyDescent="0.3">
      <c r="A1603" s="3">
        <v>45356</v>
      </c>
      <c r="B1603">
        <f t="shared" ref="B1603:B1666" si="25">YEAR(A1603)</f>
        <v>2024</v>
      </c>
      <c r="C1603">
        <v>3</v>
      </c>
      <c r="D1603" t="s">
        <v>12</v>
      </c>
      <c r="E1603" t="s">
        <v>26</v>
      </c>
      <c r="F1603" s="2">
        <v>10419</v>
      </c>
      <c r="G1603" s="2">
        <f>Monthly_Growth!$C$16</f>
        <v>925825</v>
      </c>
      <c r="H1603" s="5">
        <f>Monthly_Growth!$D$16</f>
        <v>0.29556862564003533</v>
      </c>
      <c r="I1603" s="15">
        <f>Yearly_Growth!$C$3</f>
        <v>0.11893113731787852</v>
      </c>
      <c r="J1603" s="15">
        <f>Yearly_Growth!$D$3</f>
        <v>0.09</v>
      </c>
      <c r="K1603">
        <f>Sales_Per_Representative!$C$31</f>
        <v>664244</v>
      </c>
      <c r="L1603">
        <f>Sales_Per_Rep_Yearly_Goal!$B$3</f>
        <v>689907.8</v>
      </c>
      <c r="M1603">
        <f>Sales_Per_Rep_Yearly_Goal!$C$3</f>
        <v>690000</v>
      </c>
    </row>
    <row r="1604" spans="1:13" x14ac:dyDescent="0.3">
      <c r="A1604" s="3">
        <v>45356</v>
      </c>
      <c r="B1604">
        <f t="shared" si="25"/>
        <v>2024</v>
      </c>
      <c r="C1604">
        <v>3</v>
      </c>
      <c r="D1604" t="s">
        <v>12</v>
      </c>
      <c r="E1604" t="s">
        <v>30</v>
      </c>
      <c r="F1604" s="2">
        <v>12928</v>
      </c>
      <c r="G1604" s="2">
        <f>Monthly_Growth!$C$16</f>
        <v>925825</v>
      </c>
      <c r="H1604" s="5">
        <f>Monthly_Growth!$D$16</f>
        <v>0.29556862564003533</v>
      </c>
      <c r="I1604" s="15">
        <f>Yearly_Growth!$C$3</f>
        <v>0.11893113731787852</v>
      </c>
      <c r="J1604" s="15">
        <f>Yearly_Growth!$D$3</f>
        <v>0.09</v>
      </c>
      <c r="K1604">
        <f>Sales_Per_Representative!$C$22</f>
        <v>700142</v>
      </c>
      <c r="L1604">
        <f>Sales_Per_Rep_Yearly_Goal!$B$3</f>
        <v>689907.8</v>
      </c>
      <c r="M1604">
        <f>Sales_Per_Rep_Yearly_Goal!$C$3</f>
        <v>690000</v>
      </c>
    </row>
    <row r="1605" spans="1:13" x14ac:dyDescent="0.3">
      <c r="A1605" s="3">
        <v>45356</v>
      </c>
      <c r="B1605">
        <f t="shared" si="25"/>
        <v>2024</v>
      </c>
      <c r="C1605">
        <v>3</v>
      </c>
      <c r="D1605" t="s">
        <v>12</v>
      </c>
      <c r="E1605" t="s">
        <v>10</v>
      </c>
      <c r="F1605" s="2">
        <v>2649</v>
      </c>
      <c r="G1605" s="2">
        <f>Monthly_Growth!$C$16</f>
        <v>925825</v>
      </c>
      <c r="H1605" s="5">
        <f>Monthly_Growth!$D$16</f>
        <v>0.29556862564003533</v>
      </c>
      <c r="I1605" s="15">
        <f>Yearly_Growth!$C$3</f>
        <v>0.11893113731787852</v>
      </c>
      <c r="J1605" s="15">
        <f>Yearly_Growth!$D$3</f>
        <v>0.09</v>
      </c>
      <c r="K1605">
        <f>Sales_Per_Representative!$C$19</f>
        <v>711816</v>
      </c>
      <c r="L1605">
        <f>Sales_Per_Rep_Yearly_Goal!$B$3</f>
        <v>689907.8</v>
      </c>
      <c r="M1605">
        <f>Sales_Per_Rep_Yearly_Goal!$C$3</f>
        <v>690000</v>
      </c>
    </row>
    <row r="1606" spans="1:13" x14ac:dyDescent="0.3">
      <c r="A1606" s="3">
        <v>45357</v>
      </c>
      <c r="B1606">
        <f t="shared" si="25"/>
        <v>2024</v>
      </c>
      <c r="C1606">
        <v>3</v>
      </c>
      <c r="D1606" t="s">
        <v>25</v>
      </c>
      <c r="E1606" t="s">
        <v>18</v>
      </c>
      <c r="F1606" s="2">
        <v>9582</v>
      </c>
      <c r="G1606" s="2">
        <f>Monthly_Growth!$C$16</f>
        <v>925825</v>
      </c>
      <c r="H1606" s="5">
        <f>Monthly_Growth!$D$16</f>
        <v>0.29556862564003533</v>
      </c>
      <c r="I1606" s="15">
        <f>Yearly_Growth!$C$3</f>
        <v>0.11893113731787852</v>
      </c>
      <c r="J1606" s="15">
        <f>Yearly_Growth!$D$3</f>
        <v>0.09</v>
      </c>
      <c r="K1606">
        <f>Sales_Per_Representative!$C$24</f>
        <v>699277</v>
      </c>
      <c r="L1606">
        <f>Sales_Per_Rep_Yearly_Goal!$B$3</f>
        <v>689907.8</v>
      </c>
      <c r="M1606">
        <f>Sales_Per_Rep_Yearly_Goal!$C$3</f>
        <v>690000</v>
      </c>
    </row>
    <row r="1607" spans="1:13" x14ac:dyDescent="0.3">
      <c r="A1607" s="3">
        <v>45357</v>
      </c>
      <c r="B1607">
        <f t="shared" si="25"/>
        <v>2024</v>
      </c>
      <c r="C1607">
        <v>3</v>
      </c>
      <c r="D1607" t="s">
        <v>12</v>
      </c>
      <c r="E1607" t="s">
        <v>27</v>
      </c>
      <c r="F1607" s="2">
        <v>3822</v>
      </c>
      <c r="G1607" s="2">
        <f>Monthly_Growth!$C$16</f>
        <v>925825</v>
      </c>
      <c r="H1607" s="5">
        <f>Monthly_Growth!$D$16</f>
        <v>0.29556862564003533</v>
      </c>
      <c r="I1607" s="15">
        <f>Yearly_Growth!$C$3</f>
        <v>0.11893113731787852</v>
      </c>
      <c r="J1607" s="15">
        <f>Yearly_Growth!$D$3</f>
        <v>0.09</v>
      </c>
      <c r="K1607">
        <f>Sales_Per_Representative!$C$20</f>
        <v>685380</v>
      </c>
      <c r="L1607">
        <f>Sales_Per_Rep_Yearly_Goal!$B$3</f>
        <v>689907.8</v>
      </c>
      <c r="M1607">
        <f>Sales_Per_Rep_Yearly_Goal!$C$3</f>
        <v>690000</v>
      </c>
    </row>
    <row r="1608" spans="1:13" x14ac:dyDescent="0.3">
      <c r="A1608" s="3">
        <v>45357</v>
      </c>
      <c r="B1608">
        <f t="shared" si="25"/>
        <v>2024</v>
      </c>
      <c r="C1608">
        <v>3</v>
      </c>
      <c r="D1608" t="s">
        <v>12</v>
      </c>
      <c r="E1608" t="s">
        <v>30</v>
      </c>
      <c r="F1608" s="2">
        <v>8646</v>
      </c>
      <c r="G1608" s="2">
        <f>Monthly_Growth!$C$16</f>
        <v>925825</v>
      </c>
      <c r="H1608" s="5">
        <f>Monthly_Growth!$D$16</f>
        <v>0.29556862564003533</v>
      </c>
      <c r="I1608" s="15">
        <f>Yearly_Growth!$C$3</f>
        <v>0.11893113731787852</v>
      </c>
      <c r="J1608" s="15">
        <f>Yearly_Growth!$D$3</f>
        <v>0.09</v>
      </c>
      <c r="K1608">
        <f>Sales_Per_Representative!$C$22</f>
        <v>700142</v>
      </c>
      <c r="L1608">
        <f>Sales_Per_Rep_Yearly_Goal!$B$3</f>
        <v>689907.8</v>
      </c>
      <c r="M1608">
        <f>Sales_Per_Rep_Yearly_Goal!$C$3</f>
        <v>690000</v>
      </c>
    </row>
    <row r="1609" spans="1:13" x14ac:dyDescent="0.3">
      <c r="A1609" s="3">
        <v>45358</v>
      </c>
      <c r="B1609">
        <f t="shared" si="25"/>
        <v>2024</v>
      </c>
      <c r="C1609">
        <v>3</v>
      </c>
      <c r="D1609" t="s">
        <v>23</v>
      </c>
      <c r="E1609" t="s">
        <v>5</v>
      </c>
      <c r="F1609" s="2">
        <v>11017</v>
      </c>
      <c r="G1609" s="2">
        <f>Monthly_Growth!$C$16</f>
        <v>925825</v>
      </c>
      <c r="H1609" s="5">
        <f>Monthly_Growth!$D$16</f>
        <v>0.29556862564003533</v>
      </c>
      <c r="I1609" s="15">
        <f>Yearly_Growth!$C$3</f>
        <v>0.11893113731787852</v>
      </c>
      <c r="J1609" s="15">
        <f>Yearly_Growth!$D$3</f>
        <v>0.09</v>
      </c>
      <c r="K1609">
        <f>Sales_Per_Representative!$C$25</f>
        <v>749460</v>
      </c>
      <c r="L1609">
        <f>Sales_Per_Rep_Yearly_Goal!$B$3</f>
        <v>689907.8</v>
      </c>
      <c r="M1609">
        <f>Sales_Per_Rep_Yearly_Goal!$C$3</f>
        <v>690000</v>
      </c>
    </row>
    <row r="1610" spans="1:13" x14ac:dyDescent="0.3">
      <c r="A1610" s="3">
        <v>45358</v>
      </c>
      <c r="B1610">
        <f t="shared" si="25"/>
        <v>2024</v>
      </c>
      <c r="C1610">
        <v>3</v>
      </c>
      <c r="D1610" t="s">
        <v>17</v>
      </c>
      <c r="E1610" t="s">
        <v>5</v>
      </c>
      <c r="F1610" s="2">
        <v>13544</v>
      </c>
      <c r="G1610" s="2">
        <f>Monthly_Growth!$C$16</f>
        <v>925825</v>
      </c>
      <c r="H1610" s="5">
        <f>Monthly_Growth!$D$16</f>
        <v>0.29556862564003533</v>
      </c>
      <c r="I1610" s="15">
        <f>Yearly_Growth!$C$3</f>
        <v>0.11893113731787852</v>
      </c>
      <c r="J1610" s="15">
        <f>Yearly_Growth!$D$3</f>
        <v>0.09</v>
      </c>
      <c r="K1610">
        <f>Sales_Per_Representative!$C$25</f>
        <v>749460</v>
      </c>
      <c r="L1610">
        <f>Sales_Per_Rep_Yearly_Goal!$B$3</f>
        <v>689907.8</v>
      </c>
      <c r="M1610">
        <f>Sales_Per_Rep_Yearly_Goal!$C$3</f>
        <v>690000</v>
      </c>
    </row>
    <row r="1611" spans="1:13" x14ac:dyDescent="0.3">
      <c r="A1611" s="3">
        <v>45358</v>
      </c>
      <c r="B1611">
        <f t="shared" si="25"/>
        <v>2024</v>
      </c>
      <c r="C1611">
        <v>3</v>
      </c>
      <c r="D1611" t="s">
        <v>12</v>
      </c>
      <c r="E1611" t="s">
        <v>26</v>
      </c>
      <c r="F1611" s="2">
        <v>2985</v>
      </c>
      <c r="G1611" s="2">
        <f>Monthly_Growth!$C$16</f>
        <v>925825</v>
      </c>
      <c r="H1611" s="5">
        <f>Monthly_Growth!$D$16</f>
        <v>0.29556862564003533</v>
      </c>
      <c r="I1611" s="15">
        <f>Yearly_Growth!$C$3</f>
        <v>0.11893113731787852</v>
      </c>
      <c r="J1611" s="15">
        <f>Yearly_Growth!$D$3</f>
        <v>0.09</v>
      </c>
      <c r="K1611">
        <f>Sales_Per_Representative!$C$31</f>
        <v>664244</v>
      </c>
      <c r="L1611">
        <f>Sales_Per_Rep_Yearly_Goal!$B$3</f>
        <v>689907.8</v>
      </c>
      <c r="M1611">
        <f>Sales_Per_Rep_Yearly_Goal!$C$3</f>
        <v>690000</v>
      </c>
    </row>
    <row r="1612" spans="1:13" x14ac:dyDescent="0.3">
      <c r="A1612" s="3">
        <v>45359</v>
      </c>
      <c r="B1612">
        <f t="shared" si="25"/>
        <v>2024</v>
      </c>
      <c r="C1612">
        <v>3</v>
      </c>
      <c r="D1612" t="s">
        <v>14</v>
      </c>
      <c r="E1612" t="s">
        <v>32</v>
      </c>
      <c r="F1612" s="2">
        <v>3643</v>
      </c>
      <c r="G1612" s="2">
        <f>Monthly_Growth!$C$16</f>
        <v>925825</v>
      </c>
      <c r="H1612" s="5">
        <f>Monthly_Growth!$D$16</f>
        <v>0.29556862564003533</v>
      </c>
      <c r="I1612" s="15">
        <f>Yearly_Growth!$C$3</f>
        <v>0.11893113731787852</v>
      </c>
      <c r="J1612" s="15">
        <f>Yearly_Growth!$D$3</f>
        <v>0.09</v>
      </c>
      <c r="K1612">
        <f>Sales_Per_Representative!$C$18</f>
        <v>783907</v>
      </c>
      <c r="L1612">
        <f>Sales_Per_Rep_Yearly_Goal!$B$3</f>
        <v>689907.8</v>
      </c>
      <c r="M1612">
        <f>Sales_Per_Rep_Yearly_Goal!$C$3</f>
        <v>690000</v>
      </c>
    </row>
    <row r="1613" spans="1:13" x14ac:dyDescent="0.3">
      <c r="A1613" s="3">
        <v>45359</v>
      </c>
      <c r="B1613">
        <f t="shared" si="25"/>
        <v>2024</v>
      </c>
      <c r="C1613">
        <v>3</v>
      </c>
      <c r="D1613" t="s">
        <v>19</v>
      </c>
      <c r="E1613" t="s">
        <v>15</v>
      </c>
      <c r="F1613" s="2">
        <v>8300</v>
      </c>
      <c r="G1613" s="2">
        <f>Monthly_Growth!$C$16</f>
        <v>925825</v>
      </c>
      <c r="H1613" s="5">
        <f>Monthly_Growth!$D$16</f>
        <v>0.29556862564003533</v>
      </c>
      <c r="I1613" s="15">
        <f>Yearly_Growth!$C$3</f>
        <v>0.11893113731787852</v>
      </c>
      <c r="J1613" s="15">
        <f>Yearly_Growth!$D$3</f>
        <v>0.09</v>
      </c>
      <c r="K1613">
        <f>Sales_Per_Representative!$C$27</f>
        <v>617202</v>
      </c>
      <c r="L1613">
        <f>Sales_Per_Rep_Yearly_Goal!$B$3</f>
        <v>689907.8</v>
      </c>
      <c r="M1613">
        <f>Sales_Per_Rep_Yearly_Goal!$C$3</f>
        <v>690000</v>
      </c>
    </row>
    <row r="1614" spans="1:13" x14ac:dyDescent="0.3">
      <c r="A1614" s="3">
        <v>45359</v>
      </c>
      <c r="B1614">
        <f t="shared" si="25"/>
        <v>2024</v>
      </c>
      <c r="C1614">
        <v>3</v>
      </c>
      <c r="D1614" t="s">
        <v>28</v>
      </c>
      <c r="E1614" t="s">
        <v>5</v>
      </c>
      <c r="F1614" s="2">
        <v>3330</v>
      </c>
      <c r="G1614" s="2">
        <f>Monthly_Growth!$C$16</f>
        <v>925825</v>
      </c>
      <c r="H1614" s="5">
        <f>Monthly_Growth!$D$16</f>
        <v>0.29556862564003533</v>
      </c>
      <c r="I1614" s="15">
        <f>Yearly_Growth!$C$3</f>
        <v>0.11893113731787852</v>
      </c>
      <c r="J1614" s="15">
        <f>Yearly_Growth!$D$3</f>
        <v>0.09</v>
      </c>
      <c r="K1614">
        <f>Sales_Per_Representative!$C$25</f>
        <v>749460</v>
      </c>
      <c r="L1614">
        <f>Sales_Per_Rep_Yearly_Goal!$B$3</f>
        <v>689907.8</v>
      </c>
      <c r="M1614">
        <f>Sales_Per_Rep_Yearly_Goal!$C$3</f>
        <v>690000</v>
      </c>
    </row>
    <row r="1615" spans="1:13" x14ac:dyDescent="0.3">
      <c r="A1615" s="3">
        <v>45359</v>
      </c>
      <c r="B1615">
        <f t="shared" si="25"/>
        <v>2024</v>
      </c>
      <c r="C1615">
        <v>3</v>
      </c>
      <c r="D1615" t="s">
        <v>17</v>
      </c>
      <c r="E1615" t="s">
        <v>8</v>
      </c>
      <c r="F1615" s="2">
        <v>8795</v>
      </c>
      <c r="G1615" s="2">
        <f>Monthly_Growth!$C$16</f>
        <v>925825</v>
      </c>
      <c r="H1615" s="5">
        <f>Monthly_Growth!$D$16</f>
        <v>0.29556862564003533</v>
      </c>
      <c r="I1615" s="15">
        <f>Yearly_Growth!$C$3</f>
        <v>0.11893113731787852</v>
      </c>
      <c r="J1615" s="15">
        <f>Yearly_Growth!$D$3</f>
        <v>0.09</v>
      </c>
      <c r="K1615">
        <f>Sales_Per_Representative!$C$30</f>
        <v>780006</v>
      </c>
      <c r="L1615">
        <f>Sales_Per_Rep_Yearly_Goal!$B$3</f>
        <v>689907.8</v>
      </c>
      <c r="M1615">
        <f>Sales_Per_Rep_Yearly_Goal!$C$3</f>
        <v>690000</v>
      </c>
    </row>
    <row r="1616" spans="1:13" x14ac:dyDescent="0.3">
      <c r="A1616" s="3">
        <v>45360</v>
      </c>
      <c r="B1616">
        <f t="shared" si="25"/>
        <v>2024</v>
      </c>
      <c r="C1616">
        <v>3</v>
      </c>
      <c r="D1616" t="s">
        <v>23</v>
      </c>
      <c r="E1616" t="s">
        <v>8</v>
      </c>
      <c r="F1616" s="2">
        <v>6291</v>
      </c>
      <c r="G1616" s="2">
        <f>Monthly_Growth!$C$16</f>
        <v>925825</v>
      </c>
      <c r="H1616" s="5">
        <f>Monthly_Growth!$D$16</f>
        <v>0.29556862564003533</v>
      </c>
      <c r="I1616" s="15">
        <f>Yearly_Growth!$C$3</f>
        <v>0.11893113731787852</v>
      </c>
      <c r="J1616" s="15">
        <f>Yearly_Growth!$D$3</f>
        <v>0.09</v>
      </c>
      <c r="K1616">
        <f>Sales_Per_Representative!$C$30</f>
        <v>780006</v>
      </c>
      <c r="L1616">
        <f>Sales_Per_Rep_Yearly_Goal!$B$3</f>
        <v>689907.8</v>
      </c>
      <c r="M1616">
        <f>Sales_Per_Rep_Yearly_Goal!$C$3</f>
        <v>690000</v>
      </c>
    </row>
    <row r="1617" spans="1:13" x14ac:dyDescent="0.3">
      <c r="A1617" s="3">
        <v>45360</v>
      </c>
      <c r="B1617">
        <f t="shared" si="25"/>
        <v>2024</v>
      </c>
      <c r="C1617">
        <v>3</v>
      </c>
      <c r="D1617" t="s">
        <v>7</v>
      </c>
      <c r="E1617" t="s">
        <v>33</v>
      </c>
      <c r="F1617" s="2">
        <v>7613</v>
      </c>
      <c r="G1617" s="2">
        <f>Monthly_Growth!$C$16</f>
        <v>925825</v>
      </c>
      <c r="H1617" s="5">
        <f>Monthly_Growth!$D$16</f>
        <v>0.29556862564003533</v>
      </c>
      <c r="I1617" s="15">
        <f>Yearly_Growth!$C$3</f>
        <v>0.11893113731787852</v>
      </c>
      <c r="J1617" s="15">
        <f>Yearly_Growth!$D$3</f>
        <v>0.09</v>
      </c>
      <c r="K1617">
        <f>Sales_Per_Representative!$C$26</f>
        <v>501360</v>
      </c>
      <c r="L1617">
        <f>Sales_Per_Rep_Yearly_Goal!$B$3</f>
        <v>689907.8</v>
      </c>
      <c r="M1617">
        <f>Sales_Per_Rep_Yearly_Goal!$C$3</f>
        <v>690000</v>
      </c>
    </row>
    <row r="1618" spans="1:13" x14ac:dyDescent="0.3">
      <c r="A1618" s="3">
        <v>45360</v>
      </c>
      <c r="B1618">
        <f t="shared" si="25"/>
        <v>2024</v>
      </c>
      <c r="C1618">
        <v>3</v>
      </c>
      <c r="D1618" t="s">
        <v>17</v>
      </c>
      <c r="E1618" t="s">
        <v>26</v>
      </c>
      <c r="F1618" s="2">
        <v>4095</v>
      </c>
      <c r="G1618" s="2">
        <f>Monthly_Growth!$C$16</f>
        <v>925825</v>
      </c>
      <c r="H1618" s="5">
        <f>Monthly_Growth!$D$16</f>
        <v>0.29556862564003533</v>
      </c>
      <c r="I1618" s="15">
        <f>Yearly_Growth!$C$3</f>
        <v>0.11893113731787852</v>
      </c>
      <c r="J1618" s="15">
        <f>Yearly_Growth!$D$3</f>
        <v>0.09</v>
      </c>
      <c r="K1618">
        <f>Sales_Per_Representative!$C$31</f>
        <v>664244</v>
      </c>
      <c r="L1618">
        <f>Sales_Per_Rep_Yearly_Goal!$B$3</f>
        <v>689907.8</v>
      </c>
      <c r="M1618">
        <f>Sales_Per_Rep_Yearly_Goal!$C$3</f>
        <v>690000</v>
      </c>
    </row>
    <row r="1619" spans="1:13" x14ac:dyDescent="0.3">
      <c r="A1619" s="3">
        <v>45361</v>
      </c>
      <c r="B1619">
        <f t="shared" si="25"/>
        <v>2024</v>
      </c>
      <c r="C1619">
        <v>3</v>
      </c>
      <c r="D1619" t="s">
        <v>14</v>
      </c>
      <c r="E1619" t="s">
        <v>31</v>
      </c>
      <c r="F1619" s="2">
        <v>4879</v>
      </c>
      <c r="G1619" s="2">
        <f>Monthly_Growth!$C$16</f>
        <v>925825</v>
      </c>
      <c r="H1619" s="5">
        <f>Monthly_Growth!$D$16</f>
        <v>0.29556862564003533</v>
      </c>
      <c r="I1619" s="15">
        <f>Yearly_Growth!$C$3</f>
        <v>0.11893113731787852</v>
      </c>
      <c r="J1619" s="15">
        <f>Yearly_Growth!$D$3</f>
        <v>0.09</v>
      </c>
      <c r="K1619">
        <f>Sales_Per_Representative!$C$21</f>
        <v>679421</v>
      </c>
      <c r="L1619">
        <f>Sales_Per_Rep_Yearly_Goal!$B$3</f>
        <v>689907.8</v>
      </c>
      <c r="M1619">
        <f>Sales_Per_Rep_Yearly_Goal!$C$3</f>
        <v>690000</v>
      </c>
    </row>
    <row r="1620" spans="1:13" x14ac:dyDescent="0.3">
      <c r="A1620" s="3">
        <v>45361</v>
      </c>
      <c r="B1620">
        <f t="shared" si="25"/>
        <v>2024</v>
      </c>
      <c r="C1620">
        <v>3</v>
      </c>
      <c r="D1620" t="s">
        <v>19</v>
      </c>
      <c r="E1620" t="s">
        <v>29</v>
      </c>
      <c r="F1620" s="2">
        <v>3238</v>
      </c>
      <c r="G1620" s="2">
        <f>Monthly_Growth!$C$16</f>
        <v>925825</v>
      </c>
      <c r="H1620" s="5">
        <f>Monthly_Growth!$D$16</f>
        <v>0.29556862564003533</v>
      </c>
      <c r="I1620" s="15">
        <f>Yearly_Growth!$C$3</f>
        <v>0.11893113731787852</v>
      </c>
      <c r="J1620" s="15">
        <f>Yearly_Growth!$D$3</f>
        <v>0.09</v>
      </c>
      <c r="K1620">
        <f>Sales_Per_Representative!$C$28</f>
        <v>691917</v>
      </c>
      <c r="L1620">
        <f>Sales_Per_Rep_Yearly_Goal!$B$3</f>
        <v>689907.8</v>
      </c>
      <c r="M1620">
        <f>Sales_Per_Rep_Yearly_Goal!$C$3</f>
        <v>690000</v>
      </c>
    </row>
    <row r="1621" spans="1:13" x14ac:dyDescent="0.3">
      <c r="A1621" s="3">
        <v>45361</v>
      </c>
      <c r="B1621">
        <f t="shared" si="25"/>
        <v>2024</v>
      </c>
      <c r="C1621">
        <v>3</v>
      </c>
      <c r="D1621" t="s">
        <v>17</v>
      </c>
      <c r="E1621" t="s">
        <v>8</v>
      </c>
      <c r="F1621" s="2">
        <v>8622</v>
      </c>
      <c r="G1621" s="2">
        <f>Monthly_Growth!$C$16</f>
        <v>925825</v>
      </c>
      <c r="H1621" s="5">
        <f>Monthly_Growth!$D$16</f>
        <v>0.29556862564003533</v>
      </c>
      <c r="I1621" s="15">
        <f>Yearly_Growth!$C$3</f>
        <v>0.11893113731787852</v>
      </c>
      <c r="J1621" s="15">
        <f>Yearly_Growth!$D$3</f>
        <v>0.09</v>
      </c>
      <c r="K1621">
        <f>Sales_Per_Representative!$C$30</f>
        <v>780006</v>
      </c>
      <c r="L1621">
        <f>Sales_Per_Rep_Yearly_Goal!$B$3</f>
        <v>689907.8</v>
      </c>
      <c r="M1621">
        <f>Sales_Per_Rep_Yearly_Goal!$C$3</f>
        <v>690000</v>
      </c>
    </row>
    <row r="1622" spans="1:13" x14ac:dyDescent="0.3">
      <c r="A1622" s="3">
        <v>45361</v>
      </c>
      <c r="B1622">
        <f t="shared" si="25"/>
        <v>2024</v>
      </c>
      <c r="C1622">
        <v>3</v>
      </c>
      <c r="D1622" t="s">
        <v>12</v>
      </c>
      <c r="E1622" t="s">
        <v>27</v>
      </c>
      <c r="F1622" s="2">
        <v>6002</v>
      </c>
      <c r="G1622" s="2">
        <f>Monthly_Growth!$C$16</f>
        <v>925825</v>
      </c>
      <c r="H1622" s="5">
        <f>Monthly_Growth!$D$16</f>
        <v>0.29556862564003533</v>
      </c>
      <c r="I1622" s="15">
        <f>Yearly_Growth!$C$3</f>
        <v>0.11893113731787852</v>
      </c>
      <c r="J1622" s="15">
        <f>Yearly_Growth!$D$3</f>
        <v>0.09</v>
      </c>
      <c r="K1622">
        <f>Sales_Per_Representative!$C$20</f>
        <v>685380</v>
      </c>
      <c r="L1622">
        <f>Sales_Per_Rep_Yearly_Goal!$B$3</f>
        <v>689907.8</v>
      </c>
      <c r="M1622">
        <f>Sales_Per_Rep_Yearly_Goal!$C$3</f>
        <v>690000</v>
      </c>
    </row>
    <row r="1623" spans="1:13" x14ac:dyDescent="0.3">
      <c r="A1623" s="3">
        <v>45362</v>
      </c>
      <c r="B1623">
        <f t="shared" si="25"/>
        <v>2024</v>
      </c>
      <c r="C1623">
        <v>3</v>
      </c>
      <c r="D1623" t="s">
        <v>14</v>
      </c>
      <c r="E1623" t="s">
        <v>8</v>
      </c>
      <c r="F1623" s="2">
        <v>9347</v>
      </c>
      <c r="G1623" s="2">
        <f>Monthly_Growth!$C$16</f>
        <v>925825</v>
      </c>
      <c r="H1623" s="5">
        <f>Monthly_Growth!$D$16</f>
        <v>0.29556862564003533</v>
      </c>
      <c r="I1623" s="15">
        <f>Yearly_Growth!$C$3</f>
        <v>0.11893113731787852</v>
      </c>
      <c r="J1623" s="15">
        <f>Yearly_Growth!$D$3</f>
        <v>0.09</v>
      </c>
      <c r="K1623">
        <f>Sales_Per_Representative!$C$30</f>
        <v>780006</v>
      </c>
      <c r="L1623">
        <f>Sales_Per_Rep_Yearly_Goal!$B$3</f>
        <v>689907.8</v>
      </c>
      <c r="M1623">
        <f>Sales_Per_Rep_Yearly_Goal!$C$3</f>
        <v>690000</v>
      </c>
    </row>
    <row r="1624" spans="1:13" x14ac:dyDescent="0.3">
      <c r="A1624" s="3">
        <v>45362</v>
      </c>
      <c r="B1624">
        <f t="shared" si="25"/>
        <v>2024</v>
      </c>
      <c r="C1624">
        <v>3</v>
      </c>
      <c r="D1624" t="s">
        <v>25</v>
      </c>
      <c r="E1624" t="s">
        <v>30</v>
      </c>
      <c r="F1624" s="2">
        <v>7702</v>
      </c>
      <c r="G1624" s="2">
        <f>Monthly_Growth!$C$16</f>
        <v>925825</v>
      </c>
      <c r="H1624" s="5">
        <f>Monthly_Growth!$D$16</f>
        <v>0.29556862564003533</v>
      </c>
      <c r="I1624" s="15">
        <f>Yearly_Growth!$C$3</f>
        <v>0.11893113731787852</v>
      </c>
      <c r="J1624" s="15">
        <f>Yearly_Growth!$D$3</f>
        <v>0.09</v>
      </c>
      <c r="K1624">
        <f>Sales_Per_Representative!$C$22</f>
        <v>700142</v>
      </c>
      <c r="L1624">
        <f>Sales_Per_Rep_Yearly_Goal!$B$3</f>
        <v>689907.8</v>
      </c>
      <c r="M1624">
        <f>Sales_Per_Rep_Yearly_Goal!$C$3</f>
        <v>690000</v>
      </c>
    </row>
    <row r="1625" spans="1:13" x14ac:dyDescent="0.3">
      <c r="A1625" s="3">
        <v>45362</v>
      </c>
      <c r="B1625">
        <f t="shared" si="25"/>
        <v>2024</v>
      </c>
      <c r="C1625">
        <v>3</v>
      </c>
      <c r="D1625" t="s">
        <v>7</v>
      </c>
      <c r="E1625" t="s">
        <v>20</v>
      </c>
      <c r="F1625" s="2">
        <v>10122</v>
      </c>
      <c r="G1625" s="2">
        <f>Monthly_Growth!$C$16</f>
        <v>925825</v>
      </c>
      <c r="H1625" s="5">
        <f>Monthly_Growth!$D$16</f>
        <v>0.29556862564003533</v>
      </c>
      <c r="I1625" s="15">
        <f>Yearly_Growth!$C$3</f>
        <v>0.11893113731787852</v>
      </c>
      <c r="J1625" s="15">
        <f>Yearly_Growth!$D$3</f>
        <v>0.09</v>
      </c>
      <c r="K1625">
        <f>Sales_Per_Representative!$C$29</f>
        <v>753085</v>
      </c>
      <c r="L1625">
        <f>Sales_Per_Rep_Yearly_Goal!$B$3</f>
        <v>689907.8</v>
      </c>
      <c r="M1625">
        <f>Sales_Per_Rep_Yearly_Goal!$C$3</f>
        <v>690000</v>
      </c>
    </row>
    <row r="1626" spans="1:13" x14ac:dyDescent="0.3">
      <c r="A1626" s="3">
        <v>45362</v>
      </c>
      <c r="B1626">
        <f t="shared" si="25"/>
        <v>2024</v>
      </c>
      <c r="C1626">
        <v>3</v>
      </c>
      <c r="D1626" t="s">
        <v>28</v>
      </c>
      <c r="E1626" t="s">
        <v>31</v>
      </c>
      <c r="F1626" s="2">
        <v>12077</v>
      </c>
      <c r="G1626" s="2">
        <f>Monthly_Growth!$C$16</f>
        <v>925825</v>
      </c>
      <c r="H1626" s="5">
        <f>Monthly_Growth!$D$16</f>
        <v>0.29556862564003533</v>
      </c>
      <c r="I1626" s="15">
        <f>Yearly_Growth!$C$3</f>
        <v>0.11893113731787852</v>
      </c>
      <c r="J1626" s="15">
        <f>Yearly_Growth!$D$3</f>
        <v>0.09</v>
      </c>
      <c r="K1626">
        <f>Sales_Per_Representative!$C$21</f>
        <v>679421</v>
      </c>
      <c r="L1626">
        <f>Sales_Per_Rep_Yearly_Goal!$B$3</f>
        <v>689907.8</v>
      </c>
      <c r="M1626">
        <f>Sales_Per_Rep_Yearly_Goal!$C$3</f>
        <v>690000</v>
      </c>
    </row>
    <row r="1627" spans="1:13" x14ac:dyDescent="0.3">
      <c r="A1627" s="3">
        <v>45362</v>
      </c>
      <c r="B1627">
        <f t="shared" si="25"/>
        <v>2024</v>
      </c>
      <c r="C1627">
        <v>3</v>
      </c>
      <c r="D1627" t="s">
        <v>17</v>
      </c>
      <c r="E1627" t="s">
        <v>10</v>
      </c>
      <c r="F1627" s="2">
        <v>5069</v>
      </c>
      <c r="G1627" s="2">
        <f>Monthly_Growth!$C$16</f>
        <v>925825</v>
      </c>
      <c r="H1627" s="5">
        <f>Monthly_Growth!$D$16</f>
        <v>0.29556862564003533</v>
      </c>
      <c r="I1627" s="15">
        <f>Yearly_Growth!$C$3</f>
        <v>0.11893113731787852</v>
      </c>
      <c r="J1627" s="15">
        <f>Yearly_Growth!$D$3</f>
        <v>0.09</v>
      </c>
      <c r="K1627">
        <f>Sales_Per_Representative!$C$19</f>
        <v>711816</v>
      </c>
      <c r="L1627">
        <f>Sales_Per_Rep_Yearly_Goal!$B$3</f>
        <v>689907.8</v>
      </c>
      <c r="M1627">
        <f>Sales_Per_Rep_Yearly_Goal!$C$3</f>
        <v>690000</v>
      </c>
    </row>
    <row r="1628" spans="1:13" x14ac:dyDescent="0.3">
      <c r="A1628" s="3">
        <v>45362</v>
      </c>
      <c r="B1628">
        <f t="shared" si="25"/>
        <v>2024</v>
      </c>
      <c r="C1628">
        <v>3</v>
      </c>
      <c r="D1628" t="s">
        <v>17</v>
      </c>
      <c r="E1628" t="s">
        <v>31</v>
      </c>
      <c r="F1628" s="2">
        <v>1806</v>
      </c>
      <c r="G1628" s="2">
        <f>Monthly_Growth!$C$16</f>
        <v>925825</v>
      </c>
      <c r="H1628" s="5">
        <f>Monthly_Growth!$D$16</f>
        <v>0.29556862564003533</v>
      </c>
      <c r="I1628" s="15">
        <f>Yearly_Growth!$C$3</f>
        <v>0.11893113731787852</v>
      </c>
      <c r="J1628" s="15">
        <f>Yearly_Growth!$D$3</f>
        <v>0.09</v>
      </c>
      <c r="K1628">
        <f>Sales_Per_Representative!$C$21</f>
        <v>679421</v>
      </c>
      <c r="L1628">
        <f>Sales_Per_Rep_Yearly_Goal!$B$3</f>
        <v>689907.8</v>
      </c>
      <c r="M1628">
        <f>Sales_Per_Rep_Yearly_Goal!$C$3</f>
        <v>690000</v>
      </c>
    </row>
    <row r="1629" spans="1:13" x14ac:dyDescent="0.3">
      <c r="A1629" s="3">
        <v>45362</v>
      </c>
      <c r="B1629">
        <f t="shared" si="25"/>
        <v>2024</v>
      </c>
      <c r="C1629">
        <v>3</v>
      </c>
      <c r="D1629" t="s">
        <v>12</v>
      </c>
      <c r="E1629" t="s">
        <v>33</v>
      </c>
      <c r="F1629" s="2">
        <v>4467</v>
      </c>
      <c r="G1629" s="2">
        <f>Monthly_Growth!$C$16</f>
        <v>925825</v>
      </c>
      <c r="H1629" s="5">
        <f>Monthly_Growth!$D$16</f>
        <v>0.29556862564003533</v>
      </c>
      <c r="I1629" s="15">
        <f>Yearly_Growth!$C$3</f>
        <v>0.11893113731787852</v>
      </c>
      <c r="J1629" s="15">
        <f>Yearly_Growth!$D$3</f>
        <v>0.09</v>
      </c>
      <c r="K1629">
        <f>Sales_Per_Representative!$C$26</f>
        <v>501360</v>
      </c>
      <c r="L1629">
        <f>Sales_Per_Rep_Yearly_Goal!$B$3</f>
        <v>689907.8</v>
      </c>
      <c r="M1629">
        <f>Sales_Per_Rep_Yearly_Goal!$C$3</f>
        <v>690000</v>
      </c>
    </row>
    <row r="1630" spans="1:13" x14ac:dyDescent="0.3">
      <c r="A1630" s="3">
        <v>45363</v>
      </c>
      <c r="B1630">
        <f t="shared" si="25"/>
        <v>2024</v>
      </c>
      <c r="C1630">
        <v>3</v>
      </c>
      <c r="D1630" t="s">
        <v>12</v>
      </c>
      <c r="E1630" t="s">
        <v>32</v>
      </c>
      <c r="F1630" s="2">
        <v>4745</v>
      </c>
      <c r="G1630" s="2">
        <f>Monthly_Growth!$C$16</f>
        <v>925825</v>
      </c>
      <c r="H1630" s="5">
        <f>Monthly_Growth!$D$16</f>
        <v>0.29556862564003533</v>
      </c>
      <c r="I1630" s="15">
        <f>Yearly_Growth!$C$3</f>
        <v>0.11893113731787852</v>
      </c>
      <c r="J1630" s="15">
        <f>Yearly_Growth!$D$3</f>
        <v>0.09</v>
      </c>
      <c r="K1630">
        <f>Sales_Per_Representative!$C$18</f>
        <v>783907</v>
      </c>
      <c r="L1630">
        <f>Sales_Per_Rep_Yearly_Goal!$B$3</f>
        <v>689907.8</v>
      </c>
      <c r="M1630">
        <f>Sales_Per_Rep_Yearly_Goal!$C$3</f>
        <v>690000</v>
      </c>
    </row>
    <row r="1631" spans="1:13" x14ac:dyDescent="0.3">
      <c r="A1631" s="3">
        <v>45364</v>
      </c>
      <c r="B1631">
        <f t="shared" si="25"/>
        <v>2024</v>
      </c>
      <c r="C1631">
        <v>3</v>
      </c>
      <c r="D1631" t="s">
        <v>19</v>
      </c>
      <c r="E1631" t="s">
        <v>22</v>
      </c>
      <c r="F1631" s="2">
        <v>5963</v>
      </c>
      <c r="G1631" s="2">
        <f>Monthly_Growth!$C$16</f>
        <v>925825</v>
      </c>
      <c r="H1631" s="5">
        <f>Monthly_Growth!$D$16</f>
        <v>0.29556862564003533</v>
      </c>
      <c r="I1631" s="15">
        <f>Yearly_Growth!$C$3</f>
        <v>0.11893113731787852</v>
      </c>
      <c r="J1631" s="15">
        <f>Yearly_Growth!$D$3</f>
        <v>0.09</v>
      </c>
      <c r="K1631">
        <f>Sales_Per_Representative!$C$23</f>
        <v>697444</v>
      </c>
      <c r="L1631">
        <f>Sales_Per_Rep_Yearly_Goal!$B$3</f>
        <v>689907.8</v>
      </c>
      <c r="M1631">
        <f>Sales_Per_Rep_Yearly_Goal!$C$3</f>
        <v>690000</v>
      </c>
    </row>
    <row r="1632" spans="1:13" x14ac:dyDescent="0.3">
      <c r="A1632" s="3">
        <v>45364</v>
      </c>
      <c r="B1632">
        <f t="shared" si="25"/>
        <v>2024</v>
      </c>
      <c r="C1632">
        <v>3</v>
      </c>
      <c r="D1632" t="s">
        <v>7</v>
      </c>
      <c r="E1632" t="s">
        <v>31</v>
      </c>
      <c r="F1632" s="2">
        <v>13272</v>
      </c>
      <c r="G1632" s="2">
        <f>Monthly_Growth!$C$16</f>
        <v>925825</v>
      </c>
      <c r="H1632" s="5">
        <f>Monthly_Growth!$D$16</f>
        <v>0.29556862564003533</v>
      </c>
      <c r="I1632" s="15">
        <f>Yearly_Growth!$C$3</f>
        <v>0.11893113731787852</v>
      </c>
      <c r="J1632" s="15">
        <f>Yearly_Growth!$D$3</f>
        <v>0.09</v>
      </c>
      <c r="K1632">
        <f>Sales_Per_Representative!$C$21</f>
        <v>679421</v>
      </c>
      <c r="L1632">
        <f>Sales_Per_Rep_Yearly_Goal!$B$3</f>
        <v>689907.8</v>
      </c>
      <c r="M1632">
        <f>Sales_Per_Rep_Yearly_Goal!$C$3</f>
        <v>690000</v>
      </c>
    </row>
    <row r="1633" spans="1:13" x14ac:dyDescent="0.3">
      <c r="A1633" s="3">
        <v>45365</v>
      </c>
      <c r="B1633">
        <f t="shared" si="25"/>
        <v>2024</v>
      </c>
      <c r="C1633">
        <v>3</v>
      </c>
      <c r="D1633" t="s">
        <v>14</v>
      </c>
      <c r="E1633" t="s">
        <v>8</v>
      </c>
      <c r="F1633" s="2">
        <v>10126</v>
      </c>
      <c r="G1633" s="2">
        <f>Monthly_Growth!$C$16</f>
        <v>925825</v>
      </c>
      <c r="H1633" s="5">
        <f>Monthly_Growth!$D$16</f>
        <v>0.29556862564003533</v>
      </c>
      <c r="I1633" s="15">
        <f>Yearly_Growth!$C$3</f>
        <v>0.11893113731787852</v>
      </c>
      <c r="J1633" s="15">
        <f>Yearly_Growth!$D$3</f>
        <v>0.09</v>
      </c>
      <c r="K1633">
        <f>Sales_Per_Representative!$C$30</f>
        <v>780006</v>
      </c>
      <c r="L1633">
        <f>Sales_Per_Rep_Yearly_Goal!$B$3</f>
        <v>689907.8</v>
      </c>
      <c r="M1633">
        <f>Sales_Per_Rep_Yearly_Goal!$C$3</f>
        <v>690000</v>
      </c>
    </row>
    <row r="1634" spans="1:13" x14ac:dyDescent="0.3">
      <c r="A1634" s="3">
        <v>45365</v>
      </c>
      <c r="B1634">
        <f t="shared" si="25"/>
        <v>2024</v>
      </c>
      <c r="C1634">
        <v>3</v>
      </c>
      <c r="D1634" t="s">
        <v>19</v>
      </c>
      <c r="E1634" t="s">
        <v>15</v>
      </c>
      <c r="F1634" s="2">
        <v>12756</v>
      </c>
      <c r="G1634" s="2">
        <f>Monthly_Growth!$C$16</f>
        <v>925825</v>
      </c>
      <c r="H1634" s="5">
        <f>Monthly_Growth!$D$16</f>
        <v>0.29556862564003533</v>
      </c>
      <c r="I1634" s="15">
        <f>Yearly_Growth!$C$3</f>
        <v>0.11893113731787852</v>
      </c>
      <c r="J1634" s="15">
        <f>Yearly_Growth!$D$3</f>
        <v>0.09</v>
      </c>
      <c r="K1634">
        <f>Sales_Per_Representative!$C$27</f>
        <v>617202</v>
      </c>
      <c r="L1634">
        <f>Sales_Per_Rep_Yearly_Goal!$B$3</f>
        <v>689907.8</v>
      </c>
      <c r="M1634">
        <f>Sales_Per_Rep_Yearly_Goal!$C$3</f>
        <v>690000</v>
      </c>
    </row>
    <row r="1635" spans="1:13" x14ac:dyDescent="0.3">
      <c r="A1635" s="3">
        <v>45365</v>
      </c>
      <c r="B1635">
        <f t="shared" si="25"/>
        <v>2024</v>
      </c>
      <c r="C1635">
        <v>3</v>
      </c>
      <c r="D1635" t="s">
        <v>25</v>
      </c>
      <c r="E1635" t="s">
        <v>29</v>
      </c>
      <c r="F1635" s="2">
        <v>2512</v>
      </c>
      <c r="G1635" s="2">
        <f>Monthly_Growth!$C$16</f>
        <v>925825</v>
      </c>
      <c r="H1635" s="5">
        <f>Monthly_Growth!$D$16</f>
        <v>0.29556862564003533</v>
      </c>
      <c r="I1635" s="15">
        <f>Yearly_Growth!$C$3</f>
        <v>0.11893113731787852</v>
      </c>
      <c r="J1635" s="15">
        <f>Yearly_Growth!$D$3</f>
        <v>0.09</v>
      </c>
      <c r="K1635">
        <f>Sales_Per_Representative!$C$28</f>
        <v>691917</v>
      </c>
      <c r="L1635">
        <f>Sales_Per_Rep_Yearly_Goal!$B$3</f>
        <v>689907.8</v>
      </c>
      <c r="M1635">
        <f>Sales_Per_Rep_Yearly_Goal!$C$3</f>
        <v>690000</v>
      </c>
    </row>
    <row r="1636" spans="1:13" x14ac:dyDescent="0.3">
      <c r="A1636" s="3">
        <v>45365</v>
      </c>
      <c r="B1636">
        <f t="shared" si="25"/>
        <v>2024</v>
      </c>
      <c r="C1636">
        <v>3</v>
      </c>
      <c r="D1636" t="s">
        <v>7</v>
      </c>
      <c r="E1636" t="s">
        <v>22</v>
      </c>
      <c r="F1636" s="2">
        <v>2166</v>
      </c>
      <c r="G1636" s="2">
        <f>Monthly_Growth!$C$16</f>
        <v>925825</v>
      </c>
      <c r="H1636" s="5">
        <f>Monthly_Growth!$D$16</f>
        <v>0.29556862564003533</v>
      </c>
      <c r="I1636" s="15">
        <f>Yearly_Growth!$C$3</f>
        <v>0.11893113731787852</v>
      </c>
      <c r="J1636" s="15">
        <f>Yearly_Growth!$D$3</f>
        <v>0.09</v>
      </c>
      <c r="K1636">
        <f>Sales_Per_Representative!$C$23</f>
        <v>697444</v>
      </c>
      <c r="L1636">
        <f>Sales_Per_Rep_Yearly_Goal!$B$3</f>
        <v>689907.8</v>
      </c>
      <c r="M1636">
        <f>Sales_Per_Rep_Yearly_Goal!$C$3</f>
        <v>690000</v>
      </c>
    </row>
    <row r="1637" spans="1:13" x14ac:dyDescent="0.3">
      <c r="A1637" s="3">
        <v>45365</v>
      </c>
      <c r="B1637">
        <f t="shared" si="25"/>
        <v>2024</v>
      </c>
      <c r="C1637">
        <v>3</v>
      </c>
      <c r="D1637" t="s">
        <v>28</v>
      </c>
      <c r="E1637" t="s">
        <v>5</v>
      </c>
      <c r="F1637" s="2">
        <v>7410</v>
      </c>
      <c r="G1637" s="2">
        <f>Monthly_Growth!$C$16</f>
        <v>925825</v>
      </c>
      <c r="H1637" s="5">
        <f>Monthly_Growth!$D$16</f>
        <v>0.29556862564003533</v>
      </c>
      <c r="I1637" s="15">
        <f>Yearly_Growth!$C$3</f>
        <v>0.11893113731787852</v>
      </c>
      <c r="J1637" s="15">
        <f>Yearly_Growth!$D$3</f>
        <v>0.09</v>
      </c>
      <c r="K1637">
        <f>Sales_Per_Representative!$C$25</f>
        <v>749460</v>
      </c>
      <c r="L1637">
        <f>Sales_Per_Rep_Yearly_Goal!$B$3</f>
        <v>689907.8</v>
      </c>
      <c r="M1637">
        <f>Sales_Per_Rep_Yearly_Goal!$C$3</f>
        <v>690000</v>
      </c>
    </row>
    <row r="1638" spans="1:13" x14ac:dyDescent="0.3">
      <c r="A1638" s="3">
        <v>45366</v>
      </c>
      <c r="B1638">
        <f t="shared" si="25"/>
        <v>2024</v>
      </c>
      <c r="C1638">
        <v>3</v>
      </c>
      <c r="D1638" t="s">
        <v>25</v>
      </c>
      <c r="E1638" t="s">
        <v>22</v>
      </c>
      <c r="F1638" s="2">
        <v>10341</v>
      </c>
      <c r="G1638" s="2">
        <f>Monthly_Growth!$C$16</f>
        <v>925825</v>
      </c>
      <c r="H1638" s="5">
        <f>Monthly_Growth!$D$16</f>
        <v>0.29556862564003533</v>
      </c>
      <c r="I1638" s="15">
        <f>Yearly_Growth!$C$3</f>
        <v>0.11893113731787852</v>
      </c>
      <c r="J1638" s="15">
        <f>Yearly_Growth!$D$3</f>
        <v>0.09</v>
      </c>
      <c r="K1638">
        <f>Sales_Per_Representative!$C$23</f>
        <v>697444</v>
      </c>
      <c r="L1638">
        <f>Sales_Per_Rep_Yearly_Goal!$B$3</f>
        <v>689907.8</v>
      </c>
      <c r="M1638">
        <f>Sales_Per_Rep_Yearly_Goal!$C$3</f>
        <v>690000</v>
      </c>
    </row>
    <row r="1639" spans="1:13" x14ac:dyDescent="0.3">
      <c r="A1639" s="3">
        <v>45366</v>
      </c>
      <c r="B1639">
        <f t="shared" si="25"/>
        <v>2024</v>
      </c>
      <c r="C1639">
        <v>3</v>
      </c>
      <c r="D1639" t="s">
        <v>28</v>
      </c>
      <c r="E1639" t="s">
        <v>31</v>
      </c>
      <c r="F1639" s="2">
        <v>13586</v>
      </c>
      <c r="G1639" s="2">
        <f>Monthly_Growth!$C$16</f>
        <v>925825</v>
      </c>
      <c r="H1639" s="5">
        <f>Monthly_Growth!$D$16</f>
        <v>0.29556862564003533</v>
      </c>
      <c r="I1639" s="15">
        <f>Yearly_Growth!$C$3</f>
        <v>0.11893113731787852</v>
      </c>
      <c r="J1639" s="15">
        <f>Yearly_Growth!$D$3</f>
        <v>0.09</v>
      </c>
      <c r="K1639">
        <f>Sales_Per_Representative!$C$21</f>
        <v>679421</v>
      </c>
      <c r="L1639">
        <f>Sales_Per_Rep_Yearly_Goal!$B$3</f>
        <v>689907.8</v>
      </c>
      <c r="M1639">
        <f>Sales_Per_Rep_Yearly_Goal!$C$3</f>
        <v>690000</v>
      </c>
    </row>
    <row r="1640" spans="1:13" x14ac:dyDescent="0.3">
      <c r="A1640" s="3">
        <v>45367</v>
      </c>
      <c r="B1640">
        <f t="shared" si="25"/>
        <v>2024</v>
      </c>
      <c r="C1640">
        <v>3</v>
      </c>
      <c r="D1640" t="s">
        <v>14</v>
      </c>
      <c r="E1640" t="s">
        <v>15</v>
      </c>
      <c r="F1640" s="2">
        <v>6850</v>
      </c>
      <c r="G1640" s="2">
        <f>Monthly_Growth!$C$16</f>
        <v>925825</v>
      </c>
      <c r="H1640" s="5">
        <f>Monthly_Growth!$D$16</f>
        <v>0.29556862564003533</v>
      </c>
      <c r="I1640" s="15">
        <f>Yearly_Growth!$C$3</f>
        <v>0.11893113731787852</v>
      </c>
      <c r="J1640" s="15">
        <f>Yearly_Growth!$D$3</f>
        <v>0.09</v>
      </c>
      <c r="K1640">
        <f>Sales_Per_Representative!$C$27</f>
        <v>617202</v>
      </c>
      <c r="L1640">
        <f>Sales_Per_Rep_Yearly_Goal!$B$3</f>
        <v>689907.8</v>
      </c>
      <c r="M1640">
        <f>Sales_Per_Rep_Yearly_Goal!$C$3</f>
        <v>690000</v>
      </c>
    </row>
    <row r="1641" spans="1:13" x14ac:dyDescent="0.3">
      <c r="A1641" s="3">
        <v>45367</v>
      </c>
      <c r="B1641">
        <f t="shared" si="25"/>
        <v>2024</v>
      </c>
      <c r="C1641">
        <v>3</v>
      </c>
      <c r="D1641" t="s">
        <v>23</v>
      </c>
      <c r="E1641" t="s">
        <v>10</v>
      </c>
      <c r="F1641" s="2">
        <v>7381</v>
      </c>
      <c r="G1641" s="2">
        <f>Monthly_Growth!$C$16</f>
        <v>925825</v>
      </c>
      <c r="H1641" s="5">
        <f>Monthly_Growth!$D$16</f>
        <v>0.29556862564003533</v>
      </c>
      <c r="I1641" s="15">
        <f>Yearly_Growth!$C$3</f>
        <v>0.11893113731787852</v>
      </c>
      <c r="J1641" s="15">
        <f>Yearly_Growth!$D$3</f>
        <v>0.09</v>
      </c>
      <c r="K1641">
        <f>Sales_Per_Representative!$C$19</f>
        <v>711816</v>
      </c>
      <c r="L1641">
        <f>Sales_Per_Rep_Yearly_Goal!$B$3</f>
        <v>689907.8</v>
      </c>
      <c r="M1641">
        <f>Sales_Per_Rep_Yearly_Goal!$C$3</f>
        <v>690000</v>
      </c>
    </row>
    <row r="1642" spans="1:13" x14ac:dyDescent="0.3">
      <c r="A1642" s="3">
        <v>45367</v>
      </c>
      <c r="B1642">
        <f t="shared" si="25"/>
        <v>2024</v>
      </c>
      <c r="C1642">
        <v>3</v>
      </c>
      <c r="D1642" t="s">
        <v>23</v>
      </c>
      <c r="E1642" t="s">
        <v>33</v>
      </c>
      <c r="F1642" s="2">
        <v>7297</v>
      </c>
      <c r="G1642" s="2">
        <f>Monthly_Growth!$C$16</f>
        <v>925825</v>
      </c>
      <c r="H1642" s="5">
        <f>Monthly_Growth!$D$16</f>
        <v>0.29556862564003533</v>
      </c>
      <c r="I1642" s="15">
        <f>Yearly_Growth!$C$3</f>
        <v>0.11893113731787852</v>
      </c>
      <c r="J1642" s="15">
        <f>Yearly_Growth!$D$3</f>
        <v>0.09</v>
      </c>
      <c r="K1642">
        <f>Sales_Per_Representative!$C$26</f>
        <v>501360</v>
      </c>
      <c r="L1642">
        <f>Sales_Per_Rep_Yearly_Goal!$B$3</f>
        <v>689907.8</v>
      </c>
      <c r="M1642">
        <f>Sales_Per_Rep_Yearly_Goal!$C$3</f>
        <v>690000</v>
      </c>
    </row>
    <row r="1643" spans="1:13" x14ac:dyDescent="0.3">
      <c r="A1643" s="3">
        <v>45367</v>
      </c>
      <c r="B1643">
        <f t="shared" si="25"/>
        <v>2024</v>
      </c>
      <c r="C1643">
        <v>3</v>
      </c>
      <c r="D1643" t="s">
        <v>7</v>
      </c>
      <c r="E1643" t="s">
        <v>18</v>
      </c>
      <c r="F1643" s="2">
        <v>3982</v>
      </c>
      <c r="G1643" s="2">
        <f>Monthly_Growth!$C$16</f>
        <v>925825</v>
      </c>
      <c r="H1643" s="5">
        <f>Monthly_Growth!$D$16</f>
        <v>0.29556862564003533</v>
      </c>
      <c r="I1643" s="15">
        <f>Yearly_Growth!$C$3</f>
        <v>0.11893113731787852</v>
      </c>
      <c r="J1643" s="15">
        <f>Yearly_Growth!$D$3</f>
        <v>0.09</v>
      </c>
      <c r="K1643">
        <f>Sales_Per_Representative!$C$24</f>
        <v>699277</v>
      </c>
      <c r="L1643">
        <f>Sales_Per_Rep_Yearly_Goal!$B$3</f>
        <v>689907.8</v>
      </c>
      <c r="M1643">
        <f>Sales_Per_Rep_Yearly_Goal!$C$3</f>
        <v>690000</v>
      </c>
    </row>
    <row r="1644" spans="1:13" x14ac:dyDescent="0.3">
      <c r="A1644" s="3">
        <v>45368</v>
      </c>
      <c r="B1644">
        <f t="shared" si="25"/>
        <v>2024</v>
      </c>
      <c r="C1644">
        <v>3</v>
      </c>
      <c r="D1644" t="s">
        <v>7</v>
      </c>
      <c r="E1644" t="s">
        <v>10</v>
      </c>
      <c r="F1644" s="2">
        <v>6880</v>
      </c>
      <c r="G1644" s="2">
        <f>Monthly_Growth!$C$16</f>
        <v>925825</v>
      </c>
      <c r="H1644" s="5">
        <f>Monthly_Growth!$D$16</f>
        <v>0.29556862564003533</v>
      </c>
      <c r="I1644" s="15">
        <f>Yearly_Growth!$C$3</f>
        <v>0.11893113731787852</v>
      </c>
      <c r="J1644" s="15">
        <f>Yearly_Growth!$D$3</f>
        <v>0.09</v>
      </c>
      <c r="K1644">
        <f>Sales_Per_Representative!$C$19</f>
        <v>711816</v>
      </c>
      <c r="L1644">
        <f>Sales_Per_Rep_Yearly_Goal!$B$3</f>
        <v>689907.8</v>
      </c>
      <c r="M1644">
        <f>Sales_Per_Rep_Yearly_Goal!$C$3</f>
        <v>690000</v>
      </c>
    </row>
    <row r="1645" spans="1:13" x14ac:dyDescent="0.3">
      <c r="A1645" s="3">
        <v>45368</v>
      </c>
      <c r="B1645">
        <f t="shared" si="25"/>
        <v>2024</v>
      </c>
      <c r="C1645">
        <v>3</v>
      </c>
      <c r="D1645" t="s">
        <v>17</v>
      </c>
      <c r="E1645" t="s">
        <v>30</v>
      </c>
      <c r="F1645" s="2">
        <v>9638</v>
      </c>
      <c r="G1645" s="2">
        <f>Monthly_Growth!$C$16</f>
        <v>925825</v>
      </c>
      <c r="H1645" s="5">
        <f>Monthly_Growth!$D$16</f>
        <v>0.29556862564003533</v>
      </c>
      <c r="I1645" s="15">
        <f>Yearly_Growth!$C$3</f>
        <v>0.11893113731787852</v>
      </c>
      <c r="J1645" s="15">
        <f>Yearly_Growth!$D$3</f>
        <v>0.09</v>
      </c>
      <c r="K1645">
        <f>Sales_Per_Representative!$C$22</f>
        <v>700142</v>
      </c>
      <c r="L1645">
        <f>Sales_Per_Rep_Yearly_Goal!$B$3</f>
        <v>689907.8</v>
      </c>
      <c r="M1645">
        <f>Sales_Per_Rep_Yearly_Goal!$C$3</f>
        <v>690000</v>
      </c>
    </row>
    <row r="1646" spans="1:13" x14ac:dyDescent="0.3">
      <c r="A1646" s="3">
        <v>45368</v>
      </c>
      <c r="B1646">
        <f t="shared" si="25"/>
        <v>2024</v>
      </c>
      <c r="C1646">
        <v>3</v>
      </c>
      <c r="D1646" t="s">
        <v>12</v>
      </c>
      <c r="E1646" t="s">
        <v>31</v>
      </c>
      <c r="F1646" s="2">
        <v>10974</v>
      </c>
      <c r="G1646" s="2">
        <f>Monthly_Growth!$C$16</f>
        <v>925825</v>
      </c>
      <c r="H1646" s="5">
        <f>Monthly_Growth!$D$16</f>
        <v>0.29556862564003533</v>
      </c>
      <c r="I1646" s="15">
        <f>Yearly_Growth!$C$3</f>
        <v>0.11893113731787852</v>
      </c>
      <c r="J1646" s="15">
        <f>Yearly_Growth!$D$3</f>
        <v>0.09</v>
      </c>
      <c r="K1646">
        <f>Sales_Per_Representative!$C$21</f>
        <v>679421</v>
      </c>
      <c r="L1646">
        <f>Sales_Per_Rep_Yearly_Goal!$B$3</f>
        <v>689907.8</v>
      </c>
      <c r="M1646">
        <f>Sales_Per_Rep_Yearly_Goal!$C$3</f>
        <v>690000</v>
      </c>
    </row>
    <row r="1647" spans="1:13" x14ac:dyDescent="0.3">
      <c r="A1647" s="3">
        <v>45368</v>
      </c>
      <c r="B1647">
        <f t="shared" si="25"/>
        <v>2024</v>
      </c>
      <c r="C1647">
        <v>3</v>
      </c>
      <c r="D1647" t="s">
        <v>12</v>
      </c>
      <c r="E1647" t="s">
        <v>30</v>
      </c>
      <c r="F1647" s="2">
        <v>4186</v>
      </c>
      <c r="G1647" s="2">
        <f>Monthly_Growth!$C$16</f>
        <v>925825</v>
      </c>
      <c r="H1647" s="5">
        <f>Monthly_Growth!$D$16</f>
        <v>0.29556862564003533</v>
      </c>
      <c r="I1647" s="15">
        <f>Yearly_Growth!$C$3</f>
        <v>0.11893113731787852</v>
      </c>
      <c r="J1647" s="15">
        <f>Yearly_Growth!$D$3</f>
        <v>0.09</v>
      </c>
      <c r="K1647">
        <f>Sales_Per_Representative!$C$22</f>
        <v>700142</v>
      </c>
      <c r="L1647">
        <f>Sales_Per_Rep_Yearly_Goal!$B$3</f>
        <v>689907.8</v>
      </c>
      <c r="M1647">
        <f>Sales_Per_Rep_Yearly_Goal!$C$3</f>
        <v>690000</v>
      </c>
    </row>
    <row r="1648" spans="1:13" x14ac:dyDescent="0.3">
      <c r="A1648" s="3">
        <v>45369</v>
      </c>
      <c r="B1648">
        <f t="shared" si="25"/>
        <v>2024</v>
      </c>
      <c r="C1648">
        <v>3</v>
      </c>
      <c r="D1648" t="s">
        <v>25</v>
      </c>
      <c r="E1648" t="s">
        <v>18</v>
      </c>
      <c r="F1648" s="2">
        <v>12257</v>
      </c>
      <c r="G1648" s="2">
        <f>Monthly_Growth!$C$16</f>
        <v>925825</v>
      </c>
      <c r="H1648" s="5">
        <f>Monthly_Growth!$D$16</f>
        <v>0.29556862564003533</v>
      </c>
      <c r="I1648" s="15">
        <f>Yearly_Growth!$C$3</f>
        <v>0.11893113731787852</v>
      </c>
      <c r="J1648" s="15">
        <f>Yearly_Growth!$D$3</f>
        <v>0.09</v>
      </c>
      <c r="K1648">
        <f>Sales_Per_Representative!$C$24</f>
        <v>699277</v>
      </c>
      <c r="L1648">
        <f>Sales_Per_Rep_Yearly_Goal!$B$3</f>
        <v>689907.8</v>
      </c>
      <c r="M1648">
        <f>Sales_Per_Rep_Yearly_Goal!$C$3</f>
        <v>690000</v>
      </c>
    </row>
    <row r="1649" spans="1:13" x14ac:dyDescent="0.3">
      <c r="A1649" s="3">
        <v>45369</v>
      </c>
      <c r="B1649">
        <f t="shared" si="25"/>
        <v>2024</v>
      </c>
      <c r="C1649">
        <v>3</v>
      </c>
      <c r="D1649" t="s">
        <v>28</v>
      </c>
      <c r="E1649" t="s">
        <v>33</v>
      </c>
      <c r="F1649" s="2">
        <v>13789</v>
      </c>
      <c r="G1649" s="2">
        <f>Monthly_Growth!$C$16</f>
        <v>925825</v>
      </c>
      <c r="H1649" s="5">
        <f>Monthly_Growth!$D$16</f>
        <v>0.29556862564003533</v>
      </c>
      <c r="I1649" s="15">
        <f>Yearly_Growth!$C$3</f>
        <v>0.11893113731787852</v>
      </c>
      <c r="J1649" s="15">
        <f>Yearly_Growth!$D$3</f>
        <v>0.09</v>
      </c>
      <c r="K1649">
        <f>Sales_Per_Representative!$C$26</f>
        <v>501360</v>
      </c>
      <c r="L1649">
        <f>Sales_Per_Rep_Yearly_Goal!$B$3</f>
        <v>689907.8</v>
      </c>
      <c r="M1649">
        <f>Sales_Per_Rep_Yearly_Goal!$C$3</f>
        <v>690000</v>
      </c>
    </row>
    <row r="1650" spans="1:13" x14ac:dyDescent="0.3">
      <c r="A1650" s="3">
        <v>45370</v>
      </c>
      <c r="B1650">
        <f t="shared" si="25"/>
        <v>2024</v>
      </c>
      <c r="C1650">
        <v>3</v>
      </c>
      <c r="D1650" t="s">
        <v>19</v>
      </c>
      <c r="E1650" t="s">
        <v>20</v>
      </c>
      <c r="F1650" s="2">
        <v>1525</v>
      </c>
      <c r="G1650" s="2">
        <f>Monthly_Growth!$C$16</f>
        <v>925825</v>
      </c>
      <c r="H1650" s="5">
        <f>Monthly_Growth!$D$16</f>
        <v>0.29556862564003533</v>
      </c>
      <c r="I1650" s="15">
        <f>Yearly_Growth!$C$3</f>
        <v>0.11893113731787852</v>
      </c>
      <c r="J1650" s="15">
        <f>Yearly_Growth!$D$3</f>
        <v>0.09</v>
      </c>
      <c r="K1650">
        <f>Sales_Per_Representative!$C$29</f>
        <v>753085</v>
      </c>
      <c r="L1650">
        <f>Sales_Per_Rep_Yearly_Goal!$B$3</f>
        <v>689907.8</v>
      </c>
      <c r="M1650">
        <f>Sales_Per_Rep_Yearly_Goal!$C$3</f>
        <v>690000</v>
      </c>
    </row>
    <row r="1651" spans="1:13" x14ac:dyDescent="0.3">
      <c r="A1651" s="3">
        <v>45370</v>
      </c>
      <c r="B1651">
        <f t="shared" si="25"/>
        <v>2024</v>
      </c>
      <c r="C1651">
        <v>3</v>
      </c>
      <c r="D1651" t="s">
        <v>23</v>
      </c>
      <c r="E1651" t="s">
        <v>10</v>
      </c>
      <c r="F1651" s="2">
        <v>9081</v>
      </c>
      <c r="G1651" s="2">
        <f>Monthly_Growth!$C$16</f>
        <v>925825</v>
      </c>
      <c r="H1651" s="5">
        <f>Monthly_Growth!$D$16</f>
        <v>0.29556862564003533</v>
      </c>
      <c r="I1651" s="15">
        <f>Yearly_Growth!$C$3</f>
        <v>0.11893113731787852</v>
      </c>
      <c r="J1651" s="15">
        <f>Yearly_Growth!$D$3</f>
        <v>0.09</v>
      </c>
      <c r="K1651">
        <f>Sales_Per_Representative!$C$19</f>
        <v>711816</v>
      </c>
      <c r="L1651">
        <f>Sales_Per_Rep_Yearly_Goal!$B$3</f>
        <v>689907.8</v>
      </c>
      <c r="M1651">
        <f>Sales_Per_Rep_Yearly_Goal!$C$3</f>
        <v>690000</v>
      </c>
    </row>
    <row r="1652" spans="1:13" x14ac:dyDescent="0.3">
      <c r="A1652" s="3">
        <v>45370</v>
      </c>
      <c r="B1652">
        <f t="shared" si="25"/>
        <v>2024</v>
      </c>
      <c r="C1652">
        <v>3</v>
      </c>
      <c r="D1652" t="s">
        <v>7</v>
      </c>
      <c r="E1652" t="s">
        <v>32</v>
      </c>
      <c r="F1652" s="2">
        <v>9720</v>
      </c>
      <c r="G1652" s="2">
        <f>Monthly_Growth!$C$16</f>
        <v>925825</v>
      </c>
      <c r="H1652" s="5">
        <f>Monthly_Growth!$D$16</f>
        <v>0.29556862564003533</v>
      </c>
      <c r="I1652" s="15">
        <f>Yearly_Growth!$C$3</f>
        <v>0.11893113731787852</v>
      </c>
      <c r="J1652" s="15">
        <f>Yearly_Growth!$D$3</f>
        <v>0.09</v>
      </c>
      <c r="K1652">
        <f>Sales_Per_Representative!$C$18</f>
        <v>783907</v>
      </c>
      <c r="L1652">
        <f>Sales_Per_Rep_Yearly_Goal!$B$3</f>
        <v>689907.8</v>
      </c>
      <c r="M1652">
        <f>Sales_Per_Rep_Yearly_Goal!$C$3</f>
        <v>690000</v>
      </c>
    </row>
    <row r="1653" spans="1:13" x14ac:dyDescent="0.3">
      <c r="A1653" s="3">
        <v>45371</v>
      </c>
      <c r="B1653">
        <f t="shared" si="25"/>
        <v>2024</v>
      </c>
      <c r="C1653">
        <v>3</v>
      </c>
      <c r="D1653" t="s">
        <v>25</v>
      </c>
      <c r="E1653" t="s">
        <v>24</v>
      </c>
      <c r="F1653" s="2">
        <v>11179</v>
      </c>
      <c r="G1653" s="2">
        <f>Monthly_Growth!$C$16</f>
        <v>925825</v>
      </c>
      <c r="H1653" s="5">
        <f>Monthly_Growth!$D$16</f>
        <v>0.29556862564003533</v>
      </c>
      <c r="I1653" s="15">
        <f>Yearly_Growth!$C$3</f>
        <v>0.11893113731787852</v>
      </c>
      <c r="J1653" s="15">
        <f>Yearly_Growth!$D$3</f>
        <v>0.09</v>
      </c>
      <c r="K1653">
        <f>Sales_Per_Representative!$C$17</f>
        <v>633956</v>
      </c>
      <c r="L1653">
        <f>Sales_Per_Rep_Yearly_Goal!$B$3</f>
        <v>689907.8</v>
      </c>
      <c r="M1653">
        <f>Sales_Per_Rep_Yearly_Goal!$C$3</f>
        <v>690000</v>
      </c>
    </row>
    <row r="1654" spans="1:13" x14ac:dyDescent="0.3">
      <c r="A1654" s="3">
        <v>45371</v>
      </c>
      <c r="B1654">
        <f t="shared" si="25"/>
        <v>2024</v>
      </c>
      <c r="C1654">
        <v>3</v>
      </c>
      <c r="D1654" t="s">
        <v>7</v>
      </c>
      <c r="E1654" t="s">
        <v>22</v>
      </c>
      <c r="F1654" s="2">
        <v>10177</v>
      </c>
      <c r="G1654" s="2">
        <f>Monthly_Growth!$C$16</f>
        <v>925825</v>
      </c>
      <c r="H1654" s="5">
        <f>Monthly_Growth!$D$16</f>
        <v>0.29556862564003533</v>
      </c>
      <c r="I1654" s="15">
        <f>Yearly_Growth!$C$3</f>
        <v>0.11893113731787852</v>
      </c>
      <c r="J1654" s="15">
        <f>Yearly_Growth!$D$3</f>
        <v>0.09</v>
      </c>
      <c r="K1654">
        <f>Sales_Per_Representative!$C$23</f>
        <v>697444</v>
      </c>
      <c r="L1654">
        <f>Sales_Per_Rep_Yearly_Goal!$B$3</f>
        <v>689907.8</v>
      </c>
      <c r="M1654">
        <f>Sales_Per_Rep_Yearly_Goal!$C$3</f>
        <v>690000</v>
      </c>
    </row>
    <row r="1655" spans="1:13" x14ac:dyDescent="0.3">
      <c r="A1655" s="3">
        <v>45372</v>
      </c>
      <c r="B1655">
        <f t="shared" si="25"/>
        <v>2024</v>
      </c>
      <c r="C1655">
        <v>3</v>
      </c>
      <c r="D1655" t="s">
        <v>7</v>
      </c>
      <c r="E1655" t="s">
        <v>26</v>
      </c>
      <c r="F1655" s="2">
        <v>5668</v>
      </c>
      <c r="G1655" s="2">
        <f>Monthly_Growth!$C$16</f>
        <v>925825</v>
      </c>
      <c r="H1655" s="5">
        <f>Monthly_Growth!$D$16</f>
        <v>0.29556862564003533</v>
      </c>
      <c r="I1655" s="15">
        <f>Yearly_Growth!$C$3</f>
        <v>0.11893113731787852</v>
      </c>
      <c r="J1655" s="15">
        <f>Yearly_Growth!$D$3</f>
        <v>0.09</v>
      </c>
      <c r="K1655">
        <f>Sales_Per_Representative!$C$31</f>
        <v>664244</v>
      </c>
      <c r="L1655">
        <f>Sales_Per_Rep_Yearly_Goal!$B$3</f>
        <v>689907.8</v>
      </c>
      <c r="M1655">
        <f>Sales_Per_Rep_Yearly_Goal!$C$3</f>
        <v>690000</v>
      </c>
    </row>
    <row r="1656" spans="1:13" x14ac:dyDescent="0.3">
      <c r="A1656" s="3">
        <v>45372</v>
      </c>
      <c r="B1656">
        <f t="shared" si="25"/>
        <v>2024</v>
      </c>
      <c r="C1656">
        <v>3</v>
      </c>
      <c r="D1656" t="s">
        <v>7</v>
      </c>
      <c r="E1656" t="s">
        <v>33</v>
      </c>
      <c r="F1656" s="2">
        <v>1083</v>
      </c>
      <c r="G1656" s="2">
        <f>Monthly_Growth!$C$16</f>
        <v>925825</v>
      </c>
      <c r="H1656" s="5">
        <f>Monthly_Growth!$D$16</f>
        <v>0.29556862564003533</v>
      </c>
      <c r="I1656" s="15">
        <f>Yearly_Growth!$C$3</f>
        <v>0.11893113731787852</v>
      </c>
      <c r="J1656" s="15">
        <f>Yearly_Growth!$D$3</f>
        <v>0.09</v>
      </c>
      <c r="K1656">
        <f>Sales_Per_Representative!$C$26</f>
        <v>501360</v>
      </c>
      <c r="L1656">
        <f>Sales_Per_Rep_Yearly_Goal!$B$3</f>
        <v>689907.8</v>
      </c>
      <c r="M1656">
        <f>Sales_Per_Rep_Yearly_Goal!$C$3</f>
        <v>690000</v>
      </c>
    </row>
    <row r="1657" spans="1:13" x14ac:dyDescent="0.3">
      <c r="A1657" s="3">
        <v>45372</v>
      </c>
      <c r="B1657">
        <f t="shared" si="25"/>
        <v>2024</v>
      </c>
      <c r="C1657">
        <v>3</v>
      </c>
      <c r="D1657" t="s">
        <v>28</v>
      </c>
      <c r="E1657" t="s">
        <v>31</v>
      </c>
      <c r="F1657" s="2">
        <v>2768</v>
      </c>
      <c r="G1657" s="2">
        <f>Monthly_Growth!$C$16</f>
        <v>925825</v>
      </c>
      <c r="H1657" s="5">
        <f>Monthly_Growth!$D$16</f>
        <v>0.29556862564003533</v>
      </c>
      <c r="I1657" s="15">
        <f>Yearly_Growth!$C$3</f>
        <v>0.11893113731787852</v>
      </c>
      <c r="J1657" s="15">
        <f>Yearly_Growth!$D$3</f>
        <v>0.09</v>
      </c>
      <c r="K1657">
        <f>Sales_Per_Representative!$C$21</f>
        <v>679421</v>
      </c>
      <c r="L1657">
        <f>Sales_Per_Rep_Yearly_Goal!$B$3</f>
        <v>689907.8</v>
      </c>
      <c r="M1657">
        <f>Sales_Per_Rep_Yearly_Goal!$C$3</f>
        <v>690000</v>
      </c>
    </row>
    <row r="1658" spans="1:13" x14ac:dyDescent="0.3">
      <c r="A1658" s="3">
        <v>45373</v>
      </c>
      <c r="B1658">
        <f t="shared" si="25"/>
        <v>2024</v>
      </c>
      <c r="C1658">
        <v>3</v>
      </c>
      <c r="D1658" t="s">
        <v>14</v>
      </c>
      <c r="E1658" t="s">
        <v>30</v>
      </c>
      <c r="F1658" s="2">
        <v>8295</v>
      </c>
      <c r="G1658" s="2">
        <f>Monthly_Growth!$C$16</f>
        <v>925825</v>
      </c>
      <c r="H1658" s="5">
        <f>Monthly_Growth!$D$16</f>
        <v>0.29556862564003533</v>
      </c>
      <c r="I1658" s="15">
        <f>Yearly_Growth!$C$3</f>
        <v>0.11893113731787852</v>
      </c>
      <c r="J1658" s="15">
        <f>Yearly_Growth!$D$3</f>
        <v>0.09</v>
      </c>
      <c r="K1658">
        <f>Sales_Per_Representative!$C$22</f>
        <v>700142</v>
      </c>
      <c r="L1658">
        <f>Sales_Per_Rep_Yearly_Goal!$B$3</f>
        <v>689907.8</v>
      </c>
      <c r="M1658">
        <f>Sales_Per_Rep_Yearly_Goal!$C$3</f>
        <v>690000</v>
      </c>
    </row>
    <row r="1659" spans="1:13" x14ac:dyDescent="0.3">
      <c r="A1659" s="3">
        <v>45373</v>
      </c>
      <c r="B1659">
        <f t="shared" si="25"/>
        <v>2024</v>
      </c>
      <c r="C1659">
        <v>3</v>
      </c>
      <c r="D1659" t="s">
        <v>25</v>
      </c>
      <c r="E1659" t="s">
        <v>31</v>
      </c>
      <c r="F1659" s="2">
        <v>5403</v>
      </c>
      <c r="G1659" s="2">
        <f>Monthly_Growth!$C$16</f>
        <v>925825</v>
      </c>
      <c r="H1659" s="5">
        <f>Monthly_Growth!$D$16</f>
        <v>0.29556862564003533</v>
      </c>
      <c r="I1659" s="15">
        <f>Yearly_Growth!$C$3</f>
        <v>0.11893113731787852</v>
      </c>
      <c r="J1659" s="15">
        <f>Yearly_Growth!$D$3</f>
        <v>0.09</v>
      </c>
      <c r="K1659">
        <f>Sales_Per_Representative!$C$21</f>
        <v>679421</v>
      </c>
      <c r="L1659">
        <f>Sales_Per_Rep_Yearly_Goal!$B$3</f>
        <v>689907.8</v>
      </c>
      <c r="M1659">
        <f>Sales_Per_Rep_Yearly_Goal!$C$3</f>
        <v>690000</v>
      </c>
    </row>
    <row r="1660" spans="1:13" x14ac:dyDescent="0.3">
      <c r="A1660" s="3">
        <v>45373</v>
      </c>
      <c r="B1660">
        <f t="shared" si="25"/>
        <v>2024</v>
      </c>
      <c r="C1660">
        <v>3</v>
      </c>
      <c r="D1660" t="s">
        <v>7</v>
      </c>
      <c r="E1660" t="s">
        <v>10</v>
      </c>
      <c r="F1660" s="2">
        <v>13584</v>
      </c>
      <c r="G1660" s="2">
        <f>Monthly_Growth!$C$16</f>
        <v>925825</v>
      </c>
      <c r="H1660" s="5">
        <f>Monthly_Growth!$D$16</f>
        <v>0.29556862564003533</v>
      </c>
      <c r="I1660" s="15">
        <f>Yearly_Growth!$C$3</f>
        <v>0.11893113731787852</v>
      </c>
      <c r="J1660" s="15">
        <f>Yearly_Growth!$D$3</f>
        <v>0.09</v>
      </c>
      <c r="K1660">
        <f>Sales_Per_Representative!$C$19</f>
        <v>711816</v>
      </c>
      <c r="L1660">
        <f>Sales_Per_Rep_Yearly_Goal!$B$3</f>
        <v>689907.8</v>
      </c>
      <c r="M1660">
        <f>Sales_Per_Rep_Yearly_Goal!$C$3</f>
        <v>690000</v>
      </c>
    </row>
    <row r="1661" spans="1:13" x14ac:dyDescent="0.3">
      <c r="A1661" s="3">
        <v>45373</v>
      </c>
      <c r="B1661">
        <f t="shared" si="25"/>
        <v>2024</v>
      </c>
      <c r="C1661">
        <v>3</v>
      </c>
      <c r="D1661" t="s">
        <v>7</v>
      </c>
      <c r="E1661" t="s">
        <v>22</v>
      </c>
      <c r="F1661" s="2">
        <v>2364</v>
      </c>
      <c r="G1661" s="2">
        <f>Monthly_Growth!$C$16</f>
        <v>925825</v>
      </c>
      <c r="H1661" s="5">
        <f>Monthly_Growth!$D$16</f>
        <v>0.29556862564003533</v>
      </c>
      <c r="I1661" s="15">
        <f>Yearly_Growth!$C$3</f>
        <v>0.11893113731787852</v>
      </c>
      <c r="J1661" s="15">
        <f>Yearly_Growth!$D$3</f>
        <v>0.09</v>
      </c>
      <c r="K1661">
        <f>Sales_Per_Representative!$C$23</f>
        <v>697444</v>
      </c>
      <c r="L1661">
        <f>Sales_Per_Rep_Yearly_Goal!$B$3</f>
        <v>689907.8</v>
      </c>
      <c r="M1661">
        <f>Sales_Per_Rep_Yearly_Goal!$C$3</f>
        <v>690000</v>
      </c>
    </row>
    <row r="1662" spans="1:13" x14ac:dyDescent="0.3">
      <c r="A1662" s="3">
        <v>45373</v>
      </c>
      <c r="B1662">
        <f t="shared" si="25"/>
        <v>2024</v>
      </c>
      <c r="C1662">
        <v>3</v>
      </c>
      <c r="D1662" t="s">
        <v>7</v>
      </c>
      <c r="E1662" t="s">
        <v>32</v>
      </c>
      <c r="F1662" s="2">
        <v>13504</v>
      </c>
      <c r="G1662" s="2">
        <f>Monthly_Growth!$C$16</f>
        <v>925825</v>
      </c>
      <c r="H1662" s="5">
        <f>Monthly_Growth!$D$16</f>
        <v>0.29556862564003533</v>
      </c>
      <c r="I1662" s="15">
        <f>Yearly_Growth!$C$3</f>
        <v>0.11893113731787852</v>
      </c>
      <c r="J1662" s="15">
        <f>Yearly_Growth!$D$3</f>
        <v>0.09</v>
      </c>
      <c r="K1662">
        <f>Sales_Per_Representative!$C$18</f>
        <v>783907</v>
      </c>
      <c r="L1662">
        <f>Sales_Per_Rep_Yearly_Goal!$B$3</f>
        <v>689907.8</v>
      </c>
      <c r="M1662">
        <f>Sales_Per_Rep_Yearly_Goal!$C$3</f>
        <v>690000</v>
      </c>
    </row>
    <row r="1663" spans="1:13" x14ac:dyDescent="0.3">
      <c r="A1663" s="3">
        <v>45373</v>
      </c>
      <c r="B1663">
        <f t="shared" si="25"/>
        <v>2024</v>
      </c>
      <c r="C1663">
        <v>3</v>
      </c>
      <c r="D1663" t="s">
        <v>12</v>
      </c>
      <c r="E1663" t="s">
        <v>22</v>
      </c>
      <c r="F1663" s="2">
        <v>6393</v>
      </c>
      <c r="G1663" s="2">
        <f>Monthly_Growth!$C$16</f>
        <v>925825</v>
      </c>
      <c r="H1663" s="5">
        <f>Monthly_Growth!$D$16</f>
        <v>0.29556862564003533</v>
      </c>
      <c r="I1663" s="15">
        <f>Yearly_Growth!$C$3</f>
        <v>0.11893113731787852</v>
      </c>
      <c r="J1663" s="15">
        <f>Yearly_Growth!$D$3</f>
        <v>0.09</v>
      </c>
      <c r="K1663">
        <f>Sales_Per_Representative!$C$23</f>
        <v>697444</v>
      </c>
      <c r="L1663">
        <f>Sales_Per_Rep_Yearly_Goal!$B$3</f>
        <v>689907.8</v>
      </c>
      <c r="M1663">
        <f>Sales_Per_Rep_Yearly_Goal!$C$3</f>
        <v>690000</v>
      </c>
    </row>
    <row r="1664" spans="1:13" x14ac:dyDescent="0.3">
      <c r="A1664" s="3">
        <v>45374</v>
      </c>
      <c r="B1664">
        <f t="shared" si="25"/>
        <v>2024</v>
      </c>
      <c r="C1664">
        <v>3</v>
      </c>
      <c r="D1664" t="s">
        <v>14</v>
      </c>
      <c r="E1664" t="s">
        <v>27</v>
      </c>
      <c r="F1664" s="2">
        <v>13988</v>
      </c>
      <c r="G1664" s="2">
        <f>Monthly_Growth!$C$16</f>
        <v>925825</v>
      </c>
      <c r="H1664" s="5">
        <f>Monthly_Growth!$D$16</f>
        <v>0.29556862564003533</v>
      </c>
      <c r="I1664" s="15">
        <f>Yearly_Growth!$C$3</f>
        <v>0.11893113731787852</v>
      </c>
      <c r="J1664" s="15">
        <f>Yearly_Growth!$D$3</f>
        <v>0.09</v>
      </c>
      <c r="K1664">
        <f>Sales_Per_Representative!$C$20</f>
        <v>685380</v>
      </c>
      <c r="L1664">
        <f>Sales_Per_Rep_Yearly_Goal!$B$3</f>
        <v>689907.8</v>
      </c>
      <c r="M1664">
        <f>Sales_Per_Rep_Yearly_Goal!$C$3</f>
        <v>690000</v>
      </c>
    </row>
    <row r="1665" spans="1:13" x14ac:dyDescent="0.3">
      <c r="A1665" s="3">
        <v>45374</v>
      </c>
      <c r="B1665">
        <f t="shared" si="25"/>
        <v>2024</v>
      </c>
      <c r="C1665">
        <v>3</v>
      </c>
      <c r="D1665" t="s">
        <v>19</v>
      </c>
      <c r="E1665" t="s">
        <v>8</v>
      </c>
      <c r="F1665" s="2">
        <v>10653</v>
      </c>
      <c r="G1665" s="2">
        <f>Monthly_Growth!$C$16</f>
        <v>925825</v>
      </c>
      <c r="H1665" s="5">
        <f>Monthly_Growth!$D$16</f>
        <v>0.29556862564003533</v>
      </c>
      <c r="I1665" s="15">
        <f>Yearly_Growth!$C$3</f>
        <v>0.11893113731787852</v>
      </c>
      <c r="J1665" s="15">
        <f>Yearly_Growth!$D$3</f>
        <v>0.09</v>
      </c>
      <c r="K1665">
        <f>Sales_Per_Representative!$C$30</f>
        <v>780006</v>
      </c>
      <c r="L1665">
        <f>Sales_Per_Rep_Yearly_Goal!$B$3</f>
        <v>689907.8</v>
      </c>
      <c r="M1665">
        <f>Sales_Per_Rep_Yearly_Goal!$C$3</f>
        <v>690000</v>
      </c>
    </row>
    <row r="1666" spans="1:13" x14ac:dyDescent="0.3">
      <c r="A1666" s="3">
        <v>45374</v>
      </c>
      <c r="B1666">
        <f t="shared" si="25"/>
        <v>2024</v>
      </c>
      <c r="C1666">
        <v>3</v>
      </c>
      <c r="D1666" t="s">
        <v>28</v>
      </c>
      <c r="E1666" t="s">
        <v>20</v>
      </c>
      <c r="F1666" s="2">
        <v>6491</v>
      </c>
      <c r="G1666" s="2">
        <f>Monthly_Growth!$C$16</f>
        <v>925825</v>
      </c>
      <c r="H1666" s="5">
        <f>Monthly_Growth!$D$16</f>
        <v>0.29556862564003533</v>
      </c>
      <c r="I1666" s="15">
        <f>Yearly_Growth!$C$3</f>
        <v>0.11893113731787852</v>
      </c>
      <c r="J1666" s="15">
        <f>Yearly_Growth!$D$3</f>
        <v>0.09</v>
      </c>
      <c r="K1666">
        <f>Sales_Per_Representative!$C$29</f>
        <v>753085</v>
      </c>
      <c r="L1666">
        <f>Sales_Per_Rep_Yearly_Goal!$B$3</f>
        <v>689907.8</v>
      </c>
      <c r="M1666">
        <f>Sales_Per_Rep_Yearly_Goal!$C$3</f>
        <v>690000</v>
      </c>
    </row>
    <row r="1667" spans="1:13" x14ac:dyDescent="0.3">
      <c r="A1667" s="3">
        <v>45374</v>
      </c>
      <c r="B1667">
        <f t="shared" ref="B1667:B1730" si="26">YEAR(A1667)</f>
        <v>2024</v>
      </c>
      <c r="C1667">
        <v>3</v>
      </c>
      <c r="D1667" t="s">
        <v>12</v>
      </c>
      <c r="E1667" t="s">
        <v>8</v>
      </c>
      <c r="F1667" s="2">
        <v>10818</v>
      </c>
      <c r="G1667" s="2">
        <f>Monthly_Growth!$C$16</f>
        <v>925825</v>
      </c>
      <c r="H1667" s="5">
        <f>Monthly_Growth!$D$16</f>
        <v>0.29556862564003533</v>
      </c>
      <c r="I1667" s="15">
        <f>Yearly_Growth!$C$3</f>
        <v>0.11893113731787852</v>
      </c>
      <c r="J1667" s="15">
        <f>Yearly_Growth!$D$3</f>
        <v>0.09</v>
      </c>
      <c r="K1667">
        <f>Sales_Per_Representative!$C$30</f>
        <v>780006</v>
      </c>
      <c r="L1667">
        <f>Sales_Per_Rep_Yearly_Goal!$B$3</f>
        <v>689907.8</v>
      </c>
      <c r="M1667">
        <f>Sales_Per_Rep_Yearly_Goal!$C$3</f>
        <v>690000</v>
      </c>
    </row>
    <row r="1668" spans="1:13" x14ac:dyDescent="0.3">
      <c r="A1668" s="3">
        <v>45375</v>
      </c>
      <c r="B1668">
        <f t="shared" si="26"/>
        <v>2024</v>
      </c>
      <c r="C1668">
        <v>3</v>
      </c>
      <c r="D1668" t="s">
        <v>7</v>
      </c>
      <c r="E1668" t="s">
        <v>5</v>
      </c>
      <c r="F1668" s="2">
        <v>2822</v>
      </c>
      <c r="G1668" s="2">
        <f>Monthly_Growth!$C$16</f>
        <v>925825</v>
      </c>
      <c r="H1668" s="5">
        <f>Monthly_Growth!$D$16</f>
        <v>0.29556862564003533</v>
      </c>
      <c r="I1668" s="15">
        <f>Yearly_Growth!$C$3</f>
        <v>0.11893113731787852</v>
      </c>
      <c r="J1668" s="15">
        <f>Yearly_Growth!$D$3</f>
        <v>0.09</v>
      </c>
      <c r="K1668">
        <f>Sales_Per_Representative!$C$25</f>
        <v>749460</v>
      </c>
      <c r="L1668">
        <f>Sales_Per_Rep_Yearly_Goal!$B$3</f>
        <v>689907.8</v>
      </c>
      <c r="M1668">
        <f>Sales_Per_Rep_Yearly_Goal!$C$3</f>
        <v>690000</v>
      </c>
    </row>
    <row r="1669" spans="1:13" x14ac:dyDescent="0.3">
      <c r="A1669" s="3">
        <v>45375</v>
      </c>
      <c r="B1669">
        <f t="shared" si="26"/>
        <v>2024</v>
      </c>
      <c r="C1669">
        <v>3</v>
      </c>
      <c r="D1669" t="s">
        <v>12</v>
      </c>
      <c r="E1669" t="s">
        <v>24</v>
      </c>
      <c r="F1669" s="2">
        <v>11452</v>
      </c>
      <c r="G1669" s="2">
        <f>Monthly_Growth!$C$16</f>
        <v>925825</v>
      </c>
      <c r="H1669" s="5">
        <f>Monthly_Growth!$D$16</f>
        <v>0.29556862564003533</v>
      </c>
      <c r="I1669" s="15">
        <f>Yearly_Growth!$C$3</f>
        <v>0.11893113731787852</v>
      </c>
      <c r="J1669" s="15">
        <f>Yearly_Growth!$D$3</f>
        <v>0.09</v>
      </c>
      <c r="K1669">
        <f>Sales_Per_Representative!$C$17</f>
        <v>633956</v>
      </c>
      <c r="L1669">
        <f>Sales_Per_Rep_Yearly_Goal!$B$3</f>
        <v>689907.8</v>
      </c>
      <c r="M1669">
        <f>Sales_Per_Rep_Yearly_Goal!$C$3</f>
        <v>690000</v>
      </c>
    </row>
    <row r="1670" spans="1:13" x14ac:dyDescent="0.3">
      <c r="A1670" s="3">
        <v>45376</v>
      </c>
      <c r="B1670">
        <f t="shared" si="26"/>
        <v>2024</v>
      </c>
      <c r="C1670">
        <v>3</v>
      </c>
      <c r="D1670" t="s">
        <v>19</v>
      </c>
      <c r="E1670" t="s">
        <v>10</v>
      </c>
      <c r="F1670" s="2">
        <v>9241</v>
      </c>
      <c r="G1670" s="2">
        <f>Monthly_Growth!$C$16</f>
        <v>925825</v>
      </c>
      <c r="H1670" s="5">
        <f>Monthly_Growth!$D$16</f>
        <v>0.29556862564003533</v>
      </c>
      <c r="I1670" s="15">
        <f>Yearly_Growth!$C$3</f>
        <v>0.11893113731787852</v>
      </c>
      <c r="J1670" s="15">
        <f>Yearly_Growth!$D$3</f>
        <v>0.09</v>
      </c>
      <c r="K1670">
        <f>Sales_Per_Representative!$C$19</f>
        <v>711816</v>
      </c>
      <c r="L1670">
        <f>Sales_Per_Rep_Yearly_Goal!$B$3</f>
        <v>689907.8</v>
      </c>
      <c r="M1670">
        <f>Sales_Per_Rep_Yearly_Goal!$C$3</f>
        <v>690000</v>
      </c>
    </row>
    <row r="1671" spans="1:13" x14ac:dyDescent="0.3">
      <c r="A1671" s="3">
        <v>45376</v>
      </c>
      <c r="B1671">
        <f t="shared" si="26"/>
        <v>2024</v>
      </c>
      <c r="C1671">
        <v>3</v>
      </c>
      <c r="D1671" t="s">
        <v>7</v>
      </c>
      <c r="E1671" t="s">
        <v>32</v>
      </c>
      <c r="F1671" s="2">
        <v>4233</v>
      </c>
      <c r="G1671" s="2">
        <f>Monthly_Growth!$C$16</f>
        <v>925825</v>
      </c>
      <c r="H1671" s="5">
        <f>Monthly_Growth!$D$16</f>
        <v>0.29556862564003533</v>
      </c>
      <c r="I1671" s="15">
        <f>Yearly_Growth!$C$3</f>
        <v>0.11893113731787852</v>
      </c>
      <c r="J1671" s="15">
        <f>Yearly_Growth!$D$3</f>
        <v>0.09</v>
      </c>
      <c r="K1671">
        <f>Sales_Per_Representative!$C$18</f>
        <v>783907</v>
      </c>
      <c r="L1671">
        <f>Sales_Per_Rep_Yearly_Goal!$B$3</f>
        <v>689907.8</v>
      </c>
      <c r="M1671">
        <f>Sales_Per_Rep_Yearly_Goal!$C$3</f>
        <v>690000</v>
      </c>
    </row>
    <row r="1672" spans="1:13" x14ac:dyDescent="0.3">
      <c r="A1672" s="3">
        <v>45376</v>
      </c>
      <c r="B1672">
        <f t="shared" si="26"/>
        <v>2024</v>
      </c>
      <c r="C1672">
        <v>3</v>
      </c>
      <c r="D1672" t="s">
        <v>7</v>
      </c>
      <c r="E1672" t="s">
        <v>26</v>
      </c>
      <c r="F1672" s="2">
        <v>10310</v>
      </c>
      <c r="G1672" s="2">
        <f>Monthly_Growth!$C$16</f>
        <v>925825</v>
      </c>
      <c r="H1672" s="5">
        <f>Monthly_Growth!$D$16</f>
        <v>0.29556862564003533</v>
      </c>
      <c r="I1672" s="15">
        <f>Yearly_Growth!$C$3</f>
        <v>0.11893113731787852</v>
      </c>
      <c r="J1672" s="15">
        <f>Yearly_Growth!$D$3</f>
        <v>0.09</v>
      </c>
      <c r="K1672">
        <f>Sales_Per_Representative!$C$31</f>
        <v>664244</v>
      </c>
      <c r="L1672">
        <f>Sales_Per_Rep_Yearly_Goal!$B$3</f>
        <v>689907.8</v>
      </c>
      <c r="M1672">
        <f>Sales_Per_Rep_Yearly_Goal!$C$3</f>
        <v>690000</v>
      </c>
    </row>
    <row r="1673" spans="1:13" x14ac:dyDescent="0.3">
      <c r="A1673" s="3">
        <v>45376</v>
      </c>
      <c r="B1673">
        <f t="shared" si="26"/>
        <v>2024</v>
      </c>
      <c r="C1673">
        <v>3</v>
      </c>
      <c r="D1673" t="s">
        <v>28</v>
      </c>
      <c r="E1673" t="s">
        <v>20</v>
      </c>
      <c r="F1673" s="2">
        <v>10665</v>
      </c>
      <c r="G1673" s="2">
        <f>Monthly_Growth!$C$16</f>
        <v>925825</v>
      </c>
      <c r="H1673" s="5">
        <f>Monthly_Growth!$D$16</f>
        <v>0.29556862564003533</v>
      </c>
      <c r="I1673" s="15">
        <f>Yearly_Growth!$C$3</f>
        <v>0.11893113731787852</v>
      </c>
      <c r="J1673" s="15">
        <f>Yearly_Growth!$D$3</f>
        <v>0.09</v>
      </c>
      <c r="K1673">
        <f>Sales_Per_Representative!$C$29</f>
        <v>753085</v>
      </c>
      <c r="L1673">
        <f>Sales_Per_Rep_Yearly_Goal!$B$3</f>
        <v>689907.8</v>
      </c>
      <c r="M1673">
        <f>Sales_Per_Rep_Yearly_Goal!$C$3</f>
        <v>690000</v>
      </c>
    </row>
    <row r="1674" spans="1:13" x14ac:dyDescent="0.3">
      <c r="A1674" s="3">
        <v>45376</v>
      </c>
      <c r="B1674">
        <f t="shared" si="26"/>
        <v>2024</v>
      </c>
      <c r="C1674">
        <v>3</v>
      </c>
      <c r="D1674" t="s">
        <v>17</v>
      </c>
      <c r="E1674" t="s">
        <v>30</v>
      </c>
      <c r="F1674" s="2">
        <v>12833</v>
      </c>
      <c r="G1674" s="2">
        <f>Monthly_Growth!$C$16</f>
        <v>925825</v>
      </c>
      <c r="H1674" s="5">
        <f>Monthly_Growth!$D$16</f>
        <v>0.29556862564003533</v>
      </c>
      <c r="I1674" s="15">
        <f>Yearly_Growth!$C$3</f>
        <v>0.11893113731787852</v>
      </c>
      <c r="J1674" s="15">
        <f>Yearly_Growth!$D$3</f>
        <v>0.09</v>
      </c>
      <c r="K1674">
        <f>Sales_Per_Representative!$C$22</f>
        <v>700142</v>
      </c>
      <c r="L1674">
        <f>Sales_Per_Rep_Yearly_Goal!$B$3</f>
        <v>689907.8</v>
      </c>
      <c r="M1674">
        <f>Sales_Per_Rep_Yearly_Goal!$C$3</f>
        <v>690000</v>
      </c>
    </row>
    <row r="1675" spans="1:13" x14ac:dyDescent="0.3">
      <c r="A1675" s="3">
        <v>45377</v>
      </c>
      <c r="B1675">
        <f t="shared" si="26"/>
        <v>2024</v>
      </c>
      <c r="C1675">
        <v>3</v>
      </c>
      <c r="D1675" t="s">
        <v>19</v>
      </c>
      <c r="E1675" t="s">
        <v>26</v>
      </c>
      <c r="F1675" s="2">
        <v>5597</v>
      </c>
      <c r="G1675" s="2">
        <f>Monthly_Growth!$C$16</f>
        <v>925825</v>
      </c>
      <c r="H1675" s="5">
        <f>Monthly_Growth!$D$16</f>
        <v>0.29556862564003533</v>
      </c>
      <c r="I1675" s="15">
        <f>Yearly_Growth!$C$3</f>
        <v>0.11893113731787852</v>
      </c>
      <c r="J1675" s="15">
        <f>Yearly_Growth!$D$3</f>
        <v>0.09</v>
      </c>
      <c r="K1675">
        <f>Sales_Per_Representative!$C$31</f>
        <v>664244</v>
      </c>
      <c r="L1675">
        <f>Sales_Per_Rep_Yearly_Goal!$B$3</f>
        <v>689907.8</v>
      </c>
      <c r="M1675">
        <f>Sales_Per_Rep_Yearly_Goal!$C$3</f>
        <v>690000</v>
      </c>
    </row>
    <row r="1676" spans="1:13" x14ac:dyDescent="0.3">
      <c r="A1676" s="3">
        <v>45377</v>
      </c>
      <c r="B1676">
        <f t="shared" si="26"/>
        <v>2024</v>
      </c>
      <c r="C1676">
        <v>3</v>
      </c>
      <c r="D1676" t="s">
        <v>25</v>
      </c>
      <c r="E1676" t="s">
        <v>29</v>
      </c>
      <c r="F1676" s="2">
        <v>11365</v>
      </c>
      <c r="G1676" s="2">
        <f>Monthly_Growth!$C$16</f>
        <v>925825</v>
      </c>
      <c r="H1676" s="5">
        <f>Monthly_Growth!$D$16</f>
        <v>0.29556862564003533</v>
      </c>
      <c r="I1676" s="15">
        <f>Yearly_Growth!$C$3</f>
        <v>0.11893113731787852</v>
      </c>
      <c r="J1676" s="15">
        <f>Yearly_Growth!$D$3</f>
        <v>0.09</v>
      </c>
      <c r="K1676">
        <f>Sales_Per_Representative!$C$28</f>
        <v>691917</v>
      </c>
      <c r="L1676">
        <f>Sales_Per_Rep_Yearly_Goal!$B$3</f>
        <v>689907.8</v>
      </c>
      <c r="M1676">
        <f>Sales_Per_Rep_Yearly_Goal!$C$3</f>
        <v>690000</v>
      </c>
    </row>
    <row r="1677" spans="1:13" x14ac:dyDescent="0.3">
      <c r="A1677" s="3">
        <v>45377</v>
      </c>
      <c r="B1677">
        <f t="shared" si="26"/>
        <v>2024</v>
      </c>
      <c r="C1677">
        <v>3</v>
      </c>
      <c r="D1677" t="s">
        <v>25</v>
      </c>
      <c r="E1677" t="s">
        <v>26</v>
      </c>
      <c r="F1677" s="2">
        <v>2968</v>
      </c>
      <c r="G1677" s="2">
        <f>Monthly_Growth!$C$16</f>
        <v>925825</v>
      </c>
      <c r="H1677" s="5">
        <f>Monthly_Growth!$D$16</f>
        <v>0.29556862564003533</v>
      </c>
      <c r="I1677" s="15">
        <f>Yearly_Growth!$C$3</f>
        <v>0.11893113731787852</v>
      </c>
      <c r="J1677" s="15">
        <f>Yearly_Growth!$D$3</f>
        <v>0.09</v>
      </c>
      <c r="K1677">
        <f>Sales_Per_Representative!$C$31</f>
        <v>664244</v>
      </c>
      <c r="L1677">
        <f>Sales_Per_Rep_Yearly_Goal!$B$3</f>
        <v>689907.8</v>
      </c>
      <c r="M1677">
        <f>Sales_Per_Rep_Yearly_Goal!$C$3</f>
        <v>690000</v>
      </c>
    </row>
    <row r="1678" spans="1:13" x14ac:dyDescent="0.3">
      <c r="A1678" s="3">
        <v>45377</v>
      </c>
      <c r="B1678">
        <f t="shared" si="26"/>
        <v>2024</v>
      </c>
      <c r="C1678">
        <v>3</v>
      </c>
      <c r="D1678" t="s">
        <v>7</v>
      </c>
      <c r="E1678" t="s">
        <v>29</v>
      </c>
      <c r="F1678" s="2">
        <v>9936</v>
      </c>
      <c r="G1678" s="2">
        <f>Monthly_Growth!$C$16</f>
        <v>925825</v>
      </c>
      <c r="H1678" s="5">
        <f>Monthly_Growth!$D$16</f>
        <v>0.29556862564003533</v>
      </c>
      <c r="I1678" s="15">
        <f>Yearly_Growth!$C$3</f>
        <v>0.11893113731787852</v>
      </c>
      <c r="J1678" s="15">
        <f>Yearly_Growth!$D$3</f>
        <v>0.09</v>
      </c>
      <c r="K1678">
        <f>Sales_Per_Representative!$C$28</f>
        <v>691917</v>
      </c>
      <c r="L1678">
        <f>Sales_Per_Rep_Yearly_Goal!$B$3</f>
        <v>689907.8</v>
      </c>
      <c r="M1678">
        <f>Sales_Per_Rep_Yearly_Goal!$C$3</f>
        <v>690000</v>
      </c>
    </row>
    <row r="1679" spans="1:13" x14ac:dyDescent="0.3">
      <c r="A1679" s="3">
        <v>45377</v>
      </c>
      <c r="B1679">
        <f t="shared" si="26"/>
        <v>2024</v>
      </c>
      <c r="C1679">
        <v>3</v>
      </c>
      <c r="D1679" t="s">
        <v>28</v>
      </c>
      <c r="E1679" t="s">
        <v>26</v>
      </c>
      <c r="F1679" s="2">
        <v>1563</v>
      </c>
      <c r="G1679" s="2">
        <f>Monthly_Growth!$C$16</f>
        <v>925825</v>
      </c>
      <c r="H1679" s="5">
        <f>Monthly_Growth!$D$16</f>
        <v>0.29556862564003533</v>
      </c>
      <c r="I1679" s="15">
        <f>Yearly_Growth!$C$3</f>
        <v>0.11893113731787852</v>
      </c>
      <c r="J1679" s="15">
        <f>Yearly_Growth!$D$3</f>
        <v>0.09</v>
      </c>
      <c r="K1679">
        <f>Sales_Per_Representative!$C$31</f>
        <v>664244</v>
      </c>
      <c r="L1679">
        <f>Sales_Per_Rep_Yearly_Goal!$B$3</f>
        <v>689907.8</v>
      </c>
      <c r="M1679">
        <f>Sales_Per_Rep_Yearly_Goal!$C$3</f>
        <v>690000</v>
      </c>
    </row>
    <row r="1680" spans="1:13" x14ac:dyDescent="0.3">
      <c r="A1680" s="3">
        <v>45377</v>
      </c>
      <c r="B1680">
        <f t="shared" si="26"/>
        <v>2024</v>
      </c>
      <c r="C1680">
        <v>3</v>
      </c>
      <c r="D1680" t="s">
        <v>17</v>
      </c>
      <c r="E1680" t="s">
        <v>5</v>
      </c>
      <c r="F1680" s="2">
        <v>9105</v>
      </c>
      <c r="G1680" s="2">
        <f>Monthly_Growth!$C$16</f>
        <v>925825</v>
      </c>
      <c r="H1680" s="5">
        <f>Monthly_Growth!$D$16</f>
        <v>0.29556862564003533</v>
      </c>
      <c r="I1680" s="15">
        <f>Yearly_Growth!$C$3</f>
        <v>0.11893113731787852</v>
      </c>
      <c r="J1680" s="15">
        <f>Yearly_Growth!$D$3</f>
        <v>0.09</v>
      </c>
      <c r="K1680">
        <f>Sales_Per_Representative!$C$25</f>
        <v>749460</v>
      </c>
      <c r="L1680">
        <f>Sales_Per_Rep_Yearly_Goal!$B$3</f>
        <v>689907.8</v>
      </c>
      <c r="M1680">
        <f>Sales_Per_Rep_Yearly_Goal!$C$3</f>
        <v>690000</v>
      </c>
    </row>
    <row r="1681" spans="1:13" x14ac:dyDescent="0.3">
      <c r="A1681" s="3">
        <v>45378</v>
      </c>
      <c r="B1681">
        <f t="shared" si="26"/>
        <v>2024</v>
      </c>
      <c r="C1681">
        <v>3</v>
      </c>
      <c r="D1681" t="s">
        <v>14</v>
      </c>
      <c r="E1681" t="s">
        <v>10</v>
      </c>
      <c r="F1681" s="2">
        <v>3551</v>
      </c>
      <c r="G1681" s="2">
        <f>Monthly_Growth!$C$16</f>
        <v>925825</v>
      </c>
      <c r="H1681" s="5">
        <f>Monthly_Growth!$D$16</f>
        <v>0.29556862564003533</v>
      </c>
      <c r="I1681" s="15">
        <f>Yearly_Growth!$C$3</f>
        <v>0.11893113731787852</v>
      </c>
      <c r="J1681" s="15">
        <f>Yearly_Growth!$D$3</f>
        <v>0.09</v>
      </c>
      <c r="K1681">
        <f>Sales_Per_Representative!$C$19</f>
        <v>711816</v>
      </c>
      <c r="L1681">
        <f>Sales_Per_Rep_Yearly_Goal!$B$3</f>
        <v>689907.8</v>
      </c>
      <c r="M1681">
        <f>Sales_Per_Rep_Yearly_Goal!$C$3</f>
        <v>690000</v>
      </c>
    </row>
    <row r="1682" spans="1:13" x14ac:dyDescent="0.3">
      <c r="A1682" s="3">
        <v>45378</v>
      </c>
      <c r="B1682">
        <f t="shared" si="26"/>
        <v>2024</v>
      </c>
      <c r="C1682">
        <v>3</v>
      </c>
      <c r="D1682" t="s">
        <v>23</v>
      </c>
      <c r="E1682" t="s">
        <v>8</v>
      </c>
      <c r="F1682" s="2">
        <v>12153</v>
      </c>
      <c r="G1682" s="2">
        <f>Monthly_Growth!$C$16</f>
        <v>925825</v>
      </c>
      <c r="H1682" s="5">
        <f>Monthly_Growth!$D$16</f>
        <v>0.29556862564003533</v>
      </c>
      <c r="I1682" s="15">
        <f>Yearly_Growth!$C$3</f>
        <v>0.11893113731787852</v>
      </c>
      <c r="J1682" s="15">
        <f>Yearly_Growth!$D$3</f>
        <v>0.09</v>
      </c>
      <c r="K1682">
        <f>Sales_Per_Representative!$C$30</f>
        <v>780006</v>
      </c>
      <c r="L1682">
        <f>Sales_Per_Rep_Yearly_Goal!$B$3</f>
        <v>689907.8</v>
      </c>
      <c r="M1682">
        <f>Sales_Per_Rep_Yearly_Goal!$C$3</f>
        <v>690000</v>
      </c>
    </row>
    <row r="1683" spans="1:13" x14ac:dyDescent="0.3">
      <c r="A1683" s="3">
        <v>45378</v>
      </c>
      <c r="B1683">
        <f t="shared" si="26"/>
        <v>2024</v>
      </c>
      <c r="C1683">
        <v>3</v>
      </c>
      <c r="D1683" t="s">
        <v>25</v>
      </c>
      <c r="E1683" t="s">
        <v>31</v>
      </c>
      <c r="F1683" s="2">
        <v>6099</v>
      </c>
      <c r="G1683" s="2">
        <f>Monthly_Growth!$C$16</f>
        <v>925825</v>
      </c>
      <c r="H1683" s="5">
        <f>Monthly_Growth!$D$16</f>
        <v>0.29556862564003533</v>
      </c>
      <c r="I1683" s="15">
        <f>Yearly_Growth!$C$3</f>
        <v>0.11893113731787852</v>
      </c>
      <c r="J1683" s="15">
        <f>Yearly_Growth!$D$3</f>
        <v>0.09</v>
      </c>
      <c r="K1683">
        <f>Sales_Per_Representative!$C$21</f>
        <v>679421</v>
      </c>
      <c r="L1683">
        <f>Sales_Per_Rep_Yearly_Goal!$B$3</f>
        <v>689907.8</v>
      </c>
      <c r="M1683">
        <f>Sales_Per_Rep_Yearly_Goal!$C$3</f>
        <v>690000</v>
      </c>
    </row>
    <row r="1684" spans="1:13" x14ac:dyDescent="0.3">
      <c r="A1684" s="3">
        <v>45378</v>
      </c>
      <c r="B1684">
        <f t="shared" si="26"/>
        <v>2024</v>
      </c>
      <c r="C1684">
        <v>3</v>
      </c>
      <c r="D1684" t="s">
        <v>7</v>
      </c>
      <c r="E1684" t="s">
        <v>27</v>
      </c>
      <c r="F1684" s="2">
        <v>10961</v>
      </c>
      <c r="G1684" s="2">
        <f>Monthly_Growth!$C$16</f>
        <v>925825</v>
      </c>
      <c r="H1684" s="5">
        <f>Monthly_Growth!$D$16</f>
        <v>0.29556862564003533</v>
      </c>
      <c r="I1684" s="15">
        <f>Yearly_Growth!$C$3</f>
        <v>0.11893113731787852</v>
      </c>
      <c r="J1684" s="15">
        <f>Yearly_Growth!$D$3</f>
        <v>0.09</v>
      </c>
      <c r="K1684">
        <f>Sales_Per_Representative!$C$20</f>
        <v>685380</v>
      </c>
      <c r="L1684">
        <f>Sales_Per_Rep_Yearly_Goal!$B$3</f>
        <v>689907.8</v>
      </c>
      <c r="M1684">
        <f>Sales_Per_Rep_Yearly_Goal!$C$3</f>
        <v>690000</v>
      </c>
    </row>
    <row r="1685" spans="1:13" x14ac:dyDescent="0.3">
      <c r="A1685" s="3">
        <v>45378</v>
      </c>
      <c r="B1685">
        <f t="shared" si="26"/>
        <v>2024</v>
      </c>
      <c r="C1685">
        <v>3</v>
      </c>
      <c r="D1685" t="s">
        <v>7</v>
      </c>
      <c r="E1685" t="s">
        <v>31</v>
      </c>
      <c r="F1685" s="2">
        <v>4103</v>
      </c>
      <c r="G1685" s="2">
        <f>Monthly_Growth!$C$16</f>
        <v>925825</v>
      </c>
      <c r="H1685" s="5">
        <f>Monthly_Growth!$D$16</f>
        <v>0.29556862564003533</v>
      </c>
      <c r="I1685" s="15">
        <f>Yearly_Growth!$C$3</f>
        <v>0.11893113731787852</v>
      </c>
      <c r="J1685" s="15">
        <f>Yearly_Growth!$D$3</f>
        <v>0.09</v>
      </c>
      <c r="K1685">
        <f>Sales_Per_Representative!$C$21</f>
        <v>679421</v>
      </c>
      <c r="L1685">
        <f>Sales_Per_Rep_Yearly_Goal!$B$3</f>
        <v>689907.8</v>
      </c>
      <c r="M1685">
        <f>Sales_Per_Rep_Yearly_Goal!$C$3</f>
        <v>690000</v>
      </c>
    </row>
    <row r="1686" spans="1:13" x14ac:dyDescent="0.3">
      <c r="A1686" s="3">
        <v>45378</v>
      </c>
      <c r="B1686">
        <f t="shared" si="26"/>
        <v>2024</v>
      </c>
      <c r="C1686">
        <v>3</v>
      </c>
      <c r="D1686" t="s">
        <v>28</v>
      </c>
      <c r="E1686" t="s">
        <v>32</v>
      </c>
      <c r="F1686" s="2">
        <v>13519</v>
      </c>
      <c r="G1686" s="2">
        <f>Monthly_Growth!$C$16</f>
        <v>925825</v>
      </c>
      <c r="H1686" s="5">
        <f>Monthly_Growth!$D$16</f>
        <v>0.29556862564003533</v>
      </c>
      <c r="I1686" s="15">
        <f>Yearly_Growth!$C$3</f>
        <v>0.11893113731787852</v>
      </c>
      <c r="J1686" s="15">
        <f>Yearly_Growth!$D$3</f>
        <v>0.09</v>
      </c>
      <c r="K1686">
        <f>Sales_Per_Representative!$C$18</f>
        <v>783907</v>
      </c>
      <c r="L1686">
        <f>Sales_Per_Rep_Yearly_Goal!$B$3</f>
        <v>689907.8</v>
      </c>
      <c r="M1686">
        <f>Sales_Per_Rep_Yearly_Goal!$C$3</f>
        <v>690000</v>
      </c>
    </row>
    <row r="1687" spans="1:13" x14ac:dyDescent="0.3">
      <c r="A1687" s="3">
        <v>45378</v>
      </c>
      <c r="B1687">
        <f t="shared" si="26"/>
        <v>2024</v>
      </c>
      <c r="C1687">
        <v>3</v>
      </c>
      <c r="D1687" t="s">
        <v>17</v>
      </c>
      <c r="E1687" t="s">
        <v>30</v>
      </c>
      <c r="F1687" s="2">
        <v>6413</v>
      </c>
      <c r="G1687" s="2">
        <f>Monthly_Growth!$C$16</f>
        <v>925825</v>
      </c>
      <c r="H1687" s="5">
        <f>Monthly_Growth!$D$16</f>
        <v>0.29556862564003533</v>
      </c>
      <c r="I1687" s="15">
        <f>Yearly_Growth!$C$3</f>
        <v>0.11893113731787852</v>
      </c>
      <c r="J1687" s="15">
        <f>Yearly_Growth!$D$3</f>
        <v>0.09</v>
      </c>
      <c r="K1687">
        <f>Sales_Per_Representative!$C$22</f>
        <v>700142</v>
      </c>
      <c r="L1687">
        <f>Sales_Per_Rep_Yearly_Goal!$B$3</f>
        <v>689907.8</v>
      </c>
      <c r="M1687">
        <f>Sales_Per_Rep_Yearly_Goal!$C$3</f>
        <v>690000</v>
      </c>
    </row>
    <row r="1688" spans="1:13" x14ac:dyDescent="0.3">
      <c r="A1688" s="3">
        <v>45378</v>
      </c>
      <c r="B1688">
        <f t="shared" si="26"/>
        <v>2024</v>
      </c>
      <c r="C1688">
        <v>3</v>
      </c>
      <c r="D1688" t="s">
        <v>12</v>
      </c>
      <c r="E1688" t="s">
        <v>31</v>
      </c>
      <c r="F1688" s="2">
        <v>12709</v>
      </c>
      <c r="G1688" s="2">
        <f>Monthly_Growth!$C$16</f>
        <v>925825</v>
      </c>
      <c r="H1688" s="5">
        <f>Monthly_Growth!$D$16</f>
        <v>0.29556862564003533</v>
      </c>
      <c r="I1688" s="15">
        <f>Yearly_Growth!$C$3</f>
        <v>0.11893113731787852</v>
      </c>
      <c r="J1688" s="15">
        <f>Yearly_Growth!$D$3</f>
        <v>0.09</v>
      </c>
      <c r="K1688">
        <f>Sales_Per_Representative!$C$21</f>
        <v>679421</v>
      </c>
      <c r="L1688">
        <f>Sales_Per_Rep_Yearly_Goal!$B$3</f>
        <v>689907.8</v>
      </c>
      <c r="M1688">
        <f>Sales_Per_Rep_Yearly_Goal!$C$3</f>
        <v>690000</v>
      </c>
    </row>
    <row r="1689" spans="1:13" x14ac:dyDescent="0.3">
      <c r="A1689" s="3">
        <v>45378</v>
      </c>
      <c r="B1689">
        <f t="shared" si="26"/>
        <v>2024</v>
      </c>
      <c r="C1689">
        <v>3</v>
      </c>
      <c r="D1689" t="s">
        <v>12</v>
      </c>
      <c r="E1689" t="s">
        <v>15</v>
      </c>
      <c r="F1689" s="2">
        <v>1608</v>
      </c>
      <c r="G1689" s="2">
        <f>Monthly_Growth!$C$16</f>
        <v>925825</v>
      </c>
      <c r="H1689" s="5">
        <f>Monthly_Growth!$D$16</f>
        <v>0.29556862564003533</v>
      </c>
      <c r="I1689" s="15">
        <f>Yearly_Growth!$C$3</f>
        <v>0.11893113731787852</v>
      </c>
      <c r="J1689" s="15">
        <f>Yearly_Growth!$D$3</f>
        <v>0.09</v>
      </c>
      <c r="K1689">
        <f>Sales_Per_Representative!$C$27</f>
        <v>617202</v>
      </c>
      <c r="L1689">
        <f>Sales_Per_Rep_Yearly_Goal!$B$3</f>
        <v>689907.8</v>
      </c>
      <c r="M1689">
        <f>Sales_Per_Rep_Yearly_Goal!$C$3</f>
        <v>690000</v>
      </c>
    </row>
    <row r="1690" spans="1:13" x14ac:dyDescent="0.3">
      <c r="A1690" s="3">
        <v>45379</v>
      </c>
      <c r="B1690">
        <f t="shared" si="26"/>
        <v>2024</v>
      </c>
      <c r="C1690">
        <v>3</v>
      </c>
      <c r="D1690" t="s">
        <v>25</v>
      </c>
      <c r="E1690" t="s">
        <v>29</v>
      </c>
      <c r="F1690" s="2">
        <v>3017</v>
      </c>
      <c r="G1690" s="2">
        <f>Monthly_Growth!$C$16</f>
        <v>925825</v>
      </c>
      <c r="H1690" s="5">
        <f>Monthly_Growth!$D$16</f>
        <v>0.29556862564003533</v>
      </c>
      <c r="I1690" s="15">
        <f>Yearly_Growth!$C$3</f>
        <v>0.11893113731787852</v>
      </c>
      <c r="J1690" s="15">
        <f>Yearly_Growth!$D$3</f>
        <v>0.09</v>
      </c>
      <c r="K1690">
        <f>Sales_Per_Representative!$C$28</f>
        <v>691917</v>
      </c>
      <c r="L1690">
        <f>Sales_Per_Rep_Yearly_Goal!$B$3</f>
        <v>689907.8</v>
      </c>
      <c r="M1690">
        <f>Sales_Per_Rep_Yearly_Goal!$C$3</f>
        <v>690000</v>
      </c>
    </row>
    <row r="1691" spans="1:13" x14ac:dyDescent="0.3">
      <c r="A1691" s="3">
        <v>45380</v>
      </c>
      <c r="B1691">
        <f t="shared" si="26"/>
        <v>2024</v>
      </c>
      <c r="C1691">
        <v>3</v>
      </c>
      <c r="D1691" t="s">
        <v>14</v>
      </c>
      <c r="E1691" t="s">
        <v>18</v>
      </c>
      <c r="F1691" s="2">
        <v>13211</v>
      </c>
      <c r="G1691" s="2">
        <f>Monthly_Growth!$C$16</f>
        <v>925825</v>
      </c>
      <c r="H1691" s="5">
        <f>Monthly_Growth!$D$16</f>
        <v>0.29556862564003533</v>
      </c>
      <c r="I1691" s="15">
        <f>Yearly_Growth!$C$3</f>
        <v>0.11893113731787852</v>
      </c>
      <c r="J1691" s="15">
        <f>Yearly_Growth!$D$3</f>
        <v>0.09</v>
      </c>
      <c r="K1691">
        <f>Sales_Per_Representative!$C$24</f>
        <v>699277</v>
      </c>
      <c r="L1691">
        <f>Sales_Per_Rep_Yearly_Goal!$B$3</f>
        <v>689907.8</v>
      </c>
      <c r="M1691">
        <f>Sales_Per_Rep_Yearly_Goal!$C$3</f>
        <v>690000</v>
      </c>
    </row>
    <row r="1692" spans="1:13" x14ac:dyDescent="0.3">
      <c r="A1692" s="3">
        <v>45380</v>
      </c>
      <c r="B1692">
        <f t="shared" si="26"/>
        <v>2024</v>
      </c>
      <c r="C1692">
        <v>3</v>
      </c>
      <c r="D1692" t="s">
        <v>14</v>
      </c>
      <c r="E1692" t="s">
        <v>20</v>
      </c>
      <c r="F1692" s="2">
        <v>13571</v>
      </c>
      <c r="G1692" s="2">
        <f>Monthly_Growth!$C$16</f>
        <v>925825</v>
      </c>
      <c r="H1692" s="5">
        <f>Monthly_Growth!$D$16</f>
        <v>0.29556862564003533</v>
      </c>
      <c r="I1692" s="15">
        <f>Yearly_Growth!$C$3</f>
        <v>0.11893113731787852</v>
      </c>
      <c r="J1692" s="15">
        <f>Yearly_Growth!$D$3</f>
        <v>0.09</v>
      </c>
      <c r="K1692">
        <f>Sales_Per_Representative!$C$29</f>
        <v>753085</v>
      </c>
      <c r="L1692">
        <f>Sales_Per_Rep_Yearly_Goal!$B$3</f>
        <v>689907.8</v>
      </c>
      <c r="M1692">
        <f>Sales_Per_Rep_Yearly_Goal!$C$3</f>
        <v>690000</v>
      </c>
    </row>
    <row r="1693" spans="1:13" x14ac:dyDescent="0.3">
      <c r="A1693" s="3">
        <v>45380</v>
      </c>
      <c r="B1693">
        <f t="shared" si="26"/>
        <v>2024</v>
      </c>
      <c r="C1693">
        <v>3</v>
      </c>
      <c r="D1693" t="s">
        <v>23</v>
      </c>
      <c r="E1693" t="s">
        <v>32</v>
      </c>
      <c r="F1693" s="2">
        <v>10206</v>
      </c>
      <c r="G1693" s="2">
        <f>Monthly_Growth!$C$16</f>
        <v>925825</v>
      </c>
      <c r="H1693" s="5">
        <f>Monthly_Growth!$D$16</f>
        <v>0.29556862564003533</v>
      </c>
      <c r="I1693" s="15">
        <f>Yearly_Growth!$C$3</f>
        <v>0.11893113731787852</v>
      </c>
      <c r="J1693" s="15">
        <f>Yearly_Growth!$D$3</f>
        <v>0.09</v>
      </c>
      <c r="K1693">
        <f>Sales_Per_Representative!$C$18</f>
        <v>783907</v>
      </c>
      <c r="L1693">
        <f>Sales_Per_Rep_Yearly_Goal!$B$3</f>
        <v>689907.8</v>
      </c>
      <c r="M1693">
        <f>Sales_Per_Rep_Yearly_Goal!$C$3</f>
        <v>690000</v>
      </c>
    </row>
    <row r="1694" spans="1:13" x14ac:dyDescent="0.3">
      <c r="A1694" s="3">
        <v>45381</v>
      </c>
      <c r="B1694">
        <f t="shared" si="26"/>
        <v>2024</v>
      </c>
      <c r="C1694">
        <v>3</v>
      </c>
      <c r="D1694" t="s">
        <v>14</v>
      </c>
      <c r="E1694" t="s">
        <v>10</v>
      </c>
      <c r="F1694" s="2">
        <v>9518</v>
      </c>
      <c r="G1694" s="2">
        <f>Monthly_Growth!$C$16</f>
        <v>925825</v>
      </c>
      <c r="H1694" s="5">
        <f>Monthly_Growth!$D$16</f>
        <v>0.29556862564003533</v>
      </c>
      <c r="I1694" s="15">
        <f>Yearly_Growth!$C$3</f>
        <v>0.11893113731787852</v>
      </c>
      <c r="J1694" s="15">
        <f>Yearly_Growth!$D$3</f>
        <v>0.09</v>
      </c>
      <c r="K1694">
        <f>Sales_Per_Representative!$C$19</f>
        <v>711816</v>
      </c>
      <c r="L1694">
        <f>Sales_Per_Rep_Yearly_Goal!$B$3</f>
        <v>689907.8</v>
      </c>
      <c r="M1694">
        <f>Sales_Per_Rep_Yearly_Goal!$C$3</f>
        <v>690000</v>
      </c>
    </row>
    <row r="1695" spans="1:13" x14ac:dyDescent="0.3">
      <c r="A1695" s="3">
        <v>45381</v>
      </c>
      <c r="B1695">
        <f t="shared" si="26"/>
        <v>2024</v>
      </c>
      <c r="C1695">
        <v>3</v>
      </c>
      <c r="D1695" t="s">
        <v>14</v>
      </c>
      <c r="E1695" t="s">
        <v>26</v>
      </c>
      <c r="F1695" s="2">
        <v>1719</v>
      </c>
      <c r="G1695" s="2">
        <f>Monthly_Growth!$C$16</f>
        <v>925825</v>
      </c>
      <c r="H1695" s="5">
        <f>Monthly_Growth!$D$16</f>
        <v>0.29556862564003533</v>
      </c>
      <c r="I1695" s="15">
        <f>Yearly_Growth!$C$3</f>
        <v>0.11893113731787852</v>
      </c>
      <c r="J1695" s="15">
        <f>Yearly_Growth!$D$3</f>
        <v>0.09</v>
      </c>
      <c r="K1695">
        <f>Sales_Per_Representative!$C$31</f>
        <v>664244</v>
      </c>
      <c r="L1695">
        <f>Sales_Per_Rep_Yearly_Goal!$B$3</f>
        <v>689907.8</v>
      </c>
      <c r="M1695">
        <f>Sales_Per_Rep_Yearly_Goal!$C$3</f>
        <v>690000</v>
      </c>
    </row>
    <row r="1696" spans="1:13" x14ac:dyDescent="0.3">
      <c r="A1696" s="3">
        <v>45381</v>
      </c>
      <c r="B1696">
        <f t="shared" si="26"/>
        <v>2024</v>
      </c>
      <c r="C1696">
        <v>3</v>
      </c>
      <c r="D1696" t="s">
        <v>19</v>
      </c>
      <c r="E1696" t="s">
        <v>29</v>
      </c>
      <c r="F1696" s="2">
        <v>4546</v>
      </c>
      <c r="G1696" s="2">
        <f>Monthly_Growth!$C$16</f>
        <v>925825</v>
      </c>
      <c r="H1696" s="5">
        <f>Monthly_Growth!$D$16</f>
        <v>0.29556862564003533</v>
      </c>
      <c r="I1696" s="15">
        <f>Yearly_Growth!$C$3</f>
        <v>0.11893113731787852</v>
      </c>
      <c r="J1696" s="15">
        <f>Yearly_Growth!$D$3</f>
        <v>0.09</v>
      </c>
      <c r="K1696">
        <f>Sales_Per_Representative!$C$28</f>
        <v>691917</v>
      </c>
      <c r="L1696">
        <f>Sales_Per_Rep_Yearly_Goal!$B$3</f>
        <v>689907.8</v>
      </c>
      <c r="M1696">
        <f>Sales_Per_Rep_Yearly_Goal!$C$3</f>
        <v>690000</v>
      </c>
    </row>
    <row r="1697" spans="1:13" x14ac:dyDescent="0.3">
      <c r="A1697" s="3">
        <v>45381</v>
      </c>
      <c r="B1697">
        <f t="shared" si="26"/>
        <v>2024</v>
      </c>
      <c r="C1697">
        <v>3</v>
      </c>
      <c r="D1697" t="s">
        <v>23</v>
      </c>
      <c r="E1697" t="s">
        <v>18</v>
      </c>
      <c r="F1697" s="2">
        <v>6701</v>
      </c>
      <c r="G1697" s="2">
        <f>Monthly_Growth!$C$16</f>
        <v>925825</v>
      </c>
      <c r="H1697" s="5">
        <f>Monthly_Growth!$D$16</f>
        <v>0.29556862564003533</v>
      </c>
      <c r="I1697" s="15">
        <f>Yearly_Growth!$C$3</f>
        <v>0.11893113731787852</v>
      </c>
      <c r="J1697" s="15">
        <f>Yearly_Growth!$D$3</f>
        <v>0.09</v>
      </c>
      <c r="K1697">
        <f>Sales_Per_Representative!$C$24</f>
        <v>699277</v>
      </c>
      <c r="L1697">
        <f>Sales_Per_Rep_Yearly_Goal!$B$3</f>
        <v>689907.8</v>
      </c>
      <c r="M1697">
        <f>Sales_Per_Rep_Yearly_Goal!$C$3</f>
        <v>690000</v>
      </c>
    </row>
    <row r="1698" spans="1:13" x14ac:dyDescent="0.3">
      <c r="A1698" s="3">
        <v>45381</v>
      </c>
      <c r="B1698">
        <f t="shared" si="26"/>
        <v>2024</v>
      </c>
      <c r="C1698">
        <v>3</v>
      </c>
      <c r="D1698" t="s">
        <v>25</v>
      </c>
      <c r="E1698" t="s">
        <v>29</v>
      </c>
      <c r="F1698" s="2">
        <v>3554</v>
      </c>
      <c r="G1698" s="2">
        <f>Monthly_Growth!$C$16</f>
        <v>925825</v>
      </c>
      <c r="H1698" s="5">
        <f>Monthly_Growth!$D$16</f>
        <v>0.29556862564003533</v>
      </c>
      <c r="I1698" s="15">
        <f>Yearly_Growth!$C$3</f>
        <v>0.11893113731787852</v>
      </c>
      <c r="J1698" s="15">
        <f>Yearly_Growth!$D$3</f>
        <v>0.09</v>
      </c>
      <c r="K1698">
        <f>Sales_Per_Representative!$C$28</f>
        <v>691917</v>
      </c>
      <c r="L1698">
        <f>Sales_Per_Rep_Yearly_Goal!$B$3</f>
        <v>689907.8</v>
      </c>
      <c r="M1698">
        <f>Sales_Per_Rep_Yearly_Goal!$C$3</f>
        <v>690000</v>
      </c>
    </row>
    <row r="1699" spans="1:13" x14ac:dyDescent="0.3">
      <c r="A1699" s="3">
        <v>45381</v>
      </c>
      <c r="B1699">
        <f t="shared" si="26"/>
        <v>2024</v>
      </c>
      <c r="C1699">
        <v>3</v>
      </c>
      <c r="D1699" t="s">
        <v>28</v>
      </c>
      <c r="E1699" t="s">
        <v>24</v>
      </c>
      <c r="F1699" s="2">
        <v>2608</v>
      </c>
      <c r="G1699" s="2">
        <f>Monthly_Growth!$C$16</f>
        <v>925825</v>
      </c>
      <c r="H1699" s="5">
        <f>Monthly_Growth!$D$16</f>
        <v>0.29556862564003533</v>
      </c>
      <c r="I1699" s="15">
        <f>Yearly_Growth!$C$3</f>
        <v>0.11893113731787852</v>
      </c>
      <c r="J1699" s="15">
        <f>Yearly_Growth!$D$3</f>
        <v>0.09</v>
      </c>
      <c r="K1699">
        <f>Sales_Per_Representative!$C$17</f>
        <v>633956</v>
      </c>
      <c r="L1699">
        <f>Sales_Per_Rep_Yearly_Goal!$B$3</f>
        <v>689907.8</v>
      </c>
      <c r="M1699">
        <f>Sales_Per_Rep_Yearly_Goal!$C$3</f>
        <v>690000</v>
      </c>
    </row>
    <row r="1700" spans="1:13" x14ac:dyDescent="0.3">
      <c r="A1700" s="3">
        <v>45381</v>
      </c>
      <c r="B1700">
        <f t="shared" si="26"/>
        <v>2024</v>
      </c>
      <c r="C1700">
        <v>3</v>
      </c>
      <c r="D1700" t="s">
        <v>17</v>
      </c>
      <c r="E1700" t="s">
        <v>5</v>
      </c>
      <c r="F1700" s="2">
        <v>6458</v>
      </c>
      <c r="G1700" s="2">
        <f>Monthly_Growth!$C$16</f>
        <v>925825</v>
      </c>
      <c r="H1700" s="5">
        <f>Monthly_Growth!$D$16</f>
        <v>0.29556862564003533</v>
      </c>
      <c r="I1700" s="15">
        <f>Yearly_Growth!$C$3</f>
        <v>0.11893113731787852</v>
      </c>
      <c r="J1700" s="15">
        <f>Yearly_Growth!$D$3</f>
        <v>0.09</v>
      </c>
      <c r="K1700">
        <f>Sales_Per_Representative!$C$25</f>
        <v>749460</v>
      </c>
      <c r="L1700">
        <f>Sales_Per_Rep_Yearly_Goal!$B$3</f>
        <v>689907.8</v>
      </c>
      <c r="M1700">
        <f>Sales_Per_Rep_Yearly_Goal!$C$3</f>
        <v>690000</v>
      </c>
    </row>
    <row r="1701" spans="1:13" x14ac:dyDescent="0.3">
      <c r="A1701" s="3">
        <v>45381</v>
      </c>
      <c r="B1701">
        <f t="shared" si="26"/>
        <v>2024</v>
      </c>
      <c r="C1701">
        <v>3</v>
      </c>
      <c r="D1701" t="s">
        <v>17</v>
      </c>
      <c r="E1701" t="s">
        <v>20</v>
      </c>
      <c r="F1701" s="2">
        <v>6346</v>
      </c>
      <c r="G1701" s="2">
        <f>Monthly_Growth!$C$16</f>
        <v>925825</v>
      </c>
      <c r="H1701" s="5">
        <f>Monthly_Growth!$D$16</f>
        <v>0.29556862564003533</v>
      </c>
      <c r="I1701" s="15">
        <f>Yearly_Growth!$C$3</f>
        <v>0.11893113731787852</v>
      </c>
      <c r="J1701" s="15">
        <f>Yearly_Growth!$D$3</f>
        <v>0.09</v>
      </c>
      <c r="K1701">
        <f>Sales_Per_Representative!$C$29</f>
        <v>753085</v>
      </c>
      <c r="L1701">
        <f>Sales_Per_Rep_Yearly_Goal!$B$3</f>
        <v>689907.8</v>
      </c>
      <c r="M1701">
        <f>Sales_Per_Rep_Yearly_Goal!$C$3</f>
        <v>690000</v>
      </c>
    </row>
    <row r="1702" spans="1:13" x14ac:dyDescent="0.3">
      <c r="A1702" s="3">
        <v>45382</v>
      </c>
      <c r="B1702">
        <f t="shared" si="26"/>
        <v>2024</v>
      </c>
      <c r="C1702">
        <v>3</v>
      </c>
      <c r="D1702" t="s">
        <v>19</v>
      </c>
      <c r="E1702" t="s">
        <v>15</v>
      </c>
      <c r="F1702" s="2">
        <v>5830</v>
      </c>
      <c r="G1702" s="2">
        <f>Monthly_Growth!$C$16</f>
        <v>925825</v>
      </c>
      <c r="H1702" s="5">
        <f>Monthly_Growth!$D$16</f>
        <v>0.29556862564003533</v>
      </c>
      <c r="I1702" s="15">
        <f>Yearly_Growth!$C$3</f>
        <v>0.11893113731787852</v>
      </c>
      <c r="J1702" s="15">
        <f>Yearly_Growth!$D$3</f>
        <v>0.09</v>
      </c>
      <c r="K1702">
        <f>Sales_Per_Representative!$C$27</f>
        <v>617202</v>
      </c>
      <c r="L1702">
        <f>Sales_Per_Rep_Yearly_Goal!$B$3</f>
        <v>689907.8</v>
      </c>
      <c r="M1702">
        <f>Sales_Per_Rep_Yearly_Goal!$C$3</f>
        <v>690000</v>
      </c>
    </row>
    <row r="1703" spans="1:13" x14ac:dyDescent="0.3">
      <c r="A1703" s="3">
        <v>45382</v>
      </c>
      <c r="B1703">
        <f t="shared" si="26"/>
        <v>2024</v>
      </c>
      <c r="C1703">
        <v>3</v>
      </c>
      <c r="D1703" t="s">
        <v>19</v>
      </c>
      <c r="E1703" t="s">
        <v>30</v>
      </c>
      <c r="F1703" s="2">
        <v>3564</v>
      </c>
      <c r="G1703" s="2">
        <f>Monthly_Growth!$C$16</f>
        <v>925825</v>
      </c>
      <c r="H1703" s="5">
        <f>Monthly_Growth!$D$16</f>
        <v>0.29556862564003533</v>
      </c>
      <c r="I1703" s="15">
        <f>Yearly_Growth!$C$3</f>
        <v>0.11893113731787852</v>
      </c>
      <c r="J1703" s="15">
        <f>Yearly_Growth!$D$3</f>
        <v>0.09</v>
      </c>
      <c r="K1703">
        <f>Sales_Per_Representative!$C$22</f>
        <v>700142</v>
      </c>
      <c r="L1703">
        <f>Sales_Per_Rep_Yearly_Goal!$B$3</f>
        <v>689907.8</v>
      </c>
      <c r="M1703">
        <f>Sales_Per_Rep_Yearly_Goal!$C$3</f>
        <v>690000</v>
      </c>
    </row>
    <row r="1704" spans="1:13" x14ac:dyDescent="0.3">
      <c r="A1704" s="3">
        <v>45382</v>
      </c>
      <c r="B1704">
        <f t="shared" si="26"/>
        <v>2024</v>
      </c>
      <c r="C1704">
        <v>3</v>
      </c>
      <c r="D1704" t="s">
        <v>25</v>
      </c>
      <c r="E1704" t="s">
        <v>5</v>
      </c>
      <c r="F1704" s="2">
        <v>12829</v>
      </c>
      <c r="G1704" s="2">
        <f>Monthly_Growth!$C$16</f>
        <v>925825</v>
      </c>
      <c r="H1704" s="5">
        <f>Monthly_Growth!$D$16</f>
        <v>0.29556862564003533</v>
      </c>
      <c r="I1704" s="15">
        <f>Yearly_Growth!$C$3</f>
        <v>0.11893113731787852</v>
      </c>
      <c r="J1704" s="15">
        <f>Yearly_Growth!$D$3</f>
        <v>0.09</v>
      </c>
      <c r="K1704">
        <f>Sales_Per_Representative!$C$25</f>
        <v>749460</v>
      </c>
      <c r="L1704">
        <f>Sales_Per_Rep_Yearly_Goal!$B$3</f>
        <v>689907.8</v>
      </c>
      <c r="M1704">
        <f>Sales_Per_Rep_Yearly_Goal!$C$3</f>
        <v>690000</v>
      </c>
    </row>
    <row r="1705" spans="1:13" x14ac:dyDescent="0.3">
      <c r="A1705" s="3">
        <v>45382</v>
      </c>
      <c r="B1705">
        <f t="shared" si="26"/>
        <v>2024</v>
      </c>
      <c r="C1705">
        <v>3</v>
      </c>
      <c r="D1705" t="s">
        <v>12</v>
      </c>
      <c r="E1705" t="s">
        <v>27</v>
      </c>
      <c r="F1705" s="2">
        <v>7486</v>
      </c>
      <c r="G1705" s="2">
        <f>Monthly_Growth!$C$16</f>
        <v>925825</v>
      </c>
      <c r="H1705" s="5">
        <f>Monthly_Growth!$D$16</f>
        <v>0.29556862564003533</v>
      </c>
      <c r="I1705" s="15">
        <f>Yearly_Growth!$C$3</f>
        <v>0.11893113731787852</v>
      </c>
      <c r="J1705" s="15">
        <f>Yearly_Growth!$D$3</f>
        <v>0.09</v>
      </c>
      <c r="K1705">
        <f>Sales_Per_Representative!$C$20</f>
        <v>685380</v>
      </c>
      <c r="L1705">
        <f>Sales_Per_Rep_Yearly_Goal!$B$3</f>
        <v>689907.8</v>
      </c>
      <c r="M1705">
        <f>Sales_Per_Rep_Yearly_Goal!$C$3</f>
        <v>690000</v>
      </c>
    </row>
    <row r="1706" spans="1:13" x14ac:dyDescent="0.3">
      <c r="A1706" s="3">
        <v>45383</v>
      </c>
      <c r="B1706">
        <f t="shared" si="26"/>
        <v>2024</v>
      </c>
      <c r="C1706">
        <v>4</v>
      </c>
      <c r="D1706" t="s">
        <v>14</v>
      </c>
      <c r="E1706" t="s">
        <v>24</v>
      </c>
      <c r="F1706" s="2">
        <v>10353</v>
      </c>
      <c r="G1706" s="2">
        <f>Monthly_Growth!$C$17</f>
        <v>833238</v>
      </c>
      <c r="H1706" s="5">
        <f>Monthly_Growth!$D$17</f>
        <v>-0.10000486052979775</v>
      </c>
      <c r="I1706" s="15">
        <f>Yearly_Growth!$C$3</f>
        <v>0.11893113731787852</v>
      </c>
      <c r="J1706" s="15">
        <f>Yearly_Growth!$D$3</f>
        <v>0.09</v>
      </c>
      <c r="K1706">
        <f>Sales_Per_Representative!$C$17</f>
        <v>633956</v>
      </c>
      <c r="L1706">
        <f>Sales_Per_Rep_Yearly_Goal!$B$3</f>
        <v>689907.8</v>
      </c>
      <c r="M1706">
        <f>Sales_Per_Rep_Yearly_Goal!$C$3</f>
        <v>690000</v>
      </c>
    </row>
    <row r="1707" spans="1:13" x14ac:dyDescent="0.3">
      <c r="A1707" s="3">
        <v>45383</v>
      </c>
      <c r="B1707">
        <f t="shared" si="26"/>
        <v>2024</v>
      </c>
      <c r="C1707">
        <v>4</v>
      </c>
      <c r="D1707" t="s">
        <v>23</v>
      </c>
      <c r="E1707" t="s">
        <v>33</v>
      </c>
      <c r="F1707" s="2">
        <v>9490</v>
      </c>
      <c r="G1707" s="2">
        <f>Monthly_Growth!$C$17</f>
        <v>833238</v>
      </c>
      <c r="H1707" s="5">
        <f>Monthly_Growth!$D$17</f>
        <v>-0.10000486052979775</v>
      </c>
      <c r="I1707" s="15">
        <f>Yearly_Growth!$C$3</f>
        <v>0.11893113731787852</v>
      </c>
      <c r="J1707" s="15">
        <f>Yearly_Growth!$D$3</f>
        <v>0.09</v>
      </c>
      <c r="K1707">
        <f>Sales_Per_Representative!$C$26</f>
        <v>501360</v>
      </c>
      <c r="L1707">
        <f>Sales_Per_Rep_Yearly_Goal!$B$3</f>
        <v>689907.8</v>
      </c>
      <c r="M1707">
        <f>Sales_Per_Rep_Yearly_Goal!$C$3</f>
        <v>690000</v>
      </c>
    </row>
    <row r="1708" spans="1:13" x14ac:dyDescent="0.3">
      <c r="A1708" s="3">
        <v>45383</v>
      </c>
      <c r="B1708">
        <f t="shared" si="26"/>
        <v>2024</v>
      </c>
      <c r="C1708">
        <v>4</v>
      </c>
      <c r="D1708" t="s">
        <v>7</v>
      </c>
      <c r="E1708" t="s">
        <v>27</v>
      </c>
      <c r="F1708" s="2">
        <v>13280</v>
      </c>
      <c r="G1708" s="2">
        <f>Monthly_Growth!$C$17</f>
        <v>833238</v>
      </c>
      <c r="H1708" s="5">
        <f>Monthly_Growth!$D$17</f>
        <v>-0.10000486052979775</v>
      </c>
      <c r="I1708" s="15">
        <f>Yearly_Growth!$C$3</f>
        <v>0.11893113731787852</v>
      </c>
      <c r="J1708" s="15">
        <f>Yearly_Growth!$D$3</f>
        <v>0.09</v>
      </c>
      <c r="K1708">
        <f>Sales_Per_Representative!$C$20</f>
        <v>685380</v>
      </c>
      <c r="L1708">
        <f>Sales_Per_Rep_Yearly_Goal!$B$3</f>
        <v>689907.8</v>
      </c>
      <c r="M1708">
        <f>Sales_Per_Rep_Yearly_Goal!$C$3</f>
        <v>690000</v>
      </c>
    </row>
    <row r="1709" spans="1:13" x14ac:dyDescent="0.3">
      <c r="A1709" s="3">
        <v>45383</v>
      </c>
      <c r="B1709">
        <f t="shared" si="26"/>
        <v>2024</v>
      </c>
      <c r="C1709">
        <v>4</v>
      </c>
      <c r="D1709" t="s">
        <v>12</v>
      </c>
      <c r="E1709" t="s">
        <v>32</v>
      </c>
      <c r="F1709" s="2">
        <v>6086</v>
      </c>
      <c r="G1709" s="2">
        <f>Monthly_Growth!$C$17</f>
        <v>833238</v>
      </c>
      <c r="H1709" s="5">
        <f>Monthly_Growth!$D$17</f>
        <v>-0.10000486052979775</v>
      </c>
      <c r="I1709" s="15">
        <f>Yearly_Growth!$C$3</f>
        <v>0.11893113731787852</v>
      </c>
      <c r="J1709" s="15">
        <f>Yearly_Growth!$D$3</f>
        <v>0.09</v>
      </c>
      <c r="K1709">
        <f>Sales_Per_Representative!$C$18</f>
        <v>783907</v>
      </c>
      <c r="L1709">
        <f>Sales_Per_Rep_Yearly_Goal!$B$3</f>
        <v>689907.8</v>
      </c>
      <c r="M1709">
        <f>Sales_Per_Rep_Yearly_Goal!$C$3</f>
        <v>690000</v>
      </c>
    </row>
    <row r="1710" spans="1:13" x14ac:dyDescent="0.3">
      <c r="A1710" s="3">
        <v>45384</v>
      </c>
      <c r="B1710">
        <f t="shared" si="26"/>
        <v>2024</v>
      </c>
      <c r="C1710">
        <v>4</v>
      </c>
      <c r="D1710" t="s">
        <v>14</v>
      </c>
      <c r="E1710" t="s">
        <v>29</v>
      </c>
      <c r="F1710" s="2">
        <v>3725</v>
      </c>
      <c r="G1710" s="2">
        <f>Monthly_Growth!$C$17</f>
        <v>833238</v>
      </c>
      <c r="H1710" s="5">
        <f>Monthly_Growth!$D$17</f>
        <v>-0.10000486052979775</v>
      </c>
      <c r="I1710" s="15">
        <f>Yearly_Growth!$C$3</f>
        <v>0.11893113731787852</v>
      </c>
      <c r="J1710" s="15">
        <f>Yearly_Growth!$D$3</f>
        <v>0.09</v>
      </c>
      <c r="K1710">
        <f>Sales_Per_Representative!$C$28</f>
        <v>691917</v>
      </c>
      <c r="L1710">
        <f>Sales_Per_Rep_Yearly_Goal!$B$3</f>
        <v>689907.8</v>
      </c>
      <c r="M1710">
        <f>Sales_Per_Rep_Yearly_Goal!$C$3</f>
        <v>690000</v>
      </c>
    </row>
    <row r="1711" spans="1:13" x14ac:dyDescent="0.3">
      <c r="A1711" s="3">
        <v>45384</v>
      </c>
      <c r="B1711">
        <f t="shared" si="26"/>
        <v>2024</v>
      </c>
      <c r="C1711">
        <v>4</v>
      </c>
      <c r="D1711" t="s">
        <v>19</v>
      </c>
      <c r="E1711" t="s">
        <v>10</v>
      </c>
      <c r="F1711" s="2">
        <v>13831</v>
      </c>
      <c r="G1711" s="2">
        <f>Monthly_Growth!$C$17</f>
        <v>833238</v>
      </c>
      <c r="H1711" s="5">
        <f>Monthly_Growth!$D$17</f>
        <v>-0.10000486052979775</v>
      </c>
      <c r="I1711" s="15">
        <f>Yearly_Growth!$C$3</f>
        <v>0.11893113731787852</v>
      </c>
      <c r="J1711" s="15">
        <f>Yearly_Growth!$D$3</f>
        <v>0.09</v>
      </c>
      <c r="K1711">
        <f>Sales_Per_Representative!$C$19</f>
        <v>711816</v>
      </c>
      <c r="L1711">
        <f>Sales_Per_Rep_Yearly_Goal!$B$3</f>
        <v>689907.8</v>
      </c>
      <c r="M1711">
        <f>Sales_Per_Rep_Yearly_Goal!$C$3</f>
        <v>690000</v>
      </c>
    </row>
    <row r="1712" spans="1:13" x14ac:dyDescent="0.3">
      <c r="A1712" s="3">
        <v>45384</v>
      </c>
      <c r="B1712">
        <f t="shared" si="26"/>
        <v>2024</v>
      </c>
      <c r="C1712">
        <v>4</v>
      </c>
      <c r="D1712" t="s">
        <v>23</v>
      </c>
      <c r="E1712" t="s">
        <v>27</v>
      </c>
      <c r="F1712" s="2">
        <v>1818</v>
      </c>
      <c r="G1712" s="2">
        <f>Monthly_Growth!$C$17</f>
        <v>833238</v>
      </c>
      <c r="H1712" s="5">
        <f>Monthly_Growth!$D$17</f>
        <v>-0.10000486052979775</v>
      </c>
      <c r="I1712" s="15">
        <f>Yearly_Growth!$C$3</f>
        <v>0.11893113731787852</v>
      </c>
      <c r="J1712" s="15">
        <f>Yearly_Growth!$D$3</f>
        <v>0.09</v>
      </c>
      <c r="K1712">
        <f>Sales_Per_Representative!$C$20</f>
        <v>685380</v>
      </c>
      <c r="L1712">
        <f>Sales_Per_Rep_Yearly_Goal!$B$3</f>
        <v>689907.8</v>
      </c>
      <c r="M1712">
        <f>Sales_Per_Rep_Yearly_Goal!$C$3</f>
        <v>690000</v>
      </c>
    </row>
    <row r="1713" spans="1:13" x14ac:dyDescent="0.3">
      <c r="A1713" s="3">
        <v>45384</v>
      </c>
      <c r="B1713">
        <f t="shared" si="26"/>
        <v>2024</v>
      </c>
      <c r="C1713">
        <v>4</v>
      </c>
      <c r="D1713" t="s">
        <v>23</v>
      </c>
      <c r="E1713" t="s">
        <v>27</v>
      </c>
      <c r="F1713" s="2">
        <v>12810</v>
      </c>
      <c r="G1713" s="2">
        <f>Monthly_Growth!$C$17</f>
        <v>833238</v>
      </c>
      <c r="H1713" s="5">
        <f>Monthly_Growth!$D$17</f>
        <v>-0.10000486052979775</v>
      </c>
      <c r="I1713" s="15">
        <f>Yearly_Growth!$C$3</f>
        <v>0.11893113731787852</v>
      </c>
      <c r="J1713" s="15">
        <f>Yearly_Growth!$D$3</f>
        <v>0.09</v>
      </c>
      <c r="K1713">
        <f>Sales_Per_Representative!$C$20</f>
        <v>685380</v>
      </c>
      <c r="L1713">
        <f>Sales_Per_Rep_Yearly_Goal!$B$3</f>
        <v>689907.8</v>
      </c>
      <c r="M1713">
        <f>Sales_Per_Rep_Yearly_Goal!$C$3</f>
        <v>690000</v>
      </c>
    </row>
    <row r="1714" spans="1:13" x14ac:dyDescent="0.3">
      <c r="A1714" s="3">
        <v>45384</v>
      </c>
      <c r="B1714">
        <f t="shared" si="26"/>
        <v>2024</v>
      </c>
      <c r="C1714">
        <v>4</v>
      </c>
      <c r="D1714" t="s">
        <v>12</v>
      </c>
      <c r="E1714" t="s">
        <v>18</v>
      </c>
      <c r="F1714" s="2">
        <v>6448</v>
      </c>
      <c r="G1714" s="2">
        <f>Monthly_Growth!$C$17</f>
        <v>833238</v>
      </c>
      <c r="H1714" s="5">
        <f>Monthly_Growth!$D$17</f>
        <v>-0.10000486052979775</v>
      </c>
      <c r="I1714" s="15">
        <f>Yearly_Growth!$C$3</f>
        <v>0.11893113731787852</v>
      </c>
      <c r="J1714" s="15">
        <f>Yearly_Growth!$D$3</f>
        <v>0.09</v>
      </c>
      <c r="K1714">
        <f>Sales_Per_Representative!$C$24</f>
        <v>699277</v>
      </c>
      <c r="L1714">
        <f>Sales_Per_Rep_Yearly_Goal!$B$3</f>
        <v>689907.8</v>
      </c>
      <c r="M1714">
        <f>Sales_Per_Rep_Yearly_Goal!$C$3</f>
        <v>690000</v>
      </c>
    </row>
    <row r="1715" spans="1:13" x14ac:dyDescent="0.3">
      <c r="A1715" s="3">
        <v>45385</v>
      </c>
      <c r="B1715">
        <f t="shared" si="26"/>
        <v>2024</v>
      </c>
      <c r="C1715">
        <v>4</v>
      </c>
      <c r="D1715" t="s">
        <v>28</v>
      </c>
      <c r="E1715" t="s">
        <v>22</v>
      </c>
      <c r="F1715" s="2">
        <v>4095</v>
      </c>
      <c r="G1715" s="2">
        <f>Monthly_Growth!$C$17</f>
        <v>833238</v>
      </c>
      <c r="H1715" s="5">
        <f>Monthly_Growth!$D$17</f>
        <v>-0.10000486052979775</v>
      </c>
      <c r="I1715" s="15">
        <f>Yearly_Growth!$C$3</f>
        <v>0.11893113731787852</v>
      </c>
      <c r="J1715" s="15">
        <f>Yearly_Growth!$D$3</f>
        <v>0.09</v>
      </c>
      <c r="K1715">
        <f>Sales_Per_Representative!$C$23</f>
        <v>697444</v>
      </c>
      <c r="L1715">
        <f>Sales_Per_Rep_Yearly_Goal!$B$3</f>
        <v>689907.8</v>
      </c>
      <c r="M1715">
        <f>Sales_Per_Rep_Yearly_Goal!$C$3</f>
        <v>690000</v>
      </c>
    </row>
    <row r="1716" spans="1:13" x14ac:dyDescent="0.3">
      <c r="A1716" s="3">
        <v>45385</v>
      </c>
      <c r="B1716">
        <f t="shared" si="26"/>
        <v>2024</v>
      </c>
      <c r="C1716">
        <v>4</v>
      </c>
      <c r="D1716" t="s">
        <v>17</v>
      </c>
      <c r="E1716" t="s">
        <v>20</v>
      </c>
      <c r="F1716" s="2">
        <v>10192</v>
      </c>
      <c r="G1716" s="2">
        <f>Monthly_Growth!$C$17</f>
        <v>833238</v>
      </c>
      <c r="H1716" s="5">
        <f>Monthly_Growth!$D$17</f>
        <v>-0.10000486052979775</v>
      </c>
      <c r="I1716" s="15">
        <f>Yearly_Growth!$C$3</f>
        <v>0.11893113731787852</v>
      </c>
      <c r="J1716" s="15">
        <f>Yearly_Growth!$D$3</f>
        <v>0.09</v>
      </c>
      <c r="K1716">
        <f>Sales_Per_Representative!$C$29</f>
        <v>753085</v>
      </c>
      <c r="L1716">
        <f>Sales_Per_Rep_Yearly_Goal!$B$3</f>
        <v>689907.8</v>
      </c>
      <c r="M1716">
        <f>Sales_Per_Rep_Yearly_Goal!$C$3</f>
        <v>690000</v>
      </c>
    </row>
    <row r="1717" spans="1:13" x14ac:dyDescent="0.3">
      <c r="A1717" s="3">
        <v>45386</v>
      </c>
      <c r="B1717">
        <f t="shared" si="26"/>
        <v>2024</v>
      </c>
      <c r="C1717">
        <v>4</v>
      </c>
      <c r="D1717" t="s">
        <v>14</v>
      </c>
      <c r="E1717" t="s">
        <v>22</v>
      </c>
      <c r="F1717" s="2">
        <v>13770</v>
      </c>
      <c r="G1717" s="2">
        <f>Monthly_Growth!$C$17</f>
        <v>833238</v>
      </c>
      <c r="H1717" s="5">
        <f>Monthly_Growth!$D$17</f>
        <v>-0.10000486052979775</v>
      </c>
      <c r="I1717" s="15">
        <f>Yearly_Growth!$C$3</f>
        <v>0.11893113731787852</v>
      </c>
      <c r="J1717" s="15">
        <f>Yearly_Growth!$D$3</f>
        <v>0.09</v>
      </c>
      <c r="K1717">
        <f>Sales_Per_Representative!$C$23</f>
        <v>697444</v>
      </c>
      <c r="L1717">
        <f>Sales_Per_Rep_Yearly_Goal!$B$3</f>
        <v>689907.8</v>
      </c>
      <c r="M1717">
        <f>Sales_Per_Rep_Yearly_Goal!$C$3</f>
        <v>690000</v>
      </c>
    </row>
    <row r="1718" spans="1:13" x14ac:dyDescent="0.3">
      <c r="A1718" s="3">
        <v>45386</v>
      </c>
      <c r="B1718">
        <f t="shared" si="26"/>
        <v>2024</v>
      </c>
      <c r="C1718">
        <v>4</v>
      </c>
      <c r="D1718" t="s">
        <v>14</v>
      </c>
      <c r="E1718" t="s">
        <v>20</v>
      </c>
      <c r="F1718" s="2">
        <v>1227</v>
      </c>
      <c r="G1718" s="2">
        <f>Monthly_Growth!$C$17</f>
        <v>833238</v>
      </c>
      <c r="H1718" s="5">
        <f>Monthly_Growth!$D$17</f>
        <v>-0.10000486052979775</v>
      </c>
      <c r="I1718" s="15">
        <f>Yearly_Growth!$C$3</f>
        <v>0.11893113731787852</v>
      </c>
      <c r="J1718" s="15">
        <f>Yearly_Growth!$D$3</f>
        <v>0.09</v>
      </c>
      <c r="K1718">
        <f>Sales_Per_Representative!$C$29</f>
        <v>753085</v>
      </c>
      <c r="L1718">
        <f>Sales_Per_Rep_Yearly_Goal!$B$3</f>
        <v>689907.8</v>
      </c>
      <c r="M1718">
        <f>Sales_Per_Rep_Yearly_Goal!$C$3</f>
        <v>690000</v>
      </c>
    </row>
    <row r="1719" spans="1:13" x14ac:dyDescent="0.3">
      <c r="A1719" s="3">
        <v>45386</v>
      </c>
      <c r="B1719">
        <f t="shared" si="26"/>
        <v>2024</v>
      </c>
      <c r="C1719">
        <v>4</v>
      </c>
      <c r="D1719" t="s">
        <v>23</v>
      </c>
      <c r="E1719" t="s">
        <v>15</v>
      </c>
      <c r="F1719" s="2">
        <v>11510</v>
      </c>
      <c r="G1719" s="2">
        <f>Monthly_Growth!$C$17</f>
        <v>833238</v>
      </c>
      <c r="H1719" s="5">
        <f>Monthly_Growth!$D$17</f>
        <v>-0.10000486052979775</v>
      </c>
      <c r="I1719" s="15">
        <f>Yearly_Growth!$C$3</f>
        <v>0.11893113731787852</v>
      </c>
      <c r="J1719" s="15">
        <f>Yearly_Growth!$D$3</f>
        <v>0.09</v>
      </c>
      <c r="K1719">
        <f>Sales_Per_Representative!$C$27</f>
        <v>617202</v>
      </c>
      <c r="L1719">
        <f>Sales_Per_Rep_Yearly_Goal!$B$3</f>
        <v>689907.8</v>
      </c>
      <c r="M1719">
        <f>Sales_Per_Rep_Yearly_Goal!$C$3</f>
        <v>690000</v>
      </c>
    </row>
    <row r="1720" spans="1:13" x14ac:dyDescent="0.3">
      <c r="A1720" s="3">
        <v>45387</v>
      </c>
      <c r="B1720">
        <f t="shared" si="26"/>
        <v>2024</v>
      </c>
      <c r="C1720">
        <v>4</v>
      </c>
      <c r="D1720" t="s">
        <v>28</v>
      </c>
      <c r="E1720" t="s">
        <v>10</v>
      </c>
      <c r="F1720" s="2">
        <v>4597</v>
      </c>
      <c r="G1720" s="2">
        <f>Monthly_Growth!$C$17</f>
        <v>833238</v>
      </c>
      <c r="H1720" s="5">
        <f>Monthly_Growth!$D$17</f>
        <v>-0.10000486052979775</v>
      </c>
      <c r="I1720" s="15">
        <f>Yearly_Growth!$C$3</f>
        <v>0.11893113731787852</v>
      </c>
      <c r="J1720" s="15">
        <f>Yearly_Growth!$D$3</f>
        <v>0.09</v>
      </c>
      <c r="K1720">
        <f>Sales_Per_Representative!$C$19</f>
        <v>711816</v>
      </c>
      <c r="L1720">
        <f>Sales_Per_Rep_Yearly_Goal!$B$3</f>
        <v>689907.8</v>
      </c>
      <c r="M1720">
        <f>Sales_Per_Rep_Yearly_Goal!$C$3</f>
        <v>690000</v>
      </c>
    </row>
    <row r="1721" spans="1:13" x14ac:dyDescent="0.3">
      <c r="A1721" s="3">
        <v>45387</v>
      </c>
      <c r="B1721">
        <f t="shared" si="26"/>
        <v>2024</v>
      </c>
      <c r="C1721">
        <v>4</v>
      </c>
      <c r="D1721" t="s">
        <v>17</v>
      </c>
      <c r="E1721" t="s">
        <v>20</v>
      </c>
      <c r="F1721" s="2">
        <v>12135</v>
      </c>
      <c r="G1721" s="2">
        <f>Monthly_Growth!$C$17</f>
        <v>833238</v>
      </c>
      <c r="H1721" s="5">
        <f>Monthly_Growth!$D$17</f>
        <v>-0.10000486052979775</v>
      </c>
      <c r="I1721" s="15">
        <f>Yearly_Growth!$C$3</f>
        <v>0.11893113731787852</v>
      </c>
      <c r="J1721" s="15">
        <f>Yearly_Growth!$D$3</f>
        <v>0.09</v>
      </c>
      <c r="K1721">
        <f>Sales_Per_Representative!$C$29</f>
        <v>753085</v>
      </c>
      <c r="L1721">
        <f>Sales_Per_Rep_Yearly_Goal!$B$3</f>
        <v>689907.8</v>
      </c>
      <c r="M1721">
        <f>Sales_Per_Rep_Yearly_Goal!$C$3</f>
        <v>690000</v>
      </c>
    </row>
    <row r="1722" spans="1:13" x14ac:dyDescent="0.3">
      <c r="A1722" s="3">
        <v>45388</v>
      </c>
      <c r="B1722">
        <f t="shared" si="26"/>
        <v>2024</v>
      </c>
      <c r="C1722">
        <v>4</v>
      </c>
      <c r="D1722" t="s">
        <v>14</v>
      </c>
      <c r="E1722" t="s">
        <v>33</v>
      </c>
      <c r="F1722" s="2">
        <v>12206</v>
      </c>
      <c r="G1722" s="2">
        <f>Monthly_Growth!$C$17</f>
        <v>833238</v>
      </c>
      <c r="H1722" s="5">
        <f>Monthly_Growth!$D$17</f>
        <v>-0.10000486052979775</v>
      </c>
      <c r="I1722" s="15">
        <f>Yearly_Growth!$C$3</f>
        <v>0.11893113731787852</v>
      </c>
      <c r="J1722" s="15">
        <f>Yearly_Growth!$D$3</f>
        <v>0.09</v>
      </c>
      <c r="K1722">
        <f>Sales_Per_Representative!$C$26</f>
        <v>501360</v>
      </c>
      <c r="L1722">
        <f>Sales_Per_Rep_Yearly_Goal!$B$3</f>
        <v>689907.8</v>
      </c>
      <c r="M1722">
        <f>Sales_Per_Rep_Yearly_Goal!$C$3</f>
        <v>690000</v>
      </c>
    </row>
    <row r="1723" spans="1:13" x14ac:dyDescent="0.3">
      <c r="A1723" s="3">
        <v>45388</v>
      </c>
      <c r="B1723">
        <f t="shared" si="26"/>
        <v>2024</v>
      </c>
      <c r="C1723">
        <v>4</v>
      </c>
      <c r="D1723" t="s">
        <v>17</v>
      </c>
      <c r="E1723" t="s">
        <v>30</v>
      </c>
      <c r="F1723" s="2">
        <v>8026</v>
      </c>
      <c r="G1723" s="2">
        <f>Monthly_Growth!$C$17</f>
        <v>833238</v>
      </c>
      <c r="H1723" s="5">
        <f>Monthly_Growth!$D$17</f>
        <v>-0.10000486052979775</v>
      </c>
      <c r="I1723" s="15">
        <f>Yearly_Growth!$C$3</f>
        <v>0.11893113731787852</v>
      </c>
      <c r="J1723" s="15">
        <f>Yearly_Growth!$D$3</f>
        <v>0.09</v>
      </c>
      <c r="K1723">
        <f>Sales_Per_Representative!$C$22</f>
        <v>700142</v>
      </c>
      <c r="L1723">
        <f>Sales_Per_Rep_Yearly_Goal!$B$3</f>
        <v>689907.8</v>
      </c>
      <c r="M1723">
        <f>Sales_Per_Rep_Yearly_Goal!$C$3</f>
        <v>690000</v>
      </c>
    </row>
    <row r="1724" spans="1:13" x14ac:dyDescent="0.3">
      <c r="A1724" s="3">
        <v>45389</v>
      </c>
      <c r="B1724">
        <f t="shared" si="26"/>
        <v>2024</v>
      </c>
      <c r="C1724">
        <v>4</v>
      </c>
      <c r="D1724" t="s">
        <v>14</v>
      </c>
      <c r="E1724" t="s">
        <v>32</v>
      </c>
      <c r="F1724" s="2">
        <v>12117</v>
      </c>
      <c r="G1724" s="2">
        <f>Monthly_Growth!$C$17</f>
        <v>833238</v>
      </c>
      <c r="H1724" s="5">
        <f>Monthly_Growth!$D$17</f>
        <v>-0.10000486052979775</v>
      </c>
      <c r="I1724" s="15">
        <f>Yearly_Growth!$C$3</f>
        <v>0.11893113731787852</v>
      </c>
      <c r="J1724" s="15">
        <f>Yearly_Growth!$D$3</f>
        <v>0.09</v>
      </c>
      <c r="K1724">
        <f>Sales_Per_Representative!$C$18</f>
        <v>783907</v>
      </c>
      <c r="L1724">
        <f>Sales_Per_Rep_Yearly_Goal!$B$3</f>
        <v>689907.8</v>
      </c>
      <c r="M1724">
        <f>Sales_Per_Rep_Yearly_Goal!$C$3</f>
        <v>690000</v>
      </c>
    </row>
    <row r="1725" spans="1:13" x14ac:dyDescent="0.3">
      <c r="A1725" s="3">
        <v>45389</v>
      </c>
      <c r="B1725">
        <f t="shared" si="26"/>
        <v>2024</v>
      </c>
      <c r="C1725">
        <v>4</v>
      </c>
      <c r="D1725" t="s">
        <v>19</v>
      </c>
      <c r="E1725" t="s">
        <v>15</v>
      </c>
      <c r="F1725" s="2">
        <v>5887</v>
      </c>
      <c r="G1725" s="2">
        <f>Monthly_Growth!$C$17</f>
        <v>833238</v>
      </c>
      <c r="H1725" s="5">
        <f>Monthly_Growth!$D$17</f>
        <v>-0.10000486052979775</v>
      </c>
      <c r="I1725" s="15">
        <f>Yearly_Growth!$C$3</f>
        <v>0.11893113731787852</v>
      </c>
      <c r="J1725" s="15">
        <f>Yearly_Growth!$D$3</f>
        <v>0.09</v>
      </c>
      <c r="K1725">
        <f>Sales_Per_Representative!$C$27</f>
        <v>617202</v>
      </c>
      <c r="L1725">
        <f>Sales_Per_Rep_Yearly_Goal!$B$3</f>
        <v>689907.8</v>
      </c>
      <c r="M1725">
        <f>Sales_Per_Rep_Yearly_Goal!$C$3</f>
        <v>690000</v>
      </c>
    </row>
    <row r="1726" spans="1:13" x14ac:dyDescent="0.3">
      <c r="A1726" s="3">
        <v>45389</v>
      </c>
      <c r="B1726">
        <f t="shared" si="26"/>
        <v>2024</v>
      </c>
      <c r="C1726">
        <v>4</v>
      </c>
      <c r="D1726" t="s">
        <v>23</v>
      </c>
      <c r="E1726" t="s">
        <v>20</v>
      </c>
      <c r="F1726" s="2">
        <v>6771</v>
      </c>
      <c r="G1726" s="2">
        <f>Monthly_Growth!$C$17</f>
        <v>833238</v>
      </c>
      <c r="H1726" s="5">
        <f>Monthly_Growth!$D$17</f>
        <v>-0.10000486052979775</v>
      </c>
      <c r="I1726" s="15">
        <f>Yearly_Growth!$C$3</f>
        <v>0.11893113731787852</v>
      </c>
      <c r="J1726" s="15">
        <f>Yearly_Growth!$D$3</f>
        <v>0.09</v>
      </c>
      <c r="K1726">
        <f>Sales_Per_Representative!$C$29</f>
        <v>753085</v>
      </c>
      <c r="L1726">
        <f>Sales_Per_Rep_Yearly_Goal!$B$3</f>
        <v>689907.8</v>
      </c>
      <c r="M1726">
        <f>Sales_Per_Rep_Yearly_Goal!$C$3</f>
        <v>690000</v>
      </c>
    </row>
    <row r="1727" spans="1:13" x14ac:dyDescent="0.3">
      <c r="A1727" s="3">
        <v>45390</v>
      </c>
      <c r="B1727">
        <f t="shared" si="26"/>
        <v>2024</v>
      </c>
      <c r="C1727">
        <v>4</v>
      </c>
      <c r="D1727" t="s">
        <v>23</v>
      </c>
      <c r="E1727" t="s">
        <v>18</v>
      </c>
      <c r="F1727" s="2">
        <v>8631</v>
      </c>
      <c r="G1727" s="2">
        <f>Monthly_Growth!$C$17</f>
        <v>833238</v>
      </c>
      <c r="H1727" s="5">
        <f>Monthly_Growth!$D$17</f>
        <v>-0.10000486052979775</v>
      </c>
      <c r="I1727" s="15">
        <f>Yearly_Growth!$C$3</f>
        <v>0.11893113731787852</v>
      </c>
      <c r="J1727" s="15">
        <f>Yearly_Growth!$D$3</f>
        <v>0.09</v>
      </c>
      <c r="K1727">
        <f>Sales_Per_Representative!$C$24</f>
        <v>699277</v>
      </c>
      <c r="L1727">
        <f>Sales_Per_Rep_Yearly_Goal!$B$3</f>
        <v>689907.8</v>
      </c>
      <c r="M1727">
        <f>Sales_Per_Rep_Yearly_Goal!$C$3</f>
        <v>690000</v>
      </c>
    </row>
    <row r="1728" spans="1:13" x14ac:dyDescent="0.3">
      <c r="A1728" s="3">
        <v>45391</v>
      </c>
      <c r="B1728">
        <f t="shared" si="26"/>
        <v>2024</v>
      </c>
      <c r="C1728">
        <v>4</v>
      </c>
      <c r="D1728" t="s">
        <v>23</v>
      </c>
      <c r="E1728" t="s">
        <v>29</v>
      </c>
      <c r="F1728" s="2">
        <v>1243</v>
      </c>
      <c r="G1728" s="2">
        <f>Monthly_Growth!$C$17</f>
        <v>833238</v>
      </c>
      <c r="H1728" s="5">
        <f>Monthly_Growth!$D$17</f>
        <v>-0.10000486052979775</v>
      </c>
      <c r="I1728" s="15">
        <f>Yearly_Growth!$C$3</f>
        <v>0.11893113731787852</v>
      </c>
      <c r="J1728" s="15">
        <f>Yearly_Growth!$D$3</f>
        <v>0.09</v>
      </c>
      <c r="K1728">
        <f>Sales_Per_Representative!$C$28</f>
        <v>691917</v>
      </c>
      <c r="L1728">
        <f>Sales_Per_Rep_Yearly_Goal!$B$3</f>
        <v>689907.8</v>
      </c>
      <c r="M1728">
        <f>Sales_Per_Rep_Yearly_Goal!$C$3</f>
        <v>690000</v>
      </c>
    </row>
    <row r="1729" spans="1:13" x14ac:dyDescent="0.3">
      <c r="A1729" s="3">
        <v>45391</v>
      </c>
      <c r="B1729">
        <f t="shared" si="26"/>
        <v>2024</v>
      </c>
      <c r="C1729">
        <v>4</v>
      </c>
      <c r="D1729" t="s">
        <v>7</v>
      </c>
      <c r="E1729" t="s">
        <v>31</v>
      </c>
      <c r="F1729" s="2">
        <v>2024</v>
      </c>
      <c r="G1729" s="2">
        <f>Monthly_Growth!$C$17</f>
        <v>833238</v>
      </c>
      <c r="H1729" s="5">
        <f>Monthly_Growth!$D$17</f>
        <v>-0.10000486052979775</v>
      </c>
      <c r="I1729" s="15">
        <f>Yearly_Growth!$C$3</f>
        <v>0.11893113731787852</v>
      </c>
      <c r="J1729" s="15">
        <f>Yearly_Growth!$D$3</f>
        <v>0.09</v>
      </c>
      <c r="K1729">
        <f>Sales_Per_Representative!$C$21</f>
        <v>679421</v>
      </c>
      <c r="L1729">
        <f>Sales_Per_Rep_Yearly_Goal!$B$3</f>
        <v>689907.8</v>
      </c>
      <c r="M1729">
        <f>Sales_Per_Rep_Yearly_Goal!$C$3</f>
        <v>690000</v>
      </c>
    </row>
    <row r="1730" spans="1:13" x14ac:dyDescent="0.3">
      <c r="A1730" s="3">
        <v>45391</v>
      </c>
      <c r="B1730">
        <f t="shared" si="26"/>
        <v>2024</v>
      </c>
      <c r="C1730">
        <v>4</v>
      </c>
      <c r="D1730" t="s">
        <v>17</v>
      </c>
      <c r="E1730" t="s">
        <v>33</v>
      </c>
      <c r="F1730" s="2">
        <v>6171</v>
      </c>
      <c r="G1730" s="2">
        <f>Monthly_Growth!$C$17</f>
        <v>833238</v>
      </c>
      <c r="H1730" s="5">
        <f>Monthly_Growth!$D$17</f>
        <v>-0.10000486052979775</v>
      </c>
      <c r="I1730" s="15">
        <f>Yearly_Growth!$C$3</f>
        <v>0.11893113731787852</v>
      </c>
      <c r="J1730" s="15">
        <f>Yearly_Growth!$D$3</f>
        <v>0.09</v>
      </c>
      <c r="K1730">
        <f>Sales_Per_Representative!$C$26</f>
        <v>501360</v>
      </c>
      <c r="L1730">
        <f>Sales_Per_Rep_Yearly_Goal!$B$3</f>
        <v>689907.8</v>
      </c>
      <c r="M1730">
        <f>Sales_Per_Rep_Yearly_Goal!$C$3</f>
        <v>690000</v>
      </c>
    </row>
    <row r="1731" spans="1:13" x14ac:dyDescent="0.3">
      <c r="A1731" s="3">
        <v>45391</v>
      </c>
      <c r="B1731">
        <f t="shared" ref="B1731:B1794" si="27">YEAR(A1731)</f>
        <v>2024</v>
      </c>
      <c r="C1731">
        <v>4</v>
      </c>
      <c r="D1731" t="s">
        <v>17</v>
      </c>
      <c r="E1731" t="s">
        <v>32</v>
      </c>
      <c r="F1731" s="2">
        <v>13726</v>
      </c>
      <c r="G1731" s="2">
        <f>Monthly_Growth!$C$17</f>
        <v>833238</v>
      </c>
      <c r="H1731" s="5">
        <f>Monthly_Growth!$D$17</f>
        <v>-0.10000486052979775</v>
      </c>
      <c r="I1731" s="15">
        <f>Yearly_Growth!$C$3</f>
        <v>0.11893113731787852</v>
      </c>
      <c r="J1731" s="15">
        <f>Yearly_Growth!$D$3</f>
        <v>0.09</v>
      </c>
      <c r="K1731">
        <f>Sales_Per_Representative!$C$18</f>
        <v>783907</v>
      </c>
      <c r="L1731">
        <f>Sales_Per_Rep_Yearly_Goal!$B$3</f>
        <v>689907.8</v>
      </c>
      <c r="M1731">
        <f>Sales_Per_Rep_Yearly_Goal!$C$3</f>
        <v>690000</v>
      </c>
    </row>
    <row r="1732" spans="1:13" x14ac:dyDescent="0.3">
      <c r="A1732" s="3">
        <v>45391</v>
      </c>
      <c r="B1732">
        <f t="shared" si="27"/>
        <v>2024</v>
      </c>
      <c r="C1732">
        <v>4</v>
      </c>
      <c r="D1732" t="s">
        <v>12</v>
      </c>
      <c r="E1732" t="s">
        <v>5</v>
      </c>
      <c r="F1732" s="2">
        <v>11483</v>
      </c>
      <c r="G1732" s="2">
        <f>Monthly_Growth!$C$17</f>
        <v>833238</v>
      </c>
      <c r="H1732" s="5">
        <f>Monthly_Growth!$D$17</f>
        <v>-0.10000486052979775</v>
      </c>
      <c r="I1732" s="15">
        <f>Yearly_Growth!$C$3</f>
        <v>0.11893113731787852</v>
      </c>
      <c r="J1732" s="15">
        <f>Yearly_Growth!$D$3</f>
        <v>0.09</v>
      </c>
      <c r="K1732">
        <f>Sales_Per_Representative!$C$25</f>
        <v>749460</v>
      </c>
      <c r="L1732">
        <f>Sales_Per_Rep_Yearly_Goal!$B$3</f>
        <v>689907.8</v>
      </c>
      <c r="M1732">
        <f>Sales_Per_Rep_Yearly_Goal!$C$3</f>
        <v>690000</v>
      </c>
    </row>
    <row r="1733" spans="1:13" x14ac:dyDescent="0.3">
      <c r="A1733" s="3">
        <v>45392</v>
      </c>
      <c r="B1733">
        <f t="shared" si="27"/>
        <v>2024</v>
      </c>
      <c r="C1733">
        <v>4</v>
      </c>
      <c r="D1733" t="s">
        <v>14</v>
      </c>
      <c r="E1733" t="s">
        <v>15</v>
      </c>
      <c r="F1733" s="2">
        <v>4957</v>
      </c>
      <c r="G1733" s="2">
        <f>Monthly_Growth!$C$17</f>
        <v>833238</v>
      </c>
      <c r="H1733" s="5">
        <f>Monthly_Growth!$D$17</f>
        <v>-0.10000486052979775</v>
      </c>
      <c r="I1733" s="15">
        <f>Yearly_Growth!$C$3</f>
        <v>0.11893113731787852</v>
      </c>
      <c r="J1733" s="15">
        <f>Yearly_Growth!$D$3</f>
        <v>0.09</v>
      </c>
      <c r="K1733">
        <f>Sales_Per_Representative!$C$27</f>
        <v>617202</v>
      </c>
      <c r="L1733">
        <f>Sales_Per_Rep_Yearly_Goal!$B$3</f>
        <v>689907.8</v>
      </c>
      <c r="M1733">
        <f>Sales_Per_Rep_Yearly_Goal!$C$3</f>
        <v>690000</v>
      </c>
    </row>
    <row r="1734" spans="1:13" x14ac:dyDescent="0.3">
      <c r="A1734" s="3">
        <v>45392</v>
      </c>
      <c r="B1734">
        <f t="shared" si="27"/>
        <v>2024</v>
      </c>
      <c r="C1734">
        <v>4</v>
      </c>
      <c r="D1734" t="s">
        <v>14</v>
      </c>
      <c r="E1734" t="s">
        <v>32</v>
      </c>
      <c r="F1734" s="2">
        <v>4848</v>
      </c>
      <c r="G1734" s="2">
        <f>Monthly_Growth!$C$17</f>
        <v>833238</v>
      </c>
      <c r="H1734" s="5">
        <f>Monthly_Growth!$D$17</f>
        <v>-0.10000486052979775</v>
      </c>
      <c r="I1734" s="15">
        <f>Yearly_Growth!$C$3</f>
        <v>0.11893113731787852</v>
      </c>
      <c r="J1734" s="15">
        <f>Yearly_Growth!$D$3</f>
        <v>0.09</v>
      </c>
      <c r="K1734">
        <f>Sales_Per_Representative!$C$18</f>
        <v>783907</v>
      </c>
      <c r="L1734">
        <f>Sales_Per_Rep_Yearly_Goal!$B$3</f>
        <v>689907.8</v>
      </c>
      <c r="M1734">
        <f>Sales_Per_Rep_Yearly_Goal!$C$3</f>
        <v>690000</v>
      </c>
    </row>
    <row r="1735" spans="1:13" x14ac:dyDescent="0.3">
      <c r="A1735" s="3">
        <v>45392</v>
      </c>
      <c r="B1735">
        <f t="shared" si="27"/>
        <v>2024</v>
      </c>
      <c r="C1735">
        <v>4</v>
      </c>
      <c r="D1735" t="s">
        <v>25</v>
      </c>
      <c r="E1735" t="s">
        <v>8</v>
      </c>
      <c r="F1735" s="2">
        <v>2558</v>
      </c>
      <c r="G1735" s="2">
        <f>Monthly_Growth!$C$17</f>
        <v>833238</v>
      </c>
      <c r="H1735" s="5">
        <f>Monthly_Growth!$D$17</f>
        <v>-0.10000486052979775</v>
      </c>
      <c r="I1735" s="15">
        <f>Yearly_Growth!$C$3</f>
        <v>0.11893113731787852</v>
      </c>
      <c r="J1735" s="15">
        <f>Yearly_Growth!$D$3</f>
        <v>0.09</v>
      </c>
      <c r="K1735">
        <f>Sales_Per_Representative!$C$30</f>
        <v>780006</v>
      </c>
      <c r="L1735">
        <f>Sales_Per_Rep_Yearly_Goal!$B$3</f>
        <v>689907.8</v>
      </c>
      <c r="M1735">
        <f>Sales_Per_Rep_Yearly_Goal!$C$3</f>
        <v>690000</v>
      </c>
    </row>
    <row r="1736" spans="1:13" x14ac:dyDescent="0.3">
      <c r="A1736" s="3">
        <v>45392</v>
      </c>
      <c r="B1736">
        <f t="shared" si="27"/>
        <v>2024</v>
      </c>
      <c r="C1736">
        <v>4</v>
      </c>
      <c r="D1736" t="s">
        <v>7</v>
      </c>
      <c r="E1736" t="s">
        <v>32</v>
      </c>
      <c r="F1736" s="2">
        <v>1997</v>
      </c>
      <c r="G1736" s="2">
        <f>Monthly_Growth!$C$17</f>
        <v>833238</v>
      </c>
      <c r="H1736" s="5">
        <f>Monthly_Growth!$D$17</f>
        <v>-0.10000486052979775</v>
      </c>
      <c r="I1736" s="15">
        <f>Yearly_Growth!$C$3</f>
        <v>0.11893113731787852</v>
      </c>
      <c r="J1736" s="15">
        <f>Yearly_Growth!$D$3</f>
        <v>0.09</v>
      </c>
      <c r="K1736">
        <f>Sales_Per_Representative!$C$18</f>
        <v>783907</v>
      </c>
      <c r="L1736">
        <f>Sales_Per_Rep_Yearly_Goal!$B$3</f>
        <v>689907.8</v>
      </c>
      <c r="M1736">
        <f>Sales_Per_Rep_Yearly_Goal!$C$3</f>
        <v>690000</v>
      </c>
    </row>
    <row r="1737" spans="1:13" x14ac:dyDescent="0.3">
      <c r="A1737" s="3">
        <v>45392</v>
      </c>
      <c r="B1737">
        <f t="shared" si="27"/>
        <v>2024</v>
      </c>
      <c r="C1737">
        <v>4</v>
      </c>
      <c r="D1737" t="s">
        <v>7</v>
      </c>
      <c r="E1737" t="s">
        <v>29</v>
      </c>
      <c r="F1737" s="2">
        <v>5202</v>
      </c>
      <c r="G1737" s="2">
        <f>Monthly_Growth!$C$17</f>
        <v>833238</v>
      </c>
      <c r="H1737" s="5">
        <f>Monthly_Growth!$D$17</f>
        <v>-0.10000486052979775</v>
      </c>
      <c r="I1737" s="15">
        <f>Yearly_Growth!$C$3</f>
        <v>0.11893113731787852</v>
      </c>
      <c r="J1737" s="15">
        <f>Yearly_Growth!$D$3</f>
        <v>0.09</v>
      </c>
      <c r="K1737">
        <f>Sales_Per_Representative!$C$28</f>
        <v>691917</v>
      </c>
      <c r="L1737">
        <f>Sales_Per_Rep_Yearly_Goal!$B$3</f>
        <v>689907.8</v>
      </c>
      <c r="M1737">
        <f>Sales_Per_Rep_Yearly_Goal!$C$3</f>
        <v>690000</v>
      </c>
    </row>
    <row r="1738" spans="1:13" x14ac:dyDescent="0.3">
      <c r="A1738" s="3">
        <v>45394</v>
      </c>
      <c r="B1738">
        <f t="shared" si="27"/>
        <v>2024</v>
      </c>
      <c r="C1738">
        <v>4</v>
      </c>
      <c r="D1738" t="s">
        <v>7</v>
      </c>
      <c r="E1738" t="s">
        <v>22</v>
      </c>
      <c r="F1738" s="2">
        <v>13569</v>
      </c>
      <c r="G1738" s="2">
        <f>Monthly_Growth!$C$17</f>
        <v>833238</v>
      </c>
      <c r="H1738" s="5">
        <f>Monthly_Growth!$D$17</f>
        <v>-0.10000486052979775</v>
      </c>
      <c r="I1738" s="15">
        <f>Yearly_Growth!$C$3</f>
        <v>0.11893113731787852</v>
      </c>
      <c r="J1738" s="15">
        <f>Yearly_Growth!$D$3</f>
        <v>0.09</v>
      </c>
      <c r="K1738">
        <f>Sales_Per_Representative!$C$23</f>
        <v>697444</v>
      </c>
      <c r="L1738">
        <f>Sales_Per_Rep_Yearly_Goal!$B$3</f>
        <v>689907.8</v>
      </c>
      <c r="M1738">
        <f>Sales_Per_Rep_Yearly_Goal!$C$3</f>
        <v>690000</v>
      </c>
    </row>
    <row r="1739" spans="1:13" x14ac:dyDescent="0.3">
      <c r="A1739" s="3">
        <v>45395</v>
      </c>
      <c r="B1739">
        <f t="shared" si="27"/>
        <v>2024</v>
      </c>
      <c r="C1739">
        <v>4</v>
      </c>
      <c r="D1739" t="s">
        <v>14</v>
      </c>
      <c r="E1739" t="s">
        <v>32</v>
      </c>
      <c r="F1739" s="2">
        <v>6724</v>
      </c>
      <c r="G1739" s="2">
        <f>Monthly_Growth!$C$17</f>
        <v>833238</v>
      </c>
      <c r="H1739" s="5">
        <f>Monthly_Growth!$D$17</f>
        <v>-0.10000486052979775</v>
      </c>
      <c r="I1739" s="15">
        <f>Yearly_Growth!$C$3</f>
        <v>0.11893113731787852</v>
      </c>
      <c r="J1739" s="15">
        <f>Yearly_Growth!$D$3</f>
        <v>0.09</v>
      </c>
      <c r="K1739">
        <f>Sales_Per_Representative!$C$18</f>
        <v>783907</v>
      </c>
      <c r="L1739">
        <f>Sales_Per_Rep_Yearly_Goal!$B$3</f>
        <v>689907.8</v>
      </c>
      <c r="M1739">
        <f>Sales_Per_Rep_Yearly_Goal!$C$3</f>
        <v>690000</v>
      </c>
    </row>
    <row r="1740" spans="1:13" x14ac:dyDescent="0.3">
      <c r="A1740" s="3">
        <v>45395</v>
      </c>
      <c r="B1740">
        <f t="shared" si="27"/>
        <v>2024</v>
      </c>
      <c r="C1740">
        <v>4</v>
      </c>
      <c r="D1740" t="s">
        <v>14</v>
      </c>
      <c r="E1740" t="s">
        <v>30</v>
      </c>
      <c r="F1740" s="2">
        <v>5776</v>
      </c>
      <c r="G1740" s="2">
        <f>Monthly_Growth!$C$17</f>
        <v>833238</v>
      </c>
      <c r="H1740" s="5">
        <f>Monthly_Growth!$D$17</f>
        <v>-0.10000486052979775</v>
      </c>
      <c r="I1740" s="15">
        <f>Yearly_Growth!$C$3</f>
        <v>0.11893113731787852</v>
      </c>
      <c r="J1740" s="15">
        <f>Yearly_Growth!$D$3</f>
        <v>0.09</v>
      </c>
      <c r="K1740">
        <f>Sales_Per_Representative!$C$22</f>
        <v>700142</v>
      </c>
      <c r="L1740">
        <f>Sales_Per_Rep_Yearly_Goal!$B$3</f>
        <v>689907.8</v>
      </c>
      <c r="M1740">
        <f>Sales_Per_Rep_Yearly_Goal!$C$3</f>
        <v>690000</v>
      </c>
    </row>
    <row r="1741" spans="1:13" x14ac:dyDescent="0.3">
      <c r="A1741" s="3">
        <v>45395</v>
      </c>
      <c r="B1741">
        <f t="shared" si="27"/>
        <v>2024</v>
      </c>
      <c r="C1741">
        <v>4</v>
      </c>
      <c r="D1741" t="s">
        <v>17</v>
      </c>
      <c r="E1741" t="s">
        <v>15</v>
      </c>
      <c r="F1741" s="2">
        <v>7603</v>
      </c>
      <c r="G1741" s="2">
        <f>Monthly_Growth!$C$17</f>
        <v>833238</v>
      </c>
      <c r="H1741" s="5">
        <f>Monthly_Growth!$D$17</f>
        <v>-0.10000486052979775</v>
      </c>
      <c r="I1741" s="15">
        <f>Yearly_Growth!$C$3</f>
        <v>0.11893113731787852</v>
      </c>
      <c r="J1741" s="15">
        <f>Yearly_Growth!$D$3</f>
        <v>0.09</v>
      </c>
      <c r="K1741">
        <f>Sales_Per_Representative!$C$27</f>
        <v>617202</v>
      </c>
      <c r="L1741">
        <f>Sales_Per_Rep_Yearly_Goal!$B$3</f>
        <v>689907.8</v>
      </c>
      <c r="M1741">
        <f>Sales_Per_Rep_Yearly_Goal!$C$3</f>
        <v>690000</v>
      </c>
    </row>
    <row r="1742" spans="1:13" x14ac:dyDescent="0.3">
      <c r="A1742" s="3">
        <v>45395</v>
      </c>
      <c r="B1742">
        <f t="shared" si="27"/>
        <v>2024</v>
      </c>
      <c r="C1742">
        <v>4</v>
      </c>
      <c r="D1742" t="s">
        <v>17</v>
      </c>
      <c r="E1742" t="s">
        <v>5</v>
      </c>
      <c r="F1742" s="2">
        <v>10090</v>
      </c>
      <c r="G1742" s="2">
        <f>Monthly_Growth!$C$17</f>
        <v>833238</v>
      </c>
      <c r="H1742" s="5">
        <f>Monthly_Growth!$D$17</f>
        <v>-0.10000486052979775</v>
      </c>
      <c r="I1742" s="15">
        <f>Yearly_Growth!$C$3</f>
        <v>0.11893113731787852</v>
      </c>
      <c r="J1742" s="15">
        <f>Yearly_Growth!$D$3</f>
        <v>0.09</v>
      </c>
      <c r="K1742">
        <f>Sales_Per_Representative!$C$25</f>
        <v>749460</v>
      </c>
      <c r="L1742">
        <f>Sales_Per_Rep_Yearly_Goal!$B$3</f>
        <v>689907.8</v>
      </c>
      <c r="M1742">
        <f>Sales_Per_Rep_Yearly_Goal!$C$3</f>
        <v>690000</v>
      </c>
    </row>
    <row r="1743" spans="1:13" x14ac:dyDescent="0.3">
      <c r="A1743" s="3">
        <v>45395</v>
      </c>
      <c r="B1743">
        <f t="shared" si="27"/>
        <v>2024</v>
      </c>
      <c r="C1743">
        <v>4</v>
      </c>
      <c r="D1743" t="s">
        <v>12</v>
      </c>
      <c r="E1743" t="s">
        <v>26</v>
      </c>
      <c r="F1743" s="2">
        <v>10331</v>
      </c>
      <c r="G1743" s="2">
        <f>Monthly_Growth!$C$17</f>
        <v>833238</v>
      </c>
      <c r="H1743" s="5">
        <f>Monthly_Growth!$D$17</f>
        <v>-0.10000486052979775</v>
      </c>
      <c r="I1743" s="15">
        <f>Yearly_Growth!$C$3</f>
        <v>0.11893113731787852</v>
      </c>
      <c r="J1743" s="15">
        <f>Yearly_Growth!$D$3</f>
        <v>0.09</v>
      </c>
      <c r="K1743">
        <f>Sales_Per_Representative!$C$31</f>
        <v>664244</v>
      </c>
      <c r="L1743">
        <f>Sales_Per_Rep_Yearly_Goal!$B$3</f>
        <v>689907.8</v>
      </c>
      <c r="M1743">
        <f>Sales_Per_Rep_Yearly_Goal!$C$3</f>
        <v>690000</v>
      </c>
    </row>
    <row r="1744" spans="1:13" x14ac:dyDescent="0.3">
      <c r="A1744" s="3">
        <v>45395</v>
      </c>
      <c r="B1744">
        <f t="shared" si="27"/>
        <v>2024</v>
      </c>
      <c r="C1744">
        <v>4</v>
      </c>
      <c r="D1744" t="s">
        <v>12</v>
      </c>
      <c r="E1744" t="s">
        <v>15</v>
      </c>
      <c r="F1744" s="2">
        <v>4162</v>
      </c>
      <c r="G1744" s="2">
        <f>Monthly_Growth!$C$17</f>
        <v>833238</v>
      </c>
      <c r="H1744" s="5">
        <f>Monthly_Growth!$D$17</f>
        <v>-0.10000486052979775</v>
      </c>
      <c r="I1744" s="15">
        <f>Yearly_Growth!$C$3</f>
        <v>0.11893113731787852</v>
      </c>
      <c r="J1744" s="15">
        <f>Yearly_Growth!$D$3</f>
        <v>0.09</v>
      </c>
      <c r="K1744">
        <f>Sales_Per_Representative!$C$27</f>
        <v>617202</v>
      </c>
      <c r="L1744">
        <f>Sales_Per_Rep_Yearly_Goal!$B$3</f>
        <v>689907.8</v>
      </c>
      <c r="M1744">
        <f>Sales_Per_Rep_Yearly_Goal!$C$3</f>
        <v>690000</v>
      </c>
    </row>
    <row r="1745" spans="1:13" x14ac:dyDescent="0.3">
      <c r="A1745" s="3">
        <v>45395</v>
      </c>
      <c r="B1745">
        <f t="shared" si="27"/>
        <v>2024</v>
      </c>
      <c r="C1745">
        <v>4</v>
      </c>
      <c r="D1745" t="s">
        <v>12</v>
      </c>
      <c r="E1745" t="s">
        <v>10</v>
      </c>
      <c r="F1745" s="2">
        <v>9291</v>
      </c>
      <c r="G1745" s="2">
        <f>Monthly_Growth!$C$17</f>
        <v>833238</v>
      </c>
      <c r="H1745" s="5">
        <f>Monthly_Growth!$D$17</f>
        <v>-0.10000486052979775</v>
      </c>
      <c r="I1745" s="15">
        <f>Yearly_Growth!$C$3</f>
        <v>0.11893113731787852</v>
      </c>
      <c r="J1745" s="15">
        <f>Yearly_Growth!$D$3</f>
        <v>0.09</v>
      </c>
      <c r="K1745">
        <f>Sales_Per_Representative!$C$19</f>
        <v>711816</v>
      </c>
      <c r="L1745">
        <f>Sales_Per_Rep_Yearly_Goal!$B$3</f>
        <v>689907.8</v>
      </c>
      <c r="M1745">
        <f>Sales_Per_Rep_Yearly_Goal!$C$3</f>
        <v>690000</v>
      </c>
    </row>
    <row r="1746" spans="1:13" x14ac:dyDescent="0.3">
      <c r="A1746" s="3">
        <v>45396</v>
      </c>
      <c r="B1746">
        <f t="shared" si="27"/>
        <v>2024</v>
      </c>
      <c r="C1746">
        <v>4</v>
      </c>
      <c r="D1746" t="s">
        <v>7</v>
      </c>
      <c r="E1746" t="s">
        <v>30</v>
      </c>
      <c r="F1746" s="2">
        <v>3854</v>
      </c>
      <c r="G1746" s="2">
        <f>Monthly_Growth!$C$17</f>
        <v>833238</v>
      </c>
      <c r="H1746" s="5">
        <f>Monthly_Growth!$D$17</f>
        <v>-0.10000486052979775</v>
      </c>
      <c r="I1746" s="15">
        <f>Yearly_Growth!$C$3</f>
        <v>0.11893113731787852</v>
      </c>
      <c r="J1746" s="15">
        <f>Yearly_Growth!$D$3</f>
        <v>0.09</v>
      </c>
      <c r="K1746">
        <f>Sales_Per_Representative!$C$22</f>
        <v>700142</v>
      </c>
      <c r="L1746">
        <f>Sales_Per_Rep_Yearly_Goal!$B$3</f>
        <v>689907.8</v>
      </c>
      <c r="M1746">
        <f>Sales_Per_Rep_Yearly_Goal!$C$3</f>
        <v>690000</v>
      </c>
    </row>
    <row r="1747" spans="1:13" x14ac:dyDescent="0.3">
      <c r="A1747" s="3">
        <v>45397</v>
      </c>
      <c r="B1747">
        <f t="shared" si="27"/>
        <v>2024</v>
      </c>
      <c r="C1747">
        <v>4</v>
      </c>
      <c r="D1747" t="s">
        <v>14</v>
      </c>
      <c r="E1747" t="s">
        <v>30</v>
      </c>
      <c r="F1747" s="2">
        <v>13015</v>
      </c>
      <c r="G1747" s="2">
        <f>Monthly_Growth!$C$17</f>
        <v>833238</v>
      </c>
      <c r="H1747" s="5">
        <f>Monthly_Growth!$D$17</f>
        <v>-0.10000486052979775</v>
      </c>
      <c r="I1747" s="15">
        <f>Yearly_Growth!$C$3</f>
        <v>0.11893113731787852</v>
      </c>
      <c r="J1747" s="15">
        <f>Yearly_Growth!$D$3</f>
        <v>0.09</v>
      </c>
      <c r="K1747">
        <f>Sales_Per_Representative!$C$22</f>
        <v>700142</v>
      </c>
      <c r="L1747">
        <f>Sales_Per_Rep_Yearly_Goal!$B$3</f>
        <v>689907.8</v>
      </c>
      <c r="M1747">
        <f>Sales_Per_Rep_Yearly_Goal!$C$3</f>
        <v>690000</v>
      </c>
    </row>
    <row r="1748" spans="1:13" x14ac:dyDescent="0.3">
      <c r="A1748" s="3">
        <v>45397</v>
      </c>
      <c r="B1748">
        <f t="shared" si="27"/>
        <v>2024</v>
      </c>
      <c r="C1748">
        <v>4</v>
      </c>
      <c r="D1748" t="s">
        <v>23</v>
      </c>
      <c r="E1748" t="s">
        <v>8</v>
      </c>
      <c r="F1748" s="2">
        <v>9488</v>
      </c>
      <c r="G1748" s="2">
        <f>Monthly_Growth!$C$17</f>
        <v>833238</v>
      </c>
      <c r="H1748" s="5">
        <f>Monthly_Growth!$D$17</f>
        <v>-0.10000486052979775</v>
      </c>
      <c r="I1748" s="15">
        <f>Yearly_Growth!$C$3</f>
        <v>0.11893113731787852</v>
      </c>
      <c r="J1748" s="15">
        <f>Yearly_Growth!$D$3</f>
        <v>0.09</v>
      </c>
      <c r="K1748">
        <f>Sales_Per_Representative!$C$30</f>
        <v>780006</v>
      </c>
      <c r="L1748">
        <f>Sales_Per_Rep_Yearly_Goal!$B$3</f>
        <v>689907.8</v>
      </c>
      <c r="M1748">
        <f>Sales_Per_Rep_Yearly_Goal!$C$3</f>
        <v>690000</v>
      </c>
    </row>
    <row r="1749" spans="1:13" x14ac:dyDescent="0.3">
      <c r="A1749" s="3">
        <v>45397</v>
      </c>
      <c r="B1749">
        <f t="shared" si="27"/>
        <v>2024</v>
      </c>
      <c r="C1749">
        <v>4</v>
      </c>
      <c r="D1749" t="s">
        <v>25</v>
      </c>
      <c r="E1749" t="s">
        <v>15</v>
      </c>
      <c r="F1749" s="2">
        <v>11106</v>
      </c>
      <c r="G1749" s="2">
        <f>Monthly_Growth!$C$17</f>
        <v>833238</v>
      </c>
      <c r="H1749" s="5">
        <f>Monthly_Growth!$D$17</f>
        <v>-0.10000486052979775</v>
      </c>
      <c r="I1749" s="15">
        <f>Yearly_Growth!$C$3</f>
        <v>0.11893113731787852</v>
      </c>
      <c r="J1749" s="15">
        <f>Yearly_Growth!$D$3</f>
        <v>0.09</v>
      </c>
      <c r="K1749">
        <f>Sales_Per_Representative!$C$27</f>
        <v>617202</v>
      </c>
      <c r="L1749">
        <f>Sales_Per_Rep_Yearly_Goal!$B$3</f>
        <v>689907.8</v>
      </c>
      <c r="M1749">
        <f>Sales_Per_Rep_Yearly_Goal!$C$3</f>
        <v>690000</v>
      </c>
    </row>
    <row r="1750" spans="1:13" x14ac:dyDescent="0.3">
      <c r="A1750" s="3">
        <v>45397</v>
      </c>
      <c r="B1750">
        <f t="shared" si="27"/>
        <v>2024</v>
      </c>
      <c r="C1750">
        <v>4</v>
      </c>
      <c r="D1750" t="s">
        <v>25</v>
      </c>
      <c r="E1750" t="s">
        <v>15</v>
      </c>
      <c r="F1750" s="2">
        <v>8399</v>
      </c>
      <c r="G1750" s="2">
        <f>Monthly_Growth!$C$17</f>
        <v>833238</v>
      </c>
      <c r="H1750" s="5">
        <f>Monthly_Growth!$D$17</f>
        <v>-0.10000486052979775</v>
      </c>
      <c r="I1750" s="15">
        <f>Yearly_Growth!$C$3</f>
        <v>0.11893113731787852</v>
      </c>
      <c r="J1750" s="15">
        <f>Yearly_Growth!$D$3</f>
        <v>0.09</v>
      </c>
      <c r="K1750">
        <f>Sales_Per_Representative!$C$27</f>
        <v>617202</v>
      </c>
      <c r="L1750">
        <f>Sales_Per_Rep_Yearly_Goal!$B$3</f>
        <v>689907.8</v>
      </c>
      <c r="M1750">
        <f>Sales_Per_Rep_Yearly_Goal!$C$3</f>
        <v>690000</v>
      </c>
    </row>
    <row r="1751" spans="1:13" x14ac:dyDescent="0.3">
      <c r="A1751" s="3">
        <v>45397</v>
      </c>
      <c r="B1751">
        <f t="shared" si="27"/>
        <v>2024</v>
      </c>
      <c r="C1751">
        <v>4</v>
      </c>
      <c r="D1751" t="s">
        <v>7</v>
      </c>
      <c r="E1751" t="s">
        <v>29</v>
      </c>
      <c r="F1751" s="2">
        <v>13679</v>
      </c>
      <c r="G1751" s="2">
        <f>Monthly_Growth!$C$17</f>
        <v>833238</v>
      </c>
      <c r="H1751" s="5">
        <f>Monthly_Growth!$D$17</f>
        <v>-0.10000486052979775</v>
      </c>
      <c r="I1751" s="15">
        <f>Yearly_Growth!$C$3</f>
        <v>0.11893113731787852</v>
      </c>
      <c r="J1751" s="15">
        <f>Yearly_Growth!$D$3</f>
        <v>0.09</v>
      </c>
      <c r="K1751">
        <f>Sales_Per_Representative!$C$28</f>
        <v>691917</v>
      </c>
      <c r="L1751">
        <f>Sales_Per_Rep_Yearly_Goal!$B$3</f>
        <v>689907.8</v>
      </c>
      <c r="M1751">
        <f>Sales_Per_Rep_Yearly_Goal!$C$3</f>
        <v>690000</v>
      </c>
    </row>
    <row r="1752" spans="1:13" x14ac:dyDescent="0.3">
      <c r="A1752" s="3">
        <v>45397</v>
      </c>
      <c r="B1752">
        <f t="shared" si="27"/>
        <v>2024</v>
      </c>
      <c r="C1752">
        <v>4</v>
      </c>
      <c r="D1752" t="s">
        <v>17</v>
      </c>
      <c r="E1752" t="s">
        <v>32</v>
      </c>
      <c r="F1752" s="2">
        <v>8287</v>
      </c>
      <c r="G1752" s="2">
        <f>Monthly_Growth!$C$17</f>
        <v>833238</v>
      </c>
      <c r="H1752" s="5">
        <f>Monthly_Growth!$D$17</f>
        <v>-0.10000486052979775</v>
      </c>
      <c r="I1752" s="15">
        <f>Yearly_Growth!$C$3</f>
        <v>0.11893113731787852</v>
      </c>
      <c r="J1752" s="15">
        <f>Yearly_Growth!$D$3</f>
        <v>0.09</v>
      </c>
      <c r="K1752">
        <f>Sales_Per_Representative!$C$18</f>
        <v>783907</v>
      </c>
      <c r="L1752">
        <f>Sales_Per_Rep_Yearly_Goal!$B$3</f>
        <v>689907.8</v>
      </c>
      <c r="M1752">
        <f>Sales_Per_Rep_Yearly_Goal!$C$3</f>
        <v>690000</v>
      </c>
    </row>
    <row r="1753" spans="1:13" x14ac:dyDescent="0.3">
      <c r="A1753" s="3">
        <v>45398</v>
      </c>
      <c r="B1753">
        <f t="shared" si="27"/>
        <v>2024</v>
      </c>
      <c r="C1753">
        <v>4</v>
      </c>
      <c r="D1753" t="s">
        <v>14</v>
      </c>
      <c r="E1753" t="s">
        <v>20</v>
      </c>
      <c r="F1753" s="2">
        <v>13288</v>
      </c>
      <c r="G1753" s="2">
        <f>Monthly_Growth!$C$17</f>
        <v>833238</v>
      </c>
      <c r="H1753" s="5">
        <f>Monthly_Growth!$D$17</f>
        <v>-0.10000486052979775</v>
      </c>
      <c r="I1753" s="15">
        <f>Yearly_Growth!$C$3</f>
        <v>0.11893113731787852</v>
      </c>
      <c r="J1753" s="15">
        <f>Yearly_Growth!$D$3</f>
        <v>0.09</v>
      </c>
      <c r="K1753">
        <f>Sales_Per_Representative!$C$29</f>
        <v>753085</v>
      </c>
      <c r="L1753">
        <f>Sales_Per_Rep_Yearly_Goal!$B$3</f>
        <v>689907.8</v>
      </c>
      <c r="M1753">
        <f>Sales_Per_Rep_Yearly_Goal!$C$3</f>
        <v>690000</v>
      </c>
    </row>
    <row r="1754" spans="1:13" x14ac:dyDescent="0.3">
      <c r="A1754" s="3">
        <v>45398</v>
      </c>
      <c r="B1754">
        <f t="shared" si="27"/>
        <v>2024</v>
      </c>
      <c r="C1754">
        <v>4</v>
      </c>
      <c r="D1754" t="s">
        <v>14</v>
      </c>
      <c r="E1754" t="s">
        <v>20</v>
      </c>
      <c r="F1754" s="2">
        <v>4748</v>
      </c>
      <c r="G1754" s="2">
        <f>Monthly_Growth!$C$17</f>
        <v>833238</v>
      </c>
      <c r="H1754" s="5">
        <f>Monthly_Growth!$D$17</f>
        <v>-0.10000486052979775</v>
      </c>
      <c r="I1754" s="15">
        <f>Yearly_Growth!$C$3</f>
        <v>0.11893113731787852</v>
      </c>
      <c r="J1754" s="15">
        <f>Yearly_Growth!$D$3</f>
        <v>0.09</v>
      </c>
      <c r="K1754">
        <f>Sales_Per_Representative!$C$29</f>
        <v>753085</v>
      </c>
      <c r="L1754">
        <f>Sales_Per_Rep_Yearly_Goal!$B$3</f>
        <v>689907.8</v>
      </c>
      <c r="M1754">
        <f>Sales_Per_Rep_Yearly_Goal!$C$3</f>
        <v>690000</v>
      </c>
    </row>
    <row r="1755" spans="1:13" x14ac:dyDescent="0.3">
      <c r="A1755" s="3">
        <v>45398</v>
      </c>
      <c r="B1755">
        <f t="shared" si="27"/>
        <v>2024</v>
      </c>
      <c r="C1755">
        <v>4</v>
      </c>
      <c r="D1755" t="s">
        <v>19</v>
      </c>
      <c r="E1755" t="s">
        <v>24</v>
      </c>
      <c r="F1755" s="2">
        <v>10676</v>
      </c>
      <c r="G1755" s="2">
        <f>Monthly_Growth!$C$17</f>
        <v>833238</v>
      </c>
      <c r="H1755" s="5">
        <f>Monthly_Growth!$D$17</f>
        <v>-0.10000486052979775</v>
      </c>
      <c r="I1755" s="15">
        <f>Yearly_Growth!$C$3</f>
        <v>0.11893113731787852</v>
      </c>
      <c r="J1755" s="15">
        <f>Yearly_Growth!$D$3</f>
        <v>0.09</v>
      </c>
      <c r="K1755">
        <f>Sales_Per_Representative!$C$17</f>
        <v>633956</v>
      </c>
      <c r="L1755">
        <f>Sales_Per_Rep_Yearly_Goal!$B$3</f>
        <v>689907.8</v>
      </c>
      <c r="M1755">
        <f>Sales_Per_Rep_Yearly_Goal!$C$3</f>
        <v>690000</v>
      </c>
    </row>
    <row r="1756" spans="1:13" x14ac:dyDescent="0.3">
      <c r="A1756" s="3">
        <v>45398</v>
      </c>
      <c r="B1756">
        <f t="shared" si="27"/>
        <v>2024</v>
      </c>
      <c r="C1756">
        <v>4</v>
      </c>
      <c r="D1756" t="s">
        <v>19</v>
      </c>
      <c r="E1756" t="s">
        <v>5</v>
      </c>
      <c r="F1756" s="2">
        <v>3704</v>
      </c>
      <c r="G1756" s="2">
        <f>Monthly_Growth!$C$17</f>
        <v>833238</v>
      </c>
      <c r="H1756" s="5">
        <f>Monthly_Growth!$D$17</f>
        <v>-0.10000486052979775</v>
      </c>
      <c r="I1756" s="15">
        <f>Yearly_Growth!$C$3</f>
        <v>0.11893113731787852</v>
      </c>
      <c r="J1756" s="15">
        <f>Yearly_Growth!$D$3</f>
        <v>0.09</v>
      </c>
      <c r="K1756">
        <f>Sales_Per_Representative!$C$25</f>
        <v>749460</v>
      </c>
      <c r="L1756">
        <f>Sales_Per_Rep_Yearly_Goal!$B$3</f>
        <v>689907.8</v>
      </c>
      <c r="M1756">
        <f>Sales_Per_Rep_Yearly_Goal!$C$3</f>
        <v>690000</v>
      </c>
    </row>
    <row r="1757" spans="1:13" x14ac:dyDescent="0.3">
      <c r="A1757" s="3">
        <v>45398</v>
      </c>
      <c r="B1757">
        <f t="shared" si="27"/>
        <v>2024</v>
      </c>
      <c r="C1757">
        <v>4</v>
      </c>
      <c r="D1757" t="s">
        <v>7</v>
      </c>
      <c r="E1757" t="s">
        <v>20</v>
      </c>
      <c r="F1757" s="2">
        <v>12071</v>
      </c>
      <c r="G1757" s="2">
        <f>Monthly_Growth!$C$17</f>
        <v>833238</v>
      </c>
      <c r="H1757" s="5">
        <f>Monthly_Growth!$D$17</f>
        <v>-0.10000486052979775</v>
      </c>
      <c r="I1757" s="15">
        <f>Yearly_Growth!$C$3</f>
        <v>0.11893113731787852</v>
      </c>
      <c r="J1757" s="15">
        <f>Yearly_Growth!$D$3</f>
        <v>0.09</v>
      </c>
      <c r="K1757">
        <f>Sales_Per_Representative!$C$29</f>
        <v>753085</v>
      </c>
      <c r="L1757">
        <f>Sales_Per_Rep_Yearly_Goal!$B$3</f>
        <v>689907.8</v>
      </c>
      <c r="M1757">
        <f>Sales_Per_Rep_Yearly_Goal!$C$3</f>
        <v>690000</v>
      </c>
    </row>
    <row r="1758" spans="1:13" x14ac:dyDescent="0.3">
      <c r="A1758" s="3">
        <v>45398</v>
      </c>
      <c r="B1758">
        <f t="shared" si="27"/>
        <v>2024</v>
      </c>
      <c r="C1758">
        <v>4</v>
      </c>
      <c r="D1758" t="s">
        <v>7</v>
      </c>
      <c r="E1758" t="s">
        <v>10</v>
      </c>
      <c r="F1758" s="2">
        <v>1559</v>
      </c>
      <c r="G1758" s="2">
        <f>Monthly_Growth!$C$17</f>
        <v>833238</v>
      </c>
      <c r="H1758" s="5">
        <f>Monthly_Growth!$D$17</f>
        <v>-0.10000486052979775</v>
      </c>
      <c r="I1758" s="15">
        <f>Yearly_Growth!$C$3</f>
        <v>0.11893113731787852</v>
      </c>
      <c r="J1758" s="15">
        <f>Yearly_Growth!$D$3</f>
        <v>0.09</v>
      </c>
      <c r="K1758">
        <f>Sales_Per_Representative!$C$19</f>
        <v>711816</v>
      </c>
      <c r="L1758">
        <f>Sales_Per_Rep_Yearly_Goal!$B$3</f>
        <v>689907.8</v>
      </c>
      <c r="M1758">
        <f>Sales_Per_Rep_Yearly_Goal!$C$3</f>
        <v>690000</v>
      </c>
    </row>
    <row r="1759" spans="1:13" x14ac:dyDescent="0.3">
      <c r="A1759" s="3">
        <v>45398</v>
      </c>
      <c r="B1759">
        <f t="shared" si="27"/>
        <v>2024</v>
      </c>
      <c r="C1759">
        <v>4</v>
      </c>
      <c r="D1759" t="s">
        <v>28</v>
      </c>
      <c r="E1759" t="s">
        <v>32</v>
      </c>
      <c r="F1759" s="2">
        <v>10990</v>
      </c>
      <c r="G1759" s="2">
        <f>Monthly_Growth!$C$17</f>
        <v>833238</v>
      </c>
      <c r="H1759" s="5">
        <f>Monthly_Growth!$D$17</f>
        <v>-0.10000486052979775</v>
      </c>
      <c r="I1759" s="15">
        <f>Yearly_Growth!$C$3</f>
        <v>0.11893113731787852</v>
      </c>
      <c r="J1759" s="15">
        <f>Yearly_Growth!$D$3</f>
        <v>0.09</v>
      </c>
      <c r="K1759">
        <f>Sales_Per_Representative!$C$18</f>
        <v>783907</v>
      </c>
      <c r="L1759">
        <f>Sales_Per_Rep_Yearly_Goal!$B$3</f>
        <v>689907.8</v>
      </c>
      <c r="M1759">
        <f>Sales_Per_Rep_Yearly_Goal!$C$3</f>
        <v>690000</v>
      </c>
    </row>
    <row r="1760" spans="1:13" x14ac:dyDescent="0.3">
      <c r="A1760" s="3">
        <v>45398</v>
      </c>
      <c r="B1760">
        <f t="shared" si="27"/>
        <v>2024</v>
      </c>
      <c r="C1760">
        <v>4</v>
      </c>
      <c r="D1760" t="s">
        <v>12</v>
      </c>
      <c r="E1760" t="s">
        <v>30</v>
      </c>
      <c r="F1760" s="2">
        <v>6473</v>
      </c>
      <c r="G1760" s="2">
        <f>Monthly_Growth!$C$17</f>
        <v>833238</v>
      </c>
      <c r="H1760" s="5">
        <f>Monthly_Growth!$D$17</f>
        <v>-0.10000486052979775</v>
      </c>
      <c r="I1760" s="15">
        <f>Yearly_Growth!$C$3</f>
        <v>0.11893113731787852</v>
      </c>
      <c r="J1760" s="15">
        <f>Yearly_Growth!$D$3</f>
        <v>0.09</v>
      </c>
      <c r="K1760">
        <f>Sales_Per_Representative!$C$22</f>
        <v>700142</v>
      </c>
      <c r="L1760">
        <f>Sales_Per_Rep_Yearly_Goal!$B$3</f>
        <v>689907.8</v>
      </c>
      <c r="M1760">
        <f>Sales_Per_Rep_Yearly_Goal!$C$3</f>
        <v>690000</v>
      </c>
    </row>
    <row r="1761" spans="1:13" x14ac:dyDescent="0.3">
      <c r="A1761" s="3">
        <v>45399</v>
      </c>
      <c r="B1761">
        <f t="shared" si="27"/>
        <v>2024</v>
      </c>
      <c r="C1761">
        <v>4</v>
      </c>
      <c r="D1761" t="s">
        <v>19</v>
      </c>
      <c r="E1761" t="s">
        <v>22</v>
      </c>
      <c r="F1761" s="2">
        <v>12268</v>
      </c>
      <c r="G1761" s="2">
        <f>Monthly_Growth!$C$17</f>
        <v>833238</v>
      </c>
      <c r="H1761" s="5">
        <f>Monthly_Growth!$D$17</f>
        <v>-0.10000486052979775</v>
      </c>
      <c r="I1761" s="15">
        <f>Yearly_Growth!$C$3</f>
        <v>0.11893113731787852</v>
      </c>
      <c r="J1761" s="15">
        <f>Yearly_Growth!$D$3</f>
        <v>0.09</v>
      </c>
      <c r="K1761">
        <f>Sales_Per_Representative!$C$23</f>
        <v>697444</v>
      </c>
      <c r="L1761">
        <f>Sales_Per_Rep_Yearly_Goal!$B$3</f>
        <v>689907.8</v>
      </c>
      <c r="M1761">
        <f>Sales_Per_Rep_Yearly_Goal!$C$3</f>
        <v>690000</v>
      </c>
    </row>
    <row r="1762" spans="1:13" x14ac:dyDescent="0.3">
      <c r="A1762" s="3">
        <v>45399</v>
      </c>
      <c r="B1762">
        <f t="shared" si="27"/>
        <v>2024</v>
      </c>
      <c r="C1762">
        <v>4</v>
      </c>
      <c r="D1762" t="s">
        <v>25</v>
      </c>
      <c r="E1762" t="s">
        <v>24</v>
      </c>
      <c r="F1762" s="2">
        <v>5476</v>
      </c>
      <c r="G1762" s="2">
        <f>Monthly_Growth!$C$17</f>
        <v>833238</v>
      </c>
      <c r="H1762" s="5">
        <f>Monthly_Growth!$D$17</f>
        <v>-0.10000486052979775</v>
      </c>
      <c r="I1762" s="15">
        <f>Yearly_Growth!$C$3</f>
        <v>0.11893113731787852</v>
      </c>
      <c r="J1762" s="15">
        <f>Yearly_Growth!$D$3</f>
        <v>0.09</v>
      </c>
      <c r="K1762">
        <f>Sales_Per_Representative!$C$17</f>
        <v>633956</v>
      </c>
      <c r="L1762">
        <f>Sales_Per_Rep_Yearly_Goal!$B$3</f>
        <v>689907.8</v>
      </c>
      <c r="M1762">
        <f>Sales_Per_Rep_Yearly_Goal!$C$3</f>
        <v>690000</v>
      </c>
    </row>
    <row r="1763" spans="1:13" x14ac:dyDescent="0.3">
      <c r="A1763" s="3">
        <v>45399</v>
      </c>
      <c r="B1763">
        <f t="shared" si="27"/>
        <v>2024</v>
      </c>
      <c r="C1763">
        <v>4</v>
      </c>
      <c r="D1763" t="s">
        <v>25</v>
      </c>
      <c r="E1763" t="s">
        <v>15</v>
      </c>
      <c r="F1763" s="2">
        <v>12298</v>
      </c>
      <c r="G1763" s="2">
        <f>Monthly_Growth!$C$17</f>
        <v>833238</v>
      </c>
      <c r="H1763" s="5">
        <f>Monthly_Growth!$D$17</f>
        <v>-0.10000486052979775</v>
      </c>
      <c r="I1763" s="15">
        <f>Yearly_Growth!$C$3</f>
        <v>0.11893113731787852</v>
      </c>
      <c r="J1763" s="15">
        <f>Yearly_Growth!$D$3</f>
        <v>0.09</v>
      </c>
      <c r="K1763">
        <f>Sales_Per_Representative!$C$27</f>
        <v>617202</v>
      </c>
      <c r="L1763">
        <f>Sales_Per_Rep_Yearly_Goal!$B$3</f>
        <v>689907.8</v>
      </c>
      <c r="M1763">
        <f>Sales_Per_Rep_Yearly_Goal!$C$3</f>
        <v>690000</v>
      </c>
    </row>
    <row r="1764" spans="1:13" x14ac:dyDescent="0.3">
      <c r="A1764" s="3">
        <v>45399</v>
      </c>
      <c r="B1764">
        <f t="shared" si="27"/>
        <v>2024</v>
      </c>
      <c r="C1764">
        <v>4</v>
      </c>
      <c r="D1764" t="s">
        <v>17</v>
      </c>
      <c r="E1764" t="s">
        <v>32</v>
      </c>
      <c r="F1764" s="2">
        <v>11155</v>
      </c>
      <c r="G1764" s="2">
        <f>Monthly_Growth!$C$17</f>
        <v>833238</v>
      </c>
      <c r="H1764" s="5">
        <f>Monthly_Growth!$D$17</f>
        <v>-0.10000486052979775</v>
      </c>
      <c r="I1764" s="15">
        <f>Yearly_Growth!$C$3</f>
        <v>0.11893113731787852</v>
      </c>
      <c r="J1764" s="15">
        <f>Yearly_Growth!$D$3</f>
        <v>0.09</v>
      </c>
      <c r="K1764">
        <f>Sales_Per_Representative!$C$18</f>
        <v>783907</v>
      </c>
      <c r="L1764">
        <f>Sales_Per_Rep_Yearly_Goal!$B$3</f>
        <v>689907.8</v>
      </c>
      <c r="M1764">
        <f>Sales_Per_Rep_Yearly_Goal!$C$3</f>
        <v>690000</v>
      </c>
    </row>
    <row r="1765" spans="1:13" x14ac:dyDescent="0.3">
      <c r="A1765" s="3">
        <v>45400</v>
      </c>
      <c r="B1765">
        <f t="shared" si="27"/>
        <v>2024</v>
      </c>
      <c r="C1765">
        <v>4</v>
      </c>
      <c r="D1765" t="s">
        <v>14</v>
      </c>
      <c r="E1765" t="s">
        <v>30</v>
      </c>
      <c r="F1765" s="2">
        <v>8112</v>
      </c>
      <c r="G1765" s="2">
        <f>Monthly_Growth!$C$17</f>
        <v>833238</v>
      </c>
      <c r="H1765" s="5">
        <f>Monthly_Growth!$D$17</f>
        <v>-0.10000486052979775</v>
      </c>
      <c r="I1765" s="15">
        <f>Yearly_Growth!$C$3</f>
        <v>0.11893113731787852</v>
      </c>
      <c r="J1765" s="15">
        <f>Yearly_Growth!$D$3</f>
        <v>0.09</v>
      </c>
      <c r="K1765">
        <f>Sales_Per_Representative!$C$22</f>
        <v>700142</v>
      </c>
      <c r="L1765">
        <f>Sales_Per_Rep_Yearly_Goal!$B$3</f>
        <v>689907.8</v>
      </c>
      <c r="M1765">
        <f>Sales_Per_Rep_Yearly_Goal!$C$3</f>
        <v>690000</v>
      </c>
    </row>
    <row r="1766" spans="1:13" x14ac:dyDescent="0.3">
      <c r="A1766" s="3">
        <v>45400</v>
      </c>
      <c r="B1766">
        <f t="shared" si="27"/>
        <v>2024</v>
      </c>
      <c r="C1766">
        <v>4</v>
      </c>
      <c r="D1766" t="s">
        <v>19</v>
      </c>
      <c r="E1766" t="s">
        <v>24</v>
      </c>
      <c r="F1766" s="2">
        <v>5521</v>
      </c>
      <c r="G1766" s="2">
        <f>Monthly_Growth!$C$17</f>
        <v>833238</v>
      </c>
      <c r="H1766" s="5">
        <f>Monthly_Growth!$D$17</f>
        <v>-0.10000486052979775</v>
      </c>
      <c r="I1766" s="15">
        <f>Yearly_Growth!$C$3</f>
        <v>0.11893113731787852</v>
      </c>
      <c r="J1766" s="15">
        <f>Yearly_Growth!$D$3</f>
        <v>0.09</v>
      </c>
      <c r="K1766">
        <f>Sales_Per_Representative!$C$17</f>
        <v>633956</v>
      </c>
      <c r="L1766">
        <f>Sales_Per_Rep_Yearly_Goal!$B$3</f>
        <v>689907.8</v>
      </c>
      <c r="M1766">
        <f>Sales_Per_Rep_Yearly_Goal!$C$3</f>
        <v>690000</v>
      </c>
    </row>
    <row r="1767" spans="1:13" x14ac:dyDescent="0.3">
      <c r="A1767" s="3">
        <v>45400</v>
      </c>
      <c r="B1767">
        <f t="shared" si="27"/>
        <v>2024</v>
      </c>
      <c r="C1767">
        <v>4</v>
      </c>
      <c r="D1767" t="s">
        <v>23</v>
      </c>
      <c r="E1767" t="s">
        <v>22</v>
      </c>
      <c r="F1767" s="2">
        <v>6329</v>
      </c>
      <c r="G1767" s="2">
        <f>Monthly_Growth!$C$17</f>
        <v>833238</v>
      </c>
      <c r="H1767" s="5">
        <f>Monthly_Growth!$D$17</f>
        <v>-0.10000486052979775</v>
      </c>
      <c r="I1767" s="15">
        <f>Yearly_Growth!$C$3</f>
        <v>0.11893113731787852</v>
      </c>
      <c r="J1767" s="15">
        <f>Yearly_Growth!$D$3</f>
        <v>0.09</v>
      </c>
      <c r="K1767">
        <f>Sales_Per_Representative!$C$23</f>
        <v>697444</v>
      </c>
      <c r="L1767">
        <f>Sales_Per_Rep_Yearly_Goal!$B$3</f>
        <v>689907.8</v>
      </c>
      <c r="M1767">
        <f>Sales_Per_Rep_Yearly_Goal!$C$3</f>
        <v>690000</v>
      </c>
    </row>
    <row r="1768" spans="1:13" x14ac:dyDescent="0.3">
      <c r="A1768" s="3">
        <v>45401</v>
      </c>
      <c r="B1768">
        <f t="shared" si="27"/>
        <v>2024</v>
      </c>
      <c r="C1768">
        <v>4</v>
      </c>
      <c r="D1768" t="s">
        <v>14</v>
      </c>
      <c r="E1768" t="s">
        <v>8</v>
      </c>
      <c r="F1768" s="2">
        <v>8099</v>
      </c>
      <c r="G1768" s="2">
        <f>Monthly_Growth!$C$17</f>
        <v>833238</v>
      </c>
      <c r="H1768" s="5">
        <f>Monthly_Growth!$D$17</f>
        <v>-0.10000486052979775</v>
      </c>
      <c r="I1768" s="15">
        <f>Yearly_Growth!$C$3</f>
        <v>0.11893113731787852</v>
      </c>
      <c r="J1768" s="15">
        <f>Yearly_Growth!$D$3</f>
        <v>0.09</v>
      </c>
      <c r="K1768">
        <f>Sales_Per_Representative!$C$30</f>
        <v>780006</v>
      </c>
      <c r="L1768">
        <f>Sales_Per_Rep_Yearly_Goal!$B$3</f>
        <v>689907.8</v>
      </c>
      <c r="M1768">
        <f>Sales_Per_Rep_Yearly_Goal!$C$3</f>
        <v>690000</v>
      </c>
    </row>
    <row r="1769" spans="1:13" x14ac:dyDescent="0.3">
      <c r="A1769" s="3">
        <v>45401</v>
      </c>
      <c r="B1769">
        <f t="shared" si="27"/>
        <v>2024</v>
      </c>
      <c r="C1769">
        <v>4</v>
      </c>
      <c r="D1769" t="s">
        <v>23</v>
      </c>
      <c r="E1769" t="s">
        <v>29</v>
      </c>
      <c r="F1769" s="2">
        <v>9458</v>
      </c>
      <c r="G1769" s="2">
        <f>Monthly_Growth!$C$17</f>
        <v>833238</v>
      </c>
      <c r="H1769" s="5">
        <f>Monthly_Growth!$D$17</f>
        <v>-0.10000486052979775</v>
      </c>
      <c r="I1769" s="15">
        <f>Yearly_Growth!$C$3</f>
        <v>0.11893113731787852</v>
      </c>
      <c r="J1769" s="15">
        <f>Yearly_Growth!$D$3</f>
        <v>0.09</v>
      </c>
      <c r="K1769">
        <f>Sales_Per_Representative!$C$28</f>
        <v>691917</v>
      </c>
      <c r="L1769">
        <f>Sales_Per_Rep_Yearly_Goal!$B$3</f>
        <v>689907.8</v>
      </c>
      <c r="M1769">
        <f>Sales_Per_Rep_Yearly_Goal!$C$3</f>
        <v>690000</v>
      </c>
    </row>
    <row r="1770" spans="1:13" x14ac:dyDescent="0.3">
      <c r="A1770" s="3">
        <v>45401</v>
      </c>
      <c r="B1770">
        <f t="shared" si="27"/>
        <v>2024</v>
      </c>
      <c r="C1770">
        <v>4</v>
      </c>
      <c r="D1770" t="s">
        <v>7</v>
      </c>
      <c r="E1770" t="s">
        <v>29</v>
      </c>
      <c r="F1770" s="2">
        <v>3218</v>
      </c>
      <c r="G1770" s="2">
        <f>Monthly_Growth!$C$17</f>
        <v>833238</v>
      </c>
      <c r="H1770" s="5">
        <f>Monthly_Growth!$D$17</f>
        <v>-0.10000486052979775</v>
      </c>
      <c r="I1770" s="15">
        <f>Yearly_Growth!$C$3</f>
        <v>0.11893113731787852</v>
      </c>
      <c r="J1770" s="15">
        <f>Yearly_Growth!$D$3</f>
        <v>0.09</v>
      </c>
      <c r="K1770">
        <f>Sales_Per_Representative!$C$28</f>
        <v>691917</v>
      </c>
      <c r="L1770">
        <f>Sales_Per_Rep_Yearly_Goal!$B$3</f>
        <v>689907.8</v>
      </c>
      <c r="M1770">
        <f>Sales_Per_Rep_Yearly_Goal!$C$3</f>
        <v>690000</v>
      </c>
    </row>
    <row r="1771" spans="1:13" x14ac:dyDescent="0.3">
      <c r="A1771" s="3">
        <v>45402</v>
      </c>
      <c r="B1771">
        <f t="shared" si="27"/>
        <v>2024</v>
      </c>
      <c r="C1771">
        <v>4</v>
      </c>
      <c r="D1771" t="s">
        <v>14</v>
      </c>
      <c r="E1771" t="s">
        <v>10</v>
      </c>
      <c r="F1771" s="2">
        <v>10590</v>
      </c>
      <c r="G1771" s="2">
        <f>Monthly_Growth!$C$17</f>
        <v>833238</v>
      </c>
      <c r="H1771" s="5">
        <f>Monthly_Growth!$D$17</f>
        <v>-0.10000486052979775</v>
      </c>
      <c r="I1771" s="15">
        <f>Yearly_Growth!$C$3</f>
        <v>0.11893113731787852</v>
      </c>
      <c r="J1771" s="15">
        <f>Yearly_Growth!$D$3</f>
        <v>0.09</v>
      </c>
      <c r="K1771">
        <f>Sales_Per_Representative!$C$19</f>
        <v>711816</v>
      </c>
      <c r="L1771">
        <f>Sales_Per_Rep_Yearly_Goal!$B$3</f>
        <v>689907.8</v>
      </c>
      <c r="M1771">
        <f>Sales_Per_Rep_Yearly_Goal!$C$3</f>
        <v>690000</v>
      </c>
    </row>
    <row r="1772" spans="1:13" x14ac:dyDescent="0.3">
      <c r="A1772" s="3">
        <v>45402</v>
      </c>
      <c r="B1772">
        <f t="shared" si="27"/>
        <v>2024</v>
      </c>
      <c r="C1772">
        <v>4</v>
      </c>
      <c r="D1772" t="s">
        <v>7</v>
      </c>
      <c r="E1772" t="s">
        <v>18</v>
      </c>
      <c r="F1772" s="2">
        <v>7078</v>
      </c>
      <c r="G1772" s="2">
        <f>Monthly_Growth!$C$17</f>
        <v>833238</v>
      </c>
      <c r="H1772" s="5">
        <f>Monthly_Growth!$D$17</f>
        <v>-0.10000486052979775</v>
      </c>
      <c r="I1772" s="15">
        <f>Yearly_Growth!$C$3</f>
        <v>0.11893113731787852</v>
      </c>
      <c r="J1772" s="15">
        <f>Yearly_Growth!$D$3</f>
        <v>0.09</v>
      </c>
      <c r="K1772">
        <f>Sales_Per_Representative!$C$24</f>
        <v>699277</v>
      </c>
      <c r="L1772">
        <f>Sales_Per_Rep_Yearly_Goal!$B$3</f>
        <v>689907.8</v>
      </c>
      <c r="M1772">
        <f>Sales_Per_Rep_Yearly_Goal!$C$3</f>
        <v>690000</v>
      </c>
    </row>
    <row r="1773" spans="1:13" x14ac:dyDescent="0.3">
      <c r="A1773" s="3">
        <v>45402</v>
      </c>
      <c r="B1773">
        <f t="shared" si="27"/>
        <v>2024</v>
      </c>
      <c r="C1773">
        <v>4</v>
      </c>
      <c r="D1773" t="s">
        <v>17</v>
      </c>
      <c r="E1773" t="s">
        <v>10</v>
      </c>
      <c r="F1773" s="2">
        <v>2316</v>
      </c>
      <c r="G1773" s="2">
        <f>Monthly_Growth!$C$17</f>
        <v>833238</v>
      </c>
      <c r="H1773" s="5">
        <f>Monthly_Growth!$D$17</f>
        <v>-0.10000486052979775</v>
      </c>
      <c r="I1773" s="15">
        <f>Yearly_Growth!$C$3</f>
        <v>0.11893113731787852</v>
      </c>
      <c r="J1773" s="15">
        <f>Yearly_Growth!$D$3</f>
        <v>0.09</v>
      </c>
      <c r="K1773">
        <f>Sales_Per_Representative!$C$19</f>
        <v>711816</v>
      </c>
      <c r="L1773">
        <f>Sales_Per_Rep_Yearly_Goal!$B$3</f>
        <v>689907.8</v>
      </c>
      <c r="M1773">
        <f>Sales_Per_Rep_Yearly_Goal!$C$3</f>
        <v>690000</v>
      </c>
    </row>
    <row r="1774" spans="1:13" x14ac:dyDescent="0.3">
      <c r="A1774" s="3">
        <v>45403</v>
      </c>
      <c r="B1774">
        <f t="shared" si="27"/>
        <v>2024</v>
      </c>
      <c r="C1774">
        <v>4</v>
      </c>
      <c r="D1774" t="s">
        <v>7</v>
      </c>
      <c r="E1774" t="s">
        <v>5</v>
      </c>
      <c r="F1774" s="2">
        <v>2576</v>
      </c>
      <c r="G1774" s="2">
        <f>Monthly_Growth!$C$17</f>
        <v>833238</v>
      </c>
      <c r="H1774" s="5">
        <f>Monthly_Growth!$D$17</f>
        <v>-0.10000486052979775</v>
      </c>
      <c r="I1774" s="15">
        <f>Yearly_Growth!$C$3</f>
        <v>0.11893113731787852</v>
      </c>
      <c r="J1774" s="15">
        <f>Yearly_Growth!$D$3</f>
        <v>0.09</v>
      </c>
      <c r="K1774">
        <f>Sales_Per_Representative!$C$25</f>
        <v>749460</v>
      </c>
      <c r="L1774">
        <f>Sales_Per_Rep_Yearly_Goal!$B$3</f>
        <v>689907.8</v>
      </c>
      <c r="M1774">
        <f>Sales_Per_Rep_Yearly_Goal!$C$3</f>
        <v>690000</v>
      </c>
    </row>
    <row r="1775" spans="1:13" x14ac:dyDescent="0.3">
      <c r="A1775" s="3">
        <v>45403</v>
      </c>
      <c r="B1775">
        <f t="shared" si="27"/>
        <v>2024</v>
      </c>
      <c r="C1775">
        <v>4</v>
      </c>
      <c r="D1775" t="s">
        <v>7</v>
      </c>
      <c r="E1775" t="s">
        <v>15</v>
      </c>
      <c r="F1775" s="2">
        <v>4290</v>
      </c>
      <c r="G1775" s="2">
        <f>Monthly_Growth!$C$17</f>
        <v>833238</v>
      </c>
      <c r="H1775" s="5">
        <f>Monthly_Growth!$D$17</f>
        <v>-0.10000486052979775</v>
      </c>
      <c r="I1775" s="15">
        <f>Yearly_Growth!$C$3</f>
        <v>0.11893113731787852</v>
      </c>
      <c r="J1775" s="15">
        <f>Yearly_Growth!$D$3</f>
        <v>0.09</v>
      </c>
      <c r="K1775">
        <f>Sales_Per_Representative!$C$27</f>
        <v>617202</v>
      </c>
      <c r="L1775">
        <f>Sales_Per_Rep_Yearly_Goal!$B$3</f>
        <v>689907.8</v>
      </c>
      <c r="M1775">
        <f>Sales_Per_Rep_Yearly_Goal!$C$3</f>
        <v>690000</v>
      </c>
    </row>
    <row r="1776" spans="1:13" x14ac:dyDescent="0.3">
      <c r="A1776" s="3">
        <v>45403</v>
      </c>
      <c r="B1776">
        <f t="shared" si="27"/>
        <v>2024</v>
      </c>
      <c r="C1776">
        <v>4</v>
      </c>
      <c r="D1776" t="s">
        <v>12</v>
      </c>
      <c r="E1776" t="s">
        <v>5</v>
      </c>
      <c r="F1776" s="2">
        <v>1840</v>
      </c>
      <c r="G1776" s="2">
        <f>Monthly_Growth!$C$17</f>
        <v>833238</v>
      </c>
      <c r="H1776" s="5">
        <f>Monthly_Growth!$D$17</f>
        <v>-0.10000486052979775</v>
      </c>
      <c r="I1776" s="15">
        <f>Yearly_Growth!$C$3</f>
        <v>0.11893113731787852</v>
      </c>
      <c r="J1776" s="15">
        <f>Yearly_Growth!$D$3</f>
        <v>0.09</v>
      </c>
      <c r="K1776">
        <f>Sales_Per_Representative!$C$25</f>
        <v>749460</v>
      </c>
      <c r="L1776">
        <f>Sales_Per_Rep_Yearly_Goal!$B$3</f>
        <v>689907.8</v>
      </c>
      <c r="M1776">
        <f>Sales_Per_Rep_Yearly_Goal!$C$3</f>
        <v>690000</v>
      </c>
    </row>
    <row r="1777" spans="1:13" x14ac:dyDescent="0.3">
      <c r="A1777" s="3">
        <v>45403</v>
      </c>
      <c r="B1777">
        <f t="shared" si="27"/>
        <v>2024</v>
      </c>
      <c r="C1777">
        <v>4</v>
      </c>
      <c r="D1777" t="s">
        <v>12</v>
      </c>
      <c r="E1777" t="s">
        <v>26</v>
      </c>
      <c r="F1777" s="2">
        <v>2680</v>
      </c>
      <c r="G1777" s="2">
        <f>Monthly_Growth!$C$17</f>
        <v>833238</v>
      </c>
      <c r="H1777" s="5">
        <f>Monthly_Growth!$D$17</f>
        <v>-0.10000486052979775</v>
      </c>
      <c r="I1777" s="15">
        <f>Yearly_Growth!$C$3</f>
        <v>0.11893113731787852</v>
      </c>
      <c r="J1777" s="15">
        <f>Yearly_Growth!$D$3</f>
        <v>0.09</v>
      </c>
      <c r="K1777">
        <f>Sales_Per_Representative!$C$31</f>
        <v>664244</v>
      </c>
      <c r="L1777">
        <f>Sales_Per_Rep_Yearly_Goal!$B$3</f>
        <v>689907.8</v>
      </c>
      <c r="M1777">
        <f>Sales_Per_Rep_Yearly_Goal!$C$3</f>
        <v>690000</v>
      </c>
    </row>
    <row r="1778" spans="1:13" x14ac:dyDescent="0.3">
      <c r="A1778" s="3">
        <v>45404</v>
      </c>
      <c r="B1778">
        <f t="shared" si="27"/>
        <v>2024</v>
      </c>
      <c r="C1778">
        <v>4</v>
      </c>
      <c r="D1778" t="s">
        <v>19</v>
      </c>
      <c r="E1778" t="s">
        <v>8</v>
      </c>
      <c r="F1778" s="2">
        <v>1304</v>
      </c>
      <c r="G1778" s="2">
        <f>Monthly_Growth!$C$17</f>
        <v>833238</v>
      </c>
      <c r="H1778" s="5">
        <f>Monthly_Growth!$D$17</f>
        <v>-0.10000486052979775</v>
      </c>
      <c r="I1778" s="15">
        <f>Yearly_Growth!$C$3</f>
        <v>0.11893113731787852</v>
      </c>
      <c r="J1778" s="15">
        <f>Yearly_Growth!$D$3</f>
        <v>0.09</v>
      </c>
      <c r="K1778">
        <f>Sales_Per_Representative!$C$30</f>
        <v>780006</v>
      </c>
      <c r="L1778">
        <f>Sales_Per_Rep_Yearly_Goal!$B$3</f>
        <v>689907.8</v>
      </c>
      <c r="M1778">
        <f>Sales_Per_Rep_Yearly_Goal!$C$3</f>
        <v>690000</v>
      </c>
    </row>
    <row r="1779" spans="1:13" x14ac:dyDescent="0.3">
      <c r="A1779" s="3">
        <v>45404</v>
      </c>
      <c r="B1779">
        <f t="shared" si="27"/>
        <v>2024</v>
      </c>
      <c r="C1779">
        <v>4</v>
      </c>
      <c r="D1779" t="s">
        <v>23</v>
      </c>
      <c r="E1779" t="s">
        <v>18</v>
      </c>
      <c r="F1779" s="2">
        <v>7290</v>
      </c>
      <c r="G1779" s="2">
        <f>Monthly_Growth!$C$17</f>
        <v>833238</v>
      </c>
      <c r="H1779" s="5">
        <f>Monthly_Growth!$D$17</f>
        <v>-0.10000486052979775</v>
      </c>
      <c r="I1779" s="15">
        <f>Yearly_Growth!$C$3</f>
        <v>0.11893113731787852</v>
      </c>
      <c r="J1779" s="15">
        <f>Yearly_Growth!$D$3</f>
        <v>0.09</v>
      </c>
      <c r="K1779">
        <f>Sales_Per_Representative!$C$24</f>
        <v>699277</v>
      </c>
      <c r="L1779">
        <f>Sales_Per_Rep_Yearly_Goal!$B$3</f>
        <v>689907.8</v>
      </c>
      <c r="M1779">
        <f>Sales_Per_Rep_Yearly_Goal!$C$3</f>
        <v>690000</v>
      </c>
    </row>
    <row r="1780" spans="1:13" x14ac:dyDescent="0.3">
      <c r="A1780" s="3">
        <v>45404</v>
      </c>
      <c r="B1780">
        <f t="shared" si="27"/>
        <v>2024</v>
      </c>
      <c r="C1780">
        <v>4</v>
      </c>
      <c r="D1780" t="s">
        <v>23</v>
      </c>
      <c r="E1780" t="s">
        <v>8</v>
      </c>
      <c r="F1780" s="2">
        <v>11987</v>
      </c>
      <c r="G1780" s="2">
        <f>Monthly_Growth!$C$17</f>
        <v>833238</v>
      </c>
      <c r="H1780" s="5">
        <f>Monthly_Growth!$D$17</f>
        <v>-0.10000486052979775</v>
      </c>
      <c r="I1780" s="15">
        <f>Yearly_Growth!$C$3</f>
        <v>0.11893113731787852</v>
      </c>
      <c r="J1780" s="15">
        <f>Yearly_Growth!$D$3</f>
        <v>0.09</v>
      </c>
      <c r="K1780">
        <f>Sales_Per_Representative!$C$30</f>
        <v>780006</v>
      </c>
      <c r="L1780">
        <f>Sales_Per_Rep_Yearly_Goal!$B$3</f>
        <v>689907.8</v>
      </c>
      <c r="M1780">
        <f>Sales_Per_Rep_Yearly_Goal!$C$3</f>
        <v>690000</v>
      </c>
    </row>
    <row r="1781" spans="1:13" x14ac:dyDescent="0.3">
      <c r="A1781" s="3">
        <v>45404</v>
      </c>
      <c r="B1781">
        <f t="shared" si="27"/>
        <v>2024</v>
      </c>
      <c r="C1781">
        <v>4</v>
      </c>
      <c r="D1781" t="s">
        <v>17</v>
      </c>
      <c r="E1781" t="s">
        <v>30</v>
      </c>
      <c r="F1781" s="2">
        <v>5423</v>
      </c>
      <c r="G1781" s="2">
        <f>Monthly_Growth!$C$17</f>
        <v>833238</v>
      </c>
      <c r="H1781" s="5">
        <f>Monthly_Growth!$D$17</f>
        <v>-0.10000486052979775</v>
      </c>
      <c r="I1781" s="15">
        <f>Yearly_Growth!$C$3</f>
        <v>0.11893113731787852</v>
      </c>
      <c r="J1781" s="15">
        <f>Yearly_Growth!$D$3</f>
        <v>0.09</v>
      </c>
      <c r="K1781">
        <f>Sales_Per_Representative!$C$22</f>
        <v>700142</v>
      </c>
      <c r="L1781">
        <f>Sales_Per_Rep_Yearly_Goal!$B$3</f>
        <v>689907.8</v>
      </c>
      <c r="M1781">
        <f>Sales_Per_Rep_Yearly_Goal!$C$3</f>
        <v>690000</v>
      </c>
    </row>
    <row r="1782" spans="1:13" x14ac:dyDescent="0.3">
      <c r="A1782" s="3">
        <v>45405</v>
      </c>
      <c r="B1782">
        <f t="shared" si="27"/>
        <v>2024</v>
      </c>
      <c r="C1782">
        <v>4</v>
      </c>
      <c r="D1782" t="s">
        <v>25</v>
      </c>
      <c r="E1782" t="s">
        <v>24</v>
      </c>
      <c r="F1782" s="2">
        <v>11458</v>
      </c>
      <c r="G1782" s="2">
        <f>Monthly_Growth!$C$17</f>
        <v>833238</v>
      </c>
      <c r="H1782" s="5">
        <f>Monthly_Growth!$D$17</f>
        <v>-0.10000486052979775</v>
      </c>
      <c r="I1782" s="15">
        <f>Yearly_Growth!$C$3</f>
        <v>0.11893113731787852</v>
      </c>
      <c r="J1782" s="15">
        <f>Yearly_Growth!$D$3</f>
        <v>0.09</v>
      </c>
      <c r="K1782">
        <f>Sales_Per_Representative!$C$17</f>
        <v>633956</v>
      </c>
      <c r="L1782">
        <f>Sales_Per_Rep_Yearly_Goal!$B$3</f>
        <v>689907.8</v>
      </c>
      <c r="M1782">
        <f>Sales_Per_Rep_Yearly_Goal!$C$3</f>
        <v>690000</v>
      </c>
    </row>
    <row r="1783" spans="1:13" x14ac:dyDescent="0.3">
      <c r="A1783" s="3">
        <v>45405</v>
      </c>
      <c r="B1783">
        <f t="shared" si="27"/>
        <v>2024</v>
      </c>
      <c r="C1783">
        <v>4</v>
      </c>
      <c r="D1783" t="s">
        <v>17</v>
      </c>
      <c r="E1783" t="s">
        <v>18</v>
      </c>
      <c r="F1783" s="2">
        <v>5783</v>
      </c>
      <c r="G1783" s="2">
        <f>Monthly_Growth!$C$17</f>
        <v>833238</v>
      </c>
      <c r="H1783" s="5">
        <f>Monthly_Growth!$D$17</f>
        <v>-0.10000486052979775</v>
      </c>
      <c r="I1783" s="15">
        <f>Yearly_Growth!$C$3</f>
        <v>0.11893113731787852</v>
      </c>
      <c r="J1783" s="15">
        <f>Yearly_Growth!$D$3</f>
        <v>0.09</v>
      </c>
      <c r="K1783">
        <f>Sales_Per_Representative!$C$24</f>
        <v>699277</v>
      </c>
      <c r="L1783">
        <f>Sales_Per_Rep_Yearly_Goal!$B$3</f>
        <v>689907.8</v>
      </c>
      <c r="M1783">
        <f>Sales_Per_Rep_Yearly_Goal!$C$3</f>
        <v>690000</v>
      </c>
    </row>
    <row r="1784" spans="1:13" x14ac:dyDescent="0.3">
      <c r="A1784" s="3">
        <v>45405</v>
      </c>
      <c r="B1784">
        <f t="shared" si="27"/>
        <v>2024</v>
      </c>
      <c r="C1784">
        <v>4</v>
      </c>
      <c r="D1784" t="s">
        <v>12</v>
      </c>
      <c r="E1784" t="s">
        <v>24</v>
      </c>
      <c r="F1784" s="2">
        <v>10242</v>
      </c>
      <c r="G1784" s="2">
        <f>Monthly_Growth!$C$17</f>
        <v>833238</v>
      </c>
      <c r="H1784" s="5">
        <f>Monthly_Growth!$D$17</f>
        <v>-0.10000486052979775</v>
      </c>
      <c r="I1784" s="15">
        <f>Yearly_Growth!$C$3</f>
        <v>0.11893113731787852</v>
      </c>
      <c r="J1784" s="15">
        <f>Yearly_Growth!$D$3</f>
        <v>0.09</v>
      </c>
      <c r="K1784">
        <f>Sales_Per_Representative!$C$17</f>
        <v>633956</v>
      </c>
      <c r="L1784">
        <f>Sales_Per_Rep_Yearly_Goal!$B$3</f>
        <v>689907.8</v>
      </c>
      <c r="M1784">
        <f>Sales_Per_Rep_Yearly_Goal!$C$3</f>
        <v>690000</v>
      </c>
    </row>
    <row r="1785" spans="1:13" x14ac:dyDescent="0.3">
      <c r="A1785" s="3">
        <v>45406</v>
      </c>
      <c r="B1785">
        <f t="shared" si="27"/>
        <v>2024</v>
      </c>
      <c r="C1785">
        <v>4</v>
      </c>
      <c r="D1785" t="s">
        <v>23</v>
      </c>
      <c r="E1785" t="s">
        <v>31</v>
      </c>
      <c r="F1785" s="2">
        <v>9822</v>
      </c>
      <c r="G1785" s="2">
        <f>Monthly_Growth!$C$17</f>
        <v>833238</v>
      </c>
      <c r="H1785" s="5">
        <f>Monthly_Growth!$D$17</f>
        <v>-0.10000486052979775</v>
      </c>
      <c r="I1785" s="15">
        <f>Yearly_Growth!$C$3</f>
        <v>0.11893113731787852</v>
      </c>
      <c r="J1785" s="15">
        <f>Yearly_Growth!$D$3</f>
        <v>0.09</v>
      </c>
      <c r="K1785">
        <f>Sales_Per_Representative!$C$21</f>
        <v>679421</v>
      </c>
      <c r="L1785">
        <f>Sales_Per_Rep_Yearly_Goal!$B$3</f>
        <v>689907.8</v>
      </c>
      <c r="M1785">
        <f>Sales_Per_Rep_Yearly_Goal!$C$3</f>
        <v>690000</v>
      </c>
    </row>
    <row r="1786" spans="1:13" x14ac:dyDescent="0.3">
      <c r="A1786" s="3">
        <v>45406</v>
      </c>
      <c r="B1786">
        <f t="shared" si="27"/>
        <v>2024</v>
      </c>
      <c r="C1786">
        <v>4</v>
      </c>
      <c r="D1786" t="s">
        <v>25</v>
      </c>
      <c r="E1786" t="s">
        <v>24</v>
      </c>
      <c r="F1786" s="2">
        <v>4757</v>
      </c>
      <c r="G1786" s="2">
        <f>Monthly_Growth!$C$17</f>
        <v>833238</v>
      </c>
      <c r="H1786" s="5">
        <f>Monthly_Growth!$D$17</f>
        <v>-0.10000486052979775</v>
      </c>
      <c r="I1786" s="15">
        <f>Yearly_Growth!$C$3</f>
        <v>0.11893113731787852</v>
      </c>
      <c r="J1786" s="15">
        <f>Yearly_Growth!$D$3</f>
        <v>0.09</v>
      </c>
      <c r="K1786">
        <f>Sales_Per_Representative!$C$17</f>
        <v>633956</v>
      </c>
      <c r="L1786">
        <f>Sales_Per_Rep_Yearly_Goal!$B$3</f>
        <v>689907.8</v>
      </c>
      <c r="M1786">
        <f>Sales_Per_Rep_Yearly_Goal!$C$3</f>
        <v>690000</v>
      </c>
    </row>
    <row r="1787" spans="1:13" x14ac:dyDescent="0.3">
      <c r="A1787" s="3">
        <v>45406</v>
      </c>
      <c r="B1787">
        <f t="shared" si="27"/>
        <v>2024</v>
      </c>
      <c r="C1787">
        <v>4</v>
      </c>
      <c r="D1787" t="s">
        <v>28</v>
      </c>
      <c r="E1787" t="s">
        <v>5</v>
      </c>
      <c r="F1787" s="2">
        <v>9593</v>
      </c>
      <c r="G1787" s="2">
        <f>Monthly_Growth!$C$17</f>
        <v>833238</v>
      </c>
      <c r="H1787" s="5">
        <f>Monthly_Growth!$D$17</f>
        <v>-0.10000486052979775</v>
      </c>
      <c r="I1787" s="15">
        <f>Yearly_Growth!$C$3</f>
        <v>0.11893113731787852</v>
      </c>
      <c r="J1787" s="15">
        <f>Yearly_Growth!$D$3</f>
        <v>0.09</v>
      </c>
      <c r="K1787">
        <f>Sales_Per_Representative!$C$25</f>
        <v>749460</v>
      </c>
      <c r="L1787">
        <f>Sales_Per_Rep_Yearly_Goal!$B$3</f>
        <v>689907.8</v>
      </c>
      <c r="M1787">
        <f>Sales_Per_Rep_Yearly_Goal!$C$3</f>
        <v>690000</v>
      </c>
    </row>
    <row r="1788" spans="1:13" x14ac:dyDescent="0.3">
      <c r="A1788" s="3">
        <v>45406</v>
      </c>
      <c r="B1788">
        <f t="shared" si="27"/>
        <v>2024</v>
      </c>
      <c r="C1788">
        <v>4</v>
      </c>
      <c r="D1788" t="s">
        <v>28</v>
      </c>
      <c r="E1788" t="s">
        <v>15</v>
      </c>
      <c r="F1788" s="2">
        <v>9551</v>
      </c>
      <c r="G1788" s="2">
        <f>Monthly_Growth!$C$17</f>
        <v>833238</v>
      </c>
      <c r="H1788" s="5">
        <f>Monthly_Growth!$D$17</f>
        <v>-0.10000486052979775</v>
      </c>
      <c r="I1788" s="15">
        <f>Yearly_Growth!$C$3</f>
        <v>0.11893113731787852</v>
      </c>
      <c r="J1788" s="15">
        <f>Yearly_Growth!$D$3</f>
        <v>0.09</v>
      </c>
      <c r="K1788">
        <f>Sales_Per_Representative!$C$27</f>
        <v>617202</v>
      </c>
      <c r="L1788">
        <f>Sales_Per_Rep_Yearly_Goal!$B$3</f>
        <v>689907.8</v>
      </c>
      <c r="M1788">
        <f>Sales_Per_Rep_Yearly_Goal!$C$3</f>
        <v>690000</v>
      </c>
    </row>
    <row r="1789" spans="1:13" x14ac:dyDescent="0.3">
      <c r="A1789" s="3">
        <v>45406</v>
      </c>
      <c r="B1789">
        <f t="shared" si="27"/>
        <v>2024</v>
      </c>
      <c r="C1789">
        <v>4</v>
      </c>
      <c r="D1789" t="s">
        <v>17</v>
      </c>
      <c r="E1789" t="s">
        <v>20</v>
      </c>
      <c r="F1789" s="2">
        <v>12529</v>
      </c>
      <c r="G1789" s="2">
        <f>Monthly_Growth!$C$17</f>
        <v>833238</v>
      </c>
      <c r="H1789" s="5">
        <f>Monthly_Growth!$D$17</f>
        <v>-0.10000486052979775</v>
      </c>
      <c r="I1789" s="15">
        <f>Yearly_Growth!$C$3</f>
        <v>0.11893113731787852</v>
      </c>
      <c r="J1789" s="15">
        <f>Yearly_Growth!$D$3</f>
        <v>0.09</v>
      </c>
      <c r="K1789">
        <f>Sales_Per_Representative!$C$29</f>
        <v>753085</v>
      </c>
      <c r="L1789">
        <f>Sales_Per_Rep_Yearly_Goal!$B$3</f>
        <v>689907.8</v>
      </c>
      <c r="M1789">
        <f>Sales_Per_Rep_Yearly_Goal!$C$3</f>
        <v>690000</v>
      </c>
    </row>
    <row r="1790" spans="1:13" x14ac:dyDescent="0.3">
      <c r="A1790" s="3">
        <v>45406</v>
      </c>
      <c r="B1790">
        <f t="shared" si="27"/>
        <v>2024</v>
      </c>
      <c r="C1790">
        <v>4</v>
      </c>
      <c r="D1790" t="s">
        <v>12</v>
      </c>
      <c r="E1790" t="s">
        <v>5</v>
      </c>
      <c r="F1790" s="2">
        <v>4815</v>
      </c>
      <c r="G1790" s="2">
        <f>Monthly_Growth!$C$17</f>
        <v>833238</v>
      </c>
      <c r="H1790" s="5">
        <f>Monthly_Growth!$D$17</f>
        <v>-0.10000486052979775</v>
      </c>
      <c r="I1790" s="15">
        <f>Yearly_Growth!$C$3</f>
        <v>0.11893113731787852</v>
      </c>
      <c r="J1790" s="15">
        <f>Yearly_Growth!$D$3</f>
        <v>0.09</v>
      </c>
      <c r="K1790">
        <f>Sales_Per_Representative!$C$25</f>
        <v>749460</v>
      </c>
      <c r="L1790">
        <f>Sales_Per_Rep_Yearly_Goal!$B$3</f>
        <v>689907.8</v>
      </c>
      <c r="M1790">
        <f>Sales_Per_Rep_Yearly_Goal!$C$3</f>
        <v>690000</v>
      </c>
    </row>
    <row r="1791" spans="1:13" x14ac:dyDescent="0.3">
      <c r="A1791" s="3">
        <v>45407</v>
      </c>
      <c r="B1791">
        <f t="shared" si="27"/>
        <v>2024</v>
      </c>
      <c r="C1791">
        <v>4</v>
      </c>
      <c r="D1791" t="s">
        <v>19</v>
      </c>
      <c r="E1791" t="s">
        <v>20</v>
      </c>
      <c r="F1791" s="2">
        <v>12990</v>
      </c>
      <c r="G1791" s="2">
        <f>Monthly_Growth!$C$17</f>
        <v>833238</v>
      </c>
      <c r="H1791" s="5">
        <f>Monthly_Growth!$D$17</f>
        <v>-0.10000486052979775</v>
      </c>
      <c r="I1791" s="15">
        <f>Yearly_Growth!$C$3</f>
        <v>0.11893113731787852</v>
      </c>
      <c r="J1791" s="15">
        <f>Yearly_Growth!$D$3</f>
        <v>0.09</v>
      </c>
      <c r="K1791">
        <f>Sales_Per_Representative!$C$29</f>
        <v>753085</v>
      </c>
      <c r="L1791">
        <f>Sales_Per_Rep_Yearly_Goal!$B$3</f>
        <v>689907.8</v>
      </c>
      <c r="M1791">
        <f>Sales_Per_Rep_Yearly_Goal!$C$3</f>
        <v>690000</v>
      </c>
    </row>
    <row r="1792" spans="1:13" x14ac:dyDescent="0.3">
      <c r="A1792" s="3">
        <v>45407</v>
      </c>
      <c r="B1792">
        <f t="shared" si="27"/>
        <v>2024</v>
      </c>
      <c r="C1792">
        <v>4</v>
      </c>
      <c r="D1792" t="s">
        <v>19</v>
      </c>
      <c r="E1792" t="s">
        <v>27</v>
      </c>
      <c r="F1792" s="2">
        <v>1599</v>
      </c>
      <c r="G1792" s="2">
        <f>Monthly_Growth!$C$17</f>
        <v>833238</v>
      </c>
      <c r="H1792" s="5">
        <f>Monthly_Growth!$D$17</f>
        <v>-0.10000486052979775</v>
      </c>
      <c r="I1792" s="15">
        <f>Yearly_Growth!$C$3</f>
        <v>0.11893113731787852</v>
      </c>
      <c r="J1792" s="15">
        <f>Yearly_Growth!$D$3</f>
        <v>0.09</v>
      </c>
      <c r="K1792">
        <f>Sales_Per_Representative!$C$20</f>
        <v>685380</v>
      </c>
      <c r="L1792">
        <f>Sales_Per_Rep_Yearly_Goal!$B$3</f>
        <v>689907.8</v>
      </c>
      <c r="M1792">
        <f>Sales_Per_Rep_Yearly_Goal!$C$3</f>
        <v>690000</v>
      </c>
    </row>
    <row r="1793" spans="1:13" x14ac:dyDescent="0.3">
      <c r="A1793" s="3">
        <v>45407</v>
      </c>
      <c r="B1793">
        <f t="shared" si="27"/>
        <v>2024</v>
      </c>
      <c r="C1793">
        <v>4</v>
      </c>
      <c r="D1793" t="s">
        <v>7</v>
      </c>
      <c r="E1793" t="s">
        <v>33</v>
      </c>
      <c r="F1793" s="2">
        <v>5330</v>
      </c>
      <c r="G1793" s="2">
        <f>Monthly_Growth!$C$17</f>
        <v>833238</v>
      </c>
      <c r="H1793" s="5">
        <f>Monthly_Growth!$D$17</f>
        <v>-0.10000486052979775</v>
      </c>
      <c r="I1793" s="15">
        <f>Yearly_Growth!$C$3</f>
        <v>0.11893113731787852</v>
      </c>
      <c r="J1793" s="15">
        <f>Yearly_Growth!$D$3</f>
        <v>0.09</v>
      </c>
      <c r="K1793">
        <f>Sales_Per_Representative!$C$26</f>
        <v>501360</v>
      </c>
      <c r="L1793">
        <f>Sales_Per_Rep_Yearly_Goal!$B$3</f>
        <v>689907.8</v>
      </c>
      <c r="M1793">
        <f>Sales_Per_Rep_Yearly_Goal!$C$3</f>
        <v>690000</v>
      </c>
    </row>
    <row r="1794" spans="1:13" x14ac:dyDescent="0.3">
      <c r="A1794" s="3">
        <v>45408</v>
      </c>
      <c r="B1794">
        <f t="shared" si="27"/>
        <v>2024</v>
      </c>
      <c r="C1794">
        <v>4</v>
      </c>
      <c r="D1794" t="s">
        <v>19</v>
      </c>
      <c r="E1794" t="s">
        <v>22</v>
      </c>
      <c r="F1794" s="2">
        <v>1019</v>
      </c>
      <c r="G1794" s="2">
        <f>Monthly_Growth!$C$17</f>
        <v>833238</v>
      </c>
      <c r="H1794" s="5">
        <f>Monthly_Growth!$D$17</f>
        <v>-0.10000486052979775</v>
      </c>
      <c r="I1794" s="15">
        <f>Yearly_Growth!$C$3</f>
        <v>0.11893113731787852</v>
      </c>
      <c r="J1794" s="15">
        <f>Yearly_Growth!$D$3</f>
        <v>0.09</v>
      </c>
      <c r="K1794">
        <f>Sales_Per_Representative!$C$23</f>
        <v>697444</v>
      </c>
      <c r="L1794">
        <f>Sales_Per_Rep_Yearly_Goal!$B$3</f>
        <v>689907.8</v>
      </c>
      <c r="M1794">
        <f>Sales_Per_Rep_Yearly_Goal!$C$3</f>
        <v>690000</v>
      </c>
    </row>
    <row r="1795" spans="1:13" x14ac:dyDescent="0.3">
      <c r="A1795" s="3">
        <v>45408</v>
      </c>
      <c r="B1795">
        <f t="shared" ref="B1795:B1858" si="28">YEAR(A1795)</f>
        <v>2024</v>
      </c>
      <c r="C1795">
        <v>4</v>
      </c>
      <c r="D1795" t="s">
        <v>25</v>
      </c>
      <c r="E1795" t="s">
        <v>29</v>
      </c>
      <c r="F1795" s="2">
        <v>1544</v>
      </c>
      <c r="G1795" s="2">
        <f>Monthly_Growth!$C$17</f>
        <v>833238</v>
      </c>
      <c r="H1795" s="5">
        <f>Monthly_Growth!$D$17</f>
        <v>-0.10000486052979775</v>
      </c>
      <c r="I1795" s="15">
        <f>Yearly_Growth!$C$3</f>
        <v>0.11893113731787852</v>
      </c>
      <c r="J1795" s="15">
        <f>Yearly_Growth!$D$3</f>
        <v>0.09</v>
      </c>
      <c r="K1795">
        <f>Sales_Per_Representative!$C$28</f>
        <v>691917</v>
      </c>
      <c r="L1795">
        <f>Sales_Per_Rep_Yearly_Goal!$B$3</f>
        <v>689907.8</v>
      </c>
      <c r="M1795">
        <f>Sales_Per_Rep_Yearly_Goal!$C$3</f>
        <v>690000</v>
      </c>
    </row>
    <row r="1796" spans="1:13" x14ac:dyDescent="0.3">
      <c r="A1796" s="3">
        <v>45408</v>
      </c>
      <c r="B1796">
        <f t="shared" si="28"/>
        <v>2024</v>
      </c>
      <c r="C1796">
        <v>4</v>
      </c>
      <c r="D1796" t="s">
        <v>25</v>
      </c>
      <c r="E1796" t="s">
        <v>32</v>
      </c>
      <c r="F1796" s="2">
        <v>4039</v>
      </c>
      <c r="G1796" s="2">
        <f>Monthly_Growth!$C$17</f>
        <v>833238</v>
      </c>
      <c r="H1796" s="5">
        <f>Monthly_Growth!$D$17</f>
        <v>-0.10000486052979775</v>
      </c>
      <c r="I1796" s="15">
        <f>Yearly_Growth!$C$3</f>
        <v>0.11893113731787852</v>
      </c>
      <c r="J1796" s="15">
        <f>Yearly_Growth!$D$3</f>
        <v>0.09</v>
      </c>
      <c r="K1796">
        <f>Sales_Per_Representative!$C$18</f>
        <v>783907</v>
      </c>
      <c r="L1796">
        <f>Sales_Per_Rep_Yearly_Goal!$B$3</f>
        <v>689907.8</v>
      </c>
      <c r="M1796">
        <f>Sales_Per_Rep_Yearly_Goal!$C$3</f>
        <v>690000</v>
      </c>
    </row>
    <row r="1797" spans="1:13" x14ac:dyDescent="0.3">
      <c r="A1797" s="3">
        <v>45408</v>
      </c>
      <c r="B1797">
        <f t="shared" si="28"/>
        <v>2024</v>
      </c>
      <c r="C1797">
        <v>4</v>
      </c>
      <c r="D1797" t="s">
        <v>7</v>
      </c>
      <c r="E1797" t="s">
        <v>32</v>
      </c>
      <c r="F1797" s="2">
        <v>3262</v>
      </c>
      <c r="G1797" s="2">
        <f>Monthly_Growth!$C$17</f>
        <v>833238</v>
      </c>
      <c r="H1797" s="5">
        <f>Monthly_Growth!$D$17</f>
        <v>-0.10000486052979775</v>
      </c>
      <c r="I1797" s="15">
        <f>Yearly_Growth!$C$3</f>
        <v>0.11893113731787852</v>
      </c>
      <c r="J1797" s="15">
        <f>Yearly_Growth!$D$3</f>
        <v>0.09</v>
      </c>
      <c r="K1797">
        <f>Sales_Per_Representative!$C$18</f>
        <v>783907</v>
      </c>
      <c r="L1797">
        <f>Sales_Per_Rep_Yearly_Goal!$B$3</f>
        <v>689907.8</v>
      </c>
      <c r="M1797">
        <f>Sales_Per_Rep_Yearly_Goal!$C$3</f>
        <v>690000</v>
      </c>
    </row>
    <row r="1798" spans="1:13" x14ac:dyDescent="0.3">
      <c r="A1798" s="3">
        <v>45408</v>
      </c>
      <c r="B1798">
        <f t="shared" si="28"/>
        <v>2024</v>
      </c>
      <c r="C1798">
        <v>4</v>
      </c>
      <c r="D1798" t="s">
        <v>28</v>
      </c>
      <c r="E1798" t="s">
        <v>5</v>
      </c>
      <c r="F1798" s="2">
        <v>12910</v>
      </c>
      <c r="G1798" s="2">
        <f>Monthly_Growth!$C$17</f>
        <v>833238</v>
      </c>
      <c r="H1798" s="5">
        <f>Monthly_Growth!$D$17</f>
        <v>-0.10000486052979775</v>
      </c>
      <c r="I1798" s="15">
        <f>Yearly_Growth!$C$3</f>
        <v>0.11893113731787852</v>
      </c>
      <c r="J1798" s="15">
        <f>Yearly_Growth!$D$3</f>
        <v>0.09</v>
      </c>
      <c r="K1798">
        <f>Sales_Per_Representative!$C$25</f>
        <v>749460</v>
      </c>
      <c r="L1798">
        <f>Sales_Per_Rep_Yearly_Goal!$B$3</f>
        <v>689907.8</v>
      </c>
      <c r="M1798">
        <f>Sales_Per_Rep_Yearly_Goal!$C$3</f>
        <v>690000</v>
      </c>
    </row>
    <row r="1799" spans="1:13" x14ac:dyDescent="0.3">
      <c r="A1799" s="3">
        <v>45409</v>
      </c>
      <c r="B1799">
        <f t="shared" si="28"/>
        <v>2024</v>
      </c>
      <c r="C1799">
        <v>4</v>
      </c>
      <c r="D1799" t="s">
        <v>7</v>
      </c>
      <c r="E1799" t="s">
        <v>26</v>
      </c>
      <c r="F1799" s="2">
        <v>9117</v>
      </c>
      <c r="G1799" s="2">
        <f>Monthly_Growth!$C$17</f>
        <v>833238</v>
      </c>
      <c r="H1799" s="5">
        <f>Monthly_Growth!$D$17</f>
        <v>-0.10000486052979775</v>
      </c>
      <c r="I1799" s="15">
        <f>Yearly_Growth!$C$3</f>
        <v>0.11893113731787852</v>
      </c>
      <c r="J1799" s="15">
        <f>Yearly_Growth!$D$3</f>
        <v>0.09</v>
      </c>
      <c r="K1799">
        <f>Sales_Per_Representative!$C$31</f>
        <v>664244</v>
      </c>
      <c r="L1799">
        <f>Sales_Per_Rep_Yearly_Goal!$B$3</f>
        <v>689907.8</v>
      </c>
      <c r="M1799">
        <f>Sales_Per_Rep_Yearly_Goal!$C$3</f>
        <v>690000</v>
      </c>
    </row>
    <row r="1800" spans="1:13" x14ac:dyDescent="0.3">
      <c r="A1800" s="3">
        <v>45410</v>
      </c>
      <c r="B1800">
        <f t="shared" si="28"/>
        <v>2024</v>
      </c>
      <c r="C1800">
        <v>4</v>
      </c>
      <c r="D1800" t="s">
        <v>14</v>
      </c>
      <c r="E1800" t="s">
        <v>32</v>
      </c>
      <c r="F1800" s="2">
        <v>1071</v>
      </c>
      <c r="G1800" s="2">
        <f>Monthly_Growth!$C$17</f>
        <v>833238</v>
      </c>
      <c r="H1800" s="5">
        <f>Monthly_Growth!$D$17</f>
        <v>-0.10000486052979775</v>
      </c>
      <c r="I1800" s="15">
        <f>Yearly_Growth!$C$3</f>
        <v>0.11893113731787852</v>
      </c>
      <c r="J1800" s="15">
        <f>Yearly_Growth!$D$3</f>
        <v>0.09</v>
      </c>
      <c r="K1800">
        <f>Sales_Per_Representative!$C$18</f>
        <v>783907</v>
      </c>
      <c r="L1800">
        <f>Sales_Per_Rep_Yearly_Goal!$B$3</f>
        <v>689907.8</v>
      </c>
      <c r="M1800">
        <f>Sales_Per_Rep_Yearly_Goal!$C$3</f>
        <v>690000</v>
      </c>
    </row>
    <row r="1801" spans="1:13" x14ac:dyDescent="0.3">
      <c r="A1801" s="3">
        <v>45410</v>
      </c>
      <c r="B1801">
        <f t="shared" si="28"/>
        <v>2024</v>
      </c>
      <c r="C1801">
        <v>4</v>
      </c>
      <c r="D1801" t="s">
        <v>7</v>
      </c>
      <c r="E1801" t="s">
        <v>33</v>
      </c>
      <c r="F1801" s="2">
        <v>6934</v>
      </c>
      <c r="G1801" s="2">
        <f>Monthly_Growth!$C$17</f>
        <v>833238</v>
      </c>
      <c r="H1801" s="5">
        <f>Monthly_Growth!$D$17</f>
        <v>-0.10000486052979775</v>
      </c>
      <c r="I1801" s="15">
        <f>Yearly_Growth!$C$3</f>
        <v>0.11893113731787852</v>
      </c>
      <c r="J1801" s="15">
        <f>Yearly_Growth!$D$3</f>
        <v>0.09</v>
      </c>
      <c r="K1801">
        <f>Sales_Per_Representative!$C$26</f>
        <v>501360</v>
      </c>
      <c r="L1801">
        <f>Sales_Per_Rep_Yearly_Goal!$B$3</f>
        <v>689907.8</v>
      </c>
      <c r="M1801">
        <f>Sales_Per_Rep_Yearly_Goal!$C$3</f>
        <v>690000</v>
      </c>
    </row>
    <row r="1802" spans="1:13" x14ac:dyDescent="0.3">
      <c r="A1802" s="3">
        <v>45410</v>
      </c>
      <c r="B1802">
        <f t="shared" si="28"/>
        <v>2024</v>
      </c>
      <c r="C1802">
        <v>4</v>
      </c>
      <c r="D1802" t="s">
        <v>28</v>
      </c>
      <c r="E1802" t="s">
        <v>5</v>
      </c>
      <c r="F1802" s="2">
        <v>8492</v>
      </c>
      <c r="G1802" s="2">
        <f>Monthly_Growth!$C$17</f>
        <v>833238</v>
      </c>
      <c r="H1802" s="5">
        <f>Monthly_Growth!$D$17</f>
        <v>-0.10000486052979775</v>
      </c>
      <c r="I1802" s="15">
        <f>Yearly_Growth!$C$3</f>
        <v>0.11893113731787852</v>
      </c>
      <c r="J1802" s="15">
        <f>Yearly_Growth!$D$3</f>
        <v>0.09</v>
      </c>
      <c r="K1802">
        <f>Sales_Per_Representative!$C$25</f>
        <v>749460</v>
      </c>
      <c r="L1802">
        <f>Sales_Per_Rep_Yearly_Goal!$B$3</f>
        <v>689907.8</v>
      </c>
      <c r="M1802">
        <f>Sales_Per_Rep_Yearly_Goal!$C$3</f>
        <v>690000</v>
      </c>
    </row>
    <row r="1803" spans="1:13" x14ac:dyDescent="0.3">
      <c r="A1803" s="3">
        <v>45410</v>
      </c>
      <c r="B1803">
        <f t="shared" si="28"/>
        <v>2024</v>
      </c>
      <c r="C1803">
        <v>4</v>
      </c>
      <c r="D1803" t="s">
        <v>28</v>
      </c>
      <c r="E1803" t="s">
        <v>26</v>
      </c>
      <c r="F1803" s="2">
        <v>11304</v>
      </c>
      <c r="G1803" s="2">
        <f>Monthly_Growth!$C$17</f>
        <v>833238</v>
      </c>
      <c r="H1803" s="5">
        <f>Monthly_Growth!$D$17</f>
        <v>-0.10000486052979775</v>
      </c>
      <c r="I1803" s="15">
        <f>Yearly_Growth!$C$3</f>
        <v>0.11893113731787852</v>
      </c>
      <c r="J1803" s="15">
        <f>Yearly_Growth!$D$3</f>
        <v>0.09</v>
      </c>
      <c r="K1803">
        <f>Sales_Per_Representative!$C$31</f>
        <v>664244</v>
      </c>
      <c r="L1803">
        <f>Sales_Per_Rep_Yearly_Goal!$B$3</f>
        <v>689907.8</v>
      </c>
      <c r="M1803">
        <f>Sales_Per_Rep_Yearly_Goal!$C$3</f>
        <v>690000</v>
      </c>
    </row>
    <row r="1804" spans="1:13" x14ac:dyDescent="0.3">
      <c r="A1804" s="3">
        <v>45410</v>
      </c>
      <c r="B1804">
        <f t="shared" si="28"/>
        <v>2024</v>
      </c>
      <c r="C1804">
        <v>4</v>
      </c>
      <c r="D1804" t="s">
        <v>12</v>
      </c>
      <c r="E1804" t="s">
        <v>10</v>
      </c>
      <c r="F1804" s="2">
        <v>8322</v>
      </c>
      <c r="G1804" s="2">
        <f>Monthly_Growth!$C$17</f>
        <v>833238</v>
      </c>
      <c r="H1804" s="5">
        <f>Monthly_Growth!$D$17</f>
        <v>-0.10000486052979775</v>
      </c>
      <c r="I1804" s="15">
        <f>Yearly_Growth!$C$3</f>
        <v>0.11893113731787852</v>
      </c>
      <c r="J1804" s="15">
        <f>Yearly_Growth!$D$3</f>
        <v>0.09</v>
      </c>
      <c r="K1804">
        <f>Sales_Per_Representative!$C$19</f>
        <v>711816</v>
      </c>
      <c r="L1804">
        <f>Sales_Per_Rep_Yearly_Goal!$B$3</f>
        <v>689907.8</v>
      </c>
      <c r="M1804">
        <f>Sales_Per_Rep_Yearly_Goal!$C$3</f>
        <v>690000</v>
      </c>
    </row>
    <row r="1805" spans="1:13" x14ac:dyDescent="0.3">
      <c r="A1805" s="3">
        <v>45411</v>
      </c>
      <c r="B1805">
        <f t="shared" si="28"/>
        <v>2024</v>
      </c>
      <c r="C1805">
        <v>4</v>
      </c>
      <c r="D1805" t="s">
        <v>7</v>
      </c>
      <c r="E1805" t="s">
        <v>29</v>
      </c>
      <c r="F1805" s="2">
        <v>6048</v>
      </c>
      <c r="G1805" s="2">
        <f>Monthly_Growth!$C$17</f>
        <v>833238</v>
      </c>
      <c r="H1805" s="5">
        <f>Monthly_Growth!$D$17</f>
        <v>-0.10000486052979775</v>
      </c>
      <c r="I1805" s="15">
        <f>Yearly_Growth!$C$3</f>
        <v>0.11893113731787852</v>
      </c>
      <c r="J1805" s="15">
        <f>Yearly_Growth!$D$3</f>
        <v>0.09</v>
      </c>
      <c r="K1805">
        <f>Sales_Per_Representative!$C$28</f>
        <v>691917</v>
      </c>
      <c r="L1805">
        <f>Sales_Per_Rep_Yearly_Goal!$B$3</f>
        <v>689907.8</v>
      </c>
      <c r="M1805">
        <f>Sales_Per_Rep_Yearly_Goal!$C$3</f>
        <v>690000</v>
      </c>
    </row>
    <row r="1806" spans="1:13" x14ac:dyDescent="0.3">
      <c r="A1806" s="3">
        <v>45411</v>
      </c>
      <c r="B1806">
        <f t="shared" si="28"/>
        <v>2024</v>
      </c>
      <c r="C1806">
        <v>4</v>
      </c>
      <c r="D1806" t="s">
        <v>7</v>
      </c>
      <c r="E1806" t="s">
        <v>27</v>
      </c>
      <c r="F1806" s="2">
        <v>1447</v>
      </c>
      <c r="G1806" s="2">
        <f>Monthly_Growth!$C$17</f>
        <v>833238</v>
      </c>
      <c r="H1806" s="5">
        <f>Monthly_Growth!$D$17</f>
        <v>-0.10000486052979775</v>
      </c>
      <c r="I1806" s="15">
        <f>Yearly_Growth!$C$3</f>
        <v>0.11893113731787852</v>
      </c>
      <c r="J1806" s="15">
        <f>Yearly_Growth!$D$3</f>
        <v>0.09</v>
      </c>
      <c r="K1806">
        <f>Sales_Per_Representative!$C$20</f>
        <v>685380</v>
      </c>
      <c r="L1806">
        <f>Sales_Per_Rep_Yearly_Goal!$B$3</f>
        <v>689907.8</v>
      </c>
      <c r="M1806">
        <f>Sales_Per_Rep_Yearly_Goal!$C$3</f>
        <v>690000</v>
      </c>
    </row>
    <row r="1807" spans="1:13" x14ac:dyDescent="0.3">
      <c r="A1807" s="3">
        <v>45411</v>
      </c>
      <c r="B1807">
        <f t="shared" si="28"/>
        <v>2024</v>
      </c>
      <c r="C1807">
        <v>4</v>
      </c>
      <c r="D1807" t="s">
        <v>17</v>
      </c>
      <c r="E1807" t="s">
        <v>8</v>
      </c>
      <c r="F1807" s="2">
        <v>3429</v>
      </c>
      <c r="G1807" s="2">
        <f>Monthly_Growth!$C$17</f>
        <v>833238</v>
      </c>
      <c r="H1807" s="5">
        <f>Monthly_Growth!$D$17</f>
        <v>-0.10000486052979775</v>
      </c>
      <c r="I1807" s="15">
        <f>Yearly_Growth!$C$3</f>
        <v>0.11893113731787852</v>
      </c>
      <c r="J1807" s="15">
        <f>Yearly_Growth!$D$3</f>
        <v>0.09</v>
      </c>
      <c r="K1807">
        <f>Sales_Per_Representative!$C$30</f>
        <v>780006</v>
      </c>
      <c r="L1807">
        <f>Sales_Per_Rep_Yearly_Goal!$B$3</f>
        <v>689907.8</v>
      </c>
      <c r="M1807">
        <f>Sales_Per_Rep_Yearly_Goal!$C$3</f>
        <v>690000</v>
      </c>
    </row>
    <row r="1808" spans="1:13" x14ac:dyDescent="0.3">
      <c r="A1808" s="3">
        <v>45411</v>
      </c>
      <c r="B1808">
        <f t="shared" si="28"/>
        <v>2024</v>
      </c>
      <c r="C1808">
        <v>4</v>
      </c>
      <c r="D1808" t="s">
        <v>12</v>
      </c>
      <c r="E1808" t="s">
        <v>26</v>
      </c>
      <c r="F1808" s="2">
        <v>4019</v>
      </c>
      <c r="G1808" s="2">
        <f>Monthly_Growth!$C$17</f>
        <v>833238</v>
      </c>
      <c r="H1808" s="5">
        <f>Monthly_Growth!$D$17</f>
        <v>-0.10000486052979775</v>
      </c>
      <c r="I1808" s="15">
        <f>Yearly_Growth!$C$3</f>
        <v>0.11893113731787852</v>
      </c>
      <c r="J1808" s="15">
        <f>Yearly_Growth!$D$3</f>
        <v>0.09</v>
      </c>
      <c r="K1808">
        <f>Sales_Per_Representative!$C$31</f>
        <v>664244</v>
      </c>
      <c r="L1808">
        <f>Sales_Per_Rep_Yearly_Goal!$B$3</f>
        <v>689907.8</v>
      </c>
      <c r="M1808">
        <f>Sales_Per_Rep_Yearly_Goal!$C$3</f>
        <v>690000</v>
      </c>
    </row>
    <row r="1809" spans="1:13" x14ac:dyDescent="0.3">
      <c r="A1809" s="3">
        <v>45412</v>
      </c>
      <c r="B1809">
        <f t="shared" si="28"/>
        <v>2024</v>
      </c>
      <c r="C1809">
        <v>4</v>
      </c>
      <c r="D1809" t="s">
        <v>14</v>
      </c>
      <c r="E1809" t="s">
        <v>30</v>
      </c>
      <c r="F1809" s="2">
        <v>12077</v>
      </c>
      <c r="G1809" s="2">
        <f>Monthly_Growth!$C$17</f>
        <v>833238</v>
      </c>
      <c r="H1809" s="5">
        <f>Monthly_Growth!$D$17</f>
        <v>-0.10000486052979775</v>
      </c>
      <c r="I1809" s="15">
        <f>Yearly_Growth!$C$3</f>
        <v>0.11893113731787852</v>
      </c>
      <c r="J1809" s="15">
        <f>Yearly_Growth!$D$3</f>
        <v>0.09</v>
      </c>
      <c r="K1809">
        <f>Sales_Per_Representative!$C$22</f>
        <v>700142</v>
      </c>
      <c r="L1809">
        <f>Sales_Per_Rep_Yearly_Goal!$B$3</f>
        <v>689907.8</v>
      </c>
      <c r="M1809">
        <f>Sales_Per_Rep_Yearly_Goal!$C$3</f>
        <v>690000</v>
      </c>
    </row>
    <row r="1810" spans="1:13" x14ac:dyDescent="0.3">
      <c r="A1810" s="3">
        <v>45412</v>
      </c>
      <c r="B1810">
        <f t="shared" si="28"/>
        <v>2024</v>
      </c>
      <c r="C1810">
        <v>4</v>
      </c>
      <c r="D1810" t="s">
        <v>19</v>
      </c>
      <c r="E1810" t="s">
        <v>20</v>
      </c>
      <c r="F1810" s="2">
        <v>1910</v>
      </c>
      <c r="G1810" s="2">
        <f>Monthly_Growth!$C$17</f>
        <v>833238</v>
      </c>
      <c r="H1810" s="5">
        <f>Monthly_Growth!$D$17</f>
        <v>-0.10000486052979775</v>
      </c>
      <c r="I1810" s="15">
        <f>Yearly_Growth!$C$3</f>
        <v>0.11893113731787852</v>
      </c>
      <c r="J1810" s="15">
        <f>Yearly_Growth!$D$3</f>
        <v>0.09</v>
      </c>
      <c r="K1810">
        <f>Sales_Per_Representative!$C$29</f>
        <v>753085</v>
      </c>
      <c r="L1810">
        <f>Sales_Per_Rep_Yearly_Goal!$B$3</f>
        <v>689907.8</v>
      </c>
      <c r="M1810">
        <f>Sales_Per_Rep_Yearly_Goal!$C$3</f>
        <v>690000</v>
      </c>
    </row>
    <row r="1811" spans="1:13" x14ac:dyDescent="0.3">
      <c r="A1811" s="3">
        <v>45412</v>
      </c>
      <c r="B1811">
        <f t="shared" si="28"/>
        <v>2024</v>
      </c>
      <c r="C1811">
        <v>4</v>
      </c>
      <c r="D1811" t="s">
        <v>19</v>
      </c>
      <c r="E1811" t="s">
        <v>5</v>
      </c>
      <c r="F1811" s="2">
        <v>10483</v>
      </c>
      <c r="G1811" s="2">
        <f>Monthly_Growth!$C$17</f>
        <v>833238</v>
      </c>
      <c r="H1811" s="5">
        <f>Monthly_Growth!$D$17</f>
        <v>-0.10000486052979775</v>
      </c>
      <c r="I1811" s="15">
        <f>Yearly_Growth!$C$3</f>
        <v>0.11893113731787852</v>
      </c>
      <c r="J1811" s="15">
        <f>Yearly_Growth!$D$3</f>
        <v>0.09</v>
      </c>
      <c r="K1811">
        <f>Sales_Per_Representative!$C$25</f>
        <v>749460</v>
      </c>
      <c r="L1811">
        <f>Sales_Per_Rep_Yearly_Goal!$B$3</f>
        <v>689907.8</v>
      </c>
      <c r="M1811">
        <f>Sales_Per_Rep_Yearly_Goal!$C$3</f>
        <v>690000</v>
      </c>
    </row>
    <row r="1812" spans="1:13" x14ac:dyDescent="0.3">
      <c r="A1812" s="3">
        <v>45412</v>
      </c>
      <c r="B1812">
        <f t="shared" si="28"/>
        <v>2024</v>
      </c>
      <c r="C1812">
        <v>4</v>
      </c>
      <c r="D1812" t="s">
        <v>23</v>
      </c>
      <c r="E1812" t="s">
        <v>29</v>
      </c>
      <c r="F1812" s="2">
        <v>8421</v>
      </c>
      <c r="G1812" s="2">
        <f>Monthly_Growth!$C$17</f>
        <v>833238</v>
      </c>
      <c r="H1812" s="5">
        <f>Monthly_Growth!$D$17</f>
        <v>-0.10000486052979775</v>
      </c>
      <c r="I1812" s="15">
        <f>Yearly_Growth!$C$3</f>
        <v>0.11893113731787852</v>
      </c>
      <c r="J1812" s="15">
        <f>Yearly_Growth!$D$3</f>
        <v>0.09</v>
      </c>
      <c r="K1812">
        <f>Sales_Per_Representative!$C$28</f>
        <v>691917</v>
      </c>
      <c r="L1812">
        <f>Sales_Per_Rep_Yearly_Goal!$B$3</f>
        <v>689907.8</v>
      </c>
      <c r="M1812">
        <f>Sales_Per_Rep_Yearly_Goal!$C$3</f>
        <v>690000</v>
      </c>
    </row>
    <row r="1813" spans="1:13" x14ac:dyDescent="0.3">
      <c r="A1813" s="3">
        <v>45412</v>
      </c>
      <c r="B1813">
        <f t="shared" si="28"/>
        <v>2024</v>
      </c>
      <c r="C1813">
        <v>4</v>
      </c>
      <c r="D1813" t="s">
        <v>25</v>
      </c>
      <c r="E1813" t="s">
        <v>22</v>
      </c>
      <c r="F1813" s="2">
        <v>12688</v>
      </c>
      <c r="G1813" s="2">
        <f>Monthly_Growth!$C$17</f>
        <v>833238</v>
      </c>
      <c r="H1813" s="5">
        <f>Monthly_Growth!$D$17</f>
        <v>-0.10000486052979775</v>
      </c>
      <c r="I1813" s="15">
        <f>Yearly_Growth!$C$3</f>
        <v>0.11893113731787852</v>
      </c>
      <c r="J1813" s="15">
        <f>Yearly_Growth!$D$3</f>
        <v>0.09</v>
      </c>
      <c r="K1813">
        <f>Sales_Per_Representative!$C$23</f>
        <v>697444</v>
      </c>
      <c r="L1813">
        <f>Sales_Per_Rep_Yearly_Goal!$B$3</f>
        <v>689907.8</v>
      </c>
      <c r="M1813">
        <f>Sales_Per_Rep_Yearly_Goal!$C$3</f>
        <v>690000</v>
      </c>
    </row>
    <row r="1814" spans="1:13" x14ac:dyDescent="0.3">
      <c r="A1814" s="3">
        <v>45412</v>
      </c>
      <c r="B1814">
        <f t="shared" si="28"/>
        <v>2024</v>
      </c>
      <c r="C1814">
        <v>4</v>
      </c>
      <c r="D1814" t="s">
        <v>7</v>
      </c>
      <c r="E1814" t="s">
        <v>32</v>
      </c>
      <c r="F1814" s="2">
        <v>9994</v>
      </c>
      <c r="G1814" s="2">
        <f>Monthly_Growth!$C$17</f>
        <v>833238</v>
      </c>
      <c r="H1814" s="5">
        <f>Monthly_Growth!$D$17</f>
        <v>-0.10000486052979775</v>
      </c>
      <c r="I1814" s="15">
        <f>Yearly_Growth!$C$3</f>
        <v>0.11893113731787852</v>
      </c>
      <c r="J1814" s="15">
        <f>Yearly_Growth!$D$3</f>
        <v>0.09</v>
      </c>
      <c r="K1814">
        <f>Sales_Per_Representative!$C$18</f>
        <v>783907</v>
      </c>
      <c r="L1814">
        <f>Sales_Per_Rep_Yearly_Goal!$B$3</f>
        <v>689907.8</v>
      </c>
      <c r="M1814">
        <f>Sales_Per_Rep_Yearly_Goal!$C$3</f>
        <v>690000</v>
      </c>
    </row>
    <row r="1815" spans="1:13" x14ac:dyDescent="0.3">
      <c r="A1815" s="3">
        <v>45412</v>
      </c>
      <c r="B1815">
        <f t="shared" si="28"/>
        <v>2024</v>
      </c>
      <c r="C1815">
        <v>4</v>
      </c>
      <c r="D1815" t="s">
        <v>17</v>
      </c>
      <c r="E1815" t="s">
        <v>26</v>
      </c>
      <c r="F1815" s="2">
        <v>4251</v>
      </c>
      <c r="G1815" s="2">
        <f>Monthly_Growth!$C$17</f>
        <v>833238</v>
      </c>
      <c r="H1815" s="5">
        <f>Monthly_Growth!$D$17</f>
        <v>-0.10000486052979775</v>
      </c>
      <c r="I1815" s="15">
        <f>Yearly_Growth!$C$3</f>
        <v>0.11893113731787852</v>
      </c>
      <c r="J1815" s="15">
        <f>Yearly_Growth!$D$3</f>
        <v>0.09</v>
      </c>
      <c r="K1815">
        <f>Sales_Per_Representative!$C$31</f>
        <v>664244</v>
      </c>
      <c r="L1815">
        <f>Sales_Per_Rep_Yearly_Goal!$B$3</f>
        <v>689907.8</v>
      </c>
      <c r="M1815">
        <f>Sales_Per_Rep_Yearly_Goal!$C$3</f>
        <v>690000</v>
      </c>
    </row>
    <row r="1816" spans="1:13" x14ac:dyDescent="0.3">
      <c r="A1816" s="3">
        <v>45412</v>
      </c>
      <c r="B1816">
        <f t="shared" si="28"/>
        <v>2024</v>
      </c>
      <c r="C1816">
        <v>4</v>
      </c>
      <c r="D1816" t="s">
        <v>17</v>
      </c>
      <c r="E1816" t="s">
        <v>5</v>
      </c>
      <c r="F1816" s="2">
        <v>1915</v>
      </c>
      <c r="G1816" s="2">
        <f>Monthly_Growth!$C$17</f>
        <v>833238</v>
      </c>
      <c r="H1816" s="5">
        <f>Monthly_Growth!$D$17</f>
        <v>-0.10000486052979775</v>
      </c>
      <c r="I1816" s="15">
        <f>Yearly_Growth!$C$3</f>
        <v>0.11893113731787852</v>
      </c>
      <c r="J1816" s="15">
        <f>Yearly_Growth!$D$3</f>
        <v>0.09</v>
      </c>
      <c r="K1816">
        <f>Sales_Per_Representative!$C$25</f>
        <v>749460</v>
      </c>
      <c r="L1816">
        <f>Sales_Per_Rep_Yearly_Goal!$B$3</f>
        <v>689907.8</v>
      </c>
      <c r="M1816">
        <f>Sales_Per_Rep_Yearly_Goal!$C$3</f>
        <v>690000</v>
      </c>
    </row>
    <row r="1817" spans="1:13" x14ac:dyDescent="0.3">
      <c r="A1817" s="3">
        <v>45412</v>
      </c>
      <c r="B1817">
        <f t="shared" si="28"/>
        <v>2024</v>
      </c>
      <c r="C1817">
        <v>4</v>
      </c>
      <c r="D1817" t="s">
        <v>12</v>
      </c>
      <c r="E1817" t="s">
        <v>32</v>
      </c>
      <c r="F1817" s="2">
        <v>8668</v>
      </c>
      <c r="G1817" s="2">
        <f>Monthly_Growth!$C$17</f>
        <v>833238</v>
      </c>
      <c r="H1817" s="5">
        <f>Monthly_Growth!$D$17</f>
        <v>-0.10000486052979775</v>
      </c>
      <c r="I1817" s="15">
        <f>Yearly_Growth!$C$3</f>
        <v>0.11893113731787852</v>
      </c>
      <c r="J1817" s="15">
        <f>Yearly_Growth!$D$3</f>
        <v>0.09</v>
      </c>
      <c r="K1817">
        <f>Sales_Per_Representative!$C$18</f>
        <v>783907</v>
      </c>
      <c r="L1817">
        <f>Sales_Per_Rep_Yearly_Goal!$B$3</f>
        <v>689907.8</v>
      </c>
      <c r="M1817">
        <f>Sales_Per_Rep_Yearly_Goal!$C$3</f>
        <v>690000</v>
      </c>
    </row>
    <row r="1818" spans="1:13" x14ac:dyDescent="0.3">
      <c r="A1818" s="3">
        <v>45413</v>
      </c>
      <c r="B1818">
        <f t="shared" si="28"/>
        <v>2024</v>
      </c>
      <c r="C1818">
        <v>5</v>
      </c>
      <c r="D1818" t="s">
        <v>25</v>
      </c>
      <c r="E1818" t="s">
        <v>5</v>
      </c>
      <c r="F1818" s="2">
        <v>9581</v>
      </c>
      <c r="G1818" s="2">
        <f>Monthly_Growth!$C$18</f>
        <v>964404</v>
      </c>
      <c r="H1818" s="5">
        <f>Monthly_Growth!$D$18</f>
        <v>0.15741720852865568</v>
      </c>
      <c r="I1818" s="15">
        <f>Yearly_Growth!$C$3</f>
        <v>0.11893113731787852</v>
      </c>
      <c r="J1818" s="15">
        <f>Yearly_Growth!$D$3</f>
        <v>0.09</v>
      </c>
      <c r="K1818">
        <f>Sales_Per_Representative!$C$25</f>
        <v>749460</v>
      </c>
      <c r="L1818">
        <f>Sales_Per_Rep_Yearly_Goal!$B$3</f>
        <v>689907.8</v>
      </c>
      <c r="M1818">
        <f>Sales_Per_Rep_Yearly_Goal!$C$3</f>
        <v>690000</v>
      </c>
    </row>
    <row r="1819" spans="1:13" x14ac:dyDescent="0.3">
      <c r="A1819" s="3">
        <v>45413</v>
      </c>
      <c r="B1819">
        <f t="shared" si="28"/>
        <v>2024</v>
      </c>
      <c r="C1819">
        <v>5</v>
      </c>
      <c r="D1819" t="s">
        <v>28</v>
      </c>
      <c r="E1819" t="s">
        <v>27</v>
      </c>
      <c r="F1819" s="2">
        <v>5461</v>
      </c>
      <c r="G1819" s="2">
        <f>Monthly_Growth!$C$18</f>
        <v>964404</v>
      </c>
      <c r="H1819" s="5">
        <f>Monthly_Growth!$D$18</f>
        <v>0.15741720852865568</v>
      </c>
      <c r="I1819" s="15">
        <f>Yearly_Growth!$C$3</f>
        <v>0.11893113731787852</v>
      </c>
      <c r="J1819" s="15">
        <f>Yearly_Growth!$D$3</f>
        <v>0.09</v>
      </c>
      <c r="K1819">
        <f>Sales_Per_Representative!$C$20</f>
        <v>685380</v>
      </c>
      <c r="L1819">
        <f>Sales_Per_Rep_Yearly_Goal!$B$3</f>
        <v>689907.8</v>
      </c>
      <c r="M1819">
        <f>Sales_Per_Rep_Yearly_Goal!$C$3</f>
        <v>690000</v>
      </c>
    </row>
    <row r="1820" spans="1:13" x14ac:dyDescent="0.3">
      <c r="A1820" s="3">
        <v>45413</v>
      </c>
      <c r="B1820">
        <f t="shared" si="28"/>
        <v>2024</v>
      </c>
      <c r="C1820">
        <v>5</v>
      </c>
      <c r="D1820" t="s">
        <v>12</v>
      </c>
      <c r="E1820" t="s">
        <v>27</v>
      </c>
      <c r="F1820" s="2">
        <v>11387</v>
      </c>
      <c r="G1820" s="2">
        <f>Monthly_Growth!$C$18</f>
        <v>964404</v>
      </c>
      <c r="H1820" s="5">
        <f>Monthly_Growth!$D$18</f>
        <v>0.15741720852865568</v>
      </c>
      <c r="I1820" s="15">
        <f>Yearly_Growth!$C$3</f>
        <v>0.11893113731787852</v>
      </c>
      <c r="J1820" s="15">
        <f>Yearly_Growth!$D$3</f>
        <v>0.09</v>
      </c>
      <c r="K1820">
        <f>Sales_Per_Representative!$C$20</f>
        <v>685380</v>
      </c>
      <c r="L1820">
        <f>Sales_Per_Rep_Yearly_Goal!$B$3</f>
        <v>689907.8</v>
      </c>
      <c r="M1820">
        <f>Sales_Per_Rep_Yearly_Goal!$C$3</f>
        <v>690000</v>
      </c>
    </row>
    <row r="1821" spans="1:13" x14ac:dyDescent="0.3">
      <c r="A1821" s="3">
        <v>45414</v>
      </c>
      <c r="B1821">
        <f t="shared" si="28"/>
        <v>2024</v>
      </c>
      <c r="C1821">
        <v>5</v>
      </c>
      <c r="D1821" t="s">
        <v>19</v>
      </c>
      <c r="E1821" t="s">
        <v>5</v>
      </c>
      <c r="F1821" s="2">
        <v>7146</v>
      </c>
      <c r="G1821" s="2">
        <f>Monthly_Growth!$C$18</f>
        <v>964404</v>
      </c>
      <c r="H1821" s="5">
        <f>Monthly_Growth!$D$18</f>
        <v>0.15741720852865568</v>
      </c>
      <c r="I1821" s="15">
        <f>Yearly_Growth!$C$3</f>
        <v>0.11893113731787852</v>
      </c>
      <c r="J1821" s="15">
        <f>Yearly_Growth!$D$3</f>
        <v>0.09</v>
      </c>
      <c r="K1821">
        <f>Sales_Per_Representative!$C$25</f>
        <v>749460</v>
      </c>
      <c r="L1821">
        <f>Sales_Per_Rep_Yearly_Goal!$B$3</f>
        <v>689907.8</v>
      </c>
      <c r="M1821">
        <f>Sales_Per_Rep_Yearly_Goal!$C$3</f>
        <v>690000</v>
      </c>
    </row>
    <row r="1822" spans="1:13" x14ac:dyDescent="0.3">
      <c r="A1822" s="3">
        <v>45414</v>
      </c>
      <c r="B1822">
        <f t="shared" si="28"/>
        <v>2024</v>
      </c>
      <c r="C1822">
        <v>5</v>
      </c>
      <c r="D1822" t="s">
        <v>28</v>
      </c>
      <c r="E1822" t="s">
        <v>27</v>
      </c>
      <c r="F1822" s="2">
        <v>5450</v>
      </c>
      <c r="G1822" s="2">
        <f>Monthly_Growth!$C$18</f>
        <v>964404</v>
      </c>
      <c r="H1822" s="5">
        <f>Monthly_Growth!$D$18</f>
        <v>0.15741720852865568</v>
      </c>
      <c r="I1822" s="15">
        <f>Yearly_Growth!$C$3</f>
        <v>0.11893113731787852</v>
      </c>
      <c r="J1822" s="15">
        <f>Yearly_Growth!$D$3</f>
        <v>0.09</v>
      </c>
      <c r="K1822">
        <f>Sales_Per_Representative!$C$20</f>
        <v>685380</v>
      </c>
      <c r="L1822">
        <f>Sales_Per_Rep_Yearly_Goal!$B$3</f>
        <v>689907.8</v>
      </c>
      <c r="M1822">
        <f>Sales_Per_Rep_Yearly_Goal!$C$3</f>
        <v>690000</v>
      </c>
    </row>
    <row r="1823" spans="1:13" x14ac:dyDescent="0.3">
      <c r="A1823" s="3">
        <v>45414</v>
      </c>
      <c r="B1823">
        <f t="shared" si="28"/>
        <v>2024</v>
      </c>
      <c r="C1823">
        <v>5</v>
      </c>
      <c r="D1823" t="s">
        <v>17</v>
      </c>
      <c r="E1823" t="s">
        <v>22</v>
      </c>
      <c r="F1823" s="2">
        <v>3883</v>
      </c>
      <c r="G1823" s="2">
        <f>Monthly_Growth!$C$18</f>
        <v>964404</v>
      </c>
      <c r="H1823" s="5">
        <f>Monthly_Growth!$D$18</f>
        <v>0.15741720852865568</v>
      </c>
      <c r="I1823" s="15">
        <f>Yearly_Growth!$C$3</f>
        <v>0.11893113731787852</v>
      </c>
      <c r="J1823" s="15">
        <f>Yearly_Growth!$D$3</f>
        <v>0.09</v>
      </c>
      <c r="K1823">
        <f>Sales_Per_Representative!$C$23</f>
        <v>697444</v>
      </c>
      <c r="L1823">
        <f>Sales_Per_Rep_Yearly_Goal!$B$3</f>
        <v>689907.8</v>
      </c>
      <c r="M1823">
        <f>Sales_Per_Rep_Yearly_Goal!$C$3</f>
        <v>690000</v>
      </c>
    </row>
    <row r="1824" spans="1:13" x14ac:dyDescent="0.3">
      <c r="A1824" s="3">
        <v>45414</v>
      </c>
      <c r="B1824">
        <f t="shared" si="28"/>
        <v>2024</v>
      </c>
      <c r="C1824">
        <v>5</v>
      </c>
      <c r="D1824" t="s">
        <v>17</v>
      </c>
      <c r="E1824" t="s">
        <v>31</v>
      </c>
      <c r="F1824" s="2">
        <v>10514</v>
      </c>
      <c r="G1824" s="2">
        <f>Monthly_Growth!$C$18</f>
        <v>964404</v>
      </c>
      <c r="H1824" s="5">
        <f>Monthly_Growth!$D$18</f>
        <v>0.15741720852865568</v>
      </c>
      <c r="I1824" s="15">
        <f>Yearly_Growth!$C$3</f>
        <v>0.11893113731787852</v>
      </c>
      <c r="J1824" s="15">
        <f>Yearly_Growth!$D$3</f>
        <v>0.09</v>
      </c>
      <c r="K1824">
        <f>Sales_Per_Representative!$C$21</f>
        <v>679421</v>
      </c>
      <c r="L1824">
        <f>Sales_Per_Rep_Yearly_Goal!$B$3</f>
        <v>689907.8</v>
      </c>
      <c r="M1824">
        <f>Sales_Per_Rep_Yearly_Goal!$C$3</f>
        <v>690000</v>
      </c>
    </row>
    <row r="1825" spans="1:13" x14ac:dyDescent="0.3">
      <c r="A1825" s="3">
        <v>45415</v>
      </c>
      <c r="B1825">
        <f t="shared" si="28"/>
        <v>2024</v>
      </c>
      <c r="C1825">
        <v>5</v>
      </c>
      <c r="D1825" t="s">
        <v>19</v>
      </c>
      <c r="E1825" t="s">
        <v>20</v>
      </c>
      <c r="F1825" s="2">
        <v>13622</v>
      </c>
      <c r="G1825" s="2">
        <f>Monthly_Growth!$C$18</f>
        <v>964404</v>
      </c>
      <c r="H1825" s="5">
        <f>Monthly_Growth!$D$18</f>
        <v>0.15741720852865568</v>
      </c>
      <c r="I1825" s="15">
        <f>Yearly_Growth!$C$3</f>
        <v>0.11893113731787852</v>
      </c>
      <c r="J1825" s="15">
        <f>Yearly_Growth!$D$3</f>
        <v>0.09</v>
      </c>
      <c r="K1825">
        <f>Sales_Per_Representative!$C$29</f>
        <v>753085</v>
      </c>
      <c r="L1825">
        <f>Sales_Per_Rep_Yearly_Goal!$B$3</f>
        <v>689907.8</v>
      </c>
      <c r="M1825">
        <f>Sales_Per_Rep_Yearly_Goal!$C$3</f>
        <v>690000</v>
      </c>
    </row>
    <row r="1826" spans="1:13" x14ac:dyDescent="0.3">
      <c r="A1826" s="3">
        <v>45415</v>
      </c>
      <c r="B1826">
        <f t="shared" si="28"/>
        <v>2024</v>
      </c>
      <c r="C1826">
        <v>5</v>
      </c>
      <c r="D1826" t="s">
        <v>19</v>
      </c>
      <c r="E1826" t="s">
        <v>29</v>
      </c>
      <c r="F1826" s="2">
        <v>10661</v>
      </c>
      <c r="G1826" s="2">
        <f>Monthly_Growth!$C$18</f>
        <v>964404</v>
      </c>
      <c r="H1826" s="5">
        <f>Monthly_Growth!$D$18</f>
        <v>0.15741720852865568</v>
      </c>
      <c r="I1826" s="15">
        <f>Yearly_Growth!$C$3</f>
        <v>0.11893113731787852</v>
      </c>
      <c r="J1826" s="15">
        <f>Yearly_Growth!$D$3</f>
        <v>0.09</v>
      </c>
      <c r="K1826">
        <f>Sales_Per_Representative!$C$28</f>
        <v>691917</v>
      </c>
      <c r="L1826">
        <f>Sales_Per_Rep_Yearly_Goal!$B$3</f>
        <v>689907.8</v>
      </c>
      <c r="M1826">
        <f>Sales_Per_Rep_Yearly_Goal!$C$3</f>
        <v>690000</v>
      </c>
    </row>
    <row r="1827" spans="1:13" x14ac:dyDescent="0.3">
      <c r="A1827" s="3">
        <v>45415</v>
      </c>
      <c r="B1827">
        <f t="shared" si="28"/>
        <v>2024</v>
      </c>
      <c r="C1827">
        <v>5</v>
      </c>
      <c r="D1827" t="s">
        <v>19</v>
      </c>
      <c r="E1827" t="s">
        <v>31</v>
      </c>
      <c r="F1827" s="2">
        <v>10651</v>
      </c>
      <c r="G1827" s="2">
        <f>Monthly_Growth!$C$18</f>
        <v>964404</v>
      </c>
      <c r="H1827" s="5">
        <f>Monthly_Growth!$D$18</f>
        <v>0.15741720852865568</v>
      </c>
      <c r="I1827" s="15">
        <f>Yearly_Growth!$C$3</f>
        <v>0.11893113731787852</v>
      </c>
      <c r="J1827" s="15">
        <f>Yearly_Growth!$D$3</f>
        <v>0.09</v>
      </c>
      <c r="K1827">
        <f>Sales_Per_Representative!$C$21</f>
        <v>679421</v>
      </c>
      <c r="L1827">
        <f>Sales_Per_Rep_Yearly_Goal!$B$3</f>
        <v>689907.8</v>
      </c>
      <c r="M1827">
        <f>Sales_Per_Rep_Yearly_Goal!$C$3</f>
        <v>690000</v>
      </c>
    </row>
    <row r="1828" spans="1:13" x14ac:dyDescent="0.3">
      <c r="A1828" s="3">
        <v>45415</v>
      </c>
      <c r="B1828">
        <f t="shared" si="28"/>
        <v>2024</v>
      </c>
      <c r="C1828">
        <v>5</v>
      </c>
      <c r="D1828" t="s">
        <v>19</v>
      </c>
      <c r="E1828" t="s">
        <v>8</v>
      </c>
      <c r="F1828" s="2">
        <v>7292</v>
      </c>
      <c r="G1828" s="2">
        <f>Monthly_Growth!$C$18</f>
        <v>964404</v>
      </c>
      <c r="H1828" s="5">
        <f>Monthly_Growth!$D$18</f>
        <v>0.15741720852865568</v>
      </c>
      <c r="I1828" s="15">
        <f>Yearly_Growth!$C$3</f>
        <v>0.11893113731787852</v>
      </c>
      <c r="J1828" s="15">
        <f>Yearly_Growth!$D$3</f>
        <v>0.09</v>
      </c>
      <c r="K1828">
        <f>Sales_Per_Representative!$C$30</f>
        <v>780006</v>
      </c>
      <c r="L1828">
        <f>Sales_Per_Rep_Yearly_Goal!$B$3</f>
        <v>689907.8</v>
      </c>
      <c r="M1828">
        <f>Sales_Per_Rep_Yearly_Goal!$C$3</f>
        <v>690000</v>
      </c>
    </row>
    <row r="1829" spans="1:13" x14ac:dyDescent="0.3">
      <c r="A1829" s="3">
        <v>45415</v>
      </c>
      <c r="B1829">
        <f t="shared" si="28"/>
        <v>2024</v>
      </c>
      <c r="C1829">
        <v>5</v>
      </c>
      <c r="D1829" t="s">
        <v>23</v>
      </c>
      <c r="E1829" t="s">
        <v>26</v>
      </c>
      <c r="F1829" s="2">
        <v>9777</v>
      </c>
      <c r="G1829" s="2">
        <f>Monthly_Growth!$C$18</f>
        <v>964404</v>
      </c>
      <c r="H1829" s="5">
        <f>Monthly_Growth!$D$18</f>
        <v>0.15741720852865568</v>
      </c>
      <c r="I1829" s="15">
        <f>Yearly_Growth!$C$3</f>
        <v>0.11893113731787852</v>
      </c>
      <c r="J1829" s="15">
        <f>Yearly_Growth!$D$3</f>
        <v>0.09</v>
      </c>
      <c r="K1829">
        <f>Sales_Per_Representative!$C$31</f>
        <v>664244</v>
      </c>
      <c r="L1829">
        <f>Sales_Per_Rep_Yearly_Goal!$B$3</f>
        <v>689907.8</v>
      </c>
      <c r="M1829">
        <f>Sales_Per_Rep_Yearly_Goal!$C$3</f>
        <v>690000</v>
      </c>
    </row>
    <row r="1830" spans="1:13" x14ac:dyDescent="0.3">
      <c r="A1830" s="3">
        <v>45415</v>
      </c>
      <c r="B1830">
        <f t="shared" si="28"/>
        <v>2024</v>
      </c>
      <c r="C1830">
        <v>5</v>
      </c>
      <c r="D1830" t="s">
        <v>23</v>
      </c>
      <c r="E1830" t="s">
        <v>29</v>
      </c>
      <c r="F1830" s="2">
        <v>11297</v>
      </c>
      <c r="G1830" s="2">
        <f>Monthly_Growth!$C$18</f>
        <v>964404</v>
      </c>
      <c r="H1830" s="5">
        <f>Monthly_Growth!$D$18</f>
        <v>0.15741720852865568</v>
      </c>
      <c r="I1830" s="15">
        <f>Yearly_Growth!$C$3</f>
        <v>0.11893113731787852</v>
      </c>
      <c r="J1830" s="15">
        <f>Yearly_Growth!$D$3</f>
        <v>0.09</v>
      </c>
      <c r="K1830">
        <f>Sales_Per_Representative!$C$28</f>
        <v>691917</v>
      </c>
      <c r="L1830">
        <f>Sales_Per_Rep_Yearly_Goal!$B$3</f>
        <v>689907.8</v>
      </c>
      <c r="M1830">
        <f>Sales_Per_Rep_Yearly_Goal!$C$3</f>
        <v>690000</v>
      </c>
    </row>
    <row r="1831" spans="1:13" x14ac:dyDescent="0.3">
      <c r="A1831" s="3">
        <v>45415</v>
      </c>
      <c r="B1831">
        <f t="shared" si="28"/>
        <v>2024</v>
      </c>
      <c r="C1831">
        <v>5</v>
      </c>
      <c r="D1831" t="s">
        <v>25</v>
      </c>
      <c r="E1831" t="s">
        <v>10</v>
      </c>
      <c r="F1831" s="2">
        <v>5184</v>
      </c>
      <c r="G1831" s="2">
        <f>Monthly_Growth!$C$18</f>
        <v>964404</v>
      </c>
      <c r="H1831" s="5">
        <f>Monthly_Growth!$D$18</f>
        <v>0.15741720852865568</v>
      </c>
      <c r="I1831" s="15">
        <f>Yearly_Growth!$C$3</f>
        <v>0.11893113731787852</v>
      </c>
      <c r="J1831" s="15">
        <f>Yearly_Growth!$D$3</f>
        <v>0.09</v>
      </c>
      <c r="K1831">
        <f>Sales_Per_Representative!$C$19</f>
        <v>711816</v>
      </c>
      <c r="L1831">
        <f>Sales_Per_Rep_Yearly_Goal!$B$3</f>
        <v>689907.8</v>
      </c>
      <c r="M1831">
        <f>Sales_Per_Rep_Yearly_Goal!$C$3</f>
        <v>690000</v>
      </c>
    </row>
    <row r="1832" spans="1:13" x14ac:dyDescent="0.3">
      <c r="A1832" s="3">
        <v>45415</v>
      </c>
      <c r="B1832">
        <f t="shared" si="28"/>
        <v>2024</v>
      </c>
      <c r="C1832">
        <v>5</v>
      </c>
      <c r="D1832" t="s">
        <v>7</v>
      </c>
      <c r="E1832" t="s">
        <v>30</v>
      </c>
      <c r="F1832" s="2">
        <v>10156</v>
      </c>
      <c r="G1832" s="2">
        <f>Monthly_Growth!$C$18</f>
        <v>964404</v>
      </c>
      <c r="H1832" s="5">
        <f>Monthly_Growth!$D$18</f>
        <v>0.15741720852865568</v>
      </c>
      <c r="I1832" s="15">
        <f>Yearly_Growth!$C$3</f>
        <v>0.11893113731787852</v>
      </c>
      <c r="J1832" s="15">
        <f>Yearly_Growth!$D$3</f>
        <v>0.09</v>
      </c>
      <c r="K1832">
        <f>Sales_Per_Representative!$C$22</f>
        <v>700142</v>
      </c>
      <c r="L1832">
        <f>Sales_Per_Rep_Yearly_Goal!$B$3</f>
        <v>689907.8</v>
      </c>
      <c r="M1832">
        <f>Sales_Per_Rep_Yearly_Goal!$C$3</f>
        <v>690000</v>
      </c>
    </row>
    <row r="1833" spans="1:13" x14ac:dyDescent="0.3">
      <c r="A1833" s="3">
        <v>45415</v>
      </c>
      <c r="B1833">
        <f t="shared" si="28"/>
        <v>2024</v>
      </c>
      <c r="C1833">
        <v>5</v>
      </c>
      <c r="D1833" t="s">
        <v>7</v>
      </c>
      <c r="E1833" t="s">
        <v>22</v>
      </c>
      <c r="F1833" s="2">
        <v>4194</v>
      </c>
      <c r="G1833" s="2">
        <f>Monthly_Growth!$C$18</f>
        <v>964404</v>
      </c>
      <c r="H1833" s="5">
        <f>Monthly_Growth!$D$18</f>
        <v>0.15741720852865568</v>
      </c>
      <c r="I1833" s="15">
        <f>Yearly_Growth!$C$3</f>
        <v>0.11893113731787852</v>
      </c>
      <c r="J1833" s="15">
        <f>Yearly_Growth!$D$3</f>
        <v>0.09</v>
      </c>
      <c r="K1833">
        <f>Sales_Per_Representative!$C$23</f>
        <v>697444</v>
      </c>
      <c r="L1833">
        <f>Sales_Per_Rep_Yearly_Goal!$B$3</f>
        <v>689907.8</v>
      </c>
      <c r="M1833">
        <f>Sales_Per_Rep_Yearly_Goal!$C$3</f>
        <v>690000</v>
      </c>
    </row>
    <row r="1834" spans="1:13" x14ac:dyDescent="0.3">
      <c r="A1834" s="3">
        <v>45415</v>
      </c>
      <c r="B1834">
        <f t="shared" si="28"/>
        <v>2024</v>
      </c>
      <c r="C1834">
        <v>5</v>
      </c>
      <c r="D1834" t="s">
        <v>17</v>
      </c>
      <c r="E1834" t="s">
        <v>32</v>
      </c>
      <c r="F1834" s="2">
        <v>3717</v>
      </c>
      <c r="G1834" s="2">
        <f>Monthly_Growth!$C$18</f>
        <v>964404</v>
      </c>
      <c r="H1834" s="5">
        <f>Monthly_Growth!$D$18</f>
        <v>0.15741720852865568</v>
      </c>
      <c r="I1834" s="15">
        <f>Yearly_Growth!$C$3</f>
        <v>0.11893113731787852</v>
      </c>
      <c r="J1834" s="15">
        <f>Yearly_Growth!$D$3</f>
        <v>0.09</v>
      </c>
      <c r="K1834">
        <f>Sales_Per_Representative!$C$18</f>
        <v>783907</v>
      </c>
      <c r="L1834">
        <f>Sales_Per_Rep_Yearly_Goal!$B$3</f>
        <v>689907.8</v>
      </c>
      <c r="M1834">
        <f>Sales_Per_Rep_Yearly_Goal!$C$3</f>
        <v>690000</v>
      </c>
    </row>
    <row r="1835" spans="1:13" x14ac:dyDescent="0.3">
      <c r="A1835" s="3">
        <v>45415</v>
      </c>
      <c r="B1835">
        <f t="shared" si="28"/>
        <v>2024</v>
      </c>
      <c r="C1835">
        <v>5</v>
      </c>
      <c r="D1835" t="s">
        <v>12</v>
      </c>
      <c r="E1835" t="s">
        <v>22</v>
      </c>
      <c r="F1835" s="2">
        <v>4446</v>
      </c>
      <c r="G1835" s="2">
        <f>Monthly_Growth!$C$18</f>
        <v>964404</v>
      </c>
      <c r="H1835" s="5">
        <f>Monthly_Growth!$D$18</f>
        <v>0.15741720852865568</v>
      </c>
      <c r="I1835" s="15">
        <f>Yearly_Growth!$C$3</f>
        <v>0.11893113731787852</v>
      </c>
      <c r="J1835" s="15">
        <f>Yearly_Growth!$D$3</f>
        <v>0.09</v>
      </c>
      <c r="K1835">
        <f>Sales_Per_Representative!$C$23</f>
        <v>697444</v>
      </c>
      <c r="L1835">
        <f>Sales_Per_Rep_Yearly_Goal!$B$3</f>
        <v>689907.8</v>
      </c>
      <c r="M1835">
        <f>Sales_Per_Rep_Yearly_Goal!$C$3</f>
        <v>690000</v>
      </c>
    </row>
    <row r="1836" spans="1:13" x14ac:dyDescent="0.3">
      <c r="A1836" s="3">
        <v>45416</v>
      </c>
      <c r="B1836">
        <f t="shared" si="28"/>
        <v>2024</v>
      </c>
      <c r="C1836">
        <v>5</v>
      </c>
      <c r="D1836" t="s">
        <v>19</v>
      </c>
      <c r="E1836" t="s">
        <v>8</v>
      </c>
      <c r="F1836" s="2">
        <v>11986</v>
      </c>
      <c r="G1836" s="2">
        <f>Monthly_Growth!$C$18</f>
        <v>964404</v>
      </c>
      <c r="H1836" s="5">
        <f>Monthly_Growth!$D$18</f>
        <v>0.15741720852865568</v>
      </c>
      <c r="I1836" s="15">
        <f>Yearly_Growth!$C$3</f>
        <v>0.11893113731787852</v>
      </c>
      <c r="J1836" s="15">
        <f>Yearly_Growth!$D$3</f>
        <v>0.09</v>
      </c>
      <c r="K1836">
        <f>Sales_Per_Representative!$C$30</f>
        <v>780006</v>
      </c>
      <c r="L1836">
        <f>Sales_Per_Rep_Yearly_Goal!$B$3</f>
        <v>689907.8</v>
      </c>
      <c r="M1836">
        <f>Sales_Per_Rep_Yearly_Goal!$C$3</f>
        <v>690000</v>
      </c>
    </row>
    <row r="1837" spans="1:13" x14ac:dyDescent="0.3">
      <c r="A1837" s="3">
        <v>45416</v>
      </c>
      <c r="B1837">
        <f t="shared" si="28"/>
        <v>2024</v>
      </c>
      <c r="C1837">
        <v>5</v>
      </c>
      <c r="D1837" t="s">
        <v>23</v>
      </c>
      <c r="E1837" t="s">
        <v>26</v>
      </c>
      <c r="F1837" s="2">
        <v>5315</v>
      </c>
      <c r="G1837" s="2">
        <f>Monthly_Growth!$C$18</f>
        <v>964404</v>
      </c>
      <c r="H1837" s="5">
        <f>Monthly_Growth!$D$18</f>
        <v>0.15741720852865568</v>
      </c>
      <c r="I1837" s="15">
        <f>Yearly_Growth!$C$3</f>
        <v>0.11893113731787852</v>
      </c>
      <c r="J1837" s="15">
        <f>Yearly_Growth!$D$3</f>
        <v>0.09</v>
      </c>
      <c r="K1837">
        <f>Sales_Per_Representative!$C$31</f>
        <v>664244</v>
      </c>
      <c r="L1837">
        <f>Sales_Per_Rep_Yearly_Goal!$B$3</f>
        <v>689907.8</v>
      </c>
      <c r="M1837">
        <f>Sales_Per_Rep_Yearly_Goal!$C$3</f>
        <v>690000</v>
      </c>
    </row>
    <row r="1838" spans="1:13" x14ac:dyDescent="0.3">
      <c r="A1838" s="3">
        <v>45416</v>
      </c>
      <c r="B1838">
        <f t="shared" si="28"/>
        <v>2024</v>
      </c>
      <c r="C1838">
        <v>5</v>
      </c>
      <c r="D1838" t="s">
        <v>23</v>
      </c>
      <c r="E1838" t="s">
        <v>22</v>
      </c>
      <c r="F1838" s="2">
        <v>6167</v>
      </c>
      <c r="G1838" s="2">
        <f>Monthly_Growth!$C$18</f>
        <v>964404</v>
      </c>
      <c r="H1838" s="5">
        <f>Monthly_Growth!$D$18</f>
        <v>0.15741720852865568</v>
      </c>
      <c r="I1838" s="15">
        <f>Yearly_Growth!$C$3</f>
        <v>0.11893113731787852</v>
      </c>
      <c r="J1838" s="15">
        <f>Yearly_Growth!$D$3</f>
        <v>0.09</v>
      </c>
      <c r="K1838">
        <f>Sales_Per_Representative!$C$23</f>
        <v>697444</v>
      </c>
      <c r="L1838">
        <f>Sales_Per_Rep_Yearly_Goal!$B$3</f>
        <v>689907.8</v>
      </c>
      <c r="M1838">
        <f>Sales_Per_Rep_Yearly_Goal!$C$3</f>
        <v>690000</v>
      </c>
    </row>
    <row r="1839" spans="1:13" x14ac:dyDescent="0.3">
      <c r="A1839" s="3">
        <v>45416</v>
      </c>
      <c r="B1839">
        <f t="shared" si="28"/>
        <v>2024</v>
      </c>
      <c r="C1839">
        <v>5</v>
      </c>
      <c r="D1839" t="s">
        <v>7</v>
      </c>
      <c r="E1839" t="s">
        <v>22</v>
      </c>
      <c r="F1839" s="2">
        <v>2946</v>
      </c>
      <c r="G1839" s="2">
        <f>Monthly_Growth!$C$18</f>
        <v>964404</v>
      </c>
      <c r="H1839" s="5">
        <f>Monthly_Growth!$D$18</f>
        <v>0.15741720852865568</v>
      </c>
      <c r="I1839" s="15">
        <f>Yearly_Growth!$C$3</f>
        <v>0.11893113731787852</v>
      </c>
      <c r="J1839" s="15">
        <f>Yearly_Growth!$D$3</f>
        <v>0.09</v>
      </c>
      <c r="K1839">
        <f>Sales_Per_Representative!$C$23</f>
        <v>697444</v>
      </c>
      <c r="L1839">
        <f>Sales_Per_Rep_Yearly_Goal!$B$3</f>
        <v>689907.8</v>
      </c>
      <c r="M1839">
        <f>Sales_Per_Rep_Yearly_Goal!$C$3</f>
        <v>690000</v>
      </c>
    </row>
    <row r="1840" spans="1:13" x14ac:dyDescent="0.3">
      <c r="A1840" s="3">
        <v>45416</v>
      </c>
      <c r="B1840">
        <f t="shared" si="28"/>
        <v>2024</v>
      </c>
      <c r="C1840">
        <v>5</v>
      </c>
      <c r="D1840" t="s">
        <v>28</v>
      </c>
      <c r="E1840" t="s">
        <v>5</v>
      </c>
      <c r="F1840" s="2">
        <v>9363</v>
      </c>
      <c r="G1840" s="2">
        <f>Monthly_Growth!$C$18</f>
        <v>964404</v>
      </c>
      <c r="H1840" s="5">
        <f>Monthly_Growth!$D$18</f>
        <v>0.15741720852865568</v>
      </c>
      <c r="I1840" s="15">
        <f>Yearly_Growth!$C$3</f>
        <v>0.11893113731787852</v>
      </c>
      <c r="J1840" s="15">
        <f>Yearly_Growth!$D$3</f>
        <v>0.09</v>
      </c>
      <c r="K1840">
        <f>Sales_Per_Representative!$C$25</f>
        <v>749460</v>
      </c>
      <c r="L1840">
        <f>Sales_Per_Rep_Yearly_Goal!$B$3</f>
        <v>689907.8</v>
      </c>
      <c r="M1840">
        <f>Sales_Per_Rep_Yearly_Goal!$C$3</f>
        <v>690000</v>
      </c>
    </row>
    <row r="1841" spans="1:13" x14ac:dyDescent="0.3">
      <c r="A1841" s="3">
        <v>45417</v>
      </c>
      <c r="B1841">
        <f t="shared" si="28"/>
        <v>2024</v>
      </c>
      <c r="C1841">
        <v>5</v>
      </c>
      <c r="D1841" t="s">
        <v>19</v>
      </c>
      <c r="E1841" t="s">
        <v>20</v>
      </c>
      <c r="F1841" s="2">
        <v>10562</v>
      </c>
      <c r="G1841" s="2">
        <f>Monthly_Growth!$C$18</f>
        <v>964404</v>
      </c>
      <c r="H1841" s="5">
        <f>Monthly_Growth!$D$18</f>
        <v>0.15741720852865568</v>
      </c>
      <c r="I1841" s="15">
        <f>Yearly_Growth!$C$3</f>
        <v>0.11893113731787852</v>
      </c>
      <c r="J1841" s="15">
        <f>Yearly_Growth!$D$3</f>
        <v>0.09</v>
      </c>
      <c r="K1841">
        <f>Sales_Per_Representative!$C$29</f>
        <v>753085</v>
      </c>
      <c r="L1841">
        <f>Sales_Per_Rep_Yearly_Goal!$B$3</f>
        <v>689907.8</v>
      </c>
      <c r="M1841">
        <f>Sales_Per_Rep_Yearly_Goal!$C$3</f>
        <v>690000</v>
      </c>
    </row>
    <row r="1842" spans="1:13" x14ac:dyDescent="0.3">
      <c r="A1842" s="3">
        <v>45417</v>
      </c>
      <c r="B1842">
        <f t="shared" si="28"/>
        <v>2024</v>
      </c>
      <c r="C1842">
        <v>5</v>
      </c>
      <c r="D1842" t="s">
        <v>19</v>
      </c>
      <c r="E1842" t="s">
        <v>33</v>
      </c>
      <c r="F1842" s="2">
        <v>8078</v>
      </c>
      <c r="G1842" s="2">
        <f>Monthly_Growth!$C$18</f>
        <v>964404</v>
      </c>
      <c r="H1842" s="5">
        <f>Monthly_Growth!$D$18</f>
        <v>0.15741720852865568</v>
      </c>
      <c r="I1842" s="15">
        <f>Yearly_Growth!$C$3</f>
        <v>0.11893113731787852</v>
      </c>
      <c r="J1842" s="15">
        <f>Yearly_Growth!$D$3</f>
        <v>0.09</v>
      </c>
      <c r="K1842">
        <f>Sales_Per_Representative!$C$26</f>
        <v>501360</v>
      </c>
      <c r="L1842">
        <f>Sales_Per_Rep_Yearly_Goal!$B$3</f>
        <v>689907.8</v>
      </c>
      <c r="M1842">
        <f>Sales_Per_Rep_Yearly_Goal!$C$3</f>
        <v>690000</v>
      </c>
    </row>
    <row r="1843" spans="1:13" x14ac:dyDescent="0.3">
      <c r="A1843" s="3">
        <v>45417</v>
      </c>
      <c r="B1843">
        <f t="shared" si="28"/>
        <v>2024</v>
      </c>
      <c r="C1843">
        <v>5</v>
      </c>
      <c r="D1843" t="s">
        <v>17</v>
      </c>
      <c r="E1843" t="s">
        <v>22</v>
      </c>
      <c r="F1843" s="2">
        <v>9795</v>
      </c>
      <c r="G1843" s="2">
        <f>Monthly_Growth!$C$18</f>
        <v>964404</v>
      </c>
      <c r="H1843" s="5">
        <f>Monthly_Growth!$D$18</f>
        <v>0.15741720852865568</v>
      </c>
      <c r="I1843" s="15">
        <f>Yearly_Growth!$C$3</f>
        <v>0.11893113731787852</v>
      </c>
      <c r="J1843" s="15">
        <f>Yearly_Growth!$D$3</f>
        <v>0.09</v>
      </c>
      <c r="K1843">
        <f>Sales_Per_Representative!$C$23</f>
        <v>697444</v>
      </c>
      <c r="L1843">
        <f>Sales_Per_Rep_Yearly_Goal!$B$3</f>
        <v>689907.8</v>
      </c>
      <c r="M1843">
        <f>Sales_Per_Rep_Yearly_Goal!$C$3</f>
        <v>690000</v>
      </c>
    </row>
    <row r="1844" spans="1:13" x14ac:dyDescent="0.3">
      <c r="A1844" s="3">
        <v>45417</v>
      </c>
      <c r="B1844">
        <f t="shared" si="28"/>
        <v>2024</v>
      </c>
      <c r="C1844">
        <v>5</v>
      </c>
      <c r="D1844" t="s">
        <v>12</v>
      </c>
      <c r="E1844" t="s">
        <v>27</v>
      </c>
      <c r="F1844" s="2">
        <v>10317</v>
      </c>
      <c r="G1844" s="2">
        <f>Monthly_Growth!$C$18</f>
        <v>964404</v>
      </c>
      <c r="H1844" s="5">
        <f>Monthly_Growth!$D$18</f>
        <v>0.15741720852865568</v>
      </c>
      <c r="I1844" s="15">
        <f>Yearly_Growth!$C$3</f>
        <v>0.11893113731787852</v>
      </c>
      <c r="J1844" s="15">
        <f>Yearly_Growth!$D$3</f>
        <v>0.09</v>
      </c>
      <c r="K1844">
        <f>Sales_Per_Representative!$C$20</f>
        <v>685380</v>
      </c>
      <c r="L1844">
        <f>Sales_Per_Rep_Yearly_Goal!$B$3</f>
        <v>689907.8</v>
      </c>
      <c r="M1844">
        <f>Sales_Per_Rep_Yearly_Goal!$C$3</f>
        <v>690000</v>
      </c>
    </row>
    <row r="1845" spans="1:13" x14ac:dyDescent="0.3">
      <c r="A1845" s="3">
        <v>45418</v>
      </c>
      <c r="B1845">
        <f t="shared" si="28"/>
        <v>2024</v>
      </c>
      <c r="C1845">
        <v>5</v>
      </c>
      <c r="D1845" t="s">
        <v>19</v>
      </c>
      <c r="E1845" t="s">
        <v>15</v>
      </c>
      <c r="F1845" s="2">
        <v>4645</v>
      </c>
      <c r="G1845" s="2">
        <f>Monthly_Growth!$C$18</f>
        <v>964404</v>
      </c>
      <c r="H1845" s="5">
        <f>Monthly_Growth!$D$18</f>
        <v>0.15741720852865568</v>
      </c>
      <c r="I1845" s="15">
        <f>Yearly_Growth!$C$3</f>
        <v>0.11893113731787852</v>
      </c>
      <c r="J1845" s="15">
        <f>Yearly_Growth!$D$3</f>
        <v>0.09</v>
      </c>
      <c r="K1845">
        <f>Sales_Per_Representative!$C$27</f>
        <v>617202</v>
      </c>
      <c r="L1845">
        <f>Sales_Per_Rep_Yearly_Goal!$B$3</f>
        <v>689907.8</v>
      </c>
      <c r="M1845">
        <f>Sales_Per_Rep_Yearly_Goal!$C$3</f>
        <v>690000</v>
      </c>
    </row>
    <row r="1846" spans="1:13" x14ac:dyDescent="0.3">
      <c r="A1846" s="3">
        <v>45418</v>
      </c>
      <c r="B1846">
        <f t="shared" si="28"/>
        <v>2024</v>
      </c>
      <c r="C1846">
        <v>5</v>
      </c>
      <c r="D1846" t="s">
        <v>25</v>
      </c>
      <c r="E1846" t="s">
        <v>29</v>
      </c>
      <c r="F1846" s="2">
        <v>6029</v>
      </c>
      <c r="G1846" s="2">
        <f>Monthly_Growth!$C$18</f>
        <v>964404</v>
      </c>
      <c r="H1846" s="5">
        <f>Monthly_Growth!$D$18</f>
        <v>0.15741720852865568</v>
      </c>
      <c r="I1846" s="15">
        <f>Yearly_Growth!$C$3</f>
        <v>0.11893113731787852</v>
      </c>
      <c r="J1846" s="15">
        <f>Yearly_Growth!$D$3</f>
        <v>0.09</v>
      </c>
      <c r="K1846">
        <f>Sales_Per_Representative!$C$28</f>
        <v>691917</v>
      </c>
      <c r="L1846">
        <f>Sales_Per_Rep_Yearly_Goal!$B$3</f>
        <v>689907.8</v>
      </c>
      <c r="M1846">
        <f>Sales_Per_Rep_Yearly_Goal!$C$3</f>
        <v>690000</v>
      </c>
    </row>
    <row r="1847" spans="1:13" x14ac:dyDescent="0.3">
      <c r="A1847" s="3">
        <v>45418</v>
      </c>
      <c r="B1847">
        <f t="shared" si="28"/>
        <v>2024</v>
      </c>
      <c r="C1847">
        <v>5</v>
      </c>
      <c r="D1847" t="s">
        <v>28</v>
      </c>
      <c r="E1847" t="s">
        <v>18</v>
      </c>
      <c r="F1847" s="2">
        <v>3987</v>
      </c>
      <c r="G1847" s="2">
        <f>Monthly_Growth!$C$18</f>
        <v>964404</v>
      </c>
      <c r="H1847" s="5">
        <f>Monthly_Growth!$D$18</f>
        <v>0.15741720852865568</v>
      </c>
      <c r="I1847" s="15">
        <f>Yearly_Growth!$C$3</f>
        <v>0.11893113731787852</v>
      </c>
      <c r="J1847" s="15">
        <f>Yearly_Growth!$D$3</f>
        <v>0.09</v>
      </c>
      <c r="K1847">
        <f>Sales_Per_Representative!$C$24</f>
        <v>699277</v>
      </c>
      <c r="L1847">
        <f>Sales_Per_Rep_Yearly_Goal!$B$3</f>
        <v>689907.8</v>
      </c>
      <c r="M1847">
        <f>Sales_Per_Rep_Yearly_Goal!$C$3</f>
        <v>690000</v>
      </c>
    </row>
    <row r="1848" spans="1:13" x14ac:dyDescent="0.3">
      <c r="A1848" s="3">
        <v>45419</v>
      </c>
      <c r="B1848">
        <f t="shared" si="28"/>
        <v>2024</v>
      </c>
      <c r="C1848">
        <v>5</v>
      </c>
      <c r="D1848" t="s">
        <v>14</v>
      </c>
      <c r="E1848" t="s">
        <v>29</v>
      </c>
      <c r="F1848" s="2">
        <v>2820</v>
      </c>
      <c r="G1848" s="2">
        <f>Monthly_Growth!$C$18</f>
        <v>964404</v>
      </c>
      <c r="H1848" s="5">
        <f>Monthly_Growth!$D$18</f>
        <v>0.15741720852865568</v>
      </c>
      <c r="I1848" s="15">
        <f>Yearly_Growth!$C$3</f>
        <v>0.11893113731787852</v>
      </c>
      <c r="J1848" s="15">
        <f>Yearly_Growth!$D$3</f>
        <v>0.09</v>
      </c>
      <c r="K1848">
        <f>Sales_Per_Representative!$C$28</f>
        <v>691917</v>
      </c>
      <c r="L1848">
        <f>Sales_Per_Rep_Yearly_Goal!$B$3</f>
        <v>689907.8</v>
      </c>
      <c r="M1848">
        <f>Sales_Per_Rep_Yearly_Goal!$C$3</f>
        <v>690000</v>
      </c>
    </row>
    <row r="1849" spans="1:13" x14ac:dyDescent="0.3">
      <c r="A1849" s="3">
        <v>45419</v>
      </c>
      <c r="B1849">
        <f t="shared" si="28"/>
        <v>2024</v>
      </c>
      <c r="C1849">
        <v>5</v>
      </c>
      <c r="D1849" t="s">
        <v>14</v>
      </c>
      <c r="E1849" t="s">
        <v>32</v>
      </c>
      <c r="F1849" s="2">
        <v>4278</v>
      </c>
      <c r="G1849" s="2">
        <f>Monthly_Growth!$C$18</f>
        <v>964404</v>
      </c>
      <c r="H1849" s="5">
        <f>Monthly_Growth!$D$18</f>
        <v>0.15741720852865568</v>
      </c>
      <c r="I1849" s="15">
        <f>Yearly_Growth!$C$3</f>
        <v>0.11893113731787852</v>
      </c>
      <c r="J1849" s="15">
        <f>Yearly_Growth!$D$3</f>
        <v>0.09</v>
      </c>
      <c r="K1849">
        <f>Sales_Per_Representative!$C$18</f>
        <v>783907</v>
      </c>
      <c r="L1849">
        <f>Sales_Per_Rep_Yearly_Goal!$B$3</f>
        <v>689907.8</v>
      </c>
      <c r="M1849">
        <f>Sales_Per_Rep_Yearly_Goal!$C$3</f>
        <v>690000</v>
      </c>
    </row>
    <row r="1850" spans="1:13" x14ac:dyDescent="0.3">
      <c r="A1850" s="3">
        <v>45419</v>
      </c>
      <c r="B1850">
        <f t="shared" si="28"/>
        <v>2024</v>
      </c>
      <c r="C1850">
        <v>5</v>
      </c>
      <c r="D1850" t="s">
        <v>25</v>
      </c>
      <c r="E1850" t="s">
        <v>27</v>
      </c>
      <c r="F1850" s="2">
        <v>6954</v>
      </c>
      <c r="G1850" s="2">
        <f>Monthly_Growth!$C$18</f>
        <v>964404</v>
      </c>
      <c r="H1850" s="5">
        <f>Monthly_Growth!$D$18</f>
        <v>0.15741720852865568</v>
      </c>
      <c r="I1850" s="15">
        <f>Yearly_Growth!$C$3</f>
        <v>0.11893113731787852</v>
      </c>
      <c r="J1850" s="15">
        <f>Yearly_Growth!$D$3</f>
        <v>0.09</v>
      </c>
      <c r="K1850">
        <f>Sales_Per_Representative!$C$20</f>
        <v>685380</v>
      </c>
      <c r="L1850">
        <f>Sales_Per_Rep_Yearly_Goal!$B$3</f>
        <v>689907.8</v>
      </c>
      <c r="M1850">
        <f>Sales_Per_Rep_Yearly_Goal!$C$3</f>
        <v>690000</v>
      </c>
    </row>
    <row r="1851" spans="1:13" x14ac:dyDescent="0.3">
      <c r="A1851" s="3">
        <v>45419</v>
      </c>
      <c r="B1851">
        <f t="shared" si="28"/>
        <v>2024</v>
      </c>
      <c r="C1851">
        <v>5</v>
      </c>
      <c r="D1851" t="s">
        <v>17</v>
      </c>
      <c r="E1851" t="s">
        <v>27</v>
      </c>
      <c r="F1851" s="2">
        <v>10298</v>
      </c>
      <c r="G1851" s="2">
        <f>Monthly_Growth!$C$18</f>
        <v>964404</v>
      </c>
      <c r="H1851" s="5">
        <f>Monthly_Growth!$D$18</f>
        <v>0.15741720852865568</v>
      </c>
      <c r="I1851" s="15">
        <f>Yearly_Growth!$C$3</f>
        <v>0.11893113731787852</v>
      </c>
      <c r="J1851" s="15">
        <f>Yearly_Growth!$D$3</f>
        <v>0.09</v>
      </c>
      <c r="K1851">
        <f>Sales_Per_Representative!$C$20</f>
        <v>685380</v>
      </c>
      <c r="L1851">
        <f>Sales_Per_Rep_Yearly_Goal!$B$3</f>
        <v>689907.8</v>
      </c>
      <c r="M1851">
        <f>Sales_Per_Rep_Yearly_Goal!$C$3</f>
        <v>690000</v>
      </c>
    </row>
    <row r="1852" spans="1:13" x14ac:dyDescent="0.3">
      <c r="A1852" s="3">
        <v>45419</v>
      </c>
      <c r="B1852">
        <f t="shared" si="28"/>
        <v>2024</v>
      </c>
      <c r="C1852">
        <v>5</v>
      </c>
      <c r="D1852" t="s">
        <v>12</v>
      </c>
      <c r="E1852" t="s">
        <v>26</v>
      </c>
      <c r="F1852" s="2">
        <v>12929</v>
      </c>
      <c r="G1852" s="2">
        <f>Monthly_Growth!$C$18</f>
        <v>964404</v>
      </c>
      <c r="H1852" s="5">
        <f>Monthly_Growth!$D$18</f>
        <v>0.15741720852865568</v>
      </c>
      <c r="I1852" s="15">
        <f>Yearly_Growth!$C$3</f>
        <v>0.11893113731787852</v>
      </c>
      <c r="J1852" s="15">
        <f>Yearly_Growth!$D$3</f>
        <v>0.09</v>
      </c>
      <c r="K1852">
        <f>Sales_Per_Representative!$C$31</f>
        <v>664244</v>
      </c>
      <c r="L1852">
        <f>Sales_Per_Rep_Yearly_Goal!$B$3</f>
        <v>689907.8</v>
      </c>
      <c r="M1852">
        <f>Sales_Per_Rep_Yearly_Goal!$C$3</f>
        <v>690000</v>
      </c>
    </row>
    <row r="1853" spans="1:13" x14ac:dyDescent="0.3">
      <c r="A1853" s="3">
        <v>45419</v>
      </c>
      <c r="B1853">
        <f t="shared" si="28"/>
        <v>2024</v>
      </c>
      <c r="C1853">
        <v>5</v>
      </c>
      <c r="D1853" t="s">
        <v>12</v>
      </c>
      <c r="E1853" t="s">
        <v>31</v>
      </c>
      <c r="F1853" s="2">
        <v>11037</v>
      </c>
      <c r="G1853" s="2">
        <f>Monthly_Growth!$C$18</f>
        <v>964404</v>
      </c>
      <c r="H1853" s="5">
        <f>Monthly_Growth!$D$18</f>
        <v>0.15741720852865568</v>
      </c>
      <c r="I1853" s="15">
        <f>Yearly_Growth!$C$3</f>
        <v>0.11893113731787852</v>
      </c>
      <c r="J1853" s="15">
        <f>Yearly_Growth!$D$3</f>
        <v>0.09</v>
      </c>
      <c r="K1853">
        <f>Sales_Per_Representative!$C$21</f>
        <v>679421</v>
      </c>
      <c r="L1853">
        <f>Sales_Per_Rep_Yearly_Goal!$B$3</f>
        <v>689907.8</v>
      </c>
      <c r="M1853">
        <f>Sales_Per_Rep_Yearly_Goal!$C$3</f>
        <v>690000</v>
      </c>
    </row>
    <row r="1854" spans="1:13" x14ac:dyDescent="0.3">
      <c r="A1854" s="3">
        <v>45420</v>
      </c>
      <c r="B1854">
        <f t="shared" si="28"/>
        <v>2024</v>
      </c>
      <c r="C1854">
        <v>5</v>
      </c>
      <c r="D1854" t="s">
        <v>28</v>
      </c>
      <c r="E1854" t="s">
        <v>33</v>
      </c>
      <c r="F1854" s="2">
        <v>1326</v>
      </c>
      <c r="G1854" s="2">
        <f>Monthly_Growth!$C$18</f>
        <v>964404</v>
      </c>
      <c r="H1854" s="5">
        <f>Monthly_Growth!$D$18</f>
        <v>0.15741720852865568</v>
      </c>
      <c r="I1854" s="15">
        <f>Yearly_Growth!$C$3</f>
        <v>0.11893113731787852</v>
      </c>
      <c r="J1854" s="15">
        <f>Yearly_Growth!$D$3</f>
        <v>0.09</v>
      </c>
      <c r="K1854">
        <f>Sales_Per_Representative!$C$26</f>
        <v>501360</v>
      </c>
      <c r="L1854">
        <f>Sales_Per_Rep_Yearly_Goal!$B$3</f>
        <v>689907.8</v>
      </c>
      <c r="M1854">
        <f>Sales_Per_Rep_Yearly_Goal!$C$3</f>
        <v>690000</v>
      </c>
    </row>
    <row r="1855" spans="1:13" x14ac:dyDescent="0.3">
      <c r="A1855" s="3">
        <v>45421</v>
      </c>
      <c r="B1855">
        <f t="shared" si="28"/>
        <v>2024</v>
      </c>
      <c r="C1855">
        <v>5</v>
      </c>
      <c r="D1855" t="s">
        <v>17</v>
      </c>
      <c r="E1855" t="s">
        <v>8</v>
      </c>
      <c r="F1855" s="2">
        <v>8105</v>
      </c>
      <c r="G1855" s="2">
        <f>Monthly_Growth!$C$18</f>
        <v>964404</v>
      </c>
      <c r="H1855" s="5">
        <f>Monthly_Growth!$D$18</f>
        <v>0.15741720852865568</v>
      </c>
      <c r="I1855" s="15">
        <f>Yearly_Growth!$C$3</f>
        <v>0.11893113731787852</v>
      </c>
      <c r="J1855" s="15">
        <f>Yearly_Growth!$D$3</f>
        <v>0.09</v>
      </c>
      <c r="K1855">
        <f>Sales_Per_Representative!$C$30</f>
        <v>780006</v>
      </c>
      <c r="L1855">
        <f>Sales_Per_Rep_Yearly_Goal!$B$3</f>
        <v>689907.8</v>
      </c>
      <c r="M1855">
        <f>Sales_Per_Rep_Yearly_Goal!$C$3</f>
        <v>690000</v>
      </c>
    </row>
    <row r="1856" spans="1:13" x14ac:dyDescent="0.3">
      <c r="A1856" s="3">
        <v>45421</v>
      </c>
      <c r="B1856">
        <f t="shared" si="28"/>
        <v>2024</v>
      </c>
      <c r="C1856">
        <v>5</v>
      </c>
      <c r="D1856" t="s">
        <v>12</v>
      </c>
      <c r="E1856" t="s">
        <v>10</v>
      </c>
      <c r="F1856" s="2">
        <v>9548</v>
      </c>
      <c r="G1856" s="2">
        <f>Monthly_Growth!$C$18</f>
        <v>964404</v>
      </c>
      <c r="H1856" s="5">
        <f>Monthly_Growth!$D$18</f>
        <v>0.15741720852865568</v>
      </c>
      <c r="I1856" s="15">
        <f>Yearly_Growth!$C$3</f>
        <v>0.11893113731787852</v>
      </c>
      <c r="J1856" s="15">
        <f>Yearly_Growth!$D$3</f>
        <v>0.09</v>
      </c>
      <c r="K1856">
        <f>Sales_Per_Representative!$C$19</f>
        <v>711816</v>
      </c>
      <c r="L1856">
        <f>Sales_Per_Rep_Yearly_Goal!$B$3</f>
        <v>689907.8</v>
      </c>
      <c r="M1856">
        <f>Sales_Per_Rep_Yearly_Goal!$C$3</f>
        <v>690000</v>
      </c>
    </row>
    <row r="1857" spans="1:13" x14ac:dyDescent="0.3">
      <c r="A1857" s="3">
        <v>45422</v>
      </c>
      <c r="B1857">
        <f t="shared" si="28"/>
        <v>2024</v>
      </c>
      <c r="C1857">
        <v>5</v>
      </c>
      <c r="D1857" t="s">
        <v>19</v>
      </c>
      <c r="E1857" t="s">
        <v>18</v>
      </c>
      <c r="F1857" s="2">
        <v>5586</v>
      </c>
      <c r="G1857" s="2">
        <f>Monthly_Growth!$C$18</f>
        <v>964404</v>
      </c>
      <c r="H1857" s="5">
        <f>Monthly_Growth!$D$18</f>
        <v>0.15741720852865568</v>
      </c>
      <c r="I1857" s="15">
        <f>Yearly_Growth!$C$3</f>
        <v>0.11893113731787852</v>
      </c>
      <c r="J1857" s="15">
        <f>Yearly_Growth!$D$3</f>
        <v>0.09</v>
      </c>
      <c r="K1857">
        <f>Sales_Per_Representative!$C$24</f>
        <v>699277</v>
      </c>
      <c r="L1857">
        <f>Sales_Per_Rep_Yearly_Goal!$B$3</f>
        <v>689907.8</v>
      </c>
      <c r="M1857">
        <f>Sales_Per_Rep_Yearly_Goal!$C$3</f>
        <v>690000</v>
      </c>
    </row>
    <row r="1858" spans="1:13" x14ac:dyDescent="0.3">
      <c r="A1858" s="3">
        <v>45422</v>
      </c>
      <c r="B1858">
        <f t="shared" si="28"/>
        <v>2024</v>
      </c>
      <c r="C1858">
        <v>5</v>
      </c>
      <c r="D1858" t="s">
        <v>25</v>
      </c>
      <c r="E1858" t="s">
        <v>24</v>
      </c>
      <c r="F1858" s="2">
        <v>3614</v>
      </c>
      <c r="G1858" s="2">
        <f>Monthly_Growth!$C$18</f>
        <v>964404</v>
      </c>
      <c r="H1858" s="5">
        <f>Monthly_Growth!$D$18</f>
        <v>0.15741720852865568</v>
      </c>
      <c r="I1858" s="15">
        <f>Yearly_Growth!$C$3</f>
        <v>0.11893113731787852</v>
      </c>
      <c r="J1858" s="15">
        <f>Yearly_Growth!$D$3</f>
        <v>0.09</v>
      </c>
      <c r="K1858">
        <f>Sales_Per_Representative!$C$17</f>
        <v>633956</v>
      </c>
      <c r="L1858">
        <f>Sales_Per_Rep_Yearly_Goal!$B$3</f>
        <v>689907.8</v>
      </c>
      <c r="M1858">
        <f>Sales_Per_Rep_Yearly_Goal!$C$3</f>
        <v>690000</v>
      </c>
    </row>
    <row r="1859" spans="1:13" x14ac:dyDescent="0.3">
      <c r="A1859" s="3">
        <v>45422</v>
      </c>
      <c r="B1859">
        <f t="shared" ref="B1859:B1922" si="29">YEAR(A1859)</f>
        <v>2024</v>
      </c>
      <c r="C1859">
        <v>5</v>
      </c>
      <c r="D1859" t="s">
        <v>25</v>
      </c>
      <c r="E1859" t="s">
        <v>29</v>
      </c>
      <c r="F1859" s="2">
        <v>6041</v>
      </c>
      <c r="G1859" s="2">
        <f>Monthly_Growth!$C$18</f>
        <v>964404</v>
      </c>
      <c r="H1859" s="5">
        <f>Monthly_Growth!$D$18</f>
        <v>0.15741720852865568</v>
      </c>
      <c r="I1859" s="15">
        <f>Yearly_Growth!$C$3</f>
        <v>0.11893113731787852</v>
      </c>
      <c r="J1859" s="15">
        <f>Yearly_Growth!$D$3</f>
        <v>0.09</v>
      </c>
      <c r="K1859">
        <f>Sales_Per_Representative!$C$28</f>
        <v>691917</v>
      </c>
      <c r="L1859">
        <f>Sales_Per_Rep_Yearly_Goal!$B$3</f>
        <v>689907.8</v>
      </c>
      <c r="M1859">
        <f>Sales_Per_Rep_Yearly_Goal!$C$3</f>
        <v>690000</v>
      </c>
    </row>
    <row r="1860" spans="1:13" x14ac:dyDescent="0.3">
      <c r="A1860" s="3">
        <v>45422</v>
      </c>
      <c r="B1860">
        <f t="shared" si="29"/>
        <v>2024</v>
      </c>
      <c r="C1860">
        <v>5</v>
      </c>
      <c r="D1860" t="s">
        <v>7</v>
      </c>
      <c r="E1860" t="s">
        <v>31</v>
      </c>
      <c r="F1860" s="2">
        <v>2222</v>
      </c>
      <c r="G1860" s="2">
        <f>Monthly_Growth!$C$18</f>
        <v>964404</v>
      </c>
      <c r="H1860" s="5">
        <f>Monthly_Growth!$D$18</f>
        <v>0.15741720852865568</v>
      </c>
      <c r="I1860" s="15">
        <f>Yearly_Growth!$C$3</f>
        <v>0.11893113731787852</v>
      </c>
      <c r="J1860" s="15">
        <f>Yearly_Growth!$D$3</f>
        <v>0.09</v>
      </c>
      <c r="K1860">
        <f>Sales_Per_Representative!$C$21</f>
        <v>679421</v>
      </c>
      <c r="L1860">
        <f>Sales_Per_Rep_Yearly_Goal!$B$3</f>
        <v>689907.8</v>
      </c>
      <c r="M1860">
        <f>Sales_Per_Rep_Yearly_Goal!$C$3</f>
        <v>690000</v>
      </c>
    </row>
    <row r="1861" spans="1:13" x14ac:dyDescent="0.3">
      <c r="A1861" s="3">
        <v>45422</v>
      </c>
      <c r="B1861">
        <f t="shared" si="29"/>
        <v>2024</v>
      </c>
      <c r="C1861">
        <v>5</v>
      </c>
      <c r="D1861" t="s">
        <v>7</v>
      </c>
      <c r="E1861" t="s">
        <v>30</v>
      </c>
      <c r="F1861" s="2">
        <v>4528</v>
      </c>
      <c r="G1861" s="2">
        <f>Monthly_Growth!$C$18</f>
        <v>964404</v>
      </c>
      <c r="H1861" s="5">
        <f>Monthly_Growth!$D$18</f>
        <v>0.15741720852865568</v>
      </c>
      <c r="I1861" s="15">
        <f>Yearly_Growth!$C$3</f>
        <v>0.11893113731787852</v>
      </c>
      <c r="J1861" s="15">
        <f>Yearly_Growth!$D$3</f>
        <v>0.09</v>
      </c>
      <c r="K1861">
        <f>Sales_Per_Representative!$C$22</f>
        <v>700142</v>
      </c>
      <c r="L1861">
        <f>Sales_Per_Rep_Yearly_Goal!$B$3</f>
        <v>689907.8</v>
      </c>
      <c r="M1861">
        <f>Sales_Per_Rep_Yearly_Goal!$C$3</f>
        <v>690000</v>
      </c>
    </row>
    <row r="1862" spans="1:13" x14ac:dyDescent="0.3">
      <c r="A1862" s="3">
        <v>45422</v>
      </c>
      <c r="B1862">
        <f t="shared" si="29"/>
        <v>2024</v>
      </c>
      <c r="C1862">
        <v>5</v>
      </c>
      <c r="D1862" t="s">
        <v>12</v>
      </c>
      <c r="E1862" t="s">
        <v>27</v>
      </c>
      <c r="F1862" s="2">
        <v>6935</v>
      </c>
      <c r="G1862" s="2">
        <f>Monthly_Growth!$C$18</f>
        <v>964404</v>
      </c>
      <c r="H1862" s="5">
        <f>Monthly_Growth!$D$18</f>
        <v>0.15741720852865568</v>
      </c>
      <c r="I1862" s="15">
        <f>Yearly_Growth!$C$3</f>
        <v>0.11893113731787852</v>
      </c>
      <c r="J1862" s="15">
        <f>Yearly_Growth!$D$3</f>
        <v>0.09</v>
      </c>
      <c r="K1862">
        <f>Sales_Per_Representative!$C$20</f>
        <v>685380</v>
      </c>
      <c r="L1862">
        <f>Sales_Per_Rep_Yearly_Goal!$B$3</f>
        <v>689907.8</v>
      </c>
      <c r="M1862">
        <f>Sales_Per_Rep_Yearly_Goal!$C$3</f>
        <v>690000</v>
      </c>
    </row>
    <row r="1863" spans="1:13" x14ac:dyDescent="0.3">
      <c r="A1863" s="3">
        <v>45423</v>
      </c>
      <c r="B1863">
        <f t="shared" si="29"/>
        <v>2024</v>
      </c>
      <c r="C1863">
        <v>5</v>
      </c>
      <c r="D1863" t="s">
        <v>23</v>
      </c>
      <c r="E1863" t="s">
        <v>24</v>
      </c>
      <c r="F1863" s="2">
        <v>6559</v>
      </c>
      <c r="G1863" s="2">
        <f>Monthly_Growth!$C$18</f>
        <v>964404</v>
      </c>
      <c r="H1863" s="5">
        <f>Monthly_Growth!$D$18</f>
        <v>0.15741720852865568</v>
      </c>
      <c r="I1863" s="15">
        <f>Yearly_Growth!$C$3</f>
        <v>0.11893113731787852</v>
      </c>
      <c r="J1863" s="15">
        <f>Yearly_Growth!$D$3</f>
        <v>0.09</v>
      </c>
      <c r="K1863">
        <f>Sales_Per_Representative!$C$17</f>
        <v>633956</v>
      </c>
      <c r="L1863">
        <f>Sales_Per_Rep_Yearly_Goal!$B$3</f>
        <v>689907.8</v>
      </c>
      <c r="M1863">
        <f>Sales_Per_Rep_Yearly_Goal!$C$3</f>
        <v>690000</v>
      </c>
    </row>
    <row r="1864" spans="1:13" x14ac:dyDescent="0.3">
      <c r="A1864" s="3">
        <v>45423</v>
      </c>
      <c r="B1864">
        <f t="shared" si="29"/>
        <v>2024</v>
      </c>
      <c r="C1864">
        <v>5</v>
      </c>
      <c r="D1864" t="s">
        <v>25</v>
      </c>
      <c r="E1864" t="s">
        <v>15</v>
      </c>
      <c r="F1864" s="2">
        <v>13463</v>
      </c>
      <c r="G1864" s="2">
        <f>Monthly_Growth!$C$18</f>
        <v>964404</v>
      </c>
      <c r="H1864" s="5">
        <f>Monthly_Growth!$D$18</f>
        <v>0.15741720852865568</v>
      </c>
      <c r="I1864" s="15">
        <f>Yearly_Growth!$C$3</f>
        <v>0.11893113731787852</v>
      </c>
      <c r="J1864" s="15">
        <f>Yearly_Growth!$D$3</f>
        <v>0.09</v>
      </c>
      <c r="K1864">
        <f>Sales_Per_Representative!$C$27</f>
        <v>617202</v>
      </c>
      <c r="L1864">
        <f>Sales_Per_Rep_Yearly_Goal!$B$3</f>
        <v>689907.8</v>
      </c>
      <c r="M1864">
        <f>Sales_Per_Rep_Yearly_Goal!$C$3</f>
        <v>690000</v>
      </c>
    </row>
    <row r="1865" spans="1:13" x14ac:dyDescent="0.3">
      <c r="A1865" s="3">
        <v>45423</v>
      </c>
      <c r="B1865">
        <f t="shared" si="29"/>
        <v>2024</v>
      </c>
      <c r="C1865">
        <v>5</v>
      </c>
      <c r="D1865" t="s">
        <v>7</v>
      </c>
      <c r="E1865" t="s">
        <v>24</v>
      </c>
      <c r="F1865" s="2">
        <v>9935</v>
      </c>
      <c r="G1865" s="2">
        <f>Monthly_Growth!$C$18</f>
        <v>964404</v>
      </c>
      <c r="H1865" s="5">
        <f>Monthly_Growth!$D$18</f>
        <v>0.15741720852865568</v>
      </c>
      <c r="I1865" s="15">
        <f>Yearly_Growth!$C$3</f>
        <v>0.11893113731787852</v>
      </c>
      <c r="J1865" s="15">
        <f>Yearly_Growth!$D$3</f>
        <v>0.09</v>
      </c>
      <c r="K1865">
        <f>Sales_Per_Representative!$C$17</f>
        <v>633956</v>
      </c>
      <c r="L1865">
        <f>Sales_Per_Rep_Yearly_Goal!$B$3</f>
        <v>689907.8</v>
      </c>
      <c r="M1865">
        <f>Sales_Per_Rep_Yearly_Goal!$C$3</f>
        <v>690000</v>
      </c>
    </row>
    <row r="1866" spans="1:13" x14ac:dyDescent="0.3">
      <c r="A1866" s="3">
        <v>45423</v>
      </c>
      <c r="B1866">
        <f t="shared" si="29"/>
        <v>2024</v>
      </c>
      <c r="C1866">
        <v>5</v>
      </c>
      <c r="D1866" t="s">
        <v>28</v>
      </c>
      <c r="E1866" t="s">
        <v>30</v>
      </c>
      <c r="F1866" s="2">
        <v>2419</v>
      </c>
      <c r="G1866" s="2">
        <f>Monthly_Growth!$C$18</f>
        <v>964404</v>
      </c>
      <c r="H1866" s="5">
        <f>Monthly_Growth!$D$18</f>
        <v>0.15741720852865568</v>
      </c>
      <c r="I1866" s="15">
        <f>Yearly_Growth!$C$3</f>
        <v>0.11893113731787852</v>
      </c>
      <c r="J1866" s="15">
        <f>Yearly_Growth!$D$3</f>
        <v>0.09</v>
      </c>
      <c r="K1866">
        <f>Sales_Per_Representative!$C$22</f>
        <v>700142</v>
      </c>
      <c r="L1866">
        <f>Sales_Per_Rep_Yearly_Goal!$B$3</f>
        <v>689907.8</v>
      </c>
      <c r="M1866">
        <f>Sales_Per_Rep_Yearly_Goal!$C$3</f>
        <v>690000</v>
      </c>
    </row>
    <row r="1867" spans="1:13" x14ac:dyDescent="0.3">
      <c r="A1867" s="3">
        <v>45424</v>
      </c>
      <c r="B1867">
        <f t="shared" si="29"/>
        <v>2024</v>
      </c>
      <c r="C1867">
        <v>5</v>
      </c>
      <c r="D1867" t="s">
        <v>14</v>
      </c>
      <c r="E1867" t="s">
        <v>33</v>
      </c>
      <c r="F1867" s="2">
        <v>9391</v>
      </c>
      <c r="G1867" s="2">
        <f>Monthly_Growth!$C$18</f>
        <v>964404</v>
      </c>
      <c r="H1867" s="5">
        <f>Monthly_Growth!$D$18</f>
        <v>0.15741720852865568</v>
      </c>
      <c r="I1867" s="15">
        <f>Yearly_Growth!$C$3</f>
        <v>0.11893113731787852</v>
      </c>
      <c r="J1867" s="15">
        <f>Yearly_Growth!$D$3</f>
        <v>0.09</v>
      </c>
      <c r="K1867">
        <f>Sales_Per_Representative!$C$26</f>
        <v>501360</v>
      </c>
      <c r="L1867">
        <f>Sales_Per_Rep_Yearly_Goal!$B$3</f>
        <v>689907.8</v>
      </c>
      <c r="M1867">
        <f>Sales_Per_Rep_Yearly_Goal!$C$3</f>
        <v>690000</v>
      </c>
    </row>
    <row r="1868" spans="1:13" x14ac:dyDescent="0.3">
      <c r="A1868" s="3">
        <v>45424</v>
      </c>
      <c r="B1868">
        <f t="shared" si="29"/>
        <v>2024</v>
      </c>
      <c r="C1868">
        <v>5</v>
      </c>
      <c r="D1868" t="s">
        <v>25</v>
      </c>
      <c r="E1868" t="s">
        <v>30</v>
      </c>
      <c r="F1868" s="2">
        <v>11271</v>
      </c>
      <c r="G1868" s="2">
        <f>Monthly_Growth!$C$18</f>
        <v>964404</v>
      </c>
      <c r="H1868" s="5">
        <f>Monthly_Growth!$D$18</f>
        <v>0.15741720852865568</v>
      </c>
      <c r="I1868" s="15">
        <f>Yearly_Growth!$C$3</f>
        <v>0.11893113731787852</v>
      </c>
      <c r="J1868" s="15">
        <f>Yearly_Growth!$D$3</f>
        <v>0.09</v>
      </c>
      <c r="K1868">
        <f>Sales_Per_Representative!$C$22</f>
        <v>700142</v>
      </c>
      <c r="L1868">
        <f>Sales_Per_Rep_Yearly_Goal!$B$3</f>
        <v>689907.8</v>
      </c>
      <c r="M1868">
        <f>Sales_Per_Rep_Yearly_Goal!$C$3</f>
        <v>690000</v>
      </c>
    </row>
    <row r="1869" spans="1:13" x14ac:dyDescent="0.3">
      <c r="A1869" s="3">
        <v>45424</v>
      </c>
      <c r="B1869">
        <f t="shared" si="29"/>
        <v>2024</v>
      </c>
      <c r="C1869">
        <v>5</v>
      </c>
      <c r="D1869" t="s">
        <v>25</v>
      </c>
      <c r="E1869" t="s">
        <v>10</v>
      </c>
      <c r="F1869" s="2">
        <v>10228</v>
      </c>
      <c r="G1869" s="2">
        <f>Monthly_Growth!$C$18</f>
        <v>964404</v>
      </c>
      <c r="H1869" s="5">
        <f>Monthly_Growth!$D$18</f>
        <v>0.15741720852865568</v>
      </c>
      <c r="I1869" s="15">
        <f>Yearly_Growth!$C$3</f>
        <v>0.11893113731787852</v>
      </c>
      <c r="J1869" s="15">
        <f>Yearly_Growth!$D$3</f>
        <v>0.09</v>
      </c>
      <c r="K1869">
        <f>Sales_Per_Representative!$C$19</f>
        <v>711816</v>
      </c>
      <c r="L1869">
        <f>Sales_Per_Rep_Yearly_Goal!$B$3</f>
        <v>689907.8</v>
      </c>
      <c r="M1869">
        <f>Sales_Per_Rep_Yearly_Goal!$C$3</f>
        <v>690000</v>
      </c>
    </row>
    <row r="1870" spans="1:13" x14ac:dyDescent="0.3">
      <c r="A1870" s="3">
        <v>45425</v>
      </c>
      <c r="B1870">
        <f t="shared" si="29"/>
        <v>2024</v>
      </c>
      <c r="C1870">
        <v>5</v>
      </c>
      <c r="D1870" t="s">
        <v>14</v>
      </c>
      <c r="E1870" t="s">
        <v>5</v>
      </c>
      <c r="F1870" s="2">
        <v>6429</v>
      </c>
      <c r="G1870" s="2">
        <f>Monthly_Growth!$C$18</f>
        <v>964404</v>
      </c>
      <c r="H1870" s="5">
        <f>Monthly_Growth!$D$18</f>
        <v>0.15741720852865568</v>
      </c>
      <c r="I1870" s="15">
        <f>Yearly_Growth!$C$3</f>
        <v>0.11893113731787852</v>
      </c>
      <c r="J1870" s="15">
        <f>Yearly_Growth!$D$3</f>
        <v>0.09</v>
      </c>
      <c r="K1870">
        <f>Sales_Per_Representative!$C$25</f>
        <v>749460</v>
      </c>
      <c r="L1870">
        <f>Sales_Per_Rep_Yearly_Goal!$B$3</f>
        <v>689907.8</v>
      </c>
      <c r="M1870">
        <f>Sales_Per_Rep_Yearly_Goal!$C$3</f>
        <v>690000</v>
      </c>
    </row>
    <row r="1871" spans="1:13" x14ac:dyDescent="0.3">
      <c r="A1871" s="3">
        <v>45425</v>
      </c>
      <c r="B1871">
        <f t="shared" si="29"/>
        <v>2024</v>
      </c>
      <c r="C1871">
        <v>5</v>
      </c>
      <c r="D1871" t="s">
        <v>14</v>
      </c>
      <c r="E1871" t="s">
        <v>26</v>
      </c>
      <c r="F1871" s="2">
        <v>2937</v>
      </c>
      <c r="G1871" s="2">
        <f>Monthly_Growth!$C$18</f>
        <v>964404</v>
      </c>
      <c r="H1871" s="5">
        <f>Monthly_Growth!$D$18</f>
        <v>0.15741720852865568</v>
      </c>
      <c r="I1871" s="15">
        <f>Yearly_Growth!$C$3</f>
        <v>0.11893113731787852</v>
      </c>
      <c r="J1871" s="15">
        <f>Yearly_Growth!$D$3</f>
        <v>0.09</v>
      </c>
      <c r="K1871">
        <f>Sales_Per_Representative!$C$31</f>
        <v>664244</v>
      </c>
      <c r="L1871">
        <f>Sales_Per_Rep_Yearly_Goal!$B$3</f>
        <v>689907.8</v>
      </c>
      <c r="M1871">
        <f>Sales_Per_Rep_Yearly_Goal!$C$3</f>
        <v>690000</v>
      </c>
    </row>
    <row r="1872" spans="1:13" x14ac:dyDescent="0.3">
      <c r="A1872" s="3">
        <v>45425</v>
      </c>
      <c r="B1872">
        <f t="shared" si="29"/>
        <v>2024</v>
      </c>
      <c r="C1872">
        <v>5</v>
      </c>
      <c r="D1872" t="s">
        <v>17</v>
      </c>
      <c r="E1872" t="s">
        <v>15</v>
      </c>
      <c r="F1872" s="2">
        <v>10337</v>
      </c>
      <c r="G1872" s="2">
        <f>Monthly_Growth!$C$18</f>
        <v>964404</v>
      </c>
      <c r="H1872" s="5">
        <f>Monthly_Growth!$D$18</f>
        <v>0.15741720852865568</v>
      </c>
      <c r="I1872" s="15">
        <f>Yearly_Growth!$C$3</f>
        <v>0.11893113731787852</v>
      </c>
      <c r="J1872" s="15">
        <f>Yearly_Growth!$D$3</f>
        <v>0.09</v>
      </c>
      <c r="K1872">
        <f>Sales_Per_Representative!$C$27</f>
        <v>617202</v>
      </c>
      <c r="L1872">
        <f>Sales_Per_Rep_Yearly_Goal!$B$3</f>
        <v>689907.8</v>
      </c>
      <c r="M1872">
        <f>Sales_Per_Rep_Yearly_Goal!$C$3</f>
        <v>690000</v>
      </c>
    </row>
    <row r="1873" spans="1:13" x14ac:dyDescent="0.3">
      <c r="A1873" s="3">
        <v>45425</v>
      </c>
      <c r="B1873">
        <f t="shared" si="29"/>
        <v>2024</v>
      </c>
      <c r="C1873">
        <v>5</v>
      </c>
      <c r="D1873" t="s">
        <v>12</v>
      </c>
      <c r="E1873" t="s">
        <v>32</v>
      </c>
      <c r="F1873" s="2">
        <v>9711</v>
      </c>
      <c r="G1873" s="2">
        <f>Monthly_Growth!$C$18</f>
        <v>964404</v>
      </c>
      <c r="H1873" s="5">
        <f>Monthly_Growth!$D$18</f>
        <v>0.15741720852865568</v>
      </c>
      <c r="I1873" s="15">
        <f>Yearly_Growth!$C$3</f>
        <v>0.11893113731787852</v>
      </c>
      <c r="J1873" s="15">
        <f>Yearly_Growth!$D$3</f>
        <v>0.09</v>
      </c>
      <c r="K1873">
        <f>Sales_Per_Representative!$C$18</f>
        <v>783907</v>
      </c>
      <c r="L1873">
        <f>Sales_Per_Rep_Yearly_Goal!$B$3</f>
        <v>689907.8</v>
      </c>
      <c r="M1873">
        <f>Sales_Per_Rep_Yearly_Goal!$C$3</f>
        <v>690000</v>
      </c>
    </row>
    <row r="1874" spans="1:13" x14ac:dyDescent="0.3">
      <c r="A1874" s="3">
        <v>45426</v>
      </c>
      <c r="B1874">
        <f t="shared" si="29"/>
        <v>2024</v>
      </c>
      <c r="C1874">
        <v>5</v>
      </c>
      <c r="D1874" t="s">
        <v>14</v>
      </c>
      <c r="E1874" t="s">
        <v>32</v>
      </c>
      <c r="F1874" s="2">
        <v>12492</v>
      </c>
      <c r="G1874" s="2">
        <f>Monthly_Growth!$C$18</f>
        <v>964404</v>
      </c>
      <c r="H1874" s="5">
        <f>Monthly_Growth!$D$18</f>
        <v>0.15741720852865568</v>
      </c>
      <c r="I1874" s="15">
        <f>Yearly_Growth!$C$3</f>
        <v>0.11893113731787852</v>
      </c>
      <c r="J1874" s="15">
        <f>Yearly_Growth!$D$3</f>
        <v>0.09</v>
      </c>
      <c r="K1874">
        <f>Sales_Per_Representative!$C$18</f>
        <v>783907</v>
      </c>
      <c r="L1874">
        <f>Sales_Per_Rep_Yearly_Goal!$B$3</f>
        <v>689907.8</v>
      </c>
      <c r="M1874">
        <f>Sales_Per_Rep_Yearly_Goal!$C$3</f>
        <v>690000</v>
      </c>
    </row>
    <row r="1875" spans="1:13" x14ac:dyDescent="0.3">
      <c r="A1875" s="3">
        <v>45426</v>
      </c>
      <c r="B1875">
        <f t="shared" si="29"/>
        <v>2024</v>
      </c>
      <c r="C1875">
        <v>5</v>
      </c>
      <c r="D1875" t="s">
        <v>17</v>
      </c>
      <c r="E1875" t="s">
        <v>31</v>
      </c>
      <c r="F1875" s="2">
        <v>2073</v>
      </c>
      <c r="G1875" s="2">
        <f>Monthly_Growth!$C$18</f>
        <v>964404</v>
      </c>
      <c r="H1875" s="5">
        <f>Monthly_Growth!$D$18</f>
        <v>0.15741720852865568</v>
      </c>
      <c r="I1875" s="15">
        <f>Yearly_Growth!$C$3</f>
        <v>0.11893113731787852</v>
      </c>
      <c r="J1875" s="15">
        <f>Yearly_Growth!$D$3</f>
        <v>0.09</v>
      </c>
      <c r="K1875">
        <f>Sales_Per_Representative!$C$21</f>
        <v>679421</v>
      </c>
      <c r="L1875">
        <f>Sales_Per_Rep_Yearly_Goal!$B$3</f>
        <v>689907.8</v>
      </c>
      <c r="M1875">
        <f>Sales_Per_Rep_Yearly_Goal!$C$3</f>
        <v>690000</v>
      </c>
    </row>
    <row r="1876" spans="1:13" x14ac:dyDescent="0.3">
      <c r="A1876" s="3">
        <v>45426</v>
      </c>
      <c r="B1876">
        <f t="shared" si="29"/>
        <v>2024</v>
      </c>
      <c r="C1876">
        <v>5</v>
      </c>
      <c r="D1876" t="s">
        <v>17</v>
      </c>
      <c r="E1876" t="s">
        <v>26</v>
      </c>
      <c r="F1876" s="2">
        <v>6292</v>
      </c>
      <c r="G1876" s="2">
        <f>Monthly_Growth!$C$18</f>
        <v>964404</v>
      </c>
      <c r="H1876" s="5">
        <f>Monthly_Growth!$D$18</f>
        <v>0.15741720852865568</v>
      </c>
      <c r="I1876" s="15">
        <f>Yearly_Growth!$C$3</f>
        <v>0.11893113731787852</v>
      </c>
      <c r="J1876" s="15">
        <f>Yearly_Growth!$D$3</f>
        <v>0.09</v>
      </c>
      <c r="K1876">
        <f>Sales_Per_Representative!$C$31</f>
        <v>664244</v>
      </c>
      <c r="L1876">
        <f>Sales_Per_Rep_Yearly_Goal!$B$3</f>
        <v>689907.8</v>
      </c>
      <c r="M1876">
        <f>Sales_Per_Rep_Yearly_Goal!$C$3</f>
        <v>690000</v>
      </c>
    </row>
    <row r="1877" spans="1:13" x14ac:dyDescent="0.3">
      <c r="A1877" s="3">
        <v>45427</v>
      </c>
      <c r="B1877">
        <f t="shared" si="29"/>
        <v>2024</v>
      </c>
      <c r="C1877">
        <v>5</v>
      </c>
      <c r="D1877" t="s">
        <v>14</v>
      </c>
      <c r="E1877" t="s">
        <v>8</v>
      </c>
      <c r="F1877" s="2">
        <v>10120</v>
      </c>
      <c r="G1877" s="2">
        <f>Monthly_Growth!$C$18</f>
        <v>964404</v>
      </c>
      <c r="H1877" s="5">
        <f>Monthly_Growth!$D$18</f>
        <v>0.15741720852865568</v>
      </c>
      <c r="I1877" s="15">
        <f>Yearly_Growth!$C$3</f>
        <v>0.11893113731787852</v>
      </c>
      <c r="J1877" s="15">
        <f>Yearly_Growth!$D$3</f>
        <v>0.09</v>
      </c>
      <c r="K1877">
        <f>Sales_Per_Representative!$C$30</f>
        <v>780006</v>
      </c>
      <c r="L1877">
        <f>Sales_Per_Rep_Yearly_Goal!$B$3</f>
        <v>689907.8</v>
      </c>
      <c r="M1877">
        <f>Sales_Per_Rep_Yearly_Goal!$C$3</f>
        <v>690000</v>
      </c>
    </row>
    <row r="1878" spans="1:13" x14ac:dyDescent="0.3">
      <c r="A1878" s="3">
        <v>45427</v>
      </c>
      <c r="B1878">
        <f t="shared" si="29"/>
        <v>2024</v>
      </c>
      <c r="C1878">
        <v>5</v>
      </c>
      <c r="D1878" t="s">
        <v>25</v>
      </c>
      <c r="E1878" t="s">
        <v>26</v>
      </c>
      <c r="F1878" s="2">
        <v>3432</v>
      </c>
      <c r="G1878" s="2">
        <f>Monthly_Growth!$C$18</f>
        <v>964404</v>
      </c>
      <c r="H1878" s="5">
        <f>Monthly_Growth!$D$18</f>
        <v>0.15741720852865568</v>
      </c>
      <c r="I1878" s="15">
        <f>Yearly_Growth!$C$3</f>
        <v>0.11893113731787852</v>
      </c>
      <c r="J1878" s="15">
        <f>Yearly_Growth!$D$3</f>
        <v>0.09</v>
      </c>
      <c r="K1878">
        <f>Sales_Per_Representative!$C$31</f>
        <v>664244</v>
      </c>
      <c r="L1878">
        <f>Sales_Per_Rep_Yearly_Goal!$B$3</f>
        <v>689907.8</v>
      </c>
      <c r="M1878">
        <f>Sales_Per_Rep_Yearly_Goal!$C$3</f>
        <v>690000</v>
      </c>
    </row>
    <row r="1879" spans="1:13" x14ac:dyDescent="0.3">
      <c r="A1879" s="3">
        <v>45427</v>
      </c>
      <c r="B1879">
        <f t="shared" si="29"/>
        <v>2024</v>
      </c>
      <c r="C1879">
        <v>5</v>
      </c>
      <c r="D1879" t="s">
        <v>28</v>
      </c>
      <c r="E1879" t="s">
        <v>24</v>
      </c>
      <c r="F1879" s="2">
        <v>8263</v>
      </c>
      <c r="G1879" s="2">
        <f>Monthly_Growth!$C$18</f>
        <v>964404</v>
      </c>
      <c r="H1879" s="5">
        <f>Monthly_Growth!$D$18</f>
        <v>0.15741720852865568</v>
      </c>
      <c r="I1879" s="15">
        <f>Yearly_Growth!$C$3</f>
        <v>0.11893113731787852</v>
      </c>
      <c r="J1879" s="15">
        <f>Yearly_Growth!$D$3</f>
        <v>0.09</v>
      </c>
      <c r="K1879">
        <f>Sales_Per_Representative!$C$17</f>
        <v>633956</v>
      </c>
      <c r="L1879">
        <f>Sales_Per_Rep_Yearly_Goal!$B$3</f>
        <v>689907.8</v>
      </c>
      <c r="M1879">
        <f>Sales_Per_Rep_Yearly_Goal!$C$3</f>
        <v>690000</v>
      </c>
    </row>
    <row r="1880" spans="1:13" x14ac:dyDescent="0.3">
      <c r="A1880" s="3">
        <v>45427</v>
      </c>
      <c r="B1880">
        <f t="shared" si="29"/>
        <v>2024</v>
      </c>
      <c r="C1880">
        <v>5</v>
      </c>
      <c r="D1880" t="s">
        <v>17</v>
      </c>
      <c r="E1880" t="s">
        <v>29</v>
      </c>
      <c r="F1880" s="2">
        <v>6957</v>
      </c>
      <c r="G1880" s="2">
        <f>Monthly_Growth!$C$18</f>
        <v>964404</v>
      </c>
      <c r="H1880" s="5">
        <f>Monthly_Growth!$D$18</f>
        <v>0.15741720852865568</v>
      </c>
      <c r="I1880" s="15">
        <f>Yearly_Growth!$C$3</f>
        <v>0.11893113731787852</v>
      </c>
      <c r="J1880" s="15">
        <f>Yearly_Growth!$D$3</f>
        <v>0.09</v>
      </c>
      <c r="K1880">
        <f>Sales_Per_Representative!$C$28</f>
        <v>691917</v>
      </c>
      <c r="L1880">
        <f>Sales_Per_Rep_Yearly_Goal!$B$3</f>
        <v>689907.8</v>
      </c>
      <c r="M1880">
        <f>Sales_Per_Rep_Yearly_Goal!$C$3</f>
        <v>690000</v>
      </c>
    </row>
    <row r="1881" spans="1:13" x14ac:dyDescent="0.3">
      <c r="A1881" s="3">
        <v>45427</v>
      </c>
      <c r="B1881">
        <f t="shared" si="29"/>
        <v>2024</v>
      </c>
      <c r="C1881">
        <v>5</v>
      </c>
      <c r="D1881" t="s">
        <v>12</v>
      </c>
      <c r="E1881" t="s">
        <v>27</v>
      </c>
      <c r="F1881" s="2">
        <v>4633</v>
      </c>
      <c r="G1881" s="2">
        <f>Monthly_Growth!$C$18</f>
        <v>964404</v>
      </c>
      <c r="H1881" s="5">
        <f>Monthly_Growth!$D$18</f>
        <v>0.15741720852865568</v>
      </c>
      <c r="I1881" s="15">
        <f>Yearly_Growth!$C$3</f>
        <v>0.11893113731787852</v>
      </c>
      <c r="J1881" s="15">
        <f>Yearly_Growth!$D$3</f>
        <v>0.09</v>
      </c>
      <c r="K1881">
        <f>Sales_Per_Representative!$C$20</f>
        <v>685380</v>
      </c>
      <c r="L1881">
        <f>Sales_Per_Rep_Yearly_Goal!$B$3</f>
        <v>689907.8</v>
      </c>
      <c r="M1881">
        <f>Sales_Per_Rep_Yearly_Goal!$C$3</f>
        <v>690000</v>
      </c>
    </row>
    <row r="1882" spans="1:13" x14ac:dyDescent="0.3">
      <c r="A1882" s="3">
        <v>45427</v>
      </c>
      <c r="B1882">
        <f t="shared" si="29"/>
        <v>2024</v>
      </c>
      <c r="C1882">
        <v>5</v>
      </c>
      <c r="D1882" t="s">
        <v>12</v>
      </c>
      <c r="E1882" t="s">
        <v>18</v>
      </c>
      <c r="F1882" s="2">
        <v>1416</v>
      </c>
      <c r="G1882" s="2">
        <f>Monthly_Growth!$C$18</f>
        <v>964404</v>
      </c>
      <c r="H1882" s="5">
        <f>Monthly_Growth!$D$18</f>
        <v>0.15741720852865568</v>
      </c>
      <c r="I1882" s="15">
        <f>Yearly_Growth!$C$3</f>
        <v>0.11893113731787852</v>
      </c>
      <c r="J1882" s="15">
        <f>Yearly_Growth!$D$3</f>
        <v>0.09</v>
      </c>
      <c r="K1882">
        <f>Sales_Per_Representative!$C$24</f>
        <v>699277</v>
      </c>
      <c r="L1882">
        <f>Sales_Per_Rep_Yearly_Goal!$B$3</f>
        <v>689907.8</v>
      </c>
      <c r="M1882">
        <f>Sales_Per_Rep_Yearly_Goal!$C$3</f>
        <v>690000</v>
      </c>
    </row>
    <row r="1883" spans="1:13" x14ac:dyDescent="0.3">
      <c r="A1883" s="3">
        <v>45428</v>
      </c>
      <c r="B1883">
        <f t="shared" si="29"/>
        <v>2024</v>
      </c>
      <c r="C1883">
        <v>5</v>
      </c>
      <c r="D1883" t="s">
        <v>14</v>
      </c>
      <c r="E1883" t="s">
        <v>8</v>
      </c>
      <c r="F1883" s="2">
        <v>7643</v>
      </c>
      <c r="G1883" s="2">
        <f>Monthly_Growth!$C$18</f>
        <v>964404</v>
      </c>
      <c r="H1883" s="5">
        <f>Monthly_Growth!$D$18</f>
        <v>0.15741720852865568</v>
      </c>
      <c r="I1883" s="15">
        <f>Yearly_Growth!$C$3</f>
        <v>0.11893113731787852</v>
      </c>
      <c r="J1883" s="15">
        <f>Yearly_Growth!$D$3</f>
        <v>0.09</v>
      </c>
      <c r="K1883">
        <f>Sales_Per_Representative!$C$30</f>
        <v>780006</v>
      </c>
      <c r="L1883">
        <f>Sales_Per_Rep_Yearly_Goal!$B$3</f>
        <v>689907.8</v>
      </c>
      <c r="M1883">
        <f>Sales_Per_Rep_Yearly_Goal!$C$3</f>
        <v>690000</v>
      </c>
    </row>
    <row r="1884" spans="1:13" x14ac:dyDescent="0.3">
      <c r="A1884" s="3">
        <v>45428</v>
      </c>
      <c r="B1884">
        <f t="shared" si="29"/>
        <v>2024</v>
      </c>
      <c r="C1884">
        <v>5</v>
      </c>
      <c r="D1884" t="s">
        <v>25</v>
      </c>
      <c r="E1884" t="s">
        <v>24</v>
      </c>
      <c r="F1884" s="2">
        <v>3124</v>
      </c>
      <c r="G1884" s="2">
        <f>Monthly_Growth!$C$18</f>
        <v>964404</v>
      </c>
      <c r="H1884" s="5">
        <f>Monthly_Growth!$D$18</f>
        <v>0.15741720852865568</v>
      </c>
      <c r="I1884" s="15">
        <f>Yearly_Growth!$C$3</f>
        <v>0.11893113731787852</v>
      </c>
      <c r="J1884" s="15">
        <f>Yearly_Growth!$D$3</f>
        <v>0.09</v>
      </c>
      <c r="K1884">
        <f>Sales_Per_Representative!$C$17</f>
        <v>633956</v>
      </c>
      <c r="L1884">
        <f>Sales_Per_Rep_Yearly_Goal!$B$3</f>
        <v>689907.8</v>
      </c>
      <c r="M1884">
        <f>Sales_Per_Rep_Yearly_Goal!$C$3</f>
        <v>690000</v>
      </c>
    </row>
    <row r="1885" spans="1:13" x14ac:dyDescent="0.3">
      <c r="A1885" s="3">
        <v>45428</v>
      </c>
      <c r="B1885">
        <f t="shared" si="29"/>
        <v>2024</v>
      </c>
      <c r="C1885">
        <v>5</v>
      </c>
      <c r="D1885" t="s">
        <v>25</v>
      </c>
      <c r="E1885" t="s">
        <v>20</v>
      </c>
      <c r="F1885" s="2">
        <v>13589</v>
      </c>
      <c r="G1885" s="2">
        <f>Monthly_Growth!$C$18</f>
        <v>964404</v>
      </c>
      <c r="H1885" s="5">
        <f>Monthly_Growth!$D$18</f>
        <v>0.15741720852865568</v>
      </c>
      <c r="I1885" s="15">
        <f>Yearly_Growth!$C$3</f>
        <v>0.11893113731787852</v>
      </c>
      <c r="J1885" s="15">
        <f>Yearly_Growth!$D$3</f>
        <v>0.09</v>
      </c>
      <c r="K1885">
        <f>Sales_Per_Representative!$C$29</f>
        <v>753085</v>
      </c>
      <c r="L1885">
        <f>Sales_Per_Rep_Yearly_Goal!$B$3</f>
        <v>689907.8</v>
      </c>
      <c r="M1885">
        <f>Sales_Per_Rep_Yearly_Goal!$C$3</f>
        <v>690000</v>
      </c>
    </row>
    <row r="1886" spans="1:13" x14ac:dyDescent="0.3">
      <c r="A1886" s="3">
        <v>45428</v>
      </c>
      <c r="B1886">
        <f t="shared" si="29"/>
        <v>2024</v>
      </c>
      <c r="C1886">
        <v>5</v>
      </c>
      <c r="D1886" t="s">
        <v>7</v>
      </c>
      <c r="E1886" t="s">
        <v>30</v>
      </c>
      <c r="F1886" s="2">
        <v>1906</v>
      </c>
      <c r="G1886" s="2">
        <f>Monthly_Growth!$C$18</f>
        <v>964404</v>
      </c>
      <c r="H1886" s="5">
        <f>Monthly_Growth!$D$18</f>
        <v>0.15741720852865568</v>
      </c>
      <c r="I1886" s="15">
        <f>Yearly_Growth!$C$3</f>
        <v>0.11893113731787852</v>
      </c>
      <c r="J1886" s="15">
        <f>Yearly_Growth!$D$3</f>
        <v>0.09</v>
      </c>
      <c r="K1886">
        <f>Sales_Per_Representative!$C$22</f>
        <v>700142</v>
      </c>
      <c r="L1886">
        <f>Sales_Per_Rep_Yearly_Goal!$B$3</f>
        <v>689907.8</v>
      </c>
      <c r="M1886">
        <f>Sales_Per_Rep_Yearly_Goal!$C$3</f>
        <v>690000</v>
      </c>
    </row>
    <row r="1887" spans="1:13" x14ac:dyDescent="0.3">
      <c r="A1887" s="3">
        <v>45428</v>
      </c>
      <c r="B1887">
        <f t="shared" si="29"/>
        <v>2024</v>
      </c>
      <c r="C1887">
        <v>5</v>
      </c>
      <c r="D1887" t="s">
        <v>28</v>
      </c>
      <c r="E1887" t="s">
        <v>27</v>
      </c>
      <c r="F1887" s="2">
        <v>11539</v>
      </c>
      <c r="G1887" s="2">
        <f>Monthly_Growth!$C$18</f>
        <v>964404</v>
      </c>
      <c r="H1887" s="5">
        <f>Monthly_Growth!$D$18</f>
        <v>0.15741720852865568</v>
      </c>
      <c r="I1887" s="15">
        <f>Yearly_Growth!$C$3</f>
        <v>0.11893113731787852</v>
      </c>
      <c r="J1887" s="15">
        <f>Yearly_Growth!$D$3</f>
        <v>0.09</v>
      </c>
      <c r="K1887">
        <f>Sales_Per_Representative!$C$20</f>
        <v>685380</v>
      </c>
      <c r="L1887">
        <f>Sales_Per_Rep_Yearly_Goal!$B$3</f>
        <v>689907.8</v>
      </c>
      <c r="M1887">
        <f>Sales_Per_Rep_Yearly_Goal!$C$3</f>
        <v>690000</v>
      </c>
    </row>
    <row r="1888" spans="1:13" x14ac:dyDescent="0.3">
      <c r="A1888" s="3">
        <v>45429</v>
      </c>
      <c r="B1888">
        <f t="shared" si="29"/>
        <v>2024</v>
      </c>
      <c r="C1888">
        <v>5</v>
      </c>
      <c r="D1888" t="s">
        <v>19</v>
      </c>
      <c r="E1888" t="s">
        <v>29</v>
      </c>
      <c r="F1888" s="2">
        <v>3899</v>
      </c>
      <c r="G1888" s="2">
        <f>Monthly_Growth!$C$18</f>
        <v>964404</v>
      </c>
      <c r="H1888" s="5">
        <f>Monthly_Growth!$D$18</f>
        <v>0.15741720852865568</v>
      </c>
      <c r="I1888" s="15">
        <f>Yearly_Growth!$C$3</f>
        <v>0.11893113731787852</v>
      </c>
      <c r="J1888" s="15">
        <f>Yearly_Growth!$D$3</f>
        <v>0.09</v>
      </c>
      <c r="K1888">
        <f>Sales_Per_Representative!$C$28</f>
        <v>691917</v>
      </c>
      <c r="L1888">
        <f>Sales_Per_Rep_Yearly_Goal!$B$3</f>
        <v>689907.8</v>
      </c>
      <c r="M1888">
        <f>Sales_Per_Rep_Yearly_Goal!$C$3</f>
        <v>690000</v>
      </c>
    </row>
    <row r="1889" spans="1:13" x14ac:dyDescent="0.3">
      <c r="A1889" s="3">
        <v>45429</v>
      </c>
      <c r="B1889">
        <f t="shared" si="29"/>
        <v>2024</v>
      </c>
      <c r="C1889">
        <v>5</v>
      </c>
      <c r="D1889" t="s">
        <v>25</v>
      </c>
      <c r="E1889" t="s">
        <v>18</v>
      </c>
      <c r="F1889" s="2">
        <v>11868</v>
      </c>
      <c r="G1889" s="2">
        <f>Monthly_Growth!$C$18</f>
        <v>964404</v>
      </c>
      <c r="H1889" s="5">
        <f>Monthly_Growth!$D$18</f>
        <v>0.15741720852865568</v>
      </c>
      <c r="I1889" s="15">
        <f>Yearly_Growth!$C$3</f>
        <v>0.11893113731787852</v>
      </c>
      <c r="J1889" s="15">
        <f>Yearly_Growth!$D$3</f>
        <v>0.09</v>
      </c>
      <c r="K1889">
        <f>Sales_Per_Representative!$C$24</f>
        <v>699277</v>
      </c>
      <c r="L1889">
        <f>Sales_Per_Rep_Yearly_Goal!$B$3</f>
        <v>689907.8</v>
      </c>
      <c r="M1889">
        <f>Sales_Per_Rep_Yearly_Goal!$C$3</f>
        <v>690000</v>
      </c>
    </row>
    <row r="1890" spans="1:13" x14ac:dyDescent="0.3">
      <c r="A1890" s="3">
        <v>45429</v>
      </c>
      <c r="B1890">
        <f t="shared" si="29"/>
        <v>2024</v>
      </c>
      <c r="C1890">
        <v>5</v>
      </c>
      <c r="D1890" t="s">
        <v>25</v>
      </c>
      <c r="E1890" t="s">
        <v>5</v>
      </c>
      <c r="F1890" s="2">
        <v>11275</v>
      </c>
      <c r="G1890" s="2">
        <f>Monthly_Growth!$C$18</f>
        <v>964404</v>
      </c>
      <c r="H1890" s="5">
        <f>Monthly_Growth!$D$18</f>
        <v>0.15741720852865568</v>
      </c>
      <c r="I1890" s="15">
        <f>Yearly_Growth!$C$3</f>
        <v>0.11893113731787852</v>
      </c>
      <c r="J1890" s="15">
        <f>Yearly_Growth!$D$3</f>
        <v>0.09</v>
      </c>
      <c r="K1890">
        <f>Sales_Per_Representative!$C$25</f>
        <v>749460</v>
      </c>
      <c r="L1890">
        <f>Sales_Per_Rep_Yearly_Goal!$B$3</f>
        <v>689907.8</v>
      </c>
      <c r="M1890">
        <f>Sales_Per_Rep_Yearly_Goal!$C$3</f>
        <v>690000</v>
      </c>
    </row>
    <row r="1891" spans="1:13" x14ac:dyDescent="0.3">
      <c r="A1891" s="3">
        <v>45429</v>
      </c>
      <c r="B1891">
        <f t="shared" si="29"/>
        <v>2024</v>
      </c>
      <c r="C1891">
        <v>5</v>
      </c>
      <c r="D1891" t="s">
        <v>7</v>
      </c>
      <c r="E1891" t="s">
        <v>31</v>
      </c>
      <c r="F1891" s="2">
        <v>6432</v>
      </c>
      <c r="G1891" s="2">
        <f>Monthly_Growth!$C$18</f>
        <v>964404</v>
      </c>
      <c r="H1891" s="5">
        <f>Monthly_Growth!$D$18</f>
        <v>0.15741720852865568</v>
      </c>
      <c r="I1891" s="15">
        <f>Yearly_Growth!$C$3</f>
        <v>0.11893113731787852</v>
      </c>
      <c r="J1891" s="15">
        <f>Yearly_Growth!$D$3</f>
        <v>0.09</v>
      </c>
      <c r="K1891">
        <f>Sales_Per_Representative!$C$21</f>
        <v>679421</v>
      </c>
      <c r="L1891">
        <f>Sales_Per_Rep_Yearly_Goal!$B$3</f>
        <v>689907.8</v>
      </c>
      <c r="M1891">
        <f>Sales_Per_Rep_Yearly_Goal!$C$3</f>
        <v>690000</v>
      </c>
    </row>
    <row r="1892" spans="1:13" x14ac:dyDescent="0.3">
      <c r="A1892" s="3">
        <v>45429</v>
      </c>
      <c r="B1892">
        <f t="shared" si="29"/>
        <v>2024</v>
      </c>
      <c r="C1892">
        <v>5</v>
      </c>
      <c r="D1892" t="s">
        <v>12</v>
      </c>
      <c r="E1892" t="s">
        <v>27</v>
      </c>
      <c r="F1892" s="2">
        <v>12096</v>
      </c>
      <c r="G1892" s="2">
        <f>Monthly_Growth!$C$18</f>
        <v>964404</v>
      </c>
      <c r="H1892" s="5">
        <f>Monthly_Growth!$D$18</f>
        <v>0.15741720852865568</v>
      </c>
      <c r="I1892" s="15">
        <f>Yearly_Growth!$C$3</f>
        <v>0.11893113731787852</v>
      </c>
      <c r="J1892" s="15">
        <f>Yearly_Growth!$D$3</f>
        <v>0.09</v>
      </c>
      <c r="K1892">
        <f>Sales_Per_Representative!$C$20</f>
        <v>685380</v>
      </c>
      <c r="L1892">
        <f>Sales_Per_Rep_Yearly_Goal!$B$3</f>
        <v>689907.8</v>
      </c>
      <c r="M1892">
        <f>Sales_Per_Rep_Yearly_Goal!$C$3</f>
        <v>690000</v>
      </c>
    </row>
    <row r="1893" spans="1:13" x14ac:dyDescent="0.3">
      <c r="A1893" s="3">
        <v>45429</v>
      </c>
      <c r="B1893">
        <f t="shared" si="29"/>
        <v>2024</v>
      </c>
      <c r="C1893">
        <v>5</v>
      </c>
      <c r="D1893" t="s">
        <v>12</v>
      </c>
      <c r="E1893" t="s">
        <v>31</v>
      </c>
      <c r="F1893" s="2">
        <v>11158</v>
      </c>
      <c r="G1893" s="2">
        <f>Monthly_Growth!$C$18</f>
        <v>964404</v>
      </c>
      <c r="H1893" s="5">
        <f>Monthly_Growth!$D$18</f>
        <v>0.15741720852865568</v>
      </c>
      <c r="I1893" s="15">
        <f>Yearly_Growth!$C$3</f>
        <v>0.11893113731787852</v>
      </c>
      <c r="J1893" s="15">
        <f>Yearly_Growth!$D$3</f>
        <v>0.09</v>
      </c>
      <c r="K1893">
        <f>Sales_Per_Representative!$C$21</f>
        <v>679421</v>
      </c>
      <c r="L1893">
        <f>Sales_Per_Rep_Yearly_Goal!$B$3</f>
        <v>689907.8</v>
      </c>
      <c r="M1893">
        <f>Sales_Per_Rep_Yearly_Goal!$C$3</f>
        <v>690000</v>
      </c>
    </row>
    <row r="1894" spans="1:13" x14ac:dyDescent="0.3">
      <c r="A1894" s="3">
        <v>45430</v>
      </c>
      <c r="B1894">
        <f t="shared" si="29"/>
        <v>2024</v>
      </c>
      <c r="C1894">
        <v>5</v>
      </c>
      <c r="D1894" t="s">
        <v>14</v>
      </c>
      <c r="E1894" t="s">
        <v>26</v>
      </c>
      <c r="F1894" s="2">
        <v>13347</v>
      </c>
      <c r="G1894" s="2">
        <f>Monthly_Growth!$C$18</f>
        <v>964404</v>
      </c>
      <c r="H1894" s="5">
        <f>Monthly_Growth!$D$18</f>
        <v>0.15741720852865568</v>
      </c>
      <c r="I1894" s="15">
        <f>Yearly_Growth!$C$3</f>
        <v>0.11893113731787852</v>
      </c>
      <c r="J1894" s="15">
        <f>Yearly_Growth!$D$3</f>
        <v>0.09</v>
      </c>
      <c r="K1894">
        <f>Sales_Per_Representative!$C$31</f>
        <v>664244</v>
      </c>
      <c r="L1894">
        <f>Sales_Per_Rep_Yearly_Goal!$B$3</f>
        <v>689907.8</v>
      </c>
      <c r="M1894">
        <f>Sales_Per_Rep_Yearly_Goal!$C$3</f>
        <v>690000</v>
      </c>
    </row>
    <row r="1895" spans="1:13" x14ac:dyDescent="0.3">
      <c r="A1895" s="3">
        <v>45430</v>
      </c>
      <c r="B1895">
        <f t="shared" si="29"/>
        <v>2024</v>
      </c>
      <c r="C1895">
        <v>5</v>
      </c>
      <c r="D1895" t="s">
        <v>14</v>
      </c>
      <c r="E1895" t="s">
        <v>31</v>
      </c>
      <c r="F1895" s="2">
        <v>13620</v>
      </c>
      <c r="G1895" s="2">
        <f>Monthly_Growth!$C$18</f>
        <v>964404</v>
      </c>
      <c r="H1895" s="5">
        <f>Monthly_Growth!$D$18</f>
        <v>0.15741720852865568</v>
      </c>
      <c r="I1895" s="15">
        <f>Yearly_Growth!$C$3</f>
        <v>0.11893113731787852</v>
      </c>
      <c r="J1895" s="15">
        <f>Yearly_Growth!$D$3</f>
        <v>0.09</v>
      </c>
      <c r="K1895">
        <f>Sales_Per_Representative!$C$21</f>
        <v>679421</v>
      </c>
      <c r="L1895">
        <f>Sales_Per_Rep_Yearly_Goal!$B$3</f>
        <v>689907.8</v>
      </c>
      <c r="M1895">
        <f>Sales_Per_Rep_Yearly_Goal!$C$3</f>
        <v>690000</v>
      </c>
    </row>
    <row r="1896" spans="1:13" x14ac:dyDescent="0.3">
      <c r="A1896" s="3">
        <v>45430</v>
      </c>
      <c r="B1896">
        <f t="shared" si="29"/>
        <v>2024</v>
      </c>
      <c r="C1896">
        <v>5</v>
      </c>
      <c r="D1896" t="s">
        <v>7</v>
      </c>
      <c r="E1896" t="s">
        <v>20</v>
      </c>
      <c r="F1896" s="2">
        <v>1336</v>
      </c>
      <c r="G1896" s="2">
        <f>Monthly_Growth!$C$18</f>
        <v>964404</v>
      </c>
      <c r="H1896" s="5">
        <f>Monthly_Growth!$D$18</f>
        <v>0.15741720852865568</v>
      </c>
      <c r="I1896" s="15">
        <f>Yearly_Growth!$C$3</f>
        <v>0.11893113731787852</v>
      </c>
      <c r="J1896" s="15">
        <f>Yearly_Growth!$D$3</f>
        <v>0.09</v>
      </c>
      <c r="K1896">
        <f>Sales_Per_Representative!$C$29</f>
        <v>753085</v>
      </c>
      <c r="L1896">
        <f>Sales_Per_Rep_Yearly_Goal!$B$3</f>
        <v>689907.8</v>
      </c>
      <c r="M1896">
        <f>Sales_Per_Rep_Yearly_Goal!$C$3</f>
        <v>690000</v>
      </c>
    </row>
    <row r="1897" spans="1:13" x14ac:dyDescent="0.3">
      <c r="A1897" s="3">
        <v>45430</v>
      </c>
      <c r="B1897">
        <f t="shared" si="29"/>
        <v>2024</v>
      </c>
      <c r="C1897">
        <v>5</v>
      </c>
      <c r="D1897" t="s">
        <v>28</v>
      </c>
      <c r="E1897" t="s">
        <v>24</v>
      </c>
      <c r="F1897" s="2">
        <v>8714</v>
      </c>
      <c r="G1897" s="2">
        <f>Monthly_Growth!$C$18</f>
        <v>964404</v>
      </c>
      <c r="H1897" s="5">
        <f>Monthly_Growth!$D$18</f>
        <v>0.15741720852865568</v>
      </c>
      <c r="I1897" s="15">
        <f>Yearly_Growth!$C$3</f>
        <v>0.11893113731787852</v>
      </c>
      <c r="J1897" s="15">
        <f>Yearly_Growth!$D$3</f>
        <v>0.09</v>
      </c>
      <c r="K1897">
        <f>Sales_Per_Representative!$C$17</f>
        <v>633956</v>
      </c>
      <c r="L1897">
        <f>Sales_Per_Rep_Yearly_Goal!$B$3</f>
        <v>689907.8</v>
      </c>
      <c r="M1897">
        <f>Sales_Per_Rep_Yearly_Goal!$C$3</f>
        <v>690000</v>
      </c>
    </row>
    <row r="1898" spans="1:13" x14ac:dyDescent="0.3">
      <c r="A1898" s="3">
        <v>45430</v>
      </c>
      <c r="B1898">
        <f t="shared" si="29"/>
        <v>2024</v>
      </c>
      <c r="C1898">
        <v>5</v>
      </c>
      <c r="D1898" t="s">
        <v>12</v>
      </c>
      <c r="E1898" t="s">
        <v>10</v>
      </c>
      <c r="F1898" s="2">
        <v>11644</v>
      </c>
      <c r="G1898" s="2">
        <f>Monthly_Growth!$C$18</f>
        <v>964404</v>
      </c>
      <c r="H1898" s="5">
        <f>Monthly_Growth!$D$18</f>
        <v>0.15741720852865568</v>
      </c>
      <c r="I1898" s="15">
        <f>Yearly_Growth!$C$3</f>
        <v>0.11893113731787852</v>
      </c>
      <c r="J1898" s="15">
        <f>Yearly_Growth!$D$3</f>
        <v>0.09</v>
      </c>
      <c r="K1898">
        <f>Sales_Per_Representative!$C$19</f>
        <v>711816</v>
      </c>
      <c r="L1898">
        <f>Sales_Per_Rep_Yearly_Goal!$B$3</f>
        <v>689907.8</v>
      </c>
      <c r="M1898">
        <f>Sales_Per_Rep_Yearly_Goal!$C$3</f>
        <v>690000</v>
      </c>
    </row>
    <row r="1899" spans="1:13" x14ac:dyDescent="0.3">
      <c r="A1899" s="3">
        <v>45431</v>
      </c>
      <c r="B1899">
        <f t="shared" si="29"/>
        <v>2024</v>
      </c>
      <c r="C1899">
        <v>5</v>
      </c>
      <c r="D1899" t="s">
        <v>25</v>
      </c>
      <c r="E1899" t="s">
        <v>33</v>
      </c>
      <c r="F1899" s="2">
        <v>1945</v>
      </c>
      <c r="G1899" s="2">
        <f>Monthly_Growth!$C$18</f>
        <v>964404</v>
      </c>
      <c r="H1899" s="5">
        <f>Monthly_Growth!$D$18</f>
        <v>0.15741720852865568</v>
      </c>
      <c r="I1899" s="15">
        <f>Yearly_Growth!$C$3</f>
        <v>0.11893113731787852</v>
      </c>
      <c r="J1899" s="15">
        <f>Yearly_Growth!$D$3</f>
        <v>0.09</v>
      </c>
      <c r="K1899">
        <f>Sales_Per_Representative!$C$26</f>
        <v>501360</v>
      </c>
      <c r="L1899">
        <f>Sales_Per_Rep_Yearly_Goal!$B$3</f>
        <v>689907.8</v>
      </c>
      <c r="M1899">
        <f>Sales_Per_Rep_Yearly_Goal!$C$3</f>
        <v>690000</v>
      </c>
    </row>
    <row r="1900" spans="1:13" x14ac:dyDescent="0.3">
      <c r="A1900" s="3">
        <v>45431</v>
      </c>
      <c r="B1900">
        <f t="shared" si="29"/>
        <v>2024</v>
      </c>
      <c r="C1900">
        <v>5</v>
      </c>
      <c r="D1900" t="s">
        <v>25</v>
      </c>
      <c r="E1900" t="s">
        <v>5</v>
      </c>
      <c r="F1900" s="2">
        <v>10083</v>
      </c>
      <c r="G1900" s="2">
        <f>Monthly_Growth!$C$18</f>
        <v>964404</v>
      </c>
      <c r="H1900" s="5">
        <f>Monthly_Growth!$D$18</f>
        <v>0.15741720852865568</v>
      </c>
      <c r="I1900" s="15">
        <f>Yearly_Growth!$C$3</f>
        <v>0.11893113731787852</v>
      </c>
      <c r="J1900" s="15">
        <f>Yearly_Growth!$D$3</f>
        <v>0.09</v>
      </c>
      <c r="K1900">
        <f>Sales_Per_Representative!$C$25</f>
        <v>749460</v>
      </c>
      <c r="L1900">
        <f>Sales_Per_Rep_Yearly_Goal!$B$3</f>
        <v>689907.8</v>
      </c>
      <c r="M1900">
        <f>Sales_Per_Rep_Yearly_Goal!$C$3</f>
        <v>690000</v>
      </c>
    </row>
    <row r="1901" spans="1:13" x14ac:dyDescent="0.3">
      <c r="A1901" s="3">
        <v>45431</v>
      </c>
      <c r="B1901">
        <f t="shared" si="29"/>
        <v>2024</v>
      </c>
      <c r="C1901">
        <v>5</v>
      </c>
      <c r="D1901" t="s">
        <v>25</v>
      </c>
      <c r="E1901" t="s">
        <v>8</v>
      </c>
      <c r="F1901" s="2">
        <v>6253</v>
      </c>
      <c r="G1901" s="2">
        <f>Monthly_Growth!$C$18</f>
        <v>964404</v>
      </c>
      <c r="H1901" s="5">
        <f>Monthly_Growth!$D$18</f>
        <v>0.15741720852865568</v>
      </c>
      <c r="I1901" s="15">
        <f>Yearly_Growth!$C$3</f>
        <v>0.11893113731787852</v>
      </c>
      <c r="J1901" s="15">
        <f>Yearly_Growth!$D$3</f>
        <v>0.09</v>
      </c>
      <c r="K1901">
        <f>Sales_Per_Representative!$C$30</f>
        <v>780006</v>
      </c>
      <c r="L1901">
        <f>Sales_Per_Rep_Yearly_Goal!$B$3</f>
        <v>689907.8</v>
      </c>
      <c r="M1901">
        <f>Sales_Per_Rep_Yearly_Goal!$C$3</f>
        <v>690000</v>
      </c>
    </row>
    <row r="1902" spans="1:13" x14ac:dyDescent="0.3">
      <c r="A1902" s="3">
        <v>45431</v>
      </c>
      <c r="B1902">
        <f t="shared" si="29"/>
        <v>2024</v>
      </c>
      <c r="C1902">
        <v>5</v>
      </c>
      <c r="D1902" t="s">
        <v>28</v>
      </c>
      <c r="E1902" t="s">
        <v>10</v>
      </c>
      <c r="F1902" s="2">
        <v>9203</v>
      </c>
      <c r="G1902" s="2">
        <f>Monthly_Growth!$C$18</f>
        <v>964404</v>
      </c>
      <c r="H1902" s="5">
        <f>Monthly_Growth!$D$18</f>
        <v>0.15741720852865568</v>
      </c>
      <c r="I1902" s="15">
        <f>Yearly_Growth!$C$3</f>
        <v>0.11893113731787852</v>
      </c>
      <c r="J1902" s="15">
        <f>Yearly_Growth!$D$3</f>
        <v>0.09</v>
      </c>
      <c r="K1902">
        <f>Sales_Per_Representative!$C$19</f>
        <v>711816</v>
      </c>
      <c r="L1902">
        <f>Sales_Per_Rep_Yearly_Goal!$B$3</f>
        <v>689907.8</v>
      </c>
      <c r="M1902">
        <f>Sales_Per_Rep_Yearly_Goal!$C$3</f>
        <v>690000</v>
      </c>
    </row>
    <row r="1903" spans="1:13" x14ac:dyDescent="0.3">
      <c r="A1903" s="3">
        <v>45432</v>
      </c>
      <c r="B1903">
        <f t="shared" si="29"/>
        <v>2024</v>
      </c>
      <c r="C1903">
        <v>5</v>
      </c>
      <c r="D1903" t="s">
        <v>23</v>
      </c>
      <c r="E1903" t="s">
        <v>18</v>
      </c>
      <c r="F1903" s="2">
        <v>9374</v>
      </c>
      <c r="G1903" s="2">
        <f>Monthly_Growth!$C$18</f>
        <v>964404</v>
      </c>
      <c r="H1903" s="5">
        <f>Monthly_Growth!$D$18</f>
        <v>0.15741720852865568</v>
      </c>
      <c r="I1903" s="15">
        <f>Yearly_Growth!$C$3</f>
        <v>0.11893113731787852</v>
      </c>
      <c r="J1903" s="15">
        <f>Yearly_Growth!$D$3</f>
        <v>0.09</v>
      </c>
      <c r="K1903">
        <f>Sales_Per_Representative!$C$24</f>
        <v>699277</v>
      </c>
      <c r="L1903">
        <f>Sales_Per_Rep_Yearly_Goal!$B$3</f>
        <v>689907.8</v>
      </c>
      <c r="M1903">
        <f>Sales_Per_Rep_Yearly_Goal!$C$3</f>
        <v>690000</v>
      </c>
    </row>
    <row r="1904" spans="1:13" x14ac:dyDescent="0.3">
      <c r="A1904" s="3">
        <v>45432</v>
      </c>
      <c r="B1904">
        <f t="shared" si="29"/>
        <v>2024</v>
      </c>
      <c r="C1904">
        <v>5</v>
      </c>
      <c r="D1904" t="s">
        <v>7</v>
      </c>
      <c r="E1904" t="s">
        <v>15</v>
      </c>
      <c r="F1904" s="2">
        <v>12512</v>
      </c>
      <c r="G1904" s="2">
        <f>Monthly_Growth!$C$18</f>
        <v>964404</v>
      </c>
      <c r="H1904" s="5">
        <f>Monthly_Growth!$D$18</f>
        <v>0.15741720852865568</v>
      </c>
      <c r="I1904" s="15">
        <f>Yearly_Growth!$C$3</f>
        <v>0.11893113731787852</v>
      </c>
      <c r="J1904" s="15">
        <f>Yearly_Growth!$D$3</f>
        <v>0.09</v>
      </c>
      <c r="K1904">
        <f>Sales_Per_Representative!$C$27</f>
        <v>617202</v>
      </c>
      <c r="L1904">
        <f>Sales_Per_Rep_Yearly_Goal!$B$3</f>
        <v>689907.8</v>
      </c>
      <c r="M1904">
        <f>Sales_Per_Rep_Yearly_Goal!$C$3</f>
        <v>690000</v>
      </c>
    </row>
    <row r="1905" spans="1:13" x14ac:dyDescent="0.3">
      <c r="A1905" s="3">
        <v>45432</v>
      </c>
      <c r="B1905">
        <f t="shared" si="29"/>
        <v>2024</v>
      </c>
      <c r="C1905">
        <v>5</v>
      </c>
      <c r="D1905" t="s">
        <v>28</v>
      </c>
      <c r="E1905" t="s">
        <v>20</v>
      </c>
      <c r="F1905" s="2">
        <v>7171</v>
      </c>
      <c r="G1905" s="2">
        <f>Monthly_Growth!$C$18</f>
        <v>964404</v>
      </c>
      <c r="H1905" s="5">
        <f>Monthly_Growth!$D$18</f>
        <v>0.15741720852865568</v>
      </c>
      <c r="I1905" s="15">
        <f>Yearly_Growth!$C$3</f>
        <v>0.11893113731787852</v>
      </c>
      <c r="J1905" s="15">
        <f>Yearly_Growth!$D$3</f>
        <v>0.09</v>
      </c>
      <c r="K1905">
        <f>Sales_Per_Representative!$C$29</f>
        <v>753085</v>
      </c>
      <c r="L1905">
        <f>Sales_Per_Rep_Yearly_Goal!$B$3</f>
        <v>689907.8</v>
      </c>
      <c r="M1905">
        <f>Sales_Per_Rep_Yearly_Goal!$C$3</f>
        <v>690000</v>
      </c>
    </row>
    <row r="1906" spans="1:13" x14ac:dyDescent="0.3">
      <c r="A1906" s="3">
        <v>45433</v>
      </c>
      <c r="B1906">
        <f t="shared" si="29"/>
        <v>2024</v>
      </c>
      <c r="C1906">
        <v>5</v>
      </c>
      <c r="D1906" t="s">
        <v>14</v>
      </c>
      <c r="E1906" t="s">
        <v>32</v>
      </c>
      <c r="F1906" s="2">
        <v>5912</v>
      </c>
      <c r="G1906" s="2">
        <f>Monthly_Growth!$C$18</f>
        <v>964404</v>
      </c>
      <c r="H1906" s="5">
        <f>Monthly_Growth!$D$18</f>
        <v>0.15741720852865568</v>
      </c>
      <c r="I1906" s="15">
        <f>Yearly_Growth!$C$3</f>
        <v>0.11893113731787852</v>
      </c>
      <c r="J1906" s="15">
        <f>Yearly_Growth!$D$3</f>
        <v>0.09</v>
      </c>
      <c r="K1906">
        <f>Sales_Per_Representative!$C$18</f>
        <v>783907</v>
      </c>
      <c r="L1906">
        <f>Sales_Per_Rep_Yearly_Goal!$B$3</f>
        <v>689907.8</v>
      </c>
      <c r="M1906">
        <f>Sales_Per_Rep_Yearly_Goal!$C$3</f>
        <v>690000</v>
      </c>
    </row>
    <row r="1907" spans="1:13" x14ac:dyDescent="0.3">
      <c r="A1907" s="3">
        <v>45433</v>
      </c>
      <c r="B1907">
        <f t="shared" si="29"/>
        <v>2024</v>
      </c>
      <c r="C1907">
        <v>5</v>
      </c>
      <c r="D1907" t="s">
        <v>25</v>
      </c>
      <c r="E1907" t="s">
        <v>31</v>
      </c>
      <c r="F1907" s="2">
        <v>12196</v>
      </c>
      <c r="G1907" s="2">
        <f>Monthly_Growth!$C$18</f>
        <v>964404</v>
      </c>
      <c r="H1907" s="5">
        <f>Monthly_Growth!$D$18</f>
        <v>0.15741720852865568</v>
      </c>
      <c r="I1907" s="15">
        <f>Yearly_Growth!$C$3</f>
        <v>0.11893113731787852</v>
      </c>
      <c r="J1907" s="15">
        <f>Yearly_Growth!$D$3</f>
        <v>0.09</v>
      </c>
      <c r="K1907">
        <f>Sales_Per_Representative!$C$21</f>
        <v>679421</v>
      </c>
      <c r="L1907">
        <f>Sales_Per_Rep_Yearly_Goal!$B$3</f>
        <v>689907.8</v>
      </c>
      <c r="M1907">
        <f>Sales_Per_Rep_Yearly_Goal!$C$3</f>
        <v>690000</v>
      </c>
    </row>
    <row r="1908" spans="1:13" x14ac:dyDescent="0.3">
      <c r="A1908" s="3">
        <v>45433</v>
      </c>
      <c r="B1908">
        <f t="shared" si="29"/>
        <v>2024</v>
      </c>
      <c r="C1908">
        <v>5</v>
      </c>
      <c r="D1908" t="s">
        <v>25</v>
      </c>
      <c r="E1908" t="s">
        <v>22</v>
      </c>
      <c r="F1908" s="2">
        <v>9687</v>
      </c>
      <c r="G1908" s="2">
        <f>Monthly_Growth!$C$18</f>
        <v>964404</v>
      </c>
      <c r="H1908" s="5">
        <f>Monthly_Growth!$D$18</f>
        <v>0.15741720852865568</v>
      </c>
      <c r="I1908" s="15">
        <f>Yearly_Growth!$C$3</f>
        <v>0.11893113731787852</v>
      </c>
      <c r="J1908" s="15">
        <f>Yearly_Growth!$D$3</f>
        <v>0.09</v>
      </c>
      <c r="K1908">
        <f>Sales_Per_Representative!$C$23</f>
        <v>697444</v>
      </c>
      <c r="L1908">
        <f>Sales_Per_Rep_Yearly_Goal!$B$3</f>
        <v>689907.8</v>
      </c>
      <c r="M1908">
        <f>Sales_Per_Rep_Yearly_Goal!$C$3</f>
        <v>690000</v>
      </c>
    </row>
    <row r="1909" spans="1:13" x14ac:dyDescent="0.3">
      <c r="A1909" s="3">
        <v>45433</v>
      </c>
      <c r="B1909">
        <f t="shared" si="29"/>
        <v>2024</v>
      </c>
      <c r="C1909">
        <v>5</v>
      </c>
      <c r="D1909" t="s">
        <v>17</v>
      </c>
      <c r="E1909" t="s">
        <v>30</v>
      </c>
      <c r="F1909" s="2">
        <v>5132</v>
      </c>
      <c r="G1909" s="2">
        <f>Monthly_Growth!$C$18</f>
        <v>964404</v>
      </c>
      <c r="H1909" s="5">
        <f>Monthly_Growth!$D$18</f>
        <v>0.15741720852865568</v>
      </c>
      <c r="I1909" s="15">
        <f>Yearly_Growth!$C$3</f>
        <v>0.11893113731787852</v>
      </c>
      <c r="J1909" s="15">
        <f>Yearly_Growth!$D$3</f>
        <v>0.09</v>
      </c>
      <c r="K1909">
        <f>Sales_Per_Representative!$C$22</f>
        <v>700142</v>
      </c>
      <c r="L1909">
        <f>Sales_Per_Rep_Yearly_Goal!$B$3</f>
        <v>689907.8</v>
      </c>
      <c r="M1909">
        <f>Sales_Per_Rep_Yearly_Goal!$C$3</f>
        <v>690000</v>
      </c>
    </row>
    <row r="1910" spans="1:13" x14ac:dyDescent="0.3">
      <c r="A1910" s="3">
        <v>45433</v>
      </c>
      <c r="B1910">
        <f t="shared" si="29"/>
        <v>2024</v>
      </c>
      <c r="C1910">
        <v>5</v>
      </c>
      <c r="D1910" t="s">
        <v>12</v>
      </c>
      <c r="E1910" t="s">
        <v>30</v>
      </c>
      <c r="F1910" s="2">
        <v>6822</v>
      </c>
      <c r="G1910" s="2">
        <f>Monthly_Growth!$C$18</f>
        <v>964404</v>
      </c>
      <c r="H1910" s="5">
        <f>Monthly_Growth!$D$18</f>
        <v>0.15741720852865568</v>
      </c>
      <c r="I1910" s="15">
        <f>Yearly_Growth!$C$3</f>
        <v>0.11893113731787852</v>
      </c>
      <c r="J1910" s="15">
        <f>Yearly_Growth!$D$3</f>
        <v>0.09</v>
      </c>
      <c r="K1910">
        <f>Sales_Per_Representative!$C$22</f>
        <v>700142</v>
      </c>
      <c r="L1910">
        <f>Sales_Per_Rep_Yearly_Goal!$B$3</f>
        <v>689907.8</v>
      </c>
      <c r="M1910">
        <f>Sales_Per_Rep_Yearly_Goal!$C$3</f>
        <v>690000</v>
      </c>
    </row>
    <row r="1911" spans="1:13" x14ac:dyDescent="0.3">
      <c r="A1911" s="3">
        <v>45434</v>
      </c>
      <c r="B1911">
        <f t="shared" si="29"/>
        <v>2024</v>
      </c>
      <c r="C1911">
        <v>5</v>
      </c>
      <c r="D1911" t="s">
        <v>14</v>
      </c>
      <c r="E1911" t="s">
        <v>22</v>
      </c>
      <c r="F1911" s="2">
        <v>10299</v>
      </c>
      <c r="G1911" s="2">
        <f>Monthly_Growth!$C$18</f>
        <v>964404</v>
      </c>
      <c r="H1911" s="5">
        <f>Monthly_Growth!$D$18</f>
        <v>0.15741720852865568</v>
      </c>
      <c r="I1911" s="15">
        <f>Yearly_Growth!$C$3</f>
        <v>0.11893113731787852</v>
      </c>
      <c r="J1911" s="15">
        <f>Yearly_Growth!$D$3</f>
        <v>0.09</v>
      </c>
      <c r="K1911">
        <f>Sales_Per_Representative!$C$23</f>
        <v>697444</v>
      </c>
      <c r="L1911">
        <f>Sales_Per_Rep_Yearly_Goal!$B$3</f>
        <v>689907.8</v>
      </c>
      <c r="M1911">
        <f>Sales_Per_Rep_Yearly_Goal!$C$3</f>
        <v>690000</v>
      </c>
    </row>
    <row r="1912" spans="1:13" x14ac:dyDescent="0.3">
      <c r="A1912" s="3">
        <v>45434</v>
      </c>
      <c r="B1912">
        <f t="shared" si="29"/>
        <v>2024</v>
      </c>
      <c r="C1912">
        <v>5</v>
      </c>
      <c r="D1912" t="s">
        <v>19</v>
      </c>
      <c r="E1912" t="s">
        <v>24</v>
      </c>
      <c r="F1912" s="2">
        <v>3005</v>
      </c>
      <c r="G1912" s="2">
        <f>Monthly_Growth!$C$18</f>
        <v>964404</v>
      </c>
      <c r="H1912" s="5">
        <f>Monthly_Growth!$D$18</f>
        <v>0.15741720852865568</v>
      </c>
      <c r="I1912" s="15">
        <f>Yearly_Growth!$C$3</f>
        <v>0.11893113731787852</v>
      </c>
      <c r="J1912" s="15">
        <f>Yearly_Growth!$D$3</f>
        <v>0.09</v>
      </c>
      <c r="K1912">
        <f>Sales_Per_Representative!$C$17</f>
        <v>633956</v>
      </c>
      <c r="L1912">
        <f>Sales_Per_Rep_Yearly_Goal!$B$3</f>
        <v>689907.8</v>
      </c>
      <c r="M1912">
        <f>Sales_Per_Rep_Yearly_Goal!$C$3</f>
        <v>690000</v>
      </c>
    </row>
    <row r="1913" spans="1:13" x14ac:dyDescent="0.3">
      <c r="A1913" s="3">
        <v>45434</v>
      </c>
      <c r="B1913">
        <f t="shared" si="29"/>
        <v>2024</v>
      </c>
      <c r="C1913">
        <v>5</v>
      </c>
      <c r="D1913" t="s">
        <v>25</v>
      </c>
      <c r="E1913" t="s">
        <v>15</v>
      </c>
      <c r="F1913" s="2">
        <v>9243</v>
      </c>
      <c r="G1913" s="2">
        <f>Monthly_Growth!$C$18</f>
        <v>964404</v>
      </c>
      <c r="H1913" s="5">
        <f>Monthly_Growth!$D$18</f>
        <v>0.15741720852865568</v>
      </c>
      <c r="I1913" s="15">
        <f>Yearly_Growth!$C$3</f>
        <v>0.11893113731787852</v>
      </c>
      <c r="J1913" s="15">
        <f>Yearly_Growth!$D$3</f>
        <v>0.09</v>
      </c>
      <c r="K1913">
        <f>Sales_Per_Representative!$C$27</f>
        <v>617202</v>
      </c>
      <c r="L1913">
        <f>Sales_Per_Rep_Yearly_Goal!$B$3</f>
        <v>689907.8</v>
      </c>
      <c r="M1913">
        <f>Sales_Per_Rep_Yearly_Goal!$C$3</f>
        <v>690000</v>
      </c>
    </row>
    <row r="1914" spans="1:13" x14ac:dyDescent="0.3">
      <c r="A1914" s="3">
        <v>45435</v>
      </c>
      <c r="B1914">
        <f t="shared" si="29"/>
        <v>2024</v>
      </c>
      <c r="C1914">
        <v>5</v>
      </c>
      <c r="D1914" t="s">
        <v>23</v>
      </c>
      <c r="E1914" t="s">
        <v>10</v>
      </c>
      <c r="F1914" s="2">
        <v>7939</v>
      </c>
      <c r="G1914" s="2">
        <f>Monthly_Growth!$C$18</f>
        <v>964404</v>
      </c>
      <c r="H1914" s="5">
        <f>Monthly_Growth!$D$18</f>
        <v>0.15741720852865568</v>
      </c>
      <c r="I1914" s="15">
        <f>Yearly_Growth!$C$3</f>
        <v>0.11893113731787852</v>
      </c>
      <c r="J1914" s="15">
        <f>Yearly_Growth!$D$3</f>
        <v>0.09</v>
      </c>
      <c r="K1914">
        <f>Sales_Per_Representative!$C$19</f>
        <v>711816</v>
      </c>
      <c r="L1914">
        <f>Sales_Per_Rep_Yearly_Goal!$B$3</f>
        <v>689907.8</v>
      </c>
      <c r="M1914">
        <f>Sales_Per_Rep_Yearly_Goal!$C$3</f>
        <v>690000</v>
      </c>
    </row>
    <row r="1915" spans="1:13" x14ac:dyDescent="0.3">
      <c r="A1915" s="3">
        <v>45435</v>
      </c>
      <c r="B1915">
        <f t="shared" si="29"/>
        <v>2024</v>
      </c>
      <c r="C1915">
        <v>5</v>
      </c>
      <c r="D1915" t="s">
        <v>25</v>
      </c>
      <c r="E1915" t="s">
        <v>8</v>
      </c>
      <c r="F1915" s="2">
        <v>7368</v>
      </c>
      <c r="G1915" s="2">
        <f>Monthly_Growth!$C$18</f>
        <v>964404</v>
      </c>
      <c r="H1915" s="5">
        <f>Monthly_Growth!$D$18</f>
        <v>0.15741720852865568</v>
      </c>
      <c r="I1915" s="15">
        <f>Yearly_Growth!$C$3</f>
        <v>0.11893113731787852</v>
      </c>
      <c r="J1915" s="15">
        <f>Yearly_Growth!$D$3</f>
        <v>0.09</v>
      </c>
      <c r="K1915">
        <f>Sales_Per_Representative!$C$30</f>
        <v>780006</v>
      </c>
      <c r="L1915">
        <f>Sales_Per_Rep_Yearly_Goal!$B$3</f>
        <v>689907.8</v>
      </c>
      <c r="M1915">
        <f>Sales_Per_Rep_Yearly_Goal!$C$3</f>
        <v>690000</v>
      </c>
    </row>
    <row r="1916" spans="1:13" x14ac:dyDescent="0.3">
      <c r="A1916" s="3">
        <v>45435</v>
      </c>
      <c r="B1916">
        <f t="shared" si="29"/>
        <v>2024</v>
      </c>
      <c r="C1916">
        <v>5</v>
      </c>
      <c r="D1916" t="s">
        <v>17</v>
      </c>
      <c r="E1916" t="s">
        <v>27</v>
      </c>
      <c r="F1916" s="2">
        <v>4717</v>
      </c>
      <c r="G1916" s="2">
        <f>Monthly_Growth!$C$18</f>
        <v>964404</v>
      </c>
      <c r="H1916" s="5">
        <f>Monthly_Growth!$D$18</f>
        <v>0.15741720852865568</v>
      </c>
      <c r="I1916" s="15">
        <f>Yearly_Growth!$C$3</f>
        <v>0.11893113731787852</v>
      </c>
      <c r="J1916" s="15">
        <f>Yearly_Growth!$D$3</f>
        <v>0.09</v>
      </c>
      <c r="K1916">
        <f>Sales_Per_Representative!$C$20</f>
        <v>685380</v>
      </c>
      <c r="L1916">
        <f>Sales_Per_Rep_Yearly_Goal!$B$3</f>
        <v>689907.8</v>
      </c>
      <c r="M1916">
        <f>Sales_Per_Rep_Yearly_Goal!$C$3</f>
        <v>690000</v>
      </c>
    </row>
    <row r="1917" spans="1:13" x14ac:dyDescent="0.3">
      <c r="A1917" s="3">
        <v>45435</v>
      </c>
      <c r="B1917">
        <f t="shared" si="29"/>
        <v>2024</v>
      </c>
      <c r="C1917">
        <v>5</v>
      </c>
      <c r="D1917" t="s">
        <v>12</v>
      </c>
      <c r="E1917" t="s">
        <v>29</v>
      </c>
      <c r="F1917" s="2">
        <v>3754</v>
      </c>
      <c r="G1917" s="2">
        <f>Monthly_Growth!$C$18</f>
        <v>964404</v>
      </c>
      <c r="H1917" s="5">
        <f>Monthly_Growth!$D$18</f>
        <v>0.15741720852865568</v>
      </c>
      <c r="I1917" s="15">
        <f>Yearly_Growth!$C$3</f>
        <v>0.11893113731787852</v>
      </c>
      <c r="J1917" s="15">
        <f>Yearly_Growth!$D$3</f>
        <v>0.09</v>
      </c>
      <c r="K1917">
        <f>Sales_Per_Representative!$C$28</f>
        <v>691917</v>
      </c>
      <c r="L1917">
        <f>Sales_Per_Rep_Yearly_Goal!$B$3</f>
        <v>689907.8</v>
      </c>
      <c r="M1917">
        <f>Sales_Per_Rep_Yearly_Goal!$C$3</f>
        <v>690000</v>
      </c>
    </row>
    <row r="1918" spans="1:13" x14ac:dyDescent="0.3">
      <c r="A1918" s="3">
        <v>45436</v>
      </c>
      <c r="B1918">
        <f t="shared" si="29"/>
        <v>2024</v>
      </c>
      <c r="C1918">
        <v>5</v>
      </c>
      <c r="D1918" t="s">
        <v>25</v>
      </c>
      <c r="E1918" t="s">
        <v>10</v>
      </c>
      <c r="F1918" s="2">
        <v>1982</v>
      </c>
      <c r="G1918" s="2">
        <f>Monthly_Growth!$C$18</f>
        <v>964404</v>
      </c>
      <c r="H1918" s="5">
        <f>Monthly_Growth!$D$18</f>
        <v>0.15741720852865568</v>
      </c>
      <c r="I1918" s="15">
        <f>Yearly_Growth!$C$3</f>
        <v>0.11893113731787852</v>
      </c>
      <c r="J1918" s="15">
        <f>Yearly_Growth!$D$3</f>
        <v>0.09</v>
      </c>
      <c r="K1918">
        <f>Sales_Per_Representative!$C$19</f>
        <v>711816</v>
      </c>
      <c r="L1918">
        <f>Sales_Per_Rep_Yearly_Goal!$B$3</f>
        <v>689907.8</v>
      </c>
      <c r="M1918">
        <f>Sales_Per_Rep_Yearly_Goal!$C$3</f>
        <v>690000</v>
      </c>
    </row>
    <row r="1919" spans="1:13" x14ac:dyDescent="0.3">
      <c r="A1919" s="3">
        <v>45436</v>
      </c>
      <c r="B1919">
        <f t="shared" si="29"/>
        <v>2024</v>
      </c>
      <c r="C1919">
        <v>5</v>
      </c>
      <c r="D1919" t="s">
        <v>28</v>
      </c>
      <c r="E1919" t="s">
        <v>24</v>
      </c>
      <c r="F1919" s="2">
        <v>4099</v>
      </c>
      <c r="G1919" s="2">
        <f>Monthly_Growth!$C$18</f>
        <v>964404</v>
      </c>
      <c r="H1919" s="5">
        <f>Monthly_Growth!$D$18</f>
        <v>0.15741720852865568</v>
      </c>
      <c r="I1919" s="15">
        <f>Yearly_Growth!$C$3</f>
        <v>0.11893113731787852</v>
      </c>
      <c r="J1919" s="15">
        <f>Yearly_Growth!$D$3</f>
        <v>0.09</v>
      </c>
      <c r="K1919">
        <f>Sales_Per_Representative!$C$17</f>
        <v>633956</v>
      </c>
      <c r="L1919">
        <f>Sales_Per_Rep_Yearly_Goal!$B$3</f>
        <v>689907.8</v>
      </c>
      <c r="M1919">
        <f>Sales_Per_Rep_Yearly_Goal!$C$3</f>
        <v>690000</v>
      </c>
    </row>
    <row r="1920" spans="1:13" x14ac:dyDescent="0.3">
      <c r="A1920" s="3">
        <v>45436</v>
      </c>
      <c r="B1920">
        <f t="shared" si="29"/>
        <v>2024</v>
      </c>
      <c r="C1920">
        <v>5</v>
      </c>
      <c r="D1920" t="s">
        <v>12</v>
      </c>
      <c r="E1920" t="s">
        <v>18</v>
      </c>
      <c r="F1920" s="2">
        <v>11744</v>
      </c>
      <c r="G1920" s="2">
        <f>Monthly_Growth!$C$18</f>
        <v>964404</v>
      </c>
      <c r="H1920" s="5">
        <f>Monthly_Growth!$D$18</f>
        <v>0.15741720852865568</v>
      </c>
      <c r="I1920" s="15">
        <f>Yearly_Growth!$C$3</f>
        <v>0.11893113731787852</v>
      </c>
      <c r="J1920" s="15">
        <f>Yearly_Growth!$D$3</f>
        <v>0.09</v>
      </c>
      <c r="K1920">
        <f>Sales_Per_Representative!$C$24</f>
        <v>699277</v>
      </c>
      <c r="L1920">
        <f>Sales_Per_Rep_Yearly_Goal!$B$3</f>
        <v>689907.8</v>
      </c>
      <c r="M1920">
        <f>Sales_Per_Rep_Yearly_Goal!$C$3</f>
        <v>690000</v>
      </c>
    </row>
    <row r="1921" spans="1:13" x14ac:dyDescent="0.3">
      <c r="A1921" s="3">
        <v>45438</v>
      </c>
      <c r="B1921">
        <f t="shared" si="29"/>
        <v>2024</v>
      </c>
      <c r="C1921">
        <v>5</v>
      </c>
      <c r="D1921" t="s">
        <v>23</v>
      </c>
      <c r="E1921" t="s">
        <v>32</v>
      </c>
      <c r="F1921" s="2">
        <v>5880</v>
      </c>
      <c r="G1921" s="2">
        <f>Monthly_Growth!$C$18</f>
        <v>964404</v>
      </c>
      <c r="H1921" s="5">
        <f>Monthly_Growth!$D$18</f>
        <v>0.15741720852865568</v>
      </c>
      <c r="I1921" s="15">
        <f>Yearly_Growth!$C$3</f>
        <v>0.11893113731787852</v>
      </c>
      <c r="J1921" s="15">
        <f>Yearly_Growth!$D$3</f>
        <v>0.09</v>
      </c>
      <c r="K1921">
        <f>Sales_Per_Representative!$C$18</f>
        <v>783907</v>
      </c>
      <c r="L1921">
        <f>Sales_Per_Rep_Yearly_Goal!$B$3</f>
        <v>689907.8</v>
      </c>
      <c r="M1921">
        <f>Sales_Per_Rep_Yearly_Goal!$C$3</f>
        <v>690000</v>
      </c>
    </row>
    <row r="1922" spans="1:13" x14ac:dyDescent="0.3">
      <c r="A1922" s="3">
        <v>45438</v>
      </c>
      <c r="B1922">
        <f t="shared" si="29"/>
        <v>2024</v>
      </c>
      <c r="C1922">
        <v>5</v>
      </c>
      <c r="D1922" t="s">
        <v>25</v>
      </c>
      <c r="E1922" t="s">
        <v>15</v>
      </c>
      <c r="F1922" s="2">
        <v>2611</v>
      </c>
      <c r="G1922" s="2">
        <f>Monthly_Growth!$C$18</f>
        <v>964404</v>
      </c>
      <c r="H1922" s="5">
        <f>Monthly_Growth!$D$18</f>
        <v>0.15741720852865568</v>
      </c>
      <c r="I1922" s="15">
        <f>Yearly_Growth!$C$3</f>
        <v>0.11893113731787852</v>
      </c>
      <c r="J1922" s="15">
        <f>Yearly_Growth!$D$3</f>
        <v>0.09</v>
      </c>
      <c r="K1922">
        <f>Sales_Per_Representative!$C$27</f>
        <v>617202</v>
      </c>
      <c r="L1922">
        <f>Sales_Per_Rep_Yearly_Goal!$B$3</f>
        <v>689907.8</v>
      </c>
      <c r="M1922">
        <f>Sales_Per_Rep_Yearly_Goal!$C$3</f>
        <v>690000</v>
      </c>
    </row>
    <row r="1923" spans="1:13" x14ac:dyDescent="0.3">
      <c r="A1923" s="3">
        <v>45438</v>
      </c>
      <c r="B1923">
        <f t="shared" ref="B1923:B1986" si="30">YEAR(A1923)</f>
        <v>2024</v>
      </c>
      <c r="C1923">
        <v>5</v>
      </c>
      <c r="D1923" t="s">
        <v>7</v>
      </c>
      <c r="E1923" t="s">
        <v>32</v>
      </c>
      <c r="F1923" s="2">
        <v>8001</v>
      </c>
      <c r="G1923" s="2">
        <f>Monthly_Growth!$C$18</f>
        <v>964404</v>
      </c>
      <c r="H1923" s="5">
        <f>Monthly_Growth!$D$18</f>
        <v>0.15741720852865568</v>
      </c>
      <c r="I1923" s="15">
        <f>Yearly_Growth!$C$3</f>
        <v>0.11893113731787852</v>
      </c>
      <c r="J1923" s="15">
        <f>Yearly_Growth!$D$3</f>
        <v>0.09</v>
      </c>
      <c r="K1923">
        <f>Sales_Per_Representative!$C$18</f>
        <v>783907</v>
      </c>
      <c r="L1923">
        <f>Sales_Per_Rep_Yearly_Goal!$B$3</f>
        <v>689907.8</v>
      </c>
      <c r="M1923">
        <f>Sales_Per_Rep_Yearly_Goal!$C$3</f>
        <v>690000</v>
      </c>
    </row>
    <row r="1924" spans="1:13" x14ac:dyDescent="0.3">
      <c r="A1924" s="3">
        <v>45438</v>
      </c>
      <c r="B1924">
        <f t="shared" si="30"/>
        <v>2024</v>
      </c>
      <c r="C1924">
        <v>5</v>
      </c>
      <c r="D1924" t="s">
        <v>7</v>
      </c>
      <c r="E1924" t="s">
        <v>18</v>
      </c>
      <c r="F1924" s="2">
        <v>12886</v>
      </c>
      <c r="G1924" s="2">
        <f>Monthly_Growth!$C$18</f>
        <v>964404</v>
      </c>
      <c r="H1924" s="5">
        <f>Monthly_Growth!$D$18</f>
        <v>0.15741720852865568</v>
      </c>
      <c r="I1924" s="15">
        <f>Yearly_Growth!$C$3</f>
        <v>0.11893113731787852</v>
      </c>
      <c r="J1924" s="15">
        <f>Yearly_Growth!$D$3</f>
        <v>0.09</v>
      </c>
      <c r="K1924">
        <f>Sales_Per_Representative!$C$24</f>
        <v>699277</v>
      </c>
      <c r="L1924">
        <f>Sales_Per_Rep_Yearly_Goal!$B$3</f>
        <v>689907.8</v>
      </c>
      <c r="M1924">
        <f>Sales_Per_Rep_Yearly_Goal!$C$3</f>
        <v>690000</v>
      </c>
    </row>
    <row r="1925" spans="1:13" x14ac:dyDescent="0.3">
      <c r="A1925" s="3">
        <v>45438</v>
      </c>
      <c r="B1925">
        <f t="shared" si="30"/>
        <v>2024</v>
      </c>
      <c r="C1925">
        <v>5</v>
      </c>
      <c r="D1925" t="s">
        <v>28</v>
      </c>
      <c r="E1925" t="s">
        <v>29</v>
      </c>
      <c r="F1925" s="2">
        <v>11979</v>
      </c>
      <c r="G1925" s="2">
        <f>Monthly_Growth!$C$18</f>
        <v>964404</v>
      </c>
      <c r="H1925" s="5">
        <f>Monthly_Growth!$D$18</f>
        <v>0.15741720852865568</v>
      </c>
      <c r="I1925" s="15">
        <f>Yearly_Growth!$C$3</f>
        <v>0.11893113731787852</v>
      </c>
      <c r="J1925" s="15">
        <f>Yearly_Growth!$D$3</f>
        <v>0.09</v>
      </c>
      <c r="K1925">
        <f>Sales_Per_Representative!$C$28</f>
        <v>691917</v>
      </c>
      <c r="L1925">
        <f>Sales_Per_Rep_Yearly_Goal!$B$3</f>
        <v>689907.8</v>
      </c>
      <c r="M1925">
        <f>Sales_Per_Rep_Yearly_Goal!$C$3</f>
        <v>690000</v>
      </c>
    </row>
    <row r="1926" spans="1:13" x14ac:dyDescent="0.3">
      <c r="A1926" s="3">
        <v>45438</v>
      </c>
      <c r="B1926">
        <f t="shared" si="30"/>
        <v>2024</v>
      </c>
      <c r="C1926">
        <v>5</v>
      </c>
      <c r="D1926" t="s">
        <v>17</v>
      </c>
      <c r="E1926" t="s">
        <v>24</v>
      </c>
      <c r="F1926" s="2">
        <v>7820</v>
      </c>
      <c r="G1926" s="2">
        <f>Monthly_Growth!$C$18</f>
        <v>964404</v>
      </c>
      <c r="H1926" s="5">
        <f>Monthly_Growth!$D$18</f>
        <v>0.15741720852865568</v>
      </c>
      <c r="I1926" s="15">
        <f>Yearly_Growth!$C$3</f>
        <v>0.11893113731787852</v>
      </c>
      <c r="J1926" s="15">
        <f>Yearly_Growth!$D$3</f>
        <v>0.09</v>
      </c>
      <c r="K1926">
        <f>Sales_Per_Representative!$C$17</f>
        <v>633956</v>
      </c>
      <c r="L1926">
        <f>Sales_Per_Rep_Yearly_Goal!$B$3</f>
        <v>689907.8</v>
      </c>
      <c r="M1926">
        <f>Sales_Per_Rep_Yearly_Goal!$C$3</f>
        <v>690000</v>
      </c>
    </row>
    <row r="1927" spans="1:13" x14ac:dyDescent="0.3">
      <c r="A1927" s="3">
        <v>45439</v>
      </c>
      <c r="B1927">
        <f t="shared" si="30"/>
        <v>2024</v>
      </c>
      <c r="C1927">
        <v>5</v>
      </c>
      <c r="D1927" t="s">
        <v>7</v>
      </c>
      <c r="E1927" t="s">
        <v>18</v>
      </c>
      <c r="F1927" s="2">
        <v>11843</v>
      </c>
      <c r="G1927" s="2">
        <f>Monthly_Growth!$C$18</f>
        <v>964404</v>
      </c>
      <c r="H1927" s="5">
        <f>Monthly_Growth!$D$18</f>
        <v>0.15741720852865568</v>
      </c>
      <c r="I1927" s="15">
        <f>Yearly_Growth!$C$3</f>
        <v>0.11893113731787852</v>
      </c>
      <c r="J1927" s="15">
        <f>Yearly_Growth!$D$3</f>
        <v>0.09</v>
      </c>
      <c r="K1927">
        <f>Sales_Per_Representative!$C$24</f>
        <v>699277</v>
      </c>
      <c r="L1927">
        <f>Sales_Per_Rep_Yearly_Goal!$B$3</f>
        <v>689907.8</v>
      </c>
      <c r="M1927">
        <f>Sales_Per_Rep_Yearly_Goal!$C$3</f>
        <v>690000</v>
      </c>
    </row>
    <row r="1928" spans="1:13" x14ac:dyDescent="0.3">
      <c r="A1928" s="3">
        <v>45439</v>
      </c>
      <c r="B1928">
        <f t="shared" si="30"/>
        <v>2024</v>
      </c>
      <c r="C1928">
        <v>5</v>
      </c>
      <c r="D1928" t="s">
        <v>12</v>
      </c>
      <c r="E1928" t="s">
        <v>27</v>
      </c>
      <c r="F1928" s="2">
        <v>1314</v>
      </c>
      <c r="G1928" s="2">
        <f>Monthly_Growth!$C$18</f>
        <v>964404</v>
      </c>
      <c r="H1928" s="5">
        <f>Monthly_Growth!$D$18</f>
        <v>0.15741720852865568</v>
      </c>
      <c r="I1928" s="15">
        <f>Yearly_Growth!$C$3</f>
        <v>0.11893113731787852</v>
      </c>
      <c r="J1928" s="15">
        <f>Yearly_Growth!$D$3</f>
        <v>0.09</v>
      </c>
      <c r="K1928">
        <f>Sales_Per_Representative!$C$20</f>
        <v>685380</v>
      </c>
      <c r="L1928">
        <f>Sales_Per_Rep_Yearly_Goal!$B$3</f>
        <v>689907.8</v>
      </c>
      <c r="M1928">
        <f>Sales_Per_Rep_Yearly_Goal!$C$3</f>
        <v>690000</v>
      </c>
    </row>
    <row r="1929" spans="1:13" x14ac:dyDescent="0.3">
      <c r="A1929" s="3">
        <v>45439</v>
      </c>
      <c r="B1929">
        <f t="shared" si="30"/>
        <v>2024</v>
      </c>
      <c r="C1929">
        <v>5</v>
      </c>
      <c r="D1929" t="s">
        <v>12</v>
      </c>
      <c r="E1929" t="s">
        <v>22</v>
      </c>
      <c r="F1929" s="2">
        <v>5215</v>
      </c>
      <c r="G1929" s="2">
        <f>Monthly_Growth!$C$18</f>
        <v>964404</v>
      </c>
      <c r="H1929" s="5">
        <f>Monthly_Growth!$D$18</f>
        <v>0.15741720852865568</v>
      </c>
      <c r="I1929" s="15">
        <f>Yearly_Growth!$C$3</f>
        <v>0.11893113731787852</v>
      </c>
      <c r="J1929" s="15">
        <f>Yearly_Growth!$D$3</f>
        <v>0.09</v>
      </c>
      <c r="K1929">
        <f>Sales_Per_Representative!$C$23</f>
        <v>697444</v>
      </c>
      <c r="L1929">
        <f>Sales_Per_Rep_Yearly_Goal!$B$3</f>
        <v>689907.8</v>
      </c>
      <c r="M1929">
        <f>Sales_Per_Rep_Yearly_Goal!$C$3</f>
        <v>690000</v>
      </c>
    </row>
    <row r="1930" spans="1:13" x14ac:dyDescent="0.3">
      <c r="A1930" s="3">
        <v>45439</v>
      </c>
      <c r="B1930">
        <f t="shared" si="30"/>
        <v>2024</v>
      </c>
      <c r="C1930">
        <v>5</v>
      </c>
      <c r="D1930" t="s">
        <v>12</v>
      </c>
      <c r="E1930" t="s">
        <v>20</v>
      </c>
      <c r="F1930" s="2">
        <v>10546</v>
      </c>
      <c r="G1930" s="2">
        <f>Monthly_Growth!$C$18</f>
        <v>964404</v>
      </c>
      <c r="H1930" s="5">
        <f>Monthly_Growth!$D$18</f>
        <v>0.15741720852865568</v>
      </c>
      <c r="I1930" s="15">
        <f>Yearly_Growth!$C$3</f>
        <v>0.11893113731787852</v>
      </c>
      <c r="J1930" s="15">
        <f>Yearly_Growth!$D$3</f>
        <v>0.09</v>
      </c>
      <c r="K1930">
        <f>Sales_Per_Representative!$C$29</f>
        <v>753085</v>
      </c>
      <c r="L1930">
        <f>Sales_Per_Rep_Yearly_Goal!$B$3</f>
        <v>689907.8</v>
      </c>
      <c r="M1930">
        <f>Sales_Per_Rep_Yearly_Goal!$C$3</f>
        <v>690000</v>
      </c>
    </row>
    <row r="1931" spans="1:13" x14ac:dyDescent="0.3">
      <c r="A1931" s="3">
        <v>45440</v>
      </c>
      <c r="B1931">
        <f t="shared" si="30"/>
        <v>2024</v>
      </c>
      <c r="C1931">
        <v>5</v>
      </c>
      <c r="D1931" t="s">
        <v>14</v>
      </c>
      <c r="E1931" t="s">
        <v>10</v>
      </c>
      <c r="F1931" s="2">
        <v>5396</v>
      </c>
      <c r="G1931" s="2">
        <f>Monthly_Growth!$C$18</f>
        <v>964404</v>
      </c>
      <c r="H1931" s="5">
        <f>Monthly_Growth!$D$18</f>
        <v>0.15741720852865568</v>
      </c>
      <c r="I1931" s="15">
        <f>Yearly_Growth!$C$3</f>
        <v>0.11893113731787852</v>
      </c>
      <c r="J1931" s="15">
        <f>Yearly_Growth!$D$3</f>
        <v>0.09</v>
      </c>
      <c r="K1931">
        <f>Sales_Per_Representative!$C$19</f>
        <v>711816</v>
      </c>
      <c r="L1931">
        <f>Sales_Per_Rep_Yearly_Goal!$B$3</f>
        <v>689907.8</v>
      </c>
      <c r="M1931">
        <f>Sales_Per_Rep_Yearly_Goal!$C$3</f>
        <v>690000</v>
      </c>
    </row>
    <row r="1932" spans="1:13" x14ac:dyDescent="0.3">
      <c r="A1932" s="3">
        <v>45440</v>
      </c>
      <c r="B1932">
        <f t="shared" si="30"/>
        <v>2024</v>
      </c>
      <c r="C1932">
        <v>5</v>
      </c>
      <c r="D1932" t="s">
        <v>14</v>
      </c>
      <c r="E1932" t="s">
        <v>10</v>
      </c>
      <c r="F1932" s="2">
        <v>2644</v>
      </c>
      <c r="G1932" s="2">
        <f>Monthly_Growth!$C$18</f>
        <v>964404</v>
      </c>
      <c r="H1932" s="5">
        <f>Monthly_Growth!$D$18</f>
        <v>0.15741720852865568</v>
      </c>
      <c r="I1932" s="15">
        <f>Yearly_Growth!$C$3</f>
        <v>0.11893113731787852</v>
      </c>
      <c r="J1932" s="15">
        <f>Yearly_Growth!$D$3</f>
        <v>0.09</v>
      </c>
      <c r="K1932">
        <f>Sales_Per_Representative!$C$19</f>
        <v>711816</v>
      </c>
      <c r="L1932">
        <f>Sales_Per_Rep_Yearly_Goal!$B$3</f>
        <v>689907.8</v>
      </c>
      <c r="M1932">
        <f>Sales_Per_Rep_Yearly_Goal!$C$3</f>
        <v>690000</v>
      </c>
    </row>
    <row r="1933" spans="1:13" x14ac:dyDescent="0.3">
      <c r="A1933" s="3">
        <v>45440</v>
      </c>
      <c r="B1933">
        <f t="shared" si="30"/>
        <v>2024</v>
      </c>
      <c r="C1933">
        <v>5</v>
      </c>
      <c r="D1933" t="s">
        <v>23</v>
      </c>
      <c r="E1933" t="s">
        <v>15</v>
      </c>
      <c r="F1933" s="2">
        <v>6753</v>
      </c>
      <c r="G1933" s="2">
        <f>Monthly_Growth!$C$18</f>
        <v>964404</v>
      </c>
      <c r="H1933" s="5">
        <f>Monthly_Growth!$D$18</f>
        <v>0.15741720852865568</v>
      </c>
      <c r="I1933" s="15">
        <f>Yearly_Growth!$C$3</f>
        <v>0.11893113731787852</v>
      </c>
      <c r="J1933" s="15">
        <f>Yearly_Growth!$D$3</f>
        <v>0.09</v>
      </c>
      <c r="K1933">
        <f>Sales_Per_Representative!$C$27</f>
        <v>617202</v>
      </c>
      <c r="L1933">
        <f>Sales_Per_Rep_Yearly_Goal!$B$3</f>
        <v>689907.8</v>
      </c>
      <c r="M1933">
        <f>Sales_Per_Rep_Yearly_Goal!$C$3</f>
        <v>690000</v>
      </c>
    </row>
    <row r="1934" spans="1:13" x14ac:dyDescent="0.3">
      <c r="A1934" s="3">
        <v>45440</v>
      </c>
      <c r="B1934">
        <f t="shared" si="30"/>
        <v>2024</v>
      </c>
      <c r="C1934">
        <v>5</v>
      </c>
      <c r="D1934" t="s">
        <v>25</v>
      </c>
      <c r="E1934" t="s">
        <v>15</v>
      </c>
      <c r="F1934" s="2">
        <v>7715</v>
      </c>
      <c r="G1934" s="2">
        <f>Monthly_Growth!$C$18</f>
        <v>964404</v>
      </c>
      <c r="H1934" s="5">
        <f>Monthly_Growth!$D$18</f>
        <v>0.15741720852865568</v>
      </c>
      <c r="I1934" s="15">
        <f>Yearly_Growth!$C$3</f>
        <v>0.11893113731787852</v>
      </c>
      <c r="J1934" s="15">
        <f>Yearly_Growth!$D$3</f>
        <v>0.09</v>
      </c>
      <c r="K1934">
        <f>Sales_Per_Representative!$C$27</f>
        <v>617202</v>
      </c>
      <c r="L1934">
        <f>Sales_Per_Rep_Yearly_Goal!$B$3</f>
        <v>689907.8</v>
      </c>
      <c r="M1934">
        <f>Sales_Per_Rep_Yearly_Goal!$C$3</f>
        <v>690000</v>
      </c>
    </row>
    <row r="1935" spans="1:13" x14ac:dyDescent="0.3">
      <c r="A1935" s="3">
        <v>45440</v>
      </c>
      <c r="B1935">
        <f t="shared" si="30"/>
        <v>2024</v>
      </c>
      <c r="C1935">
        <v>5</v>
      </c>
      <c r="D1935" t="s">
        <v>17</v>
      </c>
      <c r="E1935" t="s">
        <v>8</v>
      </c>
      <c r="F1935" s="2">
        <v>4215</v>
      </c>
      <c r="G1935" s="2">
        <f>Monthly_Growth!$C$18</f>
        <v>964404</v>
      </c>
      <c r="H1935" s="5">
        <f>Monthly_Growth!$D$18</f>
        <v>0.15741720852865568</v>
      </c>
      <c r="I1935" s="15">
        <f>Yearly_Growth!$C$3</f>
        <v>0.11893113731787852</v>
      </c>
      <c r="J1935" s="15">
        <f>Yearly_Growth!$D$3</f>
        <v>0.09</v>
      </c>
      <c r="K1935">
        <f>Sales_Per_Representative!$C$30</f>
        <v>780006</v>
      </c>
      <c r="L1935">
        <f>Sales_Per_Rep_Yearly_Goal!$B$3</f>
        <v>689907.8</v>
      </c>
      <c r="M1935">
        <f>Sales_Per_Rep_Yearly_Goal!$C$3</f>
        <v>690000</v>
      </c>
    </row>
    <row r="1936" spans="1:13" x14ac:dyDescent="0.3">
      <c r="A1936" s="3">
        <v>45441</v>
      </c>
      <c r="B1936">
        <f t="shared" si="30"/>
        <v>2024</v>
      </c>
      <c r="C1936">
        <v>5</v>
      </c>
      <c r="D1936" t="s">
        <v>17</v>
      </c>
      <c r="E1936" t="s">
        <v>31</v>
      </c>
      <c r="F1936" s="2">
        <v>3917</v>
      </c>
      <c r="G1936" s="2">
        <f>Monthly_Growth!$C$18</f>
        <v>964404</v>
      </c>
      <c r="H1936" s="5">
        <f>Monthly_Growth!$D$18</f>
        <v>0.15741720852865568</v>
      </c>
      <c r="I1936" s="15">
        <f>Yearly_Growth!$C$3</f>
        <v>0.11893113731787852</v>
      </c>
      <c r="J1936" s="15">
        <f>Yearly_Growth!$D$3</f>
        <v>0.09</v>
      </c>
      <c r="K1936">
        <f>Sales_Per_Representative!$C$21</f>
        <v>679421</v>
      </c>
      <c r="L1936">
        <f>Sales_Per_Rep_Yearly_Goal!$B$3</f>
        <v>689907.8</v>
      </c>
      <c r="M1936">
        <f>Sales_Per_Rep_Yearly_Goal!$C$3</f>
        <v>690000</v>
      </c>
    </row>
    <row r="1937" spans="1:13" x14ac:dyDescent="0.3">
      <c r="A1937" s="3">
        <v>45441</v>
      </c>
      <c r="B1937">
        <f t="shared" si="30"/>
        <v>2024</v>
      </c>
      <c r="C1937">
        <v>5</v>
      </c>
      <c r="D1937" t="s">
        <v>17</v>
      </c>
      <c r="E1937" t="s">
        <v>27</v>
      </c>
      <c r="F1937" s="2">
        <v>7210</v>
      </c>
      <c r="G1937" s="2">
        <f>Monthly_Growth!$C$18</f>
        <v>964404</v>
      </c>
      <c r="H1937" s="5">
        <f>Monthly_Growth!$D$18</f>
        <v>0.15741720852865568</v>
      </c>
      <c r="I1937" s="15">
        <f>Yearly_Growth!$C$3</f>
        <v>0.11893113731787852</v>
      </c>
      <c r="J1937" s="15">
        <f>Yearly_Growth!$D$3</f>
        <v>0.09</v>
      </c>
      <c r="K1937">
        <f>Sales_Per_Representative!$C$20</f>
        <v>685380</v>
      </c>
      <c r="L1937">
        <f>Sales_Per_Rep_Yearly_Goal!$B$3</f>
        <v>689907.8</v>
      </c>
      <c r="M1937">
        <f>Sales_Per_Rep_Yearly_Goal!$C$3</f>
        <v>690000</v>
      </c>
    </row>
    <row r="1938" spans="1:13" x14ac:dyDescent="0.3">
      <c r="A1938" s="3">
        <v>45442</v>
      </c>
      <c r="B1938">
        <f t="shared" si="30"/>
        <v>2024</v>
      </c>
      <c r="C1938">
        <v>5</v>
      </c>
      <c r="D1938" t="s">
        <v>14</v>
      </c>
      <c r="E1938" t="s">
        <v>26</v>
      </c>
      <c r="F1938" s="2">
        <v>7627</v>
      </c>
      <c r="G1938" s="2">
        <f>Monthly_Growth!$C$18</f>
        <v>964404</v>
      </c>
      <c r="H1938" s="5">
        <f>Monthly_Growth!$D$18</f>
        <v>0.15741720852865568</v>
      </c>
      <c r="I1938" s="15">
        <f>Yearly_Growth!$C$3</f>
        <v>0.11893113731787852</v>
      </c>
      <c r="J1938" s="15">
        <f>Yearly_Growth!$D$3</f>
        <v>0.09</v>
      </c>
      <c r="K1938">
        <f>Sales_Per_Representative!$C$31</f>
        <v>664244</v>
      </c>
      <c r="L1938">
        <f>Sales_Per_Rep_Yearly_Goal!$B$3</f>
        <v>689907.8</v>
      </c>
      <c r="M1938">
        <f>Sales_Per_Rep_Yearly_Goal!$C$3</f>
        <v>690000</v>
      </c>
    </row>
    <row r="1939" spans="1:13" x14ac:dyDescent="0.3">
      <c r="A1939" s="3">
        <v>45442</v>
      </c>
      <c r="B1939">
        <f t="shared" si="30"/>
        <v>2024</v>
      </c>
      <c r="C1939">
        <v>5</v>
      </c>
      <c r="D1939" t="s">
        <v>25</v>
      </c>
      <c r="E1939" t="s">
        <v>30</v>
      </c>
      <c r="F1939" s="2">
        <v>3026</v>
      </c>
      <c r="G1939" s="2">
        <f>Monthly_Growth!$C$18</f>
        <v>964404</v>
      </c>
      <c r="H1939" s="5">
        <f>Monthly_Growth!$D$18</f>
        <v>0.15741720852865568</v>
      </c>
      <c r="I1939" s="15">
        <f>Yearly_Growth!$C$3</f>
        <v>0.11893113731787852</v>
      </c>
      <c r="J1939" s="15">
        <f>Yearly_Growth!$D$3</f>
        <v>0.09</v>
      </c>
      <c r="K1939">
        <f>Sales_Per_Representative!$C$22</f>
        <v>700142</v>
      </c>
      <c r="L1939">
        <f>Sales_Per_Rep_Yearly_Goal!$B$3</f>
        <v>689907.8</v>
      </c>
      <c r="M1939">
        <f>Sales_Per_Rep_Yearly_Goal!$C$3</f>
        <v>690000</v>
      </c>
    </row>
    <row r="1940" spans="1:13" x14ac:dyDescent="0.3">
      <c r="A1940" s="3">
        <v>45442</v>
      </c>
      <c r="B1940">
        <f t="shared" si="30"/>
        <v>2024</v>
      </c>
      <c r="C1940">
        <v>5</v>
      </c>
      <c r="D1940" t="s">
        <v>7</v>
      </c>
      <c r="E1940" t="s">
        <v>31</v>
      </c>
      <c r="F1940" s="2">
        <v>8365</v>
      </c>
      <c r="G1940" s="2">
        <f>Monthly_Growth!$C$18</f>
        <v>964404</v>
      </c>
      <c r="H1940" s="5">
        <f>Monthly_Growth!$D$18</f>
        <v>0.15741720852865568</v>
      </c>
      <c r="I1940" s="15">
        <f>Yearly_Growth!$C$3</f>
        <v>0.11893113731787852</v>
      </c>
      <c r="J1940" s="15">
        <f>Yearly_Growth!$D$3</f>
        <v>0.09</v>
      </c>
      <c r="K1940">
        <f>Sales_Per_Representative!$C$21</f>
        <v>679421</v>
      </c>
      <c r="L1940">
        <f>Sales_Per_Rep_Yearly_Goal!$B$3</f>
        <v>689907.8</v>
      </c>
      <c r="M1940">
        <f>Sales_Per_Rep_Yearly_Goal!$C$3</f>
        <v>690000</v>
      </c>
    </row>
    <row r="1941" spans="1:13" x14ac:dyDescent="0.3">
      <c r="A1941" s="3">
        <v>45442</v>
      </c>
      <c r="B1941">
        <f t="shared" si="30"/>
        <v>2024</v>
      </c>
      <c r="C1941">
        <v>5</v>
      </c>
      <c r="D1941" t="s">
        <v>12</v>
      </c>
      <c r="E1941" t="s">
        <v>10</v>
      </c>
      <c r="F1941" s="2">
        <v>4665</v>
      </c>
      <c r="G1941" s="2">
        <f>Monthly_Growth!$C$18</f>
        <v>964404</v>
      </c>
      <c r="H1941" s="5">
        <f>Monthly_Growth!$D$18</f>
        <v>0.15741720852865568</v>
      </c>
      <c r="I1941" s="15">
        <f>Yearly_Growth!$C$3</f>
        <v>0.11893113731787852</v>
      </c>
      <c r="J1941" s="15">
        <f>Yearly_Growth!$D$3</f>
        <v>0.09</v>
      </c>
      <c r="K1941">
        <f>Sales_Per_Representative!$C$19</f>
        <v>711816</v>
      </c>
      <c r="L1941">
        <f>Sales_Per_Rep_Yearly_Goal!$B$3</f>
        <v>689907.8</v>
      </c>
      <c r="M1941">
        <f>Sales_Per_Rep_Yearly_Goal!$C$3</f>
        <v>690000</v>
      </c>
    </row>
    <row r="1942" spans="1:13" x14ac:dyDescent="0.3">
      <c r="A1942" s="3">
        <v>45442</v>
      </c>
      <c r="B1942">
        <f t="shared" si="30"/>
        <v>2024</v>
      </c>
      <c r="C1942">
        <v>5</v>
      </c>
      <c r="D1942" t="s">
        <v>12</v>
      </c>
      <c r="E1942" t="s">
        <v>22</v>
      </c>
      <c r="F1942" s="2">
        <v>13527</v>
      </c>
      <c r="G1942" s="2">
        <f>Monthly_Growth!$C$18</f>
        <v>964404</v>
      </c>
      <c r="H1942" s="5">
        <f>Monthly_Growth!$D$18</f>
        <v>0.15741720852865568</v>
      </c>
      <c r="I1942" s="15">
        <f>Yearly_Growth!$C$3</f>
        <v>0.11893113731787852</v>
      </c>
      <c r="J1942" s="15">
        <f>Yearly_Growth!$D$3</f>
        <v>0.09</v>
      </c>
      <c r="K1942">
        <f>Sales_Per_Representative!$C$23</f>
        <v>697444</v>
      </c>
      <c r="L1942">
        <f>Sales_Per_Rep_Yearly_Goal!$B$3</f>
        <v>689907.8</v>
      </c>
      <c r="M1942">
        <f>Sales_Per_Rep_Yearly_Goal!$C$3</f>
        <v>690000</v>
      </c>
    </row>
    <row r="1943" spans="1:13" x14ac:dyDescent="0.3">
      <c r="A1943" s="3">
        <v>45443</v>
      </c>
      <c r="B1943">
        <f t="shared" si="30"/>
        <v>2024</v>
      </c>
      <c r="C1943">
        <v>5</v>
      </c>
      <c r="D1943" t="s">
        <v>28</v>
      </c>
      <c r="E1943" t="s">
        <v>24</v>
      </c>
      <c r="F1943" s="2">
        <v>10778</v>
      </c>
      <c r="G1943" s="2">
        <f>Monthly_Growth!$C$18</f>
        <v>964404</v>
      </c>
      <c r="H1943" s="5">
        <f>Monthly_Growth!$D$18</f>
        <v>0.15741720852865568</v>
      </c>
      <c r="I1943" s="15">
        <f>Yearly_Growth!$C$3</f>
        <v>0.11893113731787852</v>
      </c>
      <c r="J1943" s="15">
        <f>Yearly_Growth!$D$3</f>
        <v>0.09</v>
      </c>
      <c r="K1943">
        <f>Sales_Per_Representative!$C$17</f>
        <v>633956</v>
      </c>
      <c r="L1943">
        <f>Sales_Per_Rep_Yearly_Goal!$B$3</f>
        <v>689907.8</v>
      </c>
      <c r="M1943">
        <f>Sales_Per_Rep_Yearly_Goal!$C$3</f>
        <v>690000</v>
      </c>
    </row>
    <row r="1944" spans="1:13" x14ac:dyDescent="0.3">
      <c r="A1944" s="3">
        <v>45443</v>
      </c>
      <c r="B1944">
        <f t="shared" si="30"/>
        <v>2024</v>
      </c>
      <c r="C1944">
        <v>5</v>
      </c>
      <c r="D1944" t="s">
        <v>28</v>
      </c>
      <c r="E1944" t="s">
        <v>29</v>
      </c>
      <c r="F1944" s="2">
        <v>10527</v>
      </c>
      <c r="G1944" s="2">
        <f>Monthly_Growth!$C$18</f>
        <v>964404</v>
      </c>
      <c r="H1944" s="5">
        <f>Monthly_Growth!$D$18</f>
        <v>0.15741720852865568</v>
      </c>
      <c r="I1944" s="15">
        <f>Yearly_Growth!$C$3</f>
        <v>0.11893113731787852</v>
      </c>
      <c r="J1944" s="15">
        <f>Yearly_Growth!$D$3</f>
        <v>0.09</v>
      </c>
      <c r="K1944">
        <f>Sales_Per_Representative!$C$28</f>
        <v>691917</v>
      </c>
      <c r="L1944">
        <f>Sales_Per_Rep_Yearly_Goal!$B$3</f>
        <v>689907.8</v>
      </c>
      <c r="M1944">
        <f>Sales_Per_Rep_Yearly_Goal!$C$3</f>
        <v>690000</v>
      </c>
    </row>
    <row r="1945" spans="1:13" x14ac:dyDescent="0.3">
      <c r="A1945" s="3">
        <v>45443</v>
      </c>
      <c r="B1945">
        <f t="shared" si="30"/>
        <v>2024</v>
      </c>
      <c r="C1945">
        <v>5</v>
      </c>
      <c r="D1945" t="s">
        <v>12</v>
      </c>
      <c r="E1945" t="s">
        <v>30</v>
      </c>
      <c r="F1945" s="2">
        <v>8126</v>
      </c>
      <c r="G1945" s="2">
        <f>Monthly_Growth!$C$18</f>
        <v>964404</v>
      </c>
      <c r="H1945" s="5">
        <f>Monthly_Growth!$D$18</f>
        <v>0.15741720852865568</v>
      </c>
      <c r="I1945" s="15">
        <f>Yearly_Growth!$C$3</f>
        <v>0.11893113731787852</v>
      </c>
      <c r="J1945" s="15">
        <f>Yearly_Growth!$D$3</f>
        <v>0.09</v>
      </c>
      <c r="K1945">
        <f>Sales_Per_Representative!$C$22</f>
        <v>700142</v>
      </c>
      <c r="L1945">
        <f>Sales_Per_Rep_Yearly_Goal!$B$3</f>
        <v>689907.8</v>
      </c>
      <c r="M1945">
        <f>Sales_Per_Rep_Yearly_Goal!$C$3</f>
        <v>690000</v>
      </c>
    </row>
    <row r="1946" spans="1:13" x14ac:dyDescent="0.3">
      <c r="A1946" s="3">
        <v>45444</v>
      </c>
      <c r="B1946">
        <f t="shared" si="30"/>
        <v>2024</v>
      </c>
      <c r="C1946">
        <v>6</v>
      </c>
      <c r="D1946" t="s">
        <v>19</v>
      </c>
      <c r="E1946" t="s">
        <v>31</v>
      </c>
      <c r="F1946" s="2">
        <v>2214</v>
      </c>
      <c r="G1946" s="2">
        <f>Monthly_Growth!$C$19</f>
        <v>1066501</v>
      </c>
      <c r="H1946" s="5">
        <f>Monthly_Growth!$D$19</f>
        <v>0.10586538421657314</v>
      </c>
      <c r="I1946" s="15">
        <f>Yearly_Growth!$C$3</f>
        <v>0.11893113731787852</v>
      </c>
      <c r="J1946" s="15">
        <f>Yearly_Growth!$D$3</f>
        <v>0.09</v>
      </c>
      <c r="K1946">
        <f>Sales_Per_Representative!$C$21</f>
        <v>679421</v>
      </c>
      <c r="L1946">
        <f>Sales_Per_Rep_Yearly_Goal!$B$3</f>
        <v>689907.8</v>
      </c>
      <c r="M1946">
        <f>Sales_Per_Rep_Yearly_Goal!$C$3</f>
        <v>690000</v>
      </c>
    </row>
    <row r="1947" spans="1:13" x14ac:dyDescent="0.3">
      <c r="A1947" s="3">
        <v>45444</v>
      </c>
      <c r="B1947">
        <f t="shared" si="30"/>
        <v>2024</v>
      </c>
      <c r="C1947">
        <v>6</v>
      </c>
      <c r="D1947" t="s">
        <v>25</v>
      </c>
      <c r="E1947" t="s">
        <v>10</v>
      </c>
      <c r="F1947" s="2">
        <v>9570</v>
      </c>
      <c r="G1947" s="2">
        <f>Monthly_Growth!$C$19</f>
        <v>1066501</v>
      </c>
      <c r="H1947" s="5">
        <f>Monthly_Growth!$D$19</f>
        <v>0.10586538421657314</v>
      </c>
      <c r="I1947" s="15">
        <f>Yearly_Growth!$C$3</f>
        <v>0.11893113731787852</v>
      </c>
      <c r="J1947" s="15">
        <f>Yearly_Growth!$D$3</f>
        <v>0.09</v>
      </c>
      <c r="K1947">
        <f>Sales_Per_Representative!$C$19</f>
        <v>711816</v>
      </c>
      <c r="L1947">
        <f>Sales_Per_Rep_Yearly_Goal!$B$3</f>
        <v>689907.8</v>
      </c>
      <c r="M1947">
        <f>Sales_Per_Rep_Yearly_Goal!$C$3</f>
        <v>690000</v>
      </c>
    </row>
    <row r="1948" spans="1:13" x14ac:dyDescent="0.3">
      <c r="A1948" s="3">
        <v>45444</v>
      </c>
      <c r="B1948">
        <f t="shared" si="30"/>
        <v>2024</v>
      </c>
      <c r="C1948">
        <v>6</v>
      </c>
      <c r="D1948" t="s">
        <v>7</v>
      </c>
      <c r="E1948" t="s">
        <v>10</v>
      </c>
      <c r="F1948" s="2">
        <v>1249</v>
      </c>
      <c r="G1948" s="2">
        <f>Monthly_Growth!$C$19</f>
        <v>1066501</v>
      </c>
      <c r="H1948" s="5">
        <f>Monthly_Growth!$D$19</f>
        <v>0.10586538421657314</v>
      </c>
      <c r="I1948" s="15">
        <f>Yearly_Growth!$C$3</f>
        <v>0.11893113731787852</v>
      </c>
      <c r="J1948" s="15">
        <f>Yearly_Growth!$D$3</f>
        <v>0.09</v>
      </c>
      <c r="K1948">
        <f>Sales_Per_Representative!$C$19</f>
        <v>711816</v>
      </c>
      <c r="L1948">
        <f>Sales_Per_Rep_Yearly_Goal!$B$3</f>
        <v>689907.8</v>
      </c>
      <c r="M1948">
        <f>Sales_Per_Rep_Yearly_Goal!$C$3</f>
        <v>690000</v>
      </c>
    </row>
    <row r="1949" spans="1:13" x14ac:dyDescent="0.3">
      <c r="A1949" s="3">
        <v>45444</v>
      </c>
      <c r="B1949">
        <f t="shared" si="30"/>
        <v>2024</v>
      </c>
      <c r="C1949">
        <v>6</v>
      </c>
      <c r="D1949" t="s">
        <v>12</v>
      </c>
      <c r="E1949" t="s">
        <v>15</v>
      </c>
      <c r="F1949" s="2">
        <v>13609</v>
      </c>
      <c r="G1949" s="2">
        <f>Monthly_Growth!$C$19</f>
        <v>1066501</v>
      </c>
      <c r="H1949" s="5">
        <f>Monthly_Growth!$D$19</f>
        <v>0.10586538421657314</v>
      </c>
      <c r="I1949" s="15">
        <f>Yearly_Growth!$C$3</f>
        <v>0.11893113731787852</v>
      </c>
      <c r="J1949" s="15">
        <f>Yearly_Growth!$D$3</f>
        <v>0.09</v>
      </c>
      <c r="K1949">
        <f>Sales_Per_Representative!$C$27</f>
        <v>617202</v>
      </c>
      <c r="L1949">
        <f>Sales_Per_Rep_Yearly_Goal!$B$3</f>
        <v>689907.8</v>
      </c>
      <c r="M1949">
        <f>Sales_Per_Rep_Yearly_Goal!$C$3</f>
        <v>690000</v>
      </c>
    </row>
    <row r="1950" spans="1:13" x14ac:dyDescent="0.3">
      <c r="A1950" s="3">
        <v>45445</v>
      </c>
      <c r="B1950">
        <f t="shared" si="30"/>
        <v>2024</v>
      </c>
      <c r="C1950">
        <v>6</v>
      </c>
      <c r="D1950" t="s">
        <v>14</v>
      </c>
      <c r="E1950" t="s">
        <v>26</v>
      </c>
      <c r="F1950" s="2">
        <v>10218</v>
      </c>
      <c r="G1950" s="2">
        <f>Monthly_Growth!$C$19</f>
        <v>1066501</v>
      </c>
      <c r="H1950" s="5">
        <f>Monthly_Growth!$D$19</f>
        <v>0.10586538421657314</v>
      </c>
      <c r="I1950" s="15">
        <f>Yearly_Growth!$C$3</f>
        <v>0.11893113731787852</v>
      </c>
      <c r="J1950" s="15">
        <f>Yearly_Growth!$D$3</f>
        <v>0.09</v>
      </c>
      <c r="K1950">
        <f>Sales_Per_Representative!$C$31</f>
        <v>664244</v>
      </c>
      <c r="L1950">
        <f>Sales_Per_Rep_Yearly_Goal!$B$3</f>
        <v>689907.8</v>
      </c>
      <c r="M1950">
        <f>Sales_Per_Rep_Yearly_Goal!$C$3</f>
        <v>690000</v>
      </c>
    </row>
    <row r="1951" spans="1:13" x14ac:dyDescent="0.3">
      <c r="A1951" s="3">
        <v>45445</v>
      </c>
      <c r="B1951">
        <f t="shared" si="30"/>
        <v>2024</v>
      </c>
      <c r="C1951">
        <v>6</v>
      </c>
      <c r="D1951" t="s">
        <v>14</v>
      </c>
      <c r="E1951" t="s">
        <v>18</v>
      </c>
      <c r="F1951" s="2">
        <v>12725</v>
      </c>
      <c r="G1951" s="2">
        <f>Monthly_Growth!$C$19</f>
        <v>1066501</v>
      </c>
      <c r="H1951" s="5">
        <f>Monthly_Growth!$D$19</f>
        <v>0.10586538421657314</v>
      </c>
      <c r="I1951" s="15">
        <f>Yearly_Growth!$C$3</f>
        <v>0.11893113731787852</v>
      </c>
      <c r="J1951" s="15">
        <f>Yearly_Growth!$D$3</f>
        <v>0.09</v>
      </c>
      <c r="K1951">
        <f>Sales_Per_Representative!$C$24</f>
        <v>699277</v>
      </c>
      <c r="L1951">
        <f>Sales_Per_Rep_Yearly_Goal!$B$3</f>
        <v>689907.8</v>
      </c>
      <c r="M1951">
        <f>Sales_Per_Rep_Yearly_Goal!$C$3</f>
        <v>690000</v>
      </c>
    </row>
    <row r="1952" spans="1:13" x14ac:dyDescent="0.3">
      <c r="A1952" s="3">
        <v>45445</v>
      </c>
      <c r="B1952">
        <f t="shared" si="30"/>
        <v>2024</v>
      </c>
      <c r="C1952">
        <v>6</v>
      </c>
      <c r="D1952" t="s">
        <v>23</v>
      </c>
      <c r="E1952" t="s">
        <v>18</v>
      </c>
      <c r="F1952" s="2">
        <v>10473</v>
      </c>
      <c r="G1952" s="2">
        <f>Monthly_Growth!$C$19</f>
        <v>1066501</v>
      </c>
      <c r="H1952" s="5">
        <f>Monthly_Growth!$D$19</f>
        <v>0.10586538421657314</v>
      </c>
      <c r="I1952" s="15">
        <f>Yearly_Growth!$C$3</f>
        <v>0.11893113731787852</v>
      </c>
      <c r="J1952" s="15">
        <f>Yearly_Growth!$D$3</f>
        <v>0.09</v>
      </c>
      <c r="K1952">
        <f>Sales_Per_Representative!$C$24</f>
        <v>699277</v>
      </c>
      <c r="L1952">
        <f>Sales_Per_Rep_Yearly_Goal!$B$3</f>
        <v>689907.8</v>
      </c>
      <c r="M1952">
        <f>Sales_Per_Rep_Yearly_Goal!$C$3</f>
        <v>690000</v>
      </c>
    </row>
    <row r="1953" spans="1:13" x14ac:dyDescent="0.3">
      <c r="A1953" s="3">
        <v>45445</v>
      </c>
      <c r="B1953">
        <f t="shared" si="30"/>
        <v>2024</v>
      </c>
      <c r="C1953">
        <v>6</v>
      </c>
      <c r="D1953" t="s">
        <v>25</v>
      </c>
      <c r="E1953" t="s">
        <v>24</v>
      </c>
      <c r="F1953" s="2">
        <v>7508</v>
      </c>
      <c r="G1953" s="2">
        <f>Monthly_Growth!$C$19</f>
        <v>1066501</v>
      </c>
      <c r="H1953" s="5">
        <f>Monthly_Growth!$D$19</f>
        <v>0.10586538421657314</v>
      </c>
      <c r="I1953" s="15">
        <f>Yearly_Growth!$C$3</f>
        <v>0.11893113731787852</v>
      </c>
      <c r="J1953" s="15">
        <f>Yearly_Growth!$D$3</f>
        <v>0.09</v>
      </c>
      <c r="K1953">
        <f>Sales_Per_Representative!$C$17</f>
        <v>633956</v>
      </c>
      <c r="L1953">
        <f>Sales_Per_Rep_Yearly_Goal!$B$3</f>
        <v>689907.8</v>
      </c>
      <c r="M1953">
        <f>Sales_Per_Rep_Yearly_Goal!$C$3</f>
        <v>690000</v>
      </c>
    </row>
    <row r="1954" spans="1:13" x14ac:dyDescent="0.3">
      <c r="A1954" s="3">
        <v>45445</v>
      </c>
      <c r="B1954">
        <f t="shared" si="30"/>
        <v>2024</v>
      </c>
      <c r="C1954">
        <v>6</v>
      </c>
      <c r="D1954" t="s">
        <v>17</v>
      </c>
      <c r="E1954" t="s">
        <v>30</v>
      </c>
      <c r="F1954" s="2">
        <v>10216</v>
      </c>
      <c r="G1954" s="2">
        <f>Monthly_Growth!$C$19</f>
        <v>1066501</v>
      </c>
      <c r="H1954" s="5">
        <f>Monthly_Growth!$D$19</f>
        <v>0.10586538421657314</v>
      </c>
      <c r="I1954" s="15">
        <f>Yearly_Growth!$C$3</f>
        <v>0.11893113731787852</v>
      </c>
      <c r="J1954" s="15">
        <f>Yearly_Growth!$D$3</f>
        <v>0.09</v>
      </c>
      <c r="K1954">
        <f>Sales_Per_Representative!$C$22</f>
        <v>700142</v>
      </c>
      <c r="L1954">
        <f>Sales_Per_Rep_Yearly_Goal!$B$3</f>
        <v>689907.8</v>
      </c>
      <c r="M1954">
        <f>Sales_Per_Rep_Yearly_Goal!$C$3</f>
        <v>690000</v>
      </c>
    </row>
    <row r="1955" spans="1:13" x14ac:dyDescent="0.3">
      <c r="A1955" s="3">
        <v>45445</v>
      </c>
      <c r="B1955">
        <f t="shared" si="30"/>
        <v>2024</v>
      </c>
      <c r="C1955">
        <v>6</v>
      </c>
      <c r="D1955" t="s">
        <v>12</v>
      </c>
      <c r="E1955" t="s">
        <v>30</v>
      </c>
      <c r="F1955" s="2">
        <v>4837</v>
      </c>
      <c r="G1955" s="2">
        <f>Monthly_Growth!$C$19</f>
        <v>1066501</v>
      </c>
      <c r="H1955" s="5">
        <f>Monthly_Growth!$D$19</f>
        <v>0.10586538421657314</v>
      </c>
      <c r="I1955" s="15">
        <f>Yearly_Growth!$C$3</f>
        <v>0.11893113731787852</v>
      </c>
      <c r="J1955" s="15">
        <f>Yearly_Growth!$D$3</f>
        <v>0.09</v>
      </c>
      <c r="K1955">
        <f>Sales_Per_Representative!$C$22</f>
        <v>700142</v>
      </c>
      <c r="L1955">
        <f>Sales_Per_Rep_Yearly_Goal!$B$3</f>
        <v>689907.8</v>
      </c>
      <c r="M1955">
        <f>Sales_Per_Rep_Yearly_Goal!$C$3</f>
        <v>690000</v>
      </c>
    </row>
    <row r="1956" spans="1:13" x14ac:dyDescent="0.3">
      <c r="A1956" s="3">
        <v>45446</v>
      </c>
      <c r="B1956">
        <f t="shared" si="30"/>
        <v>2024</v>
      </c>
      <c r="C1956">
        <v>6</v>
      </c>
      <c r="D1956" t="s">
        <v>25</v>
      </c>
      <c r="E1956" t="s">
        <v>18</v>
      </c>
      <c r="F1956" s="2">
        <v>1575</v>
      </c>
      <c r="G1956" s="2">
        <f>Monthly_Growth!$C$19</f>
        <v>1066501</v>
      </c>
      <c r="H1956" s="5">
        <f>Monthly_Growth!$D$19</f>
        <v>0.10586538421657314</v>
      </c>
      <c r="I1956" s="15">
        <f>Yearly_Growth!$C$3</f>
        <v>0.11893113731787852</v>
      </c>
      <c r="J1956" s="15">
        <f>Yearly_Growth!$D$3</f>
        <v>0.09</v>
      </c>
      <c r="K1956">
        <f>Sales_Per_Representative!$C$24</f>
        <v>699277</v>
      </c>
      <c r="L1956">
        <f>Sales_Per_Rep_Yearly_Goal!$B$3</f>
        <v>689907.8</v>
      </c>
      <c r="M1956">
        <f>Sales_Per_Rep_Yearly_Goal!$C$3</f>
        <v>690000</v>
      </c>
    </row>
    <row r="1957" spans="1:13" x14ac:dyDescent="0.3">
      <c r="A1957" s="3">
        <v>45446</v>
      </c>
      <c r="B1957">
        <f t="shared" si="30"/>
        <v>2024</v>
      </c>
      <c r="C1957">
        <v>6</v>
      </c>
      <c r="D1957" t="s">
        <v>7</v>
      </c>
      <c r="E1957" t="s">
        <v>10</v>
      </c>
      <c r="F1957" s="2">
        <v>10483</v>
      </c>
      <c r="G1957" s="2">
        <f>Monthly_Growth!$C$19</f>
        <v>1066501</v>
      </c>
      <c r="H1957" s="5">
        <f>Monthly_Growth!$D$19</f>
        <v>0.10586538421657314</v>
      </c>
      <c r="I1957" s="15">
        <f>Yearly_Growth!$C$3</f>
        <v>0.11893113731787852</v>
      </c>
      <c r="J1957" s="15">
        <f>Yearly_Growth!$D$3</f>
        <v>0.09</v>
      </c>
      <c r="K1957">
        <f>Sales_Per_Representative!$C$19</f>
        <v>711816</v>
      </c>
      <c r="L1957">
        <f>Sales_Per_Rep_Yearly_Goal!$B$3</f>
        <v>689907.8</v>
      </c>
      <c r="M1957">
        <f>Sales_Per_Rep_Yearly_Goal!$C$3</f>
        <v>690000</v>
      </c>
    </row>
    <row r="1958" spans="1:13" x14ac:dyDescent="0.3">
      <c r="A1958" s="3">
        <v>45446</v>
      </c>
      <c r="B1958">
        <f t="shared" si="30"/>
        <v>2024</v>
      </c>
      <c r="C1958">
        <v>6</v>
      </c>
      <c r="D1958" t="s">
        <v>7</v>
      </c>
      <c r="E1958" t="s">
        <v>5</v>
      </c>
      <c r="F1958" s="2">
        <v>6632</v>
      </c>
      <c r="G1958" s="2">
        <f>Monthly_Growth!$C$19</f>
        <v>1066501</v>
      </c>
      <c r="H1958" s="5">
        <f>Monthly_Growth!$D$19</f>
        <v>0.10586538421657314</v>
      </c>
      <c r="I1958" s="15">
        <f>Yearly_Growth!$C$3</f>
        <v>0.11893113731787852</v>
      </c>
      <c r="J1958" s="15">
        <f>Yearly_Growth!$D$3</f>
        <v>0.09</v>
      </c>
      <c r="K1958">
        <f>Sales_Per_Representative!$C$25</f>
        <v>749460</v>
      </c>
      <c r="L1958">
        <f>Sales_Per_Rep_Yearly_Goal!$B$3</f>
        <v>689907.8</v>
      </c>
      <c r="M1958">
        <f>Sales_Per_Rep_Yearly_Goal!$C$3</f>
        <v>690000</v>
      </c>
    </row>
    <row r="1959" spans="1:13" x14ac:dyDescent="0.3">
      <c r="A1959" s="3">
        <v>45446</v>
      </c>
      <c r="B1959">
        <f t="shared" si="30"/>
        <v>2024</v>
      </c>
      <c r="C1959">
        <v>6</v>
      </c>
      <c r="D1959" t="s">
        <v>17</v>
      </c>
      <c r="E1959" t="s">
        <v>29</v>
      </c>
      <c r="F1959" s="2">
        <v>9091</v>
      </c>
      <c r="G1959" s="2">
        <f>Monthly_Growth!$C$19</f>
        <v>1066501</v>
      </c>
      <c r="H1959" s="5">
        <f>Monthly_Growth!$D$19</f>
        <v>0.10586538421657314</v>
      </c>
      <c r="I1959" s="15">
        <f>Yearly_Growth!$C$3</f>
        <v>0.11893113731787852</v>
      </c>
      <c r="J1959" s="15">
        <f>Yearly_Growth!$D$3</f>
        <v>0.09</v>
      </c>
      <c r="K1959">
        <f>Sales_Per_Representative!$C$28</f>
        <v>691917</v>
      </c>
      <c r="L1959">
        <f>Sales_Per_Rep_Yearly_Goal!$B$3</f>
        <v>689907.8</v>
      </c>
      <c r="M1959">
        <f>Sales_Per_Rep_Yearly_Goal!$C$3</f>
        <v>690000</v>
      </c>
    </row>
    <row r="1960" spans="1:13" x14ac:dyDescent="0.3">
      <c r="A1960" s="3">
        <v>45446</v>
      </c>
      <c r="B1960">
        <f t="shared" si="30"/>
        <v>2024</v>
      </c>
      <c r="C1960">
        <v>6</v>
      </c>
      <c r="D1960" t="s">
        <v>17</v>
      </c>
      <c r="E1960" t="s">
        <v>27</v>
      </c>
      <c r="F1960" s="2">
        <v>9798</v>
      </c>
      <c r="G1960" s="2">
        <f>Monthly_Growth!$C$19</f>
        <v>1066501</v>
      </c>
      <c r="H1960" s="5">
        <f>Monthly_Growth!$D$19</f>
        <v>0.10586538421657314</v>
      </c>
      <c r="I1960" s="15">
        <f>Yearly_Growth!$C$3</f>
        <v>0.11893113731787852</v>
      </c>
      <c r="J1960" s="15">
        <f>Yearly_Growth!$D$3</f>
        <v>0.09</v>
      </c>
      <c r="K1960">
        <f>Sales_Per_Representative!$C$20</f>
        <v>685380</v>
      </c>
      <c r="L1960">
        <f>Sales_Per_Rep_Yearly_Goal!$B$3</f>
        <v>689907.8</v>
      </c>
      <c r="M1960">
        <f>Sales_Per_Rep_Yearly_Goal!$C$3</f>
        <v>690000</v>
      </c>
    </row>
    <row r="1961" spans="1:13" x14ac:dyDescent="0.3">
      <c r="A1961" s="3">
        <v>45446</v>
      </c>
      <c r="B1961">
        <f t="shared" si="30"/>
        <v>2024</v>
      </c>
      <c r="C1961">
        <v>6</v>
      </c>
      <c r="D1961" t="s">
        <v>17</v>
      </c>
      <c r="E1961" t="s">
        <v>8</v>
      </c>
      <c r="F1961" s="2">
        <v>10776</v>
      </c>
      <c r="G1961" s="2">
        <f>Monthly_Growth!$C$19</f>
        <v>1066501</v>
      </c>
      <c r="H1961" s="5">
        <f>Monthly_Growth!$D$19</f>
        <v>0.10586538421657314</v>
      </c>
      <c r="I1961" s="15">
        <f>Yearly_Growth!$C$3</f>
        <v>0.11893113731787852</v>
      </c>
      <c r="J1961" s="15">
        <f>Yearly_Growth!$D$3</f>
        <v>0.09</v>
      </c>
      <c r="K1961">
        <f>Sales_Per_Representative!$C$30</f>
        <v>780006</v>
      </c>
      <c r="L1961">
        <f>Sales_Per_Rep_Yearly_Goal!$B$3</f>
        <v>689907.8</v>
      </c>
      <c r="M1961">
        <f>Sales_Per_Rep_Yearly_Goal!$C$3</f>
        <v>690000</v>
      </c>
    </row>
    <row r="1962" spans="1:13" x14ac:dyDescent="0.3">
      <c r="A1962" s="3">
        <v>45446</v>
      </c>
      <c r="B1962">
        <f t="shared" si="30"/>
        <v>2024</v>
      </c>
      <c r="C1962">
        <v>6</v>
      </c>
      <c r="D1962" t="s">
        <v>17</v>
      </c>
      <c r="E1962" t="s">
        <v>8</v>
      </c>
      <c r="F1962" s="2">
        <v>1835</v>
      </c>
      <c r="G1962" s="2">
        <f>Monthly_Growth!$C$19</f>
        <v>1066501</v>
      </c>
      <c r="H1962" s="5">
        <f>Monthly_Growth!$D$19</f>
        <v>0.10586538421657314</v>
      </c>
      <c r="I1962" s="15">
        <f>Yearly_Growth!$C$3</f>
        <v>0.11893113731787852</v>
      </c>
      <c r="J1962" s="15">
        <f>Yearly_Growth!$D$3</f>
        <v>0.09</v>
      </c>
      <c r="K1962">
        <f>Sales_Per_Representative!$C$30</f>
        <v>780006</v>
      </c>
      <c r="L1962">
        <f>Sales_Per_Rep_Yearly_Goal!$B$3</f>
        <v>689907.8</v>
      </c>
      <c r="M1962">
        <f>Sales_Per_Rep_Yearly_Goal!$C$3</f>
        <v>690000</v>
      </c>
    </row>
    <row r="1963" spans="1:13" x14ac:dyDescent="0.3">
      <c r="A1963" s="3">
        <v>45447</v>
      </c>
      <c r="B1963">
        <f t="shared" si="30"/>
        <v>2024</v>
      </c>
      <c r="C1963">
        <v>6</v>
      </c>
      <c r="D1963" t="s">
        <v>14</v>
      </c>
      <c r="E1963" t="s">
        <v>30</v>
      </c>
      <c r="F1963" s="2">
        <v>10299</v>
      </c>
      <c r="G1963" s="2">
        <f>Monthly_Growth!$C$19</f>
        <v>1066501</v>
      </c>
      <c r="H1963" s="5">
        <f>Monthly_Growth!$D$19</f>
        <v>0.10586538421657314</v>
      </c>
      <c r="I1963" s="15">
        <f>Yearly_Growth!$C$3</f>
        <v>0.11893113731787852</v>
      </c>
      <c r="J1963" s="15">
        <f>Yearly_Growth!$D$3</f>
        <v>0.09</v>
      </c>
      <c r="K1963">
        <f>Sales_Per_Representative!$C$22</f>
        <v>700142</v>
      </c>
      <c r="L1963">
        <f>Sales_Per_Rep_Yearly_Goal!$B$3</f>
        <v>689907.8</v>
      </c>
      <c r="M1963">
        <f>Sales_Per_Rep_Yearly_Goal!$C$3</f>
        <v>690000</v>
      </c>
    </row>
    <row r="1964" spans="1:13" x14ac:dyDescent="0.3">
      <c r="A1964" s="3">
        <v>45447</v>
      </c>
      <c r="B1964">
        <f t="shared" si="30"/>
        <v>2024</v>
      </c>
      <c r="C1964">
        <v>6</v>
      </c>
      <c r="D1964" t="s">
        <v>14</v>
      </c>
      <c r="E1964" t="s">
        <v>30</v>
      </c>
      <c r="F1964" s="2">
        <v>9339</v>
      </c>
      <c r="G1964" s="2">
        <f>Monthly_Growth!$C$19</f>
        <v>1066501</v>
      </c>
      <c r="H1964" s="5">
        <f>Monthly_Growth!$D$19</f>
        <v>0.10586538421657314</v>
      </c>
      <c r="I1964" s="15">
        <f>Yearly_Growth!$C$3</f>
        <v>0.11893113731787852</v>
      </c>
      <c r="J1964" s="15">
        <f>Yearly_Growth!$D$3</f>
        <v>0.09</v>
      </c>
      <c r="K1964">
        <f>Sales_Per_Representative!$C$22</f>
        <v>700142</v>
      </c>
      <c r="L1964">
        <f>Sales_Per_Rep_Yearly_Goal!$B$3</f>
        <v>689907.8</v>
      </c>
      <c r="M1964">
        <f>Sales_Per_Rep_Yearly_Goal!$C$3</f>
        <v>690000</v>
      </c>
    </row>
    <row r="1965" spans="1:13" x14ac:dyDescent="0.3">
      <c r="A1965" s="3">
        <v>45447</v>
      </c>
      <c r="B1965">
        <f t="shared" si="30"/>
        <v>2024</v>
      </c>
      <c r="C1965">
        <v>6</v>
      </c>
      <c r="D1965" t="s">
        <v>7</v>
      </c>
      <c r="E1965" t="s">
        <v>30</v>
      </c>
      <c r="F1965" s="2">
        <v>4032</v>
      </c>
      <c r="G1965" s="2">
        <f>Monthly_Growth!$C$19</f>
        <v>1066501</v>
      </c>
      <c r="H1965" s="5">
        <f>Monthly_Growth!$D$19</f>
        <v>0.10586538421657314</v>
      </c>
      <c r="I1965" s="15">
        <f>Yearly_Growth!$C$3</f>
        <v>0.11893113731787852</v>
      </c>
      <c r="J1965" s="15">
        <f>Yearly_Growth!$D$3</f>
        <v>0.09</v>
      </c>
      <c r="K1965">
        <f>Sales_Per_Representative!$C$22</f>
        <v>700142</v>
      </c>
      <c r="L1965">
        <f>Sales_Per_Rep_Yearly_Goal!$B$3</f>
        <v>689907.8</v>
      </c>
      <c r="M1965">
        <f>Sales_Per_Rep_Yearly_Goal!$C$3</f>
        <v>690000</v>
      </c>
    </row>
    <row r="1966" spans="1:13" x14ac:dyDescent="0.3">
      <c r="A1966" s="3">
        <v>45448</v>
      </c>
      <c r="B1966">
        <f t="shared" si="30"/>
        <v>2024</v>
      </c>
      <c r="C1966">
        <v>6</v>
      </c>
      <c r="D1966" t="s">
        <v>19</v>
      </c>
      <c r="E1966" t="s">
        <v>24</v>
      </c>
      <c r="F1966" s="2">
        <v>2585</v>
      </c>
      <c r="G1966" s="2">
        <f>Monthly_Growth!$C$19</f>
        <v>1066501</v>
      </c>
      <c r="H1966" s="5">
        <f>Monthly_Growth!$D$19</f>
        <v>0.10586538421657314</v>
      </c>
      <c r="I1966" s="15">
        <f>Yearly_Growth!$C$3</f>
        <v>0.11893113731787852</v>
      </c>
      <c r="J1966" s="15">
        <f>Yearly_Growth!$D$3</f>
        <v>0.09</v>
      </c>
      <c r="K1966">
        <f>Sales_Per_Representative!$C$17</f>
        <v>633956</v>
      </c>
      <c r="L1966">
        <f>Sales_Per_Rep_Yearly_Goal!$B$3</f>
        <v>689907.8</v>
      </c>
      <c r="M1966">
        <f>Sales_Per_Rep_Yearly_Goal!$C$3</f>
        <v>690000</v>
      </c>
    </row>
    <row r="1967" spans="1:13" x14ac:dyDescent="0.3">
      <c r="A1967" s="3">
        <v>45448</v>
      </c>
      <c r="B1967">
        <f t="shared" si="30"/>
        <v>2024</v>
      </c>
      <c r="C1967">
        <v>6</v>
      </c>
      <c r="D1967" t="s">
        <v>19</v>
      </c>
      <c r="E1967" t="s">
        <v>15</v>
      </c>
      <c r="F1967" s="2">
        <v>10462</v>
      </c>
      <c r="G1967" s="2">
        <f>Monthly_Growth!$C$19</f>
        <v>1066501</v>
      </c>
      <c r="H1967" s="5">
        <f>Monthly_Growth!$D$19</f>
        <v>0.10586538421657314</v>
      </c>
      <c r="I1967" s="15">
        <f>Yearly_Growth!$C$3</f>
        <v>0.11893113731787852</v>
      </c>
      <c r="J1967" s="15">
        <f>Yearly_Growth!$D$3</f>
        <v>0.09</v>
      </c>
      <c r="K1967">
        <f>Sales_Per_Representative!$C$27</f>
        <v>617202</v>
      </c>
      <c r="L1967">
        <f>Sales_Per_Rep_Yearly_Goal!$B$3</f>
        <v>689907.8</v>
      </c>
      <c r="M1967">
        <f>Sales_Per_Rep_Yearly_Goal!$C$3</f>
        <v>690000</v>
      </c>
    </row>
    <row r="1968" spans="1:13" x14ac:dyDescent="0.3">
      <c r="A1968" s="3">
        <v>45449</v>
      </c>
      <c r="B1968">
        <f t="shared" si="30"/>
        <v>2024</v>
      </c>
      <c r="C1968">
        <v>6</v>
      </c>
      <c r="D1968" t="s">
        <v>23</v>
      </c>
      <c r="E1968" t="s">
        <v>5</v>
      </c>
      <c r="F1968" s="2">
        <v>7964</v>
      </c>
      <c r="G1968" s="2">
        <f>Monthly_Growth!$C$19</f>
        <v>1066501</v>
      </c>
      <c r="H1968" s="5">
        <f>Monthly_Growth!$D$19</f>
        <v>0.10586538421657314</v>
      </c>
      <c r="I1968" s="15">
        <f>Yearly_Growth!$C$3</f>
        <v>0.11893113731787852</v>
      </c>
      <c r="J1968" s="15">
        <f>Yearly_Growth!$D$3</f>
        <v>0.09</v>
      </c>
      <c r="K1968">
        <f>Sales_Per_Representative!$C$25</f>
        <v>749460</v>
      </c>
      <c r="L1968">
        <f>Sales_Per_Rep_Yearly_Goal!$B$3</f>
        <v>689907.8</v>
      </c>
      <c r="M1968">
        <f>Sales_Per_Rep_Yearly_Goal!$C$3</f>
        <v>690000</v>
      </c>
    </row>
    <row r="1969" spans="1:13" x14ac:dyDescent="0.3">
      <c r="A1969" s="3">
        <v>45449</v>
      </c>
      <c r="B1969">
        <f t="shared" si="30"/>
        <v>2024</v>
      </c>
      <c r="C1969">
        <v>6</v>
      </c>
      <c r="D1969" t="s">
        <v>23</v>
      </c>
      <c r="E1969" t="s">
        <v>33</v>
      </c>
      <c r="F1969" s="2">
        <v>2530</v>
      </c>
      <c r="G1969" s="2">
        <f>Monthly_Growth!$C$19</f>
        <v>1066501</v>
      </c>
      <c r="H1969" s="5">
        <f>Monthly_Growth!$D$19</f>
        <v>0.10586538421657314</v>
      </c>
      <c r="I1969" s="15">
        <f>Yearly_Growth!$C$3</f>
        <v>0.11893113731787852</v>
      </c>
      <c r="J1969" s="15">
        <f>Yearly_Growth!$D$3</f>
        <v>0.09</v>
      </c>
      <c r="K1969">
        <f>Sales_Per_Representative!$C$26</f>
        <v>501360</v>
      </c>
      <c r="L1969">
        <f>Sales_Per_Rep_Yearly_Goal!$B$3</f>
        <v>689907.8</v>
      </c>
      <c r="M1969">
        <f>Sales_Per_Rep_Yearly_Goal!$C$3</f>
        <v>690000</v>
      </c>
    </row>
    <row r="1970" spans="1:13" x14ac:dyDescent="0.3">
      <c r="A1970" s="3">
        <v>45449</v>
      </c>
      <c r="B1970">
        <f t="shared" si="30"/>
        <v>2024</v>
      </c>
      <c r="C1970">
        <v>6</v>
      </c>
      <c r="D1970" t="s">
        <v>25</v>
      </c>
      <c r="E1970" t="s">
        <v>15</v>
      </c>
      <c r="F1970" s="2">
        <v>4703</v>
      </c>
      <c r="G1970" s="2">
        <f>Monthly_Growth!$C$19</f>
        <v>1066501</v>
      </c>
      <c r="H1970" s="5">
        <f>Monthly_Growth!$D$19</f>
        <v>0.10586538421657314</v>
      </c>
      <c r="I1970" s="15">
        <f>Yearly_Growth!$C$3</f>
        <v>0.11893113731787852</v>
      </c>
      <c r="J1970" s="15">
        <f>Yearly_Growth!$D$3</f>
        <v>0.09</v>
      </c>
      <c r="K1970">
        <f>Sales_Per_Representative!$C$27</f>
        <v>617202</v>
      </c>
      <c r="L1970">
        <f>Sales_Per_Rep_Yearly_Goal!$B$3</f>
        <v>689907.8</v>
      </c>
      <c r="M1970">
        <f>Sales_Per_Rep_Yearly_Goal!$C$3</f>
        <v>690000</v>
      </c>
    </row>
    <row r="1971" spans="1:13" x14ac:dyDescent="0.3">
      <c r="A1971" s="3">
        <v>45449</v>
      </c>
      <c r="B1971">
        <f t="shared" si="30"/>
        <v>2024</v>
      </c>
      <c r="C1971">
        <v>6</v>
      </c>
      <c r="D1971" t="s">
        <v>28</v>
      </c>
      <c r="E1971" t="s">
        <v>32</v>
      </c>
      <c r="F1971" s="2">
        <v>1009</v>
      </c>
      <c r="G1971" s="2">
        <f>Monthly_Growth!$C$19</f>
        <v>1066501</v>
      </c>
      <c r="H1971" s="5">
        <f>Monthly_Growth!$D$19</f>
        <v>0.10586538421657314</v>
      </c>
      <c r="I1971" s="15">
        <f>Yearly_Growth!$C$3</f>
        <v>0.11893113731787852</v>
      </c>
      <c r="J1971" s="15">
        <f>Yearly_Growth!$D$3</f>
        <v>0.09</v>
      </c>
      <c r="K1971">
        <f>Sales_Per_Representative!$C$18</f>
        <v>783907</v>
      </c>
      <c r="L1971">
        <f>Sales_Per_Rep_Yearly_Goal!$B$3</f>
        <v>689907.8</v>
      </c>
      <c r="M1971">
        <f>Sales_Per_Rep_Yearly_Goal!$C$3</f>
        <v>690000</v>
      </c>
    </row>
    <row r="1972" spans="1:13" x14ac:dyDescent="0.3">
      <c r="A1972" s="3">
        <v>45449</v>
      </c>
      <c r="B1972">
        <f t="shared" si="30"/>
        <v>2024</v>
      </c>
      <c r="C1972">
        <v>6</v>
      </c>
      <c r="D1972" t="s">
        <v>28</v>
      </c>
      <c r="E1972" t="s">
        <v>8</v>
      </c>
      <c r="F1972" s="2">
        <v>10466</v>
      </c>
      <c r="G1972" s="2">
        <f>Monthly_Growth!$C$19</f>
        <v>1066501</v>
      </c>
      <c r="H1972" s="5">
        <f>Monthly_Growth!$D$19</f>
        <v>0.10586538421657314</v>
      </c>
      <c r="I1972" s="15">
        <f>Yearly_Growth!$C$3</f>
        <v>0.11893113731787852</v>
      </c>
      <c r="J1972" s="15">
        <f>Yearly_Growth!$D$3</f>
        <v>0.09</v>
      </c>
      <c r="K1972">
        <f>Sales_Per_Representative!$C$30</f>
        <v>780006</v>
      </c>
      <c r="L1972">
        <f>Sales_Per_Rep_Yearly_Goal!$B$3</f>
        <v>689907.8</v>
      </c>
      <c r="M1972">
        <f>Sales_Per_Rep_Yearly_Goal!$C$3</f>
        <v>690000</v>
      </c>
    </row>
    <row r="1973" spans="1:13" x14ac:dyDescent="0.3">
      <c r="A1973" s="3">
        <v>45449</v>
      </c>
      <c r="B1973">
        <f t="shared" si="30"/>
        <v>2024</v>
      </c>
      <c r="C1973">
        <v>6</v>
      </c>
      <c r="D1973" t="s">
        <v>12</v>
      </c>
      <c r="E1973" t="s">
        <v>29</v>
      </c>
      <c r="F1973" s="2">
        <v>9934</v>
      </c>
      <c r="G1973" s="2">
        <f>Monthly_Growth!$C$19</f>
        <v>1066501</v>
      </c>
      <c r="H1973" s="5">
        <f>Monthly_Growth!$D$19</f>
        <v>0.10586538421657314</v>
      </c>
      <c r="I1973" s="15">
        <f>Yearly_Growth!$C$3</f>
        <v>0.11893113731787852</v>
      </c>
      <c r="J1973" s="15">
        <f>Yearly_Growth!$D$3</f>
        <v>0.09</v>
      </c>
      <c r="K1973">
        <f>Sales_Per_Representative!$C$28</f>
        <v>691917</v>
      </c>
      <c r="L1973">
        <f>Sales_Per_Rep_Yearly_Goal!$B$3</f>
        <v>689907.8</v>
      </c>
      <c r="M1973">
        <f>Sales_Per_Rep_Yearly_Goal!$C$3</f>
        <v>690000</v>
      </c>
    </row>
    <row r="1974" spans="1:13" x14ac:dyDescent="0.3">
      <c r="A1974" s="3">
        <v>45450</v>
      </c>
      <c r="B1974">
        <f t="shared" si="30"/>
        <v>2024</v>
      </c>
      <c r="C1974">
        <v>6</v>
      </c>
      <c r="D1974" t="s">
        <v>23</v>
      </c>
      <c r="E1974" t="s">
        <v>10</v>
      </c>
      <c r="F1974" s="2">
        <v>10647</v>
      </c>
      <c r="G1974" s="2">
        <f>Monthly_Growth!$C$19</f>
        <v>1066501</v>
      </c>
      <c r="H1974" s="5">
        <f>Monthly_Growth!$D$19</f>
        <v>0.10586538421657314</v>
      </c>
      <c r="I1974" s="15">
        <f>Yearly_Growth!$C$3</f>
        <v>0.11893113731787852</v>
      </c>
      <c r="J1974" s="15">
        <f>Yearly_Growth!$D$3</f>
        <v>0.09</v>
      </c>
      <c r="K1974">
        <f>Sales_Per_Representative!$C$19</f>
        <v>711816</v>
      </c>
      <c r="L1974">
        <f>Sales_Per_Rep_Yearly_Goal!$B$3</f>
        <v>689907.8</v>
      </c>
      <c r="M1974">
        <f>Sales_Per_Rep_Yearly_Goal!$C$3</f>
        <v>690000</v>
      </c>
    </row>
    <row r="1975" spans="1:13" x14ac:dyDescent="0.3">
      <c r="A1975" s="3">
        <v>45450</v>
      </c>
      <c r="B1975">
        <f t="shared" si="30"/>
        <v>2024</v>
      </c>
      <c r="C1975">
        <v>6</v>
      </c>
      <c r="D1975" t="s">
        <v>12</v>
      </c>
      <c r="E1975" t="s">
        <v>18</v>
      </c>
      <c r="F1975" s="2">
        <v>11109</v>
      </c>
      <c r="G1975" s="2">
        <f>Monthly_Growth!$C$19</f>
        <v>1066501</v>
      </c>
      <c r="H1975" s="5">
        <f>Monthly_Growth!$D$19</f>
        <v>0.10586538421657314</v>
      </c>
      <c r="I1975" s="15">
        <f>Yearly_Growth!$C$3</f>
        <v>0.11893113731787852</v>
      </c>
      <c r="J1975" s="15">
        <f>Yearly_Growth!$D$3</f>
        <v>0.09</v>
      </c>
      <c r="K1975">
        <f>Sales_Per_Representative!$C$24</f>
        <v>699277</v>
      </c>
      <c r="L1975">
        <f>Sales_Per_Rep_Yearly_Goal!$B$3</f>
        <v>689907.8</v>
      </c>
      <c r="M1975">
        <f>Sales_Per_Rep_Yearly_Goal!$C$3</f>
        <v>690000</v>
      </c>
    </row>
    <row r="1976" spans="1:13" x14ac:dyDescent="0.3">
      <c r="A1976" s="3">
        <v>45451</v>
      </c>
      <c r="B1976">
        <f t="shared" si="30"/>
        <v>2024</v>
      </c>
      <c r="C1976">
        <v>6</v>
      </c>
      <c r="D1976" t="s">
        <v>14</v>
      </c>
      <c r="E1976" t="s">
        <v>26</v>
      </c>
      <c r="F1976" s="2">
        <v>6757</v>
      </c>
      <c r="G1976" s="2">
        <f>Monthly_Growth!$C$19</f>
        <v>1066501</v>
      </c>
      <c r="H1976" s="5">
        <f>Monthly_Growth!$D$19</f>
        <v>0.10586538421657314</v>
      </c>
      <c r="I1976" s="15">
        <f>Yearly_Growth!$C$3</f>
        <v>0.11893113731787852</v>
      </c>
      <c r="J1976" s="15">
        <f>Yearly_Growth!$D$3</f>
        <v>0.09</v>
      </c>
      <c r="K1976">
        <f>Sales_Per_Representative!$C$31</f>
        <v>664244</v>
      </c>
      <c r="L1976">
        <f>Sales_Per_Rep_Yearly_Goal!$B$3</f>
        <v>689907.8</v>
      </c>
      <c r="M1976">
        <f>Sales_Per_Rep_Yearly_Goal!$C$3</f>
        <v>690000</v>
      </c>
    </row>
    <row r="1977" spans="1:13" x14ac:dyDescent="0.3">
      <c r="A1977" s="3">
        <v>45451</v>
      </c>
      <c r="B1977">
        <f t="shared" si="30"/>
        <v>2024</v>
      </c>
      <c r="C1977">
        <v>6</v>
      </c>
      <c r="D1977" t="s">
        <v>14</v>
      </c>
      <c r="E1977" t="s">
        <v>18</v>
      </c>
      <c r="F1977" s="2">
        <v>6708</v>
      </c>
      <c r="G1977" s="2">
        <f>Monthly_Growth!$C$19</f>
        <v>1066501</v>
      </c>
      <c r="H1977" s="5">
        <f>Monthly_Growth!$D$19</f>
        <v>0.10586538421657314</v>
      </c>
      <c r="I1977" s="15">
        <f>Yearly_Growth!$C$3</f>
        <v>0.11893113731787852</v>
      </c>
      <c r="J1977" s="15">
        <f>Yearly_Growth!$D$3</f>
        <v>0.09</v>
      </c>
      <c r="K1977">
        <f>Sales_Per_Representative!$C$24</f>
        <v>699277</v>
      </c>
      <c r="L1977">
        <f>Sales_Per_Rep_Yearly_Goal!$B$3</f>
        <v>689907.8</v>
      </c>
      <c r="M1977">
        <f>Sales_Per_Rep_Yearly_Goal!$C$3</f>
        <v>690000</v>
      </c>
    </row>
    <row r="1978" spans="1:13" x14ac:dyDescent="0.3">
      <c r="A1978" s="3">
        <v>45451</v>
      </c>
      <c r="B1978">
        <f t="shared" si="30"/>
        <v>2024</v>
      </c>
      <c r="C1978">
        <v>6</v>
      </c>
      <c r="D1978" t="s">
        <v>28</v>
      </c>
      <c r="E1978" t="s">
        <v>22</v>
      </c>
      <c r="F1978" s="2">
        <v>8064</v>
      </c>
      <c r="G1978" s="2">
        <f>Monthly_Growth!$C$19</f>
        <v>1066501</v>
      </c>
      <c r="H1978" s="5">
        <f>Monthly_Growth!$D$19</f>
        <v>0.10586538421657314</v>
      </c>
      <c r="I1978" s="15">
        <f>Yearly_Growth!$C$3</f>
        <v>0.11893113731787852</v>
      </c>
      <c r="J1978" s="15">
        <f>Yearly_Growth!$D$3</f>
        <v>0.09</v>
      </c>
      <c r="K1978">
        <f>Sales_Per_Representative!$C$23</f>
        <v>697444</v>
      </c>
      <c r="L1978">
        <f>Sales_Per_Rep_Yearly_Goal!$B$3</f>
        <v>689907.8</v>
      </c>
      <c r="M1978">
        <f>Sales_Per_Rep_Yearly_Goal!$C$3</f>
        <v>690000</v>
      </c>
    </row>
    <row r="1979" spans="1:13" x14ac:dyDescent="0.3">
      <c r="A1979" s="3">
        <v>45451</v>
      </c>
      <c r="B1979">
        <f t="shared" si="30"/>
        <v>2024</v>
      </c>
      <c r="C1979">
        <v>6</v>
      </c>
      <c r="D1979" t="s">
        <v>28</v>
      </c>
      <c r="E1979" t="s">
        <v>15</v>
      </c>
      <c r="F1979" s="2">
        <v>7134</v>
      </c>
      <c r="G1979" s="2">
        <f>Monthly_Growth!$C$19</f>
        <v>1066501</v>
      </c>
      <c r="H1979" s="5">
        <f>Monthly_Growth!$D$19</f>
        <v>0.10586538421657314</v>
      </c>
      <c r="I1979" s="15">
        <f>Yearly_Growth!$C$3</f>
        <v>0.11893113731787852</v>
      </c>
      <c r="J1979" s="15">
        <f>Yearly_Growth!$D$3</f>
        <v>0.09</v>
      </c>
      <c r="K1979">
        <f>Sales_Per_Representative!$C$27</f>
        <v>617202</v>
      </c>
      <c r="L1979">
        <f>Sales_Per_Rep_Yearly_Goal!$B$3</f>
        <v>689907.8</v>
      </c>
      <c r="M1979">
        <f>Sales_Per_Rep_Yearly_Goal!$C$3</f>
        <v>690000</v>
      </c>
    </row>
    <row r="1980" spans="1:13" x14ac:dyDescent="0.3">
      <c r="A1980" s="3">
        <v>45451</v>
      </c>
      <c r="B1980">
        <f t="shared" si="30"/>
        <v>2024</v>
      </c>
      <c r="C1980">
        <v>6</v>
      </c>
      <c r="D1980" t="s">
        <v>17</v>
      </c>
      <c r="E1980" t="s">
        <v>20</v>
      </c>
      <c r="F1980" s="2">
        <v>13135</v>
      </c>
      <c r="G1980" s="2">
        <f>Monthly_Growth!$C$19</f>
        <v>1066501</v>
      </c>
      <c r="H1980" s="5">
        <f>Monthly_Growth!$D$19</f>
        <v>0.10586538421657314</v>
      </c>
      <c r="I1980" s="15">
        <f>Yearly_Growth!$C$3</f>
        <v>0.11893113731787852</v>
      </c>
      <c r="J1980" s="15">
        <f>Yearly_Growth!$D$3</f>
        <v>0.09</v>
      </c>
      <c r="K1980">
        <f>Sales_Per_Representative!$C$29</f>
        <v>753085</v>
      </c>
      <c r="L1980">
        <f>Sales_Per_Rep_Yearly_Goal!$B$3</f>
        <v>689907.8</v>
      </c>
      <c r="M1980">
        <f>Sales_Per_Rep_Yearly_Goal!$C$3</f>
        <v>690000</v>
      </c>
    </row>
    <row r="1981" spans="1:13" x14ac:dyDescent="0.3">
      <c r="A1981" s="3">
        <v>45452</v>
      </c>
      <c r="B1981">
        <f t="shared" si="30"/>
        <v>2024</v>
      </c>
      <c r="C1981">
        <v>6</v>
      </c>
      <c r="D1981" t="s">
        <v>14</v>
      </c>
      <c r="E1981" t="s">
        <v>5</v>
      </c>
      <c r="F1981" s="2">
        <v>3454</v>
      </c>
      <c r="G1981" s="2">
        <f>Monthly_Growth!$C$19</f>
        <v>1066501</v>
      </c>
      <c r="H1981" s="5">
        <f>Monthly_Growth!$D$19</f>
        <v>0.10586538421657314</v>
      </c>
      <c r="I1981" s="15">
        <f>Yearly_Growth!$C$3</f>
        <v>0.11893113731787852</v>
      </c>
      <c r="J1981" s="15">
        <f>Yearly_Growth!$D$3</f>
        <v>0.09</v>
      </c>
      <c r="K1981">
        <f>Sales_Per_Representative!$C$25</f>
        <v>749460</v>
      </c>
      <c r="L1981">
        <f>Sales_Per_Rep_Yearly_Goal!$B$3</f>
        <v>689907.8</v>
      </c>
      <c r="M1981">
        <f>Sales_Per_Rep_Yearly_Goal!$C$3</f>
        <v>690000</v>
      </c>
    </row>
    <row r="1982" spans="1:13" x14ac:dyDescent="0.3">
      <c r="A1982" s="3">
        <v>45452</v>
      </c>
      <c r="B1982">
        <f t="shared" si="30"/>
        <v>2024</v>
      </c>
      <c r="C1982">
        <v>6</v>
      </c>
      <c r="D1982" t="s">
        <v>19</v>
      </c>
      <c r="E1982" t="s">
        <v>33</v>
      </c>
      <c r="F1982" s="2">
        <v>9356</v>
      </c>
      <c r="G1982" s="2">
        <f>Monthly_Growth!$C$19</f>
        <v>1066501</v>
      </c>
      <c r="H1982" s="5">
        <f>Monthly_Growth!$D$19</f>
        <v>0.10586538421657314</v>
      </c>
      <c r="I1982" s="15">
        <f>Yearly_Growth!$C$3</f>
        <v>0.11893113731787852</v>
      </c>
      <c r="J1982" s="15">
        <f>Yearly_Growth!$D$3</f>
        <v>0.09</v>
      </c>
      <c r="K1982">
        <f>Sales_Per_Representative!$C$26</f>
        <v>501360</v>
      </c>
      <c r="L1982">
        <f>Sales_Per_Rep_Yearly_Goal!$B$3</f>
        <v>689907.8</v>
      </c>
      <c r="M1982">
        <f>Sales_Per_Rep_Yearly_Goal!$C$3</f>
        <v>690000</v>
      </c>
    </row>
    <row r="1983" spans="1:13" x14ac:dyDescent="0.3">
      <c r="A1983" s="3">
        <v>45452</v>
      </c>
      <c r="B1983">
        <f t="shared" si="30"/>
        <v>2024</v>
      </c>
      <c r="C1983">
        <v>6</v>
      </c>
      <c r="D1983" t="s">
        <v>23</v>
      </c>
      <c r="E1983" t="s">
        <v>26</v>
      </c>
      <c r="F1983" s="2">
        <v>13000</v>
      </c>
      <c r="G1983" s="2">
        <f>Monthly_Growth!$C$19</f>
        <v>1066501</v>
      </c>
      <c r="H1983" s="5">
        <f>Monthly_Growth!$D$19</f>
        <v>0.10586538421657314</v>
      </c>
      <c r="I1983" s="15">
        <f>Yearly_Growth!$C$3</f>
        <v>0.11893113731787852</v>
      </c>
      <c r="J1983" s="15">
        <f>Yearly_Growth!$D$3</f>
        <v>0.09</v>
      </c>
      <c r="K1983">
        <f>Sales_Per_Representative!$C$31</f>
        <v>664244</v>
      </c>
      <c r="L1983">
        <f>Sales_Per_Rep_Yearly_Goal!$B$3</f>
        <v>689907.8</v>
      </c>
      <c r="M1983">
        <f>Sales_Per_Rep_Yearly_Goal!$C$3</f>
        <v>690000</v>
      </c>
    </row>
    <row r="1984" spans="1:13" x14ac:dyDescent="0.3">
      <c r="A1984" s="3">
        <v>45452</v>
      </c>
      <c r="B1984">
        <f t="shared" si="30"/>
        <v>2024</v>
      </c>
      <c r="C1984">
        <v>6</v>
      </c>
      <c r="D1984" t="s">
        <v>25</v>
      </c>
      <c r="E1984" t="s">
        <v>15</v>
      </c>
      <c r="F1984" s="2">
        <v>11890</v>
      </c>
      <c r="G1984" s="2">
        <f>Monthly_Growth!$C$19</f>
        <v>1066501</v>
      </c>
      <c r="H1984" s="5">
        <f>Monthly_Growth!$D$19</f>
        <v>0.10586538421657314</v>
      </c>
      <c r="I1984" s="15">
        <f>Yearly_Growth!$C$3</f>
        <v>0.11893113731787852</v>
      </c>
      <c r="J1984" s="15">
        <f>Yearly_Growth!$D$3</f>
        <v>0.09</v>
      </c>
      <c r="K1984">
        <f>Sales_Per_Representative!$C$27</f>
        <v>617202</v>
      </c>
      <c r="L1984">
        <f>Sales_Per_Rep_Yearly_Goal!$B$3</f>
        <v>689907.8</v>
      </c>
      <c r="M1984">
        <f>Sales_Per_Rep_Yearly_Goal!$C$3</f>
        <v>690000</v>
      </c>
    </row>
    <row r="1985" spans="1:13" x14ac:dyDescent="0.3">
      <c r="A1985" s="3">
        <v>45452</v>
      </c>
      <c r="B1985">
        <f t="shared" si="30"/>
        <v>2024</v>
      </c>
      <c r="C1985">
        <v>6</v>
      </c>
      <c r="D1985" t="s">
        <v>25</v>
      </c>
      <c r="E1985" t="s">
        <v>10</v>
      </c>
      <c r="F1985" s="2">
        <v>11845</v>
      </c>
      <c r="G1985" s="2">
        <f>Monthly_Growth!$C$19</f>
        <v>1066501</v>
      </c>
      <c r="H1985" s="5">
        <f>Monthly_Growth!$D$19</f>
        <v>0.10586538421657314</v>
      </c>
      <c r="I1985" s="15">
        <f>Yearly_Growth!$C$3</f>
        <v>0.11893113731787852</v>
      </c>
      <c r="J1985" s="15">
        <f>Yearly_Growth!$D$3</f>
        <v>0.09</v>
      </c>
      <c r="K1985">
        <f>Sales_Per_Representative!$C$19</f>
        <v>711816</v>
      </c>
      <c r="L1985">
        <f>Sales_Per_Rep_Yearly_Goal!$B$3</f>
        <v>689907.8</v>
      </c>
      <c r="M1985">
        <f>Sales_Per_Rep_Yearly_Goal!$C$3</f>
        <v>690000</v>
      </c>
    </row>
    <row r="1986" spans="1:13" x14ac:dyDescent="0.3">
      <c r="A1986" s="3">
        <v>45452</v>
      </c>
      <c r="B1986">
        <f t="shared" si="30"/>
        <v>2024</v>
      </c>
      <c r="C1986">
        <v>6</v>
      </c>
      <c r="D1986" t="s">
        <v>7</v>
      </c>
      <c r="E1986" t="s">
        <v>31</v>
      </c>
      <c r="F1986" s="2">
        <v>4437</v>
      </c>
      <c r="G1986" s="2">
        <f>Monthly_Growth!$C$19</f>
        <v>1066501</v>
      </c>
      <c r="H1986" s="5">
        <f>Monthly_Growth!$D$19</f>
        <v>0.10586538421657314</v>
      </c>
      <c r="I1986" s="15">
        <f>Yearly_Growth!$C$3</f>
        <v>0.11893113731787852</v>
      </c>
      <c r="J1986" s="15">
        <f>Yearly_Growth!$D$3</f>
        <v>0.09</v>
      </c>
      <c r="K1986">
        <f>Sales_Per_Representative!$C$21</f>
        <v>679421</v>
      </c>
      <c r="L1986">
        <f>Sales_Per_Rep_Yearly_Goal!$B$3</f>
        <v>689907.8</v>
      </c>
      <c r="M1986">
        <f>Sales_Per_Rep_Yearly_Goal!$C$3</f>
        <v>690000</v>
      </c>
    </row>
    <row r="1987" spans="1:13" x14ac:dyDescent="0.3">
      <c r="A1987" s="3">
        <v>45452</v>
      </c>
      <c r="B1987">
        <f t="shared" ref="B1987:B2050" si="31">YEAR(A1987)</f>
        <v>2024</v>
      </c>
      <c r="C1987">
        <v>6</v>
      </c>
      <c r="D1987" t="s">
        <v>17</v>
      </c>
      <c r="E1987" t="s">
        <v>29</v>
      </c>
      <c r="F1987" s="2">
        <v>2584</v>
      </c>
      <c r="G1987" s="2">
        <f>Monthly_Growth!$C$19</f>
        <v>1066501</v>
      </c>
      <c r="H1987" s="5">
        <f>Monthly_Growth!$D$19</f>
        <v>0.10586538421657314</v>
      </c>
      <c r="I1987" s="15">
        <f>Yearly_Growth!$C$3</f>
        <v>0.11893113731787852</v>
      </c>
      <c r="J1987" s="15">
        <f>Yearly_Growth!$D$3</f>
        <v>0.09</v>
      </c>
      <c r="K1987">
        <f>Sales_Per_Representative!$C$28</f>
        <v>691917</v>
      </c>
      <c r="L1987">
        <f>Sales_Per_Rep_Yearly_Goal!$B$3</f>
        <v>689907.8</v>
      </c>
      <c r="M1987">
        <f>Sales_Per_Rep_Yearly_Goal!$C$3</f>
        <v>690000</v>
      </c>
    </row>
    <row r="1988" spans="1:13" x14ac:dyDescent="0.3">
      <c r="A1988" s="3">
        <v>45452</v>
      </c>
      <c r="B1988">
        <f t="shared" si="31"/>
        <v>2024</v>
      </c>
      <c r="C1988">
        <v>6</v>
      </c>
      <c r="D1988" t="s">
        <v>12</v>
      </c>
      <c r="E1988" t="s">
        <v>27</v>
      </c>
      <c r="F1988" s="2">
        <v>8220</v>
      </c>
      <c r="G1988" s="2">
        <f>Monthly_Growth!$C$19</f>
        <v>1066501</v>
      </c>
      <c r="H1988" s="5">
        <f>Monthly_Growth!$D$19</f>
        <v>0.10586538421657314</v>
      </c>
      <c r="I1988" s="15">
        <f>Yearly_Growth!$C$3</f>
        <v>0.11893113731787852</v>
      </c>
      <c r="J1988" s="15">
        <f>Yearly_Growth!$D$3</f>
        <v>0.09</v>
      </c>
      <c r="K1988">
        <f>Sales_Per_Representative!$C$20</f>
        <v>685380</v>
      </c>
      <c r="L1988">
        <f>Sales_Per_Rep_Yearly_Goal!$B$3</f>
        <v>689907.8</v>
      </c>
      <c r="M1988">
        <f>Sales_Per_Rep_Yearly_Goal!$C$3</f>
        <v>690000</v>
      </c>
    </row>
    <row r="1989" spans="1:13" x14ac:dyDescent="0.3">
      <c r="A1989" s="3">
        <v>45453</v>
      </c>
      <c r="B1989">
        <f t="shared" si="31"/>
        <v>2024</v>
      </c>
      <c r="C1989">
        <v>6</v>
      </c>
      <c r="D1989" t="s">
        <v>14</v>
      </c>
      <c r="E1989" t="s">
        <v>31</v>
      </c>
      <c r="F1989" s="2">
        <v>5737</v>
      </c>
      <c r="G1989" s="2">
        <f>Monthly_Growth!$C$19</f>
        <v>1066501</v>
      </c>
      <c r="H1989" s="5">
        <f>Monthly_Growth!$D$19</f>
        <v>0.10586538421657314</v>
      </c>
      <c r="I1989" s="15">
        <f>Yearly_Growth!$C$3</f>
        <v>0.11893113731787852</v>
      </c>
      <c r="J1989" s="15">
        <f>Yearly_Growth!$D$3</f>
        <v>0.09</v>
      </c>
      <c r="K1989">
        <f>Sales_Per_Representative!$C$21</f>
        <v>679421</v>
      </c>
      <c r="L1989">
        <f>Sales_Per_Rep_Yearly_Goal!$B$3</f>
        <v>689907.8</v>
      </c>
      <c r="M1989">
        <f>Sales_Per_Rep_Yearly_Goal!$C$3</f>
        <v>690000</v>
      </c>
    </row>
    <row r="1990" spans="1:13" x14ac:dyDescent="0.3">
      <c r="A1990" s="3">
        <v>45453</v>
      </c>
      <c r="B1990">
        <f t="shared" si="31"/>
        <v>2024</v>
      </c>
      <c r="C1990">
        <v>6</v>
      </c>
      <c r="D1990" t="s">
        <v>25</v>
      </c>
      <c r="E1990" t="s">
        <v>8</v>
      </c>
      <c r="F1990" s="2">
        <v>4059</v>
      </c>
      <c r="G1990" s="2">
        <f>Monthly_Growth!$C$19</f>
        <v>1066501</v>
      </c>
      <c r="H1990" s="5">
        <f>Monthly_Growth!$D$19</f>
        <v>0.10586538421657314</v>
      </c>
      <c r="I1990" s="15">
        <f>Yearly_Growth!$C$3</f>
        <v>0.11893113731787852</v>
      </c>
      <c r="J1990" s="15">
        <f>Yearly_Growth!$D$3</f>
        <v>0.09</v>
      </c>
      <c r="K1990">
        <f>Sales_Per_Representative!$C$30</f>
        <v>780006</v>
      </c>
      <c r="L1990">
        <f>Sales_Per_Rep_Yearly_Goal!$B$3</f>
        <v>689907.8</v>
      </c>
      <c r="M1990">
        <f>Sales_Per_Rep_Yearly_Goal!$C$3</f>
        <v>690000</v>
      </c>
    </row>
    <row r="1991" spans="1:13" x14ac:dyDescent="0.3">
      <c r="A1991" s="3">
        <v>45453</v>
      </c>
      <c r="B1991">
        <f t="shared" si="31"/>
        <v>2024</v>
      </c>
      <c r="C1991">
        <v>6</v>
      </c>
      <c r="D1991" t="s">
        <v>7</v>
      </c>
      <c r="E1991" t="s">
        <v>22</v>
      </c>
      <c r="F1991" s="2">
        <v>10423</v>
      </c>
      <c r="G1991" s="2">
        <f>Monthly_Growth!$C$19</f>
        <v>1066501</v>
      </c>
      <c r="H1991" s="5">
        <f>Monthly_Growth!$D$19</f>
        <v>0.10586538421657314</v>
      </c>
      <c r="I1991" s="15">
        <f>Yearly_Growth!$C$3</f>
        <v>0.11893113731787852</v>
      </c>
      <c r="J1991" s="15">
        <f>Yearly_Growth!$D$3</f>
        <v>0.09</v>
      </c>
      <c r="K1991">
        <f>Sales_Per_Representative!$C$23</f>
        <v>697444</v>
      </c>
      <c r="L1991">
        <f>Sales_Per_Rep_Yearly_Goal!$B$3</f>
        <v>689907.8</v>
      </c>
      <c r="M1991">
        <f>Sales_Per_Rep_Yearly_Goal!$C$3</f>
        <v>690000</v>
      </c>
    </row>
    <row r="1992" spans="1:13" x14ac:dyDescent="0.3">
      <c r="A1992" s="3">
        <v>45453</v>
      </c>
      <c r="B1992">
        <f t="shared" si="31"/>
        <v>2024</v>
      </c>
      <c r="C1992">
        <v>6</v>
      </c>
      <c r="D1992" t="s">
        <v>28</v>
      </c>
      <c r="E1992" t="s">
        <v>15</v>
      </c>
      <c r="F1992" s="2">
        <v>13938</v>
      </c>
      <c r="G1992" s="2">
        <f>Monthly_Growth!$C$19</f>
        <v>1066501</v>
      </c>
      <c r="H1992" s="5">
        <f>Monthly_Growth!$D$19</f>
        <v>0.10586538421657314</v>
      </c>
      <c r="I1992" s="15">
        <f>Yearly_Growth!$C$3</f>
        <v>0.11893113731787852</v>
      </c>
      <c r="J1992" s="15">
        <f>Yearly_Growth!$D$3</f>
        <v>0.09</v>
      </c>
      <c r="K1992">
        <f>Sales_Per_Representative!$C$27</f>
        <v>617202</v>
      </c>
      <c r="L1992">
        <f>Sales_Per_Rep_Yearly_Goal!$B$3</f>
        <v>689907.8</v>
      </c>
      <c r="M1992">
        <f>Sales_Per_Rep_Yearly_Goal!$C$3</f>
        <v>690000</v>
      </c>
    </row>
    <row r="1993" spans="1:13" x14ac:dyDescent="0.3">
      <c r="A1993" s="3">
        <v>45453</v>
      </c>
      <c r="B1993">
        <f t="shared" si="31"/>
        <v>2024</v>
      </c>
      <c r="C1993">
        <v>6</v>
      </c>
      <c r="D1993" t="s">
        <v>28</v>
      </c>
      <c r="E1993" t="s">
        <v>32</v>
      </c>
      <c r="F1993" s="2">
        <v>13013</v>
      </c>
      <c r="G1993" s="2">
        <f>Monthly_Growth!$C$19</f>
        <v>1066501</v>
      </c>
      <c r="H1993" s="5">
        <f>Monthly_Growth!$D$19</f>
        <v>0.10586538421657314</v>
      </c>
      <c r="I1993" s="15">
        <f>Yearly_Growth!$C$3</f>
        <v>0.11893113731787852</v>
      </c>
      <c r="J1993" s="15">
        <f>Yearly_Growth!$D$3</f>
        <v>0.09</v>
      </c>
      <c r="K1993">
        <f>Sales_Per_Representative!$C$18</f>
        <v>783907</v>
      </c>
      <c r="L1993">
        <f>Sales_Per_Rep_Yearly_Goal!$B$3</f>
        <v>689907.8</v>
      </c>
      <c r="M1993">
        <f>Sales_Per_Rep_Yearly_Goal!$C$3</f>
        <v>690000</v>
      </c>
    </row>
    <row r="1994" spans="1:13" x14ac:dyDescent="0.3">
      <c r="A1994" s="3">
        <v>45453</v>
      </c>
      <c r="B1994">
        <f t="shared" si="31"/>
        <v>2024</v>
      </c>
      <c r="C1994">
        <v>6</v>
      </c>
      <c r="D1994" t="s">
        <v>17</v>
      </c>
      <c r="E1994" t="s">
        <v>20</v>
      </c>
      <c r="F1994" s="2">
        <v>11520</v>
      </c>
      <c r="G1994" s="2">
        <f>Monthly_Growth!$C$19</f>
        <v>1066501</v>
      </c>
      <c r="H1994" s="5">
        <f>Monthly_Growth!$D$19</f>
        <v>0.10586538421657314</v>
      </c>
      <c r="I1994" s="15">
        <f>Yearly_Growth!$C$3</f>
        <v>0.11893113731787852</v>
      </c>
      <c r="J1994" s="15">
        <f>Yearly_Growth!$D$3</f>
        <v>0.09</v>
      </c>
      <c r="K1994">
        <f>Sales_Per_Representative!$C$29</f>
        <v>753085</v>
      </c>
      <c r="L1994">
        <f>Sales_Per_Rep_Yearly_Goal!$B$3</f>
        <v>689907.8</v>
      </c>
      <c r="M1994">
        <f>Sales_Per_Rep_Yearly_Goal!$C$3</f>
        <v>690000</v>
      </c>
    </row>
    <row r="1995" spans="1:13" x14ac:dyDescent="0.3">
      <c r="A1995" s="3">
        <v>45454</v>
      </c>
      <c r="B1995">
        <f t="shared" si="31"/>
        <v>2024</v>
      </c>
      <c r="C1995">
        <v>6</v>
      </c>
      <c r="D1995" t="s">
        <v>14</v>
      </c>
      <c r="E1995" t="s">
        <v>20</v>
      </c>
      <c r="F1995" s="2">
        <v>2647</v>
      </c>
      <c r="G1995" s="2">
        <f>Monthly_Growth!$C$19</f>
        <v>1066501</v>
      </c>
      <c r="H1995" s="5">
        <f>Monthly_Growth!$D$19</f>
        <v>0.10586538421657314</v>
      </c>
      <c r="I1995" s="15">
        <f>Yearly_Growth!$C$3</f>
        <v>0.11893113731787852</v>
      </c>
      <c r="J1995" s="15">
        <f>Yearly_Growth!$D$3</f>
        <v>0.09</v>
      </c>
      <c r="K1995">
        <f>Sales_Per_Representative!$C$29</f>
        <v>753085</v>
      </c>
      <c r="L1995">
        <f>Sales_Per_Rep_Yearly_Goal!$B$3</f>
        <v>689907.8</v>
      </c>
      <c r="M1995">
        <f>Sales_Per_Rep_Yearly_Goal!$C$3</f>
        <v>690000</v>
      </c>
    </row>
    <row r="1996" spans="1:13" x14ac:dyDescent="0.3">
      <c r="A1996" s="3">
        <v>45454</v>
      </c>
      <c r="B1996">
        <f t="shared" si="31"/>
        <v>2024</v>
      </c>
      <c r="C1996">
        <v>6</v>
      </c>
      <c r="D1996" t="s">
        <v>14</v>
      </c>
      <c r="E1996" t="s">
        <v>18</v>
      </c>
      <c r="F1996" s="2">
        <v>5134</v>
      </c>
      <c r="G1996" s="2">
        <f>Monthly_Growth!$C$19</f>
        <v>1066501</v>
      </c>
      <c r="H1996" s="5">
        <f>Monthly_Growth!$D$19</f>
        <v>0.10586538421657314</v>
      </c>
      <c r="I1996" s="15">
        <f>Yearly_Growth!$C$3</f>
        <v>0.11893113731787852</v>
      </c>
      <c r="J1996" s="15">
        <f>Yearly_Growth!$D$3</f>
        <v>0.09</v>
      </c>
      <c r="K1996">
        <f>Sales_Per_Representative!$C$24</f>
        <v>699277</v>
      </c>
      <c r="L1996">
        <f>Sales_Per_Rep_Yearly_Goal!$B$3</f>
        <v>689907.8</v>
      </c>
      <c r="M1996">
        <f>Sales_Per_Rep_Yearly_Goal!$C$3</f>
        <v>690000</v>
      </c>
    </row>
    <row r="1997" spans="1:13" x14ac:dyDescent="0.3">
      <c r="A1997" s="3">
        <v>45454</v>
      </c>
      <c r="B1997">
        <f t="shared" si="31"/>
        <v>2024</v>
      </c>
      <c r="C1997">
        <v>6</v>
      </c>
      <c r="D1997" t="s">
        <v>19</v>
      </c>
      <c r="E1997" t="s">
        <v>10</v>
      </c>
      <c r="F1997" s="2">
        <v>8794</v>
      </c>
      <c r="G1997" s="2">
        <f>Monthly_Growth!$C$19</f>
        <v>1066501</v>
      </c>
      <c r="H1997" s="5">
        <f>Monthly_Growth!$D$19</f>
        <v>0.10586538421657314</v>
      </c>
      <c r="I1997" s="15">
        <f>Yearly_Growth!$C$3</f>
        <v>0.11893113731787852</v>
      </c>
      <c r="J1997" s="15">
        <f>Yearly_Growth!$D$3</f>
        <v>0.09</v>
      </c>
      <c r="K1997">
        <f>Sales_Per_Representative!$C$19</f>
        <v>711816</v>
      </c>
      <c r="L1997">
        <f>Sales_Per_Rep_Yearly_Goal!$B$3</f>
        <v>689907.8</v>
      </c>
      <c r="M1997">
        <f>Sales_Per_Rep_Yearly_Goal!$C$3</f>
        <v>690000</v>
      </c>
    </row>
    <row r="1998" spans="1:13" x14ac:dyDescent="0.3">
      <c r="A1998" s="3">
        <v>45454</v>
      </c>
      <c r="B1998">
        <f t="shared" si="31"/>
        <v>2024</v>
      </c>
      <c r="C1998">
        <v>6</v>
      </c>
      <c r="D1998" t="s">
        <v>19</v>
      </c>
      <c r="E1998" t="s">
        <v>18</v>
      </c>
      <c r="F1998" s="2">
        <v>9390</v>
      </c>
      <c r="G1998" s="2">
        <f>Monthly_Growth!$C$19</f>
        <v>1066501</v>
      </c>
      <c r="H1998" s="5">
        <f>Monthly_Growth!$D$19</f>
        <v>0.10586538421657314</v>
      </c>
      <c r="I1998" s="15">
        <f>Yearly_Growth!$C$3</f>
        <v>0.11893113731787852</v>
      </c>
      <c r="J1998" s="15">
        <f>Yearly_Growth!$D$3</f>
        <v>0.09</v>
      </c>
      <c r="K1998">
        <f>Sales_Per_Representative!$C$24</f>
        <v>699277</v>
      </c>
      <c r="L1998">
        <f>Sales_Per_Rep_Yearly_Goal!$B$3</f>
        <v>689907.8</v>
      </c>
      <c r="M1998">
        <f>Sales_Per_Rep_Yearly_Goal!$C$3</f>
        <v>690000</v>
      </c>
    </row>
    <row r="1999" spans="1:13" x14ac:dyDescent="0.3">
      <c r="A1999" s="3">
        <v>45454</v>
      </c>
      <c r="B1999">
        <f t="shared" si="31"/>
        <v>2024</v>
      </c>
      <c r="C1999">
        <v>6</v>
      </c>
      <c r="D1999" t="s">
        <v>23</v>
      </c>
      <c r="E1999" t="s">
        <v>22</v>
      </c>
      <c r="F1999" s="2">
        <v>12487</v>
      </c>
      <c r="G1999" s="2">
        <f>Monthly_Growth!$C$19</f>
        <v>1066501</v>
      </c>
      <c r="H1999" s="5">
        <f>Monthly_Growth!$D$19</f>
        <v>0.10586538421657314</v>
      </c>
      <c r="I1999" s="15">
        <f>Yearly_Growth!$C$3</f>
        <v>0.11893113731787852</v>
      </c>
      <c r="J1999" s="15">
        <f>Yearly_Growth!$D$3</f>
        <v>0.09</v>
      </c>
      <c r="K1999">
        <f>Sales_Per_Representative!$C$23</f>
        <v>697444</v>
      </c>
      <c r="L1999">
        <f>Sales_Per_Rep_Yearly_Goal!$B$3</f>
        <v>689907.8</v>
      </c>
      <c r="M1999">
        <f>Sales_Per_Rep_Yearly_Goal!$C$3</f>
        <v>690000</v>
      </c>
    </row>
    <row r="2000" spans="1:13" x14ac:dyDescent="0.3">
      <c r="A2000" s="3">
        <v>45454</v>
      </c>
      <c r="B2000">
        <f t="shared" si="31"/>
        <v>2024</v>
      </c>
      <c r="C2000">
        <v>6</v>
      </c>
      <c r="D2000" t="s">
        <v>25</v>
      </c>
      <c r="E2000" t="s">
        <v>20</v>
      </c>
      <c r="F2000" s="2">
        <v>5607</v>
      </c>
      <c r="G2000" s="2">
        <f>Monthly_Growth!$C$19</f>
        <v>1066501</v>
      </c>
      <c r="H2000" s="5">
        <f>Monthly_Growth!$D$19</f>
        <v>0.10586538421657314</v>
      </c>
      <c r="I2000" s="15">
        <f>Yearly_Growth!$C$3</f>
        <v>0.11893113731787852</v>
      </c>
      <c r="J2000" s="15">
        <f>Yearly_Growth!$D$3</f>
        <v>0.09</v>
      </c>
      <c r="K2000">
        <f>Sales_Per_Representative!$C$29</f>
        <v>753085</v>
      </c>
      <c r="L2000">
        <f>Sales_Per_Rep_Yearly_Goal!$B$3</f>
        <v>689907.8</v>
      </c>
      <c r="M2000">
        <f>Sales_Per_Rep_Yearly_Goal!$C$3</f>
        <v>690000</v>
      </c>
    </row>
    <row r="2001" spans="1:13" x14ac:dyDescent="0.3">
      <c r="A2001" s="3">
        <v>45454</v>
      </c>
      <c r="B2001">
        <f t="shared" si="31"/>
        <v>2024</v>
      </c>
      <c r="C2001">
        <v>6</v>
      </c>
      <c r="D2001" t="s">
        <v>28</v>
      </c>
      <c r="E2001" t="s">
        <v>33</v>
      </c>
      <c r="F2001" s="2">
        <v>10819</v>
      </c>
      <c r="G2001" s="2">
        <f>Monthly_Growth!$C$19</f>
        <v>1066501</v>
      </c>
      <c r="H2001" s="5">
        <f>Monthly_Growth!$D$19</f>
        <v>0.10586538421657314</v>
      </c>
      <c r="I2001" s="15">
        <f>Yearly_Growth!$C$3</f>
        <v>0.11893113731787852</v>
      </c>
      <c r="J2001" s="15">
        <f>Yearly_Growth!$D$3</f>
        <v>0.09</v>
      </c>
      <c r="K2001">
        <f>Sales_Per_Representative!$C$26</f>
        <v>501360</v>
      </c>
      <c r="L2001">
        <f>Sales_Per_Rep_Yearly_Goal!$B$3</f>
        <v>689907.8</v>
      </c>
      <c r="M2001">
        <f>Sales_Per_Rep_Yearly_Goal!$C$3</f>
        <v>690000</v>
      </c>
    </row>
    <row r="2002" spans="1:13" x14ac:dyDescent="0.3">
      <c r="A2002" s="3">
        <v>45454</v>
      </c>
      <c r="B2002">
        <f t="shared" si="31"/>
        <v>2024</v>
      </c>
      <c r="C2002">
        <v>6</v>
      </c>
      <c r="D2002" t="s">
        <v>17</v>
      </c>
      <c r="E2002" t="s">
        <v>32</v>
      </c>
      <c r="F2002" s="2">
        <v>4966</v>
      </c>
      <c r="G2002" s="2">
        <f>Monthly_Growth!$C$19</f>
        <v>1066501</v>
      </c>
      <c r="H2002" s="5">
        <f>Monthly_Growth!$D$19</f>
        <v>0.10586538421657314</v>
      </c>
      <c r="I2002" s="15">
        <f>Yearly_Growth!$C$3</f>
        <v>0.11893113731787852</v>
      </c>
      <c r="J2002" s="15">
        <f>Yearly_Growth!$D$3</f>
        <v>0.09</v>
      </c>
      <c r="K2002">
        <f>Sales_Per_Representative!$C$18</f>
        <v>783907</v>
      </c>
      <c r="L2002">
        <f>Sales_Per_Rep_Yearly_Goal!$B$3</f>
        <v>689907.8</v>
      </c>
      <c r="M2002">
        <f>Sales_Per_Rep_Yearly_Goal!$C$3</f>
        <v>690000</v>
      </c>
    </row>
    <row r="2003" spans="1:13" x14ac:dyDescent="0.3">
      <c r="A2003" s="3">
        <v>45456</v>
      </c>
      <c r="B2003">
        <f t="shared" si="31"/>
        <v>2024</v>
      </c>
      <c r="C2003">
        <v>6</v>
      </c>
      <c r="D2003" t="s">
        <v>7</v>
      </c>
      <c r="E2003" t="s">
        <v>18</v>
      </c>
      <c r="F2003" s="2">
        <v>9420</v>
      </c>
      <c r="G2003" s="2">
        <f>Monthly_Growth!$C$19</f>
        <v>1066501</v>
      </c>
      <c r="H2003" s="5">
        <f>Monthly_Growth!$D$19</f>
        <v>0.10586538421657314</v>
      </c>
      <c r="I2003" s="15">
        <f>Yearly_Growth!$C$3</f>
        <v>0.11893113731787852</v>
      </c>
      <c r="J2003" s="15">
        <f>Yearly_Growth!$D$3</f>
        <v>0.09</v>
      </c>
      <c r="K2003">
        <f>Sales_Per_Representative!$C$24</f>
        <v>699277</v>
      </c>
      <c r="L2003">
        <f>Sales_Per_Rep_Yearly_Goal!$B$3</f>
        <v>689907.8</v>
      </c>
      <c r="M2003">
        <f>Sales_Per_Rep_Yearly_Goal!$C$3</f>
        <v>690000</v>
      </c>
    </row>
    <row r="2004" spans="1:13" x14ac:dyDescent="0.3">
      <c r="A2004" s="3">
        <v>45457</v>
      </c>
      <c r="B2004">
        <f t="shared" si="31"/>
        <v>2024</v>
      </c>
      <c r="C2004">
        <v>6</v>
      </c>
      <c r="D2004" t="s">
        <v>14</v>
      </c>
      <c r="E2004" t="s">
        <v>8</v>
      </c>
      <c r="F2004" s="2">
        <v>2790</v>
      </c>
      <c r="G2004" s="2">
        <f>Monthly_Growth!$C$19</f>
        <v>1066501</v>
      </c>
      <c r="H2004" s="5">
        <f>Monthly_Growth!$D$19</f>
        <v>0.10586538421657314</v>
      </c>
      <c r="I2004" s="15">
        <f>Yearly_Growth!$C$3</f>
        <v>0.11893113731787852</v>
      </c>
      <c r="J2004" s="15">
        <f>Yearly_Growth!$D$3</f>
        <v>0.09</v>
      </c>
      <c r="K2004">
        <f>Sales_Per_Representative!$C$30</f>
        <v>780006</v>
      </c>
      <c r="L2004">
        <f>Sales_Per_Rep_Yearly_Goal!$B$3</f>
        <v>689907.8</v>
      </c>
      <c r="M2004">
        <f>Sales_Per_Rep_Yearly_Goal!$C$3</f>
        <v>690000</v>
      </c>
    </row>
    <row r="2005" spans="1:13" x14ac:dyDescent="0.3">
      <c r="A2005" s="3">
        <v>45457</v>
      </c>
      <c r="B2005">
        <f t="shared" si="31"/>
        <v>2024</v>
      </c>
      <c r="C2005">
        <v>6</v>
      </c>
      <c r="D2005" t="s">
        <v>25</v>
      </c>
      <c r="E2005" t="s">
        <v>15</v>
      </c>
      <c r="F2005" s="2">
        <v>2707</v>
      </c>
      <c r="G2005" s="2">
        <f>Monthly_Growth!$C$19</f>
        <v>1066501</v>
      </c>
      <c r="H2005" s="5">
        <f>Monthly_Growth!$D$19</f>
        <v>0.10586538421657314</v>
      </c>
      <c r="I2005" s="15">
        <f>Yearly_Growth!$C$3</f>
        <v>0.11893113731787852</v>
      </c>
      <c r="J2005" s="15">
        <f>Yearly_Growth!$D$3</f>
        <v>0.09</v>
      </c>
      <c r="K2005">
        <f>Sales_Per_Representative!$C$27</f>
        <v>617202</v>
      </c>
      <c r="L2005">
        <f>Sales_Per_Rep_Yearly_Goal!$B$3</f>
        <v>689907.8</v>
      </c>
      <c r="M2005">
        <f>Sales_Per_Rep_Yearly_Goal!$C$3</f>
        <v>690000</v>
      </c>
    </row>
    <row r="2006" spans="1:13" x14ac:dyDescent="0.3">
      <c r="A2006" s="3">
        <v>45457</v>
      </c>
      <c r="B2006">
        <f t="shared" si="31"/>
        <v>2024</v>
      </c>
      <c r="C2006">
        <v>6</v>
      </c>
      <c r="D2006" t="s">
        <v>17</v>
      </c>
      <c r="E2006" t="s">
        <v>20</v>
      </c>
      <c r="F2006" s="2">
        <v>13085</v>
      </c>
      <c r="G2006" s="2">
        <f>Monthly_Growth!$C$19</f>
        <v>1066501</v>
      </c>
      <c r="H2006" s="5">
        <f>Monthly_Growth!$D$19</f>
        <v>0.10586538421657314</v>
      </c>
      <c r="I2006" s="15">
        <f>Yearly_Growth!$C$3</f>
        <v>0.11893113731787852</v>
      </c>
      <c r="J2006" s="15">
        <f>Yearly_Growth!$D$3</f>
        <v>0.09</v>
      </c>
      <c r="K2006">
        <f>Sales_Per_Representative!$C$29</f>
        <v>753085</v>
      </c>
      <c r="L2006">
        <f>Sales_Per_Rep_Yearly_Goal!$B$3</f>
        <v>689907.8</v>
      </c>
      <c r="M2006">
        <f>Sales_Per_Rep_Yearly_Goal!$C$3</f>
        <v>690000</v>
      </c>
    </row>
    <row r="2007" spans="1:13" x14ac:dyDescent="0.3">
      <c r="A2007" s="3">
        <v>45458</v>
      </c>
      <c r="B2007">
        <f t="shared" si="31"/>
        <v>2024</v>
      </c>
      <c r="C2007">
        <v>6</v>
      </c>
      <c r="D2007" t="s">
        <v>14</v>
      </c>
      <c r="E2007" t="s">
        <v>22</v>
      </c>
      <c r="F2007" s="2">
        <v>2350</v>
      </c>
      <c r="G2007" s="2">
        <f>Monthly_Growth!$C$19</f>
        <v>1066501</v>
      </c>
      <c r="H2007" s="5">
        <f>Monthly_Growth!$D$19</f>
        <v>0.10586538421657314</v>
      </c>
      <c r="I2007" s="15">
        <f>Yearly_Growth!$C$3</f>
        <v>0.11893113731787852</v>
      </c>
      <c r="J2007" s="15">
        <f>Yearly_Growth!$D$3</f>
        <v>0.09</v>
      </c>
      <c r="K2007">
        <f>Sales_Per_Representative!$C$23</f>
        <v>697444</v>
      </c>
      <c r="L2007">
        <f>Sales_Per_Rep_Yearly_Goal!$B$3</f>
        <v>689907.8</v>
      </c>
      <c r="M2007">
        <f>Sales_Per_Rep_Yearly_Goal!$C$3</f>
        <v>690000</v>
      </c>
    </row>
    <row r="2008" spans="1:13" x14ac:dyDescent="0.3">
      <c r="A2008" s="3">
        <v>45458</v>
      </c>
      <c r="B2008">
        <f t="shared" si="31"/>
        <v>2024</v>
      </c>
      <c r="C2008">
        <v>6</v>
      </c>
      <c r="D2008" t="s">
        <v>19</v>
      </c>
      <c r="E2008" t="s">
        <v>15</v>
      </c>
      <c r="F2008" s="2">
        <v>7518</v>
      </c>
      <c r="G2008" s="2">
        <f>Monthly_Growth!$C$19</f>
        <v>1066501</v>
      </c>
      <c r="H2008" s="5">
        <f>Monthly_Growth!$D$19</f>
        <v>0.10586538421657314</v>
      </c>
      <c r="I2008" s="15">
        <f>Yearly_Growth!$C$3</f>
        <v>0.11893113731787852</v>
      </c>
      <c r="J2008" s="15">
        <f>Yearly_Growth!$D$3</f>
        <v>0.09</v>
      </c>
      <c r="K2008">
        <f>Sales_Per_Representative!$C$27</f>
        <v>617202</v>
      </c>
      <c r="L2008">
        <f>Sales_Per_Rep_Yearly_Goal!$B$3</f>
        <v>689907.8</v>
      </c>
      <c r="M2008">
        <f>Sales_Per_Rep_Yearly_Goal!$C$3</f>
        <v>690000</v>
      </c>
    </row>
    <row r="2009" spans="1:13" x14ac:dyDescent="0.3">
      <c r="A2009" s="3">
        <v>45458</v>
      </c>
      <c r="B2009">
        <f t="shared" si="31"/>
        <v>2024</v>
      </c>
      <c r="C2009">
        <v>6</v>
      </c>
      <c r="D2009" t="s">
        <v>28</v>
      </c>
      <c r="E2009" t="s">
        <v>33</v>
      </c>
      <c r="F2009" s="2">
        <v>11240</v>
      </c>
      <c r="G2009" s="2">
        <f>Monthly_Growth!$C$19</f>
        <v>1066501</v>
      </c>
      <c r="H2009" s="5">
        <f>Monthly_Growth!$D$19</f>
        <v>0.10586538421657314</v>
      </c>
      <c r="I2009" s="15">
        <f>Yearly_Growth!$C$3</f>
        <v>0.11893113731787852</v>
      </c>
      <c r="J2009" s="15">
        <f>Yearly_Growth!$D$3</f>
        <v>0.09</v>
      </c>
      <c r="K2009">
        <f>Sales_Per_Representative!$C$26</f>
        <v>501360</v>
      </c>
      <c r="L2009">
        <f>Sales_Per_Rep_Yearly_Goal!$B$3</f>
        <v>689907.8</v>
      </c>
      <c r="M2009">
        <f>Sales_Per_Rep_Yearly_Goal!$C$3</f>
        <v>690000</v>
      </c>
    </row>
    <row r="2010" spans="1:13" x14ac:dyDescent="0.3">
      <c r="A2010" s="3">
        <v>45458</v>
      </c>
      <c r="B2010">
        <f t="shared" si="31"/>
        <v>2024</v>
      </c>
      <c r="C2010">
        <v>6</v>
      </c>
      <c r="D2010" t="s">
        <v>17</v>
      </c>
      <c r="E2010" t="s">
        <v>27</v>
      </c>
      <c r="F2010" s="2">
        <v>3435</v>
      </c>
      <c r="G2010" s="2">
        <f>Monthly_Growth!$C$19</f>
        <v>1066501</v>
      </c>
      <c r="H2010" s="5">
        <f>Monthly_Growth!$D$19</f>
        <v>0.10586538421657314</v>
      </c>
      <c r="I2010" s="15">
        <f>Yearly_Growth!$C$3</f>
        <v>0.11893113731787852</v>
      </c>
      <c r="J2010" s="15">
        <f>Yearly_Growth!$D$3</f>
        <v>0.09</v>
      </c>
      <c r="K2010">
        <f>Sales_Per_Representative!$C$20</f>
        <v>685380</v>
      </c>
      <c r="L2010">
        <f>Sales_Per_Rep_Yearly_Goal!$B$3</f>
        <v>689907.8</v>
      </c>
      <c r="M2010">
        <f>Sales_Per_Rep_Yearly_Goal!$C$3</f>
        <v>690000</v>
      </c>
    </row>
    <row r="2011" spans="1:13" x14ac:dyDescent="0.3">
      <c r="A2011" s="3">
        <v>45458</v>
      </c>
      <c r="B2011">
        <f t="shared" si="31"/>
        <v>2024</v>
      </c>
      <c r="C2011">
        <v>6</v>
      </c>
      <c r="D2011" t="s">
        <v>17</v>
      </c>
      <c r="E2011" t="s">
        <v>15</v>
      </c>
      <c r="F2011" s="2">
        <v>8903</v>
      </c>
      <c r="G2011" s="2">
        <f>Monthly_Growth!$C$19</f>
        <v>1066501</v>
      </c>
      <c r="H2011" s="5">
        <f>Monthly_Growth!$D$19</f>
        <v>0.10586538421657314</v>
      </c>
      <c r="I2011" s="15">
        <f>Yearly_Growth!$C$3</f>
        <v>0.11893113731787852</v>
      </c>
      <c r="J2011" s="15">
        <f>Yearly_Growth!$D$3</f>
        <v>0.09</v>
      </c>
      <c r="K2011">
        <f>Sales_Per_Representative!$C$27</f>
        <v>617202</v>
      </c>
      <c r="L2011">
        <f>Sales_Per_Rep_Yearly_Goal!$B$3</f>
        <v>689907.8</v>
      </c>
      <c r="M2011">
        <f>Sales_Per_Rep_Yearly_Goal!$C$3</f>
        <v>690000</v>
      </c>
    </row>
    <row r="2012" spans="1:13" x14ac:dyDescent="0.3">
      <c r="A2012" s="3">
        <v>45459</v>
      </c>
      <c r="B2012">
        <f t="shared" si="31"/>
        <v>2024</v>
      </c>
      <c r="C2012">
        <v>6</v>
      </c>
      <c r="D2012" t="s">
        <v>14</v>
      </c>
      <c r="E2012" t="s">
        <v>33</v>
      </c>
      <c r="F2012" s="2">
        <v>3052</v>
      </c>
      <c r="G2012" s="2">
        <f>Monthly_Growth!$C$19</f>
        <v>1066501</v>
      </c>
      <c r="H2012" s="5">
        <f>Monthly_Growth!$D$19</f>
        <v>0.10586538421657314</v>
      </c>
      <c r="I2012" s="15">
        <f>Yearly_Growth!$C$3</f>
        <v>0.11893113731787852</v>
      </c>
      <c r="J2012" s="15">
        <f>Yearly_Growth!$D$3</f>
        <v>0.09</v>
      </c>
      <c r="K2012">
        <f>Sales_Per_Representative!$C$26</f>
        <v>501360</v>
      </c>
      <c r="L2012">
        <f>Sales_Per_Rep_Yearly_Goal!$B$3</f>
        <v>689907.8</v>
      </c>
      <c r="M2012">
        <f>Sales_Per_Rep_Yearly_Goal!$C$3</f>
        <v>690000</v>
      </c>
    </row>
    <row r="2013" spans="1:13" x14ac:dyDescent="0.3">
      <c r="A2013" s="3">
        <v>45459</v>
      </c>
      <c r="B2013">
        <f t="shared" si="31"/>
        <v>2024</v>
      </c>
      <c r="C2013">
        <v>6</v>
      </c>
      <c r="D2013" t="s">
        <v>23</v>
      </c>
      <c r="E2013" t="s">
        <v>31</v>
      </c>
      <c r="F2013" s="2">
        <v>9751</v>
      </c>
      <c r="G2013" s="2">
        <f>Monthly_Growth!$C$19</f>
        <v>1066501</v>
      </c>
      <c r="H2013" s="5">
        <f>Monthly_Growth!$D$19</f>
        <v>0.10586538421657314</v>
      </c>
      <c r="I2013" s="15">
        <f>Yearly_Growth!$C$3</f>
        <v>0.11893113731787852</v>
      </c>
      <c r="J2013" s="15">
        <f>Yearly_Growth!$D$3</f>
        <v>0.09</v>
      </c>
      <c r="K2013">
        <f>Sales_Per_Representative!$C$21</f>
        <v>679421</v>
      </c>
      <c r="L2013">
        <f>Sales_Per_Rep_Yearly_Goal!$B$3</f>
        <v>689907.8</v>
      </c>
      <c r="M2013">
        <f>Sales_Per_Rep_Yearly_Goal!$C$3</f>
        <v>690000</v>
      </c>
    </row>
    <row r="2014" spans="1:13" x14ac:dyDescent="0.3">
      <c r="A2014" s="3">
        <v>45459</v>
      </c>
      <c r="B2014">
        <f t="shared" si="31"/>
        <v>2024</v>
      </c>
      <c r="C2014">
        <v>6</v>
      </c>
      <c r="D2014" t="s">
        <v>25</v>
      </c>
      <c r="E2014" t="s">
        <v>8</v>
      </c>
      <c r="F2014" s="2">
        <v>12210</v>
      </c>
      <c r="G2014" s="2">
        <f>Monthly_Growth!$C$19</f>
        <v>1066501</v>
      </c>
      <c r="H2014" s="5">
        <f>Monthly_Growth!$D$19</f>
        <v>0.10586538421657314</v>
      </c>
      <c r="I2014" s="15">
        <f>Yearly_Growth!$C$3</f>
        <v>0.11893113731787852</v>
      </c>
      <c r="J2014" s="15">
        <f>Yearly_Growth!$D$3</f>
        <v>0.09</v>
      </c>
      <c r="K2014">
        <f>Sales_Per_Representative!$C$30</f>
        <v>780006</v>
      </c>
      <c r="L2014">
        <f>Sales_Per_Rep_Yearly_Goal!$B$3</f>
        <v>689907.8</v>
      </c>
      <c r="M2014">
        <f>Sales_Per_Rep_Yearly_Goal!$C$3</f>
        <v>690000</v>
      </c>
    </row>
    <row r="2015" spans="1:13" x14ac:dyDescent="0.3">
      <c r="A2015" s="3">
        <v>45459</v>
      </c>
      <c r="B2015">
        <f t="shared" si="31"/>
        <v>2024</v>
      </c>
      <c r="C2015">
        <v>6</v>
      </c>
      <c r="D2015" t="s">
        <v>7</v>
      </c>
      <c r="E2015" t="s">
        <v>26</v>
      </c>
      <c r="F2015" s="2">
        <v>1248</v>
      </c>
      <c r="G2015" s="2">
        <f>Monthly_Growth!$C$19</f>
        <v>1066501</v>
      </c>
      <c r="H2015" s="5">
        <f>Monthly_Growth!$D$19</f>
        <v>0.10586538421657314</v>
      </c>
      <c r="I2015" s="15">
        <f>Yearly_Growth!$C$3</f>
        <v>0.11893113731787852</v>
      </c>
      <c r="J2015" s="15">
        <f>Yearly_Growth!$D$3</f>
        <v>0.09</v>
      </c>
      <c r="K2015">
        <f>Sales_Per_Representative!$C$31</f>
        <v>664244</v>
      </c>
      <c r="L2015">
        <f>Sales_Per_Rep_Yearly_Goal!$B$3</f>
        <v>689907.8</v>
      </c>
      <c r="M2015">
        <f>Sales_Per_Rep_Yearly_Goal!$C$3</f>
        <v>690000</v>
      </c>
    </row>
    <row r="2016" spans="1:13" x14ac:dyDescent="0.3">
      <c r="A2016" s="3">
        <v>45459</v>
      </c>
      <c r="B2016">
        <f t="shared" si="31"/>
        <v>2024</v>
      </c>
      <c r="C2016">
        <v>6</v>
      </c>
      <c r="D2016" t="s">
        <v>17</v>
      </c>
      <c r="E2016" t="s">
        <v>29</v>
      </c>
      <c r="F2016" s="2">
        <v>9746</v>
      </c>
      <c r="G2016" s="2">
        <f>Monthly_Growth!$C$19</f>
        <v>1066501</v>
      </c>
      <c r="H2016" s="5">
        <f>Monthly_Growth!$D$19</f>
        <v>0.10586538421657314</v>
      </c>
      <c r="I2016" s="15">
        <f>Yearly_Growth!$C$3</f>
        <v>0.11893113731787852</v>
      </c>
      <c r="J2016" s="15">
        <f>Yearly_Growth!$D$3</f>
        <v>0.09</v>
      </c>
      <c r="K2016">
        <f>Sales_Per_Representative!$C$28</f>
        <v>691917</v>
      </c>
      <c r="L2016">
        <f>Sales_Per_Rep_Yearly_Goal!$B$3</f>
        <v>689907.8</v>
      </c>
      <c r="M2016">
        <f>Sales_Per_Rep_Yearly_Goal!$C$3</f>
        <v>690000</v>
      </c>
    </row>
    <row r="2017" spans="1:13" x14ac:dyDescent="0.3">
      <c r="A2017" s="3">
        <v>45459</v>
      </c>
      <c r="B2017">
        <f t="shared" si="31"/>
        <v>2024</v>
      </c>
      <c r="C2017">
        <v>6</v>
      </c>
      <c r="D2017" t="s">
        <v>17</v>
      </c>
      <c r="E2017" t="s">
        <v>30</v>
      </c>
      <c r="F2017" s="2">
        <v>13192</v>
      </c>
      <c r="G2017" s="2">
        <f>Monthly_Growth!$C$19</f>
        <v>1066501</v>
      </c>
      <c r="H2017" s="5">
        <f>Monthly_Growth!$D$19</f>
        <v>0.10586538421657314</v>
      </c>
      <c r="I2017" s="15">
        <f>Yearly_Growth!$C$3</f>
        <v>0.11893113731787852</v>
      </c>
      <c r="J2017" s="15">
        <f>Yearly_Growth!$D$3</f>
        <v>0.09</v>
      </c>
      <c r="K2017">
        <f>Sales_Per_Representative!$C$22</f>
        <v>700142</v>
      </c>
      <c r="L2017">
        <f>Sales_Per_Rep_Yearly_Goal!$B$3</f>
        <v>689907.8</v>
      </c>
      <c r="M2017">
        <f>Sales_Per_Rep_Yearly_Goal!$C$3</f>
        <v>690000</v>
      </c>
    </row>
    <row r="2018" spans="1:13" x14ac:dyDescent="0.3">
      <c r="A2018" s="3">
        <v>45459</v>
      </c>
      <c r="B2018">
        <f t="shared" si="31"/>
        <v>2024</v>
      </c>
      <c r="C2018">
        <v>6</v>
      </c>
      <c r="D2018" t="s">
        <v>17</v>
      </c>
      <c r="E2018" t="s">
        <v>32</v>
      </c>
      <c r="F2018" s="2">
        <v>7220</v>
      </c>
      <c r="G2018" s="2">
        <f>Monthly_Growth!$C$19</f>
        <v>1066501</v>
      </c>
      <c r="H2018" s="5">
        <f>Monthly_Growth!$D$19</f>
        <v>0.10586538421657314</v>
      </c>
      <c r="I2018" s="15">
        <f>Yearly_Growth!$C$3</f>
        <v>0.11893113731787852</v>
      </c>
      <c r="J2018" s="15">
        <f>Yearly_Growth!$D$3</f>
        <v>0.09</v>
      </c>
      <c r="K2018">
        <f>Sales_Per_Representative!$C$18</f>
        <v>783907</v>
      </c>
      <c r="L2018">
        <f>Sales_Per_Rep_Yearly_Goal!$B$3</f>
        <v>689907.8</v>
      </c>
      <c r="M2018">
        <f>Sales_Per_Rep_Yearly_Goal!$C$3</f>
        <v>690000</v>
      </c>
    </row>
    <row r="2019" spans="1:13" x14ac:dyDescent="0.3">
      <c r="A2019" s="3">
        <v>45459</v>
      </c>
      <c r="B2019">
        <f t="shared" si="31"/>
        <v>2024</v>
      </c>
      <c r="C2019">
        <v>6</v>
      </c>
      <c r="D2019" t="s">
        <v>17</v>
      </c>
      <c r="E2019" t="s">
        <v>29</v>
      </c>
      <c r="F2019" s="2">
        <v>4076</v>
      </c>
      <c r="G2019" s="2">
        <f>Monthly_Growth!$C$19</f>
        <v>1066501</v>
      </c>
      <c r="H2019" s="5">
        <f>Monthly_Growth!$D$19</f>
        <v>0.10586538421657314</v>
      </c>
      <c r="I2019" s="15">
        <f>Yearly_Growth!$C$3</f>
        <v>0.11893113731787852</v>
      </c>
      <c r="J2019" s="15">
        <f>Yearly_Growth!$D$3</f>
        <v>0.09</v>
      </c>
      <c r="K2019">
        <f>Sales_Per_Representative!$C$28</f>
        <v>691917</v>
      </c>
      <c r="L2019">
        <f>Sales_Per_Rep_Yearly_Goal!$B$3</f>
        <v>689907.8</v>
      </c>
      <c r="M2019">
        <f>Sales_Per_Rep_Yearly_Goal!$C$3</f>
        <v>690000</v>
      </c>
    </row>
    <row r="2020" spans="1:13" x14ac:dyDescent="0.3">
      <c r="A2020" s="3">
        <v>45460</v>
      </c>
      <c r="B2020">
        <f t="shared" si="31"/>
        <v>2024</v>
      </c>
      <c r="C2020">
        <v>6</v>
      </c>
      <c r="D2020" t="s">
        <v>14</v>
      </c>
      <c r="E2020" t="s">
        <v>31</v>
      </c>
      <c r="F2020" s="2">
        <v>9923</v>
      </c>
      <c r="G2020" s="2">
        <f>Monthly_Growth!$C$19</f>
        <v>1066501</v>
      </c>
      <c r="H2020" s="5">
        <f>Monthly_Growth!$D$19</f>
        <v>0.10586538421657314</v>
      </c>
      <c r="I2020" s="15">
        <f>Yearly_Growth!$C$3</f>
        <v>0.11893113731787852</v>
      </c>
      <c r="J2020" s="15">
        <f>Yearly_Growth!$D$3</f>
        <v>0.09</v>
      </c>
      <c r="K2020">
        <f>Sales_Per_Representative!$C$21</f>
        <v>679421</v>
      </c>
      <c r="L2020">
        <f>Sales_Per_Rep_Yearly_Goal!$B$3</f>
        <v>689907.8</v>
      </c>
      <c r="M2020">
        <f>Sales_Per_Rep_Yearly_Goal!$C$3</f>
        <v>690000</v>
      </c>
    </row>
    <row r="2021" spans="1:13" x14ac:dyDescent="0.3">
      <c r="A2021" s="3">
        <v>45460</v>
      </c>
      <c r="B2021">
        <f t="shared" si="31"/>
        <v>2024</v>
      </c>
      <c r="C2021">
        <v>6</v>
      </c>
      <c r="D2021" t="s">
        <v>19</v>
      </c>
      <c r="E2021" t="s">
        <v>32</v>
      </c>
      <c r="F2021" s="2">
        <v>8033</v>
      </c>
      <c r="G2021" s="2">
        <f>Monthly_Growth!$C$19</f>
        <v>1066501</v>
      </c>
      <c r="H2021" s="5">
        <f>Monthly_Growth!$D$19</f>
        <v>0.10586538421657314</v>
      </c>
      <c r="I2021" s="15">
        <f>Yearly_Growth!$C$3</f>
        <v>0.11893113731787852</v>
      </c>
      <c r="J2021" s="15">
        <f>Yearly_Growth!$D$3</f>
        <v>0.09</v>
      </c>
      <c r="K2021">
        <f>Sales_Per_Representative!$C$18</f>
        <v>783907</v>
      </c>
      <c r="L2021">
        <f>Sales_Per_Rep_Yearly_Goal!$B$3</f>
        <v>689907.8</v>
      </c>
      <c r="M2021">
        <f>Sales_Per_Rep_Yearly_Goal!$C$3</f>
        <v>690000</v>
      </c>
    </row>
    <row r="2022" spans="1:13" x14ac:dyDescent="0.3">
      <c r="A2022" s="3">
        <v>45460</v>
      </c>
      <c r="B2022">
        <f t="shared" si="31"/>
        <v>2024</v>
      </c>
      <c r="C2022">
        <v>6</v>
      </c>
      <c r="D2022" t="s">
        <v>25</v>
      </c>
      <c r="E2022" t="s">
        <v>27</v>
      </c>
      <c r="F2022" s="2">
        <v>6953</v>
      </c>
      <c r="G2022" s="2">
        <f>Monthly_Growth!$C$19</f>
        <v>1066501</v>
      </c>
      <c r="H2022" s="5">
        <f>Monthly_Growth!$D$19</f>
        <v>0.10586538421657314</v>
      </c>
      <c r="I2022" s="15">
        <f>Yearly_Growth!$C$3</f>
        <v>0.11893113731787852</v>
      </c>
      <c r="J2022" s="15">
        <f>Yearly_Growth!$D$3</f>
        <v>0.09</v>
      </c>
      <c r="K2022">
        <f>Sales_Per_Representative!$C$20</f>
        <v>685380</v>
      </c>
      <c r="L2022">
        <f>Sales_Per_Rep_Yearly_Goal!$B$3</f>
        <v>689907.8</v>
      </c>
      <c r="M2022">
        <f>Sales_Per_Rep_Yearly_Goal!$C$3</f>
        <v>690000</v>
      </c>
    </row>
    <row r="2023" spans="1:13" x14ac:dyDescent="0.3">
      <c r="A2023" s="3">
        <v>45460</v>
      </c>
      <c r="B2023">
        <f t="shared" si="31"/>
        <v>2024</v>
      </c>
      <c r="C2023">
        <v>6</v>
      </c>
      <c r="D2023" t="s">
        <v>17</v>
      </c>
      <c r="E2023" t="s">
        <v>31</v>
      </c>
      <c r="F2023" s="2">
        <v>10540</v>
      </c>
      <c r="G2023" s="2">
        <f>Monthly_Growth!$C$19</f>
        <v>1066501</v>
      </c>
      <c r="H2023" s="5">
        <f>Monthly_Growth!$D$19</f>
        <v>0.10586538421657314</v>
      </c>
      <c r="I2023" s="15">
        <f>Yearly_Growth!$C$3</f>
        <v>0.11893113731787852</v>
      </c>
      <c r="J2023" s="15">
        <f>Yearly_Growth!$D$3</f>
        <v>0.09</v>
      </c>
      <c r="K2023">
        <f>Sales_Per_Representative!$C$21</f>
        <v>679421</v>
      </c>
      <c r="L2023">
        <f>Sales_Per_Rep_Yearly_Goal!$B$3</f>
        <v>689907.8</v>
      </c>
      <c r="M2023">
        <f>Sales_Per_Rep_Yearly_Goal!$C$3</f>
        <v>690000</v>
      </c>
    </row>
    <row r="2024" spans="1:13" x14ac:dyDescent="0.3">
      <c r="A2024" s="3">
        <v>45461</v>
      </c>
      <c r="B2024">
        <f t="shared" si="31"/>
        <v>2024</v>
      </c>
      <c r="C2024">
        <v>6</v>
      </c>
      <c r="D2024" t="s">
        <v>14</v>
      </c>
      <c r="E2024" t="s">
        <v>22</v>
      </c>
      <c r="F2024" s="2">
        <v>2621</v>
      </c>
      <c r="G2024" s="2">
        <f>Monthly_Growth!$C$19</f>
        <v>1066501</v>
      </c>
      <c r="H2024" s="5">
        <f>Monthly_Growth!$D$19</f>
        <v>0.10586538421657314</v>
      </c>
      <c r="I2024" s="15">
        <f>Yearly_Growth!$C$3</f>
        <v>0.11893113731787852</v>
      </c>
      <c r="J2024" s="15">
        <f>Yearly_Growth!$D$3</f>
        <v>0.09</v>
      </c>
      <c r="K2024">
        <f>Sales_Per_Representative!$C$23</f>
        <v>697444</v>
      </c>
      <c r="L2024">
        <f>Sales_Per_Rep_Yearly_Goal!$B$3</f>
        <v>689907.8</v>
      </c>
      <c r="M2024">
        <f>Sales_Per_Rep_Yearly_Goal!$C$3</f>
        <v>690000</v>
      </c>
    </row>
    <row r="2025" spans="1:13" x14ac:dyDescent="0.3">
      <c r="A2025" s="3">
        <v>45461</v>
      </c>
      <c r="B2025">
        <f t="shared" si="31"/>
        <v>2024</v>
      </c>
      <c r="C2025">
        <v>6</v>
      </c>
      <c r="D2025" t="s">
        <v>19</v>
      </c>
      <c r="E2025" t="s">
        <v>29</v>
      </c>
      <c r="F2025" s="2">
        <v>3080</v>
      </c>
      <c r="G2025" s="2">
        <f>Monthly_Growth!$C$19</f>
        <v>1066501</v>
      </c>
      <c r="H2025" s="5">
        <f>Monthly_Growth!$D$19</f>
        <v>0.10586538421657314</v>
      </c>
      <c r="I2025" s="15">
        <f>Yearly_Growth!$C$3</f>
        <v>0.11893113731787852</v>
      </c>
      <c r="J2025" s="15">
        <f>Yearly_Growth!$D$3</f>
        <v>0.09</v>
      </c>
      <c r="K2025">
        <f>Sales_Per_Representative!$C$28</f>
        <v>691917</v>
      </c>
      <c r="L2025">
        <f>Sales_Per_Rep_Yearly_Goal!$B$3</f>
        <v>689907.8</v>
      </c>
      <c r="M2025">
        <f>Sales_Per_Rep_Yearly_Goal!$C$3</f>
        <v>690000</v>
      </c>
    </row>
    <row r="2026" spans="1:13" x14ac:dyDescent="0.3">
      <c r="A2026" s="3">
        <v>45461</v>
      </c>
      <c r="B2026">
        <f t="shared" si="31"/>
        <v>2024</v>
      </c>
      <c r="C2026">
        <v>6</v>
      </c>
      <c r="D2026" t="s">
        <v>25</v>
      </c>
      <c r="E2026" t="s">
        <v>31</v>
      </c>
      <c r="F2026" s="2">
        <v>4534</v>
      </c>
      <c r="G2026" s="2">
        <f>Monthly_Growth!$C$19</f>
        <v>1066501</v>
      </c>
      <c r="H2026" s="5">
        <f>Monthly_Growth!$D$19</f>
        <v>0.10586538421657314</v>
      </c>
      <c r="I2026" s="15">
        <f>Yearly_Growth!$C$3</f>
        <v>0.11893113731787852</v>
      </c>
      <c r="J2026" s="15">
        <f>Yearly_Growth!$D$3</f>
        <v>0.09</v>
      </c>
      <c r="K2026">
        <f>Sales_Per_Representative!$C$21</f>
        <v>679421</v>
      </c>
      <c r="L2026">
        <f>Sales_Per_Rep_Yearly_Goal!$B$3</f>
        <v>689907.8</v>
      </c>
      <c r="M2026">
        <f>Sales_Per_Rep_Yearly_Goal!$C$3</f>
        <v>690000</v>
      </c>
    </row>
    <row r="2027" spans="1:13" x14ac:dyDescent="0.3">
      <c r="A2027" s="3">
        <v>45461</v>
      </c>
      <c r="B2027">
        <f t="shared" si="31"/>
        <v>2024</v>
      </c>
      <c r="C2027">
        <v>6</v>
      </c>
      <c r="D2027" t="s">
        <v>7</v>
      </c>
      <c r="E2027" t="s">
        <v>22</v>
      </c>
      <c r="F2027" s="2">
        <v>12582</v>
      </c>
      <c r="G2027" s="2">
        <f>Monthly_Growth!$C$19</f>
        <v>1066501</v>
      </c>
      <c r="H2027" s="5">
        <f>Monthly_Growth!$D$19</f>
        <v>0.10586538421657314</v>
      </c>
      <c r="I2027" s="15">
        <f>Yearly_Growth!$C$3</f>
        <v>0.11893113731787852</v>
      </c>
      <c r="J2027" s="15">
        <f>Yearly_Growth!$D$3</f>
        <v>0.09</v>
      </c>
      <c r="K2027">
        <f>Sales_Per_Representative!$C$23</f>
        <v>697444</v>
      </c>
      <c r="L2027">
        <f>Sales_Per_Rep_Yearly_Goal!$B$3</f>
        <v>689907.8</v>
      </c>
      <c r="M2027">
        <f>Sales_Per_Rep_Yearly_Goal!$C$3</f>
        <v>690000</v>
      </c>
    </row>
    <row r="2028" spans="1:13" x14ac:dyDescent="0.3">
      <c r="A2028" s="3">
        <v>45461</v>
      </c>
      <c r="B2028">
        <f t="shared" si="31"/>
        <v>2024</v>
      </c>
      <c r="C2028">
        <v>6</v>
      </c>
      <c r="D2028" t="s">
        <v>28</v>
      </c>
      <c r="E2028" t="s">
        <v>18</v>
      </c>
      <c r="F2028" s="2">
        <v>1955</v>
      </c>
      <c r="G2028" s="2">
        <f>Monthly_Growth!$C$19</f>
        <v>1066501</v>
      </c>
      <c r="H2028" s="5">
        <f>Monthly_Growth!$D$19</f>
        <v>0.10586538421657314</v>
      </c>
      <c r="I2028" s="15">
        <f>Yearly_Growth!$C$3</f>
        <v>0.11893113731787852</v>
      </c>
      <c r="J2028" s="15">
        <f>Yearly_Growth!$D$3</f>
        <v>0.09</v>
      </c>
      <c r="K2028">
        <f>Sales_Per_Representative!$C$24</f>
        <v>699277</v>
      </c>
      <c r="L2028">
        <f>Sales_Per_Rep_Yearly_Goal!$B$3</f>
        <v>689907.8</v>
      </c>
      <c r="M2028">
        <f>Sales_Per_Rep_Yearly_Goal!$C$3</f>
        <v>690000</v>
      </c>
    </row>
    <row r="2029" spans="1:13" x14ac:dyDescent="0.3">
      <c r="A2029" s="3">
        <v>45461</v>
      </c>
      <c r="B2029">
        <f t="shared" si="31"/>
        <v>2024</v>
      </c>
      <c r="C2029">
        <v>6</v>
      </c>
      <c r="D2029" t="s">
        <v>28</v>
      </c>
      <c r="E2029" t="s">
        <v>24</v>
      </c>
      <c r="F2029" s="2">
        <v>6944</v>
      </c>
      <c r="G2029" s="2">
        <f>Monthly_Growth!$C$19</f>
        <v>1066501</v>
      </c>
      <c r="H2029" s="5">
        <f>Monthly_Growth!$D$19</f>
        <v>0.10586538421657314</v>
      </c>
      <c r="I2029" s="15">
        <f>Yearly_Growth!$C$3</f>
        <v>0.11893113731787852</v>
      </c>
      <c r="J2029" s="15">
        <f>Yearly_Growth!$D$3</f>
        <v>0.09</v>
      </c>
      <c r="K2029">
        <f>Sales_Per_Representative!$C$17</f>
        <v>633956</v>
      </c>
      <c r="L2029">
        <f>Sales_Per_Rep_Yearly_Goal!$B$3</f>
        <v>689907.8</v>
      </c>
      <c r="M2029">
        <f>Sales_Per_Rep_Yearly_Goal!$C$3</f>
        <v>690000</v>
      </c>
    </row>
    <row r="2030" spans="1:13" x14ac:dyDescent="0.3">
      <c r="A2030" s="3">
        <v>45461</v>
      </c>
      <c r="B2030">
        <f t="shared" si="31"/>
        <v>2024</v>
      </c>
      <c r="C2030">
        <v>6</v>
      </c>
      <c r="D2030" t="s">
        <v>12</v>
      </c>
      <c r="E2030" t="s">
        <v>29</v>
      </c>
      <c r="F2030" s="2">
        <v>13974</v>
      </c>
      <c r="G2030" s="2">
        <f>Monthly_Growth!$C$19</f>
        <v>1066501</v>
      </c>
      <c r="H2030" s="5">
        <f>Monthly_Growth!$D$19</f>
        <v>0.10586538421657314</v>
      </c>
      <c r="I2030" s="15">
        <f>Yearly_Growth!$C$3</f>
        <v>0.11893113731787852</v>
      </c>
      <c r="J2030" s="15">
        <f>Yearly_Growth!$D$3</f>
        <v>0.09</v>
      </c>
      <c r="K2030">
        <f>Sales_Per_Representative!$C$28</f>
        <v>691917</v>
      </c>
      <c r="L2030">
        <f>Sales_Per_Rep_Yearly_Goal!$B$3</f>
        <v>689907.8</v>
      </c>
      <c r="M2030">
        <f>Sales_Per_Rep_Yearly_Goal!$C$3</f>
        <v>690000</v>
      </c>
    </row>
    <row r="2031" spans="1:13" x14ac:dyDescent="0.3">
      <c r="A2031" s="3">
        <v>45462</v>
      </c>
      <c r="B2031">
        <f t="shared" si="31"/>
        <v>2024</v>
      </c>
      <c r="C2031">
        <v>6</v>
      </c>
      <c r="D2031" t="s">
        <v>19</v>
      </c>
      <c r="E2031" t="s">
        <v>31</v>
      </c>
      <c r="F2031" s="2">
        <v>10840</v>
      </c>
      <c r="G2031" s="2">
        <f>Monthly_Growth!$C$19</f>
        <v>1066501</v>
      </c>
      <c r="H2031" s="5">
        <f>Monthly_Growth!$D$19</f>
        <v>0.10586538421657314</v>
      </c>
      <c r="I2031" s="15">
        <f>Yearly_Growth!$C$3</f>
        <v>0.11893113731787852</v>
      </c>
      <c r="J2031" s="15">
        <f>Yearly_Growth!$D$3</f>
        <v>0.09</v>
      </c>
      <c r="K2031">
        <f>Sales_Per_Representative!$C$21</f>
        <v>679421</v>
      </c>
      <c r="L2031">
        <f>Sales_Per_Rep_Yearly_Goal!$B$3</f>
        <v>689907.8</v>
      </c>
      <c r="M2031">
        <f>Sales_Per_Rep_Yearly_Goal!$C$3</f>
        <v>690000</v>
      </c>
    </row>
    <row r="2032" spans="1:13" x14ac:dyDescent="0.3">
      <c r="A2032" s="3">
        <v>45462</v>
      </c>
      <c r="B2032">
        <f t="shared" si="31"/>
        <v>2024</v>
      </c>
      <c r="C2032">
        <v>6</v>
      </c>
      <c r="D2032" t="s">
        <v>23</v>
      </c>
      <c r="E2032" t="s">
        <v>22</v>
      </c>
      <c r="F2032" s="2">
        <v>5527</v>
      </c>
      <c r="G2032" s="2">
        <f>Monthly_Growth!$C$19</f>
        <v>1066501</v>
      </c>
      <c r="H2032" s="5">
        <f>Monthly_Growth!$D$19</f>
        <v>0.10586538421657314</v>
      </c>
      <c r="I2032" s="15">
        <f>Yearly_Growth!$C$3</f>
        <v>0.11893113731787852</v>
      </c>
      <c r="J2032" s="15">
        <f>Yearly_Growth!$D$3</f>
        <v>0.09</v>
      </c>
      <c r="K2032">
        <f>Sales_Per_Representative!$C$23</f>
        <v>697444</v>
      </c>
      <c r="L2032">
        <f>Sales_Per_Rep_Yearly_Goal!$B$3</f>
        <v>689907.8</v>
      </c>
      <c r="M2032">
        <f>Sales_Per_Rep_Yearly_Goal!$C$3</f>
        <v>690000</v>
      </c>
    </row>
    <row r="2033" spans="1:13" x14ac:dyDescent="0.3">
      <c r="A2033" s="3">
        <v>45462</v>
      </c>
      <c r="B2033">
        <f t="shared" si="31"/>
        <v>2024</v>
      </c>
      <c r="C2033">
        <v>6</v>
      </c>
      <c r="D2033" t="s">
        <v>28</v>
      </c>
      <c r="E2033" t="s">
        <v>8</v>
      </c>
      <c r="F2033" s="2">
        <v>1247</v>
      </c>
      <c r="G2033" s="2">
        <f>Monthly_Growth!$C$19</f>
        <v>1066501</v>
      </c>
      <c r="H2033" s="5">
        <f>Monthly_Growth!$D$19</f>
        <v>0.10586538421657314</v>
      </c>
      <c r="I2033" s="15">
        <f>Yearly_Growth!$C$3</f>
        <v>0.11893113731787852</v>
      </c>
      <c r="J2033" s="15">
        <f>Yearly_Growth!$D$3</f>
        <v>0.09</v>
      </c>
      <c r="K2033">
        <f>Sales_Per_Representative!$C$30</f>
        <v>780006</v>
      </c>
      <c r="L2033">
        <f>Sales_Per_Rep_Yearly_Goal!$B$3</f>
        <v>689907.8</v>
      </c>
      <c r="M2033">
        <f>Sales_Per_Rep_Yearly_Goal!$C$3</f>
        <v>690000</v>
      </c>
    </row>
    <row r="2034" spans="1:13" x14ac:dyDescent="0.3">
      <c r="A2034" s="3">
        <v>45462</v>
      </c>
      <c r="B2034">
        <f t="shared" si="31"/>
        <v>2024</v>
      </c>
      <c r="C2034">
        <v>6</v>
      </c>
      <c r="D2034" t="s">
        <v>28</v>
      </c>
      <c r="E2034" t="s">
        <v>20</v>
      </c>
      <c r="F2034" s="2">
        <v>10374</v>
      </c>
      <c r="G2034" s="2">
        <f>Monthly_Growth!$C$19</f>
        <v>1066501</v>
      </c>
      <c r="H2034" s="5">
        <f>Monthly_Growth!$D$19</f>
        <v>0.10586538421657314</v>
      </c>
      <c r="I2034" s="15">
        <f>Yearly_Growth!$C$3</f>
        <v>0.11893113731787852</v>
      </c>
      <c r="J2034" s="15">
        <f>Yearly_Growth!$D$3</f>
        <v>0.09</v>
      </c>
      <c r="K2034">
        <f>Sales_Per_Representative!$C$29</f>
        <v>753085</v>
      </c>
      <c r="L2034">
        <f>Sales_Per_Rep_Yearly_Goal!$B$3</f>
        <v>689907.8</v>
      </c>
      <c r="M2034">
        <f>Sales_Per_Rep_Yearly_Goal!$C$3</f>
        <v>690000</v>
      </c>
    </row>
    <row r="2035" spans="1:13" x14ac:dyDescent="0.3">
      <c r="A2035" s="3">
        <v>45462</v>
      </c>
      <c r="B2035">
        <f t="shared" si="31"/>
        <v>2024</v>
      </c>
      <c r="C2035">
        <v>6</v>
      </c>
      <c r="D2035" t="s">
        <v>28</v>
      </c>
      <c r="E2035" t="s">
        <v>20</v>
      </c>
      <c r="F2035" s="2">
        <v>11212</v>
      </c>
      <c r="G2035" s="2">
        <f>Monthly_Growth!$C$19</f>
        <v>1066501</v>
      </c>
      <c r="H2035" s="5">
        <f>Monthly_Growth!$D$19</f>
        <v>0.10586538421657314</v>
      </c>
      <c r="I2035" s="15">
        <f>Yearly_Growth!$C$3</f>
        <v>0.11893113731787852</v>
      </c>
      <c r="J2035" s="15">
        <f>Yearly_Growth!$D$3</f>
        <v>0.09</v>
      </c>
      <c r="K2035">
        <f>Sales_Per_Representative!$C$29</f>
        <v>753085</v>
      </c>
      <c r="L2035">
        <f>Sales_Per_Rep_Yearly_Goal!$B$3</f>
        <v>689907.8</v>
      </c>
      <c r="M2035">
        <f>Sales_Per_Rep_Yearly_Goal!$C$3</f>
        <v>690000</v>
      </c>
    </row>
    <row r="2036" spans="1:13" x14ac:dyDescent="0.3">
      <c r="A2036" s="3">
        <v>45462</v>
      </c>
      <c r="B2036">
        <f t="shared" si="31"/>
        <v>2024</v>
      </c>
      <c r="C2036">
        <v>6</v>
      </c>
      <c r="D2036" t="s">
        <v>17</v>
      </c>
      <c r="E2036" t="s">
        <v>32</v>
      </c>
      <c r="F2036" s="2">
        <v>7463</v>
      </c>
      <c r="G2036" s="2">
        <f>Monthly_Growth!$C$19</f>
        <v>1066501</v>
      </c>
      <c r="H2036" s="5">
        <f>Monthly_Growth!$D$19</f>
        <v>0.10586538421657314</v>
      </c>
      <c r="I2036" s="15">
        <f>Yearly_Growth!$C$3</f>
        <v>0.11893113731787852</v>
      </c>
      <c r="J2036" s="15">
        <f>Yearly_Growth!$D$3</f>
        <v>0.09</v>
      </c>
      <c r="K2036">
        <f>Sales_Per_Representative!$C$18</f>
        <v>783907</v>
      </c>
      <c r="L2036">
        <f>Sales_Per_Rep_Yearly_Goal!$B$3</f>
        <v>689907.8</v>
      </c>
      <c r="M2036">
        <f>Sales_Per_Rep_Yearly_Goal!$C$3</f>
        <v>690000</v>
      </c>
    </row>
    <row r="2037" spans="1:13" x14ac:dyDescent="0.3">
      <c r="A2037" s="3">
        <v>45462</v>
      </c>
      <c r="B2037">
        <f t="shared" si="31"/>
        <v>2024</v>
      </c>
      <c r="C2037">
        <v>6</v>
      </c>
      <c r="D2037" t="s">
        <v>12</v>
      </c>
      <c r="E2037" t="s">
        <v>31</v>
      </c>
      <c r="F2037" s="2">
        <v>5733</v>
      </c>
      <c r="G2037" s="2">
        <f>Monthly_Growth!$C$19</f>
        <v>1066501</v>
      </c>
      <c r="H2037" s="5">
        <f>Monthly_Growth!$D$19</f>
        <v>0.10586538421657314</v>
      </c>
      <c r="I2037" s="15">
        <f>Yearly_Growth!$C$3</f>
        <v>0.11893113731787852</v>
      </c>
      <c r="J2037" s="15">
        <f>Yearly_Growth!$D$3</f>
        <v>0.09</v>
      </c>
      <c r="K2037">
        <f>Sales_Per_Representative!$C$21</f>
        <v>679421</v>
      </c>
      <c r="L2037">
        <f>Sales_Per_Rep_Yearly_Goal!$B$3</f>
        <v>689907.8</v>
      </c>
      <c r="M2037">
        <f>Sales_Per_Rep_Yearly_Goal!$C$3</f>
        <v>690000</v>
      </c>
    </row>
    <row r="2038" spans="1:13" x14ac:dyDescent="0.3">
      <c r="A2038" s="3">
        <v>45463</v>
      </c>
      <c r="B2038">
        <f t="shared" si="31"/>
        <v>2024</v>
      </c>
      <c r="C2038">
        <v>6</v>
      </c>
      <c r="D2038" t="s">
        <v>23</v>
      </c>
      <c r="E2038" t="s">
        <v>29</v>
      </c>
      <c r="F2038" s="2">
        <v>9001</v>
      </c>
      <c r="G2038" s="2">
        <f>Monthly_Growth!$C$19</f>
        <v>1066501</v>
      </c>
      <c r="H2038" s="5">
        <f>Monthly_Growth!$D$19</f>
        <v>0.10586538421657314</v>
      </c>
      <c r="I2038" s="15">
        <f>Yearly_Growth!$C$3</f>
        <v>0.11893113731787852</v>
      </c>
      <c r="J2038" s="15">
        <f>Yearly_Growth!$D$3</f>
        <v>0.09</v>
      </c>
      <c r="K2038">
        <f>Sales_Per_Representative!$C$28</f>
        <v>691917</v>
      </c>
      <c r="L2038">
        <f>Sales_Per_Rep_Yearly_Goal!$B$3</f>
        <v>689907.8</v>
      </c>
      <c r="M2038">
        <f>Sales_Per_Rep_Yearly_Goal!$C$3</f>
        <v>690000</v>
      </c>
    </row>
    <row r="2039" spans="1:13" x14ac:dyDescent="0.3">
      <c r="A2039" s="3">
        <v>45463</v>
      </c>
      <c r="B2039">
        <f t="shared" si="31"/>
        <v>2024</v>
      </c>
      <c r="C2039">
        <v>6</v>
      </c>
      <c r="D2039" t="s">
        <v>25</v>
      </c>
      <c r="E2039" t="s">
        <v>18</v>
      </c>
      <c r="F2039" s="2">
        <v>10371</v>
      </c>
      <c r="G2039" s="2">
        <f>Monthly_Growth!$C$19</f>
        <v>1066501</v>
      </c>
      <c r="H2039" s="5">
        <f>Monthly_Growth!$D$19</f>
        <v>0.10586538421657314</v>
      </c>
      <c r="I2039" s="15">
        <f>Yearly_Growth!$C$3</f>
        <v>0.11893113731787852</v>
      </c>
      <c r="J2039" s="15">
        <f>Yearly_Growth!$D$3</f>
        <v>0.09</v>
      </c>
      <c r="K2039">
        <f>Sales_Per_Representative!$C$24</f>
        <v>699277</v>
      </c>
      <c r="L2039">
        <f>Sales_Per_Rep_Yearly_Goal!$B$3</f>
        <v>689907.8</v>
      </c>
      <c r="M2039">
        <f>Sales_Per_Rep_Yearly_Goal!$C$3</f>
        <v>690000</v>
      </c>
    </row>
    <row r="2040" spans="1:13" x14ac:dyDescent="0.3">
      <c r="A2040" s="3">
        <v>45464</v>
      </c>
      <c r="B2040">
        <f t="shared" si="31"/>
        <v>2024</v>
      </c>
      <c r="C2040">
        <v>6</v>
      </c>
      <c r="D2040" t="s">
        <v>19</v>
      </c>
      <c r="E2040" t="s">
        <v>18</v>
      </c>
      <c r="F2040" s="2">
        <v>1690</v>
      </c>
      <c r="G2040" s="2">
        <f>Monthly_Growth!$C$19</f>
        <v>1066501</v>
      </c>
      <c r="H2040" s="5">
        <f>Monthly_Growth!$D$19</f>
        <v>0.10586538421657314</v>
      </c>
      <c r="I2040" s="15">
        <f>Yearly_Growth!$C$3</f>
        <v>0.11893113731787852</v>
      </c>
      <c r="J2040" s="15">
        <f>Yearly_Growth!$D$3</f>
        <v>0.09</v>
      </c>
      <c r="K2040">
        <f>Sales_Per_Representative!$C$24</f>
        <v>699277</v>
      </c>
      <c r="L2040">
        <f>Sales_Per_Rep_Yearly_Goal!$B$3</f>
        <v>689907.8</v>
      </c>
      <c r="M2040">
        <f>Sales_Per_Rep_Yearly_Goal!$C$3</f>
        <v>690000</v>
      </c>
    </row>
    <row r="2041" spans="1:13" x14ac:dyDescent="0.3">
      <c r="A2041" s="3">
        <v>45464</v>
      </c>
      <c r="B2041">
        <f t="shared" si="31"/>
        <v>2024</v>
      </c>
      <c r="C2041">
        <v>6</v>
      </c>
      <c r="D2041" t="s">
        <v>25</v>
      </c>
      <c r="E2041" t="s">
        <v>18</v>
      </c>
      <c r="F2041" s="2">
        <v>10374</v>
      </c>
      <c r="G2041" s="2">
        <f>Monthly_Growth!$C$19</f>
        <v>1066501</v>
      </c>
      <c r="H2041" s="5">
        <f>Monthly_Growth!$D$19</f>
        <v>0.10586538421657314</v>
      </c>
      <c r="I2041" s="15">
        <f>Yearly_Growth!$C$3</f>
        <v>0.11893113731787852</v>
      </c>
      <c r="J2041" s="15">
        <f>Yearly_Growth!$D$3</f>
        <v>0.09</v>
      </c>
      <c r="K2041">
        <f>Sales_Per_Representative!$C$24</f>
        <v>699277</v>
      </c>
      <c r="L2041">
        <f>Sales_Per_Rep_Yearly_Goal!$B$3</f>
        <v>689907.8</v>
      </c>
      <c r="M2041">
        <f>Sales_Per_Rep_Yearly_Goal!$C$3</f>
        <v>690000</v>
      </c>
    </row>
    <row r="2042" spans="1:13" x14ac:dyDescent="0.3">
      <c r="A2042" s="3">
        <v>45464</v>
      </c>
      <c r="B2042">
        <f t="shared" si="31"/>
        <v>2024</v>
      </c>
      <c r="C2042">
        <v>6</v>
      </c>
      <c r="D2042" t="s">
        <v>17</v>
      </c>
      <c r="E2042" t="s">
        <v>31</v>
      </c>
      <c r="F2042" s="2">
        <v>12204</v>
      </c>
      <c r="G2042" s="2">
        <f>Monthly_Growth!$C$19</f>
        <v>1066501</v>
      </c>
      <c r="H2042" s="5">
        <f>Monthly_Growth!$D$19</f>
        <v>0.10586538421657314</v>
      </c>
      <c r="I2042" s="15">
        <f>Yearly_Growth!$C$3</f>
        <v>0.11893113731787852</v>
      </c>
      <c r="J2042" s="15">
        <f>Yearly_Growth!$D$3</f>
        <v>0.09</v>
      </c>
      <c r="K2042">
        <f>Sales_Per_Representative!$C$21</f>
        <v>679421</v>
      </c>
      <c r="L2042">
        <f>Sales_Per_Rep_Yearly_Goal!$B$3</f>
        <v>689907.8</v>
      </c>
      <c r="M2042">
        <f>Sales_Per_Rep_Yearly_Goal!$C$3</f>
        <v>690000</v>
      </c>
    </row>
    <row r="2043" spans="1:13" x14ac:dyDescent="0.3">
      <c r="A2043" s="3">
        <v>45465</v>
      </c>
      <c r="B2043">
        <f t="shared" si="31"/>
        <v>2024</v>
      </c>
      <c r="C2043">
        <v>6</v>
      </c>
      <c r="D2043" t="s">
        <v>23</v>
      </c>
      <c r="E2043" t="s">
        <v>26</v>
      </c>
      <c r="F2043" s="2">
        <v>6877</v>
      </c>
      <c r="G2043" s="2">
        <f>Monthly_Growth!$C$19</f>
        <v>1066501</v>
      </c>
      <c r="H2043" s="5">
        <f>Monthly_Growth!$D$19</f>
        <v>0.10586538421657314</v>
      </c>
      <c r="I2043" s="15">
        <f>Yearly_Growth!$C$3</f>
        <v>0.11893113731787852</v>
      </c>
      <c r="J2043" s="15">
        <f>Yearly_Growth!$D$3</f>
        <v>0.09</v>
      </c>
      <c r="K2043">
        <f>Sales_Per_Representative!$C$31</f>
        <v>664244</v>
      </c>
      <c r="L2043">
        <f>Sales_Per_Rep_Yearly_Goal!$B$3</f>
        <v>689907.8</v>
      </c>
      <c r="M2043">
        <f>Sales_Per_Rep_Yearly_Goal!$C$3</f>
        <v>690000</v>
      </c>
    </row>
    <row r="2044" spans="1:13" x14ac:dyDescent="0.3">
      <c r="A2044" s="3">
        <v>45465</v>
      </c>
      <c r="B2044">
        <f t="shared" si="31"/>
        <v>2024</v>
      </c>
      <c r="C2044">
        <v>6</v>
      </c>
      <c r="D2044" t="s">
        <v>28</v>
      </c>
      <c r="E2044" t="s">
        <v>31</v>
      </c>
      <c r="F2044" s="2">
        <v>12436</v>
      </c>
      <c r="G2044" s="2">
        <f>Monthly_Growth!$C$19</f>
        <v>1066501</v>
      </c>
      <c r="H2044" s="5">
        <f>Monthly_Growth!$D$19</f>
        <v>0.10586538421657314</v>
      </c>
      <c r="I2044" s="15">
        <f>Yearly_Growth!$C$3</f>
        <v>0.11893113731787852</v>
      </c>
      <c r="J2044" s="15">
        <f>Yearly_Growth!$D$3</f>
        <v>0.09</v>
      </c>
      <c r="K2044">
        <f>Sales_Per_Representative!$C$21</f>
        <v>679421</v>
      </c>
      <c r="L2044">
        <f>Sales_Per_Rep_Yearly_Goal!$B$3</f>
        <v>689907.8</v>
      </c>
      <c r="M2044">
        <f>Sales_Per_Rep_Yearly_Goal!$C$3</f>
        <v>690000</v>
      </c>
    </row>
    <row r="2045" spans="1:13" x14ac:dyDescent="0.3">
      <c r="A2045" s="3">
        <v>45465</v>
      </c>
      <c r="B2045">
        <f t="shared" si="31"/>
        <v>2024</v>
      </c>
      <c r="C2045">
        <v>6</v>
      </c>
      <c r="D2045" t="s">
        <v>17</v>
      </c>
      <c r="E2045" t="s">
        <v>20</v>
      </c>
      <c r="F2045" s="2">
        <v>8395</v>
      </c>
      <c r="G2045" s="2">
        <f>Monthly_Growth!$C$19</f>
        <v>1066501</v>
      </c>
      <c r="H2045" s="5">
        <f>Monthly_Growth!$D$19</f>
        <v>0.10586538421657314</v>
      </c>
      <c r="I2045" s="15">
        <f>Yearly_Growth!$C$3</f>
        <v>0.11893113731787852</v>
      </c>
      <c r="J2045" s="15">
        <f>Yearly_Growth!$D$3</f>
        <v>0.09</v>
      </c>
      <c r="K2045">
        <f>Sales_Per_Representative!$C$29</f>
        <v>753085</v>
      </c>
      <c r="L2045">
        <f>Sales_Per_Rep_Yearly_Goal!$B$3</f>
        <v>689907.8</v>
      </c>
      <c r="M2045">
        <f>Sales_Per_Rep_Yearly_Goal!$C$3</f>
        <v>690000</v>
      </c>
    </row>
    <row r="2046" spans="1:13" x14ac:dyDescent="0.3">
      <c r="A2046" s="3">
        <v>45465</v>
      </c>
      <c r="B2046">
        <f t="shared" si="31"/>
        <v>2024</v>
      </c>
      <c r="C2046">
        <v>6</v>
      </c>
      <c r="D2046" t="s">
        <v>12</v>
      </c>
      <c r="E2046" t="s">
        <v>33</v>
      </c>
      <c r="F2046" s="2">
        <v>1656</v>
      </c>
      <c r="G2046" s="2">
        <f>Monthly_Growth!$C$19</f>
        <v>1066501</v>
      </c>
      <c r="H2046" s="5">
        <f>Monthly_Growth!$D$19</f>
        <v>0.10586538421657314</v>
      </c>
      <c r="I2046" s="15">
        <f>Yearly_Growth!$C$3</f>
        <v>0.11893113731787852</v>
      </c>
      <c r="J2046" s="15">
        <f>Yearly_Growth!$D$3</f>
        <v>0.09</v>
      </c>
      <c r="K2046">
        <f>Sales_Per_Representative!$C$26</f>
        <v>501360</v>
      </c>
      <c r="L2046">
        <f>Sales_Per_Rep_Yearly_Goal!$B$3</f>
        <v>689907.8</v>
      </c>
      <c r="M2046">
        <f>Sales_Per_Rep_Yearly_Goal!$C$3</f>
        <v>690000</v>
      </c>
    </row>
    <row r="2047" spans="1:13" x14ac:dyDescent="0.3">
      <c r="A2047" s="3">
        <v>45466</v>
      </c>
      <c r="B2047">
        <f t="shared" si="31"/>
        <v>2024</v>
      </c>
      <c r="C2047">
        <v>6</v>
      </c>
      <c r="D2047" t="s">
        <v>14</v>
      </c>
      <c r="E2047" t="s">
        <v>31</v>
      </c>
      <c r="F2047" s="2">
        <v>7724</v>
      </c>
      <c r="G2047" s="2">
        <f>Monthly_Growth!$C$19</f>
        <v>1066501</v>
      </c>
      <c r="H2047" s="5">
        <f>Monthly_Growth!$D$19</f>
        <v>0.10586538421657314</v>
      </c>
      <c r="I2047" s="15">
        <f>Yearly_Growth!$C$3</f>
        <v>0.11893113731787852</v>
      </c>
      <c r="J2047" s="15">
        <f>Yearly_Growth!$D$3</f>
        <v>0.09</v>
      </c>
      <c r="K2047">
        <f>Sales_Per_Representative!$C$21</f>
        <v>679421</v>
      </c>
      <c r="L2047">
        <f>Sales_Per_Rep_Yearly_Goal!$B$3</f>
        <v>689907.8</v>
      </c>
      <c r="M2047">
        <f>Sales_Per_Rep_Yearly_Goal!$C$3</f>
        <v>690000</v>
      </c>
    </row>
    <row r="2048" spans="1:13" x14ac:dyDescent="0.3">
      <c r="A2048" s="3">
        <v>45466</v>
      </c>
      <c r="B2048">
        <f t="shared" si="31"/>
        <v>2024</v>
      </c>
      <c r="C2048">
        <v>6</v>
      </c>
      <c r="D2048" t="s">
        <v>19</v>
      </c>
      <c r="E2048" t="s">
        <v>32</v>
      </c>
      <c r="F2048" s="2">
        <v>8777</v>
      </c>
      <c r="G2048" s="2">
        <f>Monthly_Growth!$C$19</f>
        <v>1066501</v>
      </c>
      <c r="H2048" s="5">
        <f>Monthly_Growth!$D$19</f>
        <v>0.10586538421657314</v>
      </c>
      <c r="I2048" s="15">
        <f>Yearly_Growth!$C$3</f>
        <v>0.11893113731787852</v>
      </c>
      <c r="J2048" s="15">
        <f>Yearly_Growth!$D$3</f>
        <v>0.09</v>
      </c>
      <c r="K2048">
        <f>Sales_Per_Representative!$C$18</f>
        <v>783907</v>
      </c>
      <c r="L2048">
        <f>Sales_Per_Rep_Yearly_Goal!$B$3</f>
        <v>689907.8</v>
      </c>
      <c r="M2048">
        <f>Sales_Per_Rep_Yearly_Goal!$C$3</f>
        <v>690000</v>
      </c>
    </row>
    <row r="2049" spans="1:13" x14ac:dyDescent="0.3">
      <c r="A2049" s="3">
        <v>45466</v>
      </c>
      <c r="B2049">
        <f t="shared" si="31"/>
        <v>2024</v>
      </c>
      <c r="C2049">
        <v>6</v>
      </c>
      <c r="D2049" t="s">
        <v>17</v>
      </c>
      <c r="E2049" t="s">
        <v>27</v>
      </c>
      <c r="F2049" s="2">
        <v>10554</v>
      </c>
      <c r="G2049" s="2">
        <f>Monthly_Growth!$C$19</f>
        <v>1066501</v>
      </c>
      <c r="H2049" s="5">
        <f>Monthly_Growth!$D$19</f>
        <v>0.10586538421657314</v>
      </c>
      <c r="I2049" s="15">
        <f>Yearly_Growth!$C$3</f>
        <v>0.11893113731787852</v>
      </c>
      <c r="J2049" s="15">
        <f>Yearly_Growth!$D$3</f>
        <v>0.09</v>
      </c>
      <c r="K2049">
        <f>Sales_Per_Representative!$C$20</f>
        <v>685380</v>
      </c>
      <c r="L2049">
        <f>Sales_Per_Rep_Yearly_Goal!$B$3</f>
        <v>689907.8</v>
      </c>
      <c r="M2049">
        <f>Sales_Per_Rep_Yearly_Goal!$C$3</f>
        <v>690000</v>
      </c>
    </row>
    <row r="2050" spans="1:13" x14ac:dyDescent="0.3">
      <c r="A2050" s="3">
        <v>45467</v>
      </c>
      <c r="B2050">
        <f t="shared" si="31"/>
        <v>2024</v>
      </c>
      <c r="C2050">
        <v>6</v>
      </c>
      <c r="D2050" t="s">
        <v>23</v>
      </c>
      <c r="E2050" t="s">
        <v>29</v>
      </c>
      <c r="F2050" s="2">
        <v>10279</v>
      </c>
      <c r="G2050" s="2">
        <f>Monthly_Growth!$C$19</f>
        <v>1066501</v>
      </c>
      <c r="H2050" s="5">
        <f>Monthly_Growth!$D$19</f>
        <v>0.10586538421657314</v>
      </c>
      <c r="I2050" s="15">
        <f>Yearly_Growth!$C$3</f>
        <v>0.11893113731787852</v>
      </c>
      <c r="J2050" s="15">
        <f>Yearly_Growth!$D$3</f>
        <v>0.09</v>
      </c>
      <c r="K2050">
        <f>Sales_Per_Representative!$C$28</f>
        <v>691917</v>
      </c>
      <c r="L2050">
        <f>Sales_Per_Rep_Yearly_Goal!$B$3</f>
        <v>689907.8</v>
      </c>
      <c r="M2050">
        <f>Sales_Per_Rep_Yearly_Goal!$C$3</f>
        <v>690000</v>
      </c>
    </row>
    <row r="2051" spans="1:13" x14ac:dyDescent="0.3">
      <c r="A2051" s="3">
        <v>45467</v>
      </c>
      <c r="B2051">
        <f t="shared" ref="B2051:B2114" si="32">YEAR(A2051)</f>
        <v>2024</v>
      </c>
      <c r="C2051">
        <v>6</v>
      </c>
      <c r="D2051" t="s">
        <v>25</v>
      </c>
      <c r="E2051" t="s">
        <v>33</v>
      </c>
      <c r="F2051" s="2">
        <v>2140</v>
      </c>
      <c r="G2051" s="2">
        <f>Monthly_Growth!$C$19</f>
        <v>1066501</v>
      </c>
      <c r="H2051" s="5">
        <f>Monthly_Growth!$D$19</f>
        <v>0.10586538421657314</v>
      </c>
      <c r="I2051" s="15">
        <f>Yearly_Growth!$C$3</f>
        <v>0.11893113731787852</v>
      </c>
      <c r="J2051" s="15">
        <f>Yearly_Growth!$D$3</f>
        <v>0.09</v>
      </c>
      <c r="K2051">
        <f>Sales_Per_Representative!$C$26</f>
        <v>501360</v>
      </c>
      <c r="L2051">
        <f>Sales_Per_Rep_Yearly_Goal!$B$3</f>
        <v>689907.8</v>
      </c>
      <c r="M2051">
        <f>Sales_Per_Rep_Yearly_Goal!$C$3</f>
        <v>690000</v>
      </c>
    </row>
    <row r="2052" spans="1:13" x14ac:dyDescent="0.3">
      <c r="A2052" s="3">
        <v>45467</v>
      </c>
      <c r="B2052">
        <f t="shared" si="32"/>
        <v>2024</v>
      </c>
      <c r="C2052">
        <v>6</v>
      </c>
      <c r="D2052" t="s">
        <v>7</v>
      </c>
      <c r="E2052" t="s">
        <v>15</v>
      </c>
      <c r="F2052" s="2">
        <v>13912</v>
      </c>
      <c r="G2052" s="2">
        <f>Monthly_Growth!$C$19</f>
        <v>1066501</v>
      </c>
      <c r="H2052" s="5">
        <f>Monthly_Growth!$D$19</f>
        <v>0.10586538421657314</v>
      </c>
      <c r="I2052" s="15">
        <f>Yearly_Growth!$C$3</f>
        <v>0.11893113731787852</v>
      </c>
      <c r="J2052" s="15">
        <f>Yearly_Growth!$D$3</f>
        <v>0.09</v>
      </c>
      <c r="K2052">
        <f>Sales_Per_Representative!$C$27</f>
        <v>617202</v>
      </c>
      <c r="L2052">
        <f>Sales_Per_Rep_Yearly_Goal!$B$3</f>
        <v>689907.8</v>
      </c>
      <c r="M2052">
        <f>Sales_Per_Rep_Yearly_Goal!$C$3</f>
        <v>690000</v>
      </c>
    </row>
    <row r="2053" spans="1:13" x14ac:dyDescent="0.3">
      <c r="A2053" s="3">
        <v>45467</v>
      </c>
      <c r="B2053">
        <f t="shared" si="32"/>
        <v>2024</v>
      </c>
      <c r="C2053">
        <v>6</v>
      </c>
      <c r="D2053" t="s">
        <v>12</v>
      </c>
      <c r="E2053" t="s">
        <v>22</v>
      </c>
      <c r="F2053" s="2">
        <v>12360</v>
      </c>
      <c r="G2053" s="2">
        <f>Monthly_Growth!$C$19</f>
        <v>1066501</v>
      </c>
      <c r="H2053" s="5">
        <f>Monthly_Growth!$D$19</f>
        <v>0.10586538421657314</v>
      </c>
      <c r="I2053" s="15">
        <f>Yearly_Growth!$C$3</f>
        <v>0.11893113731787852</v>
      </c>
      <c r="J2053" s="15">
        <f>Yearly_Growth!$D$3</f>
        <v>0.09</v>
      </c>
      <c r="K2053">
        <f>Sales_Per_Representative!$C$23</f>
        <v>697444</v>
      </c>
      <c r="L2053">
        <f>Sales_Per_Rep_Yearly_Goal!$B$3</f>
        <v>689907.8</v>
      </c>
      <c r="M2053">
        <f>Sales_Per_Rep_Yearly_Goal!$C$3</f>
        <v>690000</v>
      </c>
    </row>
    <row r="2054" spans="1:13" x14ac:dyDescent="0.3">
      <c r="A2054" s="3">
        <v>45468</v>
      </c>
      <c r="B2054">
        <f t="shared" si="32"/>
        <v>2024</v>
      </c>
      <c r="C2054">
        <v>6</v>
      </c>
      <c r="D2054" t="s">
        <v>12</v>
      </c>
      <c r="E2054" t="s">
        <v>30</v>
      </c>
      <c r="F2054" s="2">
        <v>4676</v>
      </c>
      <c r="G2054" s="2">
        <f>Monthly_Growth!$C$19</f>
        <v>1066501</v>
      </c>
      <c r="H2054" s="5">
        <f>Monthly_Growth!$D$19</f>
        <v>0.10586538421657314</v>
      </c>
      <c r="I2054" s="15">
        <f>Yearly_Growth!$C$3</f>
        <v>0.11893113731787852</v>
      </c>
      <c r="J2054" s="15">
        <f>Yearly_Growth!$D$3</f>
        <v>0.09</v>
      </c>
      <c r="K2054">
        <f>Sales_Per_Representative!$C$22</f>
        <v>700142</v>
      </c>
      <c r="L2054">
        <f>Sales_Per_Rep_Yearly_Goal!$B$3</f>
        <v>689907.8</v>
      </c>
      <c r="M2054">
        <f>Sales_Per_Rep_Yearly_Goal!$C$3</f>
        <v>690000</v>
      </c>
    </row>
    <row r="2055" spans="1:13" x14ac:dyDescent="0.3">
      <c r="A2055" s="3">
        <v>45469</v>
      </c>
      <c r="B2055">
        <f t="shared" si="32"/>
        <v>2024</v>
      </c>
      <c r="C2055">
        <v>6</v>
      </c>
      <c r="D2055" t="s">
        <v>14</v>
      </c>
      <c r="E2055" t="s">
        <v>27</v>
      </c>
      <c r="F2055" s="2">
        <v>6603</v>
      </c>
      <c r="G2055" s="2">
        <f>Monthly_Growth!$C$19</f>
        <v>1066501</v>
      </c>
      <c r="H2055" s="5">
        <f>Monthly_Growth!$D$19</f>
        <v>0.10586538421657314</v>
      </c>
      <c r="I2055" s="15">
        <f>Yearly_Growth!$C$3</f>
        <v>0.11893113731787852</v>
      </c>
      <c r="J2055" s="15">
        <f>Yearly_Growth!$D$3</f>
        <v>0.09</v>
      </c>
      <c r="K2055">
        <f>Sales_Per_Representative!$C$20</f>
        <v>685380</v>
      </c>
      <c r="L2055">
        <f>Sales_Per_Rep_Yearly_Goal!$B$3</f>
        <v>689907.8</v>
      </c>
      <c r="M2055">
        <f>Sales_Per_Rep_Yearly_Goal!$C$3</f>
        <v>690000</v>
      </c>
    </row>
    <row r="2056" spans="1:13" x14ac:dyDescent="0.3">
      <c r="A2056" s="3">
        <v>45469</v>
      </c>
      <c r="B2056">
        <f t="shared" si="32"/>
        <v>2024</v>
      </c>
      <c r="C2056">
        <v>6</v>
      </c>
      <c r="D2056" t="s">
        <v>19</v>
      </c>
      <c r="E2056" t="s">
        <v>18</v>
      </c>
      <c r="F2056" s="2">
        <v>11519</v>
      </c>
      <c r="G2056" s="2">
        <f>Monthly_Growth!$C$19</f>
        <v>1066501</v>
      </c>
      <c r="H2056" s="5">
        <f>Monthly_Growth!$D$19</f>
        <v>0.10586538421657314</v>
      </c>
      <c r="I2056" s="15">
        <f>Yearly_Growth!$C$3</f>
        <v>0.11893113731787852</v>
      </c>
      <c r="J2056" s="15">
        <f>Yearly_Growth!$D$3</f>
        <v>0.09</v>
      </c>
      <c r="K2056">
        <f>Sales_Per_Representative!$C$24</f>
        <v>699277</v>
      </c>
      <c r="L2056">
        <f>Sales_Per_Rep_Yearly_Goal!$B$3</f>
        <v>689907.8</v>
      </c>
      <c r="M2056">
        <f>Sales_Per_Rep_Yearly_Goal!$C$3</f>
        <v>690000</v>
      </c>
    </row>
    <row r="2057" spans="1:13" x14ac:dyDescent="0.3">
      <c r="A2057" s="3">
        <v>45469</v>
      </c>
      <c r="B2057">
        <f t="shared" si="32"/>
        <v>2024</v>
      </c>
      <c r="C2057">
        <v>6</v>
      </c>
      <c r="D2057" t="s">
        <v>25</v>
      </c>
      <c r="E2057" t="s">
        <v>22</v>
      </c>
      <c r="F2057" s="2">
        <v>13236</v>
      </c>
      <c r="G2057" s="2">
        <f>Monthly_Growth!$C$19</f>
        <v>1066501</v>
      </c>
      <c r="H2057" s="5">
        <f>Monthly_Growth!$D$19</f>
        <v>0.10586538421657314</v>
      </c>
      <c r="I2057" s="15">
        <f>Yearly_Growth!$C$3</f>
        <v>0.11893113731787852</v>
      </c>
      <c r="J2057" s="15">
        <f>Yearly_Growth!$D$3</f>
        <v>0.09</v>
      </c>
      <c r="K2057">
        <f>Sales_Per_Representative!$C$23</f>
        <v>697444</v>
      </c>
      <c r="L2057">
        <f>Sales_Per_Rep_Yearly_Goal!$B$3</f>
        <v>689907.8</v>
      </c>
      <c r="M2057">
        <f>Sales_Per_Rep_Yearly_Goal!$C$3</f>
        <v>690000</v>
      </c>
    </row>
    <row r="2058" spans="1:13" x14ac:dyDescent="0.3">
      <c r="A2058" s="3">
        <v>45469</v>
      </c>
      <c r="B2058">
        <f t="shared" si="32"/>
        <v>2024</v>
      </c>
      <c r="C2058">
        <v>6</v>
      </c>
      <c r="D2058" t="s">
        <v>17</v>
      </c>
      <c r="E2058" t="s">
        <v>30</v>
      </c>
      <c r="F2058" s="2">
        <v>9587</v>
      </c>
      <c r="G2058" s="2">
        <f>Monthly_Growth!$C$19</f>
        <v>1066501</v>
      </c>
      <c r="H2058" s="5">
        <f>Monthly_Growth!$D$19</f>
        <v>0.10586538421657314</v>
      </c>
      <c r="I2058" s="15">
        <f>Yearly_Growth!$C$3</f>
        <v>0.11893113731787852</v>
      </c>
      <c r="J2058" s="15">
        <f>Yearly_Growth!$D$3</f>
        <v>0.09</v>
      </c>
      <c r="K2058">
        <f>Sales_Per_Representative!$C$22</f>
        <v>700142</v>
      </c>
      <c r="L2058">
        <f>Sales_Per_Rep_Yearly_Goal!$B$3</f>
        <v>689907.8</v>
      </c>
      <c r="M2058">
        <f>Sales_Per_Rep_Yearly_Goal!$C$3</f>
        <v>690000</v>
      </c>
    </row>
    <row r="2059" spans="1:13" x14ac:dyDescent="0.3">
      <c r="A2059" s="3">
        <v>45470</v>
      </c>
      <c r="B2059">
        <f t="shared" si="32"/>
        <v>2024</v>
      </c>
      <c r="C2059">
        <v>6</v>
      </c>
      <c r="D2059" t="s">
        <v>14</v>
      </c>
      <c r="E2059" t="s">
        <v>20</v>
      </c>
      <c r="F2059" s="2">
        <v>10767</v>
      </c>
      <c r="G2059" s="2">
        <f>Monthly_Growth!$C$19</f>
        <v>1066501</v>
      </c>
      <c r="H2059" s="5">
        <f>Monthly_Growth!$D$19</f>
        <v>0.10586538421657314</v>
      </c>
      <c r="I2059" s="15">
        <f>Yearly_Growth!$C$3</f>
        <v>0.11893113731787852</v>
      </c>
      <c r="J2059" s="15">
        <f>Yearly_Growth!$D$3</f>
        <v>0.09</v>
      </c>
      <c r="K2059">
        <f>Sales_Per_Representative!$C$29</f>
        <v>753085</v>
      </c>
      <c r="L2059">
        <f>Sales_Per_Rep_Yearly_Goal!$B$3</f>
        <v>689907.8</v>
      </c>
      <c r="M2059">
        <f>Sales_Per_Rep_Yearly_Goal!$C$3</f>
        <v>690000</v>
      </c>
    </row>
    <row r="2060" spans="1:13" x14ac:dyDescent="0.3">
      <c r="A2060" s="3">
        <v>45470</v>
      </c>
      <c r="B2060">
        <f t="shared" si="32"/>
        <v>2024</v>
      </c>
      <c r="C2060">
        <v>6</v>
      </c>
      <c r="D2060" t="s">
        <v>19</v>
      </c>
      <c r="E2060" t="s">
        <v>29</v>
      </c>
      <c r="F2060" s="2">
        <v>3582</v>
      </c>
      <c r="G2060" s="2">
        <f>Monthly_Growth!$C$19</f>
        <v>1066501</v>
      </c>
      <c r="H2060" s="5">
        <f>Monthly_Growth!$D$19</f>
        <v>0.10586538421657314</v>
      </c>
      <c r="I2060" s="15">
        <f>Yearly_Growth!$C$3</f>
        <v>0.11893113731787852</v>
      </c>
      <c r="J2060" s="15">
        <f>Yearly_Growth!$D$3</f>
        <v>0.09</v>
      </c>
      <c r="K2060">
        <f>Sales_Per_Representative!$C$28</f>
        <v>691917</v>
      </c>
      <c r="L2060">
        <f>Sales_Per_Rep_Yearly_Goal!$B$3</f>
        <v>689907.8</v>
      </c>
      <c r="M2060">
        <f>Sales_Per_Rep_Yearly_Goal!$C$3</f>
        <v>690000</v>
      </c>
    </row>
    <row r="2061" spans="1:13" x14ac:dyDescent="0.3">
      <c r="A2061" s="3">
        <v>45470</v>
      </c>
      <c r="B2061">
        <f t="shared" si="32"/>
        <v>2024</v>
      </c>
      <c r="C2061">
        <v>6</v>
      </c>
      <c r="D2061" t="s">
        <v>7</v>
      </c>
      <c r="E2061" t="s">
        <v>22</v>
      </c>
      <c r="F2061" s="2">
        <v>5485</v>
      </c>
      <c r="G2061" s="2">
        <f>Monthly_Growth!$C$19</f>
        <v>1066501</v>
      </c>
      <c r="H2061" s="5">
        <f>Monthly_Growth!$D$19</f>
        <v>0.10586538421657314</v>
      </c>
      <c r="I2061" s="15">
        <f>Yearly_Growth!$C$3</f>
        <v>0.11893113731787852</v>
      </c>
      <c r="J2061" s="15">
        <f>Yearly_Growth!$D$3</f>
        <v>0.09</v>
      </c>
      <c r="K2061">
        <f>Sales_Per_Representative!$C$23</f>
        <v>697444</v>
      </c>
      <c r="L2061">
        <f>Sales_Per_Rep_Yearly_Goal!$B$3</f>
        <v>689907.8</v>
      </c>
      <c r="M2061">
        <f>Sales_Per_Rep_Yearly_Goal!$C$3</f>
        <v>690000</v>
      </c>
    </row>
    <row r="2062" spans="1:13" x14ac:dyDescent="0.3">
      <c r="A2062" s="3">
        <v>45470</v>
      </c>
      <c r="B2062">
        <f t="shared" si="32"/>
        <v>2024</v>
      </c>
      <c r="C2062">
        <v>6</v>
      </c>
      <c r="D2062" t="s">
        <v>28</v>
      </c>
      <c r="E2062" t="s">
        <v>29</v>
      </c>
      <c r="F2062" s="2">
        <v>12903</v>
      </c>
      <c r="G2062" s="2">
        <f>Monthly_Growth!$C$19</f>
        <v>1066501</v>
      </c>
      <c r="H2062" s="5">
        <f>Monthly_Growth!$D$19</f>
        <v>0.10586538421657314</v>
      </c>
      <c r="I2062" s="15">
        <f>Yearly_Growth!$C$3</f>
        <v>0.11893113731787852</v>
      </c>
      <c r="J2062" s="15">
        <f>Yearly_Growth!$D$3</f>
        <v>0.09</v>
      </c>
      <c r="K2062">
        <f>Sales_Per_Representative!$C$28</f>
        <v>691917</v>
      </c>
      <c r="L2062">
        <f>Sales_Per_Rep_Yearly_Goal!$B$3</f>
        <v>689907.8</v>
      </c>
      <c r="M2062">
        <f>Sales_Per_Rep_Yearly_Goal!$C$3</f>
        <v>690000</v>
      </c>
    </row>
    <row r="2063" spans="1:13" x14ac:dyDescent="0.3">
      <c r="A2063" s="3">
        <v>45470</v>
      </c>
      <c r="B2063">
        <f t="shared" si="32"/>
        <v>2024</v>
      </c>
      <c r="C2063">
        <v>6</v>
      </c>
      <c r="D2063" t="s">
        <v>28</v>
      </c>
      <c r="E2063" t="s">
        <v>15</v>
      </c>
      <c r="F2063" s="2">
        <v>5116</v>
      </c>
      <c r="G2063" s="2">
        <f>Monthly_Growth!$C$19</f>
        <v>1066501</v>
      </c>
      <c r="H2063" s="5">
        <f>Monthly_Growth!$D$19</f>
        <v>0.10586538421657314</v>
      </c>
      <c r="I2063" s="15">
        <f>Yearly_Growth!$C$3</f>
        <v>0.11893113731787852</v>
      </c>
      <c r="J2063" s="15">
        <f>Yearly_Growth!$D$3</f>
        <v>0.09</v>
      </c>
      <c r="K2063">
        <f>Sales_Per_Representative!$C$27</f>
        <v>617202</v>
      </c>
      <c r="L2063">
        <f>Sales_Per_Rep_Yearly_Goal!$B$3</f>
        <v>689907.8</v>
      </c>
      <c r="M2063">
        <f>Sales_Per_Rep_Yearly_Goal!$C$3</f>
        <v>690000</v>
      </c>
    </row>
    <row r="2064" spans="1:13" x14ac:dyDescent="0.3">
      <c r="A2064" s="3">
        <v>45470</v>
      </c>
      <c r="B2064">
        <f t="shared" si="32"/>
        <v>2024</v>
      </c>
      <c r="C2064">
        <v>6</v>
      </c>
      <c r="D2064" t="s">
        <v>12</v>
      </c>
      <c r="E2064" t="s">
        <v>10</v>
      </c>
      <c r="F2064" s="2">
        <v>3079</v>
      </c>
      <c r="G2064" s="2">
        <f>Monthly_Growth!$C$19</f>
        <v>1066501</v>
      </c>
      <c r="H2064" s="5">
        <f>Monthly_Growth!$D$19</f>
        <v>0.10586538421657314</v>
      </c>
      <c r="I2064" s="15">
        <f>Yearly_Growth!$C$3</f>
        <v>0.11893113731787852</v>
      </c>
      <c r="J2064" s="15">
        <f>Yearly_Growth!$D$3</f>
        <v>0.09</v>
      </c>
      <c r="K2064">
        <f>Sales_Per_Representative!$C$19</f>
        <v>711816</v>
      </c>
      <c r="L2064">
        <f>Sales_Per_Rep_Yearly_Goal!$B$3</f>
        <v>689907.8</v>
      </c>
      <c r="M2064">
        <f>Sales_Per_Rep_Yearly_Goal!$C$3</f>
        <v>690000</v>
      </c>
    </row>
    <row r="2065" spans="1:13" x14ac:dyDescent="0.3">
      <c r="A2065" s="3">
        <v>45471</v>
      </c>
      <c r="B2065">
        <f t="shared" si="32"/>
        <v>2024</v>
      </c>
      <c r="C2065">
        <v>6</v>
      </c>
      <c r="D2065" t="s">
        <v>14</v>
      </c>
      <c r="E2065" t="s">
        <v>22</v>
      </c>
      <c r="F2065" s="2">
        <v>2218</v>
      </c>
      <c r="G2065" s="2">
        <f>Monthly_Growth!$C$19</f>
        <v>1066501</v>
      </c>
      <c r="H2065" s="5">
        <f>Monthly_Growth!$D$19</f>
        <v>0.10586538421657314</v>
      </c>
      <c r="I2065" s="15">
        <f>Yearly_Growth!$C$3</f>
        <v>0.11893113731787852</v>
      </c>
      <c r="J2065" s="15">
        <f>Yearly_Growth!$D$3</f>
        <v>0.09</v>
      </c>
      <c r="K2065">
        <f>Sales_Per_Representative!$C$23</f>
        <v>697444</v>
      </c>
      <c r="L2065">
        <f>Sales_Per_Rep_Yearly_Goal!$B$3</f>
        <v>689907.8</v>
      </c>
      <c r="M2065">
        <f>Sales_Per_Rep_Yearly_Goal!$C$3</f>
        <v>690000</v>
      </c>
    </row>
    <row r="2066" spans="1:13" x14ac:dyDescent="0.3">
      <c r="A2066" s="3">
        <v>45471</v>
      </c>
      <c r="B2066">
        <f t="shared" si="32"/>
        <v>2024</v>
      </c>
      <c r="C2066">
        <v>6</v>
      </c>
      <c r="D2066" t="s">
        <v>23</v>
      </c>
      <c r="E2066" t="s">
        <v>18</v>
      </c>
      <c r="F2066" s="2">
        <v>6608</v>
      </c>
      <c r="G2066" s="2">
        <f>Monthly_Growth!$C$19</f>
        <v>1066501</v>
      </c>
      <c r="H2066" s="5">
        <f>Monthly_Growth!$D$19</f>
        <v>0.10586538421657314</v>
      </c>
      <c r="I2066" s="15">
        <f>Yearly_Growth!$C$3</f>
        <v>0.11893113731787852</v>
      </c>
      <c r="J2066" s="15">
        <f>Yearly_Growth!$D$3</f>
        <v>0.09</v>
      </c>
      <c r="K2066">
        <f>Sales_Per_Representative!$C$24</f>
        <v>699277</v>
      </c>
      <c r="L2066">
        <f>Sales_Per_Rep_Yearly_Goal!$B$3</f>
        <v>689907.8</v>
      </c>
      <c r="M2066">
        <f>Sales_Per_Rep_Yearly_Goal!$C$3</f>
        <v>690000</v>
      </c>
    </row>
    <row r="2067" spans="1:13" x14ac:dyDescent="0.3">
      <c r="A2067" s="3">
        <v>45471</v>
      </c>
      <c r="B2067">
        <f t="shared" si="32"/>
        <v>2024</v>
      </c>
      <c r="C2067">
        <v>6</v>
      </c>
      <c r="D2067" t="s">
        <v>23</v>
      </c>
      <c r="E2067" t="s">
        <v>32</v>
      </c>
      <c r="F2067" s="2">
        <v>11365</v>
      </c>
      <c r="G2067" s="2">
        <f>Monthly_Growth!$C$19</f>
        <v>1066501</v>
      </c>
      <c r="H2067" s="5">
        <f>Monthly_Growth!$D$19</f>
        <v>0.10586538421657314</v>
      </c>
      <c r="I2067" s="15">
        <f>Yearly_Growth!$C$3</f>
        <v>0.11893113731787852</v>
      </c>
      <c r="J2067" s="15">
        <f>Yearly_Growth!$D$3</f>
        <v>0.09</v>
      </c>
      <c r="K2067">
        <f>Sales_Per_Representative!$C$18</f>
        <v>783907</v>
      </c>
      <c r="L2067">
        <f>Sales_Per_Rep_Yearly_Goal!$B$3</f>
        <v>689907.8</v>
      </c>
      <c r="M2067">
        <f>Sales_Per_Rep_Yearly_Goal!$C$3</f>
        <v>690000</v>
      </c>
    </row>
    <row r="2068" spans="1:13" x14ac:dyDescent="0.3">
      <c r="A2068" s="3">
        <v>45471</v>
      </c>
      <c r="B2068">
        <f t="shared" si="32"/>
        <v>2024</v>
      </c>
      <c r="C2068">
        <v>6</v>
      </c>
      <c r="D2068" t="s">
        <v>7</v>
      </c>
      <c r="E2068" t="s">
        <v>31</v>
      </c>
      <c r="F2068" s="2">
        <v>8604</v>
      </c>
      <c r="G2068" s="2">
        <f>Monthly_Growth!$C$19</f>
        <v>1066501</v>
      </c>
      <c r="H2068" s="5">
        <f>Monthly_Growth!$D$19</f>
        <v>0.10586538421657314</v>
      </c>
      <c r="I2068" s="15">
        <f>Yearly_Growth!$C$3</f>
        <v>0.11893113731787852</v>
      </c>
      <c r="J2068" s="15">
        <f>Yearly_Growth!$D$3</f>
        <v>0.09</v>
      </c>
      <c r="K2068">
        <f>Sales_Per_Representative!$C$21</f>
        <v>679421</v>
      </c>
      <c r="L2068">
        <f>Sales_Per_Rep_Yearly_Goal!$B$3</f>
        <v>689907.8</v>
      </c>
      <c r="M2068">
        <f>Sales_Per_Rep_Yearly_Goal!$C$3</f>
        <v>690000</v>
      </c>
    </row>
    <row r="2069" spans="1:13" x14ac:dyDescent="0.3">
      <c r="A2069" s="3">
        <v>45471</v>
      </c>
      <c r="B2069">
        <f t="shared" si="32"/>
        <v>2024</v>
      </c>
      <c r="C2069">
        <v>6</v>
      </c>
      <c r="D2069" t="s">
        <v>28</v>
      </c>
      <c r="E2069" t="s">
        <v>26</v>
      </c>
      <c r="F2069" s="2">
        <v>8969</v>
      </c>
      <c r="G2069" s="2">
        <f>Monthly_Growth!$C$19</f>
        <v>1066501</v>
      </c>
      <c r="H2069" s="5">
        <f>Monthly_Growth!$D$19</f>
        <v>0.10586538421657314</v>
      </c>
      <c r="I2069" s="15">
        <f>Yearly_Growth!$C$3</f>
        <v>0.11893113731787852</v>
      </c>
      <c r="J2069" s="15">
        <f>Yearly_Growth!$D$3</f>
        <v>0.09</v>
      </c>
      <c r="K2069">
        <f>Sales_Per_Representative!$C$31</f>
        <v>664244</v>
      </c>
      <c r="L2069">
        <f>Sales_Per_Rep_Yearly_Goal!$B$3</f>
        <v>689907.8</v>
      </c>
      <c r="M2069">
        <f>Sales_Per_Rep_Yearly_Goal!$C$3</f>
        <v>690000</v>
      </c>
    </row>
    <row r="2070" spans="1:13" x14ac:dyDescent="0.3">
      <c r="A2070" s="3">
        <v>45471</v>
      </c>
      <c r="B2070">
        <f t="shared" si="32"/>
        <v>2024</v>
      </c>
      <c r="C2070">
        <v>6</v>
      </c>
      <c r="D2070" t="s">
        <v>28</v>
      </c>
      <c r="E2070" t="s">
        <v>15</v>
      </c>
      <c r="F2070" s="2">
        <v>12725</v>
      </c>
      <c r="G2070" s="2">
        <f>Monthly_Growth!$C$19</f>
        <v>1066501</v>
      </c>
      <c r="H2070" s="5">
        <f>Monthly_Growth!$D$19</f>
        <v>0.10586538421657314</v>
      </c>
      <c r="I2070" s="15">
        <f>Yearly_Growth!$C$3</f>
        <v>0.11893113731787852</v>
      </c>
      <c r="J2070" s="15">
        <f>Yearly_Growth!$D$3</f>
        <v>0.09</v>
      </c>
      <c r="K2070">
        <f>Sales_Per_Representative!$C$27</f>
        <v>617202</v>
      </c>
      <c r="L2070">
        <f>Sales_Per_Rep_Yearly_Goal!$B$3</f>
        <v>689907.8</v>
      </c>
      <c r="M2070">
        <f>Sales_Per_Rep_Yearly_Goal!$C$3</f>
        <v>690000</v>
      </c>
    </row>
    <row r="2071" spans="1:13" x14ac:dyDescent="0.3">
      <c r="A2071" s="3">
        <v>45471</v>
      </c>
      <c r="B2071">
        <f t="shared" si="32"/>
        <v>2024</v>
      </c>
      <c r="C2071">
        <v>6</v>
      </c>
      <c r="D2071" t="s">
        <v>17</v>
      </c>
      <c r="E2071" t="s">
        <v>32</v>
      </c>
      <c r="F2071" s="2">
        <v>5702</v>
      </c>
      <c r="G2071" s="2">
        <f>Monthly_Growth!$C$19</f>
        <v>1066501</v>
      </c>
      <c r="H2071" s="5">
        <f>Monthly_Growth!$D$19</f>
        <v>0.10586538421657314</v>
      </c>
      <c r="I2071" s="15">
        <f>Yearly_Growth!$C$3</f>
        <v>0.11893113731787852</v>
      </c>
      <c r="J2071" s="15">
        <f>Yearly_Growth!$D$3</f>
        <v>0.09</v>
      </c>
      <c r="K2071">
        <f>Sales_Per_Representative!$C$18</f>
        <v>783907</v>
      </c>
      <c r="L2071">
        <f>Sales_Per_Rep_Yearly_Goal!$B$3</f>
        <v>689907.8</v>
      </c>
      <c r="M2071">
        <f>Sales_Per_Rep_Yearly_Goal!$C$3</f>
        <v>690000</v>
      </c>
    </row>
    <row r="2072" spans="1:13" x14ac:dyDescent="0.3">
      <c r="A2072" s="3">
        <v>45471</v>
      </c>
      <c r="B2072">
        <f t="shared" si="32"/>
        <v>2024</v>
      </c>
      <c r="C2072">
        <v>6</v>
      </c>
      <c r="D2072" t="s">
        <v>12</v>
      </c>
      <c r="E2072" t="s">
        <v>29</v>
      </c>
      <c r="F2072" s="2">
        <v>1064</v>
      </c>
      <c r="G2072" s="2">
        <f>Monthly_Growth!$C$19</f>
        <v>1066501</v>
      </c>
      <c r="H2072" s="5">
        <f>Monthly_Growth!$D$19</f>
        <v>0.10586538421657314</v>
      </c>
      <c r="I2072" s="15">
        <f>Yearly_Growth!$C$3</f>
        <v>0.11893113731787852</v>
      </c>
      <c r="J2072" s="15">
        <f>Yearly_Growth!$D$3</f>
        <v>0.09</v>
      </c>
      <c r="K2072">
        <f>Sales_Per_Representative!$C$28</f>
        <v>691917</v>
      </c>
      <c r="L2072">
        <f>Sales_Per_Rep_Yearly_Goal!$B$3</f>
        <v>689907.8</v>
      </c>
      <c r="M2072">
        <f>Sales_Per_Rep_Yearly_Goal!$C$3</f>
        <v>690000</v>
      </c>
    </row>
    <row r="2073" spans="1:13" x14ac:dyDescent="0.3">
      <c r="A2073" s="3">
        <v>45472</v>
      </c>
      <c r="B2073">
        <f t="shared" si="32"/>
        <v>2024</v>
      </c>
      <c r="C2073">
        <v>6</v>
      </c>
      <c r="D2073" t="s">
        <v>14</v>
      </c>
      <c r="E2073" t="s">
        <v>31</v>
      </c>
      <c r="F2073" s="2">
        <v>3644</v>
      </c>
      <c r="G2073" s="2">
        <f>Monthly_Growth!$C$19</f>
        <v>1066501</v>
      </c>
      <c r="H2073" s="5">
        <f>Monthly_Growth!$D$19</f>
        <v>0.10586538421657314</v>
      </c>
      <c r="I2073" s="15">
        <f>Yearly_Growth!$C$3</f>
        <v>0.11893113731787852</v>
      </c>
      <c r="J2073" s="15">
        <f>Yearly_Growth!$D$3</f>
        <v>0.09</v>
      </c>
      <c r="K2073">
        <f>Sales_Per_Representative!$C$21</f>
        <v>679421</v>
      </c>
      <c r="L2073">
        <f>Sales_Per_Rep_Yearly_Goal!$B$3</f>
        <v>689907.8</v>
      </c>
      <c r="M2073">
        <f>Sales_Per_Rep_Yearly_Goal!$C$3</f>
        <v>690000</v>
      </c>
    </row>
    <row r="2074" spans="1:13" x14ac:dyDescent="0.3">
      <c r="A2074" s="3">
        <v>45472</v>
      </c>
      <c r="B2074">
        <f t="shared" si="32"/>
        <v>2024</v>
      </c>
      <c r="C2074">
        <v>6</v>
      </c>
      <c r="D2074" t="s">
        <v>7</v>
      </c>
      <c r="E2074" t="s">
        <v>26</v>
      </c>
      <c r="F2074" s="2">
        <v>7790</v>
      </c>
      <c r="G2074" s="2">
        <f>Monthly_Growth!$C$19</f>
        <v>1066501</v>
      </c>
      <c r="H2074" s="5">
        <f>Monthly_Growth!$D$19</f>
        <v>0.10586538421657314</v>
      </c>
      <c r="I2074" s="15">
        <f>Yearly_Growth!$C$3</f>
        <v>0.11893113731787852</v>
      </c>
      <c r="J2074" s="15">
        <f>Yearly_Growth!$D$3</f>
        <v>0.09</v>
      </c>
      <c r="K2074">
        <f>Sales_Per_Representative!$C$31</f>
        <v>664244</v>
      </c>
      <c r="L2074">
        <f>Sales_Per_Rep_Yearly_Goal!$B$3</f>
        <v>689907.8</v>
      </c>
      <c r="M2074">
        <f>Sales_Per_Rep_Yearly_Goal!$C$3</f>
        <v>690000</v>
      </c>
    </row>
    <row r="2075" spans="1:13" x14ac:dyDescent="0.3">
      <c r="A2075" s="3">
        <v>45472</v>
      </c>
      <c r="B2075">
        <f t="shared" si="32"/>
        <v>2024</v>
      </c>
      <c r="C2075">
        <v>6</v>
      </c>
      <c r="D2075" t="s">
        <v>7</v>
      </c>
      <c r="E2075" t="s">
        <v>31</v>
      </c>
      <c r="F2075" s="2">
        <v>13693</v>
      </c>
      <c r="G2075" s="2">
        <f>Monthly_Growth!$C$19</f>
        <v>1066501</v>
      </c>
      <c r="H2075" s="5">
        <f>Monthly_Growth!$D$19</f>
        <v>0.10586538421657314</v>
      </c>
      <c r="I2075" s="15">
        <f>Yearly_Growth!$C$3</f>
        <v>0.11893113731787852</v>
      </c>
      <c r="J2075" s="15">
        <f>Yearly_Growth!$D$3</f>
        <v>0.09</v>
      </c>
      <c r="K2075">
        <f>Sales_Per_Representative!$C$21</f>
        <v>679421</v>
      </c>
      <c r="L2075">
        <f>Sales_Per_Rep_Yearly_Goal!$B$3</f>
        <v>689907.8</v>
      </c>
      <c r="M2075">
        <f>Sales_Per_Rep_Yearly_Goal!$C$3</f>
        <v>690000</v>
      </c>
    </row>
    <row r="2076" spans="1:13" x14ac:dyDescent="0.3">
      <c r="A2076" s="3">
        <v>45473</v>
      </c>
      <c r="B2076">
        <f t="shared" si="32"/>
        <v>2024</v>
      </c>
      <c r="C2076">
        <v>6</v>
      </c>
      <c r="D2076" t="s">
        <v>14</v>
      </c>
      <c r="E2076" t="s">
        <v>32</v>
      </c>
      <c r="F2076" s="2">
        <v>9740</v>
      </c>
      <c r="G2076" s="2">
        <f>Monthly_Growth!$C$19</f>
        <v>1066501</v>
      </c>
      <c r="H2076" s="5">
        <f>Monthly_Growth!$D$19</f>
        <v>0.10586538421657314</v>
      </c>
      <c r="I2076" s="15">
        <f>Yearly_Growth!$C$3</f>
        <v>0.11893113731787852</v>
      </c>
      <c r="J2076" s="15">
        <f>Yearly_Growth!$D$3</f>
        <v>0.09</v>
      </c>
      <c r="K2076">
        <f>Sales_Per_Representative!$C$18</f>
        <v>783907</v>
      </c>
      <c r="L2076">
        <f>Sales_Per_Rep_Yearly_Goal!$B$3</f>
        <v>689907.8</v>
      </c>
      <c r="M2076">
        <f>Sales_Per_Rep_Yearly_Goal!$C$3</f>
        <v>690000</v>
      </c>
    </row>
    <row r="2077" spans="1:13" x14ac:dyDescent="0.3">
      <c r="A2077" s="3">
        <v>45473</v>
      </c>
      <c r="B2077">
        <f t="shared" si="32"/>
        <v>2024</v>
      </c>
      <c r="C2077">
        <v>6</v>
      </c>
      <c r="D2077" t="s">
        <v>19</v>
      </c>
      <c r="E2077" t="s">
        <v>8</v>
      </c>
      <c r="F2077" s="2">
        <v>9350</v>
      </c>
      <c r="G2077" s="2">
        <f>Monthly_Growth!$C$19</f>
        <v>1066501</v>
      </c>
      <c r="H2077" s="5">
        <f>Monthly_Growth!$D$19</f>
        <v>0.10586538421657314</v>
      </c>
      <c r="I2077" s="15">
        <f>Yearly_Growth!$C$3</f>
        <v>0.11893113731787852</v>
      </c>
      <c r="J2077" s="15">
        <f>Yearly_Growth!$D$3</f>
        <v>0.09</v>
      </c>
      <c r="K2077">
        <f>Sales_Per_Representative!$C$30</f>
        <v>780006</v>
      </c>
      <c r="L2077">
        <f>Sales_Per_Rep_Yearly_Goal!$B$3</f>
        <v>689907.8</v>
      </c>
      <c r="M2077">
        <f>Sales_Per_Rep_Yearly_Goal!$C$3</f>
        <v>690000</v>
      </c>
    </row>
    <row r="2078" spans="1:13" x14ac:dyDescent="0.3">
      <c r="A2078" s="3">
        <v>45473</v>
      </c>
      <c r="B2078">
        <f t="shared" si="32"/>
        <v>2024</v>
      </c>
      <c r="C2078">
        <v>6</v>
      </c>
      <c r="D2078" t="s">
        <v>25</v>
      </c>
      <c r="E2078" t="s">
        <v>24</v>
      </c>
      <c r="F2078" s="2">
        <v>4132</v>
      </c>
      <c r="G2078" s="2">
        <f>Monthly_Growth!$C$19</f>
        <v>1066501</v>
      </c>
      <c r="H2078" s="5">
        <f>Monthly_Growth!$D$19</f>
        <v>0.10586538421657314</v>
      </c>
      <c r="I2078" s="15">
        <f>Yearly_Growth!$C$3</f>
        <v>0.11893113731787852</v>
      </c>
      <c r="J2078" s="15">
        <f>Yearly_Growth!$D$3</f>
        <v>0.09</v>
      </c>
      <c r="K2078">
        <f>Sales_Per_Representative!$C$17</f>
        <v>633956</v>
      </c>
      <c r="L2078">
        <f>Sales_Per_Rep_Yearly_Goal!$B$3</f>
        <v>689907.8</v>
      </c>
      <c r="M2078">
        <f>Sales_Per_Rep_Yearly_Goal!$C$3</f>
        <v>690000</v>
      </c>
    </row>
    <row r="2079" spans="1:13" x14ac:dyDescent="0.3">
      <c r="A2079" s="3">
        <v>45473</v>
      </c>
      <c r="B2079">
        <f t="shared" si="32"/>
        <v>2024</v>
      </c>
      <c r="C2079">
        <v>6</v>
      </c>
      <c r="D2079" t="s">
        <v>17</v>
      </c>
      <c r="E2079" t="s">
        <v>8</v>
      </c>
      <c r="F2079" s="2">
        <v>9591</v>
      </c>
      <c r="G2079" s="2">
        <f>Monthly_Growth!$C$19</f>
        <v>1066501</v>
      </c>
      <c r="H2079" s="5">
        <f>Monthly_Growth!$D$19</f>
        <v>0.10586538421657314</v>
      </c>
      <c r="I2079" s="15">
        <f>Yearly_Growth!$C$3</f>
        <v>0.11893113731787852</v>
      </c>
      <c r="J2079" s="15">
        <f>Yearly_Growth!$D$3</f>
        <v>0.09</v>
      </c>
      <c r="K2079">
        <f>Sales_Per_Representative!$C$30</f>
        <v>780006</v>
      </c>
      <c r="L2079">
        <f>Sales_Per_Rep_Yearly_Goal!$B$3</f>
        <v>689907.8</v>
      </c>
      <c r="M2079">
        <f>Sales_Per_Rep_Yearly_Goal!$C$3</f>
        <v>690000</v>
      </c>
    </row>
    <row r="2080" spans="1:13" x14ac:dyDescent="0.3">
      <c r="A2080" s="3">
        <v>45473</v>
      </c>
      <c r="B2080">
        <f t="shared" si="32"/>
        <v>2024</v>
      </c>
      <c r="C2080">
        <v>6</v>
      </c>
      <c r="D2080" t="s">
        <v>17</v>
      </c>
      <c r="E2080" t="s">
        <v>31</v>
      </c>
      <c r="F2080" s="2">
        <v>7821</v>
      </c>
      <c r="G2080" s="2">
        <f>Monthly_Growth!$C$19</f>
        <v>1066501</v>
      </c>
      <c r="H2080" s="5">
        <f>Monthly_Growth!$D$19</f>
        <v>0.10586538421657314</v>
      </c>
      <c r="I2080" s="15">
        <f>Yearly_Growth!$C$3</f>
        <v>0.11893113731787852</v>
      </c>
      <c r="J2080" s="15">
        <f>Yearly_Growth!$D$3</f>
        <v>0.09</v>
      </c>
      <c r="K2080">
        <f>Sales_Per_Representative!$C$21</f>
        <v>679421</v>
      </c>
      <c r="L2080">
        <f>Sales_Per_Rep_Yearly_Goal!$B$3</f>
        <v>689907.8</v>
      </c>
      <c r="M2080">
        <f>Sales_Per_Rep_Yearly_Goal!$C$3</f>
        <v>690000</v>
      </c>
    </row>
    <row r="2081" spans="1:13" x14ac:dyDescent="0.3">
      <c r="A2081" s="3">
        <v>45473</v>
      </c>
      <c r="B2081">
        <f t="shared" si="32"/>
        <v>2024</v>
      </c>
      <c r="C2081">
        <v>6</v>
      </c>
      <c r="D2081" t="s">
        <v>12</v>
      </c>
      <c r="E2081" t="s">
        <v>8</v>
      </c>
      <c r="F2081" s="2">
        <v>9698</v>
      </c>
      <c r="G2081" s="2">
        <f>Monthly_Growth!$C$19</f>
        <v>1066501</v>
      </c>
      <c r="H2081" s="5">
        <f>Monthly_Growth!$D$19</f>
        <v>0.10586538421657314</v>
      </c>
      <c r="I2081" s="15">
        <f>Yearly_Growth!$C$3</f>
        <v>0.11893113731787852</v>
      </c>
      <c r="J2081" s="15">
        <f>Yearly_Growth!$D$3</f>
        <v>0.09</v>
      </c>
      <c r="K2081">
        <f>Sales_Per_Representative!$C$30</f>
        <v>780006</v>
      </c>
      <c r="L2081">
        <f>Sales_Per_Rep_Yearly_Goal!$B$3</f>
        <v>689907.8</v>
      </c>
      <c r="M2081">
        <f>Sales_Per_Rep_Yearly_Goal!$C$3</f>
        <v>690000</v>
      </c>
    </row>
    <row r="2082" spans="1:13" x14ac:dyDescent="0.3">
      <c r="A2082" s="3">
        <v>45474</v>
      </c>
      <c r="B2082">
        <f t="shared" si="32"/>
        <v>2024</v>
      </c>
      <c r="C2082">
        <v>7</v>
      </c>
      <c r="D2082" t="s">
        <v>14</v>
      </c>
      <c r="E2082" t="s">
        <v>8</v>
      </c>
      <c r="F2082" s="2">
        <v>11823</v>
      </c>
      <c r="G2082" s="2">
        <f>Monthly_Growth!$C$20</f>
        <v>776919</v>
      </c>
      <c r="H2082" s="5">
        <f>Monthly_Growth!$D$20</f>
        <v>-0.27152529627257732</v>
      </c>
      <c r="I2082" s="15">
        <f>Yearly_Growth!$C$3</f>
        <v>0.11893113731787852</v>
      </c>
      <c r="J2082" s="15">
        <f>Yearly_Growth!$D$3</f>
        <v>0.09</v>
      </c>
      <c r="K2082">
        <f>Sales_Per_Representative!$C$30</f>
        <v>780006</v>
      </c>
      <c r="L2082">
        <f>Sales_Per_Rep_Yearly_Goal!$B$3</f>
        <v>689907.8</v>
      </c>
      <c r="M2082">
        <f>Sales_Per_Rep_Yearly_Goal!$C$3</f>
        <v>690000</v>
      </c>
    </row>
    <row r="2083" spans="1:13" x14ac:dyDescent="0.3">
      <c r="A2083" s="3">
        <v>45474</v>
      </c>
      <c r="B2083">
        <f t="shared" si="32"/>
        <v>2024</v>
      </c>
      <c r="C2083">
        <v>7</v>
      </c>
      <c r="D2083" t="s">
        <v>14</v>
      </c>
      <c r="E2083" t="s">
        <v>5</v>
      </c>
      <c r="F2083" s="2">
        <v>10289</v>
      </c>
      <c r="G2083" s="2">
        <f>Monthly_Growth!$C$20</f>
        <v>776919</v>
      </c>
      <c r="H2083" s="5">
        <f>Monthly_Growth!$D$20</f>
        <v>-0.27152529627257732</v>
      </c>
      <c r="I2083" s="15">
        <f>Yearly_Growth!$C$3</f>
        <v>0.11893113731787852</v>
      </c>
      <c r="J2083" s="15">
        <f>Yearly_Growth!$D$3</f>
        <v>0.09</v>
      </c>
      <c r="K2083">
        <f>Sales_Per_Representative!$C$25</f>
        <v>749460</v>
      </c>
      <c r="L2083">
        <f>Sales_Per_Rep_Yearly_Goal!$B$3</f>
        <v>689907.8</v>
      </c>
      <c r="M2083">
        <f>Sales_Per_Rep_Yearly_Goal!$C$3</f>
        <v>690000</v>
      </c>
    </row>
    <row r="2084" spans="1:13" x14ac:dyDescent="0.3">
      <c r="A2084" s="3">
        <v>45474</v>
      </c>
      <c r="B2084">
        <f t="shared" si="32"/>
        <v>2024</v>
      </c>
      <c r="C2084">
        <v>7</v>
      </c>
      <c r="D2084" t="s">
        <v>19</v>
      </c>
      <c r="E2084" t="s">
        <v>5</v>
      </c>
      <c r="F2084" s="2">
        <v>4337</v>
      </c>
      <c r="G2084" s="2">
        <f>Monthly_Growth!$C$20</f>
        <v>776919</v>
      </c>
      <c r="H2084" s="5">
        <f>Monthly_Growth!$D$20</f>
        <v>-0.27152529627257732</v>
      </c>
      <c r="I2084" s="15">
        <f>Yearly_Growth!$C$3</f>
        <v>0.11893113731787852</v>
      </c>
      <c r="J2084" s="15">
        <f>Yearly_Growth!$D$3</f>
        <v>0.09</v>
      </c>
      <c r="K2084">
        <f>Sales_Per_Representative!$C$25</f>
        <v>749460</v>
      </c>
      <c r="L2084">
        <f>Sales_Per_Rep_Yearly_Goal!$B$3</f>
        <v>689907.8</v>
      </c>
      <c r="M2084">
        <f>Sales_Per_Rep_Yearly_Goal!$C$3</f>
        <v>690000</v>
      </c>
    </row>
    <row r="2085" spans="1:13" x14ac:dyDescent="0.3">
      <c r="A2085" s="3">
        <v>45474</v>
      </c>
      <c r="B2085">
        <f t="shared" si="32"/>
        <v>2024</v>
      </c>
      <c r="C2085">
        <v>7</v>
      </c>
      <c r="D2085" t="s">
        <v>7</v>
      </c>
      <c r="E2085" t="s">
        <v>15</v>
      </c>
      <c r="F2085" s="2">
        <v>2011</v>
      </c>
      <c r="G2085" s="2">
        <f>Monthly_Growth!$C$20</f>
        <v>776919</v>
      </c>
      <c r="H2085" s="5">
        <f>Monthly_Growth!$D$20</f>
        <v>-0.27152529627257732</v>
      </c>
      <c r="I2085" s="15">
        <f>Yearly_Growth!$C$3</f>
        <v>0.11893113731787852</v>
      </c>
      <c r="J2085" s="15">
        <f>Yearly_Growth!$D$3</f>
        <v>0.09</v>
      </c>
      <c r="K2085">
        <f>Sales_Per_Representative!$C$27</f>
        <v>617202</v>
      </c>
      <c r="L2085">
        <f>Sales_Per_Rep_Yearly_Goal!$B$3</f>
        <v>689907.8</v>
      </c>
      <c r="M2085">
        <f>Sales_Per_Rep_Yearly_Goal!$C$3</f>
        <v>690000</v>
      </c>
    </row>
    <row r="2086" spans="1:13" x14ac:dyDescent="0.3">
      <c r="A2086" s="3">
        <v>45474</v>
      </c>
      <c r="B2086">
        <f t="shared" si="32"/>
        <v>2024</v>
      </c>
      <c r="C2086">
        <v>7</v>
      </c>
      <c r="D2086" t="s">
        <v>7</v>
      </c>
      <c r="E2086" t="s">
        <v>26</v>
      </c>
      <c r="F2086" s="2">
        <v>5405</v>
      </c>
      <c r="G2086" s="2">
        <f>Monthly_Growth!$C$20</f>
        <v>776919</v>
      </c>
      <c r="H2086" s="5">
        <f>Monthly_Growth!$D$20</f>
        <v>-0.27152529627257732</v>
      </c>
      <c r="I2086" s="15">
        <f>Yearly_Growth!$C$3</f>
        <v>0.11893113731787852</v>
      </c>
      <c r="J2086" s="15">
        <f>Yearly_Growth!$D$3</f>
        <v>0.09</v>
      </c>
      <c r="K2086">
        <f>Sales_Per_Representative!$C$31</f>
        <v>664244</v>
      </c>
      <c r="L2086">
        <f>Sales_Per_Rep_Yearly_Goal!$B$3</f>
        <v>689907.8</v>
      </c>
      <c r="M2086">
        <f>Sales_Per_Rep_Yearly_Goal!$C$3</f>
        <v>690000</v>
      </c>
    </row>
    <row r="2087" spans="1:13" x14ac:dyDescent="0.3">
      <c r="A2087" s="3">
        <v>45474</v>
      </c>
      <c r="B2087">
        <f t="shared" si="32"/>
        <v>2024</v>
      </c>
      <c r="C2087">
        <v>7</v>
      </c>
      <c r="D2087" t="s">
        <v>7</v>
      </c>
      <c r="E2087" t="s">
        <v>27</v>
      </c>
      <c r="F2087" s="2">
        <v>10727</v>
      </c>
      <c r="G2087" s="2">
        <f>Monthly_Growth!$C$20</f>
        <v>776919</v>
      </c>
      <c r="H2087" s="5">
        <f>Monthly_Growth!$D$20</f>
        <v>-0.27152529627257732</v>
      </c>
      <c r="I2087" s="15">
        <f>Yearly_Growth!$C$3</f>
        <v>0.11893113731787852</v>
      </c>
      <c r="J2087" s="15">
        <f>Yearly_Growth!$D$3</f>
        <v>0.09</v>
      </c>
      <c r="K2087">
        <f>Sales_Per_Representative!$C$20</f>
        <v>685380</v>
      </c>
      <c r="L2087">
        <f>Sales_Per_Rep_Yearly_Goal!$B$3</f>
        <v>689907.8</v>
      </c>
      <c r="M2087">
        <f>Sales_Per_Rep_Yearly_Goal!$C$3</f>
        <v>690000</v>
      </c>
    </row>
    <row r="2088" spans="1:13" x14ac:dyDescent="0.3">
      <c r="A2088" s="3">
        <v>45474</v>
      </c>
      <c r="B2088">
        <f t="shared" si="32"/>
        <v>2024</v>
      </c>
      <c r="C2088">
        <v>7</v>
      </c>
      <c r="D2088" t="s">
        <v>28</v>
      </c>
      <c r="E2088" t="s">
        <v>31</v>
      </c>
      <c r="F2088" s="2">
        <v>1469</v>
      </c>
      <c r="G2088" s="2">
        <f>Monthly_Growth!$C$20</f>
        <v>776919</v>
      </c>
      <c r="H2088" s="5">
        <f>Monthly_Growth!$D$20</f>
        <v>-0.27152529627257732</v>
      </c>
      <c r="I2088" s="15">
        <f>Yearly_Growth!$C$3</f>
        <v>0.11893113731787852</v>
      </c>
      <c r="J2088" s="15">
        <f>Yearly_Growth!$D$3</f>
        <v>0.09</v>
      </c>
      <c r="K2088">
        <f>Sales_Per_Representative!$C$21</f>
        <v>679421</v>
      </c>
      <c r="L2088">
        <f>Sales_Per_Rep_Yearly_Goal!$B$3</f>
        <v>689907.8</v>
      </c>
      <c r="M2088">
        <f>Sales_Per_Rep_Yearly_Goal!$C$3</f>
        <v>690000</v>
      </c>
    </row>
    <row r="2089" spans="1:13" x14ac:dyDescent="0.3">
      <c r="A2089" s="3">
        <v>45474</v>
      </c>
      <c r="B2089">
        <f t="shared" si="32"/>
        <v>2024</v>
      </c>
      <c r="C2089">
        <v>7</v>
      </c>
      <c r="D2089" t="s">
        <v>17</v>
      </c>
      <c r="E2089" t="s">
        <v>20</v>
      </c>
      <c r="F2089" s="2">
        <v>11444</v>
      </c>
      <c r="G2089" s="2">
        <f>Monthly_Growth!$C$20</f>
        <v>776919</v>
      </c>
      <c r="H2089" s="5">
        <f>Monthly_Growth!$D$20</f>
        <v>-0.27152529627257732</v>
      </c>
      <c r="I2089" s="15">
        <f>Yearly_Growth!$C$3</f>
        <v>0.11893113731787852</v>
      </c>
      <c r="J2089" s="15">
        <f>Yearly_Growth!$D$3</f>
        <v>0.09</v>
      </c>
      <c r="K2089">
        <f>Sales_Per_Representative!$C$29</f>
        <v>753085</v>
      </c>
      <c r="L2089">
        <f>Sales_Per_Rep_Yearly_Goal!$B$3</f>
        <v>689907.8</v>
      </c>
      <c r="M2089">
        <f>Sales_Per_Rep_Yearly_Goal!$C$3</f>
        <v>690000</v>
      </c>
    </row>
    <row r="2090" spans="1:13" x14ac:dyDescent="0.3">
      <c r="A2090" s="3">
        <v>45474</v>
      </c>
      <c r="B2090">
        <f t="shared" si="32"/>
        <v>2024</v>
      </c>
      <c r="C2090">
        <v>7</v>
      </c>
      <c r="D2090" t="s">
        <v>17</v>
      </c>
      <c r="E2090" t="s">
        <v>31</v>
      </c>
      <c r="F2090" s="2">
        <v>3101</v>
      </c>
      <c r="G2090" s="2">
        <f>Monthly_Growth!$C$20</f>
        <v>776919</v>
      </c>
      <c r="H2090" s="5">
        <f>Monthly_Growth!$D$20</f>
        <v>-0.27152529627257732</v>
      </c>
      <c r="I2090" s="15">
        <f>Yearly_Growth!$C$3</f>
        <v>0.11893113731787852</v>
      </c>
      <c r="J2090" s="15">
        <f>Yearly_Growth!$D$3</f>
        <v>0.09</v>
      </c>
      <c r="K2090">
        <f>Sales_Per_Representative!$C$21</f>
        <v>679421</v>
      </c>
      <c r="L2090">
        <f>Sales_Per_Rep_Yearly_Goal!$B$3</f>
        <v>689907.8</v>
      </c>
      <c r="M2090">
        <f>Sales_Per_Rep_Yearly_Goal!$C$3</f>
        <v>690000</v>
      </c>
    </row>
    <row r="2091" spans="1:13" x14ac:dyDescent="0.3">
      <c r="A2091" s="3">
        <v>45474</v>
      </c>
      <c r="B2091">
        <f t="shared" si="32"/>
        <v>2024</v>
      </c>
      <c r="C2091">
        <v>7</v>
      </c>
      <c r="D2091" t="s">
        <v>12</v>
      </c>
      <c r="E2091" t="s">
        <v>18</v>
      </c>
      <c r="F2091" s="2">
        <v>1771</v>
      </c>
      <c r="G2091" s="2">
        <f>Monthly_Growth!$C$20</f>
        <v>776919</v>
      </c>
      <c r="H2091" s="5">
        <f>Monthly_Growth!$D$20</f>
        <v>-0.27152529627257732</v>
      </c>
      <c r="I2091" s="15">
        <f>Yearly_Growth!$C$3</f>
        <v>0.11893113731787852</v>
      </c>
      <c r="J2091" s="15">
        <f>Yearly_Growth!$D$3</f>
        <v>0.09</v>
      </c>
      <c r="K2091">
        <f>Sales_Per_Representative!$C$24</f>
        <v>699277</v>
      </c>
      <c r="L2091">
        <f>Sales_Per_Rep_Yearly_Goal!$B$3</f>
        <v>689907.8</v>
      </c>
      <c r="M2091">
        <f>Sales_Per_Rep_Yearly_Goal!$C$3</f>
        <v>690000</v>
      </c>
    </row>
    <row r="2092" spans="1:13" x14ac:dyDescent="0.3">
      <c r="A2092" s="3">
        <v>45475</v>
      </c>
      <c r="B2092">
        <f t="shared" si="32"/>
        <v>2024</v>
      </c>
      <c r="C2092">
        <v>7</v>
      </c>
      <c r="D2092" t="s">
        <v>19</v>
      </c>
      <c r="E2092" t="s">
        <v>20</v>
      </c>
      <c r="F2092" s="2">
        <v>7437</v>
      </c>
      <c r="G2092" s="2">
        <f>Monthly_Growth!$C$20</f>
        <v>776919</v>
      </c>
      <c r="H2092" s="5">
        <f>Monthly_Growth!$D$20</f>
        <v>-0.27152529627257732</v>
      </c>
      <c r="I2092" s="15">
        <f>Yearly_Growth!$C$3</f>
        <v>0.11893113731787852</v>
      </c>
      <c r="J2092" s="15">
        <f>Yearly_Growth!$D$3</f>
        <v>0.09</v>
      </c>
      <c r="K2092">
        <f>Sales_Per_Representative!$C$29</f>
        <v>753085</v>
      </c>
      <c r="L2092">
        <f>Sales_Per_Rep_Yearly_Goal!$B$3</f>
        <v>689907.8</v>
      </c>
      <c r="M2092">
        <f>Sales_Per_Rep_Yearly_Goal!$C$3</f>
        <v>690000</v>
      </c>
    </row>
    <row r="2093" spans="1:13" x14ac:dyDescent="0.3">
      <c r="A2093" s="3">
        <v>45475</v>
      </c>
      <c r="B2093">
        <f t="shared" si="32"/>
        <v>2024</v>
      </c>
      <c r="C2093">
        <v>7</v>
      </c>
      <c r="D2093" t="s">
        <v>17</v>
      </c>
      <c r="E2093" t="s">
        <v>18</v>
      </c>
      <c r="F2093" s="2">
        <v>10196</v>
      </c>
      <c r="G2093" s="2">
        <f>Monthly_Growth!$C$20</f>
        <v>776919</v>
      </c>
      <c r="H2093" s="5">
        <f>Monthly_Growth!$D$20</f>
        <v>-0.27152529627257732</v>
      </c>
      <c r="I2093" s="15">
        <f>Yearly_Growth!$C$3</f>
        <v>0.11893113731787852</v>
      </c>
      <c r="J2093" s="15">
        <f>Yearly_Growth!$D$3</f>
        <v>0.09</v>
      </c>
      <c r="K2093">
        <f>Sales_Per_Representative!$C$24</f>
        <v>699277</v>
      </c>
      <c r="L2093">
        <f>Sales_Per_Rep_Yearly_Goal!$B$3</f>
        <v>689907.8</v>
      </c>
      <c r="M2093">
        <f>Sales_Per_Rep_Yearly_Goal!$C$3</f>
        <v>690000</v>
      </c>
    </row>
    <row r="2094" spans="1:13" x14ac:dyDescent="0.3">
      <c r="A2094" s="3">
        <v>45475</v>
      </c>
      <c r="B2094">
        <f t="shared" si="32"/>
        <v>2024</v>
      </c>
      <c r="C2094">
        <v>7</v>
      </c>
      <c r="D2094" t="s">
        <v>17</v>
      </c>
      <c r="E2094" t="s">
        <v>26</v>
      </c>
      <c r="F2094" s="2">
        <v>3516</v>
      </c>
      <c r="G2094" s="2">
        <f>Monthly_Growth!$C$20</f>
        <v>776919</v>
      </c>
      <c r="H2094" s="5">
        <f>Monthly_Growth!$D$20</f>
        <v>-0.27152529627257732</v>
      </c>
      <c r="I2094" s="15">
        <f>Yearly_Growth!$C$3</f>
        <v>0.11893113731787852</v>
      </c>
      <c r="J2094" s="15">
        <f>Yearly_Growth!$D$3</f>
        <v>0.09</v>
      </c>
      <c r="K2094">
        <f>Sales_Per_Representative!$C$31</f>
        <v>664244</v>
      </c>
      <c r="L2094">
        <f>Sales_Per_Rep_Yearly_Goal!$B$3</f>
        <v>689907.8</v>
      </c>
      <c r="M2094">
        <f>Sales_Per_Rep_Yearly_Goal!$C$3</f>
        <v>690000</v>
      </c>
    </row>
    <row r="2095" spans="1:13" x14ac:dyDescent="0.3">
      <c r="A2095" s="3">
        <v>45475</v>
      </c>
      <c r="B2095">
        <f t="shared" si="32"/>
        <v>2024</v>
      </c>
      <c r="C2095">
        <v>7</v>
      </c>
      <c r="D2095" t="s">
        <v>12</v>
      </c>
      <c r="E2095" t="s">
        <v>18</v>
      </c>
      <c r="F2095" s="2">
        <v>12615</v>
      </c>
      <c r="G2095" s="2">
        <f>Monthly_Growth!$C$20</f>
        <v>776919</v>
      </c>
      <c r="H2095" s="5">
        <f>Monthly_Growth!$D$20</f>
        <v>-0.27152529627257732</v>
      </c>
      <c r="I2095" s="15">
        <f>Yearly_Growth!$C$3</f>
        <v>0.11893113731787852</v>
      </c>
      <c r="J2095" s="15">
        <f>Yearly_Growth!$D$3</f>
        <v>0.09</v>
      </c>
      <c r="K2095">
        <f>Sales_Per_Representative!$C$24</f>
        <v>699277</v>
      </c>
      <c r="L2095">
        <f>Sales_Per_Rep_Yearly_Goal!$B$3</f>
        <v>689907.8</v>
      </c>
      <c r="M2095">
        <f>Sales_Per_Rep_Yearly_Goal!$C$3</f>
        <v>690000</v>
      </c>
    </row>
    <row r="2096" spans="1:13" x14ac:dyDescent="0.3">
      <c r="A2096" s="3">
        <v>45476</v>
      </c>
      <c r="B2096">
        <f t="shared" si="32"/>
        <v>2024</v>
      </c>
      <c r="C2096">
        <v>7</v>
      </c>
      <c r="D2096" t="s">
        <v>19</v>
      </c>
      <c r="E2096" t="s">
        <v>33</v>
      </c>
      <c r="F2096" s="2">
        <v>12750</v>
      </c>
      <c r="G2096" s="2">
        <f>Monthly_Growth!$C$20</f>
        <v>776919</v>
      </c>
      <c r="H2096" s="5">
        <f>Monthly_Growth!$D$20</f>
        <v>-0.27152529627257732</v>
      </c>
      <c r="I2096" s="15">
        <f>Yearly_Growth!$C$3</f>
        <v>0.11893113731787852</v>
      </c>
      <c r="J2096" s="15">
        <f>Yearly_Growth!$D$3</f>
        <v>0.09</v>
      </c>
      <c r="K2096">
        <f>Sales_Per_Representative!$C$26</f>
        <v>501360</v>
      </c>
      <c r="L2096">
        <f>Sales_Per_Rep_Yearly_Goal!$B$3</f>
        <v>689907.8</v>
      </c>
      <c r="M2096">
        <f>Sales_Per_Rep_Yearly_Goal!$C$3</f>
        <v>690000</v>
      </c>
    </row>
    <row r="2097" spans="1:13" x14ac:dyDescent="0.3">
      <c r="A2097" s="3">
        <v>45476</v>
      </c>
      <c r="B2097">
        <f t="shared" si="32"/>
        <v>2024</v>
      </c>
      <c r="C2097">
        <v>7</v>
      </c>
      <c r="D2097" t="s">
        <v>7</v>
      </c>
      <c r="E2097" t="s">
        <v>5</v>
      </c>
      <c r="F2097" s="2">
        <v>2238</v>
      </c>
      <c r="G2097" s="2">
        <f>Monthly_Growth!$C$20</f>
        <v>776919</v>
      </c>
      <c r="H2097" s="5">
        <f>Monthly_Growth!$D$20</f>
        <v>-0.27152529627257732</v>
      </c>
      <c r="I2097" s="15">
        <f>Yearly_Growth!$C$3</f>
        <v>0.11893113731787852</v>
      </c>
      <c r="J2097" s="15">
        <f>Yearly_Growth!$D$3</f>
        <v>0.09</v>
      </c>
      <c r="K2097">
        <f>Sales_Per_Representative!$C$25</f>
        <v>749460</v>
      </c>
      <c r="L2097">
        <f>Sales_Per_Rep_Yearly_Goal!$B$3</f>
        <v>689907.8</v>
      </c>
      <c r="M2097">
        <f>Sales_Per_Rep_Yearly_Goal!$C$3</f>
        <v>690000</v>
      </c>
    </row>
    <row r="2098" spans="1:13" x14ac:dyDescent="0.3">
      <c r="A2098" s="3">
        <v>45477</v>
      </c>
      <c r="B2098">
        <f t="shared" si="32"/>
        <v>2024</v>
      </c>
      <c r="C2098">
        <v>7</v>
      </c>
      <c r="D2098" t="s">
        <v>7</v>
      </c>
      <c r="E2098" t="s">
        <v>18</v>
      </c>
      <c r="F2098" s="2">
        <v>1657</v>
      </c>
      <c r="G2098" s="2">
        <f>Monthly_Growth!$C$20</f>
        <v>776919</v>
      </c>
      <c r="H2098" s="5">
        <f>Monthly_Growth!$D$20</f>
        <v>-0.27152529627257732</v>
      </c>
      <c r="I2098" s="15">
        <f>Yearly_Growth!$C$3</f>
        <v>0.11893113731787852</v>
      </c>
      <c r="J2098" s="15">
        <f>Yearly_Growth!$D$3</f>
        <v>0.09</v>
      </c>
      <c r="K2098">
        <f>Sales_Per_Representative!$C$24</f>
        <v>699277</v>
      </c>
      <c r="L2098">
        <f>Sales_Per_Rep_Yearly_Goal!$B$3</f>
        <v>689907.8</v>
      </c>
      <c r="M2098">
        <f>Sales_Per_Rep_Yearly_Goal!$C$3</f>
        <v>690000</v>
      </c>
    </row>
    <row r="2099" spans="1:13" x14ac:dyDescent="0.3">
      <c r="A2099" s="3">
        <v>45477</v>
      </c>
      <c r="B2099">
        <f t="shared" si="32"/>
        <v>2024</v>
      </c>
      <c r="C2099">
        <v>7</v>
      </c>
      <c r="D2099" t="s">
        <v>12</v>
      </c>
      <c r="E2099" t="s">
        <v>33</v>
      </c>
      <c r="F2099" s="2">
        <v>9886</v>
      </c>
      <c r="G2099" s="2">
        <f>Monthly_Growth!$C$20</f>
        <v>776919</v>
      </c>
      <c r="H2099" s="5">
        <f>Monthly_Growth!$D$20</f>
        <v>-0.27152529627257732</v>
      </c>
      <c r="I2099" s="15">
        <f>Yearly_Growth!$C$3</f>
        <v>0.11893113731787852</v>
      </c>
      <c r="J2099" s="15">
        <f>Yearly_Growth!$D$3</f>
        <v>0.09</v>
      </c>
      <c r="K2099">
        <f>Sales_Per_Representative!$C$26</f>
        <v>501360</v>
      </c>
      <c r="L2099">
        <f>Sales_Per_Rep_Yearly_Goal!$B$3</f>
        <v>689907.8</v>
      </c>
      <c r="M2099">
        <f>Sales_Per_Rep_Yearly_Goal!$C$3</f>
        <v>690000</v>
      </c>
    </row>
    <row r="2100" spans="1:13" x14ac:dyDescent="0.3">
      <c r="A2100" s="3">
        <v>45478</v>
      </c>
      <c r="B2100">
        <f t="shared" si="32"/>
        <v>2024</v>
      </c>
      <c r="C2100">
        <v>7</v>
      </c>
      <c r="D2100" t="s">
        <v>7</v>
      </c>
      <c r="E2100" t="s">
        <v>32</v>
      </c>
      <c r="F2100" s="2">
        <v>1384</v>
      </c>
      <c r="G2100" s="2">
        <f>Monthly_Growth!$C$20</f>
        <v>776919</v>
      </c>
      <c r="H2100" s="5">
        <f>Monthly_Growth!$D$20</f>
        <v>-0.27152529627257732</v>
      </c>
      <c r="I2100" s="15">
        <f>Yearly_Growth!$C$3</f>
        <v>0.11893113731787852</v>
      </c>
      <c r="J2100" s="15">
        <f>Yearly_Growth!$D$3</f>
        <v>0.09</v>
      </c>
      <c r="K2100">
        <f>Sales_Per_Representative!$C$18</f>
        <v>783907</v>
      </c>
      <c r="L2100">
        <f>Sales_Per_Rep_Yearly_Goal!$B$3</f>
        <v>689907.8</v>
      </c>
      <c r="M2100">
        <f>Sales_Per_Rep_Yearly_Goal!$C$3</f>
        <v>690000</v>
      </c>
    </row>
    <row r="2101" spans="1:13" x14ac:dyDescent="0.3">
      <c r="A2101" s="3">
        <v>45479</v>
      </c>
      <c r="B2101">
        <f t="shared" si="32"/>
        <v>2024</v>
      </c>
      <c r="C2101">
        <v>7</v>
      </c>
      <c r="D2101" t="s">
        <v>19</v>
      </c>
      <c r="E2101" t="s">
        <v>29</v>
      </c>
      <c r="F2101" s="2">
        <v>4222</v>
      </c>
      <c r="G2101" s="2">
        <f>Monthly_Growth!$C$20</f>
        <v>776919</v>
      </c>
      <c r="H2101" s="5">
        <f>Monthly_Growth!$D$20</f>
        <v>-0.27152529627257732</v>
      </c>
      <c r="I2101" s="15">
        <f>Yearly_Growth!$C$3</f>
        <v>0.11893113731787852</v>
      </c>
      <c r="J2101" s="15">
        <f>Yearly_Growth!$D$3</f>
        <v>0.09</v>
      </c>
      <c r="K2101">
        <f>Sales_Per_Representative!$C$28</f>
        <v>691917</v>
      </c>
      <c r="L2101">
        <f>Sales_Per_Rep_Yearly_Goal!$B$3</f>
        <v>689907.8</v>
      </c>
      <c r="M2101">
        <f>Sales_Per_Rep_Yearly_Goal!$C$3</f>
        <v>690000</v>
      </c>
    </row>
    <row r="2102" spans="1:13" x14ac:dyDescent="0.3">
      <c r="A2102" s="3">
        <v>45480</v>
      </c>
      <c r="B2102">
        <f t="shared" si="32"/>
        <v>2024</v>
      </c>
      <c r="C2102">
        <v>7</v>
      </c>
      <c r="D2102" t="s">
        <v>14</v>
      </c>
      <c r="E2102" t="s">
        <v>33</v>
      </c>
      <c r="F2102" s="2">
        <v>13377</v>
      </c>
      <c r="G2102" s="2">
        <f>Monthly_Growth!$C$20</f>
        <v>776919</v>
      </c>
      <c r="H2102" s="5">
        <f>Monthly_Growth!$D$20</f>
        <v>-0.27152529627257732</v>
      </c>
      <c r="I2102" s="15">
        <f>Yearly_Growth!$C$3</f>
        <v>0.11893113731787852</v>
      </c>
      <c r="J2102" s="15">
        <f>Yearly_Growth!$D$3</f>
        <v>0.09</v>
      </c>
      <c r="K2102">
        <f>Sales_Per_Representative!$C$26</f>
        <v>501360</v>
      </c>
      <c r="L2102">
        <f>Sales_Per_Rep_Yearly_Goal!$B$3</f>
        <v>689907.8</v>
      </c>
      <c r="M2102">
        <f>Sales_Per_Rep_Yearly_Goal!$C$3</f>
        <v>690000</v>
      </c>
    </row>
    <row r="2103" spans="1:13" x14ac:dyDescent="0.3">
      <c r="A2103" s="3">
        <v>45480</v>
      </c>
      <c r="B2103">
        <f t="shared" si="32"/>
        <v>2024</v>
      </c>
      <c r="C2103">
        <v>7</v>
      </c>
      <c r="D2103" t="s">
        <v>14</v>
      </c>
      <c r="E2103" t="s">
        <v>32</v>
      </c>
      <c r="F2103" s="2">
        <v>5627</v>
      </c>
      <c r="G2103" s="2">
        <f>Monthly_Growth!$C$20</f>
        <v>776919</v>
      </c>
      <c r="H2103" s="5">
        <f>Monthly_Growth!$D$20</f>
        <v>-0.27152529627257732</v>
      </c>
      <c r="I2103" s="15">
        <f>Yearly_Growth!$C$3</f>
        <v>0.11893113731787852</v>
      </c>
      <c r="J2103" s="15">
        <f>Yearly_Growth!$D$3</f>
        <v>0.09</v>
      </c>
      <c r="K2103">
        <f>Sales_Per_Representative!$C$18</f>
        <v>783907</v>
      </c>
      <c r="L2103">
        <f>Sales_Per_Rep_Yearly_Goal!$B$3</f>
        <v>689907.8</v>
      </c>
      <c r="M2103">
        <f>Sales_Per_Rep_Yearly_Goal!$C$3</f>
        <v>690000</v>
      </c>
    </row>
    <row r="2104" spans="1:13" x14ac:dyDescent="0.3">
      <c r="A2104" s="3">
        <v>45480</v>
      </c>
      <c r="B2104">
        <f t="shared" si="32"/>
        <v>2024</v>
      </c>
      <c r="C2104">
        <v>7</v>
      </c>
      <c r="D2104" t="s">
        <v>23</v>
      </c>
      <c r="E2104" t="s">
        <v>18</v>
      </c>
      <c r="F2104" s="2">
        <v>7566</v>
      </c>
      <c r="G2104" s="2">
        <f>Monthly_Growth!$C$20</f>
        <v>776919</v>
      </c>
      <c r="H2104" s="5">
        <f>Monthly_Growth!$D$20</f>
        <v>-0.27152529627257732</v>
      </c>
      <c r="I2104" s="15">
        <f>Yearly_Growth!$C$3</f>
        <v>0.11893113731787852</v>
      </c>
      <c r="J2104" s="15">
        <f>Yearly_Growth!$D$3</f>
        <v>0.09</v>
      </c>
      <c r="K2104">
        <f>Sales_Per_Representative!$C$24</f>
        <v>699277</v>
      </c>
      <c r="L2104">
        <f>Sales_Per_Rep_Yearly_Goal!$B$3</f>
        <v>689907.8</v>
      </c>
      <c r="M2104">
        <f>Sales_Per_Rep_Yearly_Goal!$C$3</f>
        <v>690000</v>
      </c>
    </row>
    <row r="2105" spans="1:13" x14ac:dyDescent="0.3">
      <c r="A2105" s="3">
        <v>45480</v>
      </c>
      <c r="B2105">
        <f t="shared" si="32"/>
        <v>2024</v>
      </c>
      <c r="C2105">
        <v>7</v>
      </c>
      <c r="D2105" t="s">
        <v>12</v>
      </c>
      <c r="E2105" t="s">
        <v>24</v>
      </c>
      <c r="F2105" s="2">
        <v>12382</v>
      </c>
      <c r="G2105" s="2">
        <f>Monthly_Growth!$C$20</f>
        <v>776919</v>
      </c>
      <c r="H2105" s="5">
        <f>Monthly_Growth!$D$20</f>
        <v>-0.27152529627257732</v>
      </c>
      <c r="I2105" s="15">
        <f>Yearly_Growth!$C$3</f>
        <v>0.11893113731787852</v>
      </c>
      <c r="J2105" s="15">
        <f>Yearly_Growth!$D$3</f>
        <v>0.09</v>
      </c>
      <c r="K2105">
        <f>Sales_Per_Representative!$C$17</f>
        <v>633956</v>
      </c>
      <c r="L2105">
        <f>Sales_Per_Rep_Yearly_Goal!$B$3</f>
        <v>689907.8</v>
      </c>
      <c r="M2105">
        <f>Sales_Per_Rep_Yearly_Goal!$C$3</f>
        <v>690000</v>
      </c>
    </row>
    <row r="2106" spans="1:13" x14ac:dyDescent="0.3">
      <c r="A2106" s="3">
        <v>45481</v>
      </c>
      <c r="B2106">
        <f t="shared" si="32"/>
        <v>2024</v>
      </c>
      <c r="C2106">
        <v>7</v>
      </c>
      <c r="D2106" t="s">
        <v>19</v>
      </c>
      <c r="E2106" t="s">
        <v>18</v>
      </c>
      <c r="F2106" s="2">
        <v>8268</v>
      </c>
      <c r="G2106" s="2">
        <f>Monthly_Growth!$C$20</f>
        <v>776919</v>
      </c>
      <c r="H2106" s="5">
        <f>Monthly_Growth!$D$20</f>
        <v>-0.27152529627257732</v>
      </c>
      <c r="I2106" s="15">
        <f>Yearly_Growth!$C$3</f>
        <v>0.11893113731787852</v>
      </c>
      <c r="J2106" s="15">
        <f>Yearly_Growth!$D$3</f>
        <v>0.09</v>
      </c>
      <c r="K2106">
        <f>Sales_Per_Representative!$C$24</f>
        <v>699277</v>
      </c>
      <c r="L2106">
        <f>Sales_Per_Rep_Yearly_Goal!$B$3</f>
        <v>689907.8</v>
      </c>
      <c r="M2106">
        <f>Sales_Per_Rep_Yearly_Goal!$C$3</f>
        <v>690000</v>
      </c>
    </row>
    <row r="2107" spans="1:13" x14ac:dyDescent="0.3">
      <c r="A2107" s="3">
        <v>45481</v>
      </c>
      <c r="B2107">
        <f t="shared" si="32"/>
        <v>2024</v>
      </c>
      <c r="C2107">
        <v>7</v>
      </c>
      <c r="D2107" t="s">
        <v>28</v>
      </c>
      <c r="E2107" t="s">
        <v>22</v>
      </c>
      <c r="F2107" s="2">
        <v>5738</v>
      </c>
      <c r="G2107" s="2">
        <f>Monthly_Growth!$C$20</f>
        <v>776919</v>
      </c>
      <c r="H2107" s="5">
        <f>Monthly_Growth!$D$20</f>
        <v>-0.27152529627257732</v>
      </c>
      <c r="I2107" s="15">
        <f>Yearly_Growth!$C$3</f>
        <v>0.11893113731787852</v>
      </c>
      <c r="J2107" s="15">
        <f>Yearly_Growth!$D$3</f>
        <v>0.09</v>
      </c>
      <c r="K2107">
        <f>Sales_Per_Representative!$C$23</f>
        <v>697444</v>
      </c>
      <c r="L2107">
        <f>Sales_Per_Rep_Yearly_Goal!$B$3</f>
        <v>689907.8</v>
      </c>
      <c r="M2107">
        <f>Sales_Per_Rep_Yearly_Goal!$C$3</f>
        <v>690000</v>
      </c>
    </row>
    <row r="2108" spans="1:13" x14ac:dyDescent="0.3">
      <c r="A2108" s="3">
        <v>45481</v>
      </c>
      <c r="B2108">
        <f t="shared" si="32"/>
        <v>2024</v>
      </c>
      <c r="C2108">
        <v>7</v>
      </c>
      <c r="D2108" t="s">
        <v>28</v>
      </c>
      <c r="E2108" t="s">
        <v>20</v>
      </c>
      <c r="F2108" s="2">
        <v>13377</v>
      </c>
      <c r="G2108" s="2">
        <f>Monthly_Growth!$C$20</f>
        <v>776919</v>
      </c>
      <c r="H2108" s="5">
        <f>Monthly_Growth!$D$20</f>
        <v>-0.27152529627257732</v>
      </c>
      <c r="I2108" s="15">
        <f>Yearly_Growth!$C$3</f>
        <v>0.11893113731787852</v>
      </c>
      <c r="J2108" s="15">
        <f>Yearly_Growth!$D$3</f>
        <v>0.09</v>
      </c>
      <c r="K2108">
        <f>Sales_Per_Representative!$C$29</f>
        <v>753085</v>
      </c>
      <c r="L2108">
        <f>Sales_Per_Rep_Yearly_Goal!$B$3</f>
        <v>689907.8</v>
      </c>
      <c r="M2108">
        <f>Sales_Per_Rep_Yearly_Goal!$C$3</f>
        <v>690000</v>
      </c>
    </row>
    <row r="2109" spans="1:13" x14ac:dyDescent="0.3">
      <c r="A2109" s="3">
        <v>45481</v>
      </c>
      <c r="B2109">
        <f t="shared" si="32"/>
        <v>2024</v>
      </c>
      <c r="C2109">
        <v>7</v>
      </c>
      <c r="D2109" t="s">
        <v>12</v>
      </c>
      <c r="E2109" t="s">
        <v>10</v>
      </c>
      <c r="F2109" s="2">
        <v>4267</v>
      </c>
      <c r="G2109" s="2">
        <f>Monthly_Growth!$C$20</f>
        <v>776919</v>
      </c>
      <c r="H2109" s="5">
        <f>Monthly_Growth!$D$20</f>
        <v>-0.27152529627257732</v>
      </c>
      <c r="I2109" s="15">
        <f>Yearly_Growth!$C$3</f>
        <v>0.11893113731787852</v>
      </c>
      <c r="J2109" s="15">
        <f>Yearly_Growth!$D$3</f>
        <v>0.09</v>
      </c>
      <c r="K2109">
        <f>Sales_Per_Representative!$C$19</f>
        <v>711816</v>
      </c>
      <c r="L2109">
        <f>Sales_Per_Rep_Yearly_Goal!$B$3</f>
        <v>689907.8</v>
      </c>
      <c r="M2109">
        <f>Sales_Per_Rep_Yearly_Goal!$C$3</f>
        <v>690000</v>
      </c>
    </row>
    <row r="2110" spans="1:13" x14ac:dyDescent="0.3">
      <c r="A2110" s="3">
        <v>45481</v>
      </c>
      <c r="B2110">
        <f t="shared" si="32"/>
        <v>2024</v>
      </c>
      <c r="C2110">
        <v>7</v>
      </c>
      <c r="D2110" t="s">
        <v>12</v>
      </c>
      <c r="E2110" t="s">
        <v>10</v>
      </c>
      <c r="F2110" s="2">
        <v>5254</v>
      </c>
      <c r="G2110" s="2">
        <f>Monthly_Growth!$C$20</f>
        <v>776919</v>
      </c>
      <c r="H2110" s="5">
        <f>Monthly_Growth!$D$20</f>
        <v>-0.27152529627257732</v>
      </c>
      <c r="I2110" s="15">
        <f>Yearly_Growth!$C$3</f>
        <v>0.11893113731787852</v>
      </c>
      <c r="J2110" s="15">
        <f>Yearly_Growth!$D$3</f>
        <v>0.09</v>
      </c>
      <c r="K2110">
        <f>Sales_Per_Representative!$C$19</f>
        <v>711816</v>
      </c>
      <c r="L2110">
        <f>Sales_Per_Rep_Yearly_Goal!$B$3</f>
        <v>689907.8</v>
      </c>
      <c r="M2110">
        <f>Sales_Per_Rep_Yearly_Goal!$C$3</f>
        <v>690000</v>
      </c>
    </row>
    <row r="2111" spans="1:13" x14ac:dyDescent="0.3">
      <c r="A2111" s="3">
        <v>45482</v>
      </c>
      <c r="B2111">
        <f t="shared" si="32"/>
        <v>2024</v>
      </c>
      <c r="C2111">
        <v>7</v>
      </c>
      <c r="D2111" t="s">
        <v>14</v>
      </c>
      <c r="E2111" t="s">
        <v>27</v>
      </c>
      <c r="F2111" s="2">
        <v>9051</v>
      </c>
      <c r="G2111" s="2">
        <f>Monthly_Growth!$C$20</f>
        <v>776919</v>
      </c>
      <c r="H2111" s="5">
        <f>Monthly_Growth!$D$20</f>
        <v>-0.27152529627257732</v>
      </c>
      <c r="I2111" s="15">
        <f>Yearly_Growth!$C$3</f>
        <v>0.11893113731787852</v>
      </c>
      <c r="J2111" s="15">
        <f>Yearly_Growth!$D$3</f>
        <v>0.09</v>
      </c>
      <c r="K2111">
        <f>Sales_Per_Representative!$C$20</f>
        <v>685380</v>
      </c>
      <c r="L2111">
        <f>Sales_Per_Rep_Yearly_Goal!$B$3</f>
        <v>689907.8</v>
      </c>
      <c r="M2111">
        <f>Sales_Per_Rep_Yearly_Goal!$C$3</f>
        <v>690000</v>
      </c>
    </row>
    <row r="2112" spans="1:13" x14ac:dyDescent="0.3">
      <c r="A2112" s="3">
        <v>45482</v>
      </c>
      <c r="B2112">
        <f t="shared" si="32"/>
        <v>2024</v>
      </c>
      <c r="C2112">
        <v>7</v>
      </c>
      <c r="D2112" t="s">
        <v>14</v>
      </c>
      <c r="E2112" t="s">
        <v>18</v>
      </c>
      <c r="F2112" s="2">
        <v>12311</v>
      </c>
      <c r="G2112" s="2">
        <f>Monthly_Growth!$C$20</f>
        <v>776919</v>
      </c>
      <c r="H2112" s="5">
        <f>Monthly_Growth!$D$20</f>
        <v>-0.27152529627257732</v>
      </c>
      <c r="I2112" s="15">
        <f>Yearly_Growth!$C$3</f>
        <v>0.11893113731787852</v>
      </c>
      <c r="J2112" s="15">
        <f>Yearly_Growth!$D$3</f>
        <v>0.09</v>
      </c>
      <c r="K2112">
        <f>Sales_Per_Representative!$C$24</f>
        <v>699277</v>
      </c>
      <c r="L2112">
        <f>Sales_Per_Rep_Yearly_Goal!$B$3</f>
        <v>689907.8</v>
      </c>
      <c r="M2112">
        <f>Sales_Per_Rep_Yearly_Goal!$C$3</f>
        <v>690000</v>
      </c>
    </row>
    <row r="2113" spans="1:13" x14ac:dyDescent="0.3">
      <c r="A2113" s="3">
        <v>45482</v>
      </c>
      <c r="B2113">
        <f t="shared" si="32"/>
        <v>2024</v>
      </c>
      <c r="C2113">
        <v>7</v>
      </c>
      <c r="D2113" t="s">
        <v>19</v>
      </c>
      <c r="E2113" t="s">
        <v>24</v>
      </c>
      <c r="F2113" s="2">
        <v>6230</v>
      </c>
      <c r="G2113" s="2">
        <f>Monthly_Growth!$C$20</f>
        <v>776919</v>
      </c>
      <c r="H2113" s="5">
        <f>Monthly_Growth!$D$20</f>
        <v>-0.27152529627257732</v>
      </c>
      <c r="I2113" s="15">
        <f>Yearly_Growth!$C$3</f>
        <v>0.11893113731787852</v>
      </c>
      <c r="J2113" s="15">
        <f>Yearly_Growth!$D$3</f>
        <v>0.09</v>
      </c>
      <c r="K2113">
        <f>Sales_Per_Representative!$C$17</f>
        <v>633956</v>
      </c>
      <c r="L2113">
        <f>Sales_Per_Rep_Yearly_Goal!$B$3</f>
        <v>689907.8</v>
      </c>
      <c r="M2113">
        <f>Sales_Per_Rep_Yearly_Goal!$C$3</f>
        <v>690000</v>
      </c>
    </row>
    <row r="2114" spans="1:13" x14ac:dyDescent="0.3">
      <c r="A2114" s="3">
        <v>45482</v>
      </c>
      <c r="B2114">
        <f t="shared" si="32"/>
        <v>2024</v>
      </c>
      <c r="C2114">
        <v>7</v>
      </c>
      <c r="D2114" t="s">
        <v>25</v>
      </c>
      <c r="E2114" t="s">
        <v>29</v>
      </c>
      <c r="F2114" s="2">
        <v>7264</v>
      </c>
      <c r="G2114" s="2">
        <f>Monthly_Growth!$C$20</f>
        <v>776919</v>
      </c>
      <c r="H2114" s="5">
        <f>Monthly_Growth!$D$20</f>
        <v>-0.27152529627257732</v>
      </c>
      <c r="I2114" s="15">
        <f>Yearly_Growth!$C$3</f>
        <v>0.11893113731787852</v>
      </c>
      <c r="J2114" s="15">
        <f>Yearly_Growth!$D$3</f>
        <v>0.09</v>
      </c>
      <c r="K2114">
        <f>Sales_Per_Representative!$C$28</f>
        <v>691917</v>
      </c>
      <c r="L2114">
        <f>Sales_Per_Rep_Yearly_Goal!$B$3</f>
        <v>689907.8</v>
      </c>
      <c r="M2114">
        <f>Sales_Per_Rep_Yearly_Goal!$C$3</f>
        <v>690000</v>
      </c>
    </row>
    <row r="2115" spans="1:13" x14ac:dyDescent="0.3">
      <c r="A2115" s="3">
        <v>45482</v>
      </c>
      <c r="B2115">
        <f t="shared" ref="B2115:B2178" si="33">YEAR(A2115)</f>
        <v>2024</v>
      </c>
      <c r="C2115">
        <v>7</v>
      </c>
      <c r="D2115" t="s">
        <v>25</v>
      </c>
      <c r="E2115" t="s">
        <v>18</v>
      </c>
      <c r="F2115" s="2">
        <v>10849</v>
      </c>
      <c r="G2115" s="2">
        <f>Monthly_Growth!$C$20</f>
        <v>776919</v>
      </c>
      <c r="H2115" s="5">
        <f>Monthly_Growth!$D$20</f>
        <v>-0.27152529627257732</v>
      </c>
      <c r="I2115" s="15">
        <f>Yearly_Growth!$C$3</f>
        <v>0.11893113731787852</v>
      </c>
      <c r="J2115" s="15">
        <f>Yearly_Growth!$D$3</f>
        <v>0.09</v>
      </c>
      <c r="K2115">
        <f>Sales_Per_Representative!$C$24</f>
        <v>699277</v>
      </c>
      <c r="L2115">
        <f>Sales_Per_Rep_Yearly_Goal!$B$3</f>
        <v>689907.8</v>
      </c>
      <c r="M2115">
        <f>Sales_Per_Rep_Yearly_Goal!$C$3</f>
        <v>690000</v>
      </c>
    </row>
    <row r="2116" spans="1:13" x14ac:dyDescent="0.3">
      <c r="A2116" s="3">
        <v>45482</v>
      </c>
      <c r="B2116">
        <f t="shared" si="33"/>
        <v>2024</v>
      </c>
      <c r="C2116">
        <v>7</v>
      </c>
      <c r="D2116" t="s">
        <v>7</v>
      </c>
      <c r="E2116" t="s">
        <v>30</v>
      </c>
      <c r="F2116" s="2">
        <v>13471</v>
      </c>
      <c r="G2116" s="2">
        <f>Monthly_Growth!$C$20</f>
        <v>776919</v>
      </c>
      <c r="H2116" s="5">
        <f>Monthly_Growth!$D$20</f>
        <v>-0.27152529627257732</v>
      </c>
      <c r="I2116" s="15">
        <f>Yearly_Growth!$C$3</f>
        <v>0.11893113731787852</v>
      </c>
      <c r="J2116" s="15">
        <f>Yearly_Growth!$D$3</f>
        <v>0.09</v>
      </c>
      <c r="K2116">
        <f>Sales_Per_Representative!$C$22</f>
        <v>700142</v>
      </c>
      <c r="L2116">
        <f>Sales_Per_Rep_Yearly_Goal!$B$3</f>
        <v>689907.8</v>
      </c>
      <c r="M2116">
        <f>Sales_Per_Rep_Yearly_Goal!$C$3</f>
        <v>690000</v>
      </c>
    </row>
    <row r="2117" spans="1:13" x14ac:dyDescent="0.3">
      <c r="A2117" s="3">
        <v>45482</v>
      </c>
      <c r="B2117">
        <f t="shared" si="33"/>
        <v>2024</v>
      </c>
      <c r="C2117">
        <v>7</v>
      </c>
      <c r="D2117" t="s">
        <v>12</v>
      </c>
      <c r="E2117" t="s">
        <v>8</v>
      </c>
      <c r="F2117" s="2">
        <v>5089</v>
      </c>
      <c r="G2117" s="2">
        <f>Monthly_Growth!$C$20</f>
        <v>776919</v>
      </c>
      <c r="H2117" s="5">
        <f>Monthly_Growth!$D$20</f>
        <v>-0.27152529627257732</v>
      </c>
      <c r="I2117" s="15">
        <f>Yearly_Growth!$C$3</f>
        <v>0.11893113731787852</v>
      </c>
      <c r="J2117" s="15">
        <f>Yearly_Growth!$D$3</f>
        <v>0.09</v>
      </c>
      <c r="K2117">
        <f>Sales_Per_Representative!$C$30</f>
        <v>780006</v>
      </c>
      <c r="L2117">
        <f>Sales_Per_Rep_Yearly_Goal!$B$3</f>
        <v>689907.8</v>
      </c>
      <c r="M2117">
        <f>Sales_Per_Rep_Yearly_Goal!$C$3</f>
        <v>690000</v>
      </c>
    </row>
    <row r="2118" spans="1:13" x14ac:dyDescent="0.3">
      <c r="A2118" s="3">
        <v>45483</v>
      </c>
      <c r="B2118">
        <f t="shared" si="33"/>
        <v>2024</v>
      </c>
      <c r="C2118">
        <v>7</v>
      </c>
      <c r="D2118" t="s">
        <v>7</v>
      </c>
      <c r="E2118" t="s">
        <v>29</v>
      </c>
      <c r="F2118" s="2">
        <v>4856</v>
      </c>
      <c r="G2118" s="2">
        <f>Monthly_Growth!$C$20</f>
        <v>776919</v>
      </c>
      <c r="H2118" s="5">
        <f>Monthly_Growth!$D$20</f>
        <v>-0.27152529627257732</v>
      </c>
      <c r="I2118" s="15">
        <f>Yearly_Growth!$C$3</f>
        <v>0.11893113731787852</v>
      </c>
      <c r="J2118" s="15">
        <f>Yearly_Growth!$D$3</f>
        <v>0.09</v>
      </c>
      <c r="K2118">
        <f>Sales_Per_Representative!$C$28</f>
        <v>691917</v>
      </c>
      <c r="L2118">
        <f>Sales_Per_Rep_Yearly_Goal!$B$3</f>
        <v>689907.8</v>
      </c>
      <c r="M2118">
        <f>Sales_Per_Rep_Yearly_Goal!$C$3</f>
        <v>690000</v>
      </c>
    </row>
    <row r="2119" spans="1:13" x14ac:dyDescent="0.3">
      <c r="A2119" s="3">
        <v>45483</v>
      </c>
      <c r="B2119">
        <f t="shared" si="33"/>
        <v>2024</v>
      </c>
      <c r="C2119">
        <v>7</v>
      </c>
      <c r="D2119" t="s">
        <v>7</v>
      </c>
      <c r="E2119" t="s">
        <v>20</v>
      </c>
      <c r="F2119" s="2">
        <v>13645</v>
      </c>
      <c r="G2119" s="2">
        <f>Monthly_Growth!$C$20</f>
        <v>776919</v>
      </c>
      <c r="H2119" s="5">
        <f>Monthly_Growth!$D$20</f>
        <v>-0.27152529627257732</v>
      </c>
      <c r="I2119" s="15">
        <f>Yearly_Growth!$C$3</f>
        <v>0.11893113731787852</v>
      </c>
      <c r="J2119" s="15">
        <f>Yearly_Growth!$D$3</f>
        <v>0.09</v>
      </c>
      <c r="K2119">
        <f>Sales_Per_Representative!$C$29</f>
        <v>753085</v>
      </c>
      <c r="L2119">
        <f>Sales_Per_Rep_Yearly_Goal!$B$3</f>
        <v>689907.8</v>
      </c>
      <c r="M2119">
        <f>Sales_Per_Rep_Yearly_Goal!$C$3</f>
        <v>690000</v>
      </c>
    </row>
    <row r="2120" spans="1:13" x14ac:dyDescent="0.3">
      <c r="A2120" s="3">
        <v>45483</v>
      </c>
      <c r="B2120">
        <f t="shared" si="33"/>
        <v>2024</v>
      </c>
      <c r="C2120">
        <v>7</v>
      </c>
      <c r="D2120" t="s">
        <v>28</v>
      </c>
      <c r="E2120" t="s">
        <v>26</v>
      </c>
      <c r="F2120" s="2">
        <v>5454</v>
      </c>
      <c r="G2120" s="2">
        <f>Monthly_Growth!$C$20</f>
        <v>776919</v>
      </c>
      <c r="H2120" s="5">
        <f>Monthly_Growth!$D$20</f>
        <v>-0.27152529627257732</v>
      </c>
      <c r="I2120" s="15">
        <f>Yearly_Growth!$C$3</f>
        <v>0.11893113731787852</v>
      </c>
      <c r="J2120" s="15">
        <f>Yearly_Growth!$D$3</f>
        <v>0.09</v>
      </c>
      <c r="K2120">
        <f>Sales_Per_Representative!$C$31</f>
        <v>664244</v>
      </c>
      <c r="L2120">
        <f>Sales_Per_Rep_Yearly_Goal!$B$3</f>
        <v>689907.8</v>
      </c>
      <c r="M2120">
        <f>Sales_Per_Rep_Yearly_Goal!$C$3</f>
        <v>690000</v>
      </c>
    </row>
    <row r="2121" spans="1:13" x14ac:dyDescent="0.3">
      <c r="A2121" s="3">
        <v>45483</v>
      </c>
      <c r="B2121">
        <f t="shared" si="33"/>
        <v>2024</v>
      </c>
      <c r="C2121">
        <v>7</v>
      </c>
      <c r="D2121" t="s">
        <v>17</v>
      </c>
      <c r="E2121" t="s">
        <v>30</v>
      </c>
      <c r="F2121" s="2">
        <v>3690</v>
      </c>
      <c r="G2121" s="2">
        <f>Monthly_Growth!$C$20</f>
        <v>776919</v>
      </c>
      <c r="H2121" s="5">
        <f>Monthly_Growth!$D$20</f>
        <v>-0.27152529627257732</v>
      </c>
      <c r="I2121" s="15">
        <f>Yearly_Growth!$C$3</f>
        <v>0.11893113731787852</v>
      </c>
      <c r="J2121" s="15">
        <f>Yearly_Growth!$D$3</f>
        <v>0.09</v>
      </c>
      <c r="K2121">
        <f>Sales_Per_Representative!$C$22</f>
        <v>700142</v>
      </c>
      <c r="L2121">
        <f>Sales_Per_Rep_Yearly_Goal!$B$3</f>
        <v>689907.8</v>
      </c>
      <c r="M2121">
        <f>Sales_Per_Rep_Yearly_Goal!$C$3</f>
        <v>690000</v>
      </c>
    </row>
    <row r="2122" spans="1:13" x14ac:dyDescent="0.3">
      <c r="A2122" s="3">
        <v>45483</v>
      </c>
      <c r="B2122">
        <f t="shared" si="33"/>
        <v>2024</v>
      </c>
      <c r="C2122">
        <v>7</v>
      </c>
      <c r="D2122" t="s">
        <v>17</v>
      </c>
      <c r="E2122" t="s">
        <v>29</v>
      </c>
      <c r="F2122" s="2">
        <v>10538</v>
      </c>
      <c r="G2122" s="2">
        <f>Monthly_Growth!$C$20</f>
        <v>776919</v>
      </c>
      <c r="H2122" s="5">
        <f>Monthly_Growth!$D$20</f>
        <v>-0.27152529627257732</v>
      </c>
      <c r="I2122" s="15">
        <f>Yearly_Growth!$C$3</f>
        <v>0.11893113731787852</v>
      </c>
      <c r="J2122" s="15">
        <f>Yearly_Growth!$D$3</f>
        <v>0.09</v>
      </c>
      <c r="K2122">
        <f>Sales_Per_Representative!$C$28</f>
        <v>691917</v>
      </c>
      <c r="L2122">
        <f>Sales_Per_Rep_Yearly_Goal!$B$3</f>
        <v>689907.8</v>
      </c>
      <c r="M2122">
        <f>Sales_Per_Rep_Yearly_Goal!$C$3</f>
        <v>690000</v>
      </c>
    </row>
    <row r="2123" spans="1:13" x14ac:dyDescent="0.3">
      <c r="A2123" s="3">
        <v>45483</v>
      </c>
      <c r="B2123">
        <f t="shared" si="33"/>
        <v>2024</v>
      </c>
      <c r="C2123">
        <v>7</v>
      </c>
      <c r="D2123" t="s">
        <v>12</v>
      </c>
      <c r="E2123" t="s">
        <v>8</v>
      </c>
      <c r="F2123" s="2">
        <v>13394</v>
      </c>
      <c r="G2123" s="2">
        <f>Monthly_Growth!$C$20</f>
        <v>776919</v>
      </c>
      <c r="H2123" s="5">
        <f>Monthly_Growth!$D$20</f>
        <v>-0.27152529627257732</v>
      </c>
      <c r="I2123" s="15">
        <f>Yearly_Growth!$C$3</f>
        <v>0.11893113731787852</v>
      </c>
      <c r="J2123" s="15">
        <f>Yearly_Growth!$D$3</f>
        <v>0.09</v>
      </c>
      <c r="K2123">
        <f>Sales_Per_Representative!$C$30</f>
        <v>780006</v>
      </c>
      <c r="L2123">
        <f>Sales_Per_Rep_Yearly_Goal!$B$3</f>
        <v>689907.8</v>
      </c>
      <c r="M2123">
        <f>Sales_Per_Rep_Yearly_Goal!$C$3</f>
        <v>690000</v>
      </c>
    </row>
    <row r="2124" spans="1:13" x14ac:dyDescent="0.3">
      <c r="A2124" s="3">
        <v>45484</v>
      </c>
      <c r="B2124">
        <f t="shared" si="33"/>
        <v>2024</v>
      </c>
      <c r="C2124">
        <v>7</v>
      </c>
      <c r="D2124" t="s">
        <v>19</v>
      </c>
      <c r="E2124" t="s">
        <v>27</v>
      </c>
      <c r="F2124" s="2">
        <v>7625</v>
      </c>
      <c r="G2124" s="2">
        <f>Monthly_Growth!$C$20</f>
        <v>776919</v>
      </c>
      <c r="H2124" s="5">
        <f>Monthly_Growth!$D$20</f>
        <v>-0.27152529627257732</v>
      </c>
      <c r="I2124" s="15">
        <f>Yearly_Growth!$C$3</f>
        <v>0.11893113731787852</v>
      </c>
      <c r="J2124" s="15">
        <f>Yearly_Growth!$D$3</f>
        <v>0.09</v>
      </c>
      <c r="K2124">
        <f>Sales_Per_Representative!$C$20</f>
        <v>685380</v>
      </c>
      <c r="L2124">
        <f>Sales_Per_Rep_Yearly_Goal!$B$3</f>
        <v>689907.8</v>
      </c>
      <c r="M2124">
        <f>Sales_Per_Rep_Yearly_Goal!$C$3</f>
        <v>690000</v>
      </c>
    </row>
    <row r="2125" spans="1:13" x14ac:dyDescent="0.3">
      <c r="A2125" s="3">
        <v>45484</v>
      </c>
      <c r="B2125">
        <f t="shared" si="33"/>
        <v>2024</v>
      </c>
      <c r="C2125">
        <v>7</v>
      </c>
      <c r="D2125" t="s">
        <v>7</v>
      </c>
      <c r="E2125" t="s">
        <v>10</v>
      </c>
      <c r="F2125" s="2">
        <v>1784</v>
      </c>
      <c r="G2125" s="2">
        <f>Monthly_Growth!$C$20</f>
        <v>776919</v>
      </c>
      <c r="H2125" s="5">
        <f>Monthly_Growth!$D$20</f>
        <v>-0.27152529627257732</v>
      </c>
      <c r="I2125" s="15">
        <f>Yearly_Growth!$C$3</f>
        <v>0.11893113731787852</v>
      </c>
      <c r="J2125" s="15">
        <f>Yearly_Growth!$D$3</f>
        <v>0.09</v>
      </c>
      <c r="K2125">
        <f>Sales_Per_Representative!$C$19</f>
        <v>711816</v>
      </c>
      <c r="L2125">
        <f>Sales_Per_Rep_Yearly_Goal!$B$3</f>
        <v>689907.8</v>
      </c>
      <c r="M2125">
        <f>Sales_Per_Rep_Yearly_Goal!$C$3</f>
        <v>690000</v>
      </c>
    </row>
    <row r="2126" spans="1:13" x14ac:dyDescent="0.3">
      <c r="A2126" s="3">
        <v>45484</v>
      </c>
      <c r="B2126">
        <f t="shared" si="33"/>
        <v>2024</v>
      </c>
      <c r="C2126">
        <v>7</v>
      </c>
      <c r="D2126" t="s">
        <v>28</v>
      </c>
      <c r="E2126" t="s">
        <v>20</v>
      </c>
      <c r="F2126" s="2">
        <v>10518</v>
      </c>
      <c r="G2126" s="2">
        <f>Monthly_Growth!$C$20</f>
        <v>776919</v>
      </c>
      <c r="H2126" s="5">
        <f>Monthly_Growth!$D$20</f>
        <v>-0.27152529627257732</v>
      </c>
      <c r="I2126" s="15">
        <f>Yearly_Growth!$C$3</f>
        <v>0.11893113731787852</v>
      </c>
      <c r="J2126" s="15">
        <f>Yearly_Growth!$D$3</f>
        <v>0.09</v>
      </c>
      <c r="K2126">
        <f>Sales_Per_Representative!$C$29</f>
        <v>753085</v>
      </c>
      <c r="L2126">
        <f>Sales_Per_Rep_Yearly_Goal!$B$3</f>
        <v>689907.8</v>
      </c>
      <c r="M2126">
        <f>Sales_Per_Rep_Yearly_Goal!$C$3</f>
        <v>690000</v>
      </c>
    </row>
    <row r="2127" spans="1:13" x14ac:dyDescent="0.3">
      <c r="A2127" s="3">
        <v>45485</v>
      </c>
      <c r="B2127">
        <f t="shared" si="33"/>
        <v>2024</v>
      </c>
      <c r="C2127">
        <v>7</v>
      </c>
      <c r="D2127" t="s">
        <v>19</v>
      </c>
      <c r="E2127" t="s">
        <v>20</v>
      </c>
      <c r="F2127" s="2">
        <v>3971</v>
      </c>
      <c r="G2127" s="2">
        <f>Monthly_Growth!$C$20</f>
        <v>776919</v>
      </c>
      <c r="H2127" s="5">
        <f>Monthly_Growth!$D$20</f>
        <v>-0.27152529627257732</v>
      </c>
      <c r="I2127" s="15">
        <f>Yearly_Growth!$C$3</f>
        <v>0.11893113731787852</v>
      </c>
      <c r="J2127" s="15">
        <f>Yearly_Growth!$D$3</f>
        <v>0.09</v>
      </c>
      <c r="K2127">
        <f>Sales_Per_Representative!$C$29</f>
        <v>753085</v>
      </c>
      <c r="L2127">
        <f>Sales_Per_Rep_Yearly_Goal!$B$3</f>
        <v>689907.8</v>
      </c>
      <c r="M2127">
        <f>Sales_Per_Rep_Yearly_Goal!$C$3</f>
        <v>690000</v>
      </c>
    </row>
    <row r="2128" spans="1:13" x14ac:dyDescent="0.3">
      <c r="A2128" s="3">
        <v>45485</v>
      </c>
      <c r="B2128">
        <f t="shared" si="33"/>
        <v>2024</v>
      </c>
      <c r="C2128">
        <v>7</v>
      </c>
      <c r="D2128" t="s">
        <v>25</v>
      </c>
      <c r="E2128" t="s">
        <v>8</v>
      </c>
      <c r="F2128" s="2">
        <v>3049</v>
      </c>
      <c r="G2128" s="2">
        <f>Monthly_Growth!$C$20</f>
        <v>776919</v>
      </c>
      <c r="H2128" s="5">
        <f>Monthly_Growth!$D$20</f>
        <v>-0.27152529627257732</v>
      </c>
      <c r="I2128" s="15">
        <f>Yearly_Growth!$C$3</f>
        <v>0.11893113731787852</v>
      </c>
      <c r="J2128" s="15">
        <f>Yearly_Growth!$D$3</f>
        <v>0.09</v>
      </c>
      <c r="K2128">
        <f>Sales_Per_Representative!$C$30</f>
        <v>780006</v>
      </c>
      <c r="L2128">
        <f>Sales_Per_Rep_Yearly_Goal!$B$3</f>
        <v>689907.8</v>
      </c>
      <c r="M2128">
        <f>Sales_Per_Rep_Yearly_Goal!$C$3</f>
        <v>690000</v>
      </c>
    </row>
    <row r="2129" spans="1:13" x14ac:dyDescent="0.3">
      <c r="A2129" s="3">
        <v>45485</v>
      </c>
      <c r="B2129">
        <f t="shared" si="33"/>
        <v>2024</v>
      </c>
      <c r="C2129">
        <v>7</v>
      </c>
      <c r="D2129" t="s">
        <v>28</v>
      </c>
      <c r="E2129" t="s">
        <v>10</v>
      </c>
      <c r="F2129" s="2">
        <v>11592</v>
      </c>
      <c r="G2129" s="2">
        <f>Monthly_Growth!$C$20</f>
        <v>776919</v>
      </c>
      <c r="H2129" s="5">
        <f>Monthly_Growth!$D$20</f>
        <v>-0.27152529627257732</v>
      </c>
      <c r="I2129" s="15">
        <f>Yearly_Growth!$C$3</f>
        <v>0.11893113731787852</v>
      </c>
      <c r="J2129" s="15">
        <f>Yearly_Growth!$D$3</f>
        <v>0.09</v>
      </c>
      <c r="K2129">
        <f>Sales_Per_Representative!$C$19</f>
        <v>711816</v>
      </c>
      <c r="L2129">
        <f>Sales_Per_Rep_Yearly_Goal!$B$3</f>
        <v>689907.8</v>
      </c>
      <c r="M2129">
        <f>Sales_Per_Rep_Yearly_Goal!$C$3</f>
        <v>690000</v>
      </c>
    </row>
    <row r="2130" spans="1:13" x14ac:dyDescent="0.3">
      <c r="A2130" s="3">
        <v>45485</v>
      </c>
      <c r="B2130">
        <f t="shared" si="33"/>
        <v>2024</v>
      </c>
      <c r="C2130">
        <v>7</v>
      </c>
      <c r="D2130" t="s">
        <v>12</v>
      </c>
      <c r="E2130" t="s">
        <v>20</v>
      </c>
      <c r="F2130" s="2">
        <v>1358</v>
      </c>
      <c r="G2130" s="2">
        <f>Monthly_Growth!$C$20</f>
        <v>776919</v>
      </c>
      <c r="H2130" s="5">
        <f>Monthly_Growth!$D$20</f>
        <v>-0.27152529627257732</v>
      </c>
      <c r="I2130" s="15">
        <f>Yearly_Growth!$C$3</f>
        <v>0.11893113731787852</v>
      </c>
      <c r="J2130" s="15">
        <f>Yearly_Growth!$D$3</f>
        <v>0.09</v>
      </c>
      <c r="K2130">
        <f>Sales_Per_Representative!$C$29</f>
        <v>753085</v>
      </c>
      <c r="L2130">
        <f>Sales_Per_Rep_Yearly_Goal!$B$3</f>
        <v>689907.8</v>
      </c>
      <c r="M2130">
        <f>Sales_Per_Rep_Yearly_Goal!$C$3</f>
        <v>690000</v>
      </c>
    </row>
    <row r="2131" spans="1:13" x14ac:dyDescent="0.3">
      <c r="A2131" s="3">
        <v>45486</v>
      </c>
      <c r="B2131">
        <f t="shared" si="33"/>
        <v>2024</v>
      </c>
      <c r="C2131">
        <v>7</v>
      </c>
      <c r="D2131" t="s">
        <v>23</v>
      </c>
      <c r="E2131" t="s">
        <v>26</v>
      </c>
      <c r="F2131" s="2">
        <v>11092</v>
      </c>
      <c r="G2131" s="2">
        <f>Monthly_Growth!$C$20</f>
        <v>776919</v>
      </c>
      <c r="H2131" s="5">
        <f>Monthly_Growth!$D$20</f>
        <v>-0.27152529627257732</v>
      </c>
      <c r="I2131" s="15">
        <f>Yearly_Growth!$C$3</f>
        <v>0.11893113731787852</v>
      </c>
      <c r="J2131" s="15">
        <f>Yearly_Growth!$D$3</f>
        <v>0.09</v>
      </c>
      <c r="K2131">
        <f>Sales_Per_Representative!$C$31</f>
        <v>664244</v>
      </c>
      <c r="L2131">
        <f>Sales_Per_Rep_Yearly_Goal!$B$3</f>
        <v>689907.8</v>
      </c>
      <c r="M2131">
        <f>Sales_Per_Rep_Yearly_Goal!$C$3</f>
        <v>690000</v>
      </c>
    </row>
    <row r="2132" spans="1:13" x14ac:dyDescent="0.3">
      <c r="A2132" s="3">
        <v>45486</v>
      </c>
      <c r="B2132">
        <f t="shared" si="33"/>
        <v>2024</v>
      </c>
      <c r="C2132">
        <v>7</v>
      </c>
      <c r="D2132" t="s">
        <v>28</v>
      </c>
      <c r="E2132" t="s">
        <v>26</v>
      </c>
      <c r="F2132" s="2">
        <v>5178</v>
      </c>
      <c r="G2132" s="2">
        <f>Monthly_Growth!$C$20</f>
        <v>776919</v>
      </c>
      <c r="H2132" s="5">
        <f>Monthly_Growth!$D$20</f>
        <v>-0.27152529627257732</v>
      </c>
      <c r="I2132" s="15">
        <f>Yearly_Growth!$C$3</f>
        <v>0.11893113731787852</v>
      </c>
      <c r="J2132" s="15">
        <f>Yearly_Growth!$D$3</f>
        <v>0.09</v>
      </c>
      <c r="K2132">
        <f>Sales_Per_Representative!$C$31</f>
        <v>664244</v>
      </c>
      <c r="L2132">
        <f>Sales_Per_Rep_Yearly_Goal!$B$3</f>
        <v>689907.8</v>
      </c>
      <c r="M2132">
        <f>Sales_Per_Rep_Yearly_Goal!$C$3</f>
        <v>690000</v>
      </c>
    </row>
    <row r="2133" spans="1:13" x14ac:dyDescent="0.3">
      <c r="A2133" s="3">
        <v>45487</v>
      </c>
      <c r="B2133">
        <f t="shared" si="33"/>
        <v>2024</v>
      </c>
      <c r="C2133">
        <v>7</v>
      </c>
      <c r="D2133" t="s">
        <v>23</v>
      </c>
      <c r="E2133" t="s">
        <v>5</v>
      </c>
      <c r="F2133" s="2">
        <v>8893</v>
      </c>
      <c r="G2133" s="2">
        <f>Monthly_Growth!$C$20</f>
        <v>776919</v>
      </c>
      <c r="H2133" s="5">
        <f>Monthly_Growth!$D$20</f>
        <v>-0.27152529627257732</v>
      </c>
      <c r="I2133" s="15">
        <f>Yearly_Growth!$C$3</f>
        <v>0.11893113731787852</v>
      </c>
      <c r="J2133" s="15">
        <f>Yearly_Growth!$D$3</f>
        <v>0.09</v>
      </c>
      <c r="K2133">
        <f>Sales_Per_Representative!$C$25</f>
        <v>749460</v>
      </c>
      <c r="L2133">
        <f>Sales_Per_Rep_Yearly_Goal!$B$3</f>
        <v>689907.8</v>
      </c>
      <c r="M2133">
        <f>Sales_Per_Rep_Yearly_Goal!$C$3</f>
        <v>690000</v>
      </c>
    </row>
    <row r="2134" spans="1:13" x14ac:dyDescent="0.3">
      <c r="A2134" s="3">
        <v>45487</v>
      </c>
      <c r="B2134">
        <f t="shared" si="33"/>
        <v>2024</v>
      </c>
      <c r="C2134">
        <v>7</v>
      </c>
      <c r="D2134" t="s">
        <v>7</v>
      </c>
      <c r="E2134" t="s">
        <v>26</v>
      </c>
      <c r="F2134" s="2">
        <v>9900</v>
      </c>
      <c r="G2134" s="2">
        <f>Monthly_Growth!$C$20</f>
        <v>776919</v>
      </c>
      <c r="H2134" s="5">
        <f>Monthly_Growth!$D$20</f>
        <v>-0.27152529627257732</v>
      </c>
      <c r="I2134" s="15">
        <f>Yearly_Growth!$C$3</f>
        <v>0.11893113731787852</v>
      </c>
      <c r="J2134" s="15">
        <f>Yearly_Growth!$D$3</f>
        <v>0.09</v>
      </c>
      <c r="K2134">
        <f>Sales_Per_Representative!$C$31</f>
        <v>664244</v>
      </c>
      <c r="L2134">
        <f>Sales_Per_Rep_Yearly_Goal!$B$3</f>
        <v>689907.8</v>
      </c>
      <c r="M2134">
        <f>Sales_Per_Rep_Yearly_Goal!$C$3</f>
        <v>690000</v>
      </c>
    </row>
    <row r="2135" spans="1:13" x14ac:dyDescent="0.3">
      <c r="A2135" s="3">
        <v>45487</v>
      </c>
      <c r="B2135">
        <f t="shared" si="33"/>
        <v>2024</v>
      </c>
      <c r="C2135">
        <v>7</v>
      </c>
      <c r="D2135" t="s">
        <v>28</v>
      </c>
      <c r="E2135" t="s">
        <v>30</v>
      </c>
      <c r="F2135" s="2">
        <v>2537</v>
      </c>
      <c r="G2135" s="2">
        <f>Monthly_Growth!$C$20</f>
        <v>776919</v>
      </c>
      <c r="H2135" s="5">
        <f>Monthly_Growth!$D$20</f>
        <v>-0.27152529627257732</v>
      </c>
      <c r="I2135" s="15">
        <f>Yearly_Growth!$C$3</f>
        <v>0.11893113731787852</v>
      </c>
      <c r="J2135" s="15">
        <f>Yearly_Growth!$D$3</f>
        <v>0.09</v>
      </c>
      <c r="K2135">
        <f>Sales_Per_Representative!$C$22</f>
        <v>700142</v>
      </c>
      <c r="L2135">
        <f>Sales_Per_Rep_Yearly_Goal!$B$3</f>
        <v>689907.8</v>
      </c>
      <c r="M2135">
        <f>Sales_Per_Rep_Yearly_Goal!$C$3</f>
        <v>690000</v>
      </c>
    </row>
    <row r="2136" spans="1:13" x14ac:dyDescent="0.3">
      <c r="A2136" s="3">
        <v>45487</v>
      </c>
      <c r="B2136">
        <f t="shared" si="33"/>
        <v>2024</v>
      </c>
      <c r="C2136">
        <v>7</v>
      </c>
      <c r="D2136" t="s">
        <v>17</v>
      </c>
      <c r="E2136" t="s">
        <v>15</v>
      </c>
      <c r="F2136" s="2">
        <v>7564</v>
      </c>
      <c r="G2136" s="2">
        <f>Monthly_Growth!$C$20</f>
        <v>776919</v>
      </c>
      <c r="H2136" s="5">
        <f>Monthly_Growth!$D$20</f>
        <v>-0.27152529627257732</v>
      </c>
      <c r="I2136" s="15">
        <f>Yearly_Growth!$C$3</f>
        <v>0.11893113731787852</v>
      </c>
      <c r="J2136" s="15">
        <f>Yearly_Growth!$D$3</f>
        <v>0.09</v>
      </c>
      <c r="K2136">
        <f>Sales_Per_Representative!$C$27</f>
        <v>617202</v>
      </c>
      <c r="L2136">
        <f>Sales_Per_Rep_Yearly_Goal!$B$3</f>
        <v>689907.8</v>
      </c>
      <c r="M2136">
        <f>Sales_Per_Rep_Yearly_Goal!$C$3</f>
        <v>690000</v>
      </c>
    </row>
    <row r="2137" spans="1:13" x14ac:dyDescent="0.3">
      <c r="A2137" s="3">
        <v>45487</v>
      </c>
      <c r="B2137">
        <f t="shared" si="33"/>
        <v>2024</v>
      </c>
      <c r="C2137">
        <v>7</v>
      </c>
      <c r="D2137" t="s">
        <v>12</v>
      </c>
      <c r="E2137" t="s">
        <v>29</v>
      </c>
      <c r="F2137" s="2">
        <v>8240</v>
      </c>
      <c r="G2137" s="2">
        <f>Monthly_Growth!$C$20</f>
        <v>776919</v>
      </c>
      <c r="H2137" s="5">
        <f>Monthly_Growth!$D$20</f>
        <v>-0.27152529627257732</v>
      </c>
      <c r="I2137" s="15">
        <f>Yearly_Growth!$C$3</f>
        <v>0.11893113731787852</v>
      </c>
      <c r="J2137" s="15">
        <f>Yearly_Growth!$D$3</f>
        <v>0.09</v>
      </c>
      <c r="K2137">
        <f>Sales_Per_Representative!$C$28</f>
        <v>691917</v>
      </c>
      <c r="L2137">
        <f>Sales_Per_Rep_Yearly_Goal!$B$3</f>
        <v>689907.8</v>
      </c>
      <c r="M2137">
        <f>Sales_Per_Rep_Yearly_Goal!$C$3</f>
        <v>690000</v>
      </c>
    </row>
    <row r="2138" spans="1:13" x14ac:dyDescent="0.3">
      <c r="A2138" s="3">
        <v>45488</v>
      </c>
      <c r="B2138">
        <f t="shared" si="33"/>
        <v>2024</v>
      </c>
      <c r="C2138">
        <v>7</v>
      </c>
      <c r="D2138" t="s">
        <v>19</v>
      </c>
      <c r="E2138" t="s">
        <v>29</v>
      </c>
      <c r="F2138" s="2">
        <v>1490</v>
      </c>
      <c r="G2138" s="2">
        <f>Monthly_Growth!$C$20</f>
        <v>776919</v>
      </c>
      <c r="H2138" s="5">
        <f>Monthly_Growth!$D$20</f>
        <v>-0.27152529627257732</v>
      </c>
      <c r="I2138" s="15">
        <f>Yearly_Growth!$C$3</f>
        <v>0.11893113731787852</v>
      </c>
      <c r="J2138" s="15">
        <f>Yearly_Growth!$D$3</f>
        <v>0.09</v>
      </c>
      <c r="K2138">
        <f>Sales_Per_Representative!$C$28</f>
        <v>691917</v>
      </c>
      <c r="L2138">
        <f>Sales_Per_Rep_Yearly_Goal!$B$3</f>
        <v>689907.8</v>
      </c>
      <c r="M2138">
        <f>Sales_Per_Rep_Yearly_Goal!$C$3</f>
        <v>690000</v>
      </c>
    </row>
    <row r="2139" spans="1:13" x14ac:dyDescent="0.3">
      <c r="A2139" s="3">
        <v>45488</v>
      </c>
      <c r="B2139">
        <f t="shared" si="33"/>
        <v>2024</v>
      </c>
      <c r="C2139">
        <v>7</v>
      </c>
      <c r="D2139" t="s">
        <v>23</v>
      </c>
      <c r="E2139" t="s">
        <v>5</v>
      </c>
      <c r="F2139" s="2">
        <v>4942</v>
      </c>
      <c r="G2139" s="2">
        <f>Monthly_Growth!$C$20</f>
        <v>776919</v>
      </c>
      <c r="H2139" s="5">
        <f>Monthly_Growth!$D$20</f>
        <v>-0.27152529627257732</v>
      </c>
      <c r="I2139" s="15">
        <f>Yearly_Growth!$C$3</f>
        <v>0.11893113731787852</v>
      </c>
      <c r="J2139" s="15">
        <f>Yearly_Growth!$D$3</f>
        <v>0.09</v>
      </c>
      <c r="K2139">
        <f>Sales_Per_Representative!$C$25</f>
        <v>749460</v>
      </c>
      <c r="L2139">
        <f>Sales_Per_Rep_Yearly_Goal!$B$3</f>
        <v>689907.8</v>
      </c>
      <c r="M2139">
        <f>Sales_Per_Rep_Yearly_Goal!$C$3</f>
        <v>690000</v>
      </c>
    </row>
    <row r="2140" spans="1:13" x14ac:dyDescent="0.3">
      <c r="A2140" s="3">
        <v>45488</v>
      </c>
      <c r="B2140">
        <f t="shared" si="33"/>
        <v>2024</v>
      </c>
      <c r="C2140">
        <v>7</v>
      </c>
      <c r="D2140" t="s">
        <v>25</v>
      </c>
      <c r="E2140" t="s">
        <v>32</v>
      </c>
      <c r="F2140" s="2">
        <v>1534</v>
      </c>
      <c r="G2140" s="2">
        <f>Monthly_Growth!$C$20</f>
        <v>776919</v>
      </c>
      <c r="H2140" s="5">
        <f>Monthly_Growth!$D$20</f>
        <v>-0.27152529627257732</v>
      </c>
      <c r="I2140" s="15">
        <f>Yearly_Growth!$C$3</f>
        <v>0.11893113731787852</v>
      </c>
      <c r="J2140" s="15">
        <f>Yearly_Growth!$D$3</f>
        <v>0.09</v>
      </c>
      <c r="K2140">
        <f>Sales_Per_Representative!$C$18</f>
        <v>783907</v>
      </c>
      <c r="L2140">
        <f>Sales_Per_Rep_Yearly_Goal!$B$3</f>
        <v>689907.8</v>
      </c>
      <c r="M2140">
        <f>Sales_Per_Rep_Yearly_Goal!$C$3</f>
        <v>690000</v>
      </c>
    </row>
    <row r="2141" spans="1:13" x14ac:dyDescent="0.3">
      <c r="A2141" s="3">
        <v>45488</v>
      </c>
      <c r="B2141">
        <f t="shared" si="33"/>
        <v>2024</v>
      </c>
      <c r="C2141">
        <v>7</v>
      </c>
      <c r="D2141" t="s">
        <v>7</v>
      </c>
      <c r="E2141" t="s">
        <v>8</v>
      </c>
      <c r="F2141" s="2">
        <v>11712</v>
      </c>
      <c r="G2141" s="2">
        <f>Monthly_Growth!$C$20</f>
        <v>776919</v>
      </c>
      <c r="H2141" s="5">
        <f>Monthly_Growth!$D$20</f>
        <v>-0.27152529627257732</v>
      </c>
      <c r="I2141" s="15">
        <f>Yearly_Growth!$C$3</f>
        <v>0.11893113731787852</v>
      </c>
      <c r="J2141" s="15">
        <f>Yearly_Growth!$D$3</f>
        <v>0.09</v>
      </c>
      <c r="K2141">
        <f>Sales_Per_Representative!$C$30</f>
        <v>780006</v>
      </c>
      <c r="L2141">
        <f>Sales_Per_Rep_Yearly_Goal!$B$3</f>
        <v>689907.8</v>
      </c>
      <c r="M2141">
        <f>Sales_Per_Rep_Yearly_Goal!$C$3</f>
        <v>690000</v>
      </c>
    </row>
    <row r="2142" spans="1:13" x14ac:dyDescent="0.3">
      <c r="A2142" s="3">
        <v>45488</v>
      </c>
      <c r="B2142">
        <f t="shared" si="33"/>
        <v>2024</v>
      </c>
      <c r="C2142">
        <v>7</v>
      </c>
      <c r="D2142" t="s">
        <v>7</v>
      </c>
      <c r="E2142" t="s">
        <v>5</v>
      </c>
      <c r="F2142" s="2">
        <v>8363</v>
      </c>
      <c r="G2142" s="2">
        <f>Monthly_Growth!$C$20</f>
        <v>776919</v>
      </c>
      <c r="H2142" s="5">
        <f>Monthly_Growth!$D$20</f>
        <v>-0.27152529627257732</v>
      </c>
      <c r="I2142" s="15">
        <f>Yearly_Growth!$C$3</f>
        <v>0.11893113731787852</v>
      </c>
      <c r="J2142" s="15">
        <f>Yearly_Growth!$D$3</f>
        <v>0.09</v>
      </c>
      <c r="K2142">
        <f>Sales_Per_Representative!$C$25</f>
        <v>749460</v>
      </c>
      <c r="L2142">
        <f>Sales_Per_Rep_Yearly_Goal!$B$3</f>
        <v>689907.8</v>
      </c>
      <c r="M2142">
        <f>Sales_Per_Rep_Yearly_Goal!$C$3</f>
        <v>690000</v>
      </c>
    </row>
    <row r="2143" spans="1:13" x14ac:dyDescent="0.3">
      <c r="A2143" s="3">
        <v>45489</v>
      </c>
      <c r="B2143">
        <f t="shared" si="33"/>
        <v>2024</v>
      </c>
      <c r="C2143">
        <v>7</v>
      </c>
      <c r="D2143" t="s">
        <v>14</v>
      </c>
      <c r="E2143" t="s">
        <v>20</v>
      </c>
      <c r="F2143" s="2">
        <v>3691</v>
      </c>
      <c r="G2143" s="2">
        <f>Monthly_Growth!$C$20</f>
        <v>776919</v>
      </c>
      <c r="H2143" s="5">
        <f>Monthly_Growth!$D$20</f>
        <v>-0.27152529627257732</v>
      </c>
      <c r="I2143" s="15">
        <f>Yearly_Growth!$C$3</f>
        <v>0.11893113731787852</v>
      </c>
      <c r="J2143" s="15">
        <f>Yearly_Growth!$D$3</f>
        <v>0.09</v>
      </c>
      <c r="K2143">
        <f>Sales_Per_Representative!$C$29</f>
        <v>753085</v>
      </c>
      <c r="L2143">
        <f>Sales_Per_Rep_Yearly_Goal!$B$3</f>
        <v>689907.8</v>
      </c>
      <c r="M2143">
        <f>Sales_Per_Rep_Yearly_Goal!$C$3</f>
        <v>690000</v>
      </c>
    </row>
    <row r="2144" spans="1:13" x14ac:dyDescent="0.3">
      <c r="A2144" s="3">
        <v>45489</v>
      </c>
      <c r="B2144">
        <f t="shared" si="33"/>
        <v>2024</v>
      </c>
      <c r="C2144">
        <v>7</v>
      </c>
      <c r="D2144" t="s">
        <v>17</v>
      </c>
      <c r="E2144" t="s">
        <v>32</v>
      </c>
      <c r="F2144" s="2">
        <v>13738</v>
      </c>
      <c r="G2144" s="2">
        <f>Monthly_Growth!$C$20</f>
        <v>776919</v>
      </c>
      <c r="H2144" s="5">
        <f>Monthly_Growth!$D$20</f>
        <v>-0.27152529627257732</v>
      </c>
      <c r="I2144" s="15">
        <f>Yearly_Growth!$C$3</f>
        <v>0.11893113731787852</v>
      </c>
      <c r="J2144" s="15">
        <f>Yearly_Growth!$D$3</f>
        <v>0.09</v>
      </c>
      <c r="K2144">
        <f>Sales_Per_Representative!$C$18</f>
        <v>783907</v>
      </c>
      <c r="L2144">
        <f>Sales_Per_Rep_Yearly_Goal!$B$3</f>
        <v>689907.8</v>
      </c>
      <c r="M2144">
        <f>Sales_Per_Rep_Yearly_Goal!$C$3</f>
        <v>690000</v>
      </c>
    </row>
    <row r="2145" spans="1:13" x14ac:dyDescent="0.3">
      <c r="A2145" s="3">
        <v>45490</v>
      </c>
      <c r="B2145">
        <f t="shared" si="33"/>
        <v>2024</v>
      </c>
      <c r="C2145">
        <v>7</v>
      </c>
      <c r="D2145" t="s">
        <v>14</v>
      </c>
      <c r="E2145" t="s">
        <v>30</v>
      </c>
      <c r="F2145" s="2">
        <v>3973</v>
      </c>
      <c r="G2145" s="2">
        <f>Monthly_Growth!$C$20</f>
        <v>776919</v>
      </c>
      <c r="H2145" s="5">
        <f>Monthly_Growth!$D$20</f>
        <v>-0.27152529627257732</v>
      </c>
      <c r="I2145" s="15">
        <f>Yearly_Growth!$C$3</f>
        <v>0.11893113731787852</v>
      </c>
      <c r="J2145" s="15">
        <f>Yearly_Growth!$D$3</f>
        <v>0.09</v>
      </c>
      <c r="K2145">
        <f>Sales_Per_Representative!$C$22</f>
        <v>700142</v>
      </c>
      <c r="L2145">
        <f>Sales_Per_Rep_Yearly_Goal!$B$3</f>
        <v>689907.8</v>
      </c>
      <c r="M2145">
        <f>Sales_Per_Rep_Yearly_Goal!$C$3</f>
        <v>690000</v>
      </c>
    </row>
    <row r="2146" spans="1:13" x14ac:dyDescent="0.3">
      <c r="A2146" s="3">
        <v>45491</v>
      </c>
      <c r="B2146">
        <f t="shared" si="33"/>
        <v>2024</v>
      </c>
      <c r="C2146">
        <v>7</v>
      </c>
      <c r="D2146" t="s">
        <v>23</v>
      </c>
      <c r="E2146" t="s">
        <v>18</v>
      </c>
      <c r="F2146" s="2">
        <v>10922</v>
      </c>
      <c r="G2146" s="2">
        <f>Monthly_Growth!$C$20</f>
        <v>776919</v>
      </c>
      <c r="H2146" s="5">
        <f>Monthly_Growth!$D$20</f>
        <v>-0.27152529627257732</v>
      </c>
      <c r="I2146" s="15">
        <f>Yearly_Growth!$C$3</f>
        <v>0.11893113731787852</v>
      </c>
      <c r="J2146" s="15">
        <f>Yearly_Growth!$D$3</f>
        <v>0.09</v>
      </c>
      <c r="K2146">
        <f>Sales_Per_Representative!$C$24</f>
        <v>699277</v>
      </c>
      <c r="L2146">
        <f>Sales_Per_Rep_Yearly_Goal!$B$3</f>
        <v>689907.8</v>
      </c>
      <c r="M2146">
        <f>Sales_Per_Rep_Yearly_Goal!$C$3</f>
        <v>690000</v>
      </c>
    </row>
    <row r="2147" spans="1:13" x14ac:dyDescent="0.3">
      <c r="A2147" s="3">
        <v>45491</v>
      </c>
      <c r="B2147">
        <f t="shared" si="33"/>
        <v>2024</v>
      </c>
      <c r="C2147">
        <v>7</v>
      </c>
      <c r="D2147" t="s">
        <v>25</v>
      </c>
      <c r="E2147" t="s">
        <v>8</v>
      </c>
      <c r="F2147" s="2">
        <v>3551</v>
      </c>
      <c r="G2147" s="2">
        <f>Monthly_Growth!$C$20</f>
        <v>776919</v>
      </c>
      <c r="H2147" s="5">
        <f>Monthly_Growth!$D$20</f>
        <v>-0.27152529627257732</v>
      </c>
      <c r="I2147" s="15">
        <f>Yearly_Growth!$C$3</f>
        <v>0.11893113731787852</v>
      </c>
      <c r="J2147" s="15">
        <f>Yearly_Growth!$D$3</f>
        <v>0.09</v>
      </c>
      <c r="K2147">
        <f>Sales_Per_Representative!$C$30</f>
        <v>780006</v>
      </c>
      <c r="L2147">
        <f>Sales_Per_Rep_Yearly_Goal!$B$3</f>
        <v>689907.8</v>
      </c>
      <c r="M2147">
        <f>Sales_Per_Rep_Yearly_Goal!$C$3</f>
        <v>690000</v>
      </c>
    </row>
    <row r="2148" spans="1:13" x14ac:dyDescent="0.3">
      <c r="A2148" s="3">
        <v>45491</v>
      </c>
      <c r="B2148">
        <f t="shared" si="33"/>
        <v>2024</v>
      </c>
      <c r="C2148">
        <v>7</v>
      </c>
      <c r="D2148" t="s">
        <v>28</v>
      </c>
      <c r="E2148" t="s">
        <v>30</v>
      </c>
      <c r="F2148" s="2">
        <v>13946</v>
      </c>
      <c r="G2148" s="2">
        <f>Monthly_Growth!$C$20</f>
        <v>776919</v>
      </c>
      <c r="H2148" s="5">
        <f>Monthly_Growth!$D$20</f>
        <v>-0.27152529627257732</v>
      </c>
      <c r="I2148" s="15">
        <f>Yearly_Growth!$C$3</f>
        <v>0.11893113731787852</v>
      </c>
      <c r="J2148" s="15">
        <f>Yearly_Growth!$D$3</f>
        <v>0.09</v>
      </c>
      <c r="K2148">
        <f>Sales_Per_Representative!$C$22</f>
        <v>700142</v>
      </c>
      <c r="L2148">
        <f>Sales_Per_Rep_Yearly_Goal!$B$3</f>
        <v>689907.8</v>
      </c>
      <c r="M2148">
        <f>Sales_Per_Rep_Yearly_Goal!$C$3</f>
        <v>690000</v>
      </c>
    </row>
    <row r="2149" spans="1:13" x14ac:dyDescent="0.3">
      <c r="A2149" s="3">
        <v>45491</v>
      </c>
      <c r="B2149">
        <f t="shared" si="33"/>
        <v>2024</v>
      </c>
      <c r="C2149">
        <v>7</v>
      </c>
      <c r="D2149" t="s">
        <v>28</v>
      </c>
      <c r="E2149" t="s">
        <v>30</v>
      </c>
      <c r="F2149" s="2">
        <v>2550</v>
      </c>
      <c r="G2149" s="2">
        <f>Monthly_Growth!$C$20</f>
        <v>776919</v>
      </c>
      <c r="H2149" s="5">
        <f>Monthly_Growth!$D$20</f>
        <v>-0.27152529627257732</v>
      </c>
      <c r="I2149" s="15">
        <f>Yearly_Growth!$C$3</f>
        <v>0.11893113731787852</v>
      </c>
      <c r="J2149" s="15">
        <f>Yearly_Growth!$D$3</f>
        <v>0.09</v>
      </c>
      <c r="K2149">
        <f>Sales_Per_Representative!$C$22</f>
        <v>700142</v>
      </c>
      <c r="L2149">
        <f>Sales_Per_Rep_Yearly_Goal!$B$3</f>
        <v>689907.8</v>
      </c>
      <c r="M2149">
        <f>Sales_Per_Rep_Yearly_Goal!$C$3</f>
        <v>690000</v>
      </c>
    </row>
    <row r="2150" spans="1:13" x14ac:dyDescent="0.3">
      <c r="A2150" s="3">
        <v>45492</v>
      </c>
      <c r="B2150">
        <f t="shared" si="33"/>
        <v>2024</v>
      </c>
      <c r="C2150">
        <v>7</v>
      </c>
      <c r="D2150" t="s">
        <v>25</v>
      </c>
      <c r="E2150" t="s">
        <v>15</v>
      </c>
      <c r="F2150" s="2">
        <v>8572</v>
      </c>
      <c r="G2150" s="2">
        <f>Monthly_Growth!$C$20</f>
        <v>776919</v>
      </c>
      <c r="H2150" s="5">
        <f>Monthly_Growth!$D$20</f>
        <v>-0.27152529627257732</v>
      </c>
      <c r="I2150" s="15">
        <f>Yearly_Growth!$C$3</f>
        <v>0.11893113731787852</v>
      </c>
      <c r="J2150" s="15">
        <f>Yearly_Growth!$D$3</f>
        <v>0.09</v>
      </c>
      <c r="K2150">
        <f>Sales_Per_Representative!$C$27</f>
        <v>617202</v>
      </c>
      <c r="L2150">
        <f>Sales_Per_Rep_Yearly_Goal!$B$3</f>
        <v>689907.8</v>
      </c>
      <c r="M2150">
        <f>Sales_Per_Rep_Yearly_Goal!$C$3</f>
        <v>690000</v>
      </c>
    </row>
    <row r="2151" spans="1:13" x14ac:dyDescent="0.3">
      <c r="A2151" s="3">
        <v>45492</v>
      </c>
      <c r="B2151">
        <f t="shared" si="33"/>
        <v>2024</v>
      </c>
      <c r="C2151">
        <v>7</v>
      </c>
      <c r="D2151" t="s">
        <v>12</v>
      </c>
      <c r="E2151" t="s">
        <v>24</v>
      </c>
      <c r="F2151" s="2">
        <v>6287</v>
      </c>
      <c r="G2151" s="2">
        <f>Monthly_Growth!$C$20</f>
        <v>776919</v>
      </c>
      <c r="H2151" s="5">
        <f>Monthly_Growth!$D$20</f>
        <v>-0.27152529627257732</v>
      </c>
      <c r="I2151" s="15">
        <f>Yearly_Growth!$C$3</f>
        <v>0.11893113731787852</v>
      </c>
      <c r="J2151" s="15">
        <f>Yearly_Growth!$D$3</f>
        <v>0.09</v>
      </c>
      <c r="K2151">
        <f>Sales_Per_Representative!$C$17</f>
        <v>633956</v>
      </c>
      <c r="L2151">
        <f>Sales_Per_Rep_Yearly_Goal!$B$3</f>
        <v>689907.8</v>
      </c>
      <c r="M2151">
        <f>Sales_Per_Rep_Yearly_Goal!$C$3</f>
        <v>690000</v>
      </c>
    </row>
    <row r="2152" spans="1:13" x14ac:dyDescent="0.3">
      <c r="A2152" s="3">
        <v>45493</v>
      </c>
      <c r="B2152">
        <f t="shared" si="33"/>
        <v>2024</v>
      </c>
      <c r="C2152">
        <v>7</v>
      </c>
      <c r="D2152" t="s">
        <v>23</v>
      </c>
      <c r="E2152" t="s">
        <v>5</v>
      </c>
      <c r="F2152" s="2">
        <v>10543</v>
      </c>
      <c r="G2152" s="2">
        <f>Monthly_Growth!$C$20</f>
        <v>776919</v>
      </c>
      <c r="H2152" s="5">
        <f>Monthly_Growth!$D$20</f>
        <v>-0.27152529627257732</v>
      </c>
      <c r="I2152" s="15">
        <f>Yearly_Growth!$C$3</f>
        <v>0.11893113731787852</v>
      </c>
      <c r="J2152" s="15">
        <f>Yearly_Growth!$D$3</f>
        <v>0.09</v>
      </c>
      <c r="K2152">
        <f>Sales_Per_Representative!$C$25</f>
        <v>749460</v>
      </c>
      <c r="L2152">
        <f>Sales_Per_Rep_Yearly_Goal!$B$3</f>
        <v>689907.8</v>
      </c>
      <c r="M2152">
        <f>Sales_Per_Rep_Yearly_Goal!$C$3</f>
        <v>690000</v>
      </c>
    </row>
    <row r="2153" spans="1:13" x14ac:dyDescent="0.3">
      <c r="A2153" s="3">
        <v>45493</v>
      </c>
      <c r="B2153">
        <f t="shared" si="33"/>
        <v>2024</v>
      </c>
      <c r="C2153">
        <v>7</v>
      </c>
      <c r="D2153" t="s">
        <v>7</v>
      </c>
      <c r="E2153" t="s">
        <v>33</v>
      </c>
      <c r="F2153" s="2">
        <v>7740</v>
      </c>
      <c r="G2153" s="2">
        <f>Monthly_Growth!$C$20</f>
        <v>776919</v>
      </c>
      <c r="H2153" s="5">
        <f>Monthly_Growth!$D$20</f>
        <v>-0.27152529627257732</v>
      </c>
      <c r="I2153" s="15">
        <f>Yearly_Growth!$C$3</f>
        <v>0.11893113731787852</v>
      </c>
      <c r="J2153" s="15">
        <f>Yearly_Growth!$D$3</f>
        <v>0.09</v>
      </c>
      <c r="K2153">
        <f>Sales_Per_Representative!$C$26</f>
        <v>501360</v>
      </c>
      <c r="L2153">
        <f>Sales_Per_Rep_Yearly_Goal!$B$3</f>
        <v>689907.8</v>
      </c>
      <c r="M2153">
        <f>Sales_Per_Rep_Yearly_Goal!$C$3</f>
        <v>690000</v>
      </c>
    </row>
    <row r="2154" spans="1:13" x14ac:dyDescent="0.3">
      <c r="A2154" s="3">
        <v>45494</v>
      </c>
      <c r="B2154">
        <f t="shared" si="33"/>
        <v>2024</v>
      </c>
      <c r="C2154">
        <v>7</v>
      </c>
      <c r="D2154" t="s">
        <v>14</v>
      </c>
      <c r="E2154" t="s">
        <v>29</v>
      </c>
      <c r="F2154" s="2">
        <v>1714</v>
      </c>
      <c r="G2154" s="2">
        <f>Monthly_Growth!$C$20</f>
        <v>776919</v>
      </c>
      <c r="H2154" s="5">
        <f>Monthly_Growth!$D$20</f>
        <v>-0.27152529627257732</v>
      </c>
      <c r="I2154" s="15">
        <f>Yearly_Growth!$C$3</f>
        <v>0.11893113731787852</v>
      </c>
      <c r="J2154" s="15">
        <f>Yearly_Growth!$D$3</f>
        <v>0.09</v>
      </c>
      <c r="K2154">
        <f>Sales_Per_Representative!$C$28</f>
        <v>691917</v>
      </c>
      <c r="L2154">
        <f>Sales_Per_Rep_Yearly_Goal!$B$3</f>
        <v>689907.8</v>
      </c>
      <c r="M2154">
        <f>Sales_Per_Rep_Yearly_Goal!$C$3</f>
        <v>690000</v>
      </c>
    </row>
    <row r="2155" spans="1:13" x14ac:dyDescent="0.3">
      <c r="A2155" s="3">
        <v>45494</v>
      </c>
      <c r="B2155">
        <f t="shared" si="33"/>
        <v>2024</v>
      </c>
      <c r="C2155">
        <v>7</v>
      </c>
      <c r="D2155" t="s">
        <v>23</v>
      </c>
      <c r="E2155" t="s">
        <v>32</v>
      </c>
      <c r="F2155" s="2">
        <v>6041</v>
      </c>
      <c r="G2155" s="2">
        <f>Monthly_Growth!$C$20</f>
        <v>776919</v>
      </c>
      <c r="H2155" s="5">
        <f>Monthly_Growth!$D$20</f>
        <v>-0.27152529627257732</v>
      </c>
      <c r="I2155" s="15">
        <f>Yearly_Growth!$C$3</f>
        <v>0.11893113731787852</v>
      </c>
      <c r="J2155" s="15">
        <f>Yearly_Growth!$D$3</f>
        <v>0.09</v>
      </c>
      <c r="K2155">
        <f>Sales_Per_Representative!$C$18</f>
        <v>783907</v>
      </c>
      <c r="L2155">
        <f>Sales_Per_Rep_Yearly_Goal!$B$3</f>
        <v>689907.8</v>
      </c>
      <c r="M2155">
        <f>Sales_Per_Rep_Yearly_Goal!$C$3</f>
        <v>690000</v>
      </c>
    </row>
    <row r="2156" spans="1:13" x14ac:dyDescent="0.3">
      <c r="A2156" s="3">
        <v>45494</v>
      </c>
      <c r="B2156">
        <f t="shared" si="33"/>
        <v>2024</v>
      </c>
      <c r="C2156">
        <v>7</v>
      </c>
      <c r="D2156" t="s">
        <v>23</v>
      </c>
      <c r="E2156" t="s">
        <v>27</v>
      </c>
      <c r="F2156" s="2">
        <v>1838</v>
      </c>
      <c r="G2156" s="2">
        <f>Monthly_Growth!$C$20</f>
        <v>776919</v>
      </c>
      <c r="H2156" s="5">
        <f>Monthly_Growth!$D$20</f>
        <v>-0.27152529627257732</v>
      </c>
      <c r="I2156" s="15">
        <f>Yearly_Growth!$C$3</f>
        <v>0.11893113731787852</v>
      </c>
      <c r="J2156" s="15">
        <f>Yearly_Growth!$D$3</f>
        <v>0.09</v>
      </c>
      <c r="K2156">
        <f>Sales_Per_Representative!$C$20</f>
        <v>685380</v>
      </c>
      <c r="L2156">
        <f>Sales_Per_Rep_Yearly_Goal!$B$3</f>
        <v>689907.8</v>
      </c>
      <c r="M2156">
        <f>Sales_Per_Rep_Yearly_Goal!$C$3</f>
        <v>690000</v>
      </c>
    </row>
    <row r="2157" spans="1:13" x14ac:dyDescent="0.3">
      <c r="A2157" s="3">
        <v>45494</v>
      </c>
      <c r="B2157">
        <f t="shared" si="33"/>
        <v>2024</v>
      </c>
      <c r="C2157">
        <v>7</v>
      </c>
      <c r="D2157" t="s">
        <v>25</v>
      </c>
      <c r="E2157" t="s">
        <v>26</v>
      </c>
      <c r="F2157" s="2">
        <v>9641</v>
      </c>
      <c r="G2157" s="2">
        <f>Monthly_Growth!$C$20</f>
        <v>776919</v>
      </c>
      <c r="H2157" s="5">
        <f>Monthly_Growth!$D$20</f>
        <v>-0.27152529627257732</v>
      </c>
      <c r="I2157" s="15">
        <f>Yearly_Growth!$C$3</f>
        <v>0.11893113731787852</v>
      </c>
      <c r="J2157" s="15">
        <f>Yearly_Growth!$D$3</f>
        <v>0.09</v>
      </c>
      <c r="K2157">
        <f>Sales_Per_Representative!$C$31</f>
        <v>664244</v>
      </c>
      <c r="L2157">
        <f>Sales_Per_Rep_Yearly_Goal!$B$3</f>
        <v>689907.8</v>
      </c>
      <c r="M2157">
        <f>Sales_Per_Rep_Yearly_Goal!$C$3</f>
        <v>690000</v>
      </c>
    </row>
    <row r="2158" spans="1:13" x14ac:dyDescent="0.3">
      <c r="A2158" s="3">
        <v>45494</v>
      </c>
      <c r="B2158">
        <f t="shared" si="33"/>
        <v>2024</v>
      </c>
      <c r="C2158">
        <v>7</v>
      </c>
      <c r="D2158" t="s">
        <v>28</v>
      </c>
      <c r="E2158" t="s">
        <v>8</v>
      </c>
      <c r="F2158" s="2">
        <v>3833</v>
      </c>
      <c r="G2158" s="2">
        <f>Monthly_Growth!$C$20</f>
        <v>776919</v>
      </c>
      <c r="H2158" s="5">
        <f>Monthly_Growth!$D$20</f>
        <v>-0.27152529627257732</v>
      </c>
      <c r="I2158" s="15">
        <f>Yearly_Growth!$C$3</f>
        <v>0.11893113731787852</v>
      </c>
      <c r="J2158" s="15">
        <f>Yearly_Growth!$D$3</f>
        <v>0.09</v>
      </c>
      <c r="K2158">
        <f>Sales_Per_Representative!$C$30</f>
        <v>780006</v>
      </c>
      <c r="L2158">
        <f>Sales_Per_Rep_Yearly_Goal!$B$3</f>
        <v>689907.8</v>
      </c>
      <c r="M2158">
        <f>Sales_Per_Rep_Yearly_Goal!$C$3</f>
        <v>690000</v>
      </c>
    </row>
    <row r="2159" spans="1:13" x14ac:dyDescent="0.3">
      <c r="A2159" s="3">
        <v>45494</v>
      </c>
      <c r="B2159">
        <f t="shared" si="33"/>
        <v>2024</v>
      </c>
      <c r="C2159">
        <v>7</v>
      </c>
      <c r="D2159" t="s">
        <v>17</v>
      </c>
      <c r="E2159" t="s">
        <v>32</v>
      </c>
      <c r="F2159" s="2">
        <v>11764</v>
      </c>
      <c r="G2159" s="2">
        <f>Monthly_Growth!$C$20</f>
        <v>776919</v>
      </c>
      <c r="H2159" s="5">
        <f>Monthly_Growth!$D$20</f>
        <v>-0.27152529627257732</v>
      </c>
      <c r="I2159" s="15">
        <f>Yearly_Growth!$C$3</f>
        <v>0.11893113731787852</v>
      </c>
      <c r="J2159" s="15">
        <f>Yearly_Growth!$D$3</f>
        <v>0.09</v>
      </c>
      <c r="K2159">
        <f>Sales_Per_Representative!$C$18</f>
        <v>783907</v>
      </c>
      <c r="L2159">
        <f>Sales_Per_Rep_Yearly_Goal!$B$3</f>
        <v>689907.8</v>
      </c>
      <c r="M2159">
        <f>Sales_Per_Rep_Yearly_Goal!$C$3</f>
        <v>690000</v>
      </c>
    </row>
    <row r="2160" spans="1:13" x14ac:dyDescent="0.3">
      <c r="A2160" s="3">
        <v>45494</v>
      </c>
      <c r="B2160">
        <f t="shared" si="33"/>
        <v>2024</v>
      </c>
      <c r="C2160">
        <v>7</v>
      </c>
      <c r="D2160" t="s">
        <v>12</v>
      </c>
      <c r="E2160" t="s">
        <v>10</v>
      </c>
      <c r="F2160" s="2">
        <v>11688</v>
      </c>
      <c r="G2160" s="2">
        <f>Monthly_Growth!$C$20</f>
        <v>776919</v>
      </c>
      <c r="H2160" s="5">
        <f>Monthly_Growth!$D$20</f>
        <v>-0.27152529627257732</v>
      </c>
      <c r="I2160" s="15">
        <f>Yearly_Growth!$C$3</f>
        <v>0.11893113731787852</v>
      </c>
      <c r="J2160" s="15">
        <f>Yearly_Growth!$D$3</f>
        <v>0.09</v>
      </c>
      <c r="K2160">
        <f>Sales_Per_Representative!$C$19</f>
        <v>711816</v>
      </c>
      <c r="L2160">
        <f>Sales_Per_Rep_Yearly_Goal!$B$3</f>
        <v>689907.8</v>
      </c>
      <c r="M2160">
        <f>Sales_Per_Rep_Yearly_Goal!$C$3</f>
        <v>690000</v>
      </c>
    </row>
    <row r="2161" spans="1:13" x14ac:dyDescent="0.3">
      <c r="A2161" s="3">
        <v>45496</v>
      </c>
      <c r="B2161">
        <f t="shared" si="33"/>
        <v>2024</v>
      </c>
      <c r="C2161">
        <v>7</v>
      </c>
      <c r="D2161" t="s">
        <v>12</v>
      </c>
      <c r="E2161" t="s">
        <v>15</v>
      </c>
      <c r="F2161" s="2">
        <v>7956</v>
      </c>
      <c r="G2161" s="2">
        <f>Monthly_Growth!$C$20</f>
        <v>776919</v>
      </c>
      <c r="H2161" s="5">
        <f>Monthly_Growth!$D$20</f>
        <v>-0.27152529627257732</v>
      </c>
      <c r="I2161" s="15">
        <f>Yearly_Growth!$C$3</f>
        <v>0.11893113731787852</v>
      </c>
      <c r="J2161" s="15">
        <f>Yearly_Growth!$D$3</f>
        <v>0.09</v>
      </c>
      <c r="K2161">
        <f>Sales_Per_Representative!$C$27</f>
        <v>617202</v>
      </c>
      <c r="L2161">
        <f>Sales_Per_Rep_Yearly_Goal!$B$3</f>
        <v>689907.8</v>
      </c>
      <c r="M2161">
        <f>Sales_Per_Rep_Yearly_Goal!$C$3</f>
        <v>690000</v>
      </c>
    </row>
    <row r="2162" spans="1:13" x14ac:dyDescent="0.3">
      <c r="A2162" s="3">
        <v>45497</v>
      </c>
      <c r="B2162">
        <f t="shared" si="33"/>
        <v>2024</v>
      </c>
      <c r="C2162">
        <v>7</v>
      </c>
      <c r="D2162" t="s">
        <v>19</v>
      </c>
      <c r="E2162" t="s">
        <v>5</v>
      </c>
      <c r="F2162" s="2">
        <v>12712</v>
      </c>
      <c r="G2162" s="2">
        <f>Monthly_Growth!$C$20</f>
        <v>776919</v>
      </c>
      <c r="H2162" s="5">
        <f>Monthly_Growth!$D$20</f>
        <v>-0.27152529627257732</v>
      </c>
      <c r="I2162" s="15">
        <f>Yearly_Growth!$C$3</f>
        <v>0.11893113731787852</v>
      </c>
      <c r="J2162" s="15">
        <f>Yearly_Growth!$D$3</f>
        <v>0.09</v>
      </c>
      <c r="K2162">
        <f>Sales_Per_Representative!$C$25</f>
        <v>749460</v>
      </c>
      <c r="L2162">
        <f>Sales_Per_Rep_Yearly_Goal!$B$3</f>
        <v>689907.8</v>
      </c>
      <c r="M2162">
        <f>Sales_Per_Rep_Yearly_Goal!$C$3</f>
        <v>690000</v>
      </c>
    </row>
    <row r="2163" spans="1:13" x14ac:dyDescent="0.3">
      <c r="A2163" s="3">
        <v>45497</v>
      </c>
      <c r="B2163">
        <f t="shared" si="33"/>
        <v>2024</v>
      </c>
      <c r="C2163">
        <v>7</v>
      </c>
      <c r="D2163" t="s">
        <v>25</v>
      </c>
      <c r="E2163" t="s">
        <v>24</v>
      </c>
      <c r="F2163" s="2">
        <v>1092</v>
      </c>
      <c r="G2163" s="2">
        <f>Monthly_Growth!$C$20</f>
        <v>776919</v>
      </c>
      <c r="H2163" s="5">
        <f>Monthly_Growth!$D$20</f>
        <v>-0.27152529627257732</v>
      </c>
      <c r="I2163" s="15">
        <f>Yearly_Growth!$C$3</f>
        <v>0.11893113731787852</v>
      </c>
      <c r="J2163" s="15">
        <f>Yearly_Growth!$D$3</f>
        <v>0.09</v>
      </c>
      <c r="K2163">
        <f>Sales_Per_Representative!$C$17</f>
        <v>633956</v>
      </c>
      <c r="L2163">
        <f>Sales_Per_Rep_Yearly_Goal!$B$3</f>
        <v>689907.8</v>
      </c>
      <c r="M2163">
        <f>Sales_Per_Rep_Yearly_Goal!$C$3</f>
        <v>690000</v>
      </c>
    </row>
    <row r="2164" spans="1:13" x14ac:dyDescent="0.3">
      <c r="A2164" s="3">
        <v>45497</v>
      </c>
      <c r="B2164">
        <f t="shared" si="33"/>
        <v>2024</v>
      </c>
      <c r="C2164">
        <v>7</v>
      </c>
      <c r="D2164" t="s">
        <v>7</v>
      </c>
      <c r="E2164" t="s">
        <v>15</v>
      </c>
      <c r="F2164" s="2">
        <v>4387</v>
      </c>
      <c r="G2164" s="2">
        <f>Monthly_Growth!$C$20</f>
        <v>776919</v>
      </c>
      <c r="H2164" s="5">
        <f>Monthly_Growth!$D$20</f>
        <v>-0.27152529627257732</v>
      </c>
      <c r="I2164" s="15">
        <f>Yearly_Growth!$C$3</f>
        <v>0.11893113731787852</v>
      </c>
      <c r="J2164" s="15">
        <f>Yearly_Growth!$D$3</f>
        <v>0.09</v>
      </c>
      <c r="K2164">
        <f>Sales_Per_Representative!$C$27</f>
        <v>617202</v>
      </c>
      <c r="L2164">
        <f>Sales_Per_Rep_Yearly_Goal!$B$3</f>
        <v>689907.8</v>
      </c>
      <c r="M2164">
        <f>Sales_Per_Rep_Yearly_Goal!$C$3</f>
        <v>690000</v>
      </c>
    </row>
    <row r="2165" spans="1:13" x14ac:dyDescent="0.3">
      <c r="A2165" s="3">
        <v>45497</v>
      </c>
      <c r="B2165">
        <f t="shared" si="33"/>
        <v>2024</v>
      </c>
      <c r="C2165">
        <v>7</v>
      </c>
      <c r="D2165" t="s">
        <v>7</v>
      </c>
      <c r="E2165" t="s">
        <v>20</v>
      </c>
      <c r="F2165" s="2">
        <v>3444</v>
      </c>
      <c r="G2165" s="2">
        <f>Monthly_Growth!$C$20</f>
        <v>776919</v>
      </c>
      <c r="H2165" s="5">
        <f>Monthly_Growth!$D$20</f>
        <v>-0.27152529627257732</v>
      </c>
      <c r="I2165" s="15">
        <f>Yearly_Growth!$C$3</f>
        <v>0.11893113731787852</v>
      </c>
      <c r="J2165" s="15">
        <f>Yearly_Growth!$D$3</f>
        <v>0.09</v>
      </c>
      <c r="K2165">
        <f>Sales_Per_Representative!$C$29</f>
        <v>753085</v>
      </c>
      <c r="L2165">
        <f>Sales_Per_Rep_Yearly_Goal!$B$3</f>
        <v>689907.8</v>
      </c>
      <c r="M2165">
        <f>Sales_Per_Rep_Yearly_Goal!$C$3</f>
        <v>690000</v>
      </c>
    </row>
    <row r="2166" spans="1:13" x14ac:dyDescent="0.3">
      <c r="A2166" s="3">
        <v>45497</v>
      </c>
      <c r="B2166">
        <f t="shared" si="33"/>
        <v>2024</v>
      </c>
      <c r="C2166">
        <v>7</v>
      </c>
      <c r="D2166" t="s">
        <v>28</v>
      </c>
      <c r="E2166" t="s">
        <v>22</v>
      </c>
      <c r="F2166" s="2">
        <v>4800</v>
      </c>
      <c r="G2166" s="2">
        <f>Monthly_Growth!$C$20</f>
        <v>776919</v>
      </c>
      <c r="H2166" s="5">
        <f>Monthly_Growth!$D$20</f>
        <v>-0.27152529627257732</v>
      </c>
      <c r="I2166" s="15">
        <f>Yearly_Growth!$C$3</f>
        <v>0.11893113731787852</v>
      </c>
      <c r="J2166" s="15">
        <f>Yearly_Growth!$D$3</f>
        <v>0.09</v>
      </c>
      <c r="K2166">
        <f>Sales_Per_Representative!$C$23</f>
        <v>697444</v>
      </c>
      <c r="L2166">
        <f>Sales_Per_Rep_Yearly_Goal!$B$3</f>
        <v>689907.8</v>
      </c>
      <c r="M2166">
        <f>Sales_Per_Rep_Yearly_Goal!$C$3</f>
        <v>690000</v>
      </c>
    </row>
    <row r="2167" spans="1:13" x14ac:dyDescent="0.3">
      <c r="A2167" s="3">
        <v>45497</v>
      </c>
      <c r="B2167">
        <f t="shared" si="33"/>
        <v>2024</v>
      </c>
      <c r="C2167">
        <v>7</v>
      </c>
      <c r="D2167" t="s">
        <v>17</v>
      </c>
      <c r="E2167" t="s">
        <v>26</v>
      </c>
      <c r="F2167" s="2">
        <v>9477</v>
      </c>
      <c r="G2167" s="2">
        <f>Monthly_Growth!$C$20</f>
        <v>776919</v>
      </c>
      <c r="H2167" s="5">
        <f>Monthly_Growth!$D$20</f>
        <v>-0.27152529627257732</v>
      </c>
      <c r="I2167" s="15">
        <f>Yearly_Growth!$C$3</f>
        <v>0.11893113731787852</v>
      </c>
      <c r="J2167" s="15">
        <f>Yearly_Growth!$D$3</f>
        <v>0.09</v>
      </c>
      <c r="K2167">
        <f>Sales_Per_Representative!$C$31</f>
        <v>664244</v>
      </c>
      <c r="L2167">
        <f>Sales_Per_Rep_Yearly_Goal!$B$3</f>
        <v>689907.8</v>
      </c>
      <c r="M2167">
        <f>Sales_Per_Rep_Yearly_Goal!$C$3</f>
        <v>690000</v>
      </c>
    </row>
    <row r="2168" spans="1:13" x14ac:dyDescent="0.3">
      <c r="A2168" s="3">
        <v>45497</v>
      </c>
      <c r="B2168">
        <f t="shared" si="33"/>
        <v>2024</v>
      </c>
      <c r="C2168">
        <v>7</v>
      </c>
      <c r="D2168" t="s">
        <v>17</v>
      </c>
      <c r="E2168" t="s">
        <v>20</v>
      </c>
      <c r="F2168" s="2">
        <v>10556</v>
      </c>
      <c r="G2168" s="2">
        <f>Monthly_Growth!$C$20</f>
        <v>776919</v>
      </c>
      <c r="H2168" s="5">
        <f>Monthly_Growth!$D$20</f>
        <v>-0.27152529627257732</v>
      </c>
      <c r="I2168" s="15">
        <f>Yearly_Growth!$C$3</f>
        <v>0.11893113731787852</v>
      </c>
      <c r="J2168" s="15">
        <f>Yearly_Growth!$D$3</f>
        <v>0.09</v>
      </c>
      <c r="K2168">
        <f>Sales_Per_Representative!$C$29</f>
        <v>753085</v>
      </c>
      <c r="L2168">
        <f>Sales_Per_Rep_Yearly_Goal!$B$3</f>
        <v>689907.8</v>
      </c>
      <c r="M2168">
        <f>Sales_Per_Rep_Yearly_Goal!$C$3</f>
        <v>690000</v>
      </c>
    </row>
    <row r="2169" spans="1:13" x14ac:dyDescent="0.3">
      <c r="A2169" s="3">
        <v>45498</v>
      </c>
      <c r="B2169">
        <f t="shared" si="33"/>
        <v>2024</v>
      </c>
      <c r="C2169">
        <v>7</v>
      </c>
      <c r="D2169" t="s">
        <v>19</v>
      </c>
      <c r="E2169" t="s">
        <v>22</v>
      </c>
      <c r="F2169" s="2">
        <v>8174</v>
      </c>
      <c r="G2169" s="2">
        <f>Monthly_Growth!$C$20</f>
        <v>776919</v>
      </c>
      <c r="H2169" s="5">
        <f>Monthly_Growth!$D$20</f>
        <v>-0.27152529627257732</v>
      </c>
      <c r="I2169" s="15">
        <f>Yearly_Growth!$C$3</f>
        <v>0.11893113731787852</v>
      </c>
      <c r="J2169" s="15">
        <f>Yearly_Growth!$D$3</f>
        <v>0.09</v>
      </c>
      <c r="K2169">
        <f>Sales_Per_Representative!$C$23</f>
        <v>697444</v>
      </c>
      <c r="L2169">
        <f>Sales_Per_Rep_Yearly_Goal!$B$3</f>
        <v>689907.8</v>
      </c>
      <c r="M2169">
        <f>Sales_Per_Rep_Yearly_Goal!$C$3</f>
        <v>690000</v>
      </c>
    </row>
    <row r="2170" spans="1:13" x14ac:dyDescent="0.3">
      <c r="A2170" s="3">
        <v>45498</v>
      </c>
      <c r="B2170">
        <f t="shared" si="33"/>
        <v>2024</v>
      </c>
      <c r="C2170">
        <v>7</v>
      </c>
      <c r="D2170" t="s">
        <v>19</v>
      </c>
      <c r="E2170" t="s">
        <v>18</v>
      </c>
      <c r="F2170" s="2">
        <v>10887</v>
      </c>
      <c r="G2170" s="2">
        <f>Monthly_Growth!$C$20</f>
        <v>776919</v>
      </c>
      <c r="H2170" s="5">
        <f>Monthly_Growth!$D$20</f>
        <v>-0.27152529627257732</v>
      </c>
      <c r="I2170" s="15">
        <f>Yearly_Growth!$C$3</f>
        <v>0.11893113731787852</v>
      </c>
      <c r="J2170" s="15">
        <f>Yearly_Growth!$D$3</f>
        <v>0.09</v>
      </c>
      <c r="K2170">
        <f>Sales_Per_Representative!$C$24</f>
        <v>699277</v>
      </c>
      <c r="L2170">
        <f>Sales_Per_Rep_Yearly_Goal!$B$3</f>
        <v>689907.8</v>
      </c>
      <c r="M2170">
        <f>Sales_Per_Rep_Yearly_Goal!$C$3</f>
        <v>690000</v>
      </c>
    </row>
    <row r="2171" spans="1:13" x14ac:dyDescent="0.3">
      <c r="A2171" s="3">
        <v>45498</v>
      </c>
      <c r="B2171">
        <f t="shared" si="33"/>
        <v>2024</v>
      </c>
      <c r="C2171">
        <v>7</v>
      </c>
      <c r="D2171" t="s">
        <v>23</v>
      </c>
      <c r="E2171" t="s">
        <v>20</v>
      </c>
      <c r="F2171" s="2">
        <v>3877</v>
      </c>
      <c r="G2171" s="2">
        <f>Monthly_Growth!$C$20</f>
        <v>776919</v>
      </c>
      <c r="H2171" s="5">
        <f>Monthly_Growth!$D$20</f>
        <v>-0.27152529627257732</v>
      </c>
      <c r="I2171" s="15">
        <f>Yearly_Growth!$C$3</f>
        <v>0.11893113731787852</v>
      </c>
      <c r="J2171" s="15">
        <f>Yearly_Growth!$D$3</f>
        <v>0.09</v>
      </c>
      <c r="K2171">
        <f>Sales_Per_Representative!$C$29</f>
        <v>753085</v>
      </c>
      <c r="L2171">
        <f>Sales_Per_Rep_Yearly_Goal!$B$3</f>
        <v>689907.8</v>
      </c>
      <c r="M2171">
        <f>Sales_Per_Rep_Yearly_Goal!$C$3</f>
        <v>690000</v>
      </c>
    </row>
    <row r="2172" spans="1:13" x14ac:dyDescent="0.3">
      <c r="A2172" s="3">
        <v>45498</v>
      </c>
      <c r="B2172">
        <f t="shared" si="33"/>
        <v>2024</v>
      </c>
      <c r="C2172">
        <v>7</v>
      </c>
      <c r="D2172" t="s">
        <v>25</v>
      </c>
      <c r="E2172" t="s">
        <v>30</v>
      </c>
      <c r="F2172" s="2">
        <v>9395</v>
      </c>
      <c r="G2172" s="2">
        <f>Monthly_Growth!$C$20</f>
        <v>776919</v>
      </c>
      <c r="H2172" s="5">
        <f>Monthly_Growth!$D$20</f>
        <v>-0.27152529627257732</v>
      </c>
      <c r="I2172" s="15">
        <f>Yearly_Growth!$C$3</f>
        <v>0.11893113731787852</v>
      </c>
      <c r="J2172" s="15">
        <f>Yearly_Growth!$D$3</f>
        <v>0.09</v>
      </c>
      <c r="K2172">
        <f>Sales_Per_Representative!$C$22</f>
        <v>700142</v>
      </c>
      <c r="L2172">
        <f>Sales_Per_Rep_Yearly_Goal!$B$3</f>
        <v>689907.8</v>
      </c>
      <c r="M2172">
        <f>Sales_Per_Rep_Yearly_Goal!$C$3</f>
        <v>690000</v>
      </c>
    </row>
    <row r="2173" spans="1:13" x14ac:dyDescent="0.3">
      <c r="A2173" s="3">
        <v>45499</v>
      </c>
      <c r="B2173">
        <f t="shared" si="33"/>
        <v>2024</v>
      </c>
      <c r="C2173">
        <v>7</v>
      </c>
      <c r="D2173" t="s">
        <v>25</v>
      </c>
      <c r="E2173" t="s">
        <v>33</v>
      </c>
      <c r="F2173" s="2">
        <v>5764</v>
      </c>
      <c r="G2173" s="2">
        <f>Monthly_Growth!$C$20</f>
        <v>776919</v>
      </c>
      <c r="H2173" s="5">
        <f>Monthly_Growth!$D$20</f>
        <v>-0.27152529627257732</v>
      </c>
      <c r="I2173" s="15">
        <f>Yearly_Growth!$C$3</f>
        <v>0.11893113731787852</v>
      </c>
      <c r="J2173" s="15">
        <f>Yearly_Growth!$D$3</f>
        <v>0.09</v>
      </c>
      <c r="K2173">
        <f>Sales_Per_Representative!$C$26</f>
        <v>501360</v>
      </c>
      <c r="L2173">
        <f>Sales_Per_Rep_Yearly_Goal!$B$3</f>
        <v>689907.8</v>
      </c>
      <c r="M2173">
        <f>Sales_Per_Rep_Yearly_Goal!$C$3</f>
        <v>690000</v>
      </c>
    </row>
    <row r="2174" spans="1:13" x14ac:dyDescent="0.3">
      <c r="A2174" s="3">
        <v>45499</v>
      </c>
      <c r="B2174">
        <f t="shared" si="33"/>
        <v>2024</v>
      </c>
      <c r="C2174">
        <v>7</v>
      </c>
      <c r="D2174" t="s">
        <v>7</v>
      </c>
      <c r="E2174" t="s">
        <v>31</v>
      </c>
      <c r="F2174" s="2">
        <v>1823</v>
      </c>
      <c r="G2174" s="2">
        <f>Monthly_Growth!$C$20</f>
        <v>776919</v>
      </c>
      <c r="H2174" s="5">
        <f>Monthly_Growth!$D$20</f>
        <v>-0.27152529627257732</v>
      </c>
      <c r="I2174" s="15">
        <f>Yearly_Growth!$C$3</f>
        <v>0.11893113731787852</v>
      </c>
      <c r="J2174" s="15">
        <f>Yearly_Growth!$D$3</f>
        <v>0.09</v>
      </c>
      <c r="K2174">
        <f>Sales_Per_Representative!$C$21</f>
        <v>679421</v>
      </c>
      <c r="L2174">
        <f>Sales_Per_Rep_Yearly_Goal!$B$3</f>
        <v>689907.8</v>
      </c>
      <c r="M2174">
        <f>Sales_Per_Rep_Yearly_Goal!$C$3</f>
        <v>690000</v>
      </c>
    </row>
    <row r="2175" spans="1:13" x14ac:dyDescent="0.3">
      <c r="A2175" s="3">
        <v>45499</v>
      </c>
      <c r="B2175">
        <f t="shared" si="33"/>
        <v>2024</v>
      </c>
      <c r="C2175">
        <v>7</v>
      </c>
      <c r="D2175" t="s">
        <v>17</v>
      </c>
      <c r="E2175" t="s">
        <v>26</v>
      </c>
      <c r="F2175" s="2">
        <v>10416</v>
      </c>
      <c r="G2175" s="2">
        <f>Monthly_Growth!$C$20</f>
        <v>776919</v>
      </c>
      <c r="H2175" s="5">
        <f>Monthly_Growth!$D$20</f>
        <v>-0.27152529627257732</v>
      </c>
      <c r="I2175" s="15">
        <f>Yearly_Growth!$C$3</f>
        <v>0.11893113731787852</v>
      </c>
      <c r="J2175" s="15">
        <f>Yearly_Growth!$D$3</f>
        <v>0.09</v>
      </c>
      <c r="K2175">
        <f>Sales_Per_Representative!$C$31</f>
        <v>664244</v>
      </c>
      <c r="L2175">
        <f>Sales_Per_Rep_Yearly_Goal!$B$3</f>
        <v>689907.8</v>
      </c>
      <c r="M2175">
        <f>Sales_Per_Rep_Yearly_Goal!$C$3</f>
        <v>690000</v>
      </c>
    </row>
    <row r="2176" spans="1:13" x14ac:dyDescent="0.3">
      <c r="A2176" s="3">
        <v>45500</v>
      </c>
      <c r="B2176">
        <f t="shared" si="33"/>
        <v>2024</v>
      </c>
      <c r="C2176">
        <v>7</v>
      </c>
      <c r="D2176" t="s">
        <v>7</v>
      </c>
      <c r="E2176" t="s">
        <v>24</v>
      </c>
      <c r="F2176" s="2">
        <v>9735</v>
      </c>
      <c r="G2176" s="2">
        <f>Monthly_Growth!$C$20</f>
        <v>776919</v>
      </c>
      <c r="H2176" s="5">
        <f>Monthly_Growth!$D$20</f>
        <v>-0.27152529627257732</v>
      </c>
      <c r="I2176" s="15">
        <f>Yearly_Growth!$C$3</f>
        <v>0.11893113731787852</v>
      </c>
      <c r="J2176" s="15">
        <f>Yearly_Growth!$D$3</f>
        <v>0.09</v>
      </c>
      <c r="K2176">
        <f>Sales_Per_Representative!$C$17</f>
        <v>633956</v>
      </c>
      <c r="L2176">
        <f>Sales_Per_Rep_Yearly_Goal!$B$3</f>
        <v>689907.8</v>
      </c>
      <c r="M2176">
        <f>Sales_Per_Rep_Yearly_Goal!$C$3</f>
        <v>690000</v>
      </c>
    </row>
    <row r="2177" spans="1:13" x14ac:dyDescent="0.3">
      <c r="A2177" s="3">
        <v>45501</v>
      </c>
      <c r="B2177">
        <f t="shared" si="33"/>
        <v>2024</v>
      </c>
      <c r="C2177">
        <v>7</v>
      </c>
      <c r="D2177" t="s">
        <v>19</v>
      </c>
      <c r="E2177" t="s">
        <v>32</v>
      </c>
      <c r="F2177" s="2">
        <v>11936</v>
      </c>
      <c r="G2177" s="2">
        <f>Monthly_Growth!$C$20</f>
        <v>776919</v>
      </c>
      <c r="H2177" s="5">
        <f>Monthly_Growth!$D$20</f>
        <v>-0.27152529627257732</v>
      </c>
      <c r="I2177" s="15">
        <f>Yearly_Growth!$C$3</f>
        <v>0.11893113731787852</v>
      </c>
      <c r="J2177" s="15">
        <f>Yearly_Growth!$D$3</f>
        <v>0.09</v>
      </c>
      <c r="K2177">
        <f>Sales_Per_Representative!$C$18</f>
        <v>783907</v>
      </c>
      <c r="L2177">
        <f>Sales_Per_Rep_Yearly_Goal!$B$3</f>
        <v>689907.8</v>
      </c>
      <c r="M2177">
        <f>Sales_Per_Rep_Yearly_Goal!$C$3</f>
        <v>690000</v>
      </c>
    </row>
    <row r="2178" spans="1:13" x14ac:dyDescent="0.3">
      <c r="A2178" s="3">
        <v>45501</v>
      </c>
      <c r="B2178">
        <f t="shared" si="33"/>
        <v>2024</v>
      </c>
      <c r="C2178">
        <v>7</v>
      </c>
      <c r="D2178" t="s">
        <v>19</v>
      </c>
      <c r="E2178" t="s">
        <v>10</v>
      </c>
      <c r="F2178" s="2">
        <v>4829</v>
      </c>
      <c r="G2178" s="2">
        <f>Monthly_Growth!$C$20</f>
        <v>776919</v>
      </c>
      <c r="H2178" s="5">
        <f>Monthly_Growth!$D$20</f>
        <v>-0.27152529627257732</v>
      </c>
      <c r="I2178" s="15">
        <f>Yearly_Growth!$C$3</f>
        <v>0.11893113731787852</v>
      </c>
      <c r="J2178" s="15">
        <f>Yearly_Growth!$D$3</f>
        <v>0.09</v>
      </c>
      <c r="K2178">
        <f>Sales_Per_Representative!$C$19</f>
        <v>711816</v>
      </c>
      <c r="L2178">
        <f>Sales_Per_Rep_Yearly_Goal!$B$3</f>
        <v>689907.8</v>
      </c>
      <c r="M2178">
        <f>Sales_Per_Rep_Yearly_Goal!$C$3</f>
        <v>690000</v>
      </c>
    </row>
    <row r="2179" spans="1:13" x14ac:dyDescent="0.3">
      <c r="A2179" s="3">
        <v>45502</v>
      </c>
      <c r="B2179">
        <f t="shared" ref="B2179:B2242" si="34">YEAR(A2179)</f>
        <v>2024</v>
      </c>
      <c r="C2179">
        <v>7</v>
      </c>
      <c r="D2179" t="s">
        <v>12</v>
      </c>
      <c r="E2179" t="s">
        <v>15</v>
      </c>
      <c r="F2179" s="2">
        <v>2125</v>
      </c>
      <c r="G2179" s="2">
        <f>Monthly_Growth!$C$20</f>
        <v>776919</v>
      </c>
      <c r="H2179" s="5">
        <f>Monthly_Growth!$D$20</f>
        <v>-0.27152529627257732</v>
      </c>
      <c r="I2179" s="15">
        <f>Yearly_Growth!$C$3</f>
        <v>0.11893113731787852</v>
      </c>
      <c r="J2179" s="15">
        <f>Yearly_Growth!$D$3</f>
        <v>0.09</v>
      </c>
      <c r="K2179">
        <f>Sales_Per_Representative!$C$27</f>
        <v>617202</v>
      </c>
      <c r="L2179">
        <f>Sales_Per_Rep_Yearly_Goal!$B$3</f>
        <v>689907.8</v>
      </c>
      <c r="M2179">
        <f>Sales_Per_Rep_Yearly_Goal!$C$3</f>
        <v>690000</v>
      </c>
    </row>
    <row r="2180" spans="1:13" x14ac:dyDescent="0.3">
      <c r="A2180" s="3">
        <v>45503</v>
      </c>
      <c r="B2180">
        <f t="shared" si="34"/>
        <v>2024</v>
      </c>
      <c r="C2180">
        <v>7</v>
      </c>
      <c r="D2180" t="s">
        <v>14</v>
      </c>
      <c r="E2180" t="s">
        <v>20</v>
      </c>
      <c r="F2180" s="2">
        <v>11750</v>
      </c>
      <c r="G2180" s="2">
        <f>Monthly_Growth!$C$20</f>
        <v>776919</v>
      </c>
      <c r="H2180" s="5">
        <f>Monthly_Growth!$D$20</f>
        <v>-0.27152529627257732</v>
      </c>
      <c r="I2180" s="15">
        <f>Yearly_Growth!$C$3</f>
        <v>0.11893113731787852</v>
      </c>
      <c r="J2180" s="15">
        <f>Yearly_Growth!$D$3</f>
        <v>0.09</v>
      </c>
      <c r="K2180">
        <f>Sales_Per_Representative!$C$29</f>
        <v>753085</v>
      </c>
      <c r="L2180">
        <f>Sales_Per_Rep_Yearly_Goal!$B$3</f>
        <v>689907.8</v>
      </c>
      <c r="M2180">
        <f>Sales_Per_Rep_Yearly_Goal!$C$3</f>
        <v>690000</v>
      </c>
    </row>
    <row r="2181" spans="1:13" x14ac:dyDescent="0.3">
      <c r="A2181" s="3">
        <v>45503</v>
      </c>
      <c r="B2181">
        <f t="shared" si="34"/>
        <v>2024</v>
      </c>
      <c r="C2181">
        <v>7</v>
      </c>
      <c r="D2181" t="s">
        <v>28</v>
      </c>
      <c r="E2181" t="s">
        <v>5</v>
      </c>
      <c r="F2181" s="2">
        <v>10961</v>
      </c>
      <c r="G2181" s="2">
        <f>Monthly_Growth!$C$20</f>
        <v>776919</v>
      </c>
      <c r="H2181" s="5">
        <f>Monthly_Growth!$D$20</f>
        <v>-0.27152529627257732</v>
      </c>
      <c r="I2181" s="15">
        <f>Yearly_Growth!$C$3</f>
        <v>0.11893113731787852</v>
      </c>
      <c r="J2181" s="15">
        <f>Yearly_Growth!$D$3</f>
        <v>0.09</v>
      </c>
      <c r="K2181">
        <f>Sales_Per_Representative!$C$25</f>
        <v>749460</v>
      </c>
      <c r="L2181">
        <f>Sales_Per_Rep_Yearly_Goal!$B$3</f>
        <v>689907.8</v>
      </c>
      <c r="M2181">
        <f>Sales_Per_Rep_Yearly_Goal!$C$3</f>
        <v>690000</v>
      </c>
    </row>
    <row r="2182" spans="1:13" x14ac:dyDescent="0.3">
      <c r="A2182" s="3">
        <v>45503</v>
      </c>
      <c r="B2182">
        <f t="shared" si="34"/>
        <v>2024</v>
      </c>
      <c r="C2182">
        <v>7</v>
      </c>
      <c r="D2182" t="s">
        <v>17</v>
      </c>
      <c r="E2182" t="s">
        <v>8</v>
      </c>
      <c r="F2182" s="2">
        <v>5183</v>
      </c>
      <c r="G2182" s="2">
        <f>Monthly_Growth!$C$20</f>
        <v>776919</v>
      </c>
      <c r="H2182" s="5">
        <f>Monthly_Growth!$D$20</f>
        <v>-0.27152529627257732</v>
      </c>
      <c r="I2182" s="15">
        <f>Yearly_Growth!$C$3</f>
        <v>0.11893113731787852</v>
      </c>
      <c r="J2182" s="15">
        <f>Yearly_Growth!$D$3</f>
        <v>0.09</v>
      </c>
      <c r="K2182">
        <f>Sales_Per_Representative!$C$30</f>
        <v>780006</v>
      </c>
      <c r="L2182">
        <f>Sales_Per_Rep_Yearly_Goal!$B$3</f>
        <v>689907.8</v>
      </c>
      <c r="M2182">
        <f>Sales_Per_Rep_Yearly_Goal!$C$3</f>
        <v>690000</v>
      </c>
    </row>
    <row r="2183" spans="1:13" x14ac:dyDescent="0.3">
      <c r="A2183" s="3">
        <v>45503</v>
      </c>
      <c r="B2183">
        <f t="shared" si="34"/>
        <v>2024</v>
      </c>
      <c r="C2183">
        <v>7</v>
      </c>
      <c r="D2183" t="s">
        <v>12</v>
      </c>
      <c r="E2183" t="s">
        <v>10</v>
      </c>
      <c r="F2183" s="2">
        <v>11449</v>
      </c>
      <c r="G2183" s="2">
        <f>Monthly_Growth!$C$20</f>
        <v>776919</v>
      </c>
      <c r="H2183" s="5">
        <f>Monthly_Growth!$D$20</f>
        <v>-0.27152529627257732</v>
      </c>
      <c r="I2183" s="15">
        <f>Yearly_Growth!$C$3</f>
        <v>0.11893113731787852</v>
      </c>
      <c r="J2183" s="15">
        <f>Yearly_Growth!$D$3</f>
        <v>0.09</v>
      </c>
      <c r="K2183">
        <f>Sales_Per_Representative!$C$19</f>
        <v>711816</v>
      </c>
      <c r="L2183">
        <f>Sales_Per_Rep_Yearly_Goal!$B$3</f>
        <v>689907.8</v>
      </c>
      <c r="M2183">
        <f>Sales_Per_Rep_Yearly_Goal!$C$3</f>
        <v>690000</v>
      </c>
    </row>
    <row r="2184" spans="1:13" x14ac:dyDescent="0.3">
      <c r="A2184" s="3">
        <v>45504</v>
      </c>
      <c r="B2184">
        <f t="shared" si="34"/>
        <v>2024</v>
      </c>
      <c r="C2184">
        <v>7</v>
      </c>
      <c r="D2184" t="s">
        <v>14</v>
      </c>
      <c r="E2184" t="s">
        <v>5</v>
      </c>
      <c r="F2184" s="2">
        <v>13180</v>
      </c>
      <c r="G2184" s="2">
        <f>Monthly_Growth!$C$20</f>
        <v>776919</v>
      </c>
      <c r="H2184" s="5">
        <f>Monthly_Growth!$D$20</f>
        <v>-0.27152529627257732</v>
      </c>
      <c r="I2184" s="15">
        <f>Yearly_Growth!$C$3</f>
        <v>0.11893113731787852</v>
      </c>
      <c r="J2184" s="15">
        <f>Yearly_Growth!$D$3</f>
        <v>0.09</v>
      </c>
      <c r="K2184">
        <f>Sales_Per_Representative!$C$25</f>
        <v>749460</v>
      </c>
      <c r="L2184">
        <f>Sales_Per_Rep_Yearly_Goal!$B$3</f>
        <v>689907.8</v>
      </c>
      <c r="M2184">
        <f>Sales_Per_Rep_Yearly_Goal!$C$3</f>
        <v>690000</v>
      </c>
    </row>
    <row r="2185" spans="1:13" x14ac:dyDescent="0.3">
      <c r="A2185" s="3">
        <v>45504</v>
      </c>
      <c r="B2185">
        <f t="shared" si="34"/>
        <v>2024</v>
      </c>
      <c r="C2185">
        <v>7</v>
      </c>
      <c r="D2185" t="s">
        <v>19</v>
      </c>
      <c r="E2185" t="s">
        <v>33</v>
      </c>
      <c r="F2185" s="2">
        <v>12333</v>
      </c>
      <c r="G2185" s="2">
        <f>Monthly_Growth!$C$20</f>
        <v>776919</v>
      </c>
      <c r="H2185" s="5">
        <f>Monthly_Growth!$D$20</f>
        <v>-0.27152529627257732</v>
      </c>
      <c r="I2185" s="15">
        <f>Yearly_Growth!$C$3</f>
        <v>0.11893113731787852</v>
      </c>
      <c r="J2185" s="15">
        <f>Yearly_Growth!$D$3</f>
        <v>0.09</v>
      </c>
      <c r="K2185">
        <f>Sales_Per_Representative!$C$26</f>
        <v>501360</v>
      </c>
      <c r="L2185">
        <f>Sales_Per_Rep_Yearly_Goal!$B$3</f>
        <v>689907.8</v>
      </c>
      <c r="M2185">
        <f>Sales_Per_Rep_Yearly_Goal!$C$3</f>
        <v>690000</v>
      </c>
    </row>
    <row r="2186" spans="1:13" x14ac:dyDescent="0.3">
      <c r="A2186" s="3">
        <v>45504</v>
      </c>
      <c r="B2186">
        <f t="shared" si="34"/>
        <v>2024</v>
      </c>
      <c r="C2186">
        <v>7</v>
      </c>
      <c r="D2186" t="s">
        <v>17</v>
      </c>
      <c r="E2186" t="s">
        <v>22</v>
      </c>
      <c r="F2186" s="2">
        <v>5328</v>
      </c>
      <c r="G2186" s="2">
        <f>Monthly_Growth!$C$20</f>
        <v>776919</v>
      </c>
      <c r="H2186" s="5">
        <f>Monthly_Growth!$D$20</f>
        <v>-0.27152529627257732</v>
      </c>
      <c r="I2186" s="15">
        <f>Yearly_Growth!$C$3</f>
        <v>0.11893113731787852</v>
      </c>
      <c r="J2186" s="15">
        <f>Yearly_Growth!$D$3</f>
        <v>0.09</v>
      </c>
      <c r="K2186">
        <f>Sales_Per_Representative!$C$23</f>
        <v>697444</v>
      </c>
      <c r="L2186">
        <f>Sales_Per_Rep_Yearly_Goal!$B$3</f>
        <v>689907.8</v>
      </c>
      <c r="M2186">
        <f>Sales_Per_Rep_Yearly_Goal!$C$3</f>
        <v>690000</v>
      </c>
    </row>
    <row r="2187" spans="1:13" x14ac:dyDescent="0.3">
      <c r="A2187" s="3">
        <v>45505</v>
      </c>
      <c r="B2187">
        <f t="shared" si="34"/>
        <v>2024</v>
      </c>
      <c r="C2187">
        <v>8</v>
      </c>
      <c r="D2187" t="s">
        <v>7</v>
      </c>
      <c r="E2187" t="s">
        <v>8</v>
      </c>
      <c r="F2187" s="2">
        <v>13611</v>
      </c>
      <c r="G2187" s="2">
        <f>Monthly_Growth!$C$21</f>
        <v>877469</v>
      </c>
      <c r="H2187" s="5">
        <f>Monthly_Growth!$D$21</f>
        <v>0.12942147122158165</v>
      </c>
      <c r="I2187" s="15">
        <f>Yearly_Growth!$C$3</f>
        <v>0.11893113731787852</v>
      </c>
      <c r="J2187" s="15">
        <f>Yearly_Growth!$D$3</f>
        <v>0.09</v>
      </c>
      <c r="K2187">
        <f>Sales_Per_Representative!$C$30</f>
        <v>780006</v>
      </c>
      <c r="L2187">
        <f>Sales_Per_Rep_Yearly_Goal!$B$3</f>
        <v>689907.8</v>
      </c>
      <c r="M2187">
        <f>Sales_Per_Rep_Yearly_Goal!$C$3</f>
        <v>690000</v>
      </c>
    </row>
    <row r="2188" spans="1:13" x14ac:dyDescent="0.3">
      <c r="A2188" s="3">
        <v>45506</v>
      </c>
      <c r="B2188">
        <f t="shared" si="34"/>
        <v>2024</v>
      </c>
      <c r="C2188">
        <v>8</v>
      </c>
      <c r="D2188" t="s">
        <v>23</v>
      </c>
      <c r="E2188" t="s">
        <v>18</v>
      </c>
      <c r="F2188" s="2">
        <v>10549</v>
      </c>
      <c r="G2188" s="2">
        <f>Monthly_Growth!$C$21</f>
        <v>877469</v>
      </c>
      <c r="H2188" s="5">
        <f>Monthly_Growth!$D$21</f>
        <v>0.12942147122158165</v>
      </c>
      <c r="I2188" s="15">
        <f>Yearly_Growth!$C$3</f>
        <v>0.11893113731787852</v>
      </c>
      <c r="J2188" s="15">
        <f>Yearly_Growth!$D$3</f>
        <v>0.09</v>
      </c>
      <c r="K2188">
        <f>Sales_Per_Representative!$C$24</f>
        <v>699277</v>
      </c>
      <c r="L2188">
        <f>Sales_Per_Rep_Yearly_Goal!$B$3</f>
        <v>689907.8</v>
      </c>
      <c r="M2188">
        <f>Sales_Per_Rep_Yearly_Goal!$C$3</f>
        <v>690000</v>
      </c>
    </row>
    <row r="2189" spans="1:13" x14ac:dyDescent="0.3">
      <c r="A2189" s="3">
        <v>45506</v>
      </c>
      <c r="B2189">
        <f t="shared" si="34"/>
        <v>2024</v>
      </c>
      <c r="C2189">
        <v>8</v>
      </c>
      <c r="D2189" t="s">
        <v>28</v>
      </c>
      <c r="E2189" t="s">
        <v>18</v>
      </c>
      <c r="F2189" s="2">
        <v>1502</v>
      </c>
      <c r="G2189" s="2">
        <f>Monthly_Growth!$C$21</f>
        <v>877469</v>
      </c>
      <c r="H2189" s="5">
        <f>Monthly_Growth!$D$21</f>
        <v>0.12942147122158165</v>
      </c>
      <c r="I2189" s="15">
        <f>Yearly_Growth!$C$3</f>
        <v>0.11893113731787852</v>
      </c>
      <c r="J2189" s="15">
        <f>Yearly_Growth!$D$3</f>
        <v>0.09</v>
      </c>
      <c r="K2189">
        <f>Sales_Per_Representative!$C$24</f>
        <v>699277</v>
      </c>
      <c r="L2189">
        <f>Sales_Per_Rep_Yearly_Goal!$B$3</f>
        <v>689907.8</v>
      </c>
      <c r="M2189">
        <f>Sales_Per_Rep_Yearly_Goal!$C$3</f>
        <v>690000</v>
      </c>
    </row>
    <row r="2190" spans="1:13" x14ac:dyDescent="0.3">
      <c r="A2190" s="3">
        <v>45506</v>
      </c>
      <c r="B2190">
        <f t="shared" si="34"/>
        <v>2024</v>
      </c>
      <c r="C2190">
        <v>8</v>
      </c>
      <c r="D2190" t="s">
        <v>12</v>
      </c>
      <c r="E2190" t="s">
        <v>10</v>
      </c>
      <c r="F2190" s="2">
        <v>6523</v>
      </c>
      <c r="G2190" s="2">
        <f>Monthly_Growth!$C$21</f>
        <v>877469</v>
      </c>
      <c r="H2190" s="5">
        <f>Monthly_Growth!$D$21</f>
        <v>0.12942147122158165</v>
      </c>
      <c r="I2190" s="15">
        <f>Yearly_Growth!$C$3</f>
        <v>0.11893113731787852</v>
      </c>
      <c r="J2190" s="15">
        <f>Yearly_Growth!$D$3</f>
        <v>0.09</v>
      </c>
      <c r="K2190">
        <f>Sales_Per_Representative!$C$19</f>
        <v>711816</v>
      </c>
      <c r="L2190">
        <f>Sales_Per_Rep_Yearly_Goal!$B$3</f>
        <v>689907.8</v>
      </c>
      <c r="M2190">
        <f>Sales_Per_Rep_Yearly_Goal!$C$3</f>
        <v>690000</v>
      </c>
    </row>
    <row r="2191" spans="1:13" x14ac:dyDescent="0.3">
      <c r="A2191" s="3">
        <v>45507</v>
      </c>
      <c r="B2191">
        <f t="shared" si="34"/>
        <v>2024</v>
      </c>
      <c r="C2191">
        <v>8</v>
      </c>
      <c r="D2191" t="s">
        <v>14</v>
      </c>
      <c r="E2191" t="s">
        <v>32</v>
      </c>
      <c r="F2191" s="2">
        <v>6767</v>
      </c>
      <c r="G2191" s="2">
        <f>Monthly_Growth!$C$21</f>
        <v>877469</v>
      </c>
      <c r="H2191" s="5">
        <f>Monthly_Growth!$D$21</f>
        <v>0.12942147122158165</v>
      </c>
      <c r="I2191" s="15">
        <f>Yearly_Growth!$C$3</f>
        <v>0.11893113731787852</v>
      </c>
      <c r="J2191" s="15">
        <f>Yearly_Growth!$D$3</f>
        <v>0.09</v>
      </c>
      <c r="K2191">
        <f>Sales_Per_Representative!$C$18</f>
        <v>783907</v>
      </c>
      <c r="L2191">
        <f>Sales_Per_Rep_Yearly_Goal!$B$3</f>
        <v>689907.8</v>
      </c>
      <c r="M2191">
        <f>Sales_Per_Rep_Yearly_Goal!$C$3</f>
        <v>690000</v>
      </c>
    </row>
    <row r="2192" spans="1:13" x14ac:dyDescent="0.3">
      <c r="A2192" s="3">
        <v>45507</v>
      </c>
      <c r="B2192">
        <f t="shared" si="34"/>
        <v>2024</v>
      </c>
      <c r="C2192">
        <v>8</v>
      </c>
      <c r="D2192" t="s">
        <v>23</v>
      </c>
      <c r="E2192" t="s">
        <v>15</v>
      </c>
      <c r="F2192" s="2">
        <v>3721</v>
      </c>
      <c r="G2192" s="2">
        <f>Monthly_Growth!$C$21</f>
        <v>877469</v>
      </c>
      <c r="H2192" s="5">
        <f>Monthly_Growth!$D$21</f>
        <v>0.12942147122158165</v>
      </c>
      <c r="I2192" s="15">
        <f>Yearly_Growth!$C$3</f>
        <v>0.11893113731787852</v>
      </c>
      <c r="J2192" s="15">
        <f>Yearly_Growth!$D$3</f>
        <v>0.09</v>
      </c>
      <c r="K2192">
        <f>Sales_Per_Representative!$C$27</f>
        <v>617202</v>
      </c>
      <c r="L2192">
        <f>Sales_Per_Rep_Yearly_Goal!$B$3</f>
        <v>689907.8</v>
      </c>
      <c r="M2192">
        <f>Sales_Per_Rep_Yearly_Goal!$C$3</f>
        <v>690000</v>
      </c>
    </row>
    <row r="2193" spans="1:13" x14ac:dyDescent="0.3">
      <c r="A2193" s="3">
        <v>45507</v>
      </c>
      <c r="B2193">
        <f t="shared" si="34"/>
        <v>2024</v>
      </c>
      <c r="C2193">
        <v>8</v>
      </c>
      <c r="D2193" t="s">
        <v>25</v>
      </c>
      <c r="E2193" t="s">
        <v>8</v>
      </c>
      <c r="F2193" s="2">
        <v>6142</v>
      </c>
      <c r="G2193" s="2">
        <f>Monthly_Growth!$C$21</f>
        <v>877469</v>
      </c>
      <c r="H2193" s="5">
        <f>Monthly_Growth!$D$21</f>
        <v>0.12942147122158165</v>
      </c>
      <c r="I2193" s="15">
        <f>Yearly_Growth!$C$3</f>
        <v>0.11893113731787852</v>
      </c>
      <c r="J2193" s="15">
        <f>Yearly_Growth!$D$3</f>
        <v>0.09</v>
      </c>
      <c r="K2193">
        <f>Sales_Per_Representative!$C$30</f>
        <v>780006</v>
      </c>
      <c r="L2193">
        <f>Sales_Per_Rep_Yearly_Goal!$B$3</f>
        <v>689907.8</v>
      </c>
      <c r="M2193">
        <f>Sales_Per_Rep_Yearly_Goal!$C$3</f>
        <v>690000</v>
      </c>
    </row>
    <row r="2194" spans="1:13" x14ac:dyDescent="0.3">
      <c r="A2194" s="3">
        <v>45507</v>
      </c>
      <c r="B2194">
        <f t="shared" si="34"/>
        <v>2024</v>
      </c>
      <c r="C2194">
        <v>8</v>
      </c>
      <c r="D2194" t="s">
        <v>7</v>
      </c>
      <c r="E2194" t="s">
        <v>20</v>
      </c>
      <c r="F2194" s="2">
        <v>2173</v>
      </c>
      <c r="G2194" s="2">
        <f>Monthly_Growth!$C$21</f>
        <v>877469</v>
      </c>
      <c r="H2194" s="5">
        <f>Monthly_Growth!$D$21</f>
        <v>0.12942147122158165</v>
      </c>
      <c r="I2194" s="15">
        <f>Yearly_Growth!$C$3</f>
        <v>0.11893113731787852</v>
      </c>
      <c r="J2194" s="15">
        <f>Yearly_Growth!$D$3</f>
        <v>0.09</v>
      </c>
      <c r="K2194">
        <f>Sales_Per_Representative!$C$29</f>
        <v>753085</v>
      </c>
      <c r="L2194">
        <f>Sales_Per_Rep_Yearly_Goal!$B$3</f>
        <v>689907.8</v>
      </c>
      <c r="M2194">
        <f>Sales_Per_Rep_Yearly_Goal!$C$3</f>
        <v>690000</v>
      </c>
    </row>
    <row r="2195" spans="1:13" x14ac:dyDescent="0.3">
      <c r="A2195" s="3">
        <v>45507</v>
      </c>
      <c r="B2195">
        <f t="shared" si="34"/>
        <v>2024</v>
      </c>
      <c r="C2195">
        <v>8</v>
      </c>
      <c r="D2195" t="s">
        <v>12</v>
      </c>
      <c r="E2195" t="s">
        <v>5</v>
      </c>
      <c r="F2195" s="2">
        <v>12253</v>
      </c>
      <c r="G2195" s="2">
        <f>Monthly_Growth!$C$21</f>
        <v>877469</v>
      </c>
      <c r="H2195" s="5">
        <f>Monthly_Growth!$D$21</f>
        <v>0.12942147122158165</v>
      </c>
      <c r="I2195" s="15">
        <f>Yearly_Growth!$C$3</f>
        <v>0.11893113731787852</v>
      </c>
      <c r="J2195" s="15">
        <f>Yearly_Growth!$D$3</f>
        <v>0.09</v>
      </c>
      <c r="K2195">
        <f>Sales_Per_Representative!$C$25</f>
        <v>749460</v>
      </c>
      <c r="L2195">
        <f>Sales_Per_Rep_Yearly_Goal!$B$3</f>
        <v>689907.8</v>
      </c>
      <c r="M2195">
        <f>Sales_Per_Rep_Yearly_Goal!$C$3</f>
        <v>690000</v>
      </c>
    </row>
    <row r="2196" spans="1:13" x14ac:dyDescent="0.3">
      <c r="A2196" s="3">
        <v>45508</v>
      </c>
      <c r="B2196">
        <f t="shared" si="34"/>
        <v>2024</v>
      </c>
      <c r="C2196">
        <v>8</v>
      </c>
      <c r="D2196" t="s">
        <v>19</v>
      </c>
      <c r="E2196" t="s">
        <v>27</v>
      </c>
      <c r="F2196" s="2">
        <v>12943</v>
      </c>
      <c r="G2196" s="2">
        <f>Monthly_Growth!$C$21</f>
        <v>877469</v>
      </c>
      <c r="H2196" s="5">
        <f>Monthly_Growth!$D$21</f>
        <v>0.12942147122158165</v>
      </c>
      <c r="I2196" s="15">
        <f>Yearly_Growth!$C$3</f>
        <v>0.11893113731787852</v>
      </c>
      <c r="J2196" s="15">
        <f>Yearly_Growth!$D$3</f>
        <v>0.09</v>
      </c>
      <c r="K2196">
        <f>Sales_Per_Representative!$C$20</f>
        <v>685380</v>
      </c>
      <c r="L2196">
        <f>Sales_Per_Rep_Yearly_Goal!$B$3</f>
        <v>689907.8</v>
      </c>
      <c r="M2196">
        <f>Sales_Per_Rep_Yearly_Goal!$C$3</f>
        <v>690000</v>
      </c>
    </row>
    <row r="2197" spans="1:13" x14ac:dyDescent="0.3">
      <c r="A2197" s="3">
        <v>45508</v>
      </c>
      <c r="B2197">
        <f t="shared" si="34"/>
        <v>2024</v>
      </c>
      <c r="C2197">
        <v>8</v>
      </c>
      <c r="D2197" t="s">
        <v>17</v>
      </c>
      <c r="E2197" t="s">
        <v>22</v>
      </c>
      <c r="F2197" s="2">
        <v>5895</v>
      </c>
      <c r="G2197" s="2">
        <f>Monthly_Growth!$C$21</f>
        <v>877469</v>
      </c>
      <c r="H2197" s="5">
        <f>Monthly_Growth!$D$21</f>
        <v>0.12942147122158165</v>
      </c>
      <c r="I2197" s="15">
        <f>Yearly_Growth!$C$3</f>
        <v>0.11893113731787852</v>
      </c>
      <c r="J2197" s="15">
        <f>Yearly_Growth!$D$3</f>
        <v>0.09</v>
      </c>
      <c r="K2197">
        <f>Sales_Per_Representative!$C$23</f>
        <v>697444</v>
      </c>
      <c r="L2197">
        <f>Sales_Per_Rep_Yearly_Goal!$B$3</f>
        <v>689907.8</v>
      </c>
      <c r="M2197">
        <f>Sales_Per_Rep_Yearly_Goal!$C$3</f>
        <v>690000</v>
      </c>
    </row>
    <row r="2198" spans="1:13" x14ac:dyDescent="0.3">
      <c r="A2198" s="3">
        <v>45509</v>
      </c>
      <c r="B2198">
        <f t="shared" si="34"/>
        <v>2024</v>
      </c>
      <c r="C2198">
        <v>8</v>
      </c>
      <c r="D2198" t="s">
        <v>19</v>
      </c>
      <c r="E2198" t="s">
        <v>27</v>
      </c>
      <c r="F2198" s="2">
        <v>1199</v>
      </c>
      <c r="G2198" s="2">
        <f>Monthly_Growth!$C$21</f>
        <v>877469</v>
      </c>
      <c r="H2198" s="5">
        <f>Monthly_Growth!$D$21</f>
        <v>0.12942147122158165</v>
      </c>
      <c r="I2198" s="15">
        <f>Yearly_Growth!$C$3</f>
        <v>0.11893113731787852</v>
      </c>
      <c r="J2198" s="15">
        <f>Yearly_Growth!$D$3</f>
        <v>0.09</v>
      </c>
      <c r="K2198">
        <f>Sales_Per_Representative!$C$20</f>
        <v>685380</v>
      </c>
      <c r="L2198">
        <f>Sales_Per_Rep_Yearly_Goal!$B$3</f>
        <v>689907.8</v>
      </c>
      <c r="M2198">
        <f>Sales_Per_Rep_Yearly_Goal!$C$3</f>
        <v>690000</v>
      </c>
    </row>
    <row r="2199" spans="1:13" x14ac:dyDescent="0.3">
      <c r="A2199" s="3">
        <v>45509</v>
      </c>
      <c r="B2199">
        <f t="shared" si="34"/>
        <v>2024</v>
      </c>
      <c r="C2199">
        <v>8</v>
      </c>
      <c r="D2199" t="s">
        <v>28</v>
      </c>
      <c r="E2199" t="s">
        <v>27</v>
      </c>
      <c r="F2199" s="2">
        <v>7740</v>
      </c>
      <c r="G2199" s="2">
        <f>Monthly_Growth!$C$21</f>
        <v>877469</v>
      </c>
      <c r="H2199" s="5">
        <f>Monthly_Growth!$D$21</f>
        <v>0.12942147122158165</v>
      </c>
      <c r="I2199" s="15">
        <f>Yearly_Growth!$C$3</f>
        <v>0.11893113731787852</v>
      </c>
      <c r="J2199" s="15">
        <f>Yearly_Growth!$D$3</f>
        <v>0.09</v>
      </c>
      <c r="K2199">
        <f>Sales_Per_Representative!$C$20</f>
        <v>685380</v>
      </c>
      <c r="L2199">
        <f>Sales_Per_Rep_Yearly_Goal!$B$3</f>
        <v>689907.8</v>
      </c>
      <c r="M2199">
        <f>Sales_Per_Rep_Yearly_Goal!$C$3</f>
        <v>690000</v>
      </c>
    </row>
    <row r="2200" spans="1:13" x14ac:dyDescent="0.3">
      <c r="A2200" s="3">
        <v>45509</v>
      </c>
      <c r="B2200">
        <f t="shared" si="34"/>
        <v>2024</v>
      </c>
      <c r="C2200">
        <v>8</v>
      </c>
      <c r="D2200" t="s">
        <v>12</v>
      </c>
      <c r="E2200" t="s">
        <v>32</v>
      </c>
      <c r="F2200" s="2">
        <v>3674</v>
      </c>
      <c r="G2200" s="2">
        <f>Monthly_Growth!$C$21</f>
        <v>877469</v>
      </c>
      <c r="H2200" s="5">
        <f>Monthly_Growth!$D$21</f>
        <v>0.12942147122158165</v>
      </c>
      <c r="I2200" s="15">
        <f>Yearly_Growth!$C$3</f>
        <v>0.11893113731787852</v>
      </c>
      <c r="J2200" s="15">
        <f>Yearly_Growth!$D$3</f>
        <v>0.09</v>
      </c>
      <c r="K2200">
        <f>Sales_Per_Representative!$C$18</f>
        <v>783907</v>
      </c>
      <c r="L2200">
        <f>Sales_Per_Rep_Yearly_Goal!$B$3</f>
        <v>689907.8</v>
      </c>
      <c r="M2200">
        <f>Sales_Per_Rep_Yearly_Goal!$C$3</f>
        <v>690000</v>
      </c>
    </row>
    <row r="2201" spans="1:13" x14ac:dyDescent="0.3">
      <c r="A2201" s="3">
        <v>45510</v>
      </c>
      <c r="B2201">
        <f t="shared" si="34"/>
        <v>2024</v>
      </c>
      <c r="C2201">
        <v>8</v>
      </c>
      <c r="D2201" t="s">
        <v>14</v>
      </c>
      <c r="E2201" t="s">
        <v>26</v>
      </c>
      <c r="F2201" s="2">
        <v>2252</v>
      </c>
      <c r="G2201" s="2">
        <f>Monthly_Growth!$C$21</f>
        <v>877469</v>
      </c>
      <c r="H2201" s="5">
        <f>Monthly_Growth!$D$21</f>
        <v>0.12942147122158165</v>
      </c>
      <c r="I2201" s="15">
        <f>Yearly_Growth!$C$3</f>
        <v>0.11893113731787852</v>
      </c>
      <c r="J2201" s="15">
        <f>Yearly_Growth!$D$3</f>
        <v>0.09</v>
      </c>
      <c r="K2201">
        <f>Sales_Per_Representative!$C$31</f>
        <v>664244</v>
      </c>
      <c r="L2201">
        <f>Sales_Per_Rep_Yearly_Goal!$B$3</f>
        <v>689907.8</v>
      </c>
      <c r="M2201">
        <f>Sales_Per_Rep_Yearly_Goal!$C$3</f>
        <v>690000</v>
      </c>
    </row>
    <row r="2202" spans="1:13" x14ac:dyDescent="0.3">
      <c r="A2202" s="3">
        <v>45510</v>
      </c>
      <c r="B2202">
        <f t="shared" si="34"/>
        <v>2024</v>
      </c>
      <c r="C2202">
        <v>8</v>
      </c>
      <c r="D2202" t="s">
        <v>19</v>
      </c>
      <c r="E2202" t="s">
        <v>24</v>
      </c>
      <c r="F2202" s="2">
        <v>12693</v>
      </c>
      <c r="G2202" s="2">
        <f>Monthly_Growth!$C$21</f>
        <v>877469</v>
      </c>
      <c r="H2202" s="5">
        <f>Monthly_Growth!$D$21</f>
        <v>0.12942147122158165</v>
      </c>
      <c r="I2202" s="15">
        <f>Yearly_Growth!$C$3</f>
        <v>0.11893113731787852</v>
      </c>
      <c r="J2202" s="15">
        <f>Yearly_Growth!$D$3</f>
        <v>0.09</v>
      </c>
      <c r="K2202">
        <f>Sales_Per_Representative!$C$17</f>
        <v>633956</v>
      </c>
      <c r="L2202">
        <f>Sales_Per_Rep_Yearly_Goal!$B$3</f>
        <v>689907.8</v>
      </c>
      <c r="M2202">
        <f>Sales_Per_Rep_Yearly_Goal!$C$3</f>
        <v>690000</v>
      </c>
    </row>
    <row r="2203" spans="1:13" x14ac:dyDescent="0.3">
      <c r="A2203" s="3">
        <v>45510</v>
      </c>
      <c r="B2203">
        <f t="shared" si="34"/>
        <v>2024</v>
      </c>
      <c r="C2203">
        <v>8</v>
      </c>
      <c r="D2203" t="s">
        <v>19</v>
      </c>
      <c r="E2203" t="s">
        <v>10</v>
      </c>
      <c r="F2203" s="2">
        <v>5281</v>
      </c>
      <c r="G2203" s="2">
        <f>Monthly_Growth!$C$21</f>
        <v>877469</v>
      </c>
      <c r="H2203" s="5">
        <f>Monthly_Growth!$D$21</f>
        <v>0.12942147122158165</v>
      </c>
      <c r="I2203" s="15">
        <f>Yearly_Growth!$C$3</f>
        <v>0.11893113731787852</v>
      </c>
      <c r="J2203" s="15">
        <f>Yearly_Growth!$D$3</f>
        <v>0.09</v>
      </c>
      <c r="K2203">
        <f>Sales_Per_Representative!$C$19</f>
        <v>711816</v>
      </c>
      <c r="L2203">
        <f>Sales_Per_Rep_Yearly_Goal!$B$3</f>
        <v>689907.8</v>
      </c>
      <c r="M2203">
        <f>Sales_Per_Rep_Yearly_Goal!$C$3</f>
        <v>690000</v>
      </c>
    </row>
    <row r="2204" spans="1:13" x14ac:dyDescent="0.3">
      <c r="A2204" s="3">
        <v>45510</v>
      </c>
      <c r="B2204">
        <f t="shared" si="34"/>
        <v>2024</v>
      </c>
      <c r="C2204">
        <v>8</v>
      </c>
      <c r="D2204" t="s">
        <v>25</v>
      </c>
      <c r="E2204" t="s">
        <v>22</v>
      </c>
      <c r="F2204" s="2">
        <v>13257</v>
      </c>
      <c r="G2204" s="2">
        <f>Monthly_Growth!$C$21</f>
        <v>877469</v>
      </c>
      <c r="H2204" s="5">
        <f>Monthly_Growth!$D$21</f>
        <v>0.12942147122158165</v>
      </c>
      <c r="I2204" s="15">
        <f>Yearly_Growth!$C$3</f>
        <v>0.11893113731787852</v>
      </c>
      <c r="J2204" s="15">
        <f>Yearly_Growth!$D$3</f>
        <v>0.09</v>
      </c>
      <c r="K2204">
        <f>Sales_Per_Representative!$C$23</f>
        <v>697444</v>
      </c>
      <c r="L2204">
        <f>Sales_Per_Rep_Yearly_Goal!$B$3</f>
        <v>689907.8</v>
      </c>
      <c r="M2204">
        <f>Sales_Per_Rep_Yearly_Goal!$C$3</f>
        <v>690000</v>
      </c>
    </row>
    <row r="2205" spans="1:13" x14ac:dyDescent="0.3">
      <c r="A2205" s="3">
        <v>45511</v>
      </c>
      <c r="B2205">
        <f t="shared" si="34"/>
        <v>2024</v>
      </c>
      <c r="C2205">
        <v>8</v>
      </c>
      <c r="D2205" t="s">
        <v>14</v>
      </c>
      <c r="E2205" t="s">
        <v>29</v>
      </c>
      <c r="F2205" s="2">
        <v>1511</v>
      </c>
      <c r="G2205" s="2">
        <f>Monthly_Growth!$C$21</f>
        <v>877469</v>
      </c>
      <c r="H2205" s="5">
        <f>Monthly_Growth!$D$21</f>
        <v>0.12942147122158165</v>
      </c>
      <c r="I2205" s="15">
        <f>Yearly_Growth!$C$3</f>
        <v>0.11893113731787852</v>
      </c>
      <c r="J2205" s="15">
        <f>Yearly_Growth!$D$3</f>
        <v>0.09</v>
      </c>
      <c r="K2205">
        <f>Sales_Per_Representative!$C$28</f>
        <v>691917</v>
      </c>
      <c r="L2205">
        <f>Sales_Per_Rep_Yearly_Goal!$B$3</f>
        <v>689907.8</v>
      </c>
      <c r="M2205">
        <f>Sales_Per_Rep_Yearly_Goal!$C$3</f>
        <v>690000</v>
      </c>
    </row>
    <row r="2206" spans="1:13" x14ac:dyDescent="0.3">
      <c r="A2206" s="3">
        <v>45511</v>
      </c>
      <c r="B2206">
        <f t="shared" si="34"/>
        <v>2024</v>
      </c>
      <c r="C2206">
        <v>8</v>
      </c>
      <c r="D2206" t="s">
        <v>23</v>
      </c>
      <c r="E2206" t="s">
        <v>10</v>
      </c>
      <c r="F2206" s="2">
        <v>12705</v>
      </c>
      <c r="G2206" s="2">
        <f>Monthly_Growth!$C$21</f>
        <v>877469</v>
      </c>
      <c r="H2206" s="5">
        <f>Monthly_Growth!$D$21</f>
        <v>0.12942147122158165</v>
      </c>
      <c r="I2206" s="15">
        <f>Yearly_Growth!$C$3</f>
        <v>0.11893113731787852</v>
      </c>
      <c r="J2206" s="15">
        <f>Yearly_Growth!$D$3</f>
        <v>0.09</v>
      </c>
      <c r="K2206">
        <f>Sales_Per_Representative!$C$19</f>
        <v>711816</v>
      </c>
      <c r="L2206">
        <f>Sales_Per_Rep_Yearly_Goal!$B$3</f>
        <v>689907.8</v>
      </c>
      <c r="M2206">
        <f>Sales_Per_Rep_Yearly_Goal!$C$3</f>
        <v>690000</v>
      </c>
    </row>
    <row r="2207" spans="1:13" x14ac:dyDescent="0.3">
      <c r="A2207" s="3">
        <v>45511</v>
      </c>
      <c r="B2207">
        <f t="shared" si="34"/>
        <v>2024</v>
      </c>
      <c r="C2207">
        <v>8</v>
      </c>
      <c r="D2207" t="s">
        <v>17</v>
      </c>
      <c r="E2207" t="s">
        <v>27</v>
      </c>
      <c r="F2207" s="2">
        <v>12509</v>
      </c>
      <c r="G2207" s="2">
        <f>Monthly_Growth!$C$21</f>
        <v>877469</v>
      </c>
      <c r="H2207" s="5">
        <f>Monthly_Growth!$D$21</f>
        <v>0.12942147122158165</v>
      </c>
      <c r="I2207" s="15">
        <f>Yearly_Growth!$C$3</f>
        <v>0.11893113731787852</v>
      </c>
      <c r="J2207" s="15">
        <f>Yearly_Growth!$D$3</f>
        <v>0.09</v>
      </c>
      <c r="K2207">
        <f>Sales_Per_Representative!$C$20</f>
        <v>685380</v>
      </c>
      <c r="L2207">
        <f>Sales_Per_Rep_Yearly_Goal!$B$3</f>
        <v>689907.8</v>
      </c>
      <c r="M2207">
        <f>Sales_Per_Rep_Yearly_Goal!$C$3</f>
        <v>690000</v>
      </c>
    </row>
    <row r="2208" spans="1:13" x14ac:dyDescent="0.3">
      <c r="A2208" s="3">
        <v>45511</v>
      </c>
      <c r="B2208">
        <f t="shared" si="34"/>
        <v>2024</v>
      </c>
      <c r="C2208">
        <v>8</v>
      </c>
      <c r="D2208" t="s">
        <v>12</v>
      </c>
      <c r="E2208" t="s">
        <v>27</v>
      </c>
      <c r="F2208" s="2">
        <v>13247</v>
      </c>
      <c r="G2208" s="2">
        <f>Monthly_Growth!$C$21</f>
        <v>877469</v>
      </c>
      <c r="H2208" s="5">
        <f>Monthly_Growth!$D$21</f>
        <v>0.12942147122158165</v>
      </c>
      <c r="I2208" s="15">
        <f>Yearly_Growth!$C$3</f>
        <v>0.11893113731787852</v>
      </c>
      <c r="J2208" s="15">
        <f>Yearly_Growth!$D$3</f>
        <v>0.09</v>
      </c>
      <c r="K2208">
        <f>Sales_Per_Representative!$C$20</f>
        <v>685380</v>
      </c>
      <c r="L2208">
        <f>Sales_Per_Rep_Yearly_Goal!$B$3</f>
        <v>689907.8</v>
      </c>
      <c r="M2208">
        <f>Sales_Per_Rep_Yearly_Goal!$C$3</f>
        <v>690000</v>
      </c>
    </row>
    <row r="2209" spans="1:13" x14ac:dyDescent="0.3">
      <c r="A2209" s="3">
        <v>45512</v>
      </c>
      <c r="B2209">
        <f t="shared" si="34"/>
        <v>2024</v>
      </c>
      <c r="C2209">
        <v>8</v>
      </c>
      <c r="D2209" t="s">
        <v>23</v>
      </c>
      <c r="E2209" t="s">
        <v>33</v>
      </c>
      <c r="F2209" s="2">
        <v>8454</v>
      </c>
      <c r="G2209" s="2">
        <f>Monthly_Growth!$C$21</f>
        <v>877469</v>
      </c>
      <c r="H2209" s="5">
        <f>Monthly_Growth!$D$21</f>
        <v>0.12942147122158165</v>
      </c>
      <c r="I2209" s="15">
        <f>Yearly_Growth!$C$3</f>
        <v>0.11893113731787852</v>
      </c>
      <c r="J2209" s="15">
        <f>Yearly_Growth!$D$3</f>
        <v>0.09</v>
      </c>
      <c r="K2209">
        <f>Sales_Per_Representative!$C$26</f>
        <v>501360</v>
      </c>
      <c r="L2209">
        <f>Sales_Per_Rep_Yearly_Goal!$B$3</f>
        <v>689907.8</v>
      </c>
      <c r="M2209">
        <f>Sales_Per_Rep_Yearly_Goal!$C$3</f>
        <v>690000</v>
      </c>
    </row>
    <row r="2210" spans="1:13" x14ac:dyDescent="0.3">
      <c r="A2210" s="3">
        <v>45512</v>
      </c>
      <c r="B2210">
        <f t="shared" si="34"/>
        <v>2024</v>
      </c>
      <c r="C2210">
        <v>8</v>
      </c>
      <c r="D2210" t="s">
        <v>25</v>
      </c>
      <c r="E2210" t="s">
        <v>18</v>
      </c>
      <c r="F2210" s="2">
        <v>13045</v>
      </c>
      <c r="G2210" s="2">
        <f>Monthly_Growth!$C$21</f>
        <v>877469</v>
      </c>
      <c r="H2210" s="5">
        <f>Monthly_Growth!$D$21</f>
        <v>0.12942147122158165</v>
      </c>
      <c r="I2210" s="15">
        <f>Yearly_Growth!$C$3</f>
        <v>0.11893113731787852</v>
      </c>
      <c r="J2210" s="15">
        <f>Yearly_Growth!$D$3</f>
        <v>0.09</v>
      </c>
      <c r="K2210">
        <f>Sales_Per_Representative!$C$24</f>
        <v>699277</v>
      </c>
      <c r="L2210">
        <f>Sales_Per_Rep_Yearly_Goal!$B$3</f>
        <v>689907.8</v>
      </c>
      <c r="M2210">
        <f>Sales_Per_Rep_Yearly_Goal!$C$3</f>
        <v>690000</v>
      </c>
    </row>
    <row r="2211" spans="1:13" x14ac:dyDescent="0.3">
      <c r="A2211" s="3">
        <v>45512</v>
      </c>
      <c r="B2211">
        <f t="shared" si="34"/>
        <v>2024</v>
      </c>
      <c r="C2211">
        <v>8</v>
      </c>
      <c r="D2211" t="s">
        <v>7</v>
      </c>
      <c r="E2211" t="s">
        <v>24</v>
      </c>
      <c r="F2211" s="2">
        <v>1667</v>
      </c>
      <c r="G2211" s="2">
        <f>Monthly_Growth!$C$21</f>
        <v>877469</v>
      </c>
      <c r="H2211" s="5">
        <f>Monthly_Growth!$D$21</f>
        <v>0.12942147122158165</v>
      </c>
      <c r="I2211" s="15">
        <f>Yearly_Growth!$C$3</f>
        <v>0.11893113731787852</v>
      </c>
      <c r="J2211" s="15">
        <f>Yearly_Growth!$D$3</f>
        <v>0.09</v>
      </c>
      <c r="K2211">
        <f>Sales_Per_Representative!$C$17</f>
        <v>633956</v>
      </c>
      <c r="L2211">
        <f>Sales_Per_Rep_Yearly_Goal!$B$3</f>
        <v>689907.8</v>
      </c>
      <c r="M2211">
        <f>Sales_Per_Rep_Yearly_Goal!$C$3</f>
        <v>690000</v>
      </c>
    </row>
    <row r="2212" spans="1:13" x14ac:dyDescent="0.3">
      <c r="A2212" s="3">
        <v>45512</v>
      </c>
      <c r="B2212">
        <f t="shared" si="34"/>
        <v>2024</v>
      </c>
      <c r="C2212">
        <v>8</v>
      </c>
      <c r="D2212" t="s">
        <v>28</v>
      </c>
      <c r="E2212" t="s">
        <v>32</v>
      </c>
      <c r="F2212" s="2">
        <v>7630</v>
      </c>
      <c r="G2212" s="2">
        <f>Monthly_Growth!$C$21</f>
        <v>877469</v>
      </c>
      <c r="H2212" s="5">
        <f>Monthly_Growth!$D$21</f>
        <v>0.12942147122158165</v>
      </c>
      <c r="I2212" s="15">
        <f>Yearly_Growth!$C$3</f>
        <v>0.11893113731787852</v>
      </c>
      <c r="J2212" s="15">
        <f>Yearly_Growth!$D$3</f>
        <v>0.09</v>
      </c>
      <c r="K2212">
        <f>Sales_Per_Representative!$C$18</f>
        <v>783907</v>
      </c>
      <c r="L2212">
        <f>Sales_Per_Rep_Yearly_Goal!$B$3</f>
        <v>689907.8</v>
      </c>
      <c r="M2212">
        <f>Sales_Per_Rep_Yearly_Goal!$C$3</f>
        <v>690000</v>
      </c>
    </row>
    <row r="2213" spans="1:13" x14ac:dyDescent="0.3">
      <c r="A2213" s="3">
        <v>45513</v>
      </c>
      <c r="B2213">
        <f t="shared" si="34"/>
        <v>2024</v>
      </c>
      <c r="C2213">
        <v>8</v>
      </c>
      <c r="D2213" t="s">
        <v>23</v>
      </c>
      <c r="E2213" t="s">
        <v>30</v>
      </c>
      <c r="F2213" s="2">
        <v>8302</v>
      </c>
      <c r="G2213" s="2">
        <f>Monthly_Growth!$C$21</f>
        <v>877469</v>
      </c>
      <c r="H2213" s="5">
        <f>Monthly_Growth!$D$21</f>
        <v>0.12942147122158165</v>
      </c>
      <c r="I2213" s="15">
        <f>Yearly_Growth!$C$3</f>
        <v>0.11893113731787852</v>
      </c>
      <c r="J2213" s="15">
        <f>Yearly_Growth!$D$3</f>
        <v>0.09</v>
      </c>
      <c r="K2213">
        <f>Sales_Per_Representative!$C$22</f>
        <v>700142</v>
      </c>
      <c r="L2213">
        <f>Sales_Per_Rep_Yearly_Goal!$B$3</f>
        <v>689907.8</v>
      </c>
      <c r="M2213">
        <f>Sales_Per_Rep_Yearly_Goal!$C$3</f>
        <v>690000</v>
      </c>
    </row>
    <row r="2214" spans="1:13" x14ac:dyDescent="0.3">
      <c r="A2214" s="3">
        <v>45513</v>
      </c>
      <c r="B2214">
        <f t="shared" si="34"/>
        <v>2024</v>
      </c>
      <c r="C2214">
        <v>8</v>
      </c>
      <c r="D2214" t="s">
        <v>12</v>
      </c>
      <c r="E2214" t="s">
        <v>31</v>
      </c>
      <c r="F2214" s="2">
        <v>11157</v>
      </c>
      <c r="G2214" s="2">
        <f>Monthly_Growth!$C$21</f>
        <v>877469</v>
      </c>
      <c r="H2214" s="5">
        <f>Monthly_Growth!$D$21</f>
        <v>0.12942147122158165</v>
      </c>
      <c r="I2214" s="15">
        <f>Yearly_Growth!$C$3</f>
        <v>0.11893113731787852</v>
      </c>
      <c r="J2214" s="15">
        <f>Yearly_Growth!$D$3</f>
        <v>0.09</v>
      </c>
      <c r="K2214">
        <f>Sales_Per_Representative!$C$21</f>
        <v>679421</v>
      </c>
      <c r="L2214">
        <f>Sales_Per_Rep_Yearly_Goal!$B$3</f>
        <v>689907.8</v>
      </c>
      <c r="M2214">
        <f>Sales_Per_Rep_Yearly_Goal!$C$3</f>
        <v>690000</v>
      </c>
    </row>
    <row r="2215" spans="1:13" x14ac:dyDescent="0.3">
      <c r="A2215" s="3">
        <v>45514</v>
      </c>
      <c r="B2215">
        <f t="shared" si="34"/>
        <v>2024</v>
      </c>
      <c r="C2215">
        <v>8</v>
      </c>
      <c r="D2215" t="s">
        <v>23</v>
      </c>
      <c r="E2215" t="s">
        <v>30</v>
      </c>
      <c r="F2215" s="2">
        <v>11728</v>
      </c>
      <c r="G2215" s="2">
        <f>Monthly_Growth!$C$21</f>
        <v>877469</v>
      </c>
      <c r="H2215" s="5">
        <f>Monthly_Growth!$D$21</f>
        <v>0.12942147122158165</v>
      </c>
      <c r="I2215" s="15">
        <f>Yearly_Growth!$C$3</f>
        <v>0.11893113731787852</v>
      </c>
      <c r="J2215" s="15">
        <f>Yearly_Growth!$D$3</f>
        <v>0.09</v>
      </c>
      <c r="K2215">
        <f>Sales_Per_Representative!$C$22</f>
        <v>700142</v>
      </c>
      <c r="L2215">
        <f>Sales_Per_Rep_Yearly_Goal!$B$3</f>
        <v>689907.8</v>
      </c>
      <c r="M2215">
        <f>Sales_Per_Rep_Yearly_Goal!$C$3</f>
        <v>690000</v>
      </c>
    </row>
    <row r="2216" spans="1:13" x14ac:dyDescent="0.3">
      <c r="A2216" s="3">
        <v>45514</v>
      </c>
      <c r="B2216">
        <f t="shared" si="34"/>
        <v>2024</v>
      </c>
      <c r="C2216">
        <v>8</v>
      </c>
      <c r="D2216" t="s">
        <v>25</v>
      </c>
      <c r="E2216" t="s">
        <v>5</v>
      </c>
      <c r="F2216" s="2">
        <v>11689</v>
      </c>
      <c r="G2216" s="2">
        <f>Monthly_Growth!$C$21</f>
        <v>877469</v>
      </c>
      <c r="H2216" s="5">
        <f>Monthly_Growth!$D$21</f>
        <v>0.12942147122158165</v>
      </c>
      <c r="I2216" s="15">
        <f>Yearly_Growth!$C$3</f>
        <v>0.11893113731787852</v>
      </c>
      <c r="J2216" s="15">
        <f>Yearly_Growth!$D$3</f>
        <v>0.09</v>
      </c>
      <c r="K2216">
        <f>Sales_Per_Representative!$C$25</f>
        <v>749460</v>
      </c>
      <c r="L2216">
        <f>Sales_Per_Rep_Yearly_Goal!$B$3</f>
        <v>689907.8</v>
      </c>
      <c r="M2216">
        <f>Sales_Per_Rep_Yearly_Goal!$C$3</f>
        <v>690000</v>
      </c>
    </row>
    <row r="2217" spans="1:13" x14ac:dyDescent="0.3">
      <c r="A2217" s="3">
        <v>45514</v>
      </c>
      <c r="B2217">
        <f t="shared" si="34"/>
        <v>2024</v>
      </c>
      <c r="C2217">
        <v>8</v>
      </c>
      <c r="D2217" t="s">
        <v>28</v>
      </c>
      <c r="E2217" t="s">
        <v>22</v>
      </c>
      <c r="F2217" s="2">
        <v>13229</v>
      </c>
      <c r="G2217" s="2">
        <f>Monthly_Growth!$C$21</f>
        <v>877469</v>
      </c>
      <c r="H2217" s="5">
        <f>Monthly_Growth!$D$21</f>
        <v>0.12942147122158165</v>
      </c>
      <c r="I2217" s="15">
        <f>Yearly_Growth!$C$3</f>
        <v>0.11893113731787852</v>
      </c>
      <c r="J2217" s="15">
        <f>Yearly_Growth!$D$3</f>
        <v>0.09</v>
      </c>
      <c r="K2217">
        <f>Sales_Per_Representative!$C$23</f>
        <v>697444</v>
      </c>
      <c r="L2217">
        <f>Sales_Per_Rep_Yearly_Goal!$B$3</f>
        <v>689907.8</v>
      </c>
      <c r="M2217">
        <f>Sales_Per_Rep_Yearly_Goal!$C$3</f>
        <v>690000</v>
      </c>
    </row>
    <row r="2218" spans="1:13" x14ac:dyDescent="0.3">
      <c r="A2218" s="3">
        <v>45515</v>
      </c>
      <c r="B2218">
        <f t="shared" si="34"/>
        <v>2024</v>
      </c>
      <c r="C2218">
        <v>8</v>
      </c>
      <c r="D2218" t="s">
        <v>14</v>
      </c>
      <c r="E2218" t="s">
        <v>27</v>
      </c>
      <c r="F2218" s="2">
        <v>9292</v>
      </c>
      <c r="G2218" s="2">
        <f>Monthly_Growth!$C$21</f>
        <v>877469</v>
      </c>
      <c r="H2218" s="5">
        <f>Monthly_Growth!$D$21</f>
        <v>0.12942147122158165</v>
      </c>
      <c r="I2218" s="15">
        <f>Yearly_Growth!$C$3</f>
        <v>0.11893113731787852</v>
      </c>
      <c r="J2218" s="15">
        <f>Yearly_Growth!$D$3</f>
        <v>0.09</v>
      </c>
      <c r="K2218">
        <f>Sales_Per_Representative!$C$20</f>
        <v>685380</v>
      </c>
      <c r="L2218">
        <f>Sales_Per_Rep_Yearly_Goal!$B$3</f>
        <v>689907.8</v>
      </c>
      <c r="M2218">
        <f>Sales_Per_Rep_Yearly_Goal!$C$3</f>
        <v>690000</v>
      </c>
    </row>
    <row r="2219" spans="1:13" x14ac:dyDescent="0.3">
      <c r="A2219" s="3">
        <v>45515</v>
      </c>
      <c r="B2219">
        <f t="shared" si="34"/>
        <v>2024</v>
      </c>
      <c r="C2219">
        <v>8</v>
      </c>
      <c r="D2219" t="s">
        <v>12</v>
      </c>
      <c r="E2219" t="s">
        <v>27</v>
      </c>
      <c r="F2219" s="2">
        <v>10397</v>
      </c>
      <c r="G2219" s="2">
        <f>Monthly_Growth!$C$21</f>
        <v>877469</v>
      </c>
      <c r="H2219" s="5">
        <f>Monthly_Growth!$D$21</f>
        <v>0.12942147122158165</v>
      </c>
      <c r="I2219" s="15">
        <f>Yearly_Growth!$C$3</f>
        <v>0.11893113731787852</v>
      </c>
      <c r="J2219" s="15">
        <f>Yearly_Growth!$D$3</f>
        <v>0.09</v>
      </c>
      <c r="K2219">
        <f>Sales_Per_Representative!$C$20</f>
        <v>685380</v>
      </c>
      <c r="L2219">
        <f>Sales_Per_Rep_Yearly_Goal!$B$3</f>
        <v>689907.8</v>
      </c>
      <c r="M2219">
        <f>Sales_Per_Rep_Yearly_Goal!$C$3</f>
        <v>690000</v>
      </c>
    </row>
    <row r="2220" spans="1:13" x14ac:dyDescent="0.3">
      <c r="A2220" s="3">
        <v>45516</v>
      </c>
      <c r="B2220">
        <f t="shared" si="34"/>
        <v>2024</v>
      </c>
      <c r="C2220">
        <v>8</v>
      </c>
      <c r="D2220" t="s">
        <v>25</v>
      </c>
      <c r="E2220" t="s">
        <v>5</v>
      </c>
      <c r="F2220" s="2">
        <v>8074</v>
      </c>
      <c r="G2220" s="2">
        <f>Monthly_Growth!$C$21</f>
        <v>877469</v>
      </c>
      <c r="H2220" s="5">
        <f>Monthly_Growth!$D$21</f>
        <v>0.12942147122158165</v>
      </c>
      <c r="I2220" s="15">
        <f>Yearly_Growth!$C$3</f>
        <v>0.11893113731787852</v>
      </c>
      <c r="J2220" s="15">
        <f>Yearly_Growth!$D$3</f>
        <v>0.09</v>
      </c>
      <c r="K2220">
        <f>Sales_Per_Representative!$C$25</f>
        <v>749460</v>
      </c>
      <c r="L2220">
        <f>Sales_Per_Rep_Yearly_Goal!$B$3</f>
        <v>689907.8</v>
      </c>
      <c r="M2220">
        <f>Sales_Per_Rep_Yearly_Goal!$C$3</f>
        <v>690000</v>
      </c>
    </row>
    <row r="2221" spans="1:13" x14ac:dyDescent="0.3">
      <c r="A2221" s="3">
        <v>45516</v>
      </c>
      <c r="B2221">
        <f t="shared" si="34"/>
        <v>2024</v>
      </c>
      <c r="C2221">
        <v>8</v>
      </c>
      <c r="D2221" t="s">
        <v>25</v>
      </c>
      <c r="E2221" t="s">
        <v>18</v>
      </c>
      <c r="F2221" s="2">
        <v>5031</v>
      </c>
      <c r="G2221" s="2">
        <f>Monthly_Growth!$C$21</f>
        <v>877469</v>
      </c>
      <c r="H2221" s="5">
        <f>Monthly_Growth!$D$21</f>
        <v>0.12942147122158165</v>
      </c>
      <c r="I2221" s="15">
        <f>Yearly_Growth!$C$3</f>
        <v>0.11893113731787852</v>
      </c>
      <c r="J2221" s="15">
        <f>Yearly_Growth!$D$3</f>
        <v>0.09</v>
      </c>
      <c r="K2221">
        <f>Sales_Per_Representative!$C$24</f>
        <v>699277</v>
      </c>
      <c r="L2221">
        <f>Sales_Per_Rep_Yearly_Goal!$B$3</f>
        <v>689907.8</v>
      </c>
      <c r="M2221">
        <f>Sales_Per_Rep_Yearly_Goal!$C$3</f>
        <v>690000</v>
      </c>
    </row>
    <row r="2222" spans="1:13" x14ac:dyDescent="0.3">
      <c r="A2222" s="3">
        <v>45516</v>
      </c>
      <c r="B2222">
        <f t="shared" si="34"/>
        <v>2024</v>
      </c>
      <c r="C2222">
        <v>8</v>
      </c>
      <c r="D2222" t="s">
        <v>17</v>
      </c>
      <c r="E2222" t="s">
        <v>5</v>
      </c>
      <c r="F2222" s="2">
        <v>13319</v>
      </c>
      <c r="G2222" s="2">
        <f>Monthly_Growth!$C$21</f>
        <v>877469</v>
      </c>
      <c r="H2222" s="5">
        <f>Monthly_Growth!$D$21</f>
        <v>0.12942147122158165</v>
      </c>
      <c r="I2222" s="15">
        <f>Yearly_Growth!$C$3</f>
        <v>0.11893113731787852</v>
      </c>
      <c r="J2222" s="15">
        <f>Yearly_Growth!$D$3</f>
        <v>0.09</v>
      </c>
      <c r="K2222">
        <f>Sales_Per_Representative!$C$25</f>
        <v>749460</v>
      </c>
      <c r="L2222">
        <f>Sales_Per_Rep_Yearly_Goal!$B$3</f>
        <v>689907.8</v>
      </c>
      <c r="M2222">
        <f>Sales_Per_Rep_Yearly_Goal!$C$3</f>
        <v>690000</v>
      </c>
    </row>
    <row r="2223" spans="1:13" x14ac:dyDescent="0.3">
      <c r="A2223" s="3">
        <v>45516</v>
      </c>
      <c r="B2223">
        <f t="shared" si="34"/>
        <v>2024</v>
      </c>
      <c r="C2223">
        <v>8</v>
      </c>
      <c r="D2223" t="s">
        <v>12</v>
      </c>
      <c r="E2223" t="s">
        <v>20</v>
      </c>
      <c r="F2223" s="2">
        <v>6174</v>
      </c>
      <c r="G2223" s="2">
        <f>Monthly_Growth!$C$21</f>
        <v>877469</v>
      </c>
      <c r="H2223" s="5">
        <f>Monthly_Growth!$D$21</f>
        <v>0.12942147122158165</v>
      </c>
      <c r="I2223" s="15">
        <f>Yearly_Growth!$C$3</f>
        <v>0.11893113731787852</v>
      </c>
      <c r="J2223" s="15">
        <f>Yearly_Growth!$D$3</f>
        <v>0.09</v>
      </c>
      <c r="K2223">
        <f>Sales_Per_Representative!$C$29</f>
        <v>753085</v>
      </c>
      <c r="L2223">
        <f>Sales_Per_Rep_Yearly_Goal!$B$3</f>
        <v>689907.8</v>
      </c>
      <c r="M2223">
        <f>Sales_Per_Rep_Yearly_Goal!$C$3</f>
        <v>690000</v>
      </c>
    </row>
    <row r="2224" spans="1:13" x14ac:dyDescent="0.3">
      <c r="A2224" s="3">
        <v>45517</v>
      </c>
      <c r="B2224">
        <f t="shared" si="34"/>
        <v>2024</v>
      </c>
      <c r="C2224">
        <v>8</v>
      </c>
      <c r="D2224" t="s">
        <v>19</v>
      </c>
      <c r="E2224" t="s">
        <v>22</v>
      </c>
      <c r="F2224" s="2">
        <v>12134</v>
      </c>
      <c r="G2224" s="2">
        <f>Monthly_Growth!$C$21</f>
        <v>877469</v>
      </c>
      <c r="H2224" s="5">
        <f>Monthly_Growth!$D$21</f>
        <v>0.12942147122158165</v>
      </c>
      <c r="I2224" s="15">
        <f>Yearly_Growth!$C$3</f>
        <v>0.11893113731787852</v>
      </c>
      <c r="J2224" s="15">
        <f>Yearly_Growth!$D$3</f>
        <v>0.09</v>
      </c>
      <c r="K2224">
        <f>Sales_Per_Representative!$C$23</f>
        <v>697444</v>
      </c>
      <c r="L2224">
        <f>Sales_Per_Rep_Yearly_Goal!$B$3</f>
        <v>689907.8</v>
      </c>
      <c r="M2224">
        <f>Sales_Per_Rep_Yearly_Goal!$C$3</f>
        <v>690000</v>
      </c>
    </row>
    <row r="2225" spans="1:13" x14ac:dyDescent="0.3">
      <c r="A2225" s="3">
        <v>45517</v>
      </c>
      <c r="B2225">
        <f t="shared" si="34"/>
        <v>2024</v>
      </c>
      <c r="C2225">
        <v>8</v>
      </c>
      <c r="D2225" t="s">
        <v>23</v>
      </c>
      <c r="E2225" t="s">
        <v>22</v>
      </c>
      <c r="F2225" s="2">
        <v>3610</v>
      </c>
      <c r="G2225" s="2">
        <f>Monthly_Growth!$C$21</f>
        <v>877469</v>
      </c>
      <c r="H2225" s="5">
        <f>Monthly_Growth!$D$21</f>
        <v>0.12942147122158165</v>
      </c>
      <c r="I2225" s="15">
        <f>Yearly_Growth!$C$3</f>
        <v>0.11893113731787852</v>
      </c>
      <c r="J2225" s="15">
        <f>Yearly_Growth!$D$3</f>
        <v>0.09</v>
      </c>
      <c r="K2225">
        <f>Sales_Per_Representative!$C$23</f>
        <v>697444</v>
      </c>
      <c r="L2225">
        <f>Sales_Per_Rep_Yearly_Goal!$B$3</f>
        <v>689907.8</v>
      </c>
      <c r="M2225">
        <f>Sales_Per_Rep_Yearly_Goal!$C$3</f>
        <v>690000</v>
      </c>
    </row>
    <row r="2226" spans="1:13" x14ac:dyDescent="0.3">
      <c r="A2226" s="3">
        <v>45517</v>
      </c>
      <c r="B2226">
        <f t="shared" si="34"/>
        <v>2024</v>
      </c>
      <c r="C2226">
        <v>8</v>
      </c>
      <c r="D2226" t="s">
        <v>7</v>
      </c>
      <c r="E2226" t="s">
        <v>20</v>
      </c>
      <c r="F2226" s="2">
        <v>3613</v>
      </c>
      <c r="G2226" s="2">
        <f>Monthly_Growth!$C$21</f>
        <v>877469</v>
      </c>
      <c r="H2226" s="5">
        <f>Monthly_Growth!$D$21</f>
        <v>0.12942147122158165</v>
      </c>
      <c r="I2226" s="15">
        <f>Yearly_Growth!$C$3</f>
        <v>0.11893113731787852</v>
      </c>
      <c r="J2226" s="15">
        <f>Yearly_Growth!$D$3</f>
        <v>0.09</v>
      </c>
      <c r="K2226">
        <f>Sales_Per_Representative!$C$29</f>
        <v>753085</v>
      </c>
      <c r="L2226">
        <f>Sales_Per_Rep_Yearly_Goal!$B$3</f>
        <v>689907.8</v>
      </c>
      <c r="M2226">
        <f>Sales_Per_Rep_Yearly_Goal!$C$3</f>
        <v>690000</v>
      </c>
    </row>
    <row r="2227" spans="1:13" x14ac:dyDescent="0.3">
      <c r="A2227" s="3">
        <v>45517</v>
      </c>
      <c r="B2227">
        <f t="shared" si="34"/>
        <v>2024</v>
      </c>
      <c r="C2227">
        <v>8</v>
      </c>
      <c r="D2227" t="s">
        <v>17</v>
      </c>
      <c r="E2227" t="s">
        <v>10</v>
      </c>
      <c r="F2227" s="2">
        <v>6200</v>
      </c>
      <c r="G2227" s="2">
        <f>Monthly_Growth!$C$21</f>
        <v>877469</v>
      </c>
      <c r="H2227" s="5">
        <f>Monthly_Growth!$D$21</f>
        <v>0.12942147122158165</v>
      </c>
      <c r="I2227" s="15">
        <f>Yearly_Growth!$C$3</f>
        <v>0.11893113731787852</v>
      </c>
      <c r="J2227" s="15">
        <f>Yearly_Growth!$D$3</f>
        <v>0.09</v>
      </c>
      <c r="K2227">
        <f>Sales_Per_Representative!$C$19</f>
        <v>711816</v>
      </c>
      <c r="L2227">
        <f>Sales_Per_Rep_Yearly_Goal!$B$3</f>
        <v>689907.8</v>
      </c>
      <c r="M2227">
        <f>Sales_Per_Rep_Yearly_Goal!$C$3</f>
        <v>690000</v>
      </c>
    </row>
    <row r="2228" spans="1:13" x14ac:dyDescent="0.3">
      <c r="A2228" s="3">
        <v>45517</v>
      </c>
      <c r="B2228">
        <f t="shared" si="34"/>
        <v>2024</v>
      </c>
      <c r="C2228">
        <v>8</v>
      </c>
      <c r="D2228" t="s">
        <v>12</v>
      </c>
      <c r="E2228" t="s">
        <v>8</v>
      </c>
      <c r="F2228" s="2">
        <v>6651</v>
      </c>
      <c r="G2228" s="2">
        <f>Monthly_Growth!$C$21</f>
        <v>877469</v>
      </c>
      <c r="H2228" s="5">
        <f>Monthly_Growth!$D$21</f>
        <v>0.12942147122158165</v>
      </c>
      <c r="I2228" s="15">
        <f>Yearly_Growth!$C$3</f>
        <v>0.11893113731787852</v>
      </c>
      <c r="J2228" s="15">
        <f>Yearly_Growth!$D$3</f>
        <v>0.09</v>
      </c>
      <c r="K2228">
        <f>Sales_Per_Representative!$C$30</f>
        <v>780006</v>
      </c>
      <c r="L2228">
        <f>Sales_Per_Rep_Yearly_Goal!$B$3</f>
        <v>689907.8</v>
      </c>
      <c r="M2228">
        <f>Sales_Per_Rep_Yearly_Goal!$C$3</f>
        <v>690000</v>
      </c>
    </row>
    <row r="2229" spans="1:13" x14ac:dyDescent="0.3">
      <c r="A2229" s="3">
        <v>45518</v>
      </c>
      <c r="B2229">
        <f t="shared" si="34"/>
        <v>2024</v>
      </c>
      <c r="C2229">
        <v>8</v>
      </c>
      <c r="D2229" t="s">
        <v>14</v>
      </c>
      <c r="E2229" t="s">
        <v>10</v>
      </c>
      <c r="F2229" s="2">
        <v>5824</v>
      </c>
      <c r="G2229" s="2">
        <f>Monthly_Growth!$C$21</f>
        <v>877469</v>
      </c>
      <c r="H2229" s="5">
        <f>Monthly_Growth!$D$21</f>
        <v>0.12942147122158165</v>
      </c>
      <c r="I2229" s="15">
        <f>Yearly_Growth!$C$3</f>
        <v>0.11893113731787852</v>
      </c>
      <c r="J2229" s="15">
        <f>Yearly_Growth!$D$3</f>
        <v>0.09</v>
      </c>
      <c r="K2229">
        <f>Sales_Per_Representative!$C$19</f>
        <v>711816</v>
      </c>
      <c r="L2229">
        <f>Sales_Per_Rep_Yearly_Goal!$B$3</f>
        <v>689907.8</v>
      </c>
      <c r="M2229">
        <f>Sales_Per_Rep_Yearly_Goal!$C$3</f>
        <v>690000</v>
      </c>
    </row>
    <row r="2230" spans="1:13" x14ac:dyDescent="0.3">
      <c r="A2230" s="3">
        <v>45518</v>
      </c>
      <c r="B2230">
        <f t="shared" si="34"/>
        <v>2024</v>
      </c>
      <c r="C2230">
        <v>8</v>
      </c>
      <c r="D2230" t="s">
        <v>19</v>
      </c>
      <c r="E2230" t="s">
        <v>22</v>
      </c>
      <c r="F2230" s="2">
        <v>8293</v>
      </c>
      <c r="G2230" s="2">
        <f>Monthly_Growth!$C$21</f>
        <v>877469</v>
      </c>
      <c r="H2230" s="5">
        <f>Monthly_Growth!$D$21</f>
        <v>0.12942147122158165</v>
      </c>
      <c r="I2230" s="15">
        <f>Yearly_Growth!$C$3</f>
        <v>0.11893113731787852</v>
      </c>
      <c r="J2230" s="15">
        <f>Yearly_Growth!$D$3</f>
        <v>0.09</v>
      </c>
      <c r="K2230">
        <f>Sales_Per_Representative!$C$23</f>
        <v>697444</v>
      </c>
      <c r="L2230">
        <f>Sales_Per_Rep_Yearly_Goal!$B$3</f>
        <v>689907.8</v>
      </c>
      <c r="M2230">
        <f>Sales_Per_Rep_Yearly_Goal!$C$3</f>
        <v>690000</v>
      </c>
    </row>
    <row r="2231" spans="1:13" x14ac:dyDescent="0.3">
      <c r="A2231" s="3">
        <v>45518</v>
      </c>
      <c r="B2231">
        <f t="shared" si="34"/>
        <v>2024</v>
      </c>
      <c r="C2231">
        <v>8</v>
      </c>
      <c r="D2231" t="s">
        <v>28</v>
      </c>
      <c r="E2231" t="s">
        <v>26</v>
      </c>
      <c r="F2231" s="2">
        <v>1733</v>
      </c>
      <c r="G2231" s="2">
        <f>Monthly_Growth!$C$21</f>
        <v>877469</v>
      </c>
      <c r="H2231" s="5">
        <f>Monthly_Growth!$D$21</f>
        <v>0.12942147122158165</v>
      </c>
      <c r="I2231" s="15">
        <f>Yearly_Growth!$C$3</f>
        <v>0.11893113731787852</v>
      </c>
      <c r="J2231" s="15">
        <f>Yearly_Growth!$D$3</f>
        <v>0.09</v>
      </c>
      <c r="K2231">
        <f>Sales_Per_Representative!$C$31</f>
        <v>664244</v>
      </c>
      <c r="L2231">
        <f>Sales_Per_Rep_Yearly_Goal!$B$3</f>
        <v>689907.8</v>
      </c>
      <c r="M2231">
        <f>Sales_Per_Rep_Yearly_Goal!$C$3</f>
        <v>690000</v>
      </c>
    </row>
    <row r="2232" spans="1:13" x14ac:dyDescent="0.3">
      <c r="A2232" s="3">
        <v>45518</v>
      </c>
      <c r="B2232">
        <f t="shared" si="34"/>
        <v>2024</v>
      </c>
      <c r="C2232">
        <v>8</v>
      </c>
      <c r="D2232" t="s">
        <v>17</v>
      </c>
      <c r="E2232" t="s">
        <v>27</v>
      </c>
      <c r="F2232" s="2">
        <v>1275</v>
      </c>
      <c r="G2232" s="2">
        <f>Monthly_Growth!$C$21</f>
        <v>877469</v>
      </c>
      <c r="H2232" s="5">
        <f>Monthly_Growth!$D$21</f>
        <v>0.12942147122158165</v>
      </c>
      <c r="I2232" s="15">
        <f>Yearly_Growth!$C$3</f>
        <v>0.11893113731787852</v>
      </c>
      <c r="J2232" s="15">
        <f>Yearly_Growth!$D$3</f>
        <v>0.09</v>
      </c>
      <c r="K2232">
        <f>Sales_Per_Representative!$C$20</f>
        <v>685380</v>
      </c>
      <c r="L2232">
        <f>Sales_Per_Rep_Yearly_Goal!$B$3</f>
        <v>689907.8</v>
      </c>
      <c r="M2232">
        <f>Sales_Per_Rep_Yearly_Goal!$C$3</f>
        <v>690000</v>
      </c>
    </row>
    <row r="2233" spans="1:13" x14ac:dyDescent="0.3">
      <c r="A2233" s="3">
        <v>45518</v>
      </c>
      <c r="B2233">
        <f t="shared" si="34"/>
        <v>2024</v>
      </c>
      <c r="C2233">
        <v>8</v>
      </c>
      <c r="D2233" t="s">
        <v>12</v>
      </c>
      <c r="E2233" t="s">
        <v>24</v>
      </c>
      <c r="F2233" s="2">
        <v>12659</v>
      </c>
      <c r="G2233" s="2">
        <f>Monthly_Growth!$C$21</f>
        <v>877469</v>
      </c>
      <c r="H2233" s="5">
        <f>Monthly_Growth!$D$21</f>
        <v>0.12942147122158165</v>
      </c>
      <c r="I2233" s="15">
        <f>Yearly_Growth!$C$3</f>
        <v>0.11893113731787852</v>
      </c>
      <c r="J2233" s="15">
        <f>Yearly_Growth!$D$3</f>
        <v>0.09</v>
      </c>
      <c r="K2233">
        <f>Sales_Per_Representative!$C$17</f>
        <v>633956</v>
      </c>
      <c r="L2233">
        <f>Sales_Per_Rep_Yearly_Goal!$B$3</f>
        <v>689907.8</v>
      </c>
      <c r="M2233">
        <f>Sales_Per_Rep_Yearly_Goal!$C$3</f>
        <v>690000</v>
      </c>
    </row>
    <row r="2234" spans="1:13" x14ac:dyDescent="0.3">
      <c r="A2234" s="3">
        <v>45519</v>
      </c>
      <c r="B2234">
        <f t="shared" si="34"/>
        <v>2024</v>
      </c>
      <c r="C2234">
        <v>8</v>
      </c>
      <c r="D2234" t="s">
        <v>14</v>
      </c>
      <c r="E2234" t="s">
        <v>10</v>
      </c>
      <c r="F2234" s="2">
        <v>3016</v>
      </c>
      <c r="G2234" s="2">
        <f>Monthly_Growth!$C$21</f>
        <v>877469</v>
      </c>
      <c r="H2234" s="5">
        <f>Monthly_Growth!$D$21</f>
        <v>0.12942147122158165</v>
      </c>
      <c r="I2234" s="15">
        <f>Yearly_Growth!$C$3</f>
        <v>0.11893113731787852</v>
      </c>
      <c r="J2234" s="15">
        <f>Yearly_Growth!$D$3</f>
        <v>0.09</v>
      </c>
      <c r="K2234">
        <f>Sales_Per_Representative!$C$19</f>
        <v>711816</v>
      </c>
      <c r="L2234">
        <f>Sales_Per_Rep_Yearly_Goal!$B$3</f>
        <v>689907.8</v>
      </c>
      <c r="M2234">
        <f>Sales_Per_Rep_Yearly_Goal!$C$3</f>
        <v>690000</v>
      </c>
    </row>
    <row r="2235" spans="1:13" x14ac:dyDescent="0.3">
      <c r="A2235" s="3">
        <v>45519</v>
      </c>
      <c r="B2235">
        <f t="shared" si="34"/>
        <v>2024</v>
      </c>
      <c r="C2235">
        <v>8</v>
      </c>
      <c r="D2235" t="s">
        <v>19</v>
      </c>
      <c r="E2235" t="s">
        <v>27</v>
      </c>
      <c r="F2235" s="2">
        <v>8392</v>
      </c>
      <c r="G2235" s="2">
        <f>Monthly_Growth!$C$21</f>
        <v>877469</v>
      </c>
      <c r="H2235" s="5">
        <f>Monthly_Growth!$D$21</f>
        <v>0.12942147122158165</v>
      </c>
      <c r="I2235" s="15">
        <f>Yearly_Growth!$C$3</f>
        <v>0.11893113731787852</v>
      </c>
      <c r="J2235" s="15">
        <f>Yearly_Growth!$D$3</f>
        <v>0.09</v>
      </c>
      <c r="K2235">
        <f>Sales_Per_Representative!$C$20</f>
        <v>685380</v>
      </c>
      <c r="L2235">
        <f>Sales_Per_Rep_Yearly_Goal!$B$3</f>
        <v>689907.8</v>
      </c>
      <c r="M2235">
        <f>Sales_Per_Rep_Yearly_Goal!$C$3</f>
        <v>690000</v>
      </c>
    </row>
    <row r="2236" spans="1:13" x14ac:dyDescent="0.3">
      <c r="A2236" s="3">
        <v>45519</v>
      </c>
      <c r="B2236">
        <f t="shared" si="34"/>
        <v>2024</v>
      </c>
      <c r="C2236">
        <v>8</v>
      </c>
      <c r="D2236" t="s">
        <v>23</v>
      </c>
      <c r="E2236" t="s">
        <v>24</v>
      </c>
      <c r="F2236" s="2">
        <v>8365</v>
      </c>
      <c r="G2236" s="2">
        <f>Monthly_Growth!$C$21</f>
        <v>877469</v>
      </c>
      <c r="H2236" s="5">
        <f>Monthly_Growth!$D$21</f>
        <v>0.12942147122158165</v>
      </c>
      <c r="I2236" s="15">
        <f>Yearly_Growth!$C$3</f>
        <v>0.11893113731787852</v>
      </c>
      <c r="J2236" s="15">
        <f>Yearly_Growth!$D$3</f>
        <v>0.09</v>
      </c>
      <c r="K2236">
        <f>Sales_Per_Representative!$C$17</f>
        <v>633956</v>
      </c>
      <c r="L2236">
        <f>Sales_Per_Rep_Yearly_Goal!$B$3</f>
        <v>689907.8</v>
      </c>
      <c r="M2236">
        <f>Sales_Per_Rep_Yearly_Goal!$C$3</f>
        <v>690000</v>
      </c>
    </row>
    <row r="2237" spans="1:13" x14ac:dyDescent="0.3">
      <c r="A2237" s="3">
        <v>45519</v>
      </c>
      <c r="B2237">
        <f t="shared" si="34"/>
        <v>2024</v>
      </c>
      <c r="C2237">
        <v>8</v>
      </c>
      <c r="D2237" t="s">
        <v>23</v>
      </c>
      <c r="E2237" t="s">
        <v>22</v>
      </c>
      <c r="F2237" s="2">
        <v>7283</v>
      </c>
      <c r="G2237" s="2">
        <f>Monthly_Growth!$C$21</f>
        <v>877469</v>
      </c>
      <c r="H2237" s="5">
        <f>Monthly_Growth!$D$21</f>
        <v>0.12942147122158165</v>
      </c>
      <c r="I2237" s="15">
        <f>Yearly_Growth!$C$3</f>
        <v>0.11893113731787852</v>
      </c>
      <c r="J2237" s="15">
        <f>Yearly_Growth!$D$3</f>
        <v>0.09</v>
      </c>
      <c r="K2237">
        <f>Sales_Per_Representative!$C$23</f>
        <v>697444</v>
      </c>
      <c r="L2237">
        <f>Sales_Per_Rep_Yearly_Goal!$B$3</f>
        <v>689907.8</v>
      </c>
      <c r="M2237">
        <f>Sales_Per_Rep_Yearly_Goal!$C$3</f>
        <v>690000</v>
      </c>
    </row>
    <row r="2238" spans="1:13" x14ac:dyDescent="0.3">
      <c r="A2238" s="3">
        <v>45519</v>
      </c>
      <c r="B2238">
        <f t="shared" si="34"/>
        <v>2024</v>
      </c>
      <c r="C2238">
        <v>8</v>
      </c>
      <c r="D2238" t="s">
        <v>25</v>
      </c>
      <c r="E2238" t="s">
        <v>24</v>
      </c>
      <c r="F2238" s="2">
        <v>5728</v>
      </c>
      <c r="G2238" s="2">
        <f>Monthly_Growth!$C$21</f>
        <v>877469</v>
      </c>
      <c r="H2238" s="5">
        <f>Monthly_Growth!$D$21</f>
        <v>0.12942147122158165</v>
      </c>
      <c r="I2238" s="15">
        <f>Yearly_Growth!$C$3</f>
        <v>0.11893113731787852</v>
      </c>
      <c r="J2238" s="15">
        <f>Yearly_Growth!$D$3</f>
        <v>0.09</v>
      </c>
      <c r="K2238">
        <f>Sales_Per_Representative!$C$17</f>
        <v>633956</v>
      </c>
      <c r="L2238">
        <f>Sales_Per_Rep_Yearly_Goal!$B$3</f>
        <v>689907.8</v>
      </c>
      <c r="M2238">
        <f>Sales_Per_Rep_Yearly_Goal!$C$3</f>
        <v>690000</v>
      </c>
    </row>
    <row r="2239" spans="1:13" x14ac:dyDescent="0.3">
      <c r="A2239" s="3">
        <v>45519</v>
      </c>
      <c r="B2239">
        <f t="shared" si="34"/>
        <v>2024</v>
      </c>
      <c r="C2239">
        <v>8</v>
      </c>
      <c r="D2239" t="s">
        <v>7</v>
      </c>
      <c r="E2239" t="s">
        <v>33</v>
      </c>
      <c r="F2239" s="2">
        <v>4380</v>
      </c>
      <c r="G2239" s="2">
        <f>Monthly_Growth!$C$21</f>
        <v>877469</v>
      </c>
      <c r="H2239" s="5">
        <f>Monthly_Growth!$D$21</f>
        <v>0.12942147122158165</v>
      </c>
      <c r="I2239" s="15">
        <f>Yearly_Growth!$C$3</f>
        <v>0.11893113731787852</v>
      </c>
      <c r="J2239" s="15">
        <f>Yearly_Growth!$D$3</f>
        <v>0.09</v>
      </c>
      <c r="K2239">
        <f>Sales_Per_Representative!$C$26</f>
        <v>501360</v>
      </c>
      <c r="L2239">
        <f>Sales_Per_Rep_Yearly_Goal!$B$3</f>
        <v>689907.8</v>
      </c>
      <c r="M2239">
        <f>Sales_Per_Rep_Yearly_Goal!$C$3</f>
        <v>690000</v>
      </c>
    </row>
    <row r="2240" spans="1:13" x14ac:dyDescent="0.3">
      <c r="A2240" s="3">
        <v>45520</v>
      </c>
      <c r="B2240">
        <f t="shared" si="34"/>
        <v>2024</v>
      </c>
      <c r="C2240">
        <v>8</v>
      </c>
      <c r="D2240" t="s">
        <v>14</v>
      </c>
      <c r="E2240" t="s">
        <v>10</v>
      </c>
      <c r="F2240" s="2">
        <v>13636</v>
      </c>
      <c r="G2240" s="2">
        <f>Monthly_Growth!$C$21</f>
        <v>877469</v>
      </c>
      <c r="H2240" s="5">
        <f>Monthly_Growth!$D$21</f>
        <v>0.12942147122158165</v>
      </c>
      <c r="I2240" s="15">
        <f>Yearly_Growth!$C$3</f>
        <v>0.11893113731787852</v>
      </c>
      <c r="J2240" s="15">
        <f>Yearly_Growth!$D$3</f>
        <v>0.09</v>
      </c>
      <c r="K2240">
        <f>Sales_Per_Representative!$C$19</f>
        <v>711816</v>
      </c>
      <c r="L2240">
        <f>Sales_Per_Rep_Yearly_Goal!$B$3</f>
        <v>689907.8</v>
      </c>
      <c r="M2240">
        <f>Sales_Per_Rep_Yearly_Goal!$C$3</f>
        <v>690000</v>
      </c>
    </row>
    <row r="2241" spans="1:13" x14ac:dyDescent="0.3">
      <c r="A2241" s="3">
        <v>45520</v>
      </c>
      <c r="B2241">
        <f t="shared" si="34"/>
        <v>2024</v>
      </c>
      <c r="C2241">
        <v>8</v>
      </c>
      <c r="D2241" t="s">
        <v>23</v>
      </c>
      <c r="E2241" t="s">
        <v>32</v>
      </c>
      <c r="F2241" s="2">
        <v>12088</v>
      </c>
      <c r="G2241" s="2">
        <f>Monthly_Growth!$C$21</f>
        <v>877469</v>
      </c>
      <c r="H2241" s="5">
        <f>Monthly_Growth!$D$21</f>
        <v>0.12942147122158165</v>
      </c>
      <c r="I2241" s="15">
        <f>Yearly_Growth!$C$3</f>
        <v>0.11893113731787852</v>
      </c>
      <c r="J2241" s="15">
        <f>Yearly_Growth!$D$3</f>
        <v>0.09</v>
      </c>
      <c r="K2241">
        <f>Sales_Per_Representative!$C$18</f>
        <v>783907</v>
      </c>
      <c r="L2241">
        <f>Sales_Per_Rep_Yearly_Goal!$B$3</f>
        <v>689907.8</v>
      </c>
      <c r="M2241">
        <f>Sales_Per_Rep_Yearly_Goal!$C$3</f>
        <v>690000</v>
      </c>
    </row>
    <row r="2242" spans="1:13" x14ac:dyDescent="0.3">
      <c r="A2242" s="3">
        <v>45520</v>
      </c>
      <c r="B2242">
        <f t="shared" si="34"/>
        <v>2024</v>
      </c>
      <c r="C2242">
        <v>8</v>
      </c>
      <c r="D2242" t="s">
        <v>17</v>
      </c>
      <c r="E2242" t="s">
        <v>27</v>
      </c>
      <c r="F2242" s="2">
        <v>1969</v>
      </c>
      <c r="G2242" s="2">
        <f>Monthly_Growth!$C$21</f>
        <v>877469</v>
      </c>
      <c r="H2242" s="5">
        <f>Monthly_Growth!$D$21</f>
        <v>0.12942147122158165</v>
      </c>
      <c r="I2242" s="15">
        <f>Yearly_Growth!$C$3</f>
        <v>0.11893113731787852</v>
      </c>
      <c r="J2242" s="15">
        <f>Yearly_Growth!$D$3</f>
        <v>0.09</v>
      </c>
      <c r="K2242">
        <f>Sales_Per_Representative!$C$20</f>
        <v>685380</v>
      </c>
      <c r="L2242">
        <f>Sales_Per_Rep_Yearly_Goal!$B$3</f>
        <v>689907.8</v>
      </c>
      <c r="M2242">
        <f>Sales_Per_Rep_Yearly_Goal!$C$3</f>
        <v>690000</v>
      </c>
    </row>
    <row r="2243" spans="1:13" x14ac:dyDescent="0.3">
      <c r="A2243" s="3">
        <v>45520</v>
      </c>
      <c r="B2243">
        <f t="shared" ref="B2243:B2306" si="35">YEAR(A2243)</f>
        <v>2024</v>
      </c>
      <c r="C2243">
        <v>8</v>
      </c>
      <c r="D2243" t="s">
        <v>17</v>
      </c>
      <c r="E2243" t="s">
        <v>32</v>
      </c>
      <c r="F2243" s="2">
        <v>11155</v>
      </c>
      <c r="G2243" s="2">
        <f>Monthly_Growth!$C$21</f>
        <v>877469</v>
      </c>
      <c r="H2243" s="5">
        <f>Monthly_Growth!$D$21</f>
        <v>0.12942147122158165</v>
      </c>
      <c r="I2243" s="15">
        <f>Yearly_Growth!$C$3</f>
        <v>0.11893113731787852</v>
      </c>
      <c r="J2243" s="15">
        <f>Yearly_Growth!$D$3</f>
        <v>0.09</v>
      </c>
      <c r="K2243">
        <f>Sales_Per_Representative!$C$18</f>
        <v>783907</v>
      </c>
      <c r="L2243">
        <f>Sales_Per_Rep_Yearly_Goal!$B$3</f>
        <v>689907.8</v>
      </c>
      <c r="M2243">
        <f>Sales_Per_Rep_Yearly_Goal!$C$3</f>
        <v>690000</v>
      </c>
    </row>
    <row r="2244" spans="1:13" x14ac:dyDescent="0.3">
      <c r="A2244" s="3">
        <v>45521</v>
      </c>
      <c r="B2244">
        <f t="shared" si="35"/>
        <v>2024</v>
      </c>
      <c r="C2244">
        <v>8</v>
      </c>
      <c r="D2244" t="s">
        <v>14</v>
      </c>
      <c r="E2244" t="s">
        <v>32</v>
      </c>
      <c r="F2244" s="2">
        <v>5106</v>
      </c>
      <c r="G2244" s="2">
        <f>Monthly_Growth!$C$21</f>
        <v>877469</v>
      </c>
      <c r="H2244" s="5">
        <f>Monthly_Growth!$D$21</f>
        <v>0.12942147122158165</v>
      </c>
      <c r="I2244" s="15">
        <f>Yearly_Growth!$C$3</f>
        <v>0.11893113731787852</v>
      </c>
      <c r="J2244" s="15">
        <f>Yearly_Growth!$D$3</f>
        <v>0.09</v>
      </c>
      <c r="K2244">
        <f>Sales_Per_Representative!$C$18</f>
        <v>783907</v>
      </c>
      <c r="L2244">
        <f>Sales_Per_Rep_Yearly_Goal!$B$3</f>
        <v>689907.8</v>
      </c>
      <c r="M2244">
        <f>Sales_Per_Rep_Yearly_Goal!$C$3</f>
        <v>690000</v>
      </c>
    </row>
    <row r="2245" spans="1:13" x14ac:dyDescent="0.3">
      <c r="A2245" s="3">
        <v>45521</v>
      </c>
      <c r="B2245">
        <f t="shared" si="35"/>
        <v>2024</v>
      </c>
      <c r="C2245">
        <v>8</v>
      </c>
      <c r="D2245" t="s">
        <v>23</v>
      </c>
      <c r="E2245" t="s">
        <v>33</v>
      </c>
      <c r="F2245" s="2">
        <v>6454</v>
      </c>
      <c r="G2245" s="2">
        <f>Monthly_Growth!$C$21</f>
        <v>877469</v>
      </c>
      <c r="H2245" s="5">
        <f>Monthly_Growth!$D$21</f>
        <v>0.12942147122158165</v>
      </c>
      <c r="I2245" s="15">
        <f>Yearly_Growth!$C$3</f>
        <v>0.11893113731787852</v>
      </c>
      <c r="J2245" s="15">
        <f>Yearly_Growth!$D$3</f>
        <v>0.09</v>
      </c>
      <c r="K2245">
        <f>Sales_Per_Representative!$C$26</f>
        <v>501360</v>
      </c>
      <c r="L2245">
        <f>Sales_Per_Rep_Yearly_Goal!$B$3</f>
        <v>689907.8</v>
      </c>
      <c r="M2245">
        <f>Sales_Per_Rep_Yearly_Goal!$C$3</f>
        <v>690000</v>
      </c>
    </row>
    <row r="2246" spans="1:13" x14ac:dyDescent="0.3">
      <c r="A2246" s="3">
        <v>45521</v>
      </c>
      <c r="B2246">
        <f t="shared" si="35"/>
        <v>2024</v>
      </c>
      <c r="C2246">
        <v>8</v>
      </c>
      <c r="D2246" t="s">
        <v>12</v>
      </c>
      <c r="E2246" t="s">
        <v>15</v>
      </c>
      <c r="F2246" s="2">
        <v>1616</v>
      </c>
      <c r="G2246" s="2">
        <f>Monthly_Growth!$C$21</f>
        <v>877469</v>
      </c>
      <c r="H2246" s="5">
        <f>Monthly_Growth!$D$21</f>
        <v>0.12942147122158165</v>
      </c>
      <c r="I2246" s="15">
        <f>Yearly_Growth!$C$3</f>
        <v>0.11893113731787852</v>
      </c>
      <c r="J2246" s="15">
        <f>Yearly_Growth!$D$3</f>
        <v>0.09</v>
      </c>
      <c r="K2246">
        <f>Sales_Per_Representative!$C$27</f>
        <v>617202</v>
      </c>
      <c r="L2246">
        <f>Sales_Per_Rep_Yearly_Goal!$B$3</f>
        <v>689907.8</v>
      </c>
      <c r="M2246">
        <f>Sales_Per_Rep_Yearly_Goal!$C$3</f>
        <v>690000</v>
      </c>
    </row>
    <row r="2247" spans="1:13" x14ac:dyDescent="0.3">
      <c r="A2247" s="3">
        <v>45522</v>
      </c>
      <c r="B2247">
        <f t="shared" si="35"/>
        <v>2024</v>
      </c>
      <c r="C2247">
        <v>8</v>
      </c>
      <c r="D2247" t="s">
        <v>14</v>
      </c>
      <c r="E2247" t="s">
        <v>24</v>
      </c>
      <c r="F2247" s="2">
        <v>8643</v>
      </c>
      <c r="G2247" s="2">
        <f>Monthly_Growth!$C$21</f>
        <v>877469</v>
      </c>
      <c r="H2247" s="5">
        <f>Monthly_Growth!$D$21</f>
        <v>0.12942147122158165</v>
      </c>
      <c r="I2247" s="15">
        <f>Yearly_Growth!$C$3</f>
        <v>0.11893113731787852</v>
      </c>
      <c r="J2247" s="15">
        <f>Yearly_Growth!$D$3</f>
        <v>0.09</v>
      </c>
      <c r="K2247">
        <f>Sales_Per_Representative!$C$17</f>
        <v>633956</v>
      </c>
      <c r="L2247">
        <f>Sales_Per_Rep_Yearly_Goal!$B$3</f>
        <v>689907.8</v>
      </c>
      <c r="M2247">
        <f>Sales_Per_Rep_Yearly_Goal!$C$3</f>
        <v>690000</v>
      </c>
    </row>
    <row r="2248" spans="1:13" x14ac:dyDescent="0.3">
      <c r="A2248" s="3">
        <v>45523</v>
      </c>
      <c r="B2248">
        <f t="shared" si="35"/>
        <v>2024</v>
      </c>
      <c r="C2248">
        <v>8</v>
      </c>
      <c r="D2248" t="s">
        <v>19</v>
      </c>
      <c r="E2248" t="s">
        <v>33</v>
      </c>
      <c r="F2248" s="2">
        <v>11582</v>
      </c>
      <c r="G2248" s="2">
        <f>Monthly_Growth!$C$21</f>
        <v>877469</v>
      </c>
      <c r="H2248" s="5">
        <f>Monthly_Growth!$D$21</f>
        <v>0.12942147122158165</v>
      </c>
      <c r="I2248" s="15">
        <f>Yearly_Growth!$C$3</f>
        <v>0.11893113731787852</v>
      </c>
      <c r="J2248" s="15">
        <f>Yearly_Growth!$D$3</f>
        <v>0.09</v>
      </c>
      <c r="K2248">
        <f>Sales_Per_Representative!$C$26</f>
        <v>501360</v>
      </c>
      <c r="L2248">
        <f>Sales_Per_Rep_Yearly_Goal!$B$3</f>
        <v>689907.8</v>
      </c>
      <c r="M2248">
        <f>Sales_Per_Rep_Yearly_Goal!$C$3</f>
        <v>690000</v>
      </c>
    </row>
    <row r="2249" spans="1:13" x14ac:dyDescent="0.3">
      <c r="A2249" s="3">
        <v>45523</v>
      </c>
      <c r="B2249">
        <f t="shared" si="35"/>
        <v>2024</v>
      </c>
      <c r="C2249">
        <v>8</v>
      </c>
      <c r="D2249" t="s">
        <v>19</v>
      </c>
      <c r="E2249" t="s">
        <v>10</v>
      </c>
      <c r="F2249" s="2">
        <v>7467</v>
      </c>
      <c r="G2249" s="2">
        <f>Monthly_Growth!$C$21</f>
        <v>877469</v>
      </c>
      <c r="H2249" s="5">
        <f>Monthly_Growth!$D$21</f>
        <v>0.12942147122158165</v>
      </c>
      <c r="I2249" s="15">
        <f>Yearly_Growth!$C$3</f>
        <v>0.11893113731787852</v>
      </c>
      <c r="J2249" s="15">
        <f>Yearly_Growth!$D$3</f>
        <v>0.09</v>
      </c>
      <c r="K2249">
        <f>Sales_Per_Representative!$C$19</f>
        <v>711816</v>
      </c>
      <c r="L2249">
        <f>Sales_Per_Rep_Yearly_Goal!$B$3</f>
        <v>689907.8</v>
      </c>
      <c r="M2249">
        <f>Sales_Per_Rep_Yearly_Goal!$C$3</f>
        <v>690000</v>
      </c>
    </row>
    <row r="2250" spans="1:13" x14ac:dyDescent="0.3">
      <c r="A2250" s="3">
        <v>45523</v>
      </c>
      <c r="B2250">
        <f t="shared" si="35"/>
        <v>2024</v>
      </c>
      <c r="C2250">
        <v>8</v>
      </c>
      <c r="D2250" t="s">
        <v>23</v>
      </c>
      <c r="E2250" t="s">
        <v>31</v>
      </c>
      <c r="F2250" s="2">
        <v>10522</v>
      </c>
      <c r="G2250" s="2">
        <f>Monthly_Growth!$C$21</f>
        <v>877469</v>
      </c>
      <c r="H2250" s="5">
        <f>Monthly_Growth!$D$21</f>
        <v>0.12942147122158165</v>
      </c>
      <c r="I2250" s="15">
        <f>Yearly_Growth!$C$3</f>
        <v>0.11893113731787852</v>
      </c>
      <c r="J2250" s="15">
        <f>Yearly_Growth!$D$3</f>
        <v>0.09</v>
      </c>
      <c r="K2250">
        <f>Sales_Per_Representative!$C$21</f>
        <v>679421</v>
      </c>
      <c r="L2250">
        <f>Sales_Per_Rep_Yearly_Goal!$B$3</f>
        <v>689907.8</v>
      </c>
      <c r="M2250">
        <f>Sales_Per_Rep_Yearly_Goal!$C$3</f>
        <v>690000</v>
      </c>
    </row>
    <row r="2251" spans="1:13" x14ac:dyDescent="0.3">
      <c r="A2251" s="3">
        <v>45523</v>
      </c>
      <c r="B2251">
        <f t="shared" si="35"/>
        <v>2024</v>
      </c>
      <c r="C2251">
        <v>8</v>
      </c>
      <c r="D2251" t="s">
        <v>25</v>
      </c>
      <c r="E2251" t="s">
        <v>8</v>
      </c>
      <c r="F2251" s="2">
        <v>9654</v>
      </c>
      <c r="G2251" s="2">
        <f>Monthly_Growth!$C$21</f>
        <v>877469</v>
      </c>
      <c r="H2251" s="5">
        <f>Monthly_Growth!$D$21</f>
        <v>0.12942147122158165</v>
      </c>
      <c r="I2251" s="15">
        <f>Yearly_Growth!$C$3</f>
        <v>0.11893113731787852</v>
      </c>
      <c r="J2251" s="15">
        <f>Yearly_Growth!$D$3</f>
        <v>0.09</v>
      </c>
      <c r="K2251">
        <f>Sales_Per_Representative!$C$30</f>
        <v>780006</v>
      </c>
      <c r="L2251">
        <f>Sales_Per_Rep_Yearly_Goal!$B$3</f>
        <v>689907.8</v>
      </c>
      <c r="M2251">
        <f>Sales_Per_Rep_Yearly_Goal!$C$3</f>
        <v>690000</v>
      </c>
    </row>
    <row r="2252" spans="1:13" x14ac:dyDescent="0.3">
      <c r="A2252" s="3">
        <v>45523</v>
      </c>
      <c r="B2252">
        <f t="shared" si="35"/>
        <v>2024</v>
      </c>
      <c r="C2252">
        <v>8</v>
      </c>
      <c r="D2252" t="s">
        <v>28</v>
      </c>
      <c r="E2252" t="s">
        <v>31</v>
      </c>
      <c r="F2252" s="2">
        <v>2588</v>
      </c>
      <c r="G2252" s="2">
        <f>Monthly_Growth!$C$21</f>
        <v>877469</v>
      </c>
      <c r="H2252" s="5">
        <f>Monthly_Growth!$D$21</f>
        <v>0.12942147122158165</v>
      </c>
      <c r="I2252" s="15">
        <f>Yearly_Growth!$C$3</f>
        <v>0.11893113731787852</v>
      </c>
      <c r="J2252" s="15">
        <f>Yearly_Growth!$D$3</f>
        <v>0.09</v>
      </c>
      <c r="K2252">
        <f>Sales_Per_Representative!$C$21</f>
        <v>679421</v>
      </c>
      <c r="L2252">
        <f>Sales_Per_Rep_Yearly_Goal!$B$3</f>
        <v>689907.8</v>
      </c>
      <c r="M2252">
        <f>Sales_Per_Rep_Yearly_Goal!$C$3</f>
        <v>690000</v>
      </c>
    </row>
    <row r="2253" spans="1:13" x14ac:dyDescent="0.3">
      <c r="A2253" s="3">
        <v>45524</v>
      </c>
      <c r="B2253">
        <f t="shared" si="35"/>
        <v>2024</v>
      </c>
      <c r="C2253">
        <v>8</v>
      </c>
      <c r="D2253" t="s">
        <v>14</v>
      </c>
      <c r="E2253" t="s">
        <v>18</v>
      </c>
      <c r="F2253" s="2">
        <v>12334</v>
      </c>
      <c r="G2253" s="2">
        <f>Monthly_Growth!$C$21</f>
        <v>877469</v>
      </c>
      <c r="H2253" s="5">
        <f>Monthly_Growth!$D$21</f>
        <v>0.12942147122158165</v>
      </c>
      <c r="I2253" s="15">
        <f>Yearly_Growth!$C$3</f>
        <v>0.11893113731787852</v>
      </c>
      <c r="J2253" s="15">
        <f>Yearly_Growth!$D$3</f>
        <v>0.09</v>
      </c>
      <c r="K2253">
        <f>Sales_Per_Representative!$C$24</f>
        <v>699277</v>
      </c>
      <c r="L2253">
        <f>Sales_Per_Rep_Yearly_Goal!$B$3</f>
        <v>689907.8</v>
      </c>
      <c r="M2253">
        <f>Sales_Per_Rep_Yearly_Goal!$C$3</f>
        <v>690000</v>
      </c>
    </row>
    <row r="2254" spans="1:13" x14ac:dyDescent="0.3">
      <c r="A2254" s="3">
        <v>45524</v>
      </c>
      <c r="B2254">
        <f t="shared" si="35"/>
        <v>2024</v>
      </c>
      <c r="C2254">
        <v>8</v>
      </c>
      <c r="D2254" t="s">
        <v>19</v>
      </c>
      <c r="E2254" t="s">
        <v>27</v>
      </c>
      <c r="F2254" s="2">
        <v>2212</v>
      </c>
      <c r="G2254" s="2">
        <f>Monthly_Growth!$C$21</f>
        <v>877469</v>
      </c>
      <c r="H2254" s="5">
        <f>Monthly_Growth!$D$21</f>
        <v>0.12942147122158165</v>
      </c>
      <c r="I2254" s="15">
        <f>Yearly_Growth!$C$3</f>
        <v>0.11893113731787852</v>
      </c>
      <c r="J2254" s="15">
        <f>Yearly_Growth!$D$3</f>
        <v>0.09</v>
      </c>
      <c r="K2254">
        <f>Sales_Per_Representative!$C$20</f>
        <v>685380</v>
      </c>
      <c r="L2254">
        <f>Sales_Per_Rep_Yearly_Goal!$B$3</f>
        <v>689907.8</v>
      </c>
      <c r="M2254">
        <f>Sales_Per_Rep_Yearly_Goal!$C$3</f>
        <v>690000</v>
      </c>
    </row>
    <row r="2255" spans="1:13" x14ac:dyDescent="0.3">
      <c r="A2255" s="3">
        <v>45524</v>
      </c>
      <c r="B2255">
        <f t="shared" si="35"/>
        <v>2024</v>
      </c>
      <c r="C2255">
        <v>8</v>
      </c>
      <c r="D2255" t="s">
        <v>25</v>
      </c>
      <c r="E2255" t="s">
        <v>22</v>
      </c>
      <c r="F2255" s="2">
        <v>5970</v>
      </c>
      <c r="G2255" s="2">
        <f>Monthly_Growth!$C$21</f>
        <v>877469</v>
      </c>
      <c r="H2255" s="5">
        <f>Monthly_Growth!$D$21</f>
        <v>0.12942147122158165</v>
      </c>
      <c r="I2255" s="15">
        <f>Yearly_Growth!$C$3</f>
        <v>0.11893113731787852</v>
      </c>
      <c r="J2255" s="15">
        <f>Yearly_Growth!$D$3</f>
        <v>0.09</v>
      </c>
      <c r="K2255">
        <f>Sales_Per_Representative!$C$23</f>
        <v>697444</v>
      </c>
      <c r="L2255">
        <f>Sales_Per_Rep_Yearly_Goal!$B$3</f>
        <v>689907.8</v>
      </c>
      <c r="M2255">
        <f>Sales_Per_Rep_Yearly_Goal!$C$3</f>
        <v>690000</v>
      </c>
    </row>
    <row r="2256" spans="1:13" x14ac:dyDescent="0.3">
      <c r="A2256" s="3">
        <v>45524</v>
      </c>
      <c r="B2256">
        <f t="shared" si="35"/>
        <v>2024</v>
      </c>
      <c r="C2256">
        <v>8</v>
      </c>
      <c r="D2256" t="s">
        <v>28</v>
      </c>
      <c r="E2256" t="s">
        <v>8</v>
      </c>
      <c r="F2256" s="2">
        <v>13183</v>
      </c>
      <c r="G2256" s="2">
        <f>Monthly_Growth!$C$21</f>
        <v>877469</v>
      </c>
      <c r="H2256" s="5">
        <f>Monthly_Growth!$D$21</f>
        <v>0.12942147122158165</v>
      </c>
      <c r="I2256" s="15">
        <f>Yearly_Growth!$C$3</f>
        <v>0.11893113731787852</v>
      </c>
      <c r="J2256" s="15">
        <f>Yearly_Growth!$D$3</f>
        <v>0.09</v>
      </c>
      <c r="K2256">
        <f>Sales_Per_Representative!$C$30</f>
        <v>780006</v>
      </c>
      <c r="L2256">
        <f>Sales_Per_Rep_Yearly_Goal!$B$3</f>
        <v>689907.8</v>
      </c>
      <c r="M2256">
        <f>Sales_Per_Rep_Yearly_Goal!$C$3</f>
        <v>690000</v>
      </c>
    </row>
    <row r="2257" spans="1:13" x14ac:dyDescent="0.3">
      <c r="A2257" s="3">
        <v>45525</v>
      </c>
      <c r="B2257">
        <f t="shared" si="35"/>
        <v>2024</v>
      </c>
      <c r="C2257">
        <v>8</v>
      </c>
      <c r="D2257" t="s">
        <v>19</v>
      </c>
      <c r="E2257" t="s">
        <v>18</v>
      </c>
      <c r="F2257" s="2">
        <v>7852</v>
      </c>
      <c r="G2257" s="2">
        <f>Monthly_Growth!$C$21</f>
        <v>877469</v>
      </c>
      <c r="H2257" s="5">
        <f>Monthly_Growth!$D$21</f>
        <v>0.12942147122158165</v>
      </c>
      <c r="I2257" s="15">
        <f>Yearly_Growth!$C$3</f>
        <v>0.11893113731787852</v>
      </c>
      <c r="J2257" s="15">
        <f>Yearly_Growth!$D$3</f>
        <v>0.09</v>
      </c>
      <c r="K2257">
        <f>Sales_Per_Representative!$C$24</f>
        <v>699277</v>
      </c>
      <c r="L2257">
        <f>Sales_Per_Rep_Yearly_Goal!$B$3</f>
        <v>689907.8</v>
      </c>
      <c r="M2257">
        <f>Sales_Per_Rep_Yearly_Goal!$C$3</f>
        <v>690000</v>
      </c>
    </row>
    <row r="2258" spans="1:13" x14ac:dyDescent="0.3">
      <c r="A2258" s="3">
        <v>45525</v>
      </c>
      <c r="B2258">
        <f t="shared" si="35"/>
        <v>2024</v>
      </c>
      <c r="C2258">
        <v>8</v>
      </c>
      <c r="D2258" t="s">
        <v>23</v>
      </c>
      <c r="E2258" t="s">
        <v>10</v>
      </c>
      <c r="F2258" s="2">
        <v>9228</v>
      </c>
      <c r="G2258" s="2">
        <f>Monthly_Growth!$C$21</f>
        <v>877469</v>
      </c>
      <c r="H2258" s="5">
        <f>Monthly_Growth!$D$21</f>
        <v>0.12942147122158165</v>
      </c>
      <c r="I2258" s="15">
        <f>Yearly_Growth!$C$3</f>
        <v>0.11893113731787852</v>
      </c>
      <c r="J2258" s="15">
        <f>Yearly_Growth!$D$3</f>
        <v>0.09</v>
      </c>
      <c r="K2258">
        <f>Sales_Per_Representative!$C$19</f>
        <v>711816</v>
      </c>
      <c r="L2258">
        <f>Sales_Per_Rep_Yearly_Goal!$B$3</f>
        <v>689907.8</v>
      </c>
      <c r="M2258">
        <f>Sales_Per_Rep_Yearly_Goal!$C$3</f>
        <v>690000</v>
      </c>
    </row>
    <row r="2259" spans="1:13" x14ac:dyDescent="0.3">
      <c r="A2259" s="3">
        <v>45525</v>
      </c>
      <c r="B2259">
        <f t="shared" si="35"/>
        <v>2024</v>
      </c>
      <c r="C2259">
        <v>8</v>
      </c>
      <c r="D2259" t="s">
        <v>7</v>
      </c>
      <c r="E2259" t="s">
        <v>24</v>
      </c>
      <c r="F2259" s="2">
        <v>2983</v>
      </c>
      <c r="G2259" s="2">
        <f>Monthly_Growth!$C$21</f>
        <v>877469</v>
      </c>
      <c r="H2259" s="5">
        <f>Monthly_Growth!$D$21</f>
        <v>0.12942147122158165</v>
      </c>
      <c r="I2259" s="15">
        <f>Yearly_Growth!$C$3</f>
        <v>0.11893113731787852</v>
      </c>
      <c r="J2259" s="15">
        <f>Yearly_Growth!$D$3</f>
        <v>0.09</v>
      </c>
      <c r="K2259">
        <f>Sales_Per_Representative!$C$17</f>
        <v>633956</v>
      </c>
      <c r="L2259">
        <f>Sales_Per_Rep_Yearly_Goal!$B$3</f>
        <v>689907.8</v>
      </c>
      <c r="M2259">
        <f>Sales_Per_Rep_Yearly_Goal!$C$3</f>
        <v>690000</v>
      </c>
    </row>
    <row r="2260" spans="1:13" x14ac:dyDescent="0.3">
      <c r="A2260" s="3">
        <v>45525</v>
      </c>
      <c r="B2260">
        <f t="shared" si="35"/>
        <v>2024</v>
      </c>
      <c r="C2260">
        <v>8</v>
      </c>
      <c r="D2260" t="s">
        <v>7</v>
      </c>
      <c r="E2260" t="s">
        <v>31</v>
      </c>
      <c r="F2260" s="2">
        <v>9902</v>
      </c>
      <c r="G2260" s="2">
        <f>Monthly_Growth!$C$21</f>
        <v>877469</v>
      </c>
      <c r="H2260" s="5">
        <f>Monthly_Growth!$D$21</f>
        <v>0.12942147122158165</v>
      </c>
      <c r="I2260" s="15">
        <f>Yearly_Growth!$C$3</f>
        <v>0.11893113731787852</v>
      </c>
      <c r="J2260" s="15">
        <f>Yearly_Growth!$D$3</f>
        <v>0.09</v>
      </c>
      <c r="K2260">
        <f>Sales_Per_Representative!$C$21</f>
        <v>679421</v>
      </c>
      <c r="L2260">
        <f>Sales_Per_Rep_Yearly_Goal!$B$3</f>
        <v>689907.8</v>
      </c>
      <c r="M2260">
        <f>Sales_Per_Rep_Yearly_Goal!$C$3</f>
        <v>690000</v>
      </c>
    </row>
    <row r="2261" spans="1:13" x14ac:dyDescent="0.3">
      <c r="A2261" s="3">
        <v>45525</v>
      </c>
      <c r="B2261">
        <f t="shared" si="35"/>
        <v>2024</v>
      </c>
      <c r="C2261">
        <v>8</v>
      </c>
      <c r="D2261" t="s">
        <v>7</v>
      </c>
      <c r="E2261" t="s">
        <v>8</v>
      </c>
      <c r="F2261" s="2">
        <v>5082</v>
      </c>
      <c r="G2261" s="2">
        <f>Monthly_Growth!$C$21</f>
        <v>877469</v>
      </c>
      <c r="H2261" s="5">
        <f>Monthly_Growth!$D$21</f>
        <v>0.12942147122158165</v>
      </c>
      <c r="I2261" s="15">
        <f>Yearly_Growth!$C$3</f>
        <v>0.11893113731787852</v>
      </c>
      <c r="J2261" s="15">
        <f>Yearly_Growth!$D$3</f>
        <v>0.09</v>
      </c>
      <c r="K2261">
        <f>Sales_Per_Representative!$C$30</f>
        <v>780006</v>
      </c>
      <c r="L2261">
        <f>Sales_Per_Rep_Yearly_Goal!$B$3</f>
        <v>689907.8</v>
      </c>
      <c r="M2261">
        <f>Sales_Per_Rep_Yearly_Goal!$C$3</f>
        <v>690000</v>
      </c>
    </row>
    <row r="2262" spans="1:13" x14ac:dyDescent="0.3">
      <c r="A2262" s="3">
        <v>45525</v>
      </c>
      <c r="B2262">
        <f t="shared" si="35"/>
        <v>2024</v>
      </c>
      <c r="C2262">
        <v>8</v>
      </c>
      <c r="D2262" t="s">
        <v>28</v>
      </c>
      <c r="E2262" t="s">
        <v>29</v>
      </c>
      <c r="F2262" s="2">
        <v>10068</v>
      </c>
      <c r="G2262" s="2">
        <f>Monthly_Growth!$C$21</f>
        <v>877469</v>
      </c>
      <c r="H2262" s="5">
        <f>Monthly_Growth!$D$21</f>
        <v>0.12942147122158165</v>
      </c>
      <c r="I2262" s="15">
        <f>Yearly_Growth!$C$3</f>
        <v>0.11893113731787852</v>
      </c>
      <c r="J2262" s="15">
        <f>Yearly_Growth!$D$3</f>
        <v>0.09</v>
      </c>
      <c r="K2262">
        <f>Sales_Per_Representative!$C$28</f>
        <v>691917</v>
      </c>
      <c r="L2262">
        <f>Sales_Per_Rep_Yearly_Goal!$B$3</f>
        <v>689907.8</v>
      </c>
      <c r="M2262">
        <f>Sales_Per_Rep_Yearly_Goal!$C$3</f>
        <v>690000</v>
      </c>
    </row>
    <row r="2263" spans="1:13" x14ac:dyDescent="0.3">
      <c r="A2263" s="3">
        <v>45525</v>
      </c>
      <c r="B2263">
        <f t="shared" si="35"/>
        <v>2024</v>
      </c>
      <c r="C2263">
        <v>8</v>
      </c>
      <c r="D2263" t="s">
        <v>28</v>
      </c>
      <c r="E2263" t="s">
        <v>10</v>
      </c>
      <c r="F2263" s="2">
        <v>7116</v>
      </c>
      <c r="G2263" s="2">
        <f>Monthly_Growth!$C$21</f>
        <v>877469</v>
      </c>
      <c r="H2263" s="5">
        <f>Monthly_Growth!$D$21</f>
        <v>0.12942147122158165</v>
      </c>
      <c r="I2263" s="15">
        <f>Yearly_Growth!$C$3</f>
        <v>0.11893113731787852</v>
      </c>
      <c r="J2263" s="15">
        <f>Yearly_Growth!$D$3</f>
        <v>0.09</v>
      </c>
      <c r="K2263">
        <f>Sales_Per_Representative!$C$19</f>
        <v>711816</v>
      </c>
      <c r="L2263">
        <f>Sales_Per_Rep_Yearly_Goal!$B$3</f>
        <v>689907.8</v>
      </c>
      <c r="M2263">
        <f>Sales_Per_Rep_Yearly_Goal!$C$3</f>
        <v>690000</v>
      </c>
    </row>
    <row r="2264" spans="1:13" x14ac:dyDescent="0.3">
      <c r="A2264" s="3">
        <v>45525</v>
      </c>
      <c r="B2264">
        <f t="shared" si="35"/>
        <v>2024</v>
      </c>
      <c r="C2264">
        <v>8</v>
      </c>
      <c r="D2264" t="s">
        <v>17</v>
      </c>
      <c r="E2264" t="s">
        <v>8</v>
      </c>
      <c r="F2264" s="2">
        <v>6199</v>
      </c>
      <c r="G2264" s="2">
        <f>Monthly_Growth!$C$21</f>
        <v>877469</v>
      </c>
      <c r="H2264" s="5">
        <f>Monthly_Growth!$D$21</f>
        <v>0.12942147122158165</v>
      </c>
      <c r="I2264" s="15">
        <f>Yearly_Growth!$C$3</f>
        <v>0.11893113731787852</v>
      </c>
      <c r="J2264" s="15">
        <f>Yearly_Growth!$D$3</f>
        <v>0.09</v>
      </c>
      <c r="K2264">
        <f>Sales_Per_Representative!$C$30</f>
        <v>780006</v>
      </c>
      <c r="L2264">
        <f>Sales_Per_Rep_Yearly_Goal!$B$3</f>
        <v>689907.8</v>
      </c>
      <c r="M2264">
        <f>Sales_Per_Rep_Yearly_Goal!$C$3</f>
        <v>690000</v>
      </c>
    </row>
    <row r="2265" spans="1:13" x14ac:dyDescent="0.3">
      <c r="A2265" s="3">
        <v>45526</v>
      </c>
      <c r="B2265">
        <f t="shared" si="35"/>
        <v>2024</v>
      </c>
      <c r="C2265">
        <v>8</v>
      </c>
      <c r="D2265" t="s">
        <v>23</v>
      </c>
      <c r="E2265" t="s">
        <v>8</v>
      </c>
      <c r="F2265" s="2">
        <v>9282</v>
      </c>
      <c r="G2265" s="2">
        <f>Monthly_Growth!$C$21</f>
        <v>877469</v>
      </c>
      <c r="H2265" s="5">
        <f>Monthly_Growth!$D$21</f>
        <v>0.12942147122158165</v>
      </c>
      <c r="I2265" s="15">
        <f>Yearly_Growth!$C$3</f>
        <v>0.11893113731787852</v>
      </c>
      <c r="J2265" s="15">
        <f>Yearly_Growth!$D$3</f>
        <v>0.09</v>
      </c>
      <c r="K2265">
        <f>Sales_Per_Representative!$C$30</f>
        <v>780006</v>
      </c>
      <c r="L2265">
        <f>Sales_Per_Rep_Yearly_Goal!$B$3</f>
        <v>689907.8</v>
      </c>
      <c r="M2265">
        <f>Sales_Per_Rep_Yearly_Goal!$C$3</f>
        <v>690000</v>
      </c>
    </row>
    <row r="2266" spans="1:13" x14ac:dyDescent="0.3">
      <c r="A2266" s="3">
        <v>45526</v>
      </c>
      <c r="B2266">
        <f t="shared" si="35"/>
        <v>2024</v>
      </c>
      <c r="C2266">
        <v>8</v>
      </c>
      <c r="D2266" t="s">
        <v>7</v>
      </c>
      <c r="E2266" t="s">
        <v>20</v>
      </c>
      <c r="F2266" s="2">
        <v>9051</v>
      </c>
      <c r="G2266" s="2">
        <f>Monthly_Growth!$C$21</f>
        <v>877469</v>
      </c>
      <c r="H2266" s="5">
        <f>Monthly_Growth!$D$21</f>
        <v>0.12942147122158165</v>
      </c>
      <c r="I2266" s="15">
        <f>Yearly_Growth!$C$3</f>
        <v>0.11893113731787852</v>
      </c>
      <c r="J2266" s="15">
        <f>Yearly_Growth!$D$3</f>
        <v>0.09</v>
      </c>
      <c r="K2266">
        <f>Sales_Per_Representative!$C$29</f>
        <v>753085</v>
      </c>
      <c r="L2266">
        <f>Sales_Per_Rep_Yearly_Goal!$B$3</f>
        <v>689907.8</v>
      </c>
      <c r="M2266">
        <f>Sales_Per_Rep_Yearly_Goal!$C$3</f>
        <v>690000</v>
      </c>
    </row>
    <row r="2267" spans="1:13" x14ac:dyDescent="0.3">
      <c r="A2267" s="3">
        <v>45526</v>
      </c>
      <c r="B2267">
        <f t="shared" si="35"/>
        <v>2024</v>
      </c>
      <c r="C2267">
        <v>8</v>
      </c>
      <c r="D2267" t="s">
        <v>17</v>
      </c>
      <c r="E2267" t="s">
        <v>27</v>
      </c>
      <c r="F2267" s="2">
        <v>8858</v>
      </c>
      <c r="G2267" s="2">
        <f>Monthly_Growth!$C$21</f>
        <v>877469</v>
      </c>
      <c r="H2267" s="5">
        <f>Monthly_Growth!$D$21</f>
        <v>0.12942147122158165</v>
      </c>
      <c r="I2267" s="15">
        <f>Yearly_Growth!$C$3</f>
        <v>0.11893113731787852</v>
      </c>
      <c r="J2267" s="15">
        <f>Yearly_Growth!$D$3</f>
        <v>0.09</v>
      </c>
      <c r="K2267">
        <f>Sales_Per_Representative!$C$20</f>
        <v>685380</v>
      </c>
      <c r="L2267">
        <f>Sales_Per_Rep_Yearly_Goal!$B$3</f>
        <v>689907.8</v>
      </c>
      <c r="M2267">
        <f>Sales_Per_Rep_Yearly_Goal!$C$3</f>
        <v>690000</v>
      </c>
    </row>
    <row r="2268" spans="1:13" x14ac:dyDescent="0.3">
      <c r="A2268" s="3">
        <v>45526</v>
      </c>
      <c r="B2268">
        <f t="shared" si="35"/>
        <v>2024</v>
      </c>
      <c r="C2268">
        <v>8</v>
      </c>
      <c r="D2268" t="s">
        <v>17</v>
      </c>
      <c r="E2268" t="s">
        <v>27</v>
      </c>
      <c r="F2268" s="2">
        <v>4622</v>
      </c>
      <c r="G2268" s="2">
        <f>Monthly_Growth!$C$21</f>
        <v>877469</v>
      </c>
      <c r="H2268" s="5">
        <f>Monthly_Growth!$D$21</f>
        <v>0.12942147122158165</v>
      </c>
      <c r="I2268" s="15">
        <f>Yearly_Growth!$C$3</f>
        <v>0.11893113731787852</v>
      </c>
      <c r="J2268" s="15">
        <f>Yearly_Growth!$D$3</f>
        <v>0.09</v>
      </c>
      <c r="K2268">
        <f>Sales_Per_Representative!$C$20</f>
        <v>685380</v>
      </c>
      <c r="L2268">
        <f>Sales_Per_Rep_Yearly_Goal!$B$3</f>
        <v>689907.8</v>
      </c>
      <c r="M2268">
        <f>Sales_Per_Rep_Yearly_Goal!$C$3</f>
        <v>690000</v>
      </c>
    </row>
    <row r="2269" spans="1:13" x14ac:dyDescent="0.3">
      <c r="A2269" s="3">
        <v>45527</v>
      </c>
      <c r="B2269">
        <f t="shared" si="35"/>
        <v>2024</v>
      </c>
      <c r="C2269">
        <v>8</v>
      </c>
      <c r="D2269" t="s">
        <v>7</v>
      </c>
      <c r="E2269" t="s">
        <v>5</v>
      </c>
      <c r="F2269" s="2">
        <v>10229</v>
      </c>
      <c r="G2269" s="2">
        <f>Monthly_Growth!$C$21</f>
        <v>877469</v>
      </c>
      <c r="H2269" s="5">
        <f>Monthly_Growth!$D$21</f>
        <v>0.12942147122158165</v>
      </c>
      <c r="I2269" s="15">
        <f>Yearly_Growth!$C$3</f>
        <v>0.11893113731787852</v>
      </c>
      <c r="J2269" s="15">
        <f>Yearly_Growth!$D$3</f>
        <v>0.09</v>
      </c>
      <c r="K2269">
        <f>Sales_Per_Representative!$C$25</f>
        <v>749460</v>
      </c>
      <c r="L2269">
        <f>Sales_Per_Rep_Yearly_Goal!$B$3</f>
        <v>689907.8</v>
      </c>
      <c r="M2269">
        <f>Sales_Per_Rep_Yearly_Goal!$C$3</f>
        <v>690000</v>
      </c>
    </row>
    <row r="2270" spans="1:13" x14ac:dyDescent="0.3">
      <c r="A2270" s="3">
        <v>45527</v>
      </c>
      <c r="B2270">
        <f t="shared" si="35"/>
        <v>2024</v>
      </c>
      <c r="C2270">
        <v>8</v>
      </c>
      <c r="D2270" t="s">
        <v>17</v>
      </c>
      <c r="E2270" t="s">
        <v>30</v>
      </c>
      <c r="F2270" s="2">
        <v>3828</v>
      </c>
      <c r="G2270" s="2">
        <f>Monthly_Growth!$C$21</f>
        <v>877469</v>
      </c>
      <c r="H2270" s="5">
        <f>Monthly_Growth!$D$21</f>
        <v>0.12942147122158165</v>
      </c>
      <c r="I2270" s="15">
        <f>Yearly_Growth!$C$3</f>
        <v>0.11893113731787852</v>
      </c>
      <c r="J2270" s="15">
        <f>Yearly_Growth!$D$3</f>
        <v>0.09</v>
      </c>
      <c r="K2270">
        <f>Sales_Per_Representative!$C$22</f>
        <v>700142</v>
      </c>
      <c r="L2270">
        <f>Sales_Per_Rep_Yearly_Goal!$B$3</f>
        <v>689907.8</v>
      </c>
      <c r="M2270">
        <f>Sales_Per_Rep_Yearly_Goal!$C$3</f>
        <v>690000</v>
      </c>
    </row>
    <row r="2271" spans="1:13" x14ac:dyDescent="0.3">
      <c r="A2271" s="3">
        <v>45527</v>
      </c>
      <c r="B2271">
        <f t="shared" si="35"/>
        <v>2024</v>
      </c>
      <c r="C2271">
        <v>8</v>
      </c>
      <c r="D2271" t="s">
        <v>12</v>
      </c>
      <c r="E2271" t="s">
        <v>32</v>
      </c>
      <c r="F2271" s="2">
        <v>8859</v>
      </c>
      <c r="G2271" s="2">
        <f>Monthly_Growth!$C$21</f>
        <v>877469</v>
      </c>
      <c r="H2271" s="5">
        <f>Monthly_Growth!$D$21</f>
        <v>0.12942147122158165</v>
      </c>
      <c r="I2271" s="15">
        <f>Yearly_Growth!$C$3</f>
        <v>0.11893113731787852</v>
      </c>
      <c r="J2271" s="15">
        <f>Yearly_Growth!$D$3</f>
        <v>0.09</v>
      </c>
      <c r="K2271">
        <f>Sales_Per_Representative!$C$18</f>
        <v>783907</v>
      </c>
      <c r="L2271">
        <f>Sales_Per_Rep_Yearly_Goal!$B$3</f>
        <v>689907.8</v>
      </c>
      <c r="M2271">
        <f>Sales_Per_Rep_Yearly_Goal!$C$3</f>
        <v>690000</v>
      </c>
    </row>
    <row r="2272" spans="1:13" x14ac:dyDescent="0.3">
      <c r="A2272" s="3">
        <v>45528</v>
      </c>
      <c r="B2272">
        <f t="shared" si="35"/>
        <v>2024</v>
      </c>
      <c r="C2272">
        <v>8</v>
      </c>
      <c r="D2272" t="s">
        <v>14</v>
      </c>
      <c r="E2272" t="s">
        <v>10</v>
      </c>
      <c r="F2272" s="2">
        <v>4272</v>
      </c>
      <c r="G2272" s="2">
        <f>Monthly_Growth!$C$21</f>
        <v>877469</v>
      </c>
      <c r="H2272" s="5">
        <f>Monthly_Growth!$D$21</f>
        <v>0.12942147122158165</v>
      </c>
      <c r="I2272" s="15">
        <f>Yearly_Growth!$C$3</f>
        <v>0.11893113731787852</v>
      </c>
      <c r="J2272" s="15">
        <f>Yearly_Growth!$D$3</f>
        <v>0.09</v>
      </c>
      <c r="K2272">
        <f>Sales_Per_Representative!$C$19</f>
        <v>711816</v>
      </c>
      <c r="L2272">
        <f>Sales_Per_Rep_Yearly_Goal!$B$3</f>
        <v>689907.8</v>
      </c>
      <c r="M2272">
        <f>Sales_Per_Rep_Yearly_Goal!$C$3</f>
        <v>690000</v>
      </c>
    </row>
    <row r="2273" spans="1:13" x14ac:dyDescent="0.3">
      <c r="A2273" s="3">
        <v>45528</v>
      </c>
      <c r="B2273">
        <f t="shared" si="35"/>
        <v>2024</v>
      </c>
      <c r="C2273">
        <v>8</v>
      </c>
      <c r="D2273" t="s">
        <v>23</v>
      </c>
      <c r="E2273" t="s">
        <v>22</v>
      </c>
      <c r="F2273" s="2">
        <v>11359</v>
      </c>
      <c r="G2273" s="2">
        <f>Monthly_Growth!$C$21</f>
        <v>877469</v>
      </c>
      <c r="H2273" s="5">
        <f>Monthly_Growth!$D$21</f>
        <v>0.12942147122158165</v>
      </c>
      <c r="I2273" s="15">
        <f>Yearly_Growth!$C$3</f>
        <v>0.11893113731787852</v>
      </c>
      <c r="J2273" s="15">
        <f>Yearly_Growth!$D$3</f>
        <v>0.09</v>
      </c>
      <c r="K2273">
        <f>Sales_Per_Representative!$C$23</f>
        <v>697444</v>
      </c>
      <c r="L2273">
        <f>Sales_Per_Rep_Yearly_Goal!$B$3</f>
        <v>689907.8</v>
      </c>
      <c r="M2273">
        <f>Sales_Per_Rep_Yearly_Goal!$C$3</f>
        <v>690000</v>
      </c>
    </row>
    <row r="2274" spans="1:13" x14ac:dyDescent="0.3">
      <c r="A2274" s="3">
        <v>45528</v>
      </c>
      <c r="B2274">
        <f t="shared" si="35"/>
        <v>2024</v>
      </c>
      <c r="C2274">
        <v>8</v>
      </c>
      <c r="D2274" t="s">
        <v>25</v>
      </c>
      <c r="E2274" t="s">
        <v>31</v>
      </c>
      <c r="F2274" s="2">
        <v>9999</v>
      </c>
      <c r="G2274" s="2">
        <f>Monthly_Growth!$C$21</f>
        <v>877469</v>
      </c>
      <c r="H2274" s="5">
        <f>Monthly_Growth!$D$21</f>
        <v>0.12942147122158165</v>
      </c>
      <c r="I2274" s="15">
        <f>Yearly_Growth!$C$3</f>
        <v>0.11893113731787852</v>
      </c>
      <c r="J2274" s="15">
        <f>Yearly_Growth!$D$3</f>
        <v>0.09</v>
      </c>
      <c r="K2274">
        <f>Sales_Per_Representative!$C$21</f>
        <v>679421</v>
      </c>
      <c r="L2274">
        <f>Sales_Per_Rep_Yearly_Goal!$B$3</f>
        <v>689907.8</v>
      </c>
      <c r="M2274">
        <f>Sales_Per_Rep_Yearly_Goal!$C$3</f>
        <v>690000</v>
      </c>
    </row>
    <row r="2275" spans="1:13" x14ac:dyDescent="0.3">
      <c r="A2275" s="3">
        <v>45528</v>
      </c>
      <c r="B2275">
        <f t="shared" si="35"/>
        <v>2024</v>
      </c>
      <c r="C2275">
        <v>8</v>
      </c>
      <c r="D2275" t="s">
        <v>7</v>
      </c>
      <c r="E2275" t="s">
        <v>32</v>
      </c>
      <c r="F2275" s="2">
        <v>10237</v>
      </c>
      <c r="G2275" s="2">
        <f>Monthly_Growth!$C$21</f>
        <v>877469</v>
      </c>
      <c r="H2275" s="5">
        <f>Monthly_Growth!$D$21</f>
        <v>0.12942147122158165</v>
      </c>
      <c r="I2275" s="15">
        <f>Yearly_Growth!$C$3</f>
        <v>0.11893113731787852</v>
      </c>
      <c r="J2275" s="15">
        <f>Yearly_Growth!$D$3</f>
        <v>0.09</v>
      </c>
      <c r="K2275">
        <f>Sales_Per_Representative!$C$18</f>
        <v>783907</v>
      </c>
      <c r="L2275">
        <f>Sales_Per_Rep_Yearly_Goal!$B$3</f>
        <v>689907.8</v>
      </c>
      <c r="M2275">
        <f>Sales_Per_Rep_Yearly_Goal!$C$3</f>
        <v>690000</v>
      </c>
    </row>
    <row r="2276" spans="1:13" x14ac:dyDescent="0.3">
      <c r="A2276" s="3">
        <v>45528</v>
      </c>
      <c r="B2276">
        <f t="shared" si="35"/>
        <v>2024</v>
      </c>
      <c r="C2276">
        <v>8</v>
      </c>
      <c r="D2276" t="s">
        <v>28</v>
      </c>
      <c r="E2276" t="s">
        <v>31</v>
      </c>
      <c r="F2276" s="2">
        <v>6255</v>
      </c>
      <c r="G2276" s="2">
        <f>Monthly_Growth!$C$21</f>
        <v>877469</v>
      </c>
      <c r="H2276" s="5">
        <f>Monthly_Growth!$D$21</f>
        <v>0.12942147122158165</v>
      </c>
      <c r="I2276" s="15">
        <f>Yearly_Growth!$C$3</f>
        <v>0.11893113731787852</v>
      </c>
      <c r="J2276" s="15">
        <f>Yearly_Growth!$D$3</f>
        <v>0.09</v>
      </c>
      <c r="K2276">
        <f>Sales_Per_Representative!$C$21</f>
        <v>679421</v>
      </c>
      <c r="L2276">
        <f>Sales_Per_Rep_Yearly_Goal!$B$3</f>
        <v>689907.8</v>
      </c>
      <c r="M2276">
        <f>Sales_Per_Rep_Yearly_Goal!$C$3</f>
        <v>690000</v>
      </c>
    </row>
    <row r="2277" spans="1:13" x14ac:dyDescent="0.3">
      <c r="A2277" s="3">
        <v>45528</v>
      </c>
      <c r="B2277">
        <f t="shared" si="35"/>
        <v>2024</v>
      </c>
      <c r="C2277">
        <v>8</v>
      </c>
      <c r="D2277" t="s">
        <v>28</v>
      </c>
      <c r="E2277" t="s">
        <v>26</v>
      </c>
      <c r="F2277" s="2">
        <v>6664</v>
      </c>
      <c r="G2277" s="2">
        <f>Monthly_Growth!$C$21</f>
        <v>877469</v>
      </c>
      <c r="H2277" s="5">
        <f>Monthly_Growth!$D$21</f>
        <v>0.12942147122158165</v>
      </c>
      <c r="I2277" s="15">
        <f>Yearly_Growth!$C$3</f>
        <v>0.11893113731787852</v>
      </c>
      <c r="J2277" s="15">
        <f>Yearly_Growth!$D$3</f>
        <v>0.09</v>
      </c>
      <c r="K2277">
        <f>Sales_Per_Representative!$C$31</f>
        <v>664244</v>
      </c>
      <c r="L2277">
        <f>Sales_Per_Rep_Yearly_Goal!$B$3</f>
        <v>689907.8</v>
      </c>
      <c r="M2277">
        <f>Sales_Per_Rep_Yearly_Goal!$C$3</f>
        <v>690000</v>
      </c>
    </row>
    <row r="2278" spans="1:13" x14ac:dyDescent="0.3">
      <c r="A2278" s="3">
        <v>45528</v>
      </c>
      <c r="B2278">
        <f t="shared" si="35"/>
        <v>2024</v>
      </c>
      <c r="C2278">
        <v>8</v>
      </c>
      <c r="D2278" t="s">
        <v>17</v>
      </c>
      <c r="E2278" t="s">
        <v>26</v>
      </c>
      <c r="F2278" s="2">
        <v>8541</v>
      </c>
      <c r="G2278" s="2">
        <f>Monthly_Growth!$C$21</f>
        <v>877469</v>
      </c>
      <c r="H2278" s="5">
        <f>Monthly_Growth!$D$21</f>
        <v>0.12942147122158165</v>
      </c>
      <c r="I2278" s="15">
        <f>Yearly_Growth!$C$3</f>
        <v>0.11893113731787852</v>
      </c>
      <c r="J2278" s="15">
        <f>Yearly_Growth!$D$3</f>
        <v>0.09</v>
      </c>
      <c r="K2278">
        <f>Sales_Per_Representative!$C$31</f>
        <v>664244</v>
      </c>
      <c r="L2278">
        <f>Sales_Per_Rep_Yearly_Goal!$B$3</f>
        <v>689907.8</v>
      </c>
      <c r="M2278">
        <f>Sales_Per_Rep_Yearly_Goal!$C$3</f>
        <v>690000</v>
      </c>
    </row>
    <row r="2279" spans="1:13" x14ac:dyDescent="0.3">
      <c r="A2279" s="3">
        <v>45529</v>
      </c>
      <c r="B2279">
        <f t="shared" si="35"/>
        <v>2024</v>
      </c>
      <c r="C2279">
        <v>8</v>
      </c>
      <c r="D2279" t="s">
        <v>14</v>
      </c>
      <c r="E2279" t="s">
        <v>27</v>
      </c>
      <c r="F2279" s="2">
        <v>4410</v>
      </c>
      <c r="G2279" s="2">
        <f>Monthly_Growth!$C$21</f>
        <v>877469</v>
      </c>
      <c r="H2279" s="5">
        <f>Monthly_Growth!$D$21</f>
        <v>0.12942147122158165</v>
      </c>
      <c r="I2279" s="15">
        <f>Yearly_Growth!$C$3</f>
        <v>0.11893113731787852</v>
      </c>
      <c r="J2279" s="15">
        <f>Yearly_Growth!$D$3</f>
        <v>0.09</v>
      </c>
      <c r="K2279">
        <f>Sales_Per_Representative!$C$20</f>
        <v>685380</v>
      </c>
      <c r="L2279">
        <f>Sales_Per_Rep_Yearly_Goal!$B$3</f>
        <v>689907.8</v>
      </c>
      <c r="M2279">
        <f>Sales_Per_Rep_Yearly_Goal!$C$3</f>
        <v>690000</v>
      </c>
    </row>
    <row r="2280" spans="1:13" x14ac:dyDescent="0.3">
      <c r="A2280" s="3">
        <v>45529</v>
      </c>
      <c r="B2280">
        <f t="shared" si="35"/>
        <v>2024</v>
      </c>
      <c r="C2280">
        <v>8</v>
      </c>
      <c r="D2280" t="s">
        <v>23</v>
      </c>
      <c r="E2280" t="s">
        <v>24</v>
      </c>
      <c r="F2280" s="2">
        <v>7357</v>
      </c>
      <c r="G2280" s="2">
        <f>Monthly_Growth!$C$21</f>
        <v>877469</v>
      </c>
      <c r="H2280" s="5">
        <f>Monthly_Growth!$D$21</f>
        <v>0.12942147122158165</v>
      </c>
      <c r="I2280" s="15">
        <f>Yearly_Growth!$C$3</f>
        <v>0.11893113731787852</v>
      </c>
      <c r="J2280" s="15">
        <f>Yearly_Growth!$D$3</f>
        <v>0.09</v>
      </c>
      <c r="K2280">
        <f>Sales_Per_Representative!$C$17</f>
        <v>633956</v>
      </c>
      <c r="L2280">
        <f>Sales_Per_Rep_Yearly_Goal!$B$3</f>
        <v>689907.8</v>
      </c>
      <c r="M2280">
        <f>Sales_Per_Rep_Yearly_Goal!$C$3</f>
        <v>690000</v>
      </c>
    </row>
    <row r="2281" spans="1:13" x14ac:dyDescent="0.3">
      <c r="A2281" s="3">
        <v>45529</v>
      </c>
      <c r="B2281">
        <f t="shared" si="35"/>
        <v>2024</v>
      </c>
      <c r="C2281">
        <v>8</v>
      </c>
      <c r="D2281" t="s">
        <v>25</v>
      </c>
      <c r="E2281" t="s">
        <v>15</v>
      </c>
      <c r="F2281" s="2">
        <v>11397</v>
      </c>
      <c r="G2281" s="2">
        <f>Monthly_Growth!$C$21</f>
        <v>877469</v>
      </c>
      <c r="H2281" s="5">
        <f>Monthly_Growth!$D$21</f>
        <v>0.12942147122158165</v>
      </c>
      <c r="I2281" s="15">
        <f>Yearly_Growth!$C$3</f>
        <v>0.11893113731787852</v>
      </c>
      <c r="J2281" s="15">
        <f>Yearly_Growth!$D$3</f>
        <v>0.09</v>
      </c>
      <c r="K2281">
        <f>Sales_Per_Representative!$C$27</f>
        <v>617202</v>
      </c>
      <c r="L2281">
        <f>Sales_Per_Rep_Yearly_Goal!$B$3</f>
        <v>689907.8</v>
      </c>
      <c r="M2281">
        <f>Sales_Per_Rep_Yearly_Goal!$C$3</f>
        <v>690000</v>
      </c>
    </row>
    <row r="2282" spans="1:13" x14ac:dyDescent="0.3">
      <c r="A2282" s="3">
        <v>45529</v>
      </c>
      <c r="B2282">
        <f t="shared" si="35"/>
        <v>2024</v>
      </c>
      <c r="C2282">
        <v>8</v>
      </c>
      <c r="D2282" t="s">
        <v>7</v>
      </c>
      <c r="E2282" t="s">
        <v>27</v>
      </c>
      <c r="F2282" s="2">
        <v>13415</v>
      </c>
      <c r="G2282" s="2">
        <f>Monthly_Growth!$C$21</f>
        <v>877469</v>
      </c>
      <c r="H2282" s="5">
        <f>Monthly_Growth!$D$21</f>
        <v>0.12942147122158165</v>
      </c>
      <c r="I2282" s="15">
        <f>Yearly_Growth!$C$3</f>
        <v>0.11893113731787852</v>
      </c>
      <c r="J2282" s="15">
        <f>Yearly_Growth!$D$3</f>
        <v>0.09</v>
      </c>
      <c r="K2282">
        <f>Sales_Per_Representative!$C$20</f>
        <v>685380</v>
      </c>
      <c r="L2282">
        <f>Sales_Per_Rep_Yearly_Goal!$B$3</f>
        <v>689907.8</v>
      </c>
      <c r="M2282">
        <f>Sales_Per_Rep_Yearly_Goal!$C$3</f>
        <v>690000</v>
      </c>
    </row>
    <row r="2283" spans="1:13" x14ac:dyDescent="0.3">
      <c r="A2283" s="3">
        <v>45529</v>
      </c>
      <c r="B2283">
        <f t="shared" si="35"/>
        <v>2024</v>
      </c>
      <c r="C2283">
        <v>8</v>
      </c>
      <c r="D2283" t="s">
        <v>28</v>
      </c>
      <c r="E2283" t="s">
        <v>30</v>
      </c>
      <c r="F2283" s="2">
        <v>13782</v>
      </c>
      <c r="G2283" s="2">
        <f>Monthly_Growth!$C$21</f>
        <v>877469</v>
      </c>
      <c r="H2283" s="5">
        <f>Monthly_Growth!$D$21</f>
        <v>0.12942147122158165</v>
      </c>
      <c r="I2283" s="15">
        <f>Yearly_Growth!$C$3</f>
        <v>0.11893113731787852</v>
      </c>
      <c r="J2283" s="15">
        <f>Yearly_Growth!$D$3</f>
        <v>0.09</v>
      </c>
      <c r="K2283">
        <f>Sales_Per_Representative!$C$22</f>
        <v>700142</v>
      </c>
      <c r="L2283">
        <f>Sales_Per_Rep_Yearly_Goal!$B$3</f>
        <v>689907.8</v>
      </c>
      <c r="M2283">
        <f>Sales_Per_Rep_Yearly_Goal!$C$3</f>
        <v>690000</v>
      </c>
    </row>
    <row r="2284" spans="1:13" x14ac:dyDescent="0.3">
      <c r="A2284" s="3">
        <v>45529</v>
      </c>
      <c r="B2284">
        <f t="shared" si="35"/>
        <v>2024</v>
      </c>
      <c r="C2284">
        <v>8</v>
      </c>
      <c r="D2284" t="s">
        <v>17</v>
      </c>
      <c r="E2284" t="s">
        <v>22</v>
      </c>
      <c r="F2284" s="2">
        <v>3701</v>
      </c>
      <c r="G2284" s="2">
        <f>Monthly_Growth!$C$21</f>
        <v>877469</v>
      </c>
      <c r="H2284" s="5">
        <f>Monthly_Growth!$D$21</f>
        <v>0.12942147122158165</v>
      </c>
      <c r="I2284" s="15">
        <f>Yearly_Growth!$C$3</f>
        <v>0.11893113731787852</v>
      </c>
      <c r="J2284" s="15">
        <f>Yearly_Growth!$D$3</f>
        <v>0.09</v>
      </c>
      <c r="K2284">
        <f>Sales_Per_Representative!$C$23</f>
        <v>697444</v>
      </c>
      <c r="L2284">
        <f>Sales_Per_Rep_Yearly_Goal!$B$3</f>
        <v>689907.8</v>
      </c>
      <c r="M2284">
        <f>Sales_Per_Rep_Yearly_Goal!$C$3</f>
        <v>690000</v>
      </c>
    </row>
    <row r="2285" spans="1:13" x14ac:dyDescent="0.3">
      <c r="A2285" s="3">
        <v>45529</v>
      </c>
      <c r="B2285">
        <f t="shared" si="35"/>
        <v>2024</v>
      </c>
      <c r="C2285">
        <v>8</v>
      </c>
      <c r="D2285" t="s">
        <v>12</v>
      </c>
      <c r="E2285" t="s">
        <v>18</v>
      </c>
      <c r="F2285" s="2">
        <v>5454</v>
      </c>
      <c r="G2285" s="2">
        <f>Monthly_Growth!$C$21</f>
        <v>877469</v>
      </c>
      <c r="H2285" s="5">
        <f>Monthly_Growth!$D$21</f>
        <v>0.12942147122158165</v>
      </c>
      <c r="I2285" s="15">
        <f>Yearly_Growth!$C$3</f>
        <v>0.11893113731787852</v>
      </c>
      <c r="J2285" s="15">
        <f>Yearly_Growth!$D$3</f>
        <v>0.09</v>
      </c>
      <c r="K2285">
        <f>Sales_Per_Representative!$C$24</f>
        <v>699277</v>
      </c>
      <c r="L2285">
        <f>Sales_Per_Rep_Yearly_Goal!$B$3</f>
        <v>689907.8</v>
      </c>
      <c r="M2285">
        <f>Sales_Per_Rep_Yearly_Goal!$C$3</f>
        <v>690000</v>
      </c>
    </row>
    <row r="2286" spans="1:13" x14ac:dyDescent="0.3">
      <c r="A2286" s="3">
        <v>45530</v>
      </c>
      <c r="B2286">
        <f t="shared" si="35"/>
        <v>2024</v>
      </c>
      <c r="C2286">
        <v>8</v>
      </c>
      <c r="D2286" t="s">
        <v>12</v>
      </c>
      <c r="E2286" t="s">
        <v>31</v>
      </c>
      <c r="F2286" s="2">
        <v>4732</v>
      </c>
      <c r="G2286" s="2">
        <f>Monthly_Growth!$C$21</f>
        <v>877469</v>
      </c>
      <c r="H2286" s="5">
        <f>Monthly_Growth!$D$21</f>
        <v>0.12942147122158165</v>
      </c>
      <c r="I2286" s="15">
        <f>Yearly_Growth!$C$3</f>
        <v>0.11893113731787852</v>
      </c>
      <c r="J2286" s="15">
        <f>Yearly_Growth!$D$3</f>
        <v>0.09</v>
      </c>
      <c r="K2286">
        <f>Sales_Per_Representative!$C$21</f>
        <v>679421</v>
      </c>
      <c r="L2286">
        <f>Sales_Per_Rep_Yearly_Goal!$B$3</f>
        <v>689907.8</v>
      </c>
      <c r="M2286">
        <f>Sales_Per_Rep_Yearly_Goal!$C$3</f>
        <v>690000</v>
      </c>
    </row>
    <row r="2287" spans="1:13" x14ac:dyDescent="0.3">
      <c r="A2287" s="3">
        <v>45530</v>
      </c>
      <c r="B2287">
        <f t="shared" si="35"/>
        <v>2024</v>
      </c>
      <c r="C2287">
        <v>8</v>
      </c>
      <c r="D2287" t="s">
        <v>12</v>
      </c>
      <c r="E2287" t="s">
        <v>33</v>
      </c>
      <c r="F2287" s="2">
        <v>2895</v>
      </c>
      <c r="G2287" s="2">
        <f>Monthly_Growth!$C$21</f>
        <v>877469</v>
      </c>
      <c r="H2287" s="5">
        <f>Monthly_Growth!$D$21</f>
        <v>0.12942147122158165</v>
      </c>
      <c r="I2287" s="15">
        <f>Yearly_Growth!$C$3</f>
        <v>0.11893113731787852</v>
      </c>
      <c r="J2287" s="15">
        <f>Yearly_Growth!$D$3</f>
        <v>0.09</v>
      </c>
      <c r="K2287">
        <f>Sales_Per_Representative!$C$26</f>
        <v>501360</v>
      </c>
      <c r="L2287">
        <f>Sales_Per_Rep_Yearly_Goal!$B$3</f>
        <v>689907.8</v>
      </c>
      <c r="M2287">
        <f>Sales_Per_Rep_Yearly_Goal!$C$3</f>
        <v>690000</v>
      </c>
    </row>
    <row r="2288" spans="1:13" x14ac:dyDescent="0.3">
      <c r="A2288" s="3">
        <v>45531</v>
      </c>
      <c r="B2288">
        <f t="shared" si="35"/>
        <v>2024</v>
      </c>
      <c r="C2288">
        <v>8</v>
      </c>
      <c r="D2288" t="s">
        <v>17</v>
      </c>
      <c r="E2288" t="s">
        <v>15</v>
      </c>
      <c r="F2288" s="2">
        <v>8244</v>
      </c>
      <c r="G2288" s="2">
        <f>Monthly_Growth!$C$21</f>
        <v>877469</v>
      </c>
      <c r="H2288" s="5">
        <f>Monthly_Growth!$D$21</f>
        <v>0.12942147122158165</v>
      </c>
      <c r="I2288" s="15">
        <f>Yearly_Growth!$C$3</f>
        <v>0.11893113731787852</v>
      </c>
      <c r="J2288" s="15">
        <f>Yearly_Growth!$D$3</f>
        <v>0.09</v>
      </c>
      <c r="K2288">
        <f>Sales_Per_Representative!$C$27</f>
        <v>617202</v>
      </c>
      <c r="L2288">
        <f>Sales_Per_Rep_Yearly_Goal!$B$3</f>
        <v>689907.8</v>
      </c>
      <c r="M2288">
        <f>Sales_Per_Rep_Yearly_Goal!$C$3</f>
        <v>690000</v>
      </c>
    </row>
    <row r="2289" spans="1:13" x14ac:dyDescent="0.3">
      <c r="A2289" s="3">
        <v>45532</v>
      </c>
      <c r="B2289">
        <f t="shared" si="35"/>
        <v>2024</v>
      </c>
      <c r="C2289">
        <v>8</v>
      </c>
      <c r="D2289" t="s">
        <v>19</v>
      </c>
      <c r="E2289" t="s">
        <v>10</v>
      </c>
      <c r="F2289" s="2">
        <v>11560</v>
      </c>
      <c r="G2289" s="2">
        <f>Monthly_Growth!$C$21</f>
        <v>877469</v>
      </c>
      <c r="H2289" s="5">
        <f>Monthly_Growth!$D$21</f>
        <v>0.12942147122158165</v>
      </c>
      <c r="I2289" s="15">
        <f>Yearly_Growth!$C$3</f>
        <v>0.11893113731787852</v>
      </c>
      <c r="J2289" s="15">
        <f>Yearly_Growth!$D$3</f>
        <v>0.09</v>
      </c>
      <c r="K2289">
        <f>Sales_Per_Representative!$C$19</f>
        <v>711816</v>
      </c>
      <c r="L2289">
        <f>Sales_Per_Rep_Yearly_Goal!$B$3</f>
        <v>689907.8</v>
      </c>
      <c r="M2289">
        <f>Sales_Per_Rep_Yearly_Goal!$C$3</f>
        <v>690000</v>
      </c>
    </row>
    <row r="2290" spans="1:13" x14ac:dyDescent="0.3">
      <c r="A2290" s="3">
        <v>45532</v>
      </c>
      <c r="B2290">
        <f t="shared" si="35"/>
        <v>2024</v>
      </c>
      <c r="C2290">
        <v>8</v>
      </c>
      <c r="D2290" t="s">
        <v>7</v>
      </c>
      <c r="E2290" t="s">
        <v>8</v>
      </c>
      <c r="F2290" s="2">
        <v>1809</v>
      </c>
      <c r="G2290" s="2">
        <f>Monthly_Growth!$C$21</f>
        <v>877469</v>
      </c>
      <c r="H2290" s="5">
        <f>Monthly_Growth!$D$21</f>
        <v>0.12942147122158165</v>
      </c>
      <c r="I2290" s="15">
        <f>Yearly_Growth!$C$3</f>
        <v>0.11893113731787852</v>
      </c>
      <c r="J2290" s="15">
        <f>Yearly_Growth!$D$3</f>
        <v>0.09</v>
      </c>
      <c r="K2290">
        <f>Sales_Per_Representative!$C$30</f>
        <v>780006</v>
      </c>
      <c r="L2290">
        <f>Sales_Per_Rep_Yearly_Goal!$B$3</f>
        <v>689907.8</v>
      </c>
      <c r="M2290">
        <f>Sales_Per_Rep_Yearly_Goal!$C$3</f>
        <v>690000</v>
      </c>
    </row>
    <row r="2291" spans="1:13" x14ac:dyDescent="0.3">
      <c r="A2291" s="3">
        <v>45532</v>
      </c>
      <c r="B2291">
        <f t="shared" si="35"/>
        <v>2024</v>
      </c>
      <c r="C2291">
        <v>8</v>
      </c>
      <c r="D2291" t="s">
        <v>17</v>
      </c>
      <c r="E2291" t="s">
        <v>5</v>
      </c>
      <c r="F2291" s="2">
        <v>13886</v>
      </c>
      <c r="G2291" s="2">
        <f>Monthly_Growth!$C$21</f>
        <v>877469</v>
      </c>
      <c r="H2291" s="5">
        <f>Monthly_Growth!$D$21</f>
        <v>0.12942147122158165</v>
      </c>
      <c r="I2291" s="15">
        <f>Yearly_Growth!$C$3</f>
        <v>0.11893113731787852</v>
      </c>
      <c r="J2291" s="15">
        <f>Yearly_Growth!$D$3</f>
        <v>0.09</v>
      </c>
      <c r="K2291">
        <f>Sales_Per_Representative!$C$25</f>
        <v>749460</v>
      </c>
      <c r="L2291">
        <f>Sales_Per_Rep_Yearly_Goal!$B$3</f>
        <v>689907.8</v>
      </c>
      <c r="M2291">
        <f>Sales_Per_Rep_Yearly_Goal!$C$3</f>
        <v>690000</v>
      </c>
    </row>
    <row r="2292" spans="1:13" x14ac:dyDescent="0.3">
      <c r="A2292" s="3">
        <v>45532</v>
      </c>
      <c r="B2292">
        <f t="shared" si="35"/>
        <v>2024</v>
      </c>
      <c r="C2292">
        <v>8</v>
      </c>
      <c r="D2292" t="s">
        <v>17</v>
      </c>
      <c r="E2292" t="s">
        <v>27</v>
      </c>
      <c r="F2292" s="2">
        <v>11077</v>
      </c>
      <c r="G2292" s="2">
        <f>Monthly_Growth!$C$21</f>
        <v>877469</v>
      </c>
      <c r="H2292" s="5">
        <f>Monthly_Growth!$D$21</f>
        <v>0.12942147122158165</v>
      </c>
      <c r="I2292" s="15">
        <f>Yearly_Growth!$C$3</f>
        <v>0.11893113731787852</v>
      </c>
      <c r="J2292" s="15">
        <f>Yearly_Growth!$D$3</f>
        <v>0.09</v>
      </c>
      <c r="K2292">
        <f>Sales_Per_Representative!$C$20</f>
        <v>685380</v>
      </c>
      <c r="L2292">
        <f>Sales_Per_Rep_Yearly_Goal!$B$3</f>
        <v>689907.8</v>
      </c>
      <c r="M2292">
        <f>Sales_Per_Rep_Yearly_Goal!$C$3</f>
        <v>690000</v>
      </c>
    </row>
    <row r="2293" spans="1:13" x14ac:dyDescent="0.3">
      <c r="A2293" s="3">
        <v>45532</v>
      </c>
      <c r="B2293">
        <f t="shared" si="35"/>
        <v>2024</v>
      </c>
      <c r="C2293">
        <v>8</v>
      </c>
      <c r="D2293" t="s">
        <v>12</v>
      </c>
      <c r="E2293" t="s">
        <v>31</v>
      </c>
      <c r="F2293" s="2">
        <v>3322</v>
      </c>
      <c r="G2293" s="2">
        <f>Monthly_Growth!$C$21</f>
        <v>877469</v>
      </c>
      <c r="H2293" s="5">
        <f>Monthly_Growth!$D$21</f>
        <v>0.12942147122158165</v>
      </c>
      <c r="I2293" s="15">
        <f>Yearly_Growth!$C$3</f>
        <v>0.11893113731787852</v>
      </c>
      <c r="J2293" s="15">
        <f>Yearly_Growth!$D$3</f>
        <v>0.09</v>
      </c>
      <c r="K2293">
        <f>Sales_Per_Representative!$C$21</f>
        <v>679421</v>
      </c>
      <c r="L2293">
        <f>Sales_Per_Rep_Yearly_Goal!$B$3</f>
        <v>689907.8</v>
      </c>
      <c r="M2293">
        <f>Sales_Per_Rep_Yearly_Goal!$C$3</f>
        <v>690000</v>
      </c>
    </row>
    <row r="2294" spans="1:13" x14ac:dyDescent="0.3">
      <c r="A2294" s="3">
        <v>45532</v>
      </c>
      <c r="B2294">
        <f t="shared" si="35"/>
        <v>2024</v>
      </c>
      <c r="C2294">
        <v>8</v>
      </c>
      <c r="D2294" t="s">
        <v>12</v>
      </c>
      <c r="E2294" t="s">
        <v>31</v>
      </c>
      <c r="F2294" s="2">
        <v>12371</v>
      </c>
      <c r="G2294" s="2">
        <f>Monthly_Growth!$C$21</f>
        <v>877469</v>
      </c>
      <c r="H2294" s="5">
        <f>Monthly_Growth!$D$21</f>
        <v>0.12942147122158165</v>
      </c>
      <c r="I2294" s="15">
        <f>Yearly_Growth!$C$3</f>
        <v>0.11893113731787852</v>
      </c>
      <c r="J2294" s="15">
        <f>Yearly_Growth!$D$3</f>
        <v>0.09</v>
      </c>
      <c r="K2294">
        <f>Sales_Per_Representative!$C$21</f>
        <v>679421</v>
      </c>
      <c r="L2294">
        <f>Sales_Per_Rep_Yearly_Goal!$B$3</f>
        <v>689907.8</v>
      </c>
      <c r="M2294">
        <f>Sales_Per_Rep_Yearly_Goal!$C$3</f>
        <v>690000</v>
      </c>
    </row>
    <row r="2295" spans="1:13" x14ac:dyDescent="0.3">
      <c r="A2295" s="3">
        <v>45533</v>
      </c>
      <c r="B2295">
        <f t="shared" si="35"/>
        <v>2024</v>
      </c>
      <c r="C2295">
        <v>8</v>
      </c>
      <c r="D2295" t="s">
        <v>7</v>
      </c>
      <c r="E2295" t="s">
        <v>27</v>
      </c>
      <c r="F2295" s="2">
        <v>3030</v>
      </c>
      <c r="G2295" s="2">
        <f>Monthly_Growth!$C$21</f>
        <v>877469</v>
      </c>
      <c r="H2295" s="5">
        <f>Monthly_Growth!$D$21</f>
        <v>0.12942147122158165</v>
      </c>
      <c r="I2295" s="15">
        <f>Yearly_Growth!$C$3</f>
        <v>0.11893113731787852</v>
      </c>
      <c r="J2295" s="15">
        <f>Yearly_Growth!$D$3</f>
        <v>0.09</v>
      </c>
      <c r="K2295">
        <f>Sales_Per_Representative!$C$20</f>
        <v>685380</v>
      </c>
      <c r="L2295">
        <f>Sales_Per_Rep_Yearly_Goal!$B$3</f>
        <v>689907.8</v>
      </c>
      <c r="M2295">
        <f>Sales_Per_Rep_Yearly_Goal!$C$3</f>
        <v>690000</v>
      </c>
    </row>
    <row r="2296" spans="1:13" x14ac:dyDescent="0.3">
      <c r="A2296" s="3">
        <v>45533</v>
      </c>
      <c r="B2296">
        <f t="shared" si="35"/>
        <v>2024</v>
      </c>
      <c r="C2296">
        <v>8</v>
      </c>
      <c r="D2296" t="s">
        <v>7</v>
      </c>
      <c r="E2296" t="s">
        <v>15</v>
      </c>
      <c r="F2296" s="2">
        <v>1999</v>
      </c>
      <c r="G2296" s="2">
        <f>Monthly_Growth!$C$21</f>
        <v>877469</v>
      </c>
      <c r="H2296" s="5">
        <f>Monthly_Growth!$D$21</f>
        <v>0.12942147122158165</v>
      </c>
      <c r="I2296" s="15">
        <f>Yearly_Growth!$C$3</f>
        <v>0.11893113731787852</v>
      </c>
      <c r="J2296" s="15">
        <f>Yearly_Growth!$D$3</f>
        <v>0.09</v>
      </c>
      <c r="K2296">
        <f>Sales_Per_Representative!$C$27</f>
        <v>617202</v>
      </c>
      <c r="L2296">
        <f>Sales_Per_Rep_Yearly_Goal!$B$3</f>
        <v>689907.8</v>
      </c>
      <c r="M2296">
        <f>Sales_Per_Rep_Yearly_Goal!$C$3</f>
        <v>690000</v>
      </c>
    </row>
    <row r="2297" spans="1:13" x14ac:dyDescent="0.3">
      <c r="A2297" s="3">
        <v>45533</v>
      </c>
      <c r="B2297">
        <f t="shared" si="35"/>
        <v>2024</v>
      </c>
      <c r="C2297">
        <v>8</v>
      </c>
      <c r="D2297" t="s">
        <v>28</v>
      </c>
      <c r="E2297" t="s">
        <v>32</v>
      </c>
      <c r="F2297" s="2">
        <v>8216</v>
      </c>
      <c r="G2297" s="2">
        <f>Monthly_Growth!$C$21</f>
        <v>877469</v>
      </c>
      <c r="H2297" s="5">
        <f>Monthly_Growth!$D$21</f>
        <v>0.12942147122158165</v>
      </c>
      <c r="I2297" s="15">
        <f>Yearly_Growth!$C$3</f>
        <v>0.11893113731787852</v>
      </c>
      <c r="J2297" s="15">
        <f>Yearly_Growth!$D$3</f>
        <v>0.09</v>
      </c>
      <c r="K2297">
        <f>Sales_Per_Representative!$C$18</f>
        <v>783907</v>
      </c>
      <c r="L2297">
        <f>Sales_Per_Rep_Yearly_Goal!$B$3</f>
        <v>689907.8</v>
      </c>
      <c r="M2297">
        <f>Sales_Per_Rep_Yearly_Goal!$C$3</f>
        <v>690000</v>
      </c>
    </row>
    <row r="2298" spans="1:13" x14ac:dyDescent="0.3">
      <c r="A2298" s="3">
        <v>45533</v>
      </c>
      <c r="B2298">
        <f t="shared" si="35"/>
        <v>2024</v>
      </c>
      <c r="C2298">
        <v>8</v>
      </c>
      <c r="D2298" t="s">
        <v>17</v>
      </c>
      <c r="E2298" t="s">
        <v>5</v>
      </c>
      <c r="F2298" s="2">
        <v>6045</v>
      </c>
      <c r="G2298" s="2">
        <f>Monthly_Growth!$C$21</f>
        <v>877469</v>
      </c>
      <c r="H2298" s="5">
        <f>Monthly_Growth!$D$21</f>
        <v>0.12942147122158165</v>
      </c>
      <c r="I2298" s="15">
        <f>Yearly_Growth!$C$3</f>
        <v>0.11893113731787852</v>
      </c>
      <c r="J2298" s="15">
        <f>Yearly_Growth!$D$3</f>
        <v>0.09</v>
      </c>
      <c r="K2298">
        <f>Sales_Per_Representative!$C$25</f>
        <v>749460</v>
      </c>
      <c r="L2298">
        <f>Sales_Per_Rep_Yearly_Goal!$B$3</f>
        <v>689907.8</v>
      </c>
      <c r="M2298">
        <f>Sales_Per_Rep_Yearly_Goal!$C$3</f>
        <v>690000</v>
      </c>
    </row>
    <row r="2299" spans="1:13" x14ac:dyDescent="0.3">
      <c r="A2299" s="3">
        <v>45534</v>
      </c>
      <c r="B2299">
        <f t="shared" si="35"/>
        <v>2024</v>
      </c>
      <c r="C2299">
        <v>8</v>
      </c>
      <c r="D2299" t="s">
        <v>25</v>
      </c>
      <c r="E2299" t="s">
        <v>18</v>
      </c>
      <c r="F2299" s="2">
        <v>1974</v>
      </c>
      <c r="G2299" s="2">
        <f>Monthly_Growth!$C$21</f>
        <v>877469</v>
      </c>
      <c r="H2299" s="5">
        <f>Monthly_Growth!$D$21</f>
        <v>0.12942147122158165</v>
      </c>
      <c r="I2299" s="15">
        <f>Yearly_Growth!$C$3</f>
        <v>0.11893113731787852</v>
      </c>
      <c r="J2299" s="15">
        <f>Yearly_Growth!$D$3</f>
        <v>0.09</v>
      </c>
      <c r="K2299">
        <f>Sales_Per_Representative!$C$24</f>
        <v>699277</v>
      </c>
      <c r="L2299">
        <f>Sales_Per_Rep_Yearly_Goal!$B$3</f>
        <v>689907.8</v>
      </c>
      <c r="M2299">
        <f>Sales_Per_Rep_Yearly_Goal!$C$3</f>
        <v>690000</v>
      </c>
    </row>
    <row r="2300" spans="1:13" x14ac:dyDescent="0.3">
      <c r="A2300" s="3">
        <v>45535</v>
      </c>
      <c r="B2300">
        <f t="shared" si="35"/>
        <v>2024</v>
      </c>
      <c r="C2300">
        <v>8</v>
      </c>
      <c r="D2300" t="s">
        <v>28</v>
      </c>
      <c r="E2300" t="s">
        <v>5</v>
      </c>
      <c r="F2300" s="2">
        <v>6362</v>
      </c>
      <c r="G2300" s="2">
        <f>Monthly_Growth!$C$21</f>
        <v>877469</v>
      </c>
      <c r="H2300" s="5">
        <f>Monthly_Growth!$D$21</f>
        <v>0.12942147122158165</v>
      </c>
      <c r="I2300" s="15">
        <f>Yearly_Growth!$C$3</f>
        <v>0.11893113731787852</v>
      </c>
      <c r="J2300" s="15">
        <f>Yearly_Growth!$D$3</f>
        <v>0.09</v>
      </c>
      <c r="K2300">
        <f>Sales_Per_Representative!$C$25</f>
        <v>749460</v>
      </c>
      <c r="L2300">
        <f>Sales_Per_Rep_Yearly_Goal!$B$3</f>
        <v>689907.8</v>
      </c>
      <c r="M2300">
        <f>Sales_Per_Rep_Yearly_Goal!$C$3</f>
        <v>690000</v>
      </c>
    </row>
    <row r="2301" spans="1:13" x14ac:dyDescent="0.3">
      <c r="A2301" s="3">
        <v>45535</v>
      </c>
      <c r="B2301">
        <f t="shared" si="35"/>
        <v>2024</v>
      </c>
      <c r="C2301">
        <v>8</v>
      </c>
      <c r="D2301" t="s">
        <v>12</v>
      </c>
      <c r="E2301" t="s">
        <v>18</v>
      </c>
      <c r="F2301" s="2">
        <v>7275</v>
      </c>
      <c r="G2301" s="2">
        <f>Monthly_Growth!$C$21</f>
        <v>877469</v>
      </c>
      <c r="H2301" s="5">
        <f>Monthly_Growth!$D$21</f>
        <v>0.12942147122158165</v>
      </c>
      <c r="I2301" s="15">
        <f>Yearly_Growth!$C$3</f>
        <v>0.11893113731787852</v>
      </c>
      <c r="J2301" s="15">
        <f>Yearly_Growth!$D$3</f>
        <v>0.09</v>
      </c>
      <c r="K2301">
        <f>Sales_Per_Representative!$C$24</f>
        <v>699277</v>
      </c>
      <c r="L2301">
        <f>Sales_Per_Rep_Yearly_Goal!$B$3</f>
        <v>689907.8</v>
      </c>
      <c r="M2301">
        <f>Sales_Per_Rep_Yearly_Goal!$C$3</f>
        <v>690000</v>
      </c>
    </row>
    <row r="2302" spans="1:13" x14ac:dyDescent="0.3">
      <c r="A2302" s="3">
        <v>45536</v>
      </c>
      <c r="B2302">
        <f t="shared" si="35"/>
        <v>2024</v>
      </c>
      <c r="C2302">
        <v>9</v>
      </c>
      <c r="D2302" t="s">
        <v>14</v>
      </c>
      <c r="E2302" t="s">
        <v>27</v>
      </c>
      <c r="F2302" s="2">
        <v>2725</v>
      </c>
      <c r="G2302" s="2">
        <f>Monthly_Growth!$C$22</f>
        <v>837994</v>
      </c>
      <c r="H2302" s="5">
        <f>Monthly_Growth!$D$22</f>
        <v>-4.4987344282248147E-2</v>
      </c>
      <c r="I2302" s="15">
        <f>Yearly_Growth!$C$3</f>
        <v>0.11893113731787852</v>
      </c>
      <c r="J2302" s="15">
        <f>Yearly_Growth!$D$3</f>
        <v>0.09</v>
      </c>
      <c r="K2302">
        <f>Sales_Per_Representative!$C$20</f>
        <v>685380</v>
      </c>
      <c r="L2302">
        <f>Sales_Per_Rep_Yearly_Goal!$B$3</f>
        <v>689907.8</v>
      </c>
      <c r="M2302">
        <f>Sales_Per_Rep_Yearly_Goal!$C$3</f>
        <v>690000</v>
      </c>
    </row>
    <row r="2303" spans="1:13" x14ac:dyDescent="0.3">
      <c r="A2303" s="3">
        <v>45536</v>
      </c>
      <c r="B2303">
        <f t="shared" si="35"/>
        <v>2024</v>
      </c>
      <c r="C2303">
        <v>9</v>
      </c>
      <c r="D2303" t="s">
        <v>14</v>
      </c>
      <c r="E2303" t="s">
        <v>29</v>
      </c>
      <c r="F2303" s="2">
        <v>7817</v>
      </c>
      <c r="G2303" s="2">
        <f>Monthly_Growth!$C$22</f>
        <v>837994</v>
      </c>
      <c r="H2303" s="5">
        <f>Monthly_Growth!$D$22</f>
        <v>-4.4987344282248147E-2</v>
      </c>
      <c r="I2303" s="15">
        <f>Yearly_Growth!$C$3</f>
        <v>0.11893113731787852</v>
      </c>
      <c r="J2303" s="15">
        <f>Yearly_Growth!$D$3</f>
        <v>0.09</v>
      </c>
      <c r="K2303">
        <f>Sales_Per_Representative!$C$28</f>
        <v>691917</v>
      </c>
      <c r="L2303">
        <f>Sales_Per_Rep_Yearly_Goal!$B$3</f>
        <v>689907.8</v>
      </c>
      <c r="M2303">
        <f>Sales_Per_Rep_Yearly_Goal!$C$3</f>
        <v>690000</v>
      </c>
    </row>
    <row r="2304" spans="1:13" x14ac:dyDescent="0.3">
      <c r="A2304" s="3">
        <v>45536</v>
      </c>
      <c r="B2304">
        <f t="shared" si="35"/>
        <v>2024</v>
      </c>
      <c r="C2304">
        <v>9</v>
      </c>
      <c r="D2304" t="s">
        <v>19</v>
      </c>
      <c r="E2304" t="s">
        <v>8</v>
      </c>
      <c r="F2304" s="2">
        <v>10749</v>
      </c>
      <c r="G2304" s="2">
        <f>Monthly_Growth!$C$22</f>
        <v>837994</v>
      </c>
      <c r="H2304" s="5">
        <f>Monthly_Growth!$D$22</f>
        <v>-4.4987344282248147E-2</v>
      </c>
      <c r="I2304" s="15">
        <f>Yearly_Growth!$C$3</f>
        <v>0.11893113731787852</v>
      </c>
      <c r="J2304" s="15">
        <f>Yearly_Growth!$D$3</f>
        <v>0.09</v>
      </c>
      <c r="K2304">
        <f>Sales_Per_Representative!$C$30</f>
        <v>780006</v>
      </c>
      <c r="L2304">
        <f>Sales_Per_Rep_Yearly_Goal!$B$3</f>
        <v>689907.8</v>
      </c>
      <c r="M2304">
        <f>Sales_Per_Rep_Yearly_Goal!$C$3</f>
        <v>690000</v>
      </c>
    </row>
    <row r="2305" spans="1:13" x14ac:dyDescent="0.3">
      <c r="A2305" s="3">
        <v>45536</v>
      </c>
      <c r="B2305">
        <f t="shared" si="35"/>
        <v>2024</v>
      </c>
      <c r="C2305">
        <v>9</v>
      </c>
      <c r="D2305" t="s">
        <v>25</v>
      </c>
      <c r="E2305" t="s">
        <v>26</v>
      </c>
      <c r="F2305" s="2">
        <v>3218</v>
      </c>
      <c r="G2305" s="2">
        <f>Monthly_Growth!$C$22</f>
        <v>837994</v>
      </c>
      <c r="H2305" s="5">
        <f>Monthly_Growth!$D$22</f>
        <v>-4.4987344282248147E-2</v>
      </c>
      <c r="I2305" s="15">
        <f>Yearly_Growth!$C$3</f>
        <v>0.11893113731787852</v>
      </c>
      <c r="J2305" s="15">
        <f>Yearly_Growth!$D$3</f>
        <v>0.09</v>
      </c>
      <c r="K2305">
        <f>Sales_Per_Representative!$C$31</f>
        <v>664244</v>
      </c>
      <c r="L2305">
        <f>Sales_Per_Rep_Yearly_Goal!$B$3</f>
        <v>689907.8</v>
      </c>
      <c r="M2305">
        <f>Sales_Per_Rep_Yearly_Goal!$C$3</f>
        <v>690000</v>
      </c>
    </row>
    <row r="2306" spans="1:13" x14ac:dyDescent="0.3">
      <c r="A2306" s="3">
        <v>45536</v>
      </c>
      <c r="B2306">
        <f t="shared" si="35"/>
        <v>2024</v>
      </c>
      <c r="C2306">
        <v>9</v>
      </c>
      <c r="D2306" t="s">
        <v>12</v>
      </c>
      <c r="E2306" t="s">
        <v>29</v>
      </c>
      <c r="F2306" s="2">
        <v>11259</v>
      </c>
      <c r="G2306" s="2">
        <f>Monthly_Growth!$C$22</f>
        <v>837994</v>
      </c>
      <c r="H2306" s="5">
        <f>Monthly_Growth!$D$22</f>
        <v>-4.4987344282248147E-2</v>
      </c>
      <c r="I2306" s="15">
        <f>Yearly_Growth!$C$3</f>
        <v>0.11893113731787852</v>
      </c>
      <c r="J2306" s="15">
        <f>Yearly_Growth!$D$3</f>
        <v>0.09</v>
      </c>
      <c r="K2306">
        <f>Sales_Per_Representative!$C$28</f>
        <v>691917</v>
      </c>
      <c r="L2306">
        <f>Sales_Per_Rep_Yearly_Goal!$B$3</f>
        <v>689907.8</v>
      </c>
      <c r="M2306">
        <f>Sales_Per_Rep_Yearly_Goal!$C$3</f>
        <v>690000</v>
      </c>
    </row>
    <row r="2307" spans="1:13" x14ac:dyDescent="0.3">
      <c r="A2307" s="3">
        <v>45537</v>
      </c>
      <c r="B2307">
        <f t="shared" ref="B2307:B2370" si="36">YEAR(A2307)</f>
        <v>2024</v>
      </c>
      <c r="C2307">
        <v>9</v>
      </c>
      <c r="D2307" t="s">
        <v>14</v>
      </c>
      <c r="E2307" t="s">
        <v>31</v>
      </c>
      <c r="F2307" s="2">
        <v>12271</v>
      </c>
      <c r="G2307" s="2">
        <f>Monthly_Growth!$C$22</f>
        <v>837994</v>
      </c>
      <c r="H2307" s="5">
        <f>Monthly_Growth!$D$22</f>
        <v>-4.4987344282248147E-2</v>
      </c>
      <c r="I2307" s="15">
        <f>Yearly_Growth!$C$3</f>
        <v>0.11893113731787852</v>
      </c>
      <c r="J2307" s="15">
        <f>Yearly_Growth!$D$3</f>
        <v>0.09</v>
      </c>
      <c r="K2307">
        <f>Sales_Per_Representative!$C$21</f>
        <v>679421</v>
      </c>
      <c r="L2307">
        <f>Sales_Per_Rep_Yearly_Goal!$B$3</f>
        <v>689907.8</v>
      </c>
      <c r="M2307">
        <f>Sales_Per_Rep_Yearly_Goal!$C$3</f>
        <v>690000</v>
      </c>
    </row>
    <row r="2308" spans="1:13" x14ac:dyDescent="0.3">
      <c r="A2308" s="3">
        <v>45537</v>
      </c>
      <c r="B2308">
        <f t="shared" si="36"/>
        <v>2024</v>
      </c>
      <c r="C2308">
        <v>9</v>
      </c>
      <c r="D2308" t="s">
        <v>14</v>
      </c>
      <c r="E2308" t="s">
        <v>22</v>
      </c>
      <c r="F2308" s="2">
        <v>9495</v>
      </c>
      <c r="G2308" s="2">
        <f>Monthly_Growth!$C$22</f>
        <v>837994</v>
      </c>
      <c r="H2308" s="5">
        <f>Monthly_Growth!$D$22</f>
        <v>-4.4987344282248147E-2</v>
      </c>
      <c r="I2308" s="15">
        <f>Yearly_Growth!$C$3</f>
        <v>0.11893113731787852</v>
      </c>
      <c r="J2308" s="15">
        <f>Yearly_Growth!$D$3</f>
        <v>0.09</v>
      </c>
      <c r="K2308">
        <f>Sales_Per_Representative!$C$23</f>
        <v>697444</v>
      </c>
      <c r="L2308">
        <f>Sales_Per_Rep_Yearly_Goal!$B$3</f>
        <v>689907.8</v>
      </c>
      <c r="M2308">
        <f>Sales_Per_Rep_Yearly_Goal!$C$3</f>
        <v>690000</v>
      </c>
    </row>
    <row r="2309" spans="1:13" x14ac:dyDescent="0.3">
      <c r="A2309" s="3">
        <v>45537</v>
      </c>
      <c r="B2309">
        <f t="shared" si="36"/>
        <v>2024</v>
      </c>
      <c r="C2309">
        <v>9</v>
      </c>
      <c r="D2309" t="s">
        <v>25</v>
      </c>
      <c r="E2309" t="s">
        <v>33</v>
      </c>
      <c r="F2309" s="2">
        <v>2314</v>
      </c>
      <c r="G2309" s="2">
        <f>Monthly_Growth!$C$22</f>
        <v>837994</v>
      </c>
      <c r="H2309" s="5">
        <f>Monthly_Growth!$D$22</f>
        <v>-4.4987344282248147E-2</v>
      </c>
      <c r="I2309" s="15">
        <f>Yearly_Growth!$C$3</f>
        <v>0.11893113731787852</v>
      </c>
      <c r="J2309" s="15">
        <f>Yearly_Growth!$D$3</f>
        <v>0.09</v>
      </c>
      <c r="K2309">
        <f>Sales_Per_Representative!$C$26</f>
        <v>501360</v>
      </c>
      <c r="L2309">
        <f>Sales_Per_Rep_Yearly_Goal!$B$3</f>
        <v>689907.8</v>
      </c>
      <c r="M2309">
        <f>Sales_Per_Rep_Yearly_Goal!$C$3</f>
        <v>690000</v>
      </c>
    </row>
    <row r="2310" spans="1:13" x14ac:dyDescent="0.3">
      <c r="A2310" s="3">
        <v>45537</v>
      </c>
      <c r="B2310">
        <f t="shared" si="36"/>
        <v>2024</v>
      </c>
      <c r="C2310">
        <v>9</v>
      </c>
      <c r="D2310" t="s">
        <v>17</v>
      </c>
      <c r="E2310" t="s">
        <v>30</v>
      </c>
      <c r="F2310" s="2">
        <v>13308</v>
      </c>
      <c r="G2310" s="2">
        <f>Monthly_Growth!$C$22</f>
        <v>837994</v>
      </c>
      <c r="H2310" s="5">
        <f>Monthly_Growth!$D$22</f>
        <v>-4.4987344282248147E-2</v>
      </c>
      <c r="I2310" s="15">
        <f>Yearly_Growth!$C$3</f>
        <v>0.11893113731787852</v>
      </c>
      <c r="J2310" s="15">
        <f>Yearly_Growth!$D$3</f>
        <v>0.09</v>
      </c>
      <c r="K2310">
        <f>Sales_Per_Representative!$C$22</f>
        <v>700142</v>
      </c>
      <c r="L2310">
        <f>Sales_Per_Rep_Yearly_Goal!$B$3</f>
        <v>689907.8</v>
      </c>
      <c r="M2310">
        <f>Sales_Per_Rep_Yearly_Goal!$C$3</f>
        <v>690000</v>
      </c>
    </row>
    <row r="2311" spans="1:13" x14ac:dyDescent="0.3">
      <c r="A2311" s="3">
        <v>45537</v>
      </c>
      <c r="B2311">
        <f t="shared" si="36"/>
        <v>2024</v>
      </c>
      <c r="C2311">
        <v>9</v>
      </c>
      <c r="D2311" t="s">
        <v>12</v>
      </c>
      <c r="E2311" t="s">
        <v>8</v>
      </c>
      <c r="F2311" s="2">
        <v>2474</v>
      </c>
      <c r="G2311" s="2">
        <f>Monthly_Growth!$C$22</f>
        <v>837994</v>
      </c>
      <c r="H2311" s="5">
        <f>Monthly_Growth!$D$22</f>
        <v>-4.4987344282248147E-2</v>
      </c>
      <c r="I2311" s="15">
        <f>Yearly_Growth!$C$3</f>
        <v>0.11893113731787852</v>
      </c>
      <c r="J2311" s="15">
        <f>Yearly_Growth!$D$3</f>
        <v>0.09</v>
      </c>
      <c r="K2311">
        <f>Sales_Per_Representative!$C$30</f>
        <v>780006</v>
      </c>
      <c r="L2311">
        <f>Sales_Per_Rep_Yearly_Goal!$B$3</f>
        <v>689907.8</v>
      </c>
      <c r="M2311">
        <f>Sales_Per_Rep_Yearly_Goal!$C$3</f>
        <v>690000</v>
      </c>
    </row>
    <row r="2312" spans="1:13" x14ac:dyDescent="0.3">
      <c r="A2312" s="3">
        <v>45538</v>
      </c>
      <c r="B2312">
        <f t="shared" si="36"/>
        <v>2024</v>
      </c>
      <c r="C2312">
        <v>9</v>
      </c>
      <c r="D2312" t="s">
        <v>14</v>
      </c>
      <c r="E2312" t="s">
        <v>8</v>
      </c>
      <c r="F2312" s="2">
        <v>8218</v>
      </c>
      <c r="G2312" s="2">
        <f>Monthly_Growth!$C$22</f>
        <v>837994</v>
      </c>
      <c r="H2312" s="5">
        <f>Monthly_Growth!$D$22</f>
        <v>-4.4987344282248147E-2</v>
      </c>
      <c r="I2312" s="15">
        <f>Yearly_Growth!$C$3</f>
        <v>0.11893113731787852</v>
      </c>
      <c r="J2312" s="15">
        <f>Yearly_Growth!$D$3</f>
        <v>0.09</v>
      </c>
      <c r="K2312">
        <f>Sales_Per_Representative!$C$30</f>
        <v>780006</v>
      </c>
      <c r="L2312">
        <f>Sales_Per_Rep_Yearly_Goal!$B$3</f>
        <v>689907.8</v>
      </c>
      <c r="M2312">
        <f>Sales_Per_Rep_Yearly_Goal!$C$3</f>
        <v>690000</v>
      </c>
    </row>
    <row r="2313" spans="1:13" x14ac:dyDescent="0.3">
      <c r="A2313" s="3">
        <v>45538</v>
      </c>
      <c r="B2313">
        <f t="shared" si="36"/>
        <v>2024</v>
      </c>
      <c r="C2313">
        <v>9</v>
      </c>
      <c r="D2313" t="s">
        <v>23</v>
      </c>
      <c r="E2313" t="s">
        <v>32</v>
      </c>
      <c r="F2313" s="2">
        <v>1410</v>
      </c>
      <c r="G2313" s="2">
        <f>Monthly_Growth!$C$22</f>
        <v>837994</v>
      </c>
      <c r="H2313" s="5">
        <f>Monthly_Growth!$D$22</f>
        <v>-4.4987344282248147E-2</v>
      </c>
      <c r="I2313" s="15">
        <f>Yearly_Growth!$C$3</f>
        <v>0.11893113731787852</v>
      </c>
      <c r="J2313" s="15">
        <f>Yearly_Growth!$D$3</f>
        <v>0.09</v>
      </c>
      <c r="K2313">
        <f>Sales_Per_Representative!$C$18</f>
        <v>783907</v>
      </c>
      <c r="L2313">
        <f>Sales_Per_Rep_Yearly_Goal!$B$3</f>
        <v>689907.8</v>
      </c>
      <c r="M2313">
        <f>Sales_Per_Rep_Yearly_Goal!$C$3</f>
        <v>690000</v>
      </c>
    </row>
    <row r="2314" spans="1:13" x14ac:dyDescent="0.3">
      <c r="A2314" s="3">
        <v>45538</v>
      </c>
      <c r="B2314">
        <f t="shared" si="36"/>
        <v>2024</v>
      </c>
      <c r="C2314">
        <v>9</v>
      </c>
      <c r="D2314" t="s">
        <v>7</v>
      </c>
      <c r="E2314" t="s">
        <v>18</v>
      </c>
      <c r="F2314" s="2">
        <v>4999</v>
      </c>
      <c r="G2314" s="2">
        <f>Monthly_Growth!$C$22</f>
        <v>837994</v>
      </c>
      <c r="H2314" s="5">
        <f>Monthly_Growth!$D$22</f>
        <v>-4.4987344282248147E-2</v>
      </c>
      <c r="I2314" s="15">
        <f>Yearly_Growth!$C$3</f>
        <v>0.11893113731787852</v>
      </c>
      <c r="J2314" s="15">
        <f>Yearly_Growth!$D$3</f>
        <v>0.09</v>
      </c>
      <c r="K2314">
        <f>Sales_Per_Representative!$C$24</f>
        <v>699277</v>
      </c>
      <c r="L2314">
        <f>Sales_Per_Rep_Yearly_Goal!$B$3</f>
        <v>689907.8</v>
      </c>
      <c r="M2314">
        <f>Sales_Per_Rep_Yearly_Goal!$C$3</f>
        <v>690000</v>
      </c>
    </row>
    <row r="2315" spans="1:13" x14ac:dyDescent="0.3">
      <c r="A2315" s="3">
        <v>45538</v>
      </c>
      <c r="B2315">
        <f t="shared" si="36"/>
        <v>2024</v>
      </c>
      <c r="C2315">
        <v>9</v>
      </c>
      <c r="D2315" t="s">
        <v>28</v>
      </c>
      <c r="E2315" t="s">
        <v>32</v>
      </c>
      <c r="F2315" s="2">
        <v>4057</v>
      </c>
      <c r="G2315" s="2">
        <f>Monthly_Growth!$C$22</f>
        <v>837994</v>
      </c>
      <c r="H2315" s="5">
        <f>Monthly_Growth!$D$22</f>
        <v>-4.4987344282248147E-2</v>
      </c>
      <c r="I2315" s="15">
        <f>Yearly_Growth!$C$3</f>
        <v>0.11893113731787852</v>
      </c>
      <c r="J2315" s="15">
        <f>Yearly_Growth!$D$3</f>
        <v>0.09</v>
      </c>
      <c r="K2315">
        <f>Sales_Per_Representative!$C$18</f>
        <v>783907</v>
      </c>
      <c r="L2315">
        <f>Sales_Per_Rep_Yearly_Goal!$B$3</f>
        <v>689907.8</v>
      </c>
      <c r="M2315">
        <f>Sales_Per_Rep_Yearly_Goal!$C$3</f>
        <v>690000</v>
      </c>
    </row>
    <row r="2316" spans="1:13" x14ac:dyDescent="0.3">
      <c r="A2316" s="3">
        <v>45539</v>
      </c>
      <c r="B2316">
        <f t="shared" si="36"/>
        <v>2024</v>
      </c>
      <c r="C2316">
        <v>9</v>
      </c>
      <c r="D2316" t="s">
        <v>25</v>
      </c>
      <c r="E2316" t="s">
        <v>15</v>
      </c>
      <c r="F2316" s="2">
        <v>1416</v>
      </c>
      <c r="G2316" s="2">
        <f>Monthly_Growth!$C$22</f>
        <v>837994</v>
      </c>
      <c r="H2316" s="5">
        <f>Monthly_Growth!$D$22</f>
        <v>-4.4987344282248147E-2</v>
      </c>
      <c r="I2316" s="15">
        <f>Yearly_Growth!$C$3</f>
        <v>0.11893113731787852</v>
      </c>
      <c r="J2316" s="15">
        <f>Yearly_Growth!$D$3</f>
        <v>0.09</v>
      </c>
      <c r="K2316">
        <f>Sales_Per_Representative!$C$27</f>
        <v>617202</v>
      </c>
      <c r="L2316">
        <f>Sales_Per_Rep_Yearly_Goal!$B$3</f>
        <v>689907.8</v>
      </c>
      <c r="M2316">
        <f>Sales_Per_Rep_Yearly_Goal!$C$3</f>
        <v>690000</v>
      </c>
    </row>
    <row r="2317" spans="1:13" x14ac:dyDescent="0.3">
      <c r="A2317" s="3">
        <v>45540</v>
      </c>
      <c r="B2317">
        <f t="shared" si="36"/>
        <v>2024</v>
      </c>
      <c r="C2317">
        <v>9</v>
      </c>
      <c r="D2317" t="s">
        <v>14</v>
      </c>
      <c r="E2317" t="s">
        <v>8</v>
      </c>
      <c r="F2317" s="2">
        <v>12083</v>
      </c>
      <c r="G2317" s="2">
        <f>Monthly_Growth!$C$22</f>
        <v>837994</v>
      </c>
      <c r="H2317" s="5">
        <f>Monthly_Growth!$D$22</f>
        <v>-4.4987344282248147E-2</v>
      </c>
      <c r="I2317" s="15">
        <f>Yearly_Growth!$C$3</f>
        <v>0.11893113731787852</v>
      </c>
      <c r="J2317" s="15">
        <f>Yearly_Growth!$D$3</f>
        <v>0.09</v>
      </c>
      <c r="K2317">
        <f>Sales_Per_Representative!$C$30</f>
        <v>780006</v>
      </c>
      <c r="L2317">
        <f>Sales_Per_Rep_Yearly_Goal!$B$3</f>
        <v>689907.8</v>
      </c>
      <c r="M2317">
        <f>Sales_Per_Rep_Yearly_Goal!$C$3</f>
        <v>690000</v>
      </c>
    </row>
    <row r="2318" spans="1:13" x14ac:dyDescent="0.3">
      <c r="A2318" s="3">
        <v>45540</v>
      </c>
      <c r="B2318">
        <f t="shared" si="36"/>
        <v>2024</v>
      </c>
      <c r="C2318">
        <v>9</v>
      </c>
      <c r="D2318" t="s">
        <v>19</v>
      </c>
      <c r="E2318" t="s">
        <v>29</v>
      </c>
      <c r="F2318" s="2">
        <v>7883</v>
      </c>
      <c r="G2318" s="2">
        <f>Monthly_Growth!$C$22</f>
        <v>837994</v>
      </c>
      <c r="H2318" s="5">
        <f>Monthly_Growth!$D$22</f>
        <v>-4.4987344282248147E-2</v>
      </c>
      <c r="I2318" s="15">
        <f>Yearly_Growth!$C$3</f>
        <v>0.11893113731787852</v>
      </c>
      <c r="J2318" s="15">
        <f>Yearly_Growth!$D$3</f>
        <v>0.09</v>
      </c>
      <c r="K2318">
        <f>Sales_Per_Representative!$C$28</f>
        <v>691917</v>
      </c>
      <c r="L2318">
        <f>Sales_Per_Rep_Yearly_Goal!$B$3</f>
        <v>689907.8</v>
      </c>
      <c r="M2318">
        <f>Sales_Per_Rep_Yearly_Goal!$C$3</f>
        <v>690000</v>
      </c>
    </row>
    <row r="2319" spans="1:13" x14ac:dyDescent="0.3">
      <c r="A2319" s="3">
        <v>45540</v>
      </c>
      <c r="B2319">
        <f t="shared" si="36"/>
        <v>2024</v>
      </c>
      <c r="C2319">
        <v>9</v>
      </c>
      <c r="D2319" t="s">
        <v>12</v>
      </c>
      <c r="E2319" t="s">
        <v>10</v>
      </c>
      <c r="F2319" s="2">
        <v>10376</v>
      </c>
      <c r="G2319" s="2">
        <f>Monthly_Growth!$C$22</f>
        <v>837994</v>
      </c>
      <c r="H2319" s="5">
        <f>Monthly_Growth!$D$22</f>
        <v>-4.4987344282248147E-2</v>
      </c>
      <c r="I2319" s="15">
        <f>Yearly_Growth!$C$3</f>
        <v>0.11893113731787852</v>
      </c>
      <c r="J2319" s="15">
        <f>Yearly_Growth!$D$3</f>
        <v>0.09</v>
      </c>
      <c r="K2319">
        <f>Sales_Per_Representative!$C$19</f>
        <v>711816</v>
      </c>
      <c r="L2319">
        <f>Sales_Per_Rep_Yearly_Goal!$B$3</f>
        <v>689907.8</v>
      </c>
      <c r="M2319">
        <f>Sales_Per_Rep_Yearly_Goal!$C$3</f>
        <v>690000</v>
      </c>
    </row>
    <row r="2320" spans="1:13" x14ac:dyDescent="0.3">
      <c r="A2320" s="3">
        <v>45540</v>
      </c>
      <c r="B2320">
        <f t="shared" si="36"/>
        <v>2024</v>
      </c>
      <c r="C2320">
        <v>9</v>
      </c>
      <c r="D2320" t="s">
        <v>12</v>
      </c>
      <c r="E2320" t="s">
        <v>8</v>
      </c>
      <c r="F2320" s="2">
        <v>8729</v>
      </c>
      <c r="G2320" s="2">
        <f>Monthly_Growth!$C$22</f>
        <v>837994</v>
      </c>
      <c r="H2320" s="5">
        <f>Monthly_Growth!$D$22</f>
        <v>-4.4987344282248147E-2</v>
      </c>
      <c r="I2320" s="15">
        <f>Yearly_Growth!$C$3</f>
        <v>0.11893113731787852</v>
      </c>
      <c r="J2320" s="15">
        <f>Yearly_Growth!$D$3</f>
        <v>0.09</v>
      </c>
      <c r="K2320">
        <f>Sales_Per_Representative!$C$30</f>
        <v>780006</v>
      </c>
      <c r="L2320">
        <f>Sales_Per_Rep_Yearly_Goal!$B$3</f>
        <v>689907.8</v>
      </c>
      <c r="M2320">
        <f>Sales_Per_Rep_Yearly_Goal!$C$3</f>
        <v>690000</v>
      </c>
    </row>
    <row r="2321" spans="1:13" x14ac:dyDescent="0.3">
      <c r="A2321" s="3">
        <v>45541</v>
      </c>
      <c r="B2321">
        <f t="shared" si="36"/>
        <v>2024</v>
      </c>
      <c r="C2321">
        <v>9</v>
      </c>
      <c r="D2321" t="s">
        <v>23</v>
      </c>
      <c r="E2321" t="s">
        <v>32</v>
      </c>
      <c r="F2321" s="2">
        <v>6213</v>
      </c>
      <c r="G2321" s="2">
        <f>Monthly_Growth!$C$22</f>
        <v>837994</v>
      </c>
      <c r="H2321" s="5">
        <f>Monthly_Growth!$D$22</f>
        <v>-4.4987344282248147E-2</v>
      </c>
      <c r="I2321" s="15">
        <f>Yearly_Growth!$C$3</f>
        <v>0.11893113731787852</v>
      </c>
      <c r="J2321" s="15">
        <f>Yearly_Growth!$D$3</f>
        <v>0.09</v>
      </c>
      <c r="K2321">
        <f>Sales_Per_Representative!$C$18</f>
        <v>783907</v>
      </c>
      <c r="L2321">
        <f>Sales_Per_Rep_Yearly_Goal!$B$3</f>
        <v>689907.8</v>
      </c>
      <c r="M2321">
        <f>Sales_Per_Rep_Yearly_Goal!$C$3</f>
        <v>690000</v>
      </c>
    </row>
    <row r="2322" spans="1:13" x14ac:dyDescent="0.3">
      <c r="A2322" s="3">
        <v>45541</v>
      </c>
      <c r="B2322">
        <f t="shared" si="36"/>
        <v>2024</v>
      </c>
      <c r="C2322">
        <v>9</v>
      </c>
      <c r="D2322" t="s">
        <v>28</v>
      </c>
      <c r="E2322" t="s">
        <v>26</v>
      </c>
      <c r="F2322" s="2">
        <v>5104</v>
      </c>
      <c r="G2322" s="2">
        <f>Monthly_Growth!$C$22</f>
        <v>837994</v>
      </c>
      <c r="H2322" s="5">
        <f>Monthly_Growth!$D$22</f>
        <v>-4.4987344282248147E-2</v>
      </c>
      <c r="I2322" s="15">
        <f>Yearly_Growth!$C$3</f>
        <v>0.11893113731787852</v>
      </c>
      <c r="J2322" s="15">
        <f>Yearly_Growth!$D$3</f>
        <v>0.09</v>
      </c>
      <c r="K2322">
        <f>Sales_Per_Representative!$C$31</f>
        <v>664244</v>
      </c>
      <c r="L2322">
        <f>Sales_Per_Rep_Yearly_Goal!$B$3</f>
        <v>689907.8</v>
      </c>
      <c r="M2322">
        <f>Sales_Per_Rep_Yearly_Goal!$C$3</f>
        <v>690000</v>
      </c>
    </row>
    <row r="2323" spans="1:13" x14ac:dyDescent="0.3">
      <c r="A2323" s="3">
        <v>45541</v>
      </c>
      <c r="B2323">
        <f t="shared" si="36"/>
        <v>2024</v>
      </c>
      <c r="C2323">
        <v>9</v>
      </c>
      <c r="D2323" t="s">
        <v>28</v>
      </c>
      <c r="E2323" t="s">
        <v>10</v>
      </c>
      <c r="F2323" s="2">
        <v>3173</v>
      </c>
      <c r="G2323" s="2">
        <f>Monthly_Growth!$C$22</f>
        <v>837994</v>
      </c>
      <c r="H2323" s="5">
        <f>Monthly_Growth!$D$22</f>
        <v>-4.4987344282248147E-2</v>
      </c>
      <c r="I2323" s="15">
        <f>Yearly_Growth!$C$3</f>
        <v>0.11893113731787852</v>
      </c>
      <c r="J2323" s="15">
        <f>Yearly_Growth!$D$3</f>
        <v>0.09</v>
      </c>
      <c r="K2323">
        <f>Sales_Per_Representative!$C$19</f>
        <v>711816</v>
      </c>
      <c r="L2323">
        <f>Sales_Per_Rep_Yearly_Goal!$B$3</f>
        <v>689907.8</v>
      </c>
      <c r="M2323">
        <f>Sales_Per_Rep_Yearly_Goal!$C$3</f>
        <v>690000</v>
      </c>
    </row>
    <row r="2324" spans="1:13" x14ac:dyDescent="0.3">
      <c r="A2324" s="3">
        <v>45541</v>
      </c>
      <c r="B2324">
        <f t="shared" si="36"/>
        <v>2024</v>
      </c>
      <c r="C2324">
        <v>9</v>
      </c>
      <c r="D2324" t="s">
        <v>17</v>
      </c>
      <c r="E2324" t="s">
        <v>27</v>
      </c>
      <c r="F2324" s="2">
        <v>6405</v>
      </c>
      <c r="G2324" s="2">
        <f>Monthly_Growth!$C$22</f>
        <v>837994</v>
      </c>
      <c r="H2324" s="5">
        <f>Monthly_Growth!$D$22</f>
        <v>-4.4987344282248147E-2</v>
      </c>
      <c r="I2324" s="15">
        <f>Yearly_Growth!$C$3</f>
        <v>0.11893113731787852</v>
      </c>
      <c r="J2324" s="15">
        <f>Yearly_Growth!$D$3</f>
        <v>0.09</v>
      </c>
      <c r="K2324">
        <f>Sales_Per_Representative!$C$20</f>
        <v>685380</v>
      </c>
      <c r="L2324">
        <f>Sales_Per_Rep_Yearly_Goal!$B$3</f>
        <v>689907.8</v>
      </c>
      <c r="M2324">
        <f>Sales_Per_Rep_Yearly_Goal!$C$3</f>
        <v>690000</v>
      </c>
    </row>
    <row r="2325" spans="1:13" x14ac:dyDescent="0.3">
      <c r="A2325" s="3">
        <v>45542</v>
      </c>
      <c r="B2325">
        <f t="shared" si="36"/>
        <v>2024</v>
      </c>
      <c r="C2325">
        <v>9</v>
      </c>
      <c r="D2325" t="s">
        <v>14</v>
      </c>
      <c r="E2325" t="s">
        <v>20</v>
      </c>
      <c r="F2325" s="2">
        <v>9536</v>
      </c>
      <c r="G2325" s="2">
        <f>Monthly_Growth!$C$22</f>
        <v>837994</v>
      </c>
      <c r="H2325" s="5">
        <f>Monthly_Growth!$D$22</f>
        <v>-4.4987344282248147E-2</v>
      </c>
      <c r="I2325" s="15">
        <f>Yearly_Growth!$C$3</f>
        <v>0.11893113731787852</v>
      </c>
      <c r="J2325" s="15">
        <f>Yearly_Growth!$D$3</f>
        <v>0.09</v>
      </c>
      <c r="K2325">
        <f>Sales_Per_Representative!$C$29</f>
        <v>753085</v>
      </c>
      <c r="L2325">
        <f>Sales_Per_Rep_Yearly_Goal!$B$3</f>
        <v>689907.8</v>
      </c>
      <c r="M2325">
        <f>Sales_Per_Rep_Yearly_Goal!$C$3</f>
        <v>690000</v>
      </c>
    </row>
    <row r="2326" spans="1:13" x14ac:dyDescent="0.3">
      <c r="A2326" s="3">
        <v>45542</v>
      </c>
      <c r="B2326">
        <f t="shared" si="36"/>
        <v>2024</v>
      </c>
      <c r="C2326">
        <v>9</v>
      </c>
      <c r="D2326" t="s">
        <v>19</v>
      </c>
      <c r="E2326" t="s">
        <v>10</v>
      </c>
      <c r="F2326" s="2">
        <v>7869</v>
      </c>
      <c r="G2326" s="2">
        <f>Monthly_Growth!$C$22</f>
        <v>837994</v>
      </c>
      <c r="H2326" s="5">
        <f>Monthly_Growth!$D$22</f>
        <v>-4.4987344282248147E-2</v>
      </c>
      <c r="I2326" s="15">
        <f>Yearly_Growth!$C$3</f>
        <v>0.11893113731787852</v>
      </c>
      <c r="J2326" s="15">
        <f>Yearly_Growth!$D$3</f>
        <v>0.09</v>
      </c>
      <c r="K2326">
        <f>Sales_Per_Representative!$C$19</f>
        <v>711816</v>
      </c>
      <c r="L2326">
        <f>Sales_Per_Rep_Yearly_Goal!$B$3</f>
        <v>689907.8</v>
      </c>
      <c r="M2326">
        <f>Sales_Per_Rep_Yearly_Goal!$C$3</f>
        <v>690000</v>
      </c>
    </row>
    <row r="2327" spans="1:13" x14ac:dyDescent="0.3">
      <c r="A2327" s="3">
        <v>45542</v>
      </c>
      <c r="B2327">
        <f t="shared" si="36"/>
        <v>2024</v>
      </c>
      <c r="C2327">
        <v>9</v>
      </c>
      <c r="D2327" t="s">
        <v>25</v>
      </c>
      <c r="E2327" t="s">
        <v>15</v>
      </c>
      <c r="F2327" s="2">
        <v>8219</v>
      </c>
      <c r="G2327" s="2">
        <f>Monthly_Growth!$C$22</f>
        <v>837994</v>
      </c>
      <c r="H2327" s="5">
        <f>Monthly_Growth!$D$22</f>
        <v>-4.4987344282248147E-2</v>
      </c>
      <c r="I2327" s="15">
        <f>Yearly_Growth!$C$3</f>
        <v>0.11893113731787852</v>
      </c>
      <c r="J2327" s="15">
        <f>Yearly_Growth!$D$3</f>
        <v>0.09</v>
      </c>
      <c r="K2327">
        <f>Sales_Per_Representative!$C$27</f>
        <v>617202</v>
      </c>
      <c r="L2327">
        <f>Sales_Per_Rep_Yearly_Goal!$B$3</f>
        <v>689907.8</v>
      </c>
      <c r="M2327">
        <f>Sales_Per_Rep_Yearly_Goal!$C$3</f>
        <v>690000</v>
      </c>
    </row>
    <row r="2328" spans="1:13" x14ac:dyDescent="0.3">
      <c r="A2328" s="3">
        <v>45542</v>
      </c>
      <c r="B2328">
        <f t="shared" si="36"/>
        <v>2024</v>
      </c>
      <c r="C2328">
        <v>9</v>
      </c>
      <c r="D2328" t="s">
        <v>25</v>
      </c>
      <c r="E2328" t="s">
        <v>29</v>
      </c>
      <c r="F2328" s="2">
        <v>13605</v>
      </c>
      <c r="G2328" s="2">
        <f>Monthly_Growth!$C$22</f>
        <v>837994</v>
      </c>
      <c r="H2328" s="5">
        <f>Monthly_Growth!$D$22</f>
        <v>-4.4987344282248147E-2</v>
      </c>
      <c r="I2328" s="15">
        <f>Yearly_Growth!$C$3</f>
        <v>0.11893113731787852</v>
      </c>
      <c r="J2328" s="15">
        <f>Yearly_Growth!$D$3</f>
        <v>0.09</v>
      </c>
      <c r="K2328">
        <f>Sales_Per_Representative!$C$28</f>
        <v>691917</v>
      </c>
      <c r="L2328">
        <f>Sales_Per_Rep_Yearly_Goal!$B$3</f>
        <v>689907.8</v>
      </c>
      <c r="M2328">
        <f>Sales_Per_Rep_Yearly_Goal!$C$3</f>
        <v>690000</v>
      </c>
    </row>
    <row r="2329" spans="1:13" x14ac:dyDescent="0.3">
      <c r="A2329" s="3">
        <v>45542</v>
      </c>
      <c r="B2329">
        <f t="shared" si="36"/>
        <v>2024</v>
      </c>
      <c r="C2329">
        <v>9</v>
      </c>
      <c r="D2329" t="s">
        <v>7</v>
      </c>
      <c r="E2329" t="s">
        <v>8</v>
      </c>
      <c r="F2329" s="2">
        <v>7361</v>
      </c>
      <c r="G2329" s="2">
        <f>Monthly_Growth!$C$22</f>
        <v>837994</v>
      </c>
      <c r="H2329" s="5">
        <f>Monthly_Growth!$D$22</f>
        <v>-4.4987344282248147E-2</v>
      </c>
      <c r="I2329" s="15">
        <f>Yearly_Growth!$C$3</f>
        <v>0.11893113731787852</v>
      </c>
      <c r="J2329" s="15">
        <f>Yearly_Growth!$D$3</f>
        <v>0.09</v>
      </c>
      <c r="K2329">
        <f>Sales_Per_Representative!$C$30</f>
        <v>780006</v>
      </c>
      <c r="L2329">
        <f>Sales_Per_Rep_Yearly_Goal!$B$3</f>
        <v>689907.8</v>
      </c>
      <c r="M2329">
        <f>Sales_Per_Rep_Yearly_Goal!$C$3</f>
        <v>690000</v>
      </c>
    </row>
    <row r="2330" spans="1:13" x14ac:dyDescent="0.3">
      <c r="A2330" s="3">
        <v>45542</v>
      </c>
      <c r="B2330">
        <f t="shared" si="36"/>
        <v>2024</v>
      </c>
      <c r="C2330">
        <v>9</v>
      </c>
      <c r="D2330" t="s">
        <v>28</v>
      </c>
      <c r="E2330" t="s">
        <v>29</v>
      </c>
      <c r="F2330" s="2">
        <v>5566</v>
      </c>
      <c r="G2330" s="2">
        <f>Monthly_Growth!$C$22</f>
        <v>837994</v>
      </c>
      <c r="H2330" s="5">
        <f>Monthly_Growth!$D$22</f>
        <v>-4.4987344282248147E-2</v>
      </c>
      <c r="I2330" s="15">
        <f>Yearly_Growth!$C$3</f>
        <v>0.11893113731787852</v>
      </c>
      <c r="J2330" s="15">
        <f>Yearly_Growth!$D$3</f>
        <v>0.09</v>
      </c>
      <c r="K2330">
        <f>Sales_Per_Representative!$C$28</f>
        <v>691917</v>
      </c>
      <c r="L2330">
        <f>Sales_Per_Rep_Yearly_Goal!$B$3</f>
        <v>689907.8</v>
      </c>
      <c r="M2330">
        <f>Sales_Per_Rep_Yearly_Goal!$C$3</f>
        <v>690000</v>
      </c>
    </row>
    <row r="2331" spans="1:13" x14ac:dyDescent="0.3">
      <c r="A2331" s="3">
        <v>45542</v>
      </c>
      <c r="B2331">
        <f t="shared" si="36"/>
        <v>2024</v>
      </c>
      <c r="C2331">
        <v>9</v>
      </c>
      <c r="D2331" t="s">
        <v>17</v>
      </c>
      <c r="E2331" t="s">
        <v>22</v>
      </c>
      <c r="F2331" s="2">
        <v>8810</v>
      </c>
      <c r="G2331" s="2">
        <f>Monthly_Growth!$C$22</f>
        <v>837994</v>
      </c>
      <c r="H2331" s="5">
        <f>Monthly_Growth!$D$22</f>
        <v>-4.4987344282248147E-2</v>
      </c>
      <c r="I2331" s="15">
        <f>Yearly_Growth!$C$3</f>
        <v>0.11893113731787852</v>
      </c>
      <c r="J2331" s="15">
        <f>Yearly_Growth!$D$3</f>
        <v>0.09</v>
      </c>
      <c r="K2331">
        <f>Sales_Per_Representative!$C$23</f>
        <v>697444</v>
      </c>
      <c r="L2331">
        <f>Sales_Per_Rep_Yearly_Goal!$B$3</f>
        <v>689907.8</v>
      </c>
      <c r="M2331">
        <f>Sales_Per_Rep_Yearly_Goal!$C$3</f>
        <v>690000</v>
      </c>
    </row>
    <row r="2332" spans="1:13" x14ac:dyDescent="0.3">
      <c r="A2332" s="3">
        <v>45543</v>
      </c>
      <c r="B2332">
        <f t="shared" si="36"/>
        <v>2024</v>
      </c>
      <c r="C2332">
        <v>9</v>
      </c>
      <c r="D2332" t="s">
        <v>23</v>
      </c>
      <c r="E2332" t="s">
        <v>32</v>
      </c>
      <c r="F2332" s="2">
        <v>3775</v>
      </c>
      <c r="G2332" s="2">
        <f>Monthly_Growth!$C$22</f>
        <v>837994</v>
      </c>
      <c r="H2332" s="5">
        <f>Monthly_Growth!$D$22</f>
        <v>-4.4987344282248147E-2</v>
      </c>
      <c r="I2332" s="15">
        <f>Yearly_Growth!$C$3</f>
        <v>0.11893113731787852</v>
      </c>
      <c r="J2332" s="15">
        <f>Yearly_Growth!$D$3</f>
        <v>0.09</v>
      </c>
      <c r="K2332">
        <f>Sales_Per_Representative!$C$18</f>
        <v>783907</v>
      </c>
      <c r="L2332">
        <f>Sales_Per_Rep_Yearly_Goal!$B$3</f>
        <v>689907.8</v>
      </c>
      <c r="M2332">
        <f>Sales_Per_Rep_Yearly_Goal!$C$3</f>
        <v>690000</v>
      </c>
    </row>
    <row r="2333" spans="1:13" x14ac:dyDescent="0.3">
      <c r="A2333" s="3">
        <v>45543</v>
      </c>
      <c r="B2333">
        <f t="shared" si="36"/>
        <v>2024</v>
      </c>
      <c r="C2333">
        <v>9</v>
      </c>
      <c r="D2333" t="s">
        <v>7</v>
      </c>
      <c r="E2333" t="s">
        <v>33</v>
      </c>
      <c r="F2333" s="2">
        <v>13347</v>
      </c>
      <c r="G2333" s="2">
        <f>Monthly_Growth!$C$22</f>
        <v>837994</v>
      </c>
      <c r="H2333" s="5">
        <f>Monthly_Growth!$D$22</f>
        <v>-4.4987344282248147E-2</v>
      </c>
      <c r="I2333" s="15">
        <f>Yearly_Growth!$C$3</f>
        <v>0.11893113731787852</v>
      </c>
      <c r="J2333" s="15">
        <f>Yearly_Growth!$D$3</f>
        <v>0.09</v>
      </c>
      <c r="K2333">
        <f>Sales_Per_Representative!$C$26</f>
        <v>501360</v>
      </c>
      <c r="L2333">
        <f>Sales_Per_Rep_Yearly_Goal!$B$3</f>
        <v>689907.8</v>
      </c>
      <c r="M2333">
        <f>Sales_Per_Rep_Yearly_Goal!$C$3</f>
        <v>690000</v>
      </c>
    </row>
    <row r="2334" spans="1:13" x14ac:dyDescent="0.3">
      <c r="A2334" s="3">
        <v>45543</v>
      </c>
      <c r="B2334">
        <f t="shared" si="36"/>
        <v>2024</v>
      </c>
      <c r="C2334">
        <v>9</v>
      </c>
      <c r="D2334" t="s">
        <v>28</v>
      </c>
      <c r="E2334" t="s">
        <v>29</v>
      </c>
      <c r="F2334" s="2">
        <v>6113</v>
      </c>
      <c r="G2334" s="2">
        <f>Monthly_Growth!$C$22</f>
        <v>837994</v>
      </c>
      <c r="H2334" s="5">
        <f>Monthly_Growth!$D$22</f>
        <v>-4.4987344282248147E-2</v>
      </c>
      <c r="I2334" s="15">
        <f>Yearly_Growth!$C$3</f>
        <v>0.11893113731787852</v>
      </c>
      <c r="J2334" s="15">
        <f>Yearly_Growth!$D$3</f>
        <v>0.09</v>
      </c>
      <c r="K2334">
        <f>Sales_Per_Representative!$C$28</f>
        <v>691917</v>
      </c>
      <c r="L2334">
        <f>Sales_Per_Rep_Yearly_Goal!$B$3</f>
        <v>689907.8</v>
      </c>
      <c r="M2334">
        <f>Sales_Per_Rep_Yearly_Goal!$C$3</f>
        <v>690000</v>
      </c>
    </row>
    <row r="2335" spans="1:13" x14ac:dyDescent="0.3">
      <c r="A2335" s="3">
        <v>45544</v>
      </c>
      <c r="B2335">
        <f t="shared" si="36"/>
        <v>2024</v>
      </c>
      <c r="C2335">
        <v>9</v>
      </c>
      <c r="D2335" t="s">
        <v>19</v>
      </c>
      <c r="E2335" t="s">
        <v>31</v>
      </c>
      <c r="F2335" s="2">
        <v>10795</v>
      </c>
      <c r="G2335" s="2">
        <f>Monthly_Growth!$C$22</f>
        <v>837994</v>
      </c>
      <c r="H2335" s="5">
        <f>Monthly_Growth!$D$22</f>
        <v>-4.4987344282248147E-2</v>
      </c>
      <c r="I2335" s="15">
        <f>Yearly_Growth!$C$3</f>
        <v>0.11893113731787852</v>
      </c>
      <c r="J2335" s="15">
        <f>Yearly_Growth!$D$3</f>
        <v>0.09</v>
      </c>
      <c r="K2335">
        <f>Sales_Per_Representative!$C$21</f>
        <v>679421</v>
      </c>
      <c r="L2335">
        <f>Sales_Per_Rep_Yearly_Goal!$B$3</f>
        <v>689907.8</v>
      </c>
      <c r="M2335">
        <f>Sales_Per_Rep_Yearly_Goal!$C$3</f>
        <v>690000</v>
      </c>
    </row>
    <row r="2336" spans="1:13" x14ac:dyDescent="0.3">
      <c r="A2336" s="3">
        <v>45544</v>
      </c>
      <c r="B2336">
        <f t="shared" si="36"/>
        <v>2024</v>
      </c>
      <c r="C2336">
        <v>9</v>
      </c>
      <c r="D2336" t="s">
        <v>19</v>
      </c>
      <c r="E2336" t="s">
        <v>32</v>
      </c>
      <c r="F2336" s="2">
        <v>4258</v>
      </c>
      <c r="G2336" s="2">
        <f>Monthly_Growth!$C$22</f>
        <v>837994</v>
      </c>
      <c r="H2336" s="5">
        <f>Monthly_Growth!$D$22</f>
        <v>-4.4987344282248147E-2</v>
      </c>
      <c r="I2336" s="15">
        <f>Yearly_Growth!$C$3</f>
        <v>0.11893113731787852</v>
      </c>
      <c r="J2336" s="15">
        <f>Yearly_Growth!$D$3</f>
        <v>0.09</v>
      </c>
      <c r="K2336">
        <f>Sales_Per_Representative!$C$18</f>
        <v>783907</v>
      </c>
      <c r="L2336">
        <f>Sales_Per_Rep_Yearly_Goal!$B$3</f>
        <v>689907.8</v>
      </c>
      <c r="M2336">
        <f>Sales_Per_Rep_Yearly_Goal!$C$3</f>
        <v>690000</v>
      </c>
    </row>
    <row r="2337" spans="1:13" x14ac:dyDescent="0.3">
      <c r="A2337" s="3">
        <v>45544</v>
      </c>
      <c r="B2337">
        <f t="shared" si="36"/>
        <v>2024</v>
      </c>
      <c r="C2337">
        <v>9</v>
      </c>
      <c r="D2337" t="s">
        <v>25</v>
      </c>
      <c r="E2337" t="s">
        <v>29</v>
      </c>
      <c r="F2337" s="2">
        <v>9132</v>
      </c>
      <c r="G2337" s="2">
        <f>Monthly_Growth!$C$22</f>
        <v>837994</v>
      </c>
      <c r="H2337" s="5">
        <f>Monthly_Growth!$D$22</f>
        <v>-4.4987344282248147E-2</v>
      </c>
      <c r="I2337" s="15">
        <f>Yearly_Growth!$C$3</f>
        <v>0.11893113731787852</v>
      </c>
      <c r="J2337" s="15">
        <f>Yearly_Growth!$D$3</f>
        <v>0.09</v>
      </c>
      <c r="K2337">
        <f>Sales_Per_Representative!$C$28</f>
        <v>691917</v>
      </c>
      <c r="L2337">
        <f>Sales_Per_Rep_Yearly_Goal!$B$3</f>
        <v>689907.8</v>
      </c>
      <c r="M2337">
        <f>Sales_Per_Rep_Yearly_Goal!$C$3</f>
        <v>690000</v>
      </c>
    </row>
    <row r="2338" spans="1:13" x14ac:dyDescent="0.3">
      <c r="A2338" s="3">
        <v>45544</v>
      </c>
      <c r="B2338">
        <f t="shared" si="36"/>
        <v>2024</v>
      </c>
      <c r="C2338">
        <v>9</v>
      </c>
      <c r="D2338" t="s">
        <v>17</v>
      </c>
      <c r="E2338" t="s">
        <v>5</v>
      </c>
      <c r="F2338" s="2">
        <v>11289</v>
      </c>
      <c r="G2338" s="2">
        <f>Monthly_Growth!$C$22</f>
        <v>837994</v>
      </c>
      <c r="H2338" s="5">
        <f>Monthly_Growth!$D$22</f>
        <v>-4.4987344282248147E-2</v>
      </c>
      <c r="I2338" s="15">
        <f>Yearly_Growth!$C$3</f>
        <v>0.11893113731787852</v>
      </c>
      <c r="J2338" s="15">
        <f>Yearly_Growth!$D$3</f>
        <v>0.09</v>
      </c>
      <c r="K2338">
        <f>Sales_Per_Representative!$C$25</f>
        <v>749460</v>
      </c>
      <c r="L2338">
        <f>Sales_Per_Rep_Yearly_Goal!$B$3</f>
        <v>689907.8</v>
      </c>
      <c r="M2338">
        <f>Sales_Per_Rep_Yearly_Goal!$C$3</f>
        <v>690000</v>
      </c>
    </row>
    <row r="2339" spans="1:13" x14ac:dyDescent="0.3">
      <c r="A2339" s="3">
        <v>45544</v>
      </c>
      <c r="B2339">
        <f t="shared" si="36"/>
        <v>2024</v>
      </c>
      <c r="C2339">
        <v>9</v>
      </c>
      <c r="D2339" t="s">
        <v>12</v>
      </c>
      <c r="E2339" t="s">
        <v>31</v>
      </c>
      <c r="F2339" s="2">
        <v>10318</v>
      </c>
      <c r="G2339" s="2">
        <f>Monthly_Growth!$C$22</f>
        <v>837994</v>
      </c>
      <c r="H2339" s="5">
        <f>Monthly_Growth!$D$22</f>
        <v>-4.4987344282248147E-2</v>
      </c>
      <c r="I2339" s="15">
        <f>Yearly_Growth!$C$3</f>
        <v>0.11893113731787852</v>
      </c>
      <c r="J2339" s="15">
        <f>Yearly_Growth!$D$3</f>
        <v>0.09</v>
      </c>
      <c r="K2339">
        <f>Sales_Per_Representative!$C$21</f>
        <v>679421</v>
      </c>
      <c r="L2339">
        <f>Sales_Per_Rep_Yearly_Goal!$B$3</f>
        <v>689907.8</v>
      </c>
      <c r="M2339">
        <f>Sales_Per_Rep_Yearly_Goal!$C$3</f>
        <v>690000</v>
      </c>
    </row>
    <row r="2340" spans="1:13" x14ac:dyDescent="0.3">
      <c r="A2340" s="3">
        <v>45545</v>
      </c>
      <c r="B2340">
        <f t="shared" si="36"/>
        <v>2024</v>
      </c>
      <c r="C2340">
        <v>9</v>
      </c>
      <c r="D2340" t="s">
        <v>19</v>
      </c>
      <c r="E2340" t="s">
        <v>8</v>
      </c>
      <c r="F2340" s="2">
        <v>10946</v>
      </c>
      <c r="G2340" s="2">
        <f>Monthly_Growth!$C$22</f>
        <v>837994</v>
      </c>
      <c r="H2340" s="5">
        <f>Monthly_Growth!$D$22</f>
        <v>-4.4987344282248147E-2</v>
      </c>
      <c r="I2340" s="15">
        <f>Yearly_Growth!$C$3</f>
        <v>0.11893113731787852</v>
      </c>
      <c r="J2340" s="15">
        <f>Yearly_Growth!$D$3</f>
        <v>0.09</v>
      </c>
      <c r="K2340">
        <f>Sales_Per_Representative!$C$30</f>
        <v>780006</v>
      </c>
      <c r="L2340">
        <f>Sales_Per_Rep_Yearly_Goal!$B$3</f>
        <v>689907.8</v>
      </c>
      <c r="M2340">
        <f>Sales_Per_Rep_Yearly_Goal!$C$3</f>
        <v>690000</v>
      </c>
    </row>
    <row r="2341" spans="1:13" x14ac:dyDescent="0.3">
      <c r="A2341" s="3">
        <v>45545</v>
      </c>
      <c r="B2341">
        <f t="shared" si="36"/>
        <v>2024</v>
      </c>
      <c r="C2341">
        <v>9</v>
      </c>
      <c r="D2341" t="s">
        <v>25</v>
      </c>
      <c r="E2341" t="s">
        <v>27</v>
      </c>
      <c r="F2341" s="2">
        <v>2231</v>
      </c>
      <c r="G2341" s="2">
        <f>Monthly_Growth!$C$22</f>
        <v>837994</v>
      </c>
      <c r="H2341" s="5">
        <f>Monthly_Growth!$D$22</f>
        <v>-4.4987344282248147E-2</v>
      </c>
      <c r="I2341" s="15">
        <f>Yearly_Growth!$C$3</f>
        <v>0.11893113731787852</v>
      </c>
      <c r="J2341" s="15">
        <f>Yearly_Growth!$D$3</f>
        <v>0.09</v>
      </c>
      <c r="K2341">
        <f>Sales_Per_Representative!$C$20</f>
        <v>685380</v>
      </c>
      <c r="L2341">
        <f>Sales_Per_Rep_Yearly_Goal!$B$3</f>
        <v>689907.8</v>
      </c>
      <c r="M2341">
        <f>Sales_Per_Rep_Yearly_Goal!$C$3</f>
        <v>690000</v>
      </c>
    </row>
    <row r="2342" spans="1:13" x14ac:dyDescent="0.3">
      <c r="A2342" s="3">
        <v>45545</v>
      </c>
      <c r="B2342">
        <f t="shared" si="36"/>
        <v>2024</v>
      </c>
      <c r="C2342">
        <v>9</v>
      </c>
      <c r="D2342" t="s">
        <v>25</v>
      </c>
      <c r="E2342" t="s">
        <v>8</v>
      </c>
      <c r="F2342" s="2">
        <v>10150</v>
      </c>
      <c r="G2342" s="2">
        <f>Monthly_Growth!$C$22</f>
        <v>837994</v>
      </c>
      <c r="H2342" s="5">
        <f>Monthly_Growth!$D$22</f>
        <v>-4.4987344282248147E-2</v>
      </c>
      <c r="I2342" s="15">
        <f>Yearly_Growth!$C$3</f>
        <v>0.11893113731787852</v>
      </c>
      <c r="J2342" s="15">
        <f>Yearly_Growth!$D$3</f>
        <v>0.09</v>
      </c>
      <c r="K2342">
        <f>Sales_Per_Representative!$C$30</f>
        <v>780006</v>
      </c>
      <c r="L2342">
        <f>Sales_Per_Rep_Yearly_Goal!$B$3</f>
        <v>689907.8</v>
      </c>
      <c r="M2342">
        <f>Sales_Per_Rep_Yearly_Goal!$C$3</f>
        <v>690000</v>
      </c>
    </row>
    <row r="2343" spans="1:13" x14ac:dyDescent="0.3">
      <c r="A2343" s="3">
        <v>45546</v>
      </c>
      <c r="B2343">
        <f t="shared" si="36"/>
        <v>2024</v>
      </c>
      <c r="C2343">
        <v>9</v>
      </c>
      <c r="D2343" t="s">
        <v>19</v>
      </c>
      <c r="E2343" t="s">
        <v>26</v>
      </c>
      <c r="F2343" s="2">
        <v>13027</v>
      </c>
      <c r="G2343" s="2">
        <f>Monthly_Growth!$C$22</f>
        <v>837994</v>
      </c>
      <c r="H2343" s="5">
        <f>Monthly_Growth!$D$22</f>
        <v>-4.4987344282248147E-2</v>
      </c>
      <c r="I2343" s="15">
        <f>Yearly_Growth!$C$3</f>
        <v>0.11893113731787852</v>
      </c>
      <c r="J2343" s="15">
        <f>Yearly_Growth!$D$3</f>
        <v>0.09</v>
      </c>
      <c r="K2343">
        <f>Sales_Per_Representative!$C$31</f>
        <v>664244</v>
      </c>
      <c r="L2343">
        <f>Sales_Per_Rep_Yearly_Goal!$B$3</f>
        <v>689907.8</v>
      </c>
      <c r="M2343">
        <f>Sales_Per_Rep_Yearly_Goal!$C$3</f>
        <v>690000</v>
      </c>
    </row>
    <row r="2344" spans="1:13" x14ac:dyDescent="0.3">
      <c r="A2344" s="3">
        <v>45546</v>
      </c>
      <c r="B2344">
        <f t="shared" si="36"/>
        <v>2024</v>
      </c>
      <c r="C2344">
        <v>9</v>
      </c>
      <c r="D2344" t="s">
        <v>19</v>
      </c>
      <c r="E2344" t="s">
        <v>5</v>
      </c>
      <c r="F2344" s="2">
        <v>9338</v>
      </c>
      <c r="G2344" s="2">
        <f>Monthly_Growth!$C$22</f>
        <v>837994</v>
      </c>
      <c r="H2344" s="5">
        <f>Monthly_Growth!$D$22</f>
        <v>-4.4987344282248147E-2</v>
      </c>
      <c r="I2344" s="15">
        <f>Yearly_Growth!$C$3</f>
        <v>0.11893113731787852</v>
      </c>
      <c r="J2344" s="15">
        <f>Yearly_Growth!$D$3</f>
        <v>0.09</v>
      </c>
      <c r="K2344">
        <f>Sales_Per_Representative!$C$25</f>
        <v>749460</v>
      </c>
      <c r="L2344">
        <f>Sales_Per_Rep_Yearly_Goal!$B$3</f>
        <v>689907.8</v>
      </c>
      <c r="M2344">
        <f>Sales_Per_Rep_Yearly_Goal!$C$3</f>
        <v>690000</v>
      </c>
    </row>
    <row r="2345" spans="1:13" x14ac:dyDescent="0.3">
      <c r="A2345" s="3">
        <v>45546</v>
      </c>
      <c r="B2345">
        <f t="shared" si="36"/>
        <v>2024</v>
      </c>
      <c r="C2345">
        <v>9</v>
      </c>
      <c r="D2345" t="s">
        <v>19</v>
      </c>
      <c r="E2345" t="s">
        <v>24</v>
      </c>
      <c r="F2345" s="2">
        <v>7685</v>
      </c>
      <c r="G2345" s="2">
        <f>Monthly_Growth!$C$22</f>
        <v>837994</v>
      </c>
      <c r="H2345" s="5">
        <f>Monthly_Growth!$D$22</f>
        <v>-4.4987344282248147E-2</v>
      </c>
      <c r="I2345" s="15">
        <f>Yearly_Growth!$C$3</f>
        <v>0.11893113731787852</v>
      </c>
      <c r="J2345" s="15">
        <f>Yearly_Growth!$D$3</f>
        <v>0.09</v>
      </c>
      <c r="K2345">
        <f>Sales_Per_Representative!$C$17</f>
        <v>633956</v>
      </c>
      <c r="L2345">
        <f>Sales_Per_Rep_Yearly_Goal!$B$3</f>
        <v>689907.8</v>
      </c>
      <c r="M2345">
        <f>Sales_Per_Rep_Yearly_Goal!$C$3</f>
        <v>690000</v>
      </c>
    </row>
    <row r="2346" spans="1:13" x14ac:dyDescent="0.3">
      <c r="A2346" s="3">
        <v>45546</v>
      </c>
      <c r="B2346">
        <f t="shared" si="36"/>
        <v>2024</v>
      </c>
      <c r="C2346">
        <v>9</v>
      </c>
      <c r="D2346" t="s">
        <v>28</v>
      </c>
      <c r="E2346" t="s">
        <v>5</v>
      </c>
      <c r="F2346" s="2">
        <v>3339</v>
      </c>
      <c r="G2346" s="2">
        <f>Monthly_Growth!$C$22</f>
        <v>837994</v>
      </c>
      <c r="H2346" s="5">
        <f>Monthly_Growth!$D$22</f>
        <v>-4.4987344282248147E-2</v>
      </c>
      <c r="I2346" s="15">
        <f>Yearly_Growth!$C$3</f>
        <v>0.11893113731787852</v>
      </c>
      <c r="J2346" s="15">
        <f>Yearly_Growth!$D$3</f>
        <v>0.09</v>
      </c>
      <c r="K2346">
        <f>Sales_Per_Representative!$C$25</f>
        <v>749460</v>
      </c>
      <c r="L2346">
        <f>Sales_Per_Rep_Yearly_Goal!$B$3</f>
        <v>689907.8</v>
      </c>
      <c r="M2346">
        <f>Sales_Per_Rep_Yearly_Goal!$C$3</f>
        <v>690000</v>
      </c>
    </row>
    <row r="2347" spans="1:13" x14ac:dyDescent="0.3">
      <c r="A2347" s="3">
        <v>45546</v>
      </c>
      <c r="B2347">
        <f t="shared" si="36"/>
        <v>2024</v>
      </c>
      <c r="C2347">
        <v>9</v>
      </c>
      <c r="D2347" t="s">
        <v>17</v>
      </c>
      <c r="E2347" t="s">
        <v>24</v>
      </c>
      <c r="F2347" s="2">
        <v>4610</v>
      </c>
      <c r="G2347" s="2">
        <f>Monthly_Growth!$C$22</f>
        <v>837994</v>
      </c>
      <c r="H2347" s="5">
        <f>Monthly_Growth!$D$22</f>
        <v>-4.4987344282248147E-2</v>
      </c>
      <c r="I2347" s="15">
        <f>Yearly_Growth!$C$3</f>
        <v>0.11893113731787852</v>
      </c>
      <c r="J2347" s="15">
        <f>Yearly_Growth!$D$3</f>
        <v>0.09</v>
      </c>
      <c r="K2347">
        <f>Sales_Per_Representative!$C$17</f>
        <v>633956</v>
      </c>
      <c r="L2347">
        <f>Sales_Per_Rep_Yearly_Goal!$B$3</f>
        <v>689907.8</v>
      </c>
      <c r="M2347">
        <f>Sales_Per_Rep_Yearly_Goal!$C$3</f>
        <v>690000</v>
      </c>
    </row>
    <row r="2348" spans="1:13" x14ac:dyDescent="0.3">
      <c r="A2348" s="3">
        <v>45547</v>
      </c>
      <c r="B2348">
        <f t="shared" si="36"/>
        <v>2024</v>
      </c>
      <c r="C2348">
        <v>9</v>
      </c>
      <c r="D2348" t="s">
        <v>14</v>
      </c>
      <c r="E2348" t="s">
        <v>5</v>
      </c>
      <c r="F2348" s="2">
        <v>11031</v>
      </c>
      <c r="G2348" s="2">
        <f>Monthly_Growth!$C$22</f>
        <v>837994</v>
      </c>
      <c r="H2348" s="5">
        <f>Monthly_Growth!$D$22</f>
        <v>-4.4987344282248147E-2</v>
      </c>
      <c r="I2348" s="15">
        <f>Yearly_Growth!$C$3</f>
        <v>0.11893113731787852</v>
      </c>
      <c r="J2348" s="15">
        <f>Yearly_Growth!$D$3</f>
        <v>0.09</v>
      </c>
      <c r="K2348">
        <f>Sales_Per_Representative!$C$25</f>
        <v>749460</v>
      </c>
      <c r="L2348">
        <f>Sales_Per_Rep_Yearly_Goal!$B$3</f>
        <v>689907.8</v>
      </c>
      <c r="M2348">
        <f>Sales_Per_Rep_Yearly_Goal!$C$3</f>
        <v>690000</v>
      </c>
    </row>
    <row r="2349" spans="1:13" x14ac:dyDescent="0.3">
      <c r="A2349" s="3">
        <v>45547</v>
      </c>
      <c r="B2349">
        <f t="shared" si="36"/>
        <v>2024</v>
      </c>
      <c r="C2349">
        <v>9</v>
      </c>
      <c r="D2349" t="s">
        <v>25</v>
      </c>
      <c r="E2349" t="s">
        <v>10</v>
      </c>
      <c r="F2349" s="2">
        <v>8585</v>
      </c>
      <c r="G2349" s="2">
        <f>Monthly_Growth!$C$22</f>
        <v>837994</v>
      </c>
      <c r="H2349" s="5">
        <f>Monthly_Growth!$D$22</f>
        <v>-4.4987344282248147E-2</v>
      </c>
      <c r="I2349" s="15">
        <f>Yearly_Growth!$C$3</f>
        <v>0.11893113731787852</v>
      </c>
      <c r="J2349" s="15">
        <f>Yearly_Growth!$D$3</f>
        <v>0.09</v>
      </c>
      <c r="K2349">
        <f>Sales_Per_Representative!$C$19</f>
        <v>711816</v>
      </c>
      <c r="L2349">
        <f>Sales_Per_Rep_Yearly_Goal!$B$3</f>
        <v>689907.8</v>
      </c>
      <c r="M2349">
        <f>Sales_Per_Rep_Yearly_Goal!$C$3</f>
        <v>690000</v>
      </c>
    </row>
    <row r="2350" spans="1:13" x14ac:dyDescent="0.3">
      <c r="A2350" s="3">
        <v>45547</v>
      </c>
      <c r="B2350">
        <f t="shared" si="36"/>
        <v>2024</v>
      </c>
      <c r="C2350">
        <v>9</v>
      </c>
      <c r="D2350" t="s">
        <v>7</v>
      </c>
      <c r="E2350" t="s">
        <v>32</v>
      </c>
      <c r="F2350" s="2">
        <v>6897</v>
      </c>
      <c r="G2350" s="2">
        <f>Monthly_Growth!$C$22</f>
        <v>837994</v>
      </c>
      <c r="H2350" s="5">
        <f>Monthly_Growth!$D$22</f>
        <v>-4.4987344282248147E-2</v>
      </c>
      <c r="I2350" s="15">
        <f>Yearly_Growth!$C$3</f>
        <v>0.11893113731787852</v>
      </c>
      <c r="J2350" s="15">
        <f>Yearly_Growth!$D$3</f>
        <v>0.09</v>
      </c>
      <c r="K2350">
        <f>Sales_Per_Representative!$C$18</f>
        <v>783907</v>
      </c>
      <c r="L2350">
        <f>Sales_Per_Rep_Yearly_Goal!$B$3</f>
        <v>689907.8</v>
      </c>
      <c r="M2350">
        <f>Sales_Per_Rep_Yearly_Goal!$C$3</f>
        <v>690000</v>
      </c>
    </row>
    <row r="2351" spans="1:13" x14ac:dyDescent="0.3">
      <c r="A2351" s="3">
        <v>45547</v>
      </c>
      <c r="B2351">
        <f t="shared" si="36"/>
        <v>2024</v>
      </c>
      <c r="C2351">
        <v>9</v>
      </c>
      <c r="D2351" t="s">
        <v>17</v>
      </c>
      <c r="E2351" t="s">
        <v>5</v>
      </c>
      <c r="F2351" s="2">
        <v>4553</v>
      </c>
      <c r="G2351" s="2">
        <f>Monthly_Growth!$C$22</f>
        <v>837994</v>
      </c>
      <c r="H2351" s="5">
        <f>Monthly_Growth!$D$22</f>
        <v>-4.4987344282248147E-2</v>
      </c>
      <c r="I2351" s="15">
        <f>Yearly_Growth!$C$3</f>
        <v>0.11893113731787852</v>
      </c>
      <c r="J2351" s="15">
        <f>Yearly_Growth!$D$3</f>
        <v>0.09</v>
      </c>
      <c r="K2351">
        <f>Sales_Per_Representative!$C$25</f>
        <v>749460</v>
      </c>
      <c r="L2351">
        <f>Sales_Per_Rep_Yearly_Goal!$B$3</f>
        <v>689907.8</v>
      </c>
      <c r="M2351">
        <f>Sales_Per_Rep_Yearly_Goal!$C$3</f>
        <v>690000</v>
      </c>
    </row>
    <row r="2352" spans="1:13" x14ac:dyDescent="0.3">
      <c r="A2352" s="3">
        <v>45548</v>
      </c>
      <c r="B2352">
        <f t="shared" si="36"/>
        <v>2024</v>
      </c>
      <c r="C2352">
        <v>9</v>
      </c>
      <c r="D2352" t="s">
        <v>14</v>
      </c>
      <c r="E2352" t="s">
        <v>29</v>
      </c>
      <c r="F2352" s="2">
        <v>10090</v>
      </c>
      <c r="G2352" s="2">
        <f>Monthly_Growth!$C$22</f>
        <v>837994</v>
      </c>
      <c r="H2352" s="5">
        <f>Monthly_Growth!$D$22</f>
        <v>-4.4987344282248147E-2</v>
      </c>
      <c r="I2352" s="15">
        <f>Yearly_Growth!$C$3</f>
        <v>0.11893113731787852</v>
      </c>
      <c r="J2352" s="15">
        <f>Yearly_Growth!$D$3</f>
        <v>0.09</v>
      </c>
      <c r="K2352">
        <f>Sales_Per_Representative!$C$28</f>
        <v>691917</v>
      </c>
      <c r="L2352">
        <f>Sales_Per_Rep_Yearly_Goal!$B$3</f>
        <v>689907.8</v>
      </c>
      <c r="M2352">
        <f>Sales_Per_Rep_Yearly_Goal!$C$3</f>
        <v>690000</v>
      </c>
    </row>
    <row r="2353" spans="1:13" x14ac:dyDescent="0.3">
      <c r="A2353" s="3">
        <v>45548</v>
      </c>
      <c r="B2353">
        <f t="shared" si="36"/>
        <v>2024</v>
      </c>
      <c r="C2353">
        <v>9</v>
      </c>
      <c r="D2353" t="s">
        <v>19</v>
      </c>
      <c r="E2353" t="s">
        <v>20</v>
      </c>
      <c r="F2353" s="2">
        <v>9609</v>
      </c>
      <c r="G2353" s="2">
        <f>Monthly_Growth!$C$22</f>
        <v>837994</v>
      </c>
      <c r="H2353" s="5">
        <f>Monthly_Growth!$D$22</f>
        <v>-4.4987344282248147E-2</v>
      </c>
      <c r="I2353" s="15">
        <f>Yearly_Growth!$C$3</f>
        <v>0.11893113731787852</v>
      </c>
      <c r="J2353" s="15">
        <f>Yearly_Growth!$D$3</f>
        <v>0.09</v>
      </c>
      <c r="K2353">
        <f>Sales_Per_Representative!$C$29</f>
        <v>753085</v>
      </c>
      <c r="L2353">
        <f>Sales_Per_Rep_Yearly_Goal!$B$3</f>
        <v>689907.8</v>
      </c>
      <c r="M2353">
        <f>Sales_Per_Rep_Yearly_Goal!$C$3</f>
        <v>690000</v>
      </c>
    </row>
    <row r="2354" spans="1:13" x14ac:dyDescent="0.3">
      <c r="A2354" s="3">
        <v>45548</v>
      </c>
      <c r="B2354">
        <f t="shared" si="36"/>
        <v>2024</v>
      </c>
      <c r="C2354">
        <v>9</v>
      </c>
      <c r="D2354" t="s">
        <v>7</v>
      </c>
      <c r="E2354" t="s">
        <v>26</v>
      </c>
      <c r="F2354" s="2">
        <v>3523</v>
      </c>
      <c r="G2354" s="2">
        <f>Monthly_Growth!$C$22</f>
        <v>837994</v>
      </c>
      <c r="H2354" s="5">
        <f>Monthly_Growth!$D$22</f>
        <v>-4.4987344282248147E-2</v>
      </c>
      <c r="I2354" s="15">
        <f>Yearly_Growth!$C$3</f>
        <v>0.11893113731787852</v>
      </c>
      <c r="J2354" s="15">
        <f>Yearly_Growth!$D$3</f>
        <v>0.09</v>
      </c>
      <c r="K2354">
        <f>Sales_Per_Representative!$C$31</f>
        <v>664244</v>
      </c>
      <c r="L2354">
        <f>Sales_Per_Rep_Yearly_Goal!$B$3</f>
        <v>689907.8</v>
      </c>
      <c r="M2354">
        <f>Sales_Per_Rep_Yearly_Goal!$C$3</f>
        <v>690000</v>
      </c>
    </row>
    <row r="2355" spans="1:13" x14ac:dyDescent="0.3">
      <c r="A2355" s="3">
        <v>45548</v>
      </c>
      <c r="B2355">
        <f t="shared" si="36"/>
        <v>2024</v>
      </c>
      <c r="C2355">
        <v>9</v>
      </c>
      <c r="D2355" t="s">
        <v>7</v>
      </c>
      <c r="E2355" t="s">
        <v>26</v>
      </c>
      <c r="F2355" s="2">
        <v>1664</v>
      </c>
      <c r="G2355" s="2">
        <f>Monthly_Growth!$C$22</f>
        <v>837994</v>
      </c>
      <c r="H2355" s="5">
        <f>Monthly_Growth!$D$22</f>
        <v>-4.4987344282248147E-2</v>
      </c>
      <c r="I2355" s="15">
        <f>Yearly_Growth!$C$3</f>
        <v>0.11893113731787852</v>
      </c>
      <c r="J2355" s="15">
        <f>Yearly_Growth!$D$3</f>
        <v>0.09</v>
      </c>
      <c r="K2355">
        <f>Sales_Per_Representative!$C$31</f>
        <v>664244</v>
      </c>
      <c r="L2355">
        <f>Sales_Per_Rep_Yearly_Goal!$B$3</f>
        <v>689907.8</v>
      </c>
      <c r="M2355">
        <f>Sales_Per_Rep_Yearly_Goal!$C$3</f>
        <v>690000</v>
      </c>
    </row>
    <row r="2356" spans="1:13" x14ac:dyDescent="0.3">
      <c r="A2356" s="3">
        <v>45548</v>
      </c>
      <c r="B2356">
        <f t="shared" si="36"/>
        <v>2024</v>
      </c>
      <c r="C2356">
        <v>9</v>
      </c>
      <c r="D2356" t="s">
        <v>17</v>
      </c>
      <c r="E2356" t="s">
        <v>30</v>
      </c>
      <c r="F2356" s="2">
        <v>1887</v>
      </c>
      <c r="G2356" s="2">
        <f>Monthly_Growth!$C$22</f>
        <v>837994</v>
      </c>
      <c r="H2356" s="5">
        <f>Monthly_Growth!$D$22</f>
        <v>-4.4987344282248147E-2</v>
      </c>
      <c r="I2356" s="15">
        <f>Yearly_Growth!$C$3</f>
        <v>0.11893113731787852</v>
      </c>
      <c r="J2356" s="15">
        <f>Yearly_Growth!$D$3</f>
        <v>0.09</v>
      </c>
      <c r="K2356">
        <f>Sales_Per_Representative!$C$22</f>
        <v>700142</v>
      </c>
      <c r="L2356">
        <f>Sales_Per_Rep_Yearly_Goal!$B$3</f>
        <v>689907.8</v>
      </c>
      <c r="M2356">
        <f>Sales_Per_Rep_Yearly_Goal!$C$3</f>
        <v>690000</v>
      </c>
    </row>
    <row r="2357" spans="1:13" x14ac:dyDescent="0.3">
      <c r="A2357" s="3">
        <v>45548</v>
      </c>
      <c r="B2357">
        <f t="shared" si="36"/>
        <v>2024</v>
      </c>
      <c r="C2357">
        <v>9</v>
      </c>
      <c r="D2357" t="s">
        <v>12</v>
      </c>
      <c r="E2357" t="s">
        <v>24</v>
      </c>
      <c r="F2357" s="2">
        <v>9118</v>
      </c>
      <c r="G2357" s="2">
        <f>Monthly_Growth!$C$22</f>
        <v>837994</v>
      </c>
      <c r="H2357" s="5">
        <f>Monthly_Growth!$D$22</f>
        <v>-4.4987344282248147E-2</v>
      </c>
      <c r="I2357" s="15">
        <f>Yearly_Growth!$C$3</f>
        <v>0.11893113731787852</v>
      </c>
      <c r="J2357" s="15">
        <f>Yearly_Growth!$D$3</f>
        <v>0.09</v>
      </c>
      <c r="K2357">
        <f>Sales_Per_Representative!$C$17</f>
        <v>633956</v>
      </c>
      <c r="L2357">
        <f>Sales_Per_Rep_Yearly_Goal!$B$3</f>
        <v>689907.8</v>
      </c>
      <c r="M2357">
        <f>Sales_Per_Rep_Yearly_Goal!$C$3</f>
        <v>690000</v>
      </c>
    </row>
    <row r="2358" spans="1:13" x14ac:dyDescent="0.3">
      <c r="A2358" s="3">
        <v>45549</v>
      </c>
      <c r="B2358">
        <f t="shared" si="36"/>
        <v>2024</v>
      </c>
      <c r="C2358">
        <v>9</v>
      </c>
      <c r="D2358" t="s">
        <v>14</v>
      </c>
      <c r="E2358" t="s">
        <v>24</v>
      </c>
      <c r="F2358" s="2">
        <v>11810</v>
      </c>
      <c r="G2358" s="2">
        <f>Monthly_Growth!$C$22</f>
        <v>837994</v>
      </c>
      <c r="H2358" s="5">
        <f>Monthly_Growth!$D$22</f>
        <v>-4.4987344282248147E-2</v>
      </c>
      <c r="I2358" s="15">
        <f>Yearly_Growth!$C$3</f>
        <v>0.11893113731787852</v>
      </c>
      <c r="J2358" s="15">
        <f>Yearly_Growth!$D$3</f>
        <v>0.09</v>
      </c>
      <c r="K2358">
        <f>Sales_Per_Representative!$C$17</f>
        <v>633956</v>
      </c>
      <c r="L2358">
        <f>Sales_Per_Rep_Yearly_Goal!$B$3</f>
        <v>689907.8</v>
      </c>
      <c r="M2358">
        <f>Sales_Per_Rep_Yearly_Goal!$C$3</f>
        <v>690000</v>
      </c>
    </row>
    <row r="2359" spans="1:13" x14ac:dyDescent="0.3">
      <c r="A2359" s="3">
        <v>45549</v>
      </c>
      <c r="B2359">
        <f t="shared" si="36"/>
        <v>2024</v>
      </c>
      <c r="C2359">
        <v>9</v>
      </c>
      <c r="D2359" t="s">
        <v>14</v>
      </c>
      <c r="E2359" t="s">
        <v>18</v>
      </c>
      <c r="F2359" s="2">
        <v>7486</v>
      </c>
      <c r="G2359" s="2">
        <f>Monthly_Growth!$C$22</f>
        <v>837994</v>
      </c>
      <c r="H2359" s="5">
        <f>Monthly_Growth!$D$22</f>
        <v>-4.4987344282248147E-2</v>
      </c>
      <c r="I2359" s="15">
        <f>Yearly_Growth!$C$3</f>
        <v>0.11893113731787852</v>
      </c>
      <c r="J2359" s="15">
        <f>Yearly_Growth!$D$3</f>
        <v>0.09</v>
      </c>
      <c r="K2359">
        <f>Sales_Per_Representative!$C$24</f>
        <v>699277</v>
      </c>
      <c r="L2359">
        <f>Sales_Per_Rep_Yearly_Goal!$B$3</f>
        <v>689907.8</v>
      </c>
      <c r="M2359">
        <f>Sales_Per_Rep_Yearly_Goal!$C$3</f>
        <v>690000</v>
      </c>
    </row>
    <row r="2360" spans="1:13" x14ac:dyDescent="0.3">
      <c r="A2360" s="3">
        <v>45549</v>
      </c>
      <c r="B2360">
        <f t="shared" si="36"/>
        <v>2024</v>
      </c>
      <c r="C2360">
        <v>9</v>
      </c>
      <c r="D2360" t="s">
        <v>19</v>
      </c>
      <c r="E2360" t="s">
        <v>5</v>
      </c>
      <c r="F2360" s="2">
        <v>12682</v>
      </c>
      <c r="G2360" s="2">
        <f>Monthly_Growth!$C$22</f>
        <v>837994</v>
      </c>
      <c r="H2360" s="5">
        <f>Monthly_Growth!$D$22</f>
        <v>-4.4987344282248147E-2</v>
      </c>
      <c r="I2360" s="15">
        <f>Yearly_Growth!$C$3</f>
        <v>0.11893113731787852</v>
      </c>
      <c r="J2360" s="15">
        <f>Yearly_Growth!$D$3</f>
        <v>0.09</v>
      </c>
      <c r="K2360">
        <f>Sales_Per_Representative!$C$25</f>
        <v>749460</v>
      </c>
      <c r="L2360">
        <f>Sales_Per_Rep_Yearly_Goal!$B$3</f>
        <v>689907.8</v>
      </c>
      <c r="M2360">
        <f>Sales_Per_Rep_Yearly_Goal!$C$3</f>
        <v>690000</v>
      </c>
    </row>
    <row r="2361" spans="1:13" x14ac:dyDescent="0.3">
      <c r="A2361" s="3">
        <v>45549</v>
      </c>
      <c r="B2361">
        <f t="shared" si="36"/>
        <v>2024</v>
      </c>
      <c r="C2361">
        <v>9</v>
      </c>
      <c r="D2361" t="s">
        <v>25</v>
      </c>
      <c r="E2361" t="s">
        <v>15</v>
      </c>
      <c r="F2361" s="2">
        <v>13765</v>
      </c>
      <c r="G2361" s="2">
        <f>Monthly_Growth!$C$22</f>
        <v>837994</v>
      </c>
      <c r="H2361" s="5">
        <f>Monthly_Growth!$D$22</f>
        <v>-4.4987344282248147E-2</v>
      </c>
      <c r="I2361" s="15">
        <f>Yearly_Growth!$C$3</f>
        <v>0.11893113731787852</v>
      </c>
      <c r="J2361" s="15">
        <f>Yearly_Growth!$D$3</f>
        <v>0.09</v>
      </c>
      <c r="K2361">
        <f>Sales_Per_Representative!$C$27</f>
        <v>617202</v>
      </c>
      <c r="L2361">
        <f>Sales_Per_Rep_Yearly_Goal!$B$3</f>
        <v>689907.8</v>
      </c>
      <c r="M2361">
        <f>Sales_Per_Rep_Yearly_Goal!$C$3</f>
        <v>690000</v>
      </c>
    </row>
    <row r="2362" spans="1:13" x14ac:dyDescent="0.3">
      <c r="A2362" s="3">
        <v>45549</v>
      </c>
      <c r="B2362">
        <f t="shared" si="36"/>
        <v>2024</v>
      </c>
      <c r="C2362">
        <v>9</v>
      </c>
      <c r="D2362" t="s">
        <v>28</v>
      </c>
      <c r="E2362" t="s">
        <v>22</v>
      </c>
      <c r="F2362" s="2">
        <v>2910</v>
      </c>
      <c r="G2362" s="2">
        <f>Monthly_Growth!$C$22</f>
        <v>837994</v>
      </c>
      <c r="H2362" s="5">
        <f>Monthly_Growth!$D$22</f>
        <v>-4.4987344282248147E-2</v>
      </c>
      <c r="I2362" s="15">
        <f>Yearly_Growth!$C$3</f>
        <v>0.11893113731787852</v>
      </c>
      <c r="J2362" s="15">
        <f>Yearly_Growth!$D$3</f>
        <v>0.09</v>
      </c>
      <c r="K2362">
        <f>Sales_Per_Representative!$C$23</f>
        <v>697444</v>
      </c>
      <c r="L2362">
        <f>Sales_Per_Rep_Yearly_Goal!$B$3</f>
        <v>689907.8</v>
      </c>
      <c r="M2362">
        <f>Sales_Per_Rep_Yearly_Goal!$C$3</f>
        <v>690000</v>
      </c>
    </row>
    <row r="2363" spans="1:13" x14ac:dyDescent="0.3">
      <c r="A2363" s="3">
        <v>45550</v>
      </c>
      <c r="B2363">
        <f t="shared" si="36"/>
        <v>2024</v>
      </c>
      <c r="C2363">
        <v>9</v>
      </c>
      <c r="D2363" t="s">
        <v>17</v>
      </c>
      <c r="E2363" t="s">
        <v>8</v>
      </c>
      <c r="F2363" s="2">
        <v>9564</v>
      </c>
      <c r="G2363" s="2">
        <f>Monthly_Growth!$C$22</f>
        <v>837994</v>
      </c>
      <c r="H2363" s="5">
        <f>Monthly_Growth!$D$22</f>
        <v>-4.4987344282248147E-2</v>
      </c>
      <c r="I2363" s="15">
        <f>Yearly_Growth!$C$3</f>
        <v>0.11893113731787852</v>
      </c>
      <c r="J2363" s="15">
        <f>Yearly_Growth!$D$3</f>
        <v>0.09</v>
      </c>
      <c r="K2363">
        <f>Sales_Per_Representative!$C$30</f>
        <v>780006</v>
      </c>
      <c r="L2363">
        <f>Sales_Per_Rep_Yearly_Goal!$B$3</f>
        <v>689907.8</v>
      </c>
      <c r="M2363">
        <f>Sales_Per_Rep_Yearly_Goal!$C$3</f>
        <v>690000</v>
      </c>
    </row>
    <row r="2364" spans="1:13" x14ac:dyDescent="0.3">
      <c r="A2364" s="3">
        <v>45552</v>
      </c>
      <c r="B2364">
        <f t="shared" si="36"/>
        <v>2024</v>
      </c>
      <c r="C2364">
        <v>9</v>
      </c>
      <c r="D2364" t="s">
        <v>19</v>
      </c>
      <c r="E2364" t="s">
        <v>8</v>
      </c>
      <c r="F2364" s="2">
        <v>13904</v>
      </c>
      <c r="G2364" s="2">
        <f>Monthly_Growth!$C$22</f>
        <v>837994</v>
      </c>
      <c r="H2364" s="5">
        <f>Monthly_Growth!$D$22</f>
        <v>-4.4987344282248147E-2</v>
      </c>
      <c r="I2364" s="15">
        <f>Yearly_Growth!$C$3</f>
        <v>0.11893113731787852</v>
      </c>
      <c r="J2364" s="15">
        <f>Yearly_Growth!$D$3</f>
        <v>0.09</v>
      </c>
      <c r="K2364">
        <f>Sales_Per_Representative!$C$30</f>
        <v>780006</v>
      </c>
      <c r="L2364">
        <f>Sales_Per_Rep_Yearly_Goal!$B$3</f>
        <v>689907.8</v>
      </c>
      <c r="M2364">
        <f>Sales_Per_Rep_Yearly_Goal!$C$3</f>
        <v>690000</v>
      </c>
    </row>
    <row r="2365" spans="1:13" x14ac:dyDescent="0.3">
      <c r="A2365" s="3">
        <v>45552</v>
      </c>
      <c r="B2365">
        <f t="shared" si="36"/>
        <v>2024</v>
      </c>
      <c r="C2365">
        <v>9</v>
      </c>
      <c r="D2365" t="s">
        <v>23</v>
      </c>
      <c r="E2365" t="s">
        <v>27</v>
      </c>
      <c r="F2365" s="2">
        <v>12771</v>
      </c>
      <c r="G2365" s="2">
        <f>Monthly_Growth!$C$22</f>
        <v>837994</v>
      </c>
      <c r="H2365" s="5">
        <f>Monthly_Growth!$D$22</f>
        <v>-4.4987344282248147E-2</v>
      </c>
      <c r="I2365" s="15">
        <f>Yearly_Growth!$C$3</f>
        <v>0.11893113731787852</v>
      </c>
      <c r="J2365" s="15">
        <f>Yearly_Growth!$D$3</f>
        <v>0.09</v>
      </c>
      <c r="K2365">
        <f>Sales_Per_Representative!$C$20</f>
        <v>685380</v>
      </c>
      <c r="L2365">
        <f>Sales_Per_Rep_Yearly_Goal!$B$3</f>
        <v>689907.8</v>
      </c>
      <c r="M2365">
        <f>Sales_Per_Rep_Yearly_Goal!$C$3</f>
        <v>690000</v>
      </c>
    </row>
    <row r="2366" spans="1:13" x14ac:dyDescent="0.3">
      <c r="A2366" s="3">
        <v>45552</v>
      </c>
      <c r="B2366">
        <f t="shared" si="36"/>
        <v>2024</v>
      </c>
      <c r="C2366">
        <v>9</v>
      </c>
      <c r="D2366" t="s">
        <v>7</v>
      </c>
      <c r="E2366" t="s">
        <v>31</v>
      </c>
      <c r="F2366" s="2">
        <v>2790</v>
      </c>
      <c r="G2366" s="2">
        <f>Monthly_Growth!$C$22</f>
        <v>837994</v>
      </c>
      <c r="H2366" s="5">
        <f>Monthly_Growth!$D$22</f>
        <v>-4.4987344282248147E-2</v>
      </c>
      <c r="I2366" s="15">
        <f>Yearly_Growth!$C$3</f>
        <v>0.11893113731787852</v>
      </c>
      <c r="J2366" s="15">
        <f>Yearly_Growth!$D$3</f>
        <v>0.09</v>
      </c>
      <c r="K2366">
        <f>Sales_Per_Representative!$C$21</f>
        <v>679421</v>
      </c>
      <c r="L2366">
        <f>Sales_Per_Rep_Yearly_Goal!$B$3</f>
        <v>689907.8</v>
      </c>
      <c r="M2366">
        <f>Sales_Per_Rep_Yearly_Goal!$C$3</f>
        <v>690000</v>
      </c>
    </row>
    <row r="2367" spans="1:13" x14ac:dyDescent="0.3">
      <c r="A2367" s="3">
        <v>45553</v>
      </c>
      <c r="B2367">
        <f t="shared" si="36"/>
        <v>2024</v>
      </c>
      <c r="C2367">
        <v>9</v>
      </c>
      <c r="D2367" t="s">
        <v>14</v>
      </c>
      <c r="E2367" t="s">
        <v>24</v>
      </c>
      <c r="F2367" s="2">
        <v>12889</v>
      </c>
      <c r="G2367" s="2">
        <f>Monthly_Growth!$C$22</f>
        <v>837994</v>
      </c>
      <c r="H2367" s="5">
        <f>Monthly_Growth!$D$22</f>
        <v>-4.4987344282248147E-2</v>
      </c>
      <c r="I2367" s="15">
        <f>Yearly_Growth!$C$3</f>
        <v>0.11893113731787852</v>
      </c>
      <c r="J2367" s="15">
        <f>Yearly_Growth!$D$3</f>
        <v>0.09</v>
      </c>
      <c r="K2367">
        <f>Sales_Per_Representative!$C$17</f>
        <v>633956</v>
      </c>
      <c r="L2367">
        <f>Sales_Per_Rep_Yearly_Goal!$B$3</f>
        <v>689907.8</v>
      </c>
      <c r="M2367">
        <f>Sales_Per_Rep_Yearly_Goal!$C$3</f>
        <v>690000</v>
      </c>
    </row>
    <row r="2368" spans="1:13" x14ac:dyDescent="0.3">
      <c r="A2368" s="3">
        <v>45553</v>
      </c>
      <c r="B2368">
        <f t="shared" si="36"/>
        <v>2024</v>
      </c>
      <c r="C2368">
        <v>9</v>
      </c>
      <c r="D2368" t="s">
        <v>14</v>
      </c>
      <c r="E2368" t="s">
        <v>26</v>
      </c>
      <c r="F2368" s="2">
        <v>10817</v>
      </c>
      <c r="G2368" s="2">
        <f>Monthly_Growth!$C$22</f>
        <v>837994</v>
      </c>
      <c r="H2368" s="5">
        <f>Monthly_Growth!$D$22</f>
        <v>-4.4987344282248147E-2</v>
      </c>
      <c r="I2368" s="15">
        <f>Yearly_Growth!$C$3</f>
        <v>0.11893113731787852</v>
      </c>
      <c r="J2368" s="15">
        <f>Yearly_Growth!$D$3</f>
        <v>0.09</v>
      </c>
      <c r="K2368">
        <f>Sales_Per_Representative!$C$31</f>
        <v>664244</v>
      </c>
      <c r="L2368">
        <f>Sales_Per_Rep_Yearly_Goal!$B$3</f>
        <v>689907.8</v>
      </c>
      <c r="M2368">
        <f>Sales_Per_Rep_Yearly_Goal!$C$3</f>
        <v>690000</v>
      </c>
    </row>
    <row r="2369" spans="1:13" x14ac:dyDescent="0.3">
      <c r="A2369" s="3">
        <v>45553</v>
      </c>
      <c r="B2369">
        <f t="shared" si="36"/>
        <v>2024</v>
      </c>
      <c r="C2369">
        <v>9</v>
      </c>
      <c r="D2369" t="s">
        <v>23</v>
      </c>
      <c r="E2369" t="s">
        <v>15</v>
      </c>
      <c r="F2369" s="2">
        <v>9008</v>
      </c>
      <c r="G2369" s="2">
        <f>Monthly_Growth!$C$22</f>
        <v>837994</v>
      </c>
      <c r="H2369" s="5">
        <f>Monthly_Growth!$D$22</f>
        <v>-4.4987344282248147E-2</v>
      </c>
      <c r="I2369" s="15">
        <f>Yearly_Growth!$C$3</f>
        <v>0.11893113731787852</v>
      </c>
      <c r="J2369" s="15">
        <f>Yearly_Growth!$D$3</f>
        <v>0.09</v>
      </c>
      <c r="K2369">
        <f>Sales_Per_Representative!$C$27</f>
        <v>617202</v>
      </c>
      <c r="L2369">
        <f>Sales_Per_Rep_Yearly_Goal!$B$3</f>
        <v>689907.8</v>
      </c>
      <c r="M2369">
        <f>Sales_Per_Rep_Yearly_Goal!$C$3</f>
        <v>690000</v>
      </c>
    </row>
    <row r="2370" spans="1:13" x14ac:dyDescent="0.3">
      <c r="A2370" s="3">
        <v>45553</v>
      </c>
      <c r="B2370">
        <f t="shared" si="36"/>
        <v>2024</v>
      </c>
      <c r="C2370">
        <v>9</v>
      </c>
      <c r="D2370" t="s">
        <v>25</v>
      </c>
      <c r="E2370" t="s">
        <v>26</v>
      </c>
      <c r="F2370" s="2">
        <v>7068</v>
      </c>
      <c r="G2370" s="2">
        <f>Monthly_Growth!$C$22</f>
        <v>837994</v>
      </c>
      <c r="H2370" s="5">
        <f>Monthly_Growth!$D$22</f>
        <v>-4.4987344282248147E-2</v>
      </c>
      <c r="I2370" s="15">
        <f>Yearly_Growth!$C$3</f>
        <v>0.11893113731787852</v>
      </c>
      <c r="J2370" s="15">
        <f>Yearly_Growth!$D$3</f>
        <v>0.09</v>
      </c>
      <c r="K2370">
        <f>Sales_Per_Representative!$C$31</f>
        <v>664244</v>
      </c>
      <c r="L2370">
        <f>Sales_Per_Rep_Yearly_Goal!$B$3</f>
        <v>689907.8</v>
      </c>
      <c r="M2370">
        <f>Sales_Per_Rep_Yearly_Goal!$C$3</f>
        <v>690000</v>
      </c>
    </row>
    <row r="2371" spans="1:13" x14ac:dyDescent="0.3">
      <c r="A2371" s="3">
        <v>45554</v>
      </c>
      <c r="B2371">
        <f t="shared" ref="B2371:B2434" si="37">YEAR(A2371)</f>
        <v>2024</v>
      </c>
      <c r="C2371">
        <v>9</v>
      </c>
      <c r="D2371" t="s">
        <v>12</v>
      </c>
      <c r="E2371" t="s">
        <v>29</v>
      </c>
      <c r="F2371" s="2">
        <v>1071</v>
      </c>
      <c r="G2371" s="2">
        <f>Monthly_Growth!$C$22</f>
        <v>837994</v>
      </c>
      <c r="H2371" s="5">
        <f>Monthly_Growth!$D$22</f>
        <v>-4.4987344282248147E-2</v>
      </c>
      <c r="I2371" s="15">
        <f>Yearly_Growth!$C$3</f>
        <v>0.11893113731787852</v>
      </c>
      <c r="J2371" s="15">
        <f>Yearly_Growth!$D$3</f>
        <v>0.09</v>
      </c>
      <c r="K2371">
        <f>Sales_Per_Representative!$C$28</f>
        <v>691917</v>
      </c>
      <c r="L2371">
        <f>Sales_Per_Rep_Yearly_Goal!$B$3</f>
        <v>689907.8</v>
      </c>
      <c r="M2371">
        <f>Sales_Per_Rep_Yearly_Goal!$C$3</f>
        <v>690000</v>
      </c>
    </row>
    <row r="2372" spans="1:13" x14ac:dyDescent="0.3">
      <c r="A2372" s="3">
        <v>45555</v>
      </c>
      <c r="B2372">
        <f t="shared" si="37"/>
        <v>2024</v>
      </c>
      <c r="C2372">
        <v>9</v>
      </c>
      <c r="D2372" t="s">
        <v>14</v>
      </c>
      <c r="E2372" t="s">
        <v>10</v>
      </c>
      <c r="F2372" s="2">
        <v>12711</v>
      </c>
      <c r="G2372" s="2">
        <f>Monthly_Growth!$C$22</f>
        <v>837994</v>
      </c>
      <c r="H2372" s="5">
        <f>Monthly_Growth!$D$22</f>
        <v>-4.4987344282248147E-2</v>
      </c>
      <c r="I2372" s="15">
        <f>Yearly_Growth!$C$3</f>
        <v>0.11893113731787852</v>
      </c>
      <c r="J2372" s="15">
        <f>Yearly_Growth!$D$3</f>
        <v>0.09</v>
      </c>
      <c r="K2372">
        <f>Sales_Per_Representative!$C$19</f>
        <v>711816</v>
      </c>
      <c r="L2372">
        <f>Sales_Per_Rep_Yearly_Goal!$B$3</f>
        <v>689907.8</v>
      </c>
      <c r="M2372">
        <f>Sales_Per_Rep_Yearly_Goal!$C$3</f>
        <v>690000</v>
      </c>
    </row>
    <row r="2373" spans="1:13" x14ac:dyDescent="0.3">
      <c r="A2373" s="3">
        <v>45555</v>
      </c>
      <c r="B2373">
        <f t="shared" si="37"/>
        <v>2024</v>
      </c>
      <c r="C2373">
        <v>9</v>
      </c>
      <c r="D2373" t="s">
        <v>14</v>
      </c>
      <c r="E2373" t="s">
        <v>5</v>
      </c>
      <c r="F2373" s="2">
        <v>1355</v>
      </c>
      <c r="G2373" s="2">
        <f>Monthly_Growth!$C$22</f>
        <v>837994</v>
      </c>
      <c r="H2373" s="5">
        <f>Monthly_Growth!$D$22</f>
        <v>-4.4987344282248147E-2</v>
      </c>
      <c r="I2373" s="15">
        <f>Yearly_Growth!$C$3</f>
        <v>0.11893113731787852</v>
      </c>
      <c r="J2373" s="15">
        <f>Yearly_Growth!$D$3</f>
        <v>0.09</v>
      </c>
      <c r="K2373">
        <f>Sales_Per_Representative!$C$25</f>
        <v>749460</v>
      </c>
      <c r="L2373">
        <f>Sales_Per_Rep_Yearly_Goal!$B$3</f>
        <v>689907.8</v>
      </c>
      <c r="M2373">
        <f>Sales_Per_Rep_Yearly_Goal!$C$3</f>
        <v>690000</v>
      </c>
    </row>
    <row r="2374" spans="1:13" x14ac:dyDescent="0.3">
      <c r="A2374" s="3">
        <v>45555</v>
      </c>
      <c r="B2374">
        <f t="shared" si="37"/>
        <v>2024</v>
      </c>
      <c r="C2374">
        <v>9</v>
      </c>
      <c r="D2374" t="s">
        <v>19</v>
      </c>
      <c r="E2374" t="s">
        <v>27</v>
      </c>
      <c r="F2374" s="2">
        <v>13331</v>
      </c>
      <c r="G2374" s="2">
        <f>Monthly_Growth!$C$22</f>
        <v>837994</v>
      </c>
      <c r="H2374" s="5">
        <f>Monthly_Growth!$D$22</f>
        <v>-4.4987344282248147E-2</v>
      </c>
      <c r="I2374" s="15">
        <f>Yearly_Growth!$C$3</f>
        <v>0.11893113731787852</v>
      </c>
      <c r="J2374" s="15">
        <f>Yearly_Growth!$D$3</f>
        <v>0.09</v>
      </c>
      <c r="K2374">
        <f>Sales_Per_Representative!$C$20</f>
        <v>685380</v>
      </c>
      <c r="L2374">
        <f>Sales_Per_Rep_Yearly_Goal!$B$3</f>
        <v>689907.8</v>
      </c>
      <c r="M2374">
        <f>Sales_Per_Rep_Yearly_Goal!$C$3</f>
        <v>690000</v>
      </c>
    </row>
    <row r="2375" spans="1:13" x14ac:dyDescent="0.3">
      <c r="A2375" s="3">
        <v>45555</v>
      </c>
      <c r="B2375">
        <f t="shared" si="37"/>
        <v>2024</v>
      </c>
      <c r="C2375">
        <v>9</v>
      </c>
      <c r="D2375" t="s">
        <v>23</v>
      </c>
      <c r="E2375" t="s">
        <v>32</v>
      </c>
      <c r="F2375" s="2">
        <v>2290</v>
      </c>
      <c r="G2375" s="2">
        <f>Monthly_Growth!$C$22</f>
        <v>837994</v>
      </c>
      <c r="H2375" s="5">
        <f>Monthly_Growth!$D$22</f>
        <v>-4.4987344282248147E-2</v>
      </c>
      <c r="I2375" s="15">
        <f>Yearly_Growth!$C$3</f>
        <v>0.11893113731787852</v>
      </c>
      <c r="J2375" s="15">
        <f>Yearly_Growth!$D$3</f>
        <v>0.09</v>
      </c>
      <c r="K2375">
        <f>Sales_Per_Representative!$C$18</f>
        <v>783907</v>
      </c>
      <c r="L2375">
        <f>Sales_Per_Rep_Yearly_Goal!$B$3</f>
        <v>689907.8</v>
      </c>
      <c r="M2375">
        <f>Sales_Per_Rep_Yearly_Goal!$C$3</f>
        <v>690000</v>
      </c>
    </row>
    <row r="2376" spans="1:13" x14ac:dyDescent="0.3">
      <c r="A2376" s="3">
        <v>45555</v>
      </c>
      <c r="B2376">
        <f t="shared" si="37"/>
        <v>2024</v>
      </c>
      <c r="C2376">
        <v>9</v>
      </c>
      <c r="D2376" t="s">
        <v>7</v>
      </c>
      <c r="E2376" t="s">
        <v>33</v>
      </c>
      <c r="F2376" s="2">
        <v>2435</v>
      </c>
      <c r="G2376" s="2">
        <f>Monthly_Growth!$C$22</f>
        <v>837994</v>
      </c>
      <c r="H2376" s="5">
        <f>Monthly_Growth!$D$22</f>
        <v>-4.4987344282248147E-2</v>
      </c>
      <c r="I2376" s="15">
        <f>Yearly_Growth!$C$3</f>
        <v>0.11893113731787852</v>
      </c>
      <c r="J2376" s="15">
        <f>Yearly_Growth!$D$3</f>
        <v>0.09</v>
      </c>
      <c r="K2376">
        <f>Sales_Per_Representative!$C$26</f>
        <v>501360</v>
      </c>
      <c r="L2376">
        <f>Sales_Per_Rep_Yearly_Goal!$B$3</f>
        <v>689907.8</v>
      </c>
      <c r="M2376">
        <f>Sales_Per_Rep_Yearly_Goal!$C$3</f>
        <v>690000</v>
      </c>
    </row>
    <row r="2377" spans="1:13" x14ac:dyDescent="0.3">
      <c r="A2377" s="3">
        <v>45555</v>
      </c>
      <c r="B2377">
        <f t="shared" si="37"/>
        <v>2024</v>
      </c>
      <c r="C2377">
        <v>9</v>
      </c>
      <c r="D2377" t="s">
        <v>28</v>
      </c>
      <c r="E2377" t="s">
        <v>26</v>
      </c>
      <c r="F2377" s="2">
        <v>7851</v>
      </c>
      <c r="G2377" s="2">
        <f>Monthly_Growth!$C$22</f>
        <v>837994</v>
      </c>
      <c r="H2377" s="5">
        <f>Monthly_Growth!$D$22</f>
        <v>-4.4987344282248147E-2</v>
      </c>
      <c r="I2377" s="15">
        <f>Yearly_Growth!$C$3</f>
        <v>0.11893113731787852</v>
      </c>
      <c r="J2377" s="15">
        <f>Yearly_Growth!$D$3</f>
        <v>0.09</v>
      </c>
      <c r="K2377">
        <f>Sales_Per_Representative!$C$31</f>
        <v>664244</v>
      </c>
      <c r="L2377">
        <f>Sales_Per_Rep_Yearly_Goal!$B$3</f>
        <v>689907.8</v>
      </c>
      <c r="M2377">
        <f>Sales_Per_Rep_Yearly_Goal!$C$3</f>
        <v>690000</v>
      </c>
    </row>
    <row r="2378" spans="1:13" x14ac:dyDescent="0.3">
      <c r="A2378" s="3">
        <v>45555</v>
      </c>
      <c r="B2378">
        <f t="shared" si="37"/>
        <v>2024</v>
      </c>
      <c r="C2378">
        <v>9</v>
      </c>
      <c r="D2378" t="s">
        <v>17</v>
      </c>
      <c r="E2378" t="s">
        <v>22</v>
      </c>
      <c r="F2378" s="2">
        <v>1908</v>
      </c>
      <c r="G2378" s="2">
        <f>Monthly_Growth!$C$22</f>
        <v>837994</v>
      </c>
      <c r="H2378" s="5">
        <f>Monthly_Growth!$D$22</f>
        <v>-4.4987344282248147E-2</v>
      </c>
      <c r="I2378" s="15">
        <f>Yearly_Growth!$C$3</f>
        <v>0.11893113731787852</v>
      </c>
      <c r="J2378" s="15">
        <f>Yearly_Growth!$D$3</f>
        <v>0.09</v>
      </c>
      <c r="K2378">
        <f>Sales_Per_Representative!$C$23</f>
        <v>697444</v>
      </c>
      <c r="L2378">
        <f>Sales_Per_Rep_Yearly_Goal!$B$3</f>
        <v>689907.8</v>
      </c>
      <c r="M2378">
        <f>Sales_Per_Rep_Yearly_Goal!$C$3</f>
        <v>690000</v>
      </c>
    </row>
    <row r="2379" spans="1:13" x14ac:dyDescent="0.3">
      <c r="A2379" s="3">
        <v>45556</v>
      </c>
      <c r="B2379">
        <f t="shared" si="37"/>
        <v>2024</v>
      </c>
      <c r="C2379">
        <v>9</v>
      </c>
      <c r="D2379" t="s">
        <v>14</v>
      </c>
      <c r="E2379" t="s">
        <v>27</v>
      </c>
      <c r="F2379" s="2">
        <v>1491</v>
      </c>
      <c r="G2379" s="2">
        <f>Monthly_Growth!$C$22</f>
        <v>837994</v>
      </c>
      <c r="H2379" s="5">
        <f>Monthly_Growth!$D$22</f>
        <v>-4.4987344282248147E-2</v>
      </c>
      <c r="I2379" s="15">
        <f>Yearly_Growth!$C$3</f>
        <v>0.11893113731787852</v>
      </c>
      <c r="J2379" s="15">
        <f>Yearly_Growth!$D$3</f>
        <v>0.09</v>
      </c>
      <c r="K2379">
        <f>Sales_Per_Representative!$C$20</f>
        <v>685380</v>
      </c>
      <c r="L2379">
        <f>Sales_Per_Rep_Yearly_Goal!$B$3</f>
        <v>689907.8</v>
      </c>
      <c r="M2379">
        <f>Sales_Per_Rep_Yearly_Goal!$C$3</f>
        <v>690000</v>
      </c>
    </row>
    <row r="2380" spans="1:13" x14ac:dyDescent="0.3">
      <c r="A2380" s="3">
        <v>45557</v>
      </c>
      <c r="B2380">
        <f t="shared" si="37"/>
        <v>2024</v>
      </c>
      <c r="C2380">
        <v>9</v>
      </c>
      <c r="D2380" t="s">
        <v>19</v>
      </c>
      <c r="E2380" t="s">
        <v>33</v>
      </c>
      <c r="F2380" s="2">
        <v>6992</v>
      </c>
      <c r="G2380" s="2">
        <f>Monthly_Growth!$C$22</f>
        <v>837994</v>
      </c>
      <c r="H2380" s="5">
        <f>Monthly_Growth!$D$22</f>
        <v>-4.4987344282248147E-2</v>
      </c>
      <c r="I2380" s="15">
        <f>Yearly_Growth!$C$3</f>
        <v>0.11893113731787852</v>
      </c>
      <c r="J2380" s="15">
        <f>Yearly_Growth!$D$3</f>
        <v>0.09</v>
      </c>
      <c r="K2380">
        <f>Sales_Per_Representative!$C$26</f>
        <v>501360</v>
      </c>
      <c r="L2380">
        <f>Sales_Per_Rep_Yearly_Goal!$B$3</f>
        <v>689907.8</v>
      </c>
      <c r="M2380">
        <f>Sales_Per_Rep_Yearly_Goal!$C$3</f>
        <v>690000</v>
      </c>
    </row>
    <row r="2381" spans="1:13" x14ac:dyDescent="0.3">
      <c r="A2381" s="3">
        <v>45557</v>
      </c>
      <c r="B2381">
        <f t="shared" si="37"/>
        <v>2024</v>
      </c>
      <c r="C2381">
        <v>9</v>
      </c>
      <c r="D2381" t="s">
        <v>25</v>
      </c>
      <c r="E2381" t="s">
        <v>18</v>
      </c>
      <c r="F2381" s="2">
        <v>8254</v>
      </c>
      <c r="G2381" s="2">
        <f>Monthly_Growth!$C$22</f>
        <v>837994</v>
      </c>
      <c r="H2381" s="5">
        <f>Monthly_Growth!$D$22</f>
        <v>-4.4987344282248147E-2</v>
      </c>
      <c r="I2381" s="15">
        <f>Yearly_Growth!$C$3</f>
        <v>0.11893113731787852</v>
      </c>
      <c r="J2381" s="15">
        <f>Yearly_Growth!$D$3</f>
        <v>0.09</v>
      </c>
      <c r="K2381">
        <f>Sales_Per_Representative!$C$24</f>
        <v>699277</v>
      </c>
      <c r="L2381">
        <f>Sales_Per_Rep_Yearly_Goal!$B$3</f>
        <v>689907.8</v>
      </c>
      <c r="M2381">
        <f>Sales_Per_Rep_Yearly_Goal!$C$3</f>
        <v>690000</v>
      </c>
    </row>
    <row r="2382" spans="1:13" x14ac:dyDescent="0.3">
      <c r="A2382" s="3">
        <v>45557</v>
      </c>
      <c r="B2382">
        <f t="shared" si="37"/>
        <v>2024</v>
      </c>
      <c r="C2382">
        <v>9</v>
      </c>
      <c r="D2382" t="s">
        <v>28</v>
      </c>
      <c r="E2382" t="s">
        <v>15</v>
      </c>
      <c r="F2382" s="2">
        <v>2307</v>
      </c>
      <c r="G2382" s="2">
        <f>Monthly_Growth!$C$22</f>
        <v>837994</v>
      </c>
      <c r="H2382" s="5">
        <f>Monthly_Growth!$D$22</f>
        <v>-4.4987344282248147E-2</v>
      </c>
      <c r="I2382" s="15">
        <f>Yearly_Growth!$C$3</f>
        <v>0.11893113731787852</v>
      </c>
      <c r="J2382" s="15">
        <f>Yearly_Growth!$D$3</f>
        <v>0.09</v>
      </c>
      <c r="K2382">
        <f>Sales_Per_Representative!$C$27</f>
        <v>617202</v>
      </c>
      <c r="L2382">
        <f>Sales_Per_Rep_Yearly_Goal!$B$3</f>
        <v>689907.8</v>
      </c>
      <c r="M2382">
        <f>Sales_Per_Rep_Yearly_Goal!$C$3</f>
        <v>690000</v>
      </c>
    </row>
    <row r="2383" spans="1:13" x14ac:dyDescent="0.3">
      <c r="A2383" s="3">
        <v>45558</v>
      </c>
      <c r="B2383">
        <f t="shared" si="37"/>
        <v>2024</v>
      </c>
      <c r="C2383">
        <v>9</v>
      </c>
      <c r="D2383" t="s">
        <v>25</v>
      </c>
      <c r="E2383" t="s">
        <v>8</v>
      </c>
      <c r="F2383" s="2">
        <v>12342</v>
      </c>
      <c r="G2383" s="2">
        <f>Monthly_Growth!$C$22</f>
        <v>837994</v>
      </c>
      <c r="H2383" s="5">
        <f>Monthly_Growth!$D$22</f>
        <v>-4.4987344282248147E-2</v>
      </c>
      <c r="I2383" s="15">
        <f>Yearly_Growth!$C$3</f>
        <v>0.11893113731787852</v>
      </c>
      <c r="J2383" s="15">
        <f>Yearly_Growth!$D$3</f>
        <v>0.09</v>
      </c>
      <c r="K2383">
        <f>Sales_Per_Representative!$C$30</f>
        <v>780006</v>
      </c>
      <c r="L2383">
        <f>Sales_Per_Rep_Yearly_Goal!$B$3</f>
        <v>689907.8</v>
      </c>
      <c r="M2383">
        <f>Sales_Per_Rep_Yearly_Goal!$C$3</f>
        <v>690000</v>
      </c>
    </row>
    <row r="2384" spans="1:13" x14ac:dyDescent="0.3">
      <c r="A2384" s="3">
        <v>45558</v>
      </c>
      <c r="B2384">
        <f t="shared" si="37"/>
        <v>2024</v>
      </c>
      <c r="C2384">
        <v>9</v>
      </c>
      <c r="D2384" t="s">
        <v>17</v>
      </c>
      <c r="E2384" t="s">
        <v>22</v>
      </c>
      <c r="F2384" s="2">
        <v>5801</v>
      </c>
      <c r="G2384" s="2">
        <f>Monthly_Growth!$C$22</f>
        <v>837994</v>
      </c>
      <c r="H2384" s="5">
        <f>Monthly_Growth!$D$22</f>
        <v>-4.4987344282248147E-2</v>
      </c>
      <c r="I2384" s="15">
        <f>Yearly_Growth!$C$3</f>
        <v>0.11893113731787852</v>
      </c>
      <c r="J2384" s="15">
        <f>Yearly_Growth!$D$3</f>
        <v>0.09</v>
      </c>
      <c r="K2384">
        <f>Sales_Per_Representative!$C$23</f>
        <v>697444</v>
      </c>
      <c r="L2384">
        <f>Sales_Per_Rep_Yearly_Goal!$B$3</f>
        <v>689907.8</v>
      </c>
      <c r="M2384">
        <f>Sales_Per_Rep_Yearly_Goal!$C$3</f>
        <v>690000</v>
      </c>
    </row>
    <row r="2385" spans="1:13" x14ac:dyDescent="0.3">
      <c r="A2385" s="3">
        <v>45558</v>
      </c>
      <c r="B2385">
        <f t="shared" si="37"/>
        <v>2024</v>
      </c>
      <c r="C2385">
        <v>9</v>
      </c>
      <c r="D2385" t="s">
        <v>12</v>
      </c>
      <c r="E2385" t="s">
        <v>18</v>
      </c>
      <c r="F2385" s="2">
        <v>13582</v>
      </c>
      <c r="G2385" s="2">
        <f>Monthly_Growth!$C$22</f>
        <v>837994</v>
      </c>
      <c r="H2385" s="5">
        <f>Monthly_Growth!$D$22</f>
        <v>-4.4987344282248147E-2</v>
      </c>
      <c r="I2385" s="15">
        <f>Yearly_Growth!$C$3</f>
        <v>0.11893113731787852</v>
      </c>
      <c r="J2385" s="15">
        <f>Yearly_Growth!$D$3</f>
        <v>0.09</v>
      </c>
      <c r="K2385">
        <f>Sales_Per_Representative!$C$24</f>
        <v>699277</v>
      </c>
      <c r="L2385">
        <f>Sales_Per_Rep_Yearly_Goal!$B$3</f>
        <v>689907.8</v>
      </c>
      <c r="M2385">
        <f>Sales_Per_Rep_Yearly_Goal!$C$3</f>
        <v>690000</v>
      </c>
    </row>
    <row r="2386" spans="1:13" x14ac:dyDescent="0.3">
      <c r="A2386" s="3">
        <v>45558</v>
      </c>
      <c r="B2386">
        <f t="shared" si="37"/>
        <v>2024</v>
      </c>
      <c r="C2386">
        <v>9</v>
      </c>
      <c r="D2386" t="s">
        <v>12</v>
      </c>
      <c r="E2386" t="s">
        <v>22</v>
      </c>
      <c r="F2386" s="2">
        <v>12074</v>
      </c>
      <c r="G2386" s="2">
        <f>Monthly_Growth!$C$22</f>
        <v>837994</v>
      </c>
      <c r="H2386" s="5">
        <f>Monthly_Growth!$D$22</f>
        <v>-4.4987344282248147E-2</v>
      </c>
      <c r="I2386" s="15">
        <f>Yearly_Growth!$C$3</f>
        <v>0.11893113731787852</v>
      </c>
      <c r="J2386" s="15">
        <f>Yearly_Growth!$D$3</f>
        <v>0.09</v>
      </c>
      <c r="K2386">
        <f>Sales_Per_Representative!$C$23</f>
        <v>697444</v>
      </c>
      <c r="L2386">
        <f>Sales_Per_Rep_Yearly_Goal!$B$3</f>
        <v>689907.8</v>
      </c>
      <c r="M2386">
        <f>Sales_Per_Rep_Yearly_Goal!$C$3</f>
        <v>690000</v>
      </c>
    </row>
    <row r="2387" spans="1:13" x14ac:dyDescent="0.3">
      <c r="A2387" s="3">
        <v>45559</v>
      </c>
      <c r="B2387">
        <f t="shared" si="37"/>
        <v>2024</v>
      </c>
      <c r="C2387">
        <v>9</v>
      </c>
      <c r="D2387" t="s">
        <v>25</v>
      </c>
      <c r="E2387" t="s">
        <v>31</v>
      </c>
      <c r="F2387" s="2">
        <v>9462</v>
      </c>
      <c r="G2387" s="2">
        <f>Monthly_Growth!$C$22</f>
        <v>837994</v>
      </c>
      <c r="H2387" s="5">
        <f>Monthly_Growth!$D$22</f>
        <v>-4.4987344282248147E-2</v>
      </c>
      <c r="I2387" s="15">
        <f>Yearly_Growth!$C$3</f>
        <v>0.11893113731787852</v>
      </c>
      <c r="J2387" s="15">
        <f>Yearly_Growth!$D$3</f>
        <v>0.09</v>
      </c>
      <c r="K2387">
        <f>Sales_Per_Representative!$C$21</f>
        <v>679421</v>
      </c>
      <c r="L2387">
        <f>Sales_Per_Rep_Yearly_Goal!$B$3</f>
        <v>689907.8</v>
      </c>
      <c r="M2387">
        <f>Sales_Per_Rep_Yearly_Goal!$C$3</f>
        <v>690000</v>
      </c>
    </row>
    <row r="2388" spans="1:13" x14ac:dyDescent="0.3">
      <c r="A2388" s="3">
        <v>45559</v>
      </c>
      <c r="B2388">
        <f t="shared" si="37"/>
        <v>2024</v>
      </c>
      <c r="C2388">
        <v>9</v>
      </c>
      <c r="D2388" t="s">
        <v>25</v>
      </c>
      <c r="E2388" t="s">
        <v>24</v>
      </c>
      <c r="F2388" s="2">
        <v>9988</v>
      </c>
      <c r="G2388" s="2">
        <f>Monthly_Growth!$C$22</f>
        <v>837994</v>
      </c>
      <c r="H2388" s="5">
        <f>Monthly_Growth!$D$22</f>
        <v>-4.4987344282248147E-2</v>
      </c>
      <c r="I2388" s="15">
        <f>Yearly_Growth!$C$3</f>
        <v>0.11893113731787852</v>
      </c>
      <c r="J2388" s="15">
        <f>Yearly_Growth!$D$3</f>
        <v>0.09</v>
      </c>
      <c r="K2388">
        <f>Sales_Per_Representative!$C$17</f>
        <v>633956</v>
      </c>
      <c r="L2388">
        <f>Sales_Per_Rep_Yearly_Goal!$B$3</f>
        <v>689907.8</v>
      </c>
      <c r="M2388">
        <f>Sales_Per_Rep_Yearly_Goal!$C$3</f>
        <v>690000</v>
      </c>
    </row>
    <row r="2389" spans="1:13" x14ac:dyDescent="0.3">
      <c r="A2389" s="3">
        <v>45559</v>
      </c>
      <c r="B2389">
        <f t="shared" si="37"/>
        <v>2024</v>
      </c>
      <c r="C2389">
        <v>9</v>
      </c>
      <c r="D2389" t="s">
        <v>28</v>
      </c>
      <c r="E2389" t="s">
        <v>32</v>
      </c>
      <c r="F2389" s="2">
        <v>13597</v>
      </c>
      <c r="G2389" s="2">
        <f>Monthly_Growth!$C$22</f>
        <v>837994</v>
      </c>
      <c r="H2389" s="5">
        <f>Monthly_Growth!$D$22</f>
        <v>-4.4987344282248147E-2</v>
      </c>
      <c r="I2389" s="15">
        <f>Yearly_Growth!$C$3</f>
        <v>0.11893113731787852</v>
      </c>
      <c r="J2389" s="15">
        <f>Yearly_Growth!$D$3</f>
        <v>0.09</v>
      </c>
      <c r="K2389">
        <f>Sales_Per_Representative!$C$18</f>
        <v>783907</v>
      </c>
      <c r="L2389">
        <f>Sales_Per_Rep_Yearly_Goal!$B$3</f>
        <v>689907.8</v>
      </c>
      <c r="M2389">
        <f>Sales_Per_Rep_Yearly_Goal!$C$3</f>
        <v>690000</v>
      </c>
    </row>
    <row r="2390" spans="1:13" x14ac:dyDescent="0.3">
      <c r="A2390" s="3">
        <v>45559</v>
      </c>
      <c r="B2390">
        <f t="shared" si="37"/>
        <v>2024</v>
      </c>
      <c r="C2390">
        <v>9</v>
      </c>
      <c r="D2390" t="s">
        <v>28</v>
      </c>
      <c r="E2390" t="s">
        <v>26</v>
      </c>
      <c r="F2390" s="2">
        <v>3976</v>
      </c>
      <c r="G2390" s="2">
        <f>Monthly_Growth!$C$22</f>
        <v>837994</v>
      </c>
      <c r="H2390" s="5">
        <f>Monthly_Growth!$D$22</f>
        <v>-4.4987344282248147E-2</v>
      </c>
      <c r="I2390" s="15">
        <f>Yearly_Growth!$C$3</f>
        <v>0.11893113731787852</v>
      </c>
      <c r="J2390" s="15">
        <f>Yearly_Growth!$D$3</f>
        <v>0.09</v>
      </c>
      <c r="K2390">
        <f>Sales_Per_Representative!$C$31</f>
        <v>664244</v>
      </c>
      <c r="L2390">
        <f>Sales_Per_Rep_Yearly_Goal!$B$3</f>
        <v>689907.8</v>
      </c>
      <c r="M2390">
        <f>Sales_Per_Rep_Yearly_Goal!$C$3</f>
        <v>690000</v>
      </c>
    </row>
    <row r="2391" spans="1:13" x14ac:dyDescent="0.3">
      <c r="A2391" s="3">
        <v>45560</v>
      </c>
      <c r="B2391">
        <f t="shared" si="37"/>
        <v>2024</v>
      </c>
      <c r="C2391">
        <v>9</v>
      </c>
      <c r="D2391" t="s">
        <v>23</v>
      </c>
      <c r="E2391" t="s">
        <v>22</v>
      </c>
      <c r="F2391" s="2">
        <v>3229</v>
      </c>
      <c r="G2391" s="2">
        <f>Monthly_Growth!$C$22</f>
        <v>837994</v>
      </c>
      <c r="H2391" s="5">
        <f>Monthly_Growth!$D$22</f>
        <v>-4.4987344282248147E-2</v>
      </c>
      <c r="I2391" s="15">
        <f>Yearly_Growth!$C$3</f>
        <v>0.11893113731787852</v>
      </c>
      <c r="J2391" s="15">
        <f>Yearly_Growth!$D$3</f>
        <v>0.09</v>
      </c>
      <c r="K2391">
        <f>Sales_Per_Representative!$C$23</f>
        <v>697444</v>
      </c>
      <c r="L2391">
        <f>Sales_Per_Rep_Yearly_Goal!$B$3</f>
        <v>689907.8</v>
      </c>
      <c r="M2391">
        <f>Sales_Per_Rep_Yearly_Goal!$C$3</f>
        <v>690000</v>
      </c>
    </row>
    <row r="2392" spans="1:13" x14ac:dyDescent="0.3">
      <c r="A2392" s="3">
        <v>45560</v>
      </c>
      <c r="B2392">
        <f t="shared" si="37"/>
        <v>2024</v>
      </c>
      <c r="C2392">
        <v>9</v>
      </c>
      <c r="D2392" t="s">
        <v>7</v>
      </c>
      <c r="E2392" t="s">
        <v>26</v>
      </c>
      <c r="F2392" s="2">
        <v>12782</v>
      </c>
      <c r="G2392" s="2">
        <f>Monthly_Growth!$C$22</f>
        <v>837994</v>
      </c>
      <c r="H2392" s="5">
        <f>Monthly_Growth!$D$22</f>
        <v>-4.4987344282248147E-2</v>
      </c>
      <c r="I2392" s="15">
        <f>Yearly_Growth!$C$3</f>
        <v>0.11893113731787852</v>
      </c>
      <c r="J2392" s="15">
        <f>Yearly_Growth!$D$3</f>
        <v>0.09</v>
      </c>
      <c r="K2392">
        <f>Sales_Per_Representative!$C$31</f>
        <v>664244</v>
      </c>
      <c r="L2392">
        <f>Sales_Per_Rep_Yearly_Goal!$B$3</f>
        <v>689907.8</v>
      </c>
      <c r="M2392">
        <f>Sales_Per_Rep_Yearly_Goal!$C$3</f>
        <v>690000</v>
      </c>
    </row>
    <row r="2393" spans="1:13" x14ac:dyDescent="0.3">
      <c r="A2393" s="3">
        <v>45561</v>
      </c>
      <c r="B2393">
        <f t="shared" si="37"/>
        <v>2024</v>
      </c>
      <c r="C2393">
        <v>9</v>
      </c>
      <c r="D2393" t="s">
        <v>14</v>
      </c>
      <c r="E2393" t="s">
        <v>20</v>
      </c>
      <c r="F2393" s="2">
        <v>12102</v>
      </c>
      <c r="G2393" s="2">
        <f>Monthly_Growth!$C$22</f>
        <v>837994</v>
      </c>
      <c r="H2393" s="5">
        <f>Monthly_Growth!$D$22</f>
        <v>-4.4987344282248147E-2</v>
      </c>
      <c r="I2393" s="15">
        <f>Yearly_Growth!$C$3</f>
        <v>0.11893113731787852</v>
      </c>
      <c r="J2393" s="15">
        <f>Yearly_Growth!$D$3</f>
        <v>0.09</v>
      </c>
      <c r="K2393">
        <f>Sales_Per_Representative!$C$29</f>
        <v>753085</v>
      </c>
      <c r="L2393">
        <f>Sales_Per_Rep_Yearly_Goal!$B$3</f>
        <v>689907.8</v>
      </c>
      <c r="M2393">
        <f>Sales_Per_Rep_Yearly_Goal!$C$3</f>
        <v>690000</v>
      </c>
    </row>
    <row r="2394" spans="1:13" x14ac:dyDescent="0.3">
      <c r="A2394" s="3">
        <v>45561</v>
      </c>
      <c r="B2394">
        <f t="shared" si="37"/>
        <v>2024</v>
      </c>
      <c r="C2394">
        <v>9</v>
      </c>
      <c r="D2394" t="s">
        <v>19</v>
      </c>
      <c r="E2394" t="s">
        <v>26</v>
      </c>
      <c r="F2394" s="2">
        <v>7677</v>
      </c>
      <c r="G2394" s="2">
        <f>Monthly_Growth!$C$22</f>
        <v>837994</v>
      </c>
      <c r="H2394" s="5">
        <f>Monthly_Growth!$D$22</f>
        <v>-4.4987344282248147E-2</v>
      </c>
      <c r="I2394" s="15">
        <f>Yearly_Growth!$C$3</f>
        <v>0.11893113731787852</v>
      </c>
      <c r="J2394" s="15">
        <f>Yearly_Growth!$D$3</f>
        <v>0.09</v>
      </c>
      <c r="K2394">
        <f>Sales_Per_Representative!$C$31</f>
        <v>664244</v>
      </c>
      <c r="L2394">
        <f>Sales_Per_Rep_Yearly_Goal!$B$3</f>
        <v>689907.8</v>
      </c>
      <c r="M2394">
        <f>Sales_Per_Rep_Yearly_Goal!$C$3</f>
        <v>690000</v>
      </c>
    </row>
    <row r="2395" spans="1:13" x14ac:dyDescent="0.3">
      <c r="A2395" s="3">
        <v>45561</v>
      </c>
      <c r="B2395">
        <f t="shared" si="37"/>
        <v>2024</v>
      </c>
      <c r="C2395">
        <v>9</v>
      </c>
      <c r="D2395" t="s">
        <v>25</v>
      </c>
      <c r="E2395" t="s">
        <v>20</v>
      </c>
      <c r="F2395" s="2">
        <v>9356</v>
      </c>
      <c r="G2395" s="2">
        <f>Monthly_Growth!$C$22</f>
        <v>837994</v>
      </c>
      <c r="H2395" s="5">
        <f>Monthly_Growth!$D$22</f>
        <v>-4.4987344282248147E-2</v>
      </c>
      <c r="I2395" s="15">
        <f>Yearly_Growth!$C$3</f>
        <v>0.11893113731787852</v>
      </c>
      <c r="J2395" s="15">
        <f>Yearly_Growth!$D$3</f>
        <v>0.09</v>
      </c>
      <c r="K2395">
        <f>Sales_Per_Representative!$C$29</f>
        <v>753085</v>
      </c>
      <c r="L2395">
        <f>Sales_Per_Rep_Yearly_Goal!$B$3</f>
        <v>689907.8</v>
      </c>
      <c r="M2395">
        <f>Sales_Per_Rep_Yearly_Goal!$C$3</f>
        <v>690000</v>
      </c>
    </row>
    <row r="2396" spans="1:13" x14ac:dyDescent="0.3">
      <c r="A2396" s="3">
        <v>45562</v>
      </c>
      <c r="B2396">
        <f t="shared" si="37"/>
        <v>2024</v>
      </c>
      <c r="C2396">
        <v>9</v>
      </c>
      <c r="D2396" t="s">
        <v>23</v>
      </c>
      <c r="E2396" t="s">
        <v>18</v>
      </c>
      <c r="F2396" s="2">
        <v>2039</v>
      </c>
      <c r="G2396" s="2">
        <f>Monthly_Growth!$C$22</f>
        <v>837994</v>
      </c>
      <c r="H2396" s="5">
        <f>Monthly_Growth!$D$22</f>
        <v>-4.4987344282248147E-2</v>
      </c>
      <c r="I2396" s="15">
        <f>Yearly_Growth!$C$3</f>
        <v>0.11893113731787852</v>
      </c>
      <c r="J2396" s="15">
        <f>Yearly_Growth!$D$3</f>
        <v>0.09</v>
      </c>
      <c r="K2396">
        <f>Sales_Per_Representative!$C$24</f>
        <v>699277</v>
      </c>
      <c r="L2396">
        <f>Sales_Per_Rep_Yearly_Goal!$B$3</f>
        <v>689907.8</v>
      </c>
      <c r="M2396">
        <f>Sales_Per_Rep_Yearly_Goal!$C$3</f>
        <v>690000</v>
      </c>
    </row>
    <row r="2397" spans="1:13" x14ac:dyDescent="0.3">
      <c r="A2397" s="3">
        <v>45562</v>
      </c>
      <c r="B2397">
        <f t="shared" si="37"/>
        <v>2024</v>
      </c>
      <c r="C2397">
        <v>9</v>
      </c>
      <c r="D2397" t="s">
        <v>7</v>
      </c>
      <c r="E2397" t="s">
        <v>8</v>
      </c>
      <c r="F2397" s="2">
        <v>3979</v>
      </c>
      <c r="G2397" s="2">
        <f>Monthly_Growth!$C$22</f>
        <v>837994</v>
      </c>
      <c r="H2397" s="5">
        <f>Monthly_Growth!$D$22</f>
        <v>-4.4987344282248147E-2</v>
      </c>
      <c r="I2397" s="15">
        <f>Yearly_Growth!$C$3</f>
        <v>0.11893113731787852</v>
      </c>
      <c r="J2397" s="15">
        <f>Yearly_Growth!$D$3</f>
        <v>0.09</v>
      </c>
      <c r="K2397">
        <f>Sales_Per_Representative!$C$30</f>
        <v>780006</v>
      </c>
      <c r="L2397">
        <f>Sales_Per_Rep_Yearly_Goal!$B$3</f>
        <v>689907.8</v>
      </c>
      <c r="M2397">
        <f>Sales_Per_Rep_Yearly_Goal!$C$3</f>
        <v>690000</v>
      </c>
    </row>
    <row r="2398" spans="1:13" x14ac:dyDescent="0.3">
      <c r="A2398" s="3">
        <v>45562</v>
      </c>
      <c r="B2398">
        <f t="shared" si="37"/>
        <v>2024</v>
      </c>
      <c r="C2398">
        <v>9</v>
      </c>
      <c r="D2398" t="s">
        <v>17</v>
      </c>
      <c r="E2398" t="s">
        <v>30</v>
      </c>
      <c r="F2398" s="2">
        <v>4822</v>
      </c>
      <c r="G2398" s="2">
        <f>Monthly_Growth!$C$22</f>
        <v>837994</v>
      </c>
      <c r="H2398" s="5">
        <f>Monthly_Growth!$D$22</f>
        <v>-4.4987344282248147E-2</v>
      </c>
      <c r="I2398" s="15">
        <f>Yearly_Growth!$C$3</f>
        <v>0.11893113731787852</v>
      </c>
      <c r="J2398" s="15">
        <f>Yearly_Growth!$D$3</f>
        <v>0.09</v>
      </c>
      <c r="K2398">
        <f>Sales_Per_Representative!$C$22</f>
        <v>700142</v>
      </c>
      <c r="L2398">
        <f>Sales_Per_Rep_Yearly_Goal!$B$3</f>
        <v>689907.8</v>
      </c>
      <c r="M2398">
        <f>Sales_Per_Rep_Yearly_Goal!$C$3</f>
        <v>690000</v>
      </c>
    </row>
    <row r="2399" spans="1:13" x14ac:dyDescent="0.3">
      <c r="A2399" s="3">
        <v>45563</v>
      </c>
      <c r="B2399">
        <f t="shared" si="37"/>
        <v>2024</v>
      </c>
      <c r="C2399">
        <v>9</v>
      </c>
      <c r="D2399" t="s">
        <v>14</v>
      </c>
      <c r="E2399" t="s">
        <v>24</v>
      </c>
      <c r="F2399" s="2">
        <v>13903</v>
      </c>
      <c r="G2399" s="2">
        <f>Monthly_Growth!$C$22</f>
        <v>837994</v>
      </c>
      <c r="H2399" s="5">
        <f>Monthly_Growth!$D$22</f>
        <v>-4.4987344282248147E-2</v>
      </c>
      <c r="I2399" s="15">
        <f>Yearly_Growth!$C$3</f>
        <v>0.11893113731787852</v>
      </c>
      <c r="J2399" s="15">
        <f>Yearly_Growth!$D$3</f>
        <v>0.09</v>
      </c>
      <c r="K2399">
        <f>Sales_Per_Representative!$C$17</f>
        <v>633956</v>
      </c>
      <c r="L2399">
        <f>Sales_Per_Rep_Yearly_Goal!$B$3</f>
        <v>689907.8</v>
      </c>
      <c r="M2399">
        <f>Sales_Per_Rep_Yearly_Goal!$C$3</f>
        <v>690000</v>
      </c>
    </row>
    <row r="2400" spans="1:13" x14ac:dyDescent="0.3">
      <c r="A2400" s="3">
        <v>45563</v>
      </c>
      <c r="B2400">
        <f t="shared" si="37"/>
        <v>2024</v>
      </c>
      <c r="C2400">
        <v>9</v>
      </c>
      <c r="D2400" t="s">
        <v>19</v>
      </c>
      <c r="E2400" t="s">
        <v>18</v>
      </c>
      <c r="F2400" s="2">
        <v>11353</v>
      </c>
      <c r="G2400" s="2">
        <f>Monthly_Growth!$C$22</f>
        <v>837994</v>
      </c>
      <c r="H2400" s="5">
        <f>Monthly_Growth!$D$22</f>
        <v>-4.4987344282248147E-2</v>
      </c>
      <c r="I2400" s="15">
        <f>Yearly_Growth!$C$3</f>
        <v>0.11893113731787852</v>
      </c>
      <c r="J2400" s="15">
        <f>Yearly_Growth!$D$3</f>
        <v>0.09</v>
      </c>
      <c r="K2400">
        <f>Sales_Per_Representative!$C$24</f>
        <v>699277</v>
      </c>
      <c r="L2400">
        <f>Sales_Per_Rep_Yearly_Goal!$B$3</f>
        <v>689907.8</v>
      </c>
      <c r="M2400">
        <f>Sales_Per_Rep_Yearly_Goal!$C$3</f>
        <v>690000</v>
      </c>
    </row>
    <row r="2401" spans="1:13" x14ac:dyDescent="0.3">
      <c r="A2401" s="3">
        <v>45563</v>
      </c>
      <c r="B2401">
        <f t="shared" si="37"/>
        <v>2024</v>
      </c>
      <c r="C2401">
        <v>9</v>
      </c>
      <c r="D2401" t="s">
        <v>12</v>
      </c>
      <c r="E2401" t="s">
        <v>8</v>
      </c>
      <c r="F2401" s="2">
        <v>11862</v>
      </c>
      <c r="G2401" s="2">
        <f>Monthly_Growth!$C$22</f>
        <v>837994</v>
      </c>
      <c r="H2401" s="5">
        <f>Monthly_Growth!$D$22</f>
        <v>-4.4987344282248147E-2</v>
      </c>
      <c r="I2401" s="15">
        <f>Yearly_Growth!$C$3</f>
        <v>0.11893113731787852</v>
      </c>
      <c r="J2401" s="15">
        <f>Yearly_Growth!$D$3</f>
        <v>0.09</v>
      </c>
      <c r="K2401">
        <f>Sales_Per_Representative!$C$30</f>
        <v>780006</v>
      </c>
      <c r="L2401">
        <f>Sales_Per_Rep_Yearly_Goal!$B$3</f>
        <v>689907.8</v>
      </c>
      <c r="M2401">
        <f>Sales_Per_Rep_Yearly_Goal!$C$3</f>
        <v>690000</v>
      </c>
    </row>
    <row r="2402" spans="1:13" x14ac:dyDescent="0.3">
      <c r="A2402" s="3">
        <v>45564</v>
      </c>
      <c r="B2402">
        <f t="shared" si="37"/>
        <v>2024</v>
      </c>
      <c r="C2402">
        <v>9</v>
      </c>
      <c r="D2402" t="s">
        <v>14</v>
      </c>
      <c r="E2402" t="s">
        <v>24</v>
      </c>
      <c r="F2402" s="2">
        <v>10626</v>
      </c>
      <c r="G2402" s="2">
        <f>Monthly_Growth!$C$22</f>
        <v>837994</v>
      </c>
      <c r="H2402" s="5">
        <f>Monthly_Growth!$D$22</f>
        <v>-4.4987344282248147E-2</v>
      </c>
      <c r="I2402" s="15">
        <f>Yearly_Growth!$C$3</f>
        <v>0.11893113731787852</v>
      </c>
      <c r="J2402" s="15">
        <f>Yearly_Growth!$D$3</f>
        <v>0.09</v>
      </c>
      <c r="K2402">
        <f>Sales_Per_Representative!$C$17</f>
        <v>633956</v>
      </c>
      <c r="L2402">
        <f>Sales_Per_Rep_Yearly_Goal!$B$3</f>
        <v>689907.8</v>
      </c>
      <c r="M2402">
        <f>Sales_Per_Rep_Yearly_Goal!$C$3</f>
        <v>690000</v>
      </c>
    </row>
    <row r="2403" spans="1:13" x14ac:dyDescent="0.3">
      <c r="A2403" s="3">
        <v>45564</v>
      </c>
      <c r="B2403">
        <f t="shared" si="37"/>
        <v>2024</v>
      </c>
      <c r="C2403">
        <v>9</v>
      </c>
      <c r="D2403" t="s">
        <v>25</v>
      </c>
      <c r="E2403" t="s">
        <v>15</v>
      </c>
      <c r="F2403" s="2">
        <v>11331</v>
      </c>
      <c r="G2403" s="2">
        <f>Monthly_Growth!$C$22</f>
        <v>837994</v>
      </c>
      <c r="H2403" s="5">
        <f>Monthly_Growth!$D$22</f>
        <v>-4.4987344282248147E-2</v>
      </c>
      <c r="I2403" s="15">
        <f>Yearly_Growth!$C$3</f>
        <v>0.11893113731787852</v>
      </c>
      <c r="J2403" s="15">
        <f>Yearly_Growth!$D$3</f>
        <v>0.09</v>
      </c>
      <c r="K2403">
        <f>Sales_Per_Representative!$C$27</f>
        <v>617202</v>
      </c>
      <c r="L2403">
        <f>Sales_Per_Rep_Yearly_Goal!$B$3</f>
        <v>689907.8</v>
      </c>
      <c r="M2403">
        <f>Sales_Per_Rep_Yearly_Goal!$C$3</f>
        <v>690000</v>
      </c>
    </row>
    <row r="2404" spans="1:13" x14ac:dyDescent="0.3">
      <c r="A2404" s="3">
        <v>45564</v>
      </c>
      <c r="B2404">
        <f t="shared" si="37"/>
        <v>2024</v>
      </c>
      <c r="C2404">
        <v>9</v>
      </c>
      <c r="D2404" t="s">
        <v>28</v>
      </c>
      <c r="E2404" t="s">
        <v>10</v>
      </c>
      <c r="F2404" s="2">
        <v>6623</v>
      </c>
      <c r="G2404" s="2">
        <f>Monthly_Growth!$C$22</f>
        <v>837994</v>
      </c>
      <c r="H2404" s="5">
        <f>Monthly_Growth!$D$22</f>
        <v>-4.4987344282248147E-2</v>
      </c>
      <c r="I2404" s="15">
        <f>Yearly_Growth!$C$3</f>
        <v>0.11893113731787852</v>
      </c>
      <c r="J2404" s="15">
        <f>Yearly_Growth!$D$3</f>
        <v>0.09</v>
      </c>
      <c r="K2404">
        <f>Sales_Per_Representative!$C$19</f>
        <v>711816</v>
      </c>
      <c r="L2404">
        <f>Sales_Per_Rep_Yearly_Goal!$B$3</f>
        <v>689907.8</v>
      </c>
      <c r="M2404">
        <f>Sales_Per_Rep_Yearly_Goal!$C$3</f>
        <v>690000</v>
      </c>
    </row>
    <row r="2405" spans="1:13" x14ac:dyDescent="0.3">
      <c r="A2405" s="3">
        <v>45564</v>
      </c>
      <c r="B2405">
        <f t="shared" si="37"/>
        <v>2024</v>
      </c>
      <c r="C2405">
        <v>9</v>
      </c>
      <c r="D2405" t="s">
        <v>28</v>
      </c>
      <c r="E2405" t="s">
        <v>5</v>
      </c>
      <c r="F2405" s="2">
        <v>7079</v>
      </c>
      <c r="G2405" s="2">
        <f>Monthly_Growth!$C$22</f>
        <v>837994</v>
      </c>
      <c r="H2405" s="5">
        <f>Monthly_Growth!$D$22</f>
        <v>-4.4987344282248147E-2</v>
      </c>
      <c r="I2405" s="15">
        <f>Yearly_Growth!$C$3</f>
        <v>0.11893113731787852</v>
      </c>
      <c r="J2405" s="15">
        <f>Yearly_Growth!$D$3</f>
        <v>0.09</v>
      </c>
      <c r="K2405">
        <f>Sales_Per_Representative!$C$25</f>
        <v>749460</v>
      </c>
      <c r="L2405">
        <f>Sales_Per_Rep_Yearly_Goal!$B$3</f>
        <v>689907.8</v>
      </c>
      <c r="M2405">
        <f>Sales_Per_Rep_Yearly_Goal!$C$3</f>
        <v>690000</v>
      </c>
    </row>
    <row r="2406" spans="1:13" x14ac:dyDescent="0.3">
      <c r="A2406" s="3">
        <v>45564</v>
      </c>
      <c r="B2406">
        <f t="shared" si="37"/>
        <v>2024</v>
      </c>
      <c r="C2406">
        <v>9</v>
      </c>
      <c r="D2406" t="s">
        <v>12</v>
      </c>
      <c r="E2406" t="s">
        <v>5</v>
      </c>
      <c r="F2406" s="2">
        <v>5750</v>
      </c>
      <c r="G2406" s="2">
        <f>Monthly_Growth!$C$22</f>
        <v>837994</v>
      </c>
      <c r="H2406" s="5">
        <f>Monthly_Growth!$D$22</f>
        <v>-4.4987344282248147E-2</v>
      </c>
      <c r="I2406" s="15">
        <f>Yearly_Growth!$C$3</f>
        <v>0.11893113731787852</v>
      </c>
      <c r="J2406" s="15">
        <f>Yearly_Growth!$D$3</f>
        <v>0.09</v>
      </c>
      <c r="K2406">
        <f>Sales_Per_Representative!$C$25</f>
        <v>749460</v>
      </c>
      <c r="L2406">
        <f>Sales_Per_Rep_Yearly_Goal!$B$3</f>
        <v>689907.8</v>
      </c>
      <c r="M2406">
        <f>Sales_Per_Rep_Yearly_Goal!$C$3</f>
        <v>690000</v>
      </c>
    </row>
    <row r="2407" spans="1:13" x14ac:dyDescent="0.3">
      <c r="A2407" s="3">
        <v>45565</v>
      </c>
      <c r="B2407">
        <f t="shared" si="37"/>
        <v>2024</v>
      </c>
      <c r="C2407">
        <v>9</v>
      </c>
      <c r="D2407" t="s">
        <v>25</v>
      </c>
      <c r="E2407" t="s">
        <v>26</v>
      </c>
      <c r="F2407" s="2">
        <v>8212</v>
      </c>
      <c r="G2407" s="2">
        <f>Monthly_Growth!$C$22</f>
        <v>837994</v>
      </c>
      <c r="H2407" s="5">
        <f>Monthly_Growth!$D$22</f>
        <v>-4.4987344282248147E-2</v>
      </c>
      <c r="I2407" s="15">
        <f>Yearly_Growth!$C$3</f>
        <v>0.11893113731787852</v>
      </c>
      <c r="J2407" s="15">
        <f>Yearly_Growth!$D$3</f>
        <v>0.09</v>
      </c>
      <c r="K2407">
        <f>Sales_Per_Representative!$C$31</f>
        <v>664244</v>
      </c>
      <c r="L2407">
        <f>Sales_Per_Rep_Yearly_Goal!$B$3</f>
        <v>689907.8</v>
      </c>
      <c r="M2407">
        <f>Sales_Per_Rep_Yearly_Goal!$C$3</f>
        <v>690000</v>
      </c>
    </row>
    <row r="2408" spans="1:13" x14ac:dyDescent="0.3">
      <c r="A2408" s="3">
        <v>45565</v>
      </c>
      <c r="B2408">
        <f t="shared" si="37"/>
        <v>2024</v>
      </c>
      <c r="C2408">
        <v>9</v>
      </c>
      <c r="D2408" t="s">
        <v>7</v>
      </c>
      <c r="E2408" t="s">
        <v>22</v>
      </c>
      <c r="F2408" s="2">
        <v>11015</v>
      </c>
      <c r="G2408" s="2">
        <f>Monthly_Growth!$C$22</f>
        <v>837994</v>
      </c>
      <c r="H2408" s="5">
        <f>Monthly_Growth!$D$22</f>
        <v>-4.4987344282248147E-2</v>
      </c>
      <c r="I2408" s="15">
        <f>Yearly_Growth!$C$3</f>
        <v>0.11893113731787852</v>
      </c>
      <c r="J2408" s="15">
        <f>Yearly_Growth!$D$3</f>
        <v>0.09</v>
      </c>
      <c r="K2408">
        <f>Sales_Per_Representative!$C$23</f>
        <v>697444</v>
      </c>
      <c r="L2408">
        <f>Sales_Per_Rep_Yearly_Goal!$B$3</f>
        <v>689907.8</v>
      </c>
      <c r="M2408">
        <f>Sales_Per_Rep_Yearly_Goal!$C$3</f>
        <v>690000</v>
      </c>
    </row>
    <row r="2409" spans="1:13" x14ac:dyDescent="0.3">
      <c r="A2409" s="3">
        <v>45566</v>
      </c>
      <c r="B2409">
        <f t="shared" si="37"/>
        <v>2024</v>
      </c>
      <c r="C2409">
        <v>10</v>
      </c>
      <c r="D2409" t="s">
        <v>14</v>
      </c>
      <c r="E2409" t="s">
        <v>30</v>
      </c>
      <c r="F2409" s="2">
        <v>8184</v>
      </c>
      <c r="G2409" s="2">
        <f>Monthly_Growth!$C$23</f>
        <v>741980</v>
      </c>
      <c r="H2409" s="5">
        <f>Monthly_Growth!$D$23</f>
        <v>-0.11457599935083067</v>
      </c>
      <c r="I2409" s="15">
        <f>Yearly_Growth!$C$3</f>
        <v>0.11893113731787852</v>
      </c>
      <c r="J2409" s="15">
        <f>Yearly_Growth!$D$3</f>
        <v>0.09</v>
      </c>
      <c r="K2409">
        <f>Sales_Per_Representative!$C$22</f>
        <v>700142</v>
      </c>
      <c r="L2409">
        <f>Sales_Per_Rep_Yearly_Goal!$B$3</f>
        <v>689907.8</v>
      </c>
      <c r="M2409">
        <f>Sales_Per_Rep_Yearly_Goal!$C$3</f>
        <v>690000</v>
      </c>
    </row>
    <row r="2410" spans="1:13" x14ac:dyDescent="0.3">
      <c r="A2410" s="3">
        <v>45567</v>
      </c>
      <c r="B2410">
        <f t="shared" si="37"/>
        <v>2024</v>
      </c>
      <c r="C2410">
        <v>10</v>
      </c>
      <c r="D2410" t="s">
        <v>14</v>
      </c>
      <c r="E2410" t="s">
        <v>22</v>
      </c>
      <c r="F2410" s="2">
        <v>7662</v>
      </c>
      <c r="G2410" s="2">
        <f>Monthly_Growth!$C$23</f>
        <v>741980</v>
      </c>
      <c r="H2410" s="5">
        <f>Monthly_Growth!$D$23</f>
        <v>-0.11457599935083067</v>
      </c>
      <c r="I2410" s="15">
        <f>Yearly_Growth!$C$3</f>
        <v>0.11893113731787852</v>
      </c>
      <c r="J2410" s="15">
        <f>Yearly_Growth!$D$3</f>
        <v>0.09</v>
      </c>
      <c r="K2410">
        <f>Sales_Per_Representative!$C$23</f>
        <v>697444</v>
      </c>
      <c r="L2410">
        <f>Sales_Per_Rep_Yearly_Goal!$B$3</f>
        <v>689907.8</v>
      </c>
      <c r="M2410">
        <f>Sales_Per_Rep_Yearly_Goal!$C$3</f>
        <v>690000</v>
      </c>
    </row>
    <row r="2411" spans="1:13" x14ac:dyDescent="0.3">
      <c r="A2411" s="3">
        <v>45567</v>
      </c>
      <c r="B2411">
        <f t="shared" si="37"/>
        <v>2024</v>
      </c>
      <c r="C2411">
        <v>10</v>
      </c>
      <c r="D2411" t="s">
        <v>14</v>
      </c>
      <c r="E2411" t="s">
        <v>27</v>
      </c>
      <c r="F2411" s="2">
        <v>1049</v>
      </c>
      <c r="G2411" s="2">
        <f>Monthly_Growth!$C$23</f>
        <v>741980</v>
      </c>
      <c r="H2411" s="5">
        <f>Monthly_Growth!$D$23</f>
        <v>-0.11457599935083067</v>
      </c>
      <c r="I2411" s="15">
        <f>Yearly_Growth!$C$3</f>
        <v>0.11893113731787852</v>
      </c>
      <c r="J2411" s="15">
        <f>Yearly_Growth!$D$3</f>
        <v>0.09</v>
      </c>
      <c r="K2411">
        <f>Sales_Per_Representative!$C$20</f>
        <v>685380</v>
      </c>
      <c r="L2411">
        <f>Sales_Per_Rep_Yearly_Goal!$B$3</f>
        <v>689907.8</v>
      </c>
      <c r="M2411">
        <f>Sales_Per_Rep_Yearly_Goal!$C$3</f>
        <v>690000</v>
      </c>
    </row>
    <row r="2412" spans="1:13" x14ac:dyDescent="0.3">
      <c r="A2412" s="3">
        <v>45567</v>
      </c>
      <c r="B2412">
        <f t="shared" si="37"/>
        <v>2024</v>
      </c>
      <c r="C2412">
        <v>10</v>
      </c>
      <c r="D2412" t="s">
        <v>19</v>
      </c>
      <c r="E2412" t="s">
        <v>31</v>
      </c>
      <c r="F2412" s="2">
        <v>2535</v>
      </c>
      <c r="G2412" s="2">
        <f>Monthly_Growth!$C$23</f>
        <v>741980</v>
      </c>
      <c r="H2412" s="5">
        <f>Monthly_Growth!$D$23</f>
        <v>-0.11457599935083067</v>
      </c>
      <c r="I2412" s="15">
        <f>Yearly_Growth!$C$3</f>
        <v>0.11893113731787852</v>
      </c>
      <c r="J2412" s="15">
        <f>Yearly_Growth!$D$3</f>
        <v>0.09</v>
      </c>
      <c r="K2412">
        <f>Sales_Per_Representative!$C$21</f>
        <v>679421</v>
      </c>
      <c r="L2412">
        <f>Sales_Per_Rep_Yearly_Goal!$B$3</f>
        <v>689907.8</v>
      </c>
      <c r="M2412">
        <f>Sales_Per_Rep_Yearly_Goal!$C$3</f>
        <v>690000</v>
      </c>
    </row>
    <row r="2413" spans="1:13" x14ac:dyDescent="0.3">
      <c r="A2413" s="3">
        <v>45567</v>
      </c>
      <c r="B2413">
        <f t="shared" si="37"/>
        <v>2024</v>
      </c>
      <c r="C2413">
        <v>10</v>
      </c>
      <c r="D2413" t="s">
        <v>12</v>
      </c>
      <c r="E2413" t="s">
        <v>31</v>
      </c>
      <c r="F2413" s="2">
        <v>6612</v>
      </c>
      <c r="G2413" s="2">
        <f>Monthly_Growth!$C$23</f>
        <v>741980</v>
      </c>
      <c r="H2413" s="5">
        <f>Monthly_Growth!$D$23</f>
        <v>-0.11457599935083067</v>
      </c>
      <c r="I2413" s="15">
        <f>Yearly_Growth!$C$3</f>
        <v>0.11893113731787852</v>
      </c>
      <c r="J2413" s="15">
        <f>Yearly_Growth!$D$3</f>
        <v>0.09</v>
      </c>
      <c r="K2413">
        <f>Sales_Per_Representative!$C$21</f>
        <v>679421</v>
      </c>
      <c r="L2413">
        <f>Sales_Per_Rep_Yearly_Goal!$B$3</f>
        <v>689907.8</v>
      </c>
      <c r="M2413">
        <f>Sales_Per_Rep_Yearly_Goal!$C$3</f>
        <v>690000</v>
      </c>
    </row>
    <row r="2414" spans="1:13" x14ac:dyDescent="0.3">
      <c r="A2414" s="3">
        <v>45568</v>
      </c>
      <c r="B2414">
        <f t="shared" si="37"/>
        <v>2024</v>
      </c>
      <c r="C2414">
        <v>10</v>
      </c>
      <c r="D2414" t="s">
        <v>14</v>
      </c>
      <c r="E2414" t="s">
        <v>31</v>
      </c>
      <c r="F2414" s="2">
        <v>9237</v>
      </c>
      <c r="G2414" s="2">
        <f>Monthly_Growth!$C$23</f>
        <v>741980</v>
      </c>
      <c r="H2414" s="5">
        <f>Monthly_Growth!$D$23</f>
        <v>-0.11457599935083067</v>
      </c>
      <c r="I2414" s="15">
        <f>Yearly_Growth!$C$3</f>
        <v>0.11893113731787852</v>
      </c>
      <c r="J2414" s="15">
        <f>Yearly_Growth!$D$3</f>
        <v>0.09</v>
      </c>
      <c r="K2414">
        <f>Sales_Per_Representative!$C$21</f>
        <v>679421</v>
      </c>
      <c r="L2414">
        <f>Sales_Per_Rep_Yearly_Goal!$B$3</f>
        <v>689907.8</v>
      </c>
      <c r="M2414">
        <f>Sales_Per_Rep_Yearly_Goal!$C$3</f>
        <v>690000</v>
      </c>
    </row>
    <row r="2415" spans="1:13" x14ac:dyDescent="0.3">
      <c r="A2415" s="3">
        <v>45568</v>
      </c>
      <c r="B2415">
        <f t="shared" si="37"/>
        <v>2024</v>
      </c>
      <c r="C2415">
        <v>10</v>
      </c>
      <c r="D2415" t="s">
        <v>19</v>
      </c>
      <c r="E2415" t="s">
        <v>8</v>
      </c>
      <c r="F2415" s="2">
        <v>5936</v>
      </c>
      <c r="G2415" s="2">
        <f>Monthly_Growth!$C$23</f>
        <v>741980</v>
      </c>
      <c r="H2415" s="5">
        <f>Monthly_Growth!$D$23</f>
        <v>-0.11457599935083067</v>
      </c>
      <c r="I2415" s="15">
        <f>Yearly_Growth!$C$3</f>
        <v>0.11893113731787852</v>
      </c>
      <c r="J2415" s="15">
        <f>Yearly_Growth!$D$3</f>
        <v>0.09</v>
      </c>
      <c r="K2415">
        <f>Sales_Per_Representative!$C$30</f>
        <v>780006</v>
      </c>
      <c r="L2415">
        <f>Sales_Per_Rep_Yearly_Goal!$B$3</f>
        <v>689907.8</v>
      </c>
      <c r="M2415">
        <f>Sales_Per_Rep_Yearly_Goal!$C$3</f>
        <v>690000</v>
      </c>
    </row>
    <row r="2416" spans="1:13" x14ac:dyDescent="0.3">
      <c r="A2416" s="3">
        <v>45568</v>
      </c>
      <c r="B2416">
        <f t="shared" si="37"/>
        <v>2024</v>
      </c>
      <c r="C2416">
        <v>10</v>
      </c>
      <c r="D2416" t="s">
        <v>23</v>
      </c>
      <c r="E2416" t="s">
        <v>8</v>
      </c>
      <c r="F2416" s="2">
        <v>1665</v>
      </c>
      <c r="G2416" s="2">
        <f>Monthly_Growth!$C$23</f>
        <v>741980</v>
      </c>
      <c r="H2416" s="5">
        <f>Monthly_Growth!$D$23</f>
        <v>-0.11457599935083067</v>
      </c>
      <c r="I2416" s="15">
        <f>Yearly_Growth!$C$3</f>
        <v>0.11893113731787852</v>
      </c>
      <c r="J2416" s="15">
        <f>Yearly_Growth!$D$3</f>
        <v>0.09</v>
      </c>
      <c r="K2416">
        <f>Sales_Per_Representative!$C$30</f>
        <v>780006</v>
      </c>
      <c r="L2416">
        <f>Sales_Per_Rep_Yearly_Goal!$B$3</f>
        <v>689907.8</v>
      </c>
      <c r="M2416">
        <f>Sales_Per_Rep_Yearly_Goal!$C$3</f>
        <v>690000</v>
      </c>
    </row>
    <row r="2417" spans="1:13" x14ac:dyDescent="0.3">
      <c r="A2417" s="3">
        <v>45569</v>
      </c>
      <c r="B2417">
        <f t="shared" si="37"/>
        <v>2024</v>
      </c>
      <c r="C2417">
        <v>10</v>
      </c>
      <c r="D2417" t="s">
        <v>17</v>
      </c>
      <c r="E2417" t="s">
        <v>31</v>
      </c>
      <c r="F2417" s="2">
        <v>1693</v>
      </c>
      <c r="G2417" s="2">
        <f>Monthly_Growth!$C$23</f>
        <v>741980</v>
      </c>
      <c r="H2417" s="5">
        <f>Monthly_Growth!$D$23</f>
        <v>-0.11457599935083067</v>
      </c>
      <c r="I2417" s="15">
        <f>Yearly_Growth!$C$3</f>
        <v>0.11893113731787852</v>
      </c>
      <c r="J2417" s="15">
        <f>Yearly_Growth!$D$3</f>
        <v>0.09</v>
      </c>
      <c r="K2417">
        <f>Sales_Per_Representative!$C$21</f>
        <v>679421</v>
      </c>
      <c r="L2417">
        <f>Sales_Per_Rep_Yearly_Goal!$B$3</f>
        <v>689907.8</v>
      </c>
      <c r="M2417">
        <f>Sales_Per_Rep_Yearly_Goal!$C$3</f>
        <v>690000</v>
      </c>
    </row>
    <row r="2418" spans="1:13" x14ac:dyDescent="0.3">
      <c r="A2418" s="3">
        <v>45570</v>
      </c>
      <c r="B2418">
        <f t="shared" si="37"/>
        <v>2024</v>
      </c>
      <c r="C2418">
        <v>10</v>
      </c>
      <c r="D2418" t="s">
        <v>14</v>
      </c>
      <c r="E2418" t="s">
        <v>27</v>
      </c>
      <c r="F2418" s="2">
        <v>3947</v>
      </c>
      <c r="G2418" s="2">
        <f>Monthly_Growth!$C$23</f>
        <v>741980</v>
      </c>
      <c r="H2418" s="5">
        <f>Monthly_Growth!$D$23</f>
        <v>-0.11457599935083067</v>
      </c>
      <c r="I2418" s="15">
        <f>Yearly_Growth!$C$3</f>
        <v>0.11893113731787852</v>
      </c>
      <c r="J2418" s="15">
        <f>Yearly_Growth!$D$3</f>
        <v>0.09</v>
      </c>
      <c r="K2418">
        <f>Sales_Per_Representative!$C$20</f>
        <v>685380</v>
      </c>
      <c r="L2418">
        <f>Sales_Per_Rep_Yearly_Goal!$B$3</f>
        <v>689907.8</v>
      </c>
      <c r="M2418">
        <f>Sales_Per_Rep_Yearly_Goal!$C$3</f>
        <v>690000</v>
      </c>
    </row>
    <row r="2419" spans="1:13" x14ac:dyDescent="0.3">
      <c r="A2419" s="3">
        <v>45570</v>
      </c>
      <c r="B2419">
        <f t="shared" si="37"/>
        <v>2024</v>
      </c>
      <c r="C2419">
        <v>10</v>
      </c>
      <c r="D2419" t="s">
        <v>14</v>
      </c>
      <c r="E2419" t="s">
        <v>30</v>
      </c>
      <c r="F2419" s="2">
        <v>1214</v>
      </c>
      <c r="G2419" s="2">
        <f>Monthly_Growth!$C$23</f>
        <v>741980</v>
      </c>
      <c r="H2419" s="5">
        <f>Monthly_Growth!$D$23</f>
        <v>-0.11457599935083067</v>
      </c>
      <c r="I2419" s="15">
        <f>Yearly_Growth!$C$3</f>
        <v>0.11893113731787852</v>
      </c>
      <c r="J2419" s="15">
        <f>Yearly_Growth!$D$3</f>
        <v>0.09</v>
      </c>
      <c r="K2419">
        <f>Sales_Per_Representative!$C$22</f>
        <v>700142</v>
      </c>
      <c r="L2419">
        <f>Sales_Per_Rep_Yearly_Goal!$B$3</f>
        <v>689907.8</v>
      </c>
      <c r="M2419">
        <f>Sales_Per_Rep_Yearly_Goal!$C$3</f>
        <v>690000</v>
      </c>
    </row>
    <row r="2420" spans="1:13" x14ac:dyDescent="0.3">
      <c r="A2420" s="3">
        <v>45570</v>
      </c>
      <c r="B2420">
        <f t="shared" si="37"/>
        <v>2024</v>
      </c>
      <c r="C2420">
        <v>10</v>
      </c>
      <c r="D2420" t="s">
        <v>19</v>
      </c>
      <c r="E2420" t="s">
        <v>15</v>
      </c>
      <c r="F2420" s="2">
        <v>6116</v>
      </c>
      <c r="G2420" s="2">
        <f>Monthly_Growth!$C$23</f>
        <v>741980</v>
      </c>
      <c r="H2420" s="5">
        <f>Monthly_Growth!$D$23</f>
        <v>-0.11457599935083067</v>
      </c>
      <c r="I2420" s="15">
        <f>Yearly_Growth!$C$3</f>
        <v>0.11893113731787852</v>
      </c>
      <c r="J2420" s="15">
        <f>Yearly_Growth!$D$3</f>
        <v>0.09</v>
      </c>
      <c r="K2420">
        <f>Sales_Per_Representative!$C$27</f>
        <v>617202</v>
      </c>
      <c r="L2420">
        <f>Sales_Per_Rep_Yearly_Goal!$B$3</f>
        <v>689907.8</v>
      </c>
      <c r="M2420">
        <f>Sales_Per_Rep_Yearly_Goal!$C$3</f>
        <v>690000</v>
      </c>
    </row>
    <row r="2421" spans="1:13" x14ac:dyDescent="0.3">
      <c r="A2421" s="3">
        <v>45570</v>
      </c>
      <c r="B2421">
        <f t="shared" si="37"/>
        <v>2024</v>
      </c>
      <c r="C2421">
        <v>10</v>
      </c>
      <c r="D2421" t="s">
        <v>23</v>
      </c>
      <c r="E2421" t="s">
        <v>20</v>
      </c>
      <c r="F2421" s="2">
        <v>5465</v>
      </c>
      <c r="G2421" s="2">
        <f>Monthly_Growth!$C$23</f>
        <v>741980</v>
      </c>
      <c r="H2421" s="5">
        <f>Monthly_Growth!$D$23</f>
        <v>-0.11457599935083067</v>
      </c>
      <c r="I2421" s="15">
        <f>Yearly_Growth!$C$3</f>
        <v>0.11893113731787852</v>
      </c>
      <c r="J2421" s="15">
        <f>Yearly_Growth!$D$3</f>
        <v>0.09</v>
      </c>
      <c r="K2421">
        <f>Sales_Per_Representative!$C$29</f>
        <v>753085</v>
      </c>
      <c r="L2421">
        <f>Sales_Per_Rep_Yearly_Goal!$B$3</f>
        <v>689907.8</v>
      </c>
      <c r="M2421">
        <f>Sales_Per_Rep_Yearly_Goal!$C$3</f>
        <v>690000</v>
      </c>
    </row>
    <row r="2422" spans="1:13" x14ac:dyDescent="0.3">
      <c r="A2422" s="3">
        <v>45570</v>
      </c>
      <c r="B2422">
        <f t="shared" si="37"/>
        <v>2024</v>
      </c>
      <c r="C2422">
        <v>10</v>
      </c>
      <c r="D2422" t="s">
        <v>25</v>
      </c>
      <c r="E2422" t="s">
        <v>5</v>
      </c>
      <c r="F2422" s="2">
        <v>5502</v>
      </c>
      <c r="G2422" s="2">
        <f>Monthly_Growth!$C$23</f>
        <v>741980</v>
      </c>
      <c r="H2422" s="5">
        <f>Monthly_Growth!$D$23</f>
        <v>-0.11457599935083067</v>
      </c>
      <c r="I2422" s="15">
        <f>Yearly_Growth!$C$3</f>
        <v>0.11893113731787852</v>
      </c>
      <c r="J2422" s="15">
        <f>Yearly_Growth!$D$3</f>
        <v>0.09</v>
      </c>
      <c r="K2422">
        <f>Sales_Per_Representative!$C$25</f>
        <v>749460</v>
      </c>
      <c r="L2422">
        <f>Sales_Per_Rep_Yearly_Goal!$B$3</f>
        <v>689907.8</v>
      </c>
      <c r="M2422">
        <f>Sales_Per_Rep_Yearly_Goal!$C$3</f>
        <v>690000</v>
      </c>
    </row>
    <row r="2423" spans="1:13" x14ac:dyDescent="0.3">
      <c r="A2423" s="3">
        <v>45570</v>
      </c>
      <c r="B2423">
        <f t="shared" si="37"/>
        <v>2024</v>
      </c>
      <c r="C2423">
        <v>10</v>
      </c>
      <c r="D2423" t="s">
        <v>25</v>
      </c>
      <c r="E2423" t="s">
        <v>26</v>
      </c>
      <c r="F2423" s="2">
        <v>1565</v>
      </c>
      <c r="G2423" s="2">
        <f>Monthly_Growth!$C$23</f>
        <v>741980</v>
      </c>
      <c r="H2423" s="5">
        <f>Monthly_Growth!$D$23</f>
        <v>-0.11457599935083067</v>
      </c>
      <c r="I2423" s="15">
        <f>Yearly_Growth!$C$3</f>
        <v>0.11893113731787852</v>
      </c>
      <c r="J2423" s="15">
        <f>Yearly_Growth!$D$3</f>
        <v>0.09</v>
      </c>
      <c r="K2423">
        <f>Sales_Per_Representative!$C$31</f>
        <v>664244</v>
      </c>
      <c r="L2423">
        <f>Sales_Per_Rep_Yearly_Goal!$B$3</f>
        <v>689907.8</v>
      </c>
      <c r="M2423">
        <f>Sales_Per_Rep_Yearly_Goal!$C$3</f>
        <v>690000</v>
      </c>
    </row>
    <row r="2424" spans="1:13" x14ac:dyDescent="0.3">
      <c r="A2424" s="3">
        <v>45570</v>
      </c>
      <c r="B2424">
        <f t="shared" si="37"/>
        <v>2024</v>
      </c>
      <c r="C2424">
        <v>10</v>
      </c>
      <c r="D2424" t="s">
        <v>7</v>
      </c>
      <c r="E2424" t="s">
        <v>5</v>
      </c>
      <c r="F2424" s="2">
        <v>8759</v>
      </c>
      <c r="G2424" s="2">
        <f>Monthly_Growth!$C$23</f>
        <v>741980</v>
      </c>
      <c r="H2424" s="5">
        <f>Monthly_Growth!$D$23</f>
        <v>-0.11457599935083067</v>
      </c>
      <c r="I2424" s="15">
        <f>Yearly_Growth!$C$3</f>
        <v>0.11893113731787852</v>
      </c>
      <c r="J2424" s="15">
        <f>Yearly_Growth!$D$3</f>
        <v>0.09</v>
      </c>
      <c r="K2424">
        <f>Sales_Per_Representative!$C$25</f>
        <v>749460</v>
      </c>
      <c r="L2424">
        <f>Sales_Per_Rep_Yearly_Goal!$B$3</f>
        <v>689907.8</v>
      </c>
      <c r="M2424">
        <f>Sales_Per_Rep_Yearly_Goal!$C$3</f>
        <v>690000</v>
      </c>
    </row>
    <row r="2425" spans="1:13" x14ac:dyDescent="0.3">
      <c r="A2425" s="3">
        <v>45571</v>
      </c>
      <c r="B2425">
        <f t="shared" si="37"/>
        <v>2024</v>
      </c>
      <c r="C2425">
        <v>10</v>
      </c>
      <c r="D2425" t="s">
        <v>19</v>
      </c>
      <c r="E2425" t="s">
        <v>32</v>
      </c>
      <c r="F2425" s="2">
        <v>8381</v>
      </c>
      <c r="G2425" s="2">
        <f>Monthly_Growth!$C$23</f>
        <v>741980</v>
      </c>
      <c r="H2425" s="5">
        <f>Monthly_Growth!$D$23</f>
        <v>-0.11457599935083067</v>
      </c>
      <c r="I2425" s="15">
        <f>Yearly_Growth!$C$3</f>
        <v>0.11893113731787852</v>
      </c>
      <c r="J2425" s="15">
        <f>Yearly_Growth!$D$3</f>
        <v>0.09</v>
      </c>
      <c r="K2425">
        <f>Sales_Per_Representative!$C$18</f>
        <v>783907</v>
      </c>
      <c r="L2425">
        <f>Sales_Per_Rep_Yearly_Goal!$B$3</f>
        <v>689907.8</v>
      </c>
      <c r="M2425">
        <f>Sales_Per_Rep_Yearly_Goal!$C$3</f>
        <v>690000</v>
      </c>
    </row>
    <row r="2426" spans="1:13" x14ac:dyDescent="0.3">
      <c r="A2426" s="3">
        <v>45571</v>
      </c>
      <c r="B2426">
        <f t="shared" si="37"/>
        <v>2024</v>
      </c>
      <c r="C2426">
        <v>10</v>
      </c>
      <c r="D2426" t="s">
        <v>25</v>
      </c>
      <c r="E2426" t="s">
        <v>27</v>
      </c>
      <c r="F2426" s="2">
        <v>7801</v>
      </c>
      <c r="G2426" s="2">
        <f>Monthly_Growth!$C$23</f>
        <v>741980</v>
      </c>
      <c r="H2426" s="5">
        <f>Monthly_Growth!$D$23</f>
        <v>-0.11457599935083067</v>
      </c>
      <c r="I2426" s="15">
        <f>Yearly_Growth!$C$3</f>
        <v>0.11893113731787852</v>
      </c>
      <c r="J2426" s="15">
        <f>Yearly_Growth!$D$3</f>
        <v>0.09</v>
      </c>
      <c r="K2426">
        <f>Sales_Per_Representative!$C$20</f>
        <v>685380</v>
      </c>
      <c r="L2426">
        <f>Sales_Per_Rep_Yearly_Goal!$B$3</f>
        <v>689907.8</v>
      </c>
      <c r="M2426">
        <f>Sales_Per_Rep_Yearly_Goal!$C$3</f>
        <v>690000</v>
      </c>
    </row>
    <row r="2427" spans="1:13" x14ac:dyDescent="0.3">
      <c r="A2427" s="3">
        <v>45571</v>
      </c>
      <c r="B2427">
        <f t="shared" si="37"/>
        <v>2024</v>
      </c>
      <c r="C2427">
        <v>10</v>
      </c>
      <c r="D2427" t="s">
        <v>12</v>
      </c>
      <c r="E2427" t="s">
        <v>33</v>
      </c>
      <c r="F2427" s="2">
        <v>4210</v>
      </c>
      <c r="G2427" s="2">
        <f>Monthly_Growth!$C$23</f>
        <v>741980</v>
      </c>
      <c r="H2427" s="5">
        <f>Monthly_Growth!$D$23</f>
        <v>-0.11457599935083067</v>
      </c>
      <c r="I2427" s="15">
        <f>Yearly_Growth!$C$3</f>
        <v>0.11893113731787852</v>
      </c>
      <c r="J2427" s="15">
        <f>Yearly_Growth!$D$3</f>
        <v>0.09</v>
      </c>
      <c r="K2427">
        <f>Sales_Per_Representative!$C$26</f>
        <v>501360</v>
      </c>
      <c r="L2427">
        <f>Sales_Per_Rep_Yearly_Goal!$B$3</f>
        <v>689907.8</v>
      </c>
      <c r="M2427">
        <f>Sales_Per_Rep_Yearly_Goal!$C$3</f>
        <v>690000</v>
      </c>
    </row>
    <row r="2428" spans="1:13" x14ac:dyDescent="0.3">
      <c r="A2428" s="3">
        <v>45571</v>
      </c>
      <c r="B2428">
        <f t="shared" si="37"/>
        <v>2024</v>
      </c>
      <c r="C2428">
        <v>10</v>
      </c>
      <c r="D2428" t="s">
        <v>12</v>
      </c>
      <c r="E2428" t="s">
        <v>24</v>
      </c>
      <c r="F2428" s="2">
        <v>4298</v>
      </c>
      <c r="G2428" s="2">
        <f>Monthly_Growth!$C$23</f>
        <v>741980</v>
      </c>
      <c r="H2428" s="5">
        <f>Monthly_Growth!$D$23</f>
        <v>-0.11457599935083067</v>
      </c>
      <c r="I2428" s="15">
        <f>Yearly_Growth!$C$3</f>
        <v>0.11893113731787852</v>
      </c>
      <c r="J2428" s="15">
        <f>Yearly_Growth!$D$3</f>
        <v>0.09</v>
      </c>
      <c r="K2428">
        <f>Sales_Per_Representative!$C$17</f>
        <v>633956</v>
      </c>
      <c r="L2428">
        <f>Sales_Per_Rep_Yearly_Goal!$B$3</f>
        <v>689907.8</v>
      </c>
      <c r="M2428">
        <f>Sales_Per_Rep_Yearly_Goal!$C$3</f>
        <v>690000</v>
      </c>
    </row>
    <row r="2429" spans="1:13" x14ac:dyDescent="0.3">
      <c r="A2429" s="3">
        <v>45571</v>
      </c>
      <c r="B2429">
        <f t="shared" si="37"/>
        <v>2024</v>
      </c>
      <c r="C2429">
        <v>10</v>
      </c>
      <c r="D2429" t="s">
        <v>12</v>
      </c>
      <c r="E2429" t="s">
        <v>31</v>
      </c>
      <c r="F2429" s="2">
        <v>5363</v>
      </c>
      <c r="G2429" s="2">
        <f>Monthly_Growth!$C$23</f>
        <v>741980</v>
      </c>
      <c r="H2429" s="5">
        <f>Monthly_Growth!$D$23</f>
        <v>-0.11457599935083067</v>
      </c>
      <c r="I2429" s="15">
        <f>Yearly_Growth!$C$3</f>
        <v>0.11893113731787852</v>
      </c>
      <c r="J2429" s="15">
        <f>Yearly_Growth!$D$3</f>
        <v>0.09</v>
      </c>
      <c r="K2429">
        <f>Sales_Per_Representative!$C$21</f>
        <v>679421</v>
      </c>
      <c r="L2429">
        <f>Sales_Per_Rep_Yearly_Goal!$B$3</f>
        <v>689907.8</v>
      </c>
      <c r="M2429">
        <f>Sales_Per_Rep_Yearly_Goal!$C$3</f>
        <v>690000</v>
      </c>
    </row>
    <row r="2430" spans="1:13" x14ac:dyDescent="0.3">
      <c r="A2430" s="3">
        <v>45572</v>
      </c>
      <c r="B2430">
        <f t="shared" si="37"/>
        <v>2024</v>
      </c>
      <c r="C2430">
        <v>10</v>
      </c>
      <c r="D2430" t="s">
        <v>23</v>
      </c>
      <c r="E2430" t="s">
        <v>5</v>
      </c>
      <c r="F2430" s="2">
        <v>12247</v>
      </c>
      <c r="G2430" s="2">
        <f>Monthly_Growth!$C$23</f>
        <v>741980</v>
      </c>
      <c r="H2430" s="5">
        <f>Monthly_Growth!$D$23</f>
        <v>-0.11457599935083067</v>
      </c>
      <c r="I2430" s="15">
        <f>Yearly_Growth!$C$3</f>
        <v>0.11893113731787852</v>
      </c>
      <c r="J2430" s="15">
        <f>Yearly_Growth!$D$3</f>
        <v>0.09</v>
      </c>
      <c r="K2430">
        <f>Sales_Per_Representative!$C$25</f>
        <v>749460</v>
      </c>
      <c r="L2430">
        <f>Sales_Per_Rep_Yearly_Goal!$B$3</f>
        <v>689907.8</v>
      </c>
      <c r="M2430">
        <f>Sales_Per_Rep_Yearly_Goal!$C$3</f>
        <v>690000</v>
      </c>
    </row>
    <row r="2431" spans="1:13" x14ac:dyDescent="0.3">
      <c r="A2431" s="3">
        <v>45572</v>
      </c>
      <c r="B2431">
        <f t="shared" si="37"/>
        <v>2024</v>
      </c>
      <c r="C2431">
        <v>10</v>
      </c>
      <c r="D2431" t="s">
        <v>23</v>
      </c>
      <c r="E2431" t="s">
        <v>26</v>
      </c>
      <c r="F2431" s="2">
        <v>11416</v>
      </c>
      <c r="G2431" s="2">
        <f>Monthly_Growth!$C$23</f>
        <v>741980</v>
      </c>
      <c r="H2431" s="5">
        <f>Monthly_Growth!$D$23</f>
        <v>-0.11457599935083067</v>
      </c>
      <c r="I2431" s="15">
        <f>Yearly_Growth!$C$3</f>
        <v>0.11893113731787852</v>
      </c>
      <c r="J2431" s="15">
        <f>Yearly_Growth!$D$3</f>
        <v>0.09</v>
      </c>
      <c r="K2431">
        <f>Sales_Per_Representative!$C$31</f>
        <v>664244</v>
      </c>
      <c r="L2431">
        <f>Sales_Per_Rep_Yearly_Goal!$B$3</f>
        <v>689907.8</v>
      </c>
      <c r="M2431">
        <f>Sales_Per_Rep_Yearly_Goal!$C$3</f>
        <v>690000</v>
      </c>
    </row>
    <row r="2432" spans="1:13" x14ac:dyDescent="0.3">
      <c r="A2432" s="3">
        <v>45572</v>
      </c>
      <c r="B2432">
        <f t="shared" si="37"/>
        <v>2024</v>
      </c>
      <c r="C2432">
        <v>10</v>
      </c>
      <c r="D2432" t="s">
        <v>28</v>
      </c>
      <c r="E2432" t="s">
        <v>32</v>
      </c>
      <c r="F2432" s="2">
        <v>4574</v>
      </c>
      <c r="G2432" s="2">
        <f>Monthly_Growth!$C$23</f>
        <v>741980</v>
      </c>
      <c r="H2432" s="5">
        <f>Monthly_Growth!$D$23</f>
        <v>-0.11457599935083067</v>
      </c>
      <c r="I2432" s="15">
        <f>Yearly_Growth!$C$3</f>
        <v>0.11893113731787852</v>
      </c>
      <c r="J2432" s="15">
        <f>Yearly_Growth!$D$3</f>
        <v>0.09</v>
      </c>
      <c r="K2432">
        <f>Sales_Per_Representative!$C$18</f>
        <v>783907</v>
      </c>
      <c r="L2432">
        <f>Sales_Per_Rep_Yearly_Goal!$B$3</f>
        <v>689907.8</v>
      </c>
      <c r="M2432">
        <f>Sales_Per_Rep_Yearly_Goal!$C$3</f>
        <v>690000</v>
      </c>
    </row>
    <row r="2433" spans="1:13" x14ac:dyDescent="0.3">
      <c r="A2433" s="3">
        <v>45573</v>
      </c>
      <c r="B2433">
        <f t="shared" si="37"/>
        <v>2024</v>
      </c>
      <c r="C2433">
        <v>10</v>
      </c>
      <c r="D2433" t="s">
        <v>7</v>
      </c>
      <c r="E2433" t="s">
        <v>15</v>
      </c>
      <c r="F2433" s="2">
        <v>5359</v>
      </c>
      <c r="G2433" s="2">
        <f>Monthly_Growth!$C$23</f>
        <v>741980</v>
      </c>
      <c r="H2433" s="5">
        <f>Monthly_Growth!$D$23</f>
        <v>-0.11457599935083067</v>
      </c>
      <c r="I2433" s="15">
        <f>Yearly_Growth!$C$3</f>
        <v>0.11893113731787852</v>
      </c>
      <c r="J2433" s="15">
        <f>Yearly_Growth!$D$3</f>
        <v>0.09</v>
      </c>
      <c r="K2433">
        <f>Sales_Per_Representative!$C$27</f>
        <v>617202</v>
      </c>
      <c r="L2433">
        <f>Sales_Per_Rep_Yearly_Goal!$B$3</f>
        <v>689907.8</v>
      </c>
      <c r="M2433">
        <f>Sales_Per_Rep_Yearly_Goal!$C$3</f>
        <v>690000</v>
      </c>
    </row>
    <row r="2434" spans="1:13" x14ac:dyDescent="0.3">
      <c r="A2434" s="3">
        <v>45574</v>
      </c>
      <c r="B2434">
        <f t="shared" si="37"/>
        <v>2024</v>
      </c>
      <c r="C2434">
        <v>10</v>
      </c>
      <c r="D2434" t="s">
        <v>7</v>
      </c>
      <c r="E2434" t="s">
        <v>22</v>
      </c>
      <c r="F2434" s="2">
        <v>8562</v>
      </c>
      <c r="G2434" s="2">
        <f>Monthly_Growth!$C$23</f>
        <v>741980</v>
      </c>
      <c r="H2434" s="5">
        <f>Monthly_Growth!$D$23</f>
        <v>-0.11457599935083067</v>
      </c>
      <c r="I2434" s="15">
        <f>Yearly_Growth!$C$3</f>
        <v>0.11893113731787852</v>
      </c>
      <c r="J2434" s="15">
        <f>Yearly_Growth!$D$3</f>
        <v>0.09</v>
      </c>
      <c r="K2434">
        <f>Sales_Per_Representative!$C$23</f>
        <v>697444</v>
      </c>
      <c r="L2434">
        <f>Sales_Per_Rep_Yearly_Goal!$B$3</f>
        <v>689907.8</v>
      </c>
      <c r="M2434">
        <f>Sales_Per_Rep_Yearly_Goal!$C$3</f>
        <v>690000</v>
      </c>
    </row>
    <row r="2435" spans="1:13" x14ac:dyDescent="0.3">
      <c r="A2435" s="3">
        <v>45574</v>
      </c>
      <c r="B2435">
        <f t="shared" ref="B2435:B2498" si="38">YEAR(A2435)</f>
        <v>2024</v>
      </c>
      <c r="C2435">
        <v>10</v>
      </c>
      <c r="D2435" t="s">
        <v>12</v>
      </c>
      <c r="E2435" t="s">
        <v>15</v>
      </c>
      <c r="F2435" s="2">
        <v>6927</v>
      </c>
      <c r="G2435" s="2">
        <f>Monthly_Growth!$C$23</f>
        <v>741980</v>
      </c>
      <c r="H2435" s="5">
        <f>Monthly_Growth!$D$23</f>
        <v>-0.11457599935083067</v>
      </c>
      <c r="I2435" s="15">
        <f>Yearly_Growth!$C$3</f>
        <v>0.11893113731787852</v>
      </c>
      <c r="J2435" s="15">
        <f>Yearly_Growth!$D$3</f>
        <v>0.09</v>
      </c>
      <c r="K2435">
        <f>Sales_Per_Representative!$C$27</f>
        <v>617202</v>
      </c>
      <c r="L2435">
        <f>Sales_Per_Rep_Yearly_Goal!$B$3</f>
        <v>689907.8</v>
      </c>
      <c r="M2435">
        <f>Sales_Per_Rep_Yearly_Goal!$C$3</f>
        <v>690000</v>
      </c>
    </row>
    <row r="2436" spans="1:13" x14ac:dyDescent="0.3">
      <c r="A2436" s="3">
        <v>45575</v>
      </c>
      <c r="B2436">
        <f t="shared" si="38"/>
        <v>2024</v>
      </c>
      <c r="C2436">
        <v>10</v>
      </c>
      <c r="D2436" t="s">
        <v>14</v>
      </c>
      <c r="E2436" t="s">
        <v>5</v>
      </c>
      <c r="F2436" s="2">
        <v>1436</v>
      </c>
      <c r="G2436" s="2">
        <f>Monthly_Growth!$C$23</f>
        <v>741980</v>
      </c>
      <c r="H2436" s="5">
        <f>Monthly_Growth!$D$23</f>
        <v>-0.11457599935083067</v>
      </c>
      <c r="I2436" s="15">
        <f>Yearly_Growth!$C$3</f>
        <v>0.11893113731787852</v>
      </c>
      <c r="J2436" s="15">
        <f>Yearly_Growth!$D$3</f>
        <v>0.09</v>
      </c>
      <c r="K2436">
        <f>Sales_Per_Representative!$C$25</f>
        <v>749460</v>
      </c>
      <c r="L2436">
        <f>Sales_Per_Rep_Yearly_Goal!$B$3</f>
        <v>689907.8</v>
      </c>
      <c r="M2436">
        <f>Sales_Per_Rep_Yearly_Goal!$C$3</f>
        <v>690000</v>
      </c>
    </row>
    <row r="2437" spans="1:13" x14ac:dyDescent="0.3">
      <c r="A2437" s="3">
        <v>45575</v>
      </c>
      <c r="B2437">
        <f t="shared" si="38"/>
        <v>2024</v>
      </c>
      <c r="C2437">
        <v>10</v>
      </c>
      <c r="D2437" t="s">
        <v>7</v>
      </c>
      <c r="E2437" t="s">
        <v>33</v>
      </c>
      <c r="F2437" s="2">
        <v>11837</v>
      </c>
      <c r="G2437" s="2">
        <f>Monthly_Growth!$C$23</f>
        <v>741980</v>
      </c>
      <c r="H2437" s="5">
        <f>Monthly_Growth!$D$23</f>
        <v>-0.11457599935083067</v>
      </c>
      <c r="I2437" s="15">
        <f>Yearly_Growth!$C$3</f>
        <v>0.11893113731787852</v>
      </c>
      <c r="J2437" s="15">
        <f>Yearly_Growth!$D$3</f>
        <v>0.09</v>
      </c>
      <c r="K2437">
        <f>Sales_Per_Representative!$C$26</f>
        <v>501360</v>
      </c>
      <c r="L2437">
        <f>Sales_Per_Rep_Yearly_Goal!$B$3</f>
        <v>689907.8</v>
      </c>
      <c r="M2437">
        <f>Sales_Per_Rep_Yearly_Goal!$C$3</f>
        <v>690000</v>
      </c>
    </row>
    <row r="2438" spans="1:13" x14ac:dyDescent="0.3">
      <c r="A2438" s="3">
        <v>45575</v>
      </c>
      <c r="B2438">
        <f t="shared" si="38"/>
        <v>2024</v>
      </c>
      <c r="C2438">
        <v>10</v>
      </c>
      <c r="D2438" t="s">
        <v>17</v>
      </c>
      <c r="E2438" t="s">
        <v>10</v>
      </c>
      <c r="F2438" s="2">
        <v>3058</v>
      </c>
      <c r="G2438" s="2">
        <f>Monthly_Growth!$C$23</f>
        <v>741980</v>
      </c>
      <c r="H2438" s="5">
        <f>Monthly_Growth!$D$23</f>
        <v>-0.11457599935083067</v>
      </c>
      <c r="I2438" s="15">
        <f>Yearly_Growth!$C$3</f>
        <v>0.11893113731787852</v>
      </c>
      <c r="J2438" s="15">
        <f>Yearly_Growth!$D$3</f>
        <v>0.09</v>
      </c>
      <c r="K2438">
        <f>Sales_Per_Representative!$C$19</f>
        <v>711816</v>
      </c>
      <c r="L2438">
        <f>Sales_Per_Rep_Yearly_Goal!$B$3</f>
        <v>689907.8</v>
      </c>
      <c r="M2438">
        <f>Sales_Per_Rep_Yearly_Goal!$C$3</f>
        <v>690000</v>
      </c>
    </row>
    <row r="2439" spans="1:13" x14ac:dyDescent="0.3">
      <c r="A2439" s="3">
        <v>45575</v>
      </c>
      <c r="B2439">
        <f t="shared" si="38"/>
        <v>2024</v>
      </c>
      <c r="C2439">
        <v>10</v>
      </c>
      <c r="D2439" t="s">
        <v>12</v>
      </c>
      <c r="E2439" t="s">
        <v>22</v>
      </c>
      <c r="F2439" s="2">
        <v>5820</v>
      </c>
      <c r="G2439" s="2">
        <f>Monthly_Growth!$C$23</f>
        <v>741980</v>
      </c>
      <c r="H2439" s="5">
        <f>Monthly_Growth!$D$23</f>
        <v>-0.11457599935083067</v>
      </c>
      <c r="I2439" s="15">
        <f>Yearly_Growth!$C$3</f>
        <v>0.11893113731787852</v>
      </c>
      <c r="J2439" s="15">
        <f>Yearly_Growth!$D$3</f>
        <v>0.09</v>
      </c>
      <c r="K2439">
        <f>Sales_Per_Representative!$C$23</f>
        <v>697444</v>
      </c>
      <c r="L2439">
        <f>Sales_Per_Rep_Yearly_Goal!$B$3</f>
        <v>689907.8</v>
      </c>
      <c r="M2439">
        <f>Sales_Per_Rep_Yearly_Goal!$C$3</f>
        <v>690000</v>
      </c>
    </row>
    <row r="2440" spans="1:13" x14ac:dyDescent="0.3">
      <c r="A2440" s="3">
        <v>45576</v>
      </c>
      <c r="B2440">
        <f t="shared" si="38"/>
        <v>2024</v>
      </c>
      <c r="C2440">
        <v>10</v>
      </c>
      <c r="D2440" t="s">
        <v>23</v>
      </c>
      <c r="E2440" t="s">
        <v>29</v>
      </c>
      <c r="F2440" s="2">
        <v>2545</v>
      </c>
      <c r="G2440" s="2">
        <f>Monthly_Growth!$C$23</f>
        <v>741980</v>
      </c>
      <c r="H2440" s="5">
        <f>Monthly_Growth!$D$23</f>
        <v>-0.11457599935083067</v>
      </c>
      <c r="I2440" s="15">
        <f>Yearly_Growth!$C$3</f>
        <v>0.11893113731787852</v>
      </c>
      <c r="J2440" s="15">
        <f>Yearly_Growth!$D$3</f>
        <v>0.09</v>
      </c>
      <c r="K2440">
        <f>Sales_Per_Representative!$C$28</f>
        <v>691917</v>
      </c>
      <c r="L2440">
        <f>Sales_Per_Rep_Yearly_Goal!$B$3</f>
        <v>689907.8</v>
      </c>
      <c r="M2440">
        <f>Sales_Per_Rep_Yearly_Goal!$C$3</f>
        <v>690000</v>
      </c>
    </row>
    <row r="2441" spans="1:13" x14ac:dyDescent="0.3">
      <c r="A2441" s="3">
        <v>45576</v>
      </c>
      <c r="B2441">
        <f t="shared" si="38"/>
        <v>2024</v>
      </c>
      <c r="C2441">
        <v>10</v>
      </c>
      <c r="D2441" t="s">
        <v>25</v>
      </c>
      <c r="E2441" t="s">
        <v>8</v>
      </c>
      <c r="F2441" s="2">
        <v>2805</v>
      </c>
      <c r="G2441" s="2">
        <f>Monthly_Growth!$C$23</f>
        <v>741980</v>
      </c>
      <c r="H2441" s="5">
        <f>Monthly_Growth!$D$23</f>
        <v>-0.11457599935083067</v>
      </c>
      <c r="I2441" s="15">
        <f>Yearly_Growth!$C$3</f>
        <v>0.11893113731787852</v>
      </c>
      <c r="J2441" s="15">
        <f>Yearly_Growth!$D$3</f>
        <v>0.09</v>
      </c>
      <c r="K2441">
        <f>Sales_Per_Representative!$C$30</f>
        <v>780006</v>
      </c>
      <c r="L2441">
        <f>Sales_Per_Rep_Yearly_Goal!$B$3</f>
        <v>689907.8</v>
      </c>
      <c r="M2441">
        <f>Sales_Per_Rep_Yearly_Goal!$C$3</f>
        <v>690000</v>
      </c>
    </row>
    <row r="2442" spans="1:13" x14ac:dyDescent="0.3">
      <c r="A2442" s="3">
        <v>45576</v>
      </c>
      <c r="B2442">
        <f t="shared" si="38"/>
        <v>2024</v>
      </c>
      <c r="C2442">
        <v>10</v>
      </c>
      <c r="D2442" t="s">
        <v>25</v>
      </c>
      <c r="E2442" t="s">
        <v>10</v>
      </c>
      <c r="F2442" s="2">
        <v>7890</v>
      </c>
      <c r="G2442" s="2">
        <f>Monthly_Growth!$C$23</f>
        <v>741980</v>
      </c>
      <c r="H2442" s="5">
        <f>Monthly_Growth!$D$23</f>
        <v>-0.11457599935083067</v>
      </c>
      <c r="I2442" s="15">
        <f>Yearly_Growth!$C$3</f>
        <v>0.11893113731787852</v>
      </c>
      <c r="J2442" s="15">
        <f>Yearly_Growth!$D$3</f>
        <v>0.09</v>
      </c>
      <c r="K2442">
        <f>Sales_Per_Representative!$C$19</f>
        <v>711816</v>
      </c>
      <c r="L2442">
        <f>Sales_Per_Rep_Yearly_Goal!$B$3</f>
        <v>689907.8</v>
      </c>
      <c r="M2442">
        <f>Sales_Per_Rep_Yearly_Goal!$C$3</f>
        <v>690000</v>
      </c>
    </row>
    <row r="2443" spans="1:13" x14ac:dyDescent="0.3">
      <c r="A2443" s="3">
        <v>45576</v>
      </c>
      <c r="B2443">
        <f t="shared" si="38"/>
        <v>2024</v>
      </c>
      <c r="C2443">
        <v>10</v>
      </c>
      <c r="D2443" t="s">
        <v>25</v>
      </c>
      <c r="E2443" t="s">
        <v>33</v>
      </c>
      <c r="F2443" s="2">
        <v>11349</v>
      </c>
      <c r="G2443" s="2">
        <f>Monthly_Growth!$C$23</f>
        <v>741980</v>
      </c>
      <c r="H2443" s="5">
        <f>Monthly_Growth!$D$23</f>
        <v>-0.11457599935083067</v>
      </c>
      <c r="I2443" s="15">
        <f>Yearly_Growth!$C$3</f>
        <v>0.11893113731787852</v>
      </c>
      <c r="J2443" s="15">
        <f>Yearly_Growth!$D$3</f>
        <v>0.09</v>
      </c>
      <c r="K2443">
        <f>Sales_Per_Representative!$C$26</f>
        <v>501360</v>
      </c>
      <c r="L2443">
        <f>Sales_Per_Rep_Yearly_Goal!$B$3</f>
        <v>689907.8</v>
      </c>
      <c r="M2443">
        <f>Sales_Per_Rep_Yearly_Goal!$C$3</f>
        <v>690000</v>
      </c>
    </row>
    <row r="2444" spans="1:13" x14ac:dyDescent="0.3">
      <c r="A2444" s="3">
        <v>45576</v>
      </c>
      <c r="B2444">
        <f t="shared" si="38"/>
        <v>2024</v>
      </c>
      <c r="C2444">
        <v>10</v>
      </c>
      <c r="D2444" t="s">
        <v>7</v>
      </c>
      <c r="E2444" t="s">
        <v>10</v>
      </c>
      <c r="F2444" s="2">
        <v>13633</v>
      </c>
      <c r="G2444" s="2">
        <f>Monthly_Growth!$C$23</f>
        <v>741980</v>
      </c>
      <c r="H2444" s="5">
        <f>Monthly_Growth!$D$23</f>
        <v>-0.11457599935083067</v>
      </c>
      <c r="I2444" s="15">
        <f>Yearly_Growth!$C$3</f>
        <v>0.11893113731787852</v>
      </c>
      <c r="J2444" s="15">
        <f>Yearly_Growth!$D$3</f>
        <v>0.09</v>
      </c>
      <c r="K2444">
        <f>Sales_Per_Representative!$C$19</f>
        <v>711816</v>
      </c>
      <c r="L2444">
        <f>Sales_Per_Rep_Yearly_Goal!$B$3</f>
        <v>689907.8</v>
      </c>
      <c r="M2444">
        <f>Sales_Per_Rep_Yearly_Goal!$C$3</f>
        <v>690000</v>
      </c>
    </row>
    <row r="2445" spans="1:13" x14ac:dyDescent="0.3">
      <c r="A2445" s="3">
        <v>45576</v>
      </c>
      <c r="B2445">
        <f t="shared" si="38"/>
        <v>2024</v>
      </c>
      <c r="C2445">
        <v>10</v>
      </c>
      <c r="D2445" t="s">
        <v>7</v>
      </c>
      <c r="E2445" t="s">
        <v>15</v>
      </c>
      <c r="F2445" s="2">
        <v>6132</v>
      </c>
      <c r="G2445" s="2">
        <f>Monthly_Growth!$C$23</f>
        <v>741980</v>
      </c>
      <c r="H2445" s="5">
        <f>Monthly_Growth!$D$23</f>
        <v>-0.11457599935083067</v>
      </c>
      <c r="I2445" s="15">
        <f>Yearly_Growth!$C$3</f>
        <v>0.11893113731787852</v>
      </c>
      <c r="J2445" s="15">
        <f>Yearly_Growth!$D$3</f>
        <v>0.09</v>
      </c>
      <c r="K2445">
        <f>Sales_Per_Representative!$C$27</f>
        <v>617202</v>
      </c>
      <c r="L2445">
        <f>Sales_Per_Rep_Yearly_Goal!$B$3</f>
        <v>689907.8</v>
      </c>
      <c r="M2445">
        <f>Sales_Per_Rep_Yearly_Goal!$C$3</f>
        <v>690000</v>
      </c>
    </row>
    <row r="2446" spans="1:13" x14ac:dyDescent="0.3">
      <c r="A2446" s="3">
        <v>45576</v>
      </c>
      <c r="B2446">
        <f t="shared" si="38"/>
        <v>2024</v>
      </c>
      <c r="C2446">
        <v>10</v>
      </c>
      <c r="D2446" t="s">
        <v>17</v>
      </c>
      <c r="E2446" t="s">
        <v>32</v>
      </c>
      <c r="F2446" s="2">
        <v>13013</v>
      </c>
      <c r="G2446" s="2">
        <f>Monthly_Growth!$C$23</f>
        <v>741980</v>
      </c>
      <c r="H2446" s="5">
        <f>Monthly_Growth!$D$23</f>
        <v>-0.11457599935083067</v>
      </c>
      <c r="I2446" s="15">
        <f>Yearly_Growth!$C$3</f>
        <v>0.11893113731787852</v>
      </c>
      <c r="J2446" s="15">
        <f>Yearly_Growth!$D$3</f>
        <v>0.09</v>
      </c>
      <c r="K2446">
        <f>Sales_Per_Representative!$C$18</f>
        <v>783907</v>
      </c>
      <c r="L2446">
        <f>Sales_Per_Rep_Yearly_Goal!$B$3</f>
        <v>689907.8</v>
      </c>
      <c r="M2446">
        <f>Sales_Per_Rep_Yearly_Goal!$C$3</f>
        <v>690000</v>
      </c>
    </row>
    <row r="2447" spans="1:13" x14ac:dyDescent="0.3">
      <c r="A2447" s="3">
        <v>45576</v>
      </c>
      <c r="B2447">
        <f t="shared" si="38"/>
        <v>2024</v>
      </c>
      <c r="C2447">
        <v>10</v>
      </c>
      <c r="D2447" t="s">
        <v>12</v>
      </c>
      <c r="E2447" t="s">
        <v>32</v>
      </c>
      <c r="F2447" s="2">
        <v>8225</v>
      </c>
      <c r="G2447" s="2">
        <f>Monthly_Growth!$C$23</f>
        <v>741980</v>
      </c>
      <c r="H2447" s="5">
        <f>Monthly_Growth!$D$23</f>
        <v>-0.11457599935083067</v>
      </c>
      <c r="I2447" s="15">
        <f>Yearly_Growth!$C$3</f>
        <v>0.11893113731787852</v>
      </c>
      <c r="J2447" s="15">
        <f>Yearly_Growth!$D$3</f>
        <v>0.09</v>
      </c>
      <c r="K2447">
        <f>Sales_Per_Representative!$C$18</f>
        <v>783907</v>
      </c>
      <c r="L2447">
        <f>Sales_Per_Rep_Yearly_Goal!$B$3</f>
        <v>689907.8</v>
      </c>
      <c r="M2447">
        <f>Sales_Per_Rep_Yearly_Goal!$C$3</f>
        <v>690000</v>
      </c>
    </row>
    <row r="2448" spans="1:13" x14ac:dyDescent="0.3">
      <c r="A2448" s="3">
        <v>45577</v>
      </c>
      <c r="B2448">
        <f t="shared" si="38"/>
        <v>2024</v>
      </c>
      <c r="C2448">
        <v>10</v>
      </c>
      <c r="D2448" t="s">
        <v>7</v>
      </c>
      <c r="E2448" t="s">
        <v>26</v>
      </c>
      <c r="F2448" s="2">
        <v>12515</v>
      </c>
      <c r="G2448" s="2">
        <f>Monthly_Growth!$C$23</f>
        <v>741980</v>
      </c>
      <c r="H2448" s="5">
        <f>Monthly_Growth!$D$23</f>
        <v>-0.11457599935083067</v>
      </c>
      <c r="I2448" s="15">
        <f>Yearly_Growth!$C$3</f>
        <v>0.11893113731787852</v>
      </c>
      <c r="J2448" s="15">
        <f>Yearly_Growth!$D$3</f>
        <v>0.09</v>
      </c>
      <c r="K2448">
        <f>Sales_Per_Representative!$C$31</f>
        <v>664244</v>
      </c>
      <c r="L2448">
        <f>Sales_Per_Rep_Yearly_Goal!$B$3</f>
        <v>689907.8</v>
      </c>
      <c r="M2448">
        <f>Sales_Per_Rep_Yearly_Goal!$C$3</f>
        <v>690000</v>
      </c>
    </row>
    <row r="2449" spans="1:13" x14ac:dyDescent="0.3">
      <c r="A2449" s="3">
        <v>45577</v>
      </c>
      <c r="B2449">
        <f t="shared" si="38"/>
        <v>2024</v>
      </c>
      <c r="C2449">
        <v>10</v>
      </c>
      <c r="D2449" t="s">
        <v>7</v>
      </c>
      <c r="E2449" t="s">
        <v>33</v>
      </c>
      <c r="F2449" s="2">
        <v>5252</v>
      </c>
      <c r="G2449" s="2">
        <f>Monthly_Growth!$C$23</f>
        <v>741980</v>
      </c>
      <c r="H2449" s="5">
        <f>Monthly_Growth!$D$23</f>
        <v>-0.11457599935083067</v>
      </c>
      <c r="I2449" s="15">
        <f>Yearly_Growth!$C$3</f>
        <v>0.11893113731787852</v>
      </c>
      <c r="J2449" s="15">
        <f>Yearly_Growth!$D$3</f>
        <v>0.09</v>
      </c>
      <c r="K2449">
        <f>Sales_Per_Representative!$C$26</f>
        <v>501360</v>
      </c>
      <c r="L2449">
        <f>Sales_Per_Rep_Yearly_Goal!$B$3</f>
        <v>689907.8</v>
      </c>
      <c r="M2449">
        <f>Sales_Per_Rep_Yearly_Goal!$C$3</f>
        <v>690000</v>
      </c>
    </row>
    <row r="2450" spans="1:13" x14ac:dyDescent="0.3">
      <c r="A2450" s="3">
        <v>45577</v>
      </c>
      <c r="B2450">
        <f t="shared" si="38"/>
        <v>2024</v>
      </c>
      <c r="C2450">
        <v>10</v>
      </c>
      <c r="D2450" t="s">
        <v>28</v>
      </c>
      <c r="E2450" t="s">
        <v>20</v>
      </c>
      <c r="F2450" s="2">
        <v>6155</v>
      </c>
      <c r="G2450" s="2">
        <f>Monthly_Growth!$C$23</f>
        <v>741980</v>
      </c>
      <c r="H2450" s="5">
        <f>Monthly_Growth!$D$23</f>
        <v>-0.11457599935083067</v>
      </c>
      <c r="I2450" s="15">
        <f>Yearly_Growth!$C$3</f>
        <v>0.11893113731787852</v>
      </c>
      <c r="J2450" s="15">
        <f>Yearly_Growth!$D$3</f>
        <v>0.09</v>
      </c>
      <c r="K2450">
        <f>Sales_Per_Representative!$C$29</f>
        <v>753085</v>
      </c>
      <c r="L2450">
        <f>Sales_Per_Rep_Yearly_Goal!$B$3</f>
        <v>689907.8</v>
      </c>
      <c r="M2450">
        <f>Sales_Per_Rep_Yearly_Goal!$C$3</f>
        <v>690000</v>
      </c>
    </row>
    <row r="2451" spans="1:13" x14ac:dyDescent="0.3">
      <c r="A2451" s="3">
        <v>45578</v>
      </c>
      <c r="B2451">
        <f t="shared" si="38"/>
        <v>2024</v>
      </c>
      <c r="C2451">
        <v>10</v>
      </c>
      <c r="D2451" t="s">
        <v>7</v>
      </c>
      <c r="E2451" t="s">
        <v>31</v>
      </c>
      <c r="F2451" s="2">
        <v>10489</v>
      </c>
      <c r="G2451" s="2">
        <f>Monthly_Growth!$C$23</f>
        <v>741980</v>
      </c>
      <c r="H2451" s="5">
        <f>Monthly_Growth!$D$23</f>
        <v>-0.11457599935083067</v>
      </c>
      <c r="I2451" s="15">
        <f>Yearly_Growth!$C$3</f>
        <v>0.11893113731787852</v>
      </c>
      <c r="J2451" s="15">
        <f>Yearly_Growth!$D$3</f>
        <v>0.09</v>
      </c>
      <c r="K2451">
        <f>Sales_Per_Representative!$C$21</f>
        <v>679421</v>
      </c>
      <c r="L2451">
        <f>Sales_Per_Rep_Yearly_Goal!$B$3</f>
        <v>689907.8</v>
      </c>
      <c r="M2451">
        <f>Sales_Per_Rep_Yearly_Goal!$C$3</f>
        <v>690000</v>
      </c>
    </row>
    <row r="2452" spans="1:13" x14ac:dyDescent="0.3">
      <c r="A2452" s="3">
        <v>45578</v>
      </c>
      <c r="B2452">
        <f t="shared" si="38"/>
        <v>2024</v>
      </c>
      <c r="C2452">
        <v>10</v>
      </c>
      <c r="D2452" t="s">
        <v>7</v>
      </c>
      <c r="E2452" t="s">
        <v>10</v>
      </c>
      <c r="F2452" s="2">
        <v>8820</v>
      </c>
      <c r="G2452" s="2">
        <f>Monthly_Growth!$C$23</f>
        <v>741980</v>
      </c>
      <c r="H2452" s="5">
        <f>Monthly_Growth!$D$23</f>
        <v>-0.11457599935083067</v>
      </c>
      <c r="I2452" s="15">
        <f>Yearly_Growth!$C$3</f>
        <v>0.11893113731787852</v>
      </c>
      <c r="J2452" s="15">
        <f>Yearly_Growth!$D$3</f>
        <v>0.09</v>
      </c>
      <c r="K2452">
        <f>Sales_Per_Representative!$C$19</f>
        <v>711816</v>
      </c>
      <c r="L2452">
        <f>Sales_Per_Rep_Yearly_Goal!$B$3</f>
        <v>689907.8</v>
      </c>
      <c r="M2452">
        <f>Sales_Per_Rep_Yearly_Goal!$C$3</f>
        <v>690000</v>
      </c>
    </row>
    <row r="2453" spans="1:13" x14ac:dyDescent="0.3">
      <c r="A2453" s="3">
        <v>45578</v>
      </c>
      <c r="B2453">
        <f t="shared" si="38"/>
        <v>2024</v>
      </c>
      <c r="C2453">
        <v>10</v>
      </c>
      <c r="D2453" t="s">
        <v>7</v>
      </c>
      <c r="E2453" t="s">
        <v>20</v>
      </c>
      <c r="F2453" s="2">
        <v>1851</v>
      </c>
      <c r="G2453" s="2">
        <f>Monthly_Growth!$C$23</f>
        <v>741980</v>
      </c>
      <c r="H2453" s="5">
        <f>Monthly_Growth!$D$23</f>
        <v>-0.11457599935083067</v>
      </c>
      <c r="I2453" s="15">
        <f>Yearly_Growth!$C$3</f>
        <v>0.11893113731787852</v>
      </c>
      <c r="J2453" s="15">
        <f>Yearly_Growth!$D$3</f>
        <v>0.09</v>
      </c>
      <c r="K2453">
        <f>Sales_Per_Representative!$C$29</f>
        <v>753085</v>
      </c>
      <c r="L2453">
        <f>Sales_Per_Rep_Yearly_Goal!$B$3</f>
        <v>689907.8</v>
      </c>
      <c r="M2453">
        <f>Sales_Per_Rep_Yearly_Goal!$C$3</f>
        <v>690000</v>
      </c>
    </row>
    <row r="2454" spans="1:13" x14ac:dyDescent="0.3">
      <c r="A2454" s="3">
        <v>45578</v>
      </c>
      <c r="B2454">
        <f t="shared" si="38"/>
        <v>2024</v>
      </c>
      <c r="C2454">
        <v>10</v>
      </c>
      <c r="D2454" t="s">
        <v>12</v>
      </c>
      <c r="E2454" t="s">
        <v>29</v>
      </c>
      <c r="F2454" s="2">
        <v>10997</v>
      </c>
      <c r="G2454" s="2">
        <f>Monthly_Growth!$C$23</f>
        <v>741980</v>
      </c>
      <c r="H2454" s="5">
        <f>Monthly_Growth!$D$23</f>
        <v>-0.11457599935083067</v>
      </c>
      <c r="I2454" s="15">
        <f>Yearly_Growth!$C$3</f>
        <v>0.11893113731787852</v>
      </c>
      <c r="J2454" s="15">
        <f>Yearly_Growth!$D$3</f>
        <v>0.09</v>
      </c>
      <c r="K2454">
        <f>Sales_Per_Representative!$C$28</f>
        <v>691917</v>
      </c>
      <c r="L2454">
        <f>Sales_Per_Rep_Yearly_Goal!$B$3</f>
        <v>689907.8</v>
      </c>
      <c r="M2454">
        <f>Sales_Per_Rep_Yearly_Goal!$C$3</f>
        <v>690000</v>
      </c>
    </row>
    <row r="2455" spans="1:13" x14ac:dyDescent="0.3">
      <c r="A2455" s="3">
        <v>45578</v>
      </c>
      <c r="B2455">
        <f t="shared" si="38"/>
        <v>2024</v>
      </c>
      <c r="C2455">
        <v>10</v>
      </c>
      <c r="D2455" t="s">
        <v>12</v>
      </c>
      <c r="E2455" t="s">
        <v>26</v>
      </c>
      <c r="F2455" s="2">
        <v>3778</v>
      </c>
      <c r="G2455" s="2">
        <f>Monthly_Growth!$C$23</f>
        <v>741980</v>
      </c>
      <c r="H2455" s="5">
        <f>Monthly_Growth!$D$23</f>
        <v>-0.11457599935083067</v>
      </c>
      <c r="I2455" s="15">
        <f>Yearly_Growth!$C$3</f>
        <v>0.11893113731787852</v>
      </c>
      <c r="J2455" s="15">
        <f>Yearly_Growth!$D$3</f>
        <v>0.09</v>
      </c>
      <c r="K2455">
        <f>Sales_Per_Representative!$C$31</f>
        <v>664244</v>
      </c>
      <c r="L2455">
        <f>Sales_Per_Rep_Yearly_Goal!$B$3</f>
        <v>689907.8</v>
      </c>
      <c r="M2455">
        <f>Sales_Per_Rep_Yearly_Goal!$C$3</f>
        <v>690000</v>
      </c>
    </row>
    <row r="2456" spans="1:13" x14ac:dyDescent="0.3">
      <c r="A2456" s="3">
        <v>45579</v>
      </c>
      <c r="B2456">
        <f t="shared" si="38"/>
        <v>2024</v>
      </c>
      <c r="C2456">
        <v>10</v>
      </c>
      <c r="D2456" t="s">
        <v>19</v>
      </c>
      <c r="E2456" t="s">
        <v>24</v>
      </c>
      <c r="F2456" s="2">
        <v>7027</v>
      </c>
      <c r="G2456" s="2">
        <f>Monthly_Growth!$C$23</f>
        <v>741980</v>
      </c>
      <c r="H2456" s="5">
        <f>Monthly_Growth!$D$23</f>
        <v>-0.11457599935083067</v>
      </c>
      <c r="I2456" s="15">
        <f>Yearly_Growth!$C$3</f>
        <v>0.11893113731787852</v>
      </c>
      <c r="J2456" s="15">
        <f>Yearly_Growth!$D$3</f>
        <v>0.09</v>
      </c>
      <c r="K2456">
        <f>Sales_Per_Representative!$C$17</f>
        <v>633956</v>
      </c>
      <c r="L2456">
        <f>Sales_Per_Rep_Yearly_Goal!$B$3</f>
        <v>689907.8</v>
      </c>
      <c r="M2456">
        <f>Sales_Per_Rep_Yearly_Goal!$C$3</f>
        <v>690000</v>
      </c>
    </row>
    <row r="2457" spans="1:13" x14ac:dyDescent="0.3">
      <c r="A2457" s="3">
        <v>45579</v>
      </c>
      <c r="B2457">
        <f t="shared" si="38"/>
        <v>2024</v>
      </c>
      <c r="C2457">
        <v>10</v>
      </c>
      <c r="D2457" t="s">
        <v>19</v>
      </c>
      <c r="E2457" t="s">
        <v>26</v>
      </c>
      <c r="F2457" s="2">
        <v>7886</v>
      </c>
      <c r="G2457" s="2">
        <f>Monthly_Growth!$C$23</f>
        <v>741980</v>
      </c>
      <c r="H2457" s="5">
        <f>Monthly_Growth!$D$23</f>
        <v>-0.11457599935083067</v>
      </c>
      <c r="I2457" s="15">
        <f>Yearly_Growth!$C$3</f>
        <v>0.11893113731787852</v>
      </c>
      <c r="J2457" s="15">
        <f>Yearly_Growth!$D$3</f>
        <v>0.09</v>
      </c>
      <c r="K2457">
        <f>Sales_Per_Representative!$C$31</f>
        <v>664244</v>
      </c>
      <c r="L2457">
        <f>Sales_Per_Rep_Yearly_Goal!$B$3</f>
        <v>689907.8</v>
      </c>
      <c r="M2457">
        <f>Sales_Per_Rep_Yearly_Goal!$C$3</f>
        <v>690000</v>
      </c>
    </row>
    <row r="2458" spans="1:13" x14ac:dyDescent="0.3">
      <c r="A2458" s="3">
        <v>45579</v>
      </c>
      <c r="B2458">
        <f t="shared" si="38"/>
        <v>2024</v>
      </c>
      <c r="C2458">
        <v>10</v>
      </c>
      <c r="D2458" t="s">
        <v>23</v>
      </c>
      <c r="E2458" t="s">
        <v>30</v>
      </c>
      <c r="F2458" s="2">
        <v>5608</v>
      </c>
      <c r="G2458" s="2">
        <f>Monthly_Growth!$C$23</f>
        <v>741980</v>
      </c>
      <c r="H2458" s="5">
        <f>Monthly_Growth!$D$23</f>
        <v>-0.11457599935083067</v>
      </c>
      <c r="I2458" s="15">
        <f>Yearly_Growth!$C$3</f>
        <v>0.11893113731787852</v>
      </c>
      <c r="J2458" s="15">
        <f>Yearly_Growth!$D$3</f>
        <v>0.09</v>
      </c>
      <c r="K2458">
        <f>Sales_Per_Representative!$C$22</f>
        <v>700142</v>
      </c>
      <c r="L2458">
        <f>Sales_Per_Rep_Yearly_Goal!$B$3</f>
        <v>689907.8</v>
      </c>
      <c r="M2458">
        <f>Sales_Per_Rep_Yearly_Goal!$C$3</f>
        <v>690000</v>
      </c>
    </row>
    <row r="2459" spans="1:13" x14ac:dyDescent="0.3">
      <c r="A2459" s="3">
        <v>45579</v>
      </c>
      <c r="B2459">
        <f t="shared" si="38"/>
        <v>2024</v>
      </c>
      <c r="C2459">
        <v>10</v>
      </c>
      <c r="D2459" t="s">
        <v>12</v>
      </c>
      <c r="E2459" t="s">
        <v>33</v>
      </c>
      <c r="F2459" s="2">
        <v>12698</v>
      </c>
      <c r="G2459" s="2">
        <f>Monthly_Growth!$C$23</f>
        <v>741980</v>
      </c>
      <c r="H2459" s="5">
        <f>Monthly_Growth!$D$23</f>
        <v>-0.11457599935083067</v>
      </c>
      <c r="I2459" s="15">
        <f>Yearly_Growth!$C$3</f>
        <v>0.11893113731787852</v>
      </c>
      <c r="J2459" s="15">
        <f>Yearly_Growth!$D$3</f>
        <v>0.09</v>
      </c>
      <c r="K2459">
        <f>Sales_Per_Representative!$C$26</f>
        <v>501360</v>
      </c>
      <c r="L2459">
        <f>Sales_Per_Rep_Yearly_Goal!$B$3</f>
        <v>689907.8</v>
      </c>
      <c r="M2459">
        <f>Sales_Per_Rep_Yearly_Goal!$C$3</f>
        <v>690000</v>
      </c>
    </row>
    <row r="2460" spans="1:13" x14ac:dyDescent="0.3">
      <c r="A2460" s="3">
        <v>45580</v>
      </c>
      <c r="B2460">
        <f t="shared" si="38"/>
        <v>2024</v>
      </c>
      <c r="C2460">
        <v>10</v>
      </c>
      <c r="D2460" t="s">
        <v>14</v>
      </c>
      <c r="E2460" t="s">
        <v>8</v>
      </c>
      <c r="F2460" s="2">
        <v>8620</v>
      </c>
      <c r="G2460" s="2">
        <f>Monthly_Growth!$C$23</f>
        <v>741980</v>
      </c>
      <c r="H2460" s="5">
        <f>Monthly_Growth!$D$23</f>
        <v>-0.11457599935083067</v>
      </c>
      <c r="I2460" s="15">
        <f>Yearly_Growth!$C$3</f>
        <v>0.11893113731787852</v>
      </c>
      <c r="J2460" s="15">
        <f>Yearly_Growth!$D$3</f>
        <v>0.09</v>
      </c>
      <c r="K2460">
        <f>Sales_Per_Representative!$C$30</f>
        <v>780006</v>
      </c>
      <c r="L2460">
        <f>Sales_Per_Rep_Yearly_Goal!$B$3</f>
        <v>689907.8</v>
      </c>
      <c r="M2460">
        <f>Sales_Per_Rep_Yearly_Goal!$C$3</f>
        <v>690000</v>
      </c>
    </row>
    <row r="2461" spans="1:13" x14ac:dyDescent="0.3">
      <c r="A2461" s="3">
        <v>45580</v>
      </c>
      <c r="B2461">
        <f t="shared" si="38"/>
        <v>2024</v>
      </c>
      <c r="C2461">
        <v>10</v>
      </c>
      <c r="D2461" t="s">
        <v>25</v>
      </c>
      <c r="E2461" t="s">
        <v>32</v>
      </c>
      <c r="F2461" s="2">
        <v>10906</v>
      </c>
      <c r="G2461" s="2">
        <f>Monthly_Growth!$C$23</f>
        <v>741980</v>
      </c>
      <c r="H2461" s="5">
        <f>Monthly_Growth!$D$23</f>
        <v>-0.11457599935083067</v>
      </c>
      <c r="I2461" s="15">
        <f>Yearly_Growth!$C$3</f>
        <v>0.11893113731787852</v>
      </c>
      <c r="J2461" s="15">
        <f>Yearly_Growth!$D$3</f>
        <v>0.09</v>
      </c>
      <c r="K2461">
        <f>Sales_Per_Representative!$C$18</f>
        <v>783907</v>
      </c>
      <c r="L2461">
        <f>Sales_Per_Rep_Yearly_Goal!$B$3</f>
        <v>689907.8</v>
      </c>
      <c r="M2461">
        <f>Sales_Per_Rep_Yearly_Goal!$C$3</f>
        <v>690000</v>
      </c>
    </row>
    <row r="2462" spans="1:13" x14ac:dyDescent="0.3">
      <c r="A2462" s="3">
        <v>45580</v>
      </c>
      <c r="B2462">
        <f t="shared" si="38"/>
        <v>2024</v>
      </c>
      <c r="C2462">
        <v>10</v>
      </c>
      <c r="D2462" t="s">
        <v>7</v>
      </c>
      <c r="E2462" t="s">
        <v>24</v>
      </c>
      <c r="F2462" s="2">
        <v>12488</v>
      </c>
      <c r="G2462" s="2">
        <f>Monthly_Growth!$C$23</f>
        <v>741980</v>
      </c>
      <c r="H2462" s="5">
        <f>Monthly_Growth!$D$23</f>
        <v>-0.11457599935083067</v>
      </c>
      <c r="I2462" s="15">
        <f>Yearly_Growth!$C$3</f>
        <v>0.11893113731787852</v>
      </c>
      <c r="J2462" s="15">
        <f>Yearly_Growth!$D$3</f>
        <v>0.09</v>
      </c>
      <c r="K2462">
        <f>Sales_Per_Representative!$C$17</f>
        <v>633956</v>
      </c>
      <c r="L2462">
        <f>Sales_Per_Rep_Yearly_Goal!$B$3</f>
        <v>689907.8</v>
      </c>
      <c r="M2462">
        <f>Sales_Per_Rep_Yearly_Goal!$C$3</f>
        <v>690000</v>
      </c>
    </row>
    <row r="2463" spans="1:13" x14ac:dyDescent="0.3">
      <c r="A2463" s="3">
        <v>45580</v>
      </c>
      <c r="B2463">
        <f t="shared" si="38"/>
        <v>2024</v>
      </c>
      <c r="C2463">
        <v>10</v>
      </c>
      <c r="D2463" t="s">
        <v>7</v>
      </c>
      <c r="E2463" t="s">
        <v>18</v>
      </c>
      <c r="F2463" s="2">
        <v>11565</v>
      </c>
      <c r="G2463" s="2">
        <f>Monthly_Growth!$C$23</f>
        <v>741980</v>
      </c>
      <c r="H2463" s="5">
        <f>Monthly_Growth!$D$23</f>
        <v>-0.11457599935083067</v>
      </c>
      <c r="I2463" s="15">
        <f>Yearly_Growth!$C$3</f>
        <v>0.11893113731787852</v>
      </c>
      <c r="J2463" s="15">
        <f>Yearly_Growth!$D$3</f>
        <v>0.09</v>
      </c>
      <c r="K2463">
        <f>Sales_Per_Representative!$C$24</f>
        <v>699277</v>
      </c>
      <c r="L2463">
        <f>Sales_Per_Rep_Yearly_Goal!$B$3</f>
        <v>689907.8</v>
      </c>
      <c r="M2463">
        <f>Sales_Per_Rep_Yearly_Goal!$C$3</f>
        <v>690000</v>
      </c>
    </row>
    <row r="2464" spans="1:13" x14ac:dyDescent="0.3">
      <c r="A2464" s="3">
        <v>45580</v>
      </c>
      <c r="B2464">
        <f t="shared" si="38"/>
        <v>2024</v>
      </c>
      <c r="C2464">
        <v>10</v>
      </c>
      <c r="D2464" t="s">
        <v>28</v>
      </c>
      <c r="E2464" t="s">
        <v>10</v>
      </c>
      <c r="F2464" s="2">
        <v>8526</v>
      </c>
      <c r="G2464" s="2">
        <f>Monthly_Growth!$C$23</f>
        <v>741980</v>
      </c>
      <c r="H2464" s="5">
        <f>Monthly_Growth!$D$23</f>
        <v>-0.11457599935083067</v>
      </c>
      <c r="I2464" s="15">
        <f>Yearly_Growth!$C$3</f>
        <v>0.11893113731787852</v>
      </c>
      <c r="J2464" s="15">
        <f>Yearly_Growth!$D$3</f>
        <v>0.09</v>
      </c>
      <c r="K2464">
        <f>Sales_Per_Representative!$C$19</f>
        <v>711816</v>
      </c>
      <c r="L2464">
        <f>Sales_Per_Rep_Yearly_Goal!$B$3</f>
        <v>689907.8</v>
      </c>
      <c r="M2464">
        <f>Sales_Per_Rep_Yearly_Goal!$C$3</f>
        <v>690000</v>
      </c>
    </row>
    <row r="2465" spans="1:13" x14ac:dyDescent="0.3">
      <c r="A2465" s="3">
        <v>45581</v>
      </c>
      <c r="B2465">
        <f t="shared" si="38"/>
        <v>2024</v>
      </c>
      <c r="C2465">
        <v>10</v>
      </c>
      <c r="D2465" t="s">
        <v>23</v>
      </c>
      <c r="E2465" t="s">
        <v>29</v>
      </c>
      <c r="F2465" s="2">
        <v>4064</v>
      </c>
      <c r="G2465" s="2">
        <f>Monthly_Growth!$C$23</f>
        <v>741980</v>
      </c>
      <c r="H2465" s="5">
        <f>Monthly_Growth!$D$23</f>
        <v>-0.11457599935083067</v>
      </c>
      <c r="I2465" s="15">
        <f>Yearly_Growth!$C$3</f>
        <v>0.11893113731787852</v>
      </c>
      <c r="J2465" s="15">
        <f>Yearly_Growth!$D$3</f>
        <v>0.09</v>
      </c>
      <c r="K2465">
        <f>Sales_Per_Representative!$C$28</f>
        <v>691917</v>
      </c>
      <c r="L2465">
        <f>Sales_Per_Rep_Yearly_Goal!$B$3</f>
        <v>689907.8</v>
      </c>
      <c r="M2465">
        <f>Sales_Per_Rep_Yearly_Goal!$C$3</f>
        <v>690000</v>
      </c>
    </row>
    <row r="2466" spans="1:13" x14ac:dyDescent="0.3">
      <c r="A2466" s="3">
        <v>45581</v>
      </c>
      <c r="B2466">
        <f t="shared" si="38"/>
        <v>2024</v>
      </c>
      <c r="C2466">
        <v>10</v>
      </c>
      <c r="D2466" t="s">
        <v>25</v>
      </c>
      <c r="E2466" t="s">
        <v>15</v>
      </c>
      <c r="F2466" s="2">
        <v>7873</v>
      </c>
      <c r="G2466" s="2">
        <f>Monthly_Growth!$C$23</f>
        <v>741980</v>
      </c>
      <c r="H2466" s="5">
        <f>Monthly_Growth!$D$23</f>
        <v>-0.11457599935083067</v>
      </c>
      <c r="I2466" s="15">
        <f>Yearly_Growth!$C$3</f>
        <v>0.11893113731787852</v>
      </c>
      <c r="J2466" s="15">
        <f>Yearly_Growth!$D$3</f>
        <v>0.09</v>
      </c>
      <c r="K2466">
        <f>Sales_Per_Representative!$C$27</f>
        <v>617202</v>
      </c>
      <c r="L2466">
        <f>Sales_Per_Rep_Yearly_Goal!$B$3</f>
        <v>689907.8</v>
      </c>
      <c r="M2466">
        <f>Sales_Per_Rep_Yearly_Goal!$C$3</f>
        <v>690000</v>
      </c>
    </row>
    <row r="2467" spans="1:13" x14ac:dyDescent="0.3">
      <c r="A2467" s="3">
        <v>45582</v>
      </c>
      <c r="B2467">
        <f t="shared" si="38"/>
        <v>2024</v>
      </c>
      <c r="C2467">
        <v>10</v>
      </c>
      <c r="D2467" t="s">
        <v>25</v>
      </c>
      <c r="E2467" t="s">
        <v>24</v>
      </c>
      <c r="F2467" s="2">
        <v>3848</v>
      </c>
      <c r="G2467" s="2">
        <f>Monthly_Growth!$C$23</f>
        <v>741980</v>
      </c>
      <c r="H2467" s="5">
        <f>Monthly_Growth!$D$23</f>
        <v>-0.11457599935083067</v>
      </c>
      <c r="I2467" s="15">
        <f>Yearly_Growth!$C$3</f>
        <v>0.11893113731787852</v>
      </c>
      <c r="J2467" s="15">
        <f>Yearly_Growth!$D$3</f>
        <v>0.09</v>
      </c>
      <c r="K2467">
        <f>Sales_Per_Representative!$C$17</f>
        <v>633956</v>
      </c>
      <c r="L2467">
        <f>Sales_Per_Rep_Yearly_Goal!$B$3</f>
        <v>689907.8</v>
      </c>
      <c r="M2467">
        <f>Sales_Per_Rep_Yearly_Goal!$C$3</f>
        <v>690000</v>
      </c>
    </row>
    <row r="2468" spans="1:13" x14ac:dyDescent="0.3">
      <c r="A2468" s="3">
        <v>45583</v>
      </c>
      <c r="B2468">
        <f t="shared" si="38"/>
        <v>2024</v>
      </c>
      <c r="C2468">
        <v>10</v>
      </c>
      <c r="D2468" t="s">
        <v>14</v>
      </c>
      <c r="E2468" t="s">
        <v>20</v>
      </c>
      <c r="F2468" s="2">
        <v>12681</v>
      </c>
      <c r="G2468" s="2">
        <f>Monthly_Growth!$C$23</f>
        <v>741980</v>
      </c>
      <c r="H2468" s="5">
        <f>Monthly_Growth!$D$23</f>
        <v>-0.11457599935083067</v>
      </c>
      <c r="I2468" s="15">
        <f>Yearly_Growth!$C$3</f>
        <v>0.11893113731787852</v>
      </c>
      <c r="J2468" s="15">
        <f>Yearly_Growth!$D$3</f>
        <v>0.09</v>
      </c>
      <c r="K2468">
        <f>Sales_Per_Representative!$C$29</f>
        <v>753085</v>
      </c>
      <c r="L2468">
        <f>Sales_Per_Rep_Yearly_Goal!$B$3</f>
        <v>689907.8</v>
      </c>
      <c r="M2468">
        <f>Sales_Per_Rep_Yearly_Goal!$C$3</f>
        <v>690000</v>
      </c>
    </row>
    <row r="2469" spans="1:13" x14ac:dyDescent="0.3">
      <c r="A2469" s="3">
        <v>45583</v>
      </c>
      <c r="B2469">
        <f t="shared" si="38"/>
        <v>2024</v>
      </c>
      <c r="C2469">
        <v>10</v>
      </c>
      <c r="D2469" t="s">
        <v>19</v>
      </c>
      <c r="E2469" t="s">
        <v>26</v>
      </c>
      <c r="F2469" s="2">
        <v>3428</v>
      </c>
      <c r="G2469" s="2">
        <f>Monthly_Growth!$C$23</f>
        <v>741980</v>
      </c>
      <c r="H2469" s="5">
        <f>Monthly_Growth!$D$23</f>
        <v>-0.11457599935083067</v>
      </c>
      <c r="I2469" s="15">
        <f>Yearly_Growth!$C$3</f>
        <v>0.11893113731787852</v>
      </c>
      <c r="J2469" s="15">
        <f>Yearly_Growth!$D$3</f>
        <v>0.09</v>
      </c>
      <c r="K2469">
        <f>Sales_Per_Representative!$C$31</f>
        <v>664244</v>
      </c>
      <c r="L2469">
        <f>Sales_Per_Rep_Yearly_Goal!$B$3</f>
        <v>689907.8</v>
      </c>
      <c r="M2469">
        <f>Sales_Per_Rep_Yearly_Goal!$C$3</f>
        <v>690000</v>
      </c>
    </row>
    <row r="2470" spans="1:13" x14ac:dyDescent="0.3">
      <c r="A2470" s="3">
        <v>45583</v>
      </c>
      <c r="B2470">
        <f t="shared" si="38"/>
        <v>2024</v>
      </c>
      <c r="C2470">
        <v>10</v>
      </c>
      <c r="D2470" t="s">
        <v>25</v>
      </c>
      <c r="E2470" t="s">
        <v>29</v>
      </c>
      <c r="F2470" s="2">
        <v>8840</v>
      </c>
      <c r="G2470" s="2">
        <f>Monthly_Growth!$C$23</f>
        <v>741980</v>
      </c>
      <c r="H2470" s="5">
        <f>Monthly_Growth!$D$23</f>
        <v>-0.11457599935083067</v>
      </c>
      <c r="I2470" s="15">
        <f>Yearly_Growth!$C$3</f>
        <v>0.11893113731787852</v>
      </c>
      <c r="J2470" s="15">
        <f>Yearly_Growth!$D$3</f>
        <v>0.09</v>
      </c>
      <c r="K2470">
        <f>Sales_Per_Representative!$C$28</f>
        <v>691917</v>
      </c>
      <c r="L2470">
        <f>Sales_Per_Rep_Yearly_Goal!$B$3</f>
        <v>689907.8</v>
      </c>
      <c r="M2470">
        <f>Sales_Per_Rep_Yearly_Goal!$C$3</f>
        <v>690000</v>
      </c>
    </row>
    <row r="2471" spans="1:13" x14ac:dyDescent="0.3">
      <c r="A2471" s="3">
        <v>45583</v>
      </c>
      <c r="B2471">
        <f t="shared" si="38"/>
        <v>2024</v>
      </c>
      <c r="C2471">
        <v>10</v>
      </c>
      <c r="D2471" t="s">
        <v>17</v>
      </c>
      <c r="E2471" t="s">
        <v>8</v>
      </c>
      <c r="F2471" s="2">
        <v>3579</v>
      </c>
      <c r="G2471" s="2">
        <f>Monthly_Growth!$C$23</f>
        <v>741980</v>
      </c>
      <c r="H2471" s="5">
        <f>Monthly_Growth!$D$23</f>
        <v>-0.11457599935083067</v>
      </c>
      <c r="I2471" s="15">
        <f>Yearly_Growth!$C$3</f>
        <v>0.11893113731787852</v>
      </c>
      <c r="J2471" s="15">
        <f>Yearly_Growth!$D$3</f>
        <v>0.09</v>
      </c>
      <c r="K2471">
        <f>Sales_Per_Representative!$C$30</f>
        <v>780006</v>
      </c>
      <c r="L2471">
        <f>Sales_Per_Rep_Yearly_Goal!$B$3</f>
        <v>689907.8</v>
      </c>
      <c r="M2471">
        <f>Sales_Per_Rep_Yearly_Goal!$C$3</f>
        <v>690000</v>
      </c>
    </row>
    <row r="2472" spans="1:13" x14ac:dyDescent="0.3">
      <c r="A2472" s="3">
        <v>45584</v>
      </c>
      <c r="B2472">
        <f t="shared" si="38"/>
        <v>2024</v>
      </c>
      <c r="C2472">
        <v>10</v>
      </c>
      <c r="D2472" t="s">
        <v>19</v>
      </c>
      <c r="E2472" t="s">
        <v>8</v>
      </c>
      <c r="F2472" s="2">
        <v>13298</v>
      </c>
      <c r="G2472" s="2">
        <f>Monthly_Growth!$C$23</f>
        <v>741980</v>
      </c>
      <c r="H2472" s="5">
        <f>Monthly_Growth!$D$23</f>
        <v>-0.11457599935083067</v>
      </c>
      <c r="I2472" s="15">
        <f>Yearly_Growth!$C$3</f>
        <v>0.11893113731787852</v>
      </c>
      <c r="J2472" s="15">
        <f>Yearly_Growth!$D$3</f>
        <v>0.09</v>
      </c>
      <c r="K2472">
        <f>Sales_Per_Representative!$C$30</f>
        <v>780006</v>
      </c>
      <c r="L2472">
        <f>Sales_Per_Rep_Yearly_Goal!$B$3</f>
        <v>689907.8</v>
      </c>
      <c r="M2472">
        <f>Sales_Per_Rep_Yearly_Goal!$C$3</f>
        <v>690000</v>
      </c>
    </row>
    <row r="2473" spans="1:13" x14ac:dyDescent="0.3">
      <c r="A2473" s="3">
        <v>45584</v>
      </c>
      <c r="B2473">
        <f t="shared" si="38"/>
        <v>2024</v>
      </c>
      <c r="C2473">
        <v>10</v>
      </c>
      <c r="D2473" t="s">
        <v>19</v>
      </c>
      <c r="E2473" t="s">
        <v>5</v>
      </c>
      <c r="F2473" s="2">
        <v>5679</v>
      </c>
      <c r="G2473" s="2">
        <f>Monthly_Growth!$C$23</f>
        <v>741980</v>
      </c>
      <c r="H2473" s="5">
        <f>Monthly_Growth!$D$23</f>
        <v>-0.11457599935083067</v>
      </c>
      <c r="I2473" s="15">
        <f>Yearly_Growth!$C$3</f>
        <v>0.11893113731787852</v>
      </c>
      <c r="J2473" s="15">
        <f>Yearly_Growth!$D$3</f>
        <v>0.09</v>
      </c>
      <c r="K2473">
        <f>Sales_Per_Representative!$C$25</f>
        <v>749460</v>
      </c>
      <c r="L2473">
        <f>Sales_Per_Rep_Yearly_Goal!$B$3</f>
        <v>689907.8</v>
      </c>
      <c r="M2473">
        <f>Sales_Per_Rep_Yearly_Goal!$C$3</f>
        <v>690000</v>
      </c>
    </row>
    <row r="2474" spans="1:13" x14ac:dyDescent="0.3">
      <c r="A2474" s="3">
        <v>45584</v>
      </c>
      <c r="B2474">
        <f t="shared" si="38"/>
        <v>2024</v>
      </c>
      <c r="C2474">
        <v>10</v>
      </c>
      <c r="D2474" t="s">
        <v>23</v>
      </c>
      <c r="E2474" t="s">
        <v>24</v>
      </c>
      <c r="F2474" s="2">
        <v>4269</v>
      </c>
      <c r="G2474" s="2">
        <f>Monthly_Growth!$C$23</f>
        <v>741980</v>
      </c>
      <c r="H2474" s="5">
        <f>Monthly_Growth!$D$23</f>
        <v>-0.11457599935083067</v>
      </c>
      <c r="I2474" s="15">
        <f>Yearly_Growth!$C$3</f>
        <v>0.11893113731787852</v>
      </c>
      <c r="J2474" s="15">
        <f>Yearly_Growth!$D$3</f>
        <v>0.09</v>
      </c>
      <c r="K2474">
        <f>Sales_Per_Representative!$C$17</f>
        <v>633956</v>
      </c>
      <c r="L2474">
        <f>Sales_Per_Rep_Yearly_Goal!$B$3</f>
        <v>689907.8</v>
      </c>
      <c r="M2474">
        <f>Sales_Per_Rep_Yearly_Goal!$C$3</f>
        <v>690000</v>
      </c>
    </row>
    <row r="2475" spans="1:13" x14ac:dyDescent="0.3">
      <c r="A2475" s="3">
        <v>45584</v>
      </c>
      <c r="B2475">
        <f t="shared" si="38"/>
        <v>2024</v>
      </c>
      <c r="C2475">
        <v>10</v>
      </c>
      <c r="D2475" t="s">
        <v>23</v>
      </c>
      <c r="E2475" t="s">
        <v>5</v>
      </c>
      <c r="F2475" s="2">
        <v>9769</v>
      </c>
      <c r="G2475" s="2">
        <f>Monthly_Growth!$C$23</f>
        <v>741980</v>
      </c>
      <c r="H2475" s="5">
        <f>Monthly_Growth!$D$23</f>
        <v>-0.11457599935083067</v>
      </c>
      <c r="I2475" s="15">
        <f>Yearly_Growth!$C$3</f>
        <v>0.11893113731787852</v>
      </c>
      <c r="J2475" s="15">
        <f>Yearly_Growth!$D$3</f>
        <v>0.09</v>
      </c>
      <c r="K2475">
        <f>Sales_Per_Representative!$C$25</f>
        <v>749460</v>
      </c>
      <c r="L2475">
        <f>Sales_Per_Rep_Yearly_Goal!$B$3</f>
        <v>689907.8</v>
      </c>
      <c r="M2475">
        <f>Sales_Per_Rep_Yearly_Goal!$C$3</f>
        <v>690000</v>
      </c>
    </row>
    <row r="2476" spans="1:13" x14ac:dyDescent="0.3">
      <c r="A2476" s="3">
        <v>45584</v>
      </c>
      <c r="B2476">
        <f t="shared" si="38"/>
        <v>2024</v>
      </c>
      <c r="C2476">
        <v>10</v>
      </c>
      <c r="D2476" t="s">
        <v>25</v>
      </c>
      <c r="E2476" t="s">
        <v>30</v>
      </c>
      <c r="F2476" s="2">
        <v>1891</v>
      </c>
      <c r="G2476" s="2">
        <f>Monthly_Growth!$C$23</f>
        <v>741980</v>
      </c>
      <c r="H2476" s="5">
        <f>Monthly_Growth!$D$23</f>
        <v>-0.11457599935083067</v>
      </c>
      <c r="I2476" s="15">
        <f>Yearly_Growth!$C$3</f>
        <v>0.11893113731787852</v>
      </c>
      <c r="J2476" s="15">
        <f>Yearly_Growth!$D$3</f>
        <v>0.09</v>
      </c>
      <c r="K2476">
        <f>Sales_Per_Representative!$C$22</f>
        <v>700142</v>
      </c>
      <c r="L2476">
        <f>Sales_Per_Rep_Yearly_Goal!$B$3</f>
        <v>689907.8</v>
      </c>
      <c r="M2476">
        <f>Sales_Per_Rep_Yearly_Goal!$C$3</f>
        <v>690000</v>
      </c>
    </row>
    <row r="2477" spans="1:13" x14ac:dyDescent="0.3">
      <c r="A2477" s="3">
        <v>45584</v>
      </c>
      <c r="B2477">
        <f t="shared" si="38"/>
        <v>2024</v>
      </c>
      <c r="C2477">
        <v>10</v>
      </c>
      <c r="D2477" t="s">
        <v>28</v>
      </c>
      <c r="E2477" t="s">
        <v>10</v>
      </c>
      <c r="F2477" s="2">
        <v>4947</v>
      </c>
      <c r="G2477" s="2">
        <f>Monthly_Growth!$C$23</f>
        <v>741980</v>
      </c>
      <c r="H2477" s="5">
        <f>Monthly_Growth!$D$23</f>
        <v>-0.11457599935083067</v>
      </c>
      <c r="I2477" s="15">
        <f>Yearly_Growth!$C$3</f>
        <v>0.11893113731787852</v>
      </c>
      <c r="J2477" s="15">
        <f>Yearly_Growth!$D$3</f>
        <v>0.09</v>
      </c>
      <c r="K2477">
        <f>Sales_Per_Representative!$C$19</f>
        <v>711816</v>
      </c>
      <c r="L2477">
        <f>Sales_Per_Rep_Yearly_Goal!$B$3</f>
        <v>689907.8</v>
      </c>
      <c r="M2477">
        <f>Sales_Per_Rep_Yearly_Goal!$C$3</f>
        <v>690000</v>
      </c>
    </row>
    <row r="2478" spans="1:13" x14ac:dyDescent="0.3">
      <c r="A2478" s="3">
        <v>45584</v>
      </c>
      <c r="B2478">
        <f t="shared" si="38"/>
        <v>2024</v>
      </c>
      <c r="C2478">
        <v>10</v>
      </c>
      <c r="D2478" t="s">
        <v>17</v>
      </c>
      <c r="E2478" t="s">
        <v>24</v>
      </c>
      <c r="F2478" s="2">
        <v>1669</v>
      </c>
      <c r="G2478" s="2">
        <f>Monthly_Growth!$C$23</f>
        <v>741980</v>
      </c>
      <c r="H2478" s="5">
        <f>Monthly_Growth!$D$23</f>
        <v>-0.11457599935083067</v>
      </c>
      <c r="I2478" s="15">
        <f>Yearly_Growth!$C$3</f>
        <v>0.11893113731787852</v>
      </c>
      <c r="J2478" s="15">
        <f>Yearly_Growth!$D$3</f>
        <v>0.09</v>
      </c>
      <c r="K2478">
        <f>Sales_Per_Representative!$C$17</f>
        <v>633956</v>
      </c>
      <c r="L2478">
        <f>Sales_Per_Rep_Yearly_Goal!$B$3</f>
        <v>689907.8</v>
      </c>
      <c r="M2478">
        <f>Sales_Per_Rep_Yearly_Goal!$C$3</f>
        <v>690000</v>
      </c>
    </row>
    <row r="2479" spans="1:13" x14ac:dyDescent="0.3">
      <c r="A2479" s="3">
        <v>45584</v>
      </c>
      <c r="B2479">
        <f t="shared" si="38"/>
        <v>2024</v>
      </c>
      <c r="C2479">
        <v>10</v>
      </c>
      <c r="D2479" t="s">
        <v>12</v>
      </c>
      <c r="E2479" t="s">
        <v>29</v>
      </c>
      <c r="F2479" s="2">
        <v>6795</v>
      </c>
      <c r="G2479" s="2">
        <f>Monthly_Growth!$C$23</f>
        <v>741980</v>
      </c>
      <c r="H2479" s="5">
        <f>Monthly_Growth!$D$23</f>
        <v>-0.11457599935083067</v>
      </c>
      <c r="I2479" s="15">
        <f>Yearly_Growth!$C$3</f>
        <v>0.11893113731787852</v>
      </c>
      <c r="J2479" s="15">
        <f>Yearly_Growth!$D$3</f>
        <v>0.09</v>
      </c>
      <c r="K2479">
        <f>Sales_Per_Representative!$C$28</f>
        <v>691917</v>
      </c>
      <c r="L2479">
        <f>Sales_Per_Rep_Yearly_Goal!$B$3</f>
        <v>689907.8</v>
      </c>
      <c r="M2479">
        <f>Sales_Per_Rep_Yearly_Goal!$C$3</f>
        <v>690000</v>
      </c>
    </row>
    <row r="2480" spans="1:13" x14ac:dyDescent="0.3">
      <c r="A2480" s="3">
        <v>45585</v>
      </c>
      <c r="B2480">
        <f t="shared" si="38"/>
        <v>2024</v>
      </c>
      <c r="C2480">
        <v>10</v>
      </c>
      <c r="D2480" t="s">
        <v>19</v>
      </c>
      <c r="E2480" t="s">
        <v>18</v>
      </c>
      <c r="F2480" s="2">
        <v>6502</v>
      </c>
      <c r="G2480" s="2">
        <f>Monthly_Growth!$C$23</f>
        <v>741980</v>
      </c>
      <c r="H2480" s="5">
        <f>Monthly_Growth!$D$23</f>
        <v>-0.11457599935083067</v>
      </c>
      <c r="I2480" s="15">
        <f>Yearly_Growth!$C$3</f>
        <v>0.11893113731787852</v>
      </c>
      <c r="J2480" s="15">
        <f>Yearly_Growth!$D$3</f>
        <v>0.09</v>
      </c>
      <c r="K2480">
        <f>Sales_Per_Representative!$C$24</f>
        <v>699277</v>
      </c>
      <c r="L2480">
        <f>Sales_Per_Rep_Yearly_Goal!$B$3</f>
        <v>689907.8</v>
      </c>
      <c r="M2480">
        <f>Sales_Per_Rep_Yearly_Goal!$C$3</f>
        <v>690000</v>
      </c>
    </row>
    <row r="2481" spans="1:13" x14ac:dyDescent="0.3">
      <c r="A2481" s="3">
        <v>45585</v>
      </c>
      <c r="B2481">
        <f t="shared" si="38"/>
        <v>2024</v>
      </c>
      <c r="C2481">
        <v>10</v>
      </c>
      <c r="D2481" t="s">
        <v>7</v>
      </c>
      <c r="E2481" t="s">
        <v>5</v>
      </c>
      <c r="F2481" s="2">
        <v>2214</v>
      </c>
      <c r="G2481" s="2">
        <f>Monthly_Growth!$C$23</f>
        <v>741980</v>
      </c>
      <c r="H2481" s="5">
        <f>Monthly_Growth!$D$23</f>
        <v>-0.11457599935083067</v>
      </c>
      <c r="I2481" s="15">
        <f>Yearly_Growth!$C$3</f>
        <v>0.11893113731787852</v>
      </c>
      <c r="J2481" s="15">
        <f>Yearly_Growth!$D$3</f>
        <v>0.09</v>
      </c>
      <c r="K2481">
        <f>Sales_Per_Representative!$C$25</f>
        <v>749460</v>
      </c>
      <c r="L2481">
        <f>Sales_Per_Rep_Yearly_Goal!$B$3</f>
        <v>689907.8</v>
      </c>
      <c r="M2481">
        <f>Sales_Per_Rep_Yearly_Goal!$C$3</f>
        <v>690000</v>
      </c>
    </row>
    <row r="2482" spans="1:13" x14ac:dyDescent="0.3">
      <c r="A2482" s="3">
        <v>45586</v>
      </c>
      <c r="B2482">
        <f t="shared" si="38"/>
        <v>2024</v>
      </c>
      <c r="C2482">
        <v>10</v>
      </c>
      <c r="D2482" t="s">
        <v>23</v>
      </c>
      <c r="E2482" t="s">
        <v>32</v>
      </c>
      <c r="F2482" s="2">
        <v>9074</v>
      </c>
      <c r="G2482" s="2">
        <f>Monthly_Growth!$C$23</f>
        <v>741980</v>
      </c>
      <c r="H2482" s="5">
        <f>Monthly_Growth!$D$23</f>
        <v>-0.11457599935083067</v>
      </c>
      <c r="I2482" s="15">
        <f>Yearly_Growth!$C$3</f>
        <v>0.11893113731787852</v>
      </c>
      <c r="J2482" s="15">
        <f>Yearly_Growth!$D$3</f>
        <v>0.09</v>
      </c>
      <c r="K2482">
        <f>Sales_Per_Representative!$C$18</f>
        <v>783907</v>
      </c>
      <c r="L2482">
        <f>Sales_Per_Rep_Yearly_Goal!$B$3</f>
        <v>689907.8</v>
      </c>
      <c r="M2482">
        <f>Sales_Per_Rep_Yearly_Goal!$C$3</f>
        <v>690000</v>
      </c>
    </row>
    <row r="2483" spans="1:13" x14ac:dyDescent="0.3">
      <c r="A2483" s="3">
        <v>45586</v>
      </c>
      <c r="B2483">
        <f t="shared" si="38"/>
        <v>2024</v>
      </c>
      <c r="C2483">
        <v>10</v>
      </c>
      <c r="D2483" t="s">
        <v>25</v>
      </c>
      <c r="E2483" t="s">
        <v>20</v>
      </c>
      <c r="F2483" s="2">
        <v>13604</v>
      </c>
      <c r="G2483" s="2">
        <f>Monthly_Growth!$C$23</f>
        <v>741980</v>
      </c>
      <c r="H2483" s="5">
        <f>Monthly_Growth!$D$23</f>
        <v>-0.11457599935083067</v>
      </c>
      <c r="I2483" s="15">
        <f>Yearly_Growth!$C$3</f>
        <v>0.11893113731787852</v>
      </c>
      <c r="J2483" s="15">
        <f>Yearly_Growth!$D$3</f>
        <v>0.09</v>
      </c>
      <c r="K2483">
        <f>Sales_Per_Representative!$C$29</f>
        <v>753085</v>
      </c>
      <c r="L2483">
        <f>Sales_Per_Rep_Yearly_Goal!$B$3</f>
        <v>689907.8</v>
      </c>
      <c r="M2483">
        <f>Sales_Per_Rep_Yearly_Goal!$C$3</f>
        <v>690000</v>
      </c>
    </row>
    <row r="2484" spans="1:13" x14ac:dyDescent="0.3">
      <c r="A2484" s="3">
        <v>45586</v>
      </c>
      <c r="B2484">
        <f t="shared" si="38"/>
        <v>2024</v>
      </c>
      <c r="C2484">
        <v>10</v>
      </c>
      <c r="D2484" t="s">
        <v>17</v>
      </c>
      <c r="E2484" t="s">
        <v>22</v>
      </c>
      <c r="F2484" s="2">
        <v>6081</v>
      </c>
      <c r="G2484" s="2">
        <f>Monthly_Growth!$C$23</f>
        <v>741980</v>
      </c>
      <c r="H2484" s="5">
        <f>Monthly_Growth!$D$23</f>
        <v>-0.11457599935083067</v>
      </c>
      <c r="I2484" s="15">
        <f>Yearly_Growth!$C$3</f>
        <v>0.11893113731787852</v>
      </c>
      <c r="J2484" s="15">
        <f>Yearly_Growth!$D$3</f>
        <v>0.09</v>
      </c>
      <c r="K2484">
        <f>Sales_Per_Representative!$C$23</f>
        <v>697444</v>
      </c>
      <c r="L2484">
        <f>Sales_Per_Rep_Yearly_Goal!$B$3</f>
        <v>689907.8</v>
      </c>
      <c r="M2484">
        <f>Sales_Per_Rep_Yearly_Goal!$C$3</f>
        <v>690000</v>
      </c>
    </row>
    <row r="2485" spans="1:13" x14ac:dyDescent="0.3">
      <c r="A2485" s="3">
        <v>45587</v>
      </c>
      <c r="B2485">
        <f t="shared" si="38"/>
        <v>2024</v>
      </c>
      <c r="C2485">
        <v>10</v>
      </c>
      <c r="D2485" t="s">
        <v>14</v>
      </c>
      <c r="E2485" t="s">
        <v>29</v>
      </c>
      <c r="F2485" s="2">
        <v>11890</v>
      </c>
      <c r="G2485" s="2">
        <f>Monthly_Growth!$C$23</f>
        <v>741980</v>
      </c>
      <c r="H2485" s="5">
        <f>Monthly_Growth!$D$23</f>
        <v>-0.11457599935083067</v>
      </c>
      <c r="I2485" s="15">
        <f>Yearly_Growth!$C$3</f>
        <v>0.11893113731787852</v>
      </c>
      <c r="J2485" s="15">
        <f>Yearly_Growth!$D$3</f>
        <v>0.09</v>
      </c>
      <c r="K2485">
        <f>Sales_Per_Representative!$C$28</f>
        <v>691917</v>
      </c>
      <c r="L2485">
        <f>Sales_Per_Rep_Yearly_Goal!$B$3</f>
        <v>689907.8</v>
      </c>
      <c r="M2485">
        <f>Sales_Per_Rep_Yearly_Goal!$C$3</f>
        <v>690000</v>
      </c>
    </row>
    <row r="2486" spans="1:13" x14ac:dyDescent="0.3">
      <c r="A2486" s="3">
        <v>45587</v>
      </c>
      <c r="B2486">
        <f t="shared" si="38"/>
        <v>2024</v>
      </c>
      <c r="C2486">
        <v>10</v>
      </c>
      <c r="D2486" t="s">
        <v>14</v>
      </c>
      <c r="E2486" t="s">
        <v>30</v>
      </c>
      <c r="F2486" s="2">
        <v>1487</v>
      </c>
      <c r="G2486" s="2">
        <f>Monthly_Growth!$C$23</f>
        <v>741980</v>
      </c>
      <c r="H2486" s="5">
        <f>Monthly_Growth!$D$23</f>
        <v>-0.11457599935083067</v>
      </c>
      <c r="I2486" s="15">
        <f>Yearly_Growth!$C$3</f>
        <v>0.11893113731787852</v>
      </c>
      <c r="J2486" s="15">
        <f>Yearly_Growth!$D$3</f>
        <v>0.09</v>
      </c>
      <c r="K2486">
        <f>Sales_Per_Representative!$C$22</f>
        <v>700142</v>
      </c>
      <c r="L2486">
        <f>Sales_Per_Rep_Yearly_Goal!$B$3</f>
        <v>689907.8</v>
      </c>
      <c r="M2486">
        <f>Sales_Per_Rep_Yearly_Goal!$C$3</f>
        <v>690000</v>
      </c>
    </row>
    <row r="2487" spans="1:13" x14ac:dyDescent="0.3">
      <c r="A2487" s="3">
        <v>45587</v>
      </c>
      <c r="B2487">
        <f t="shared" si="38"/>
        <v>2024</v>
      </c>
      <c r="C2487">
        <v>10</v>
      </c>
      <c r="D2487" t="s">
        <v>23</v>
      </c>
      <c r="E2487" t="s">
        <v>30</v>
      </c>
      <c r="F2487" s="2">
        <v>1472</v>
      </c>
      <c r="G2487" s="2">
        <f>Monthly_Growth!$C$23</f>
        <v>741980</v>
      </c>
      <c r="H2487" s="5">
        <f>Monthly_Growth!$D$23</f>
        <v>-0.11457599935083067</v>
      </c>
      <c r="I2487" s="15">
        <f>Yearly_Growth!$C$3</f>
        <v>0.11893113731787852</v>
      </c>
      <c r="J2487" s="15">
        <f>Yearly_Growth!$D$3</f>
        <v>0.09</v>
      </c>
      <c r="K2487">
        <f>Sales_Per_Representative!$C$22</f>
        <v>700142</v>
      </c>
      <c r="L2487">
        <f>Sales_Per_Rep_Yearly_Goal!$B$3</f>
        <v>689907.8</v>
      </c>
      <c r="M2487">
        <f>Sales_Per_Rep_Yearly_Goal!$C$3</f>
        <v>690000</v>
      </c>
    </row>
    <row r="2488" spans="1:13" x14ac:dyDescent="0.3">
      <c r="A2488" s="3">
        <v>45587</v>
      </c>
      <c r="B2488">
        <f t="shared" si="38"/>
        <v>2024</v>
      </c>
      <c r="C2488">
        <v>10</v>
      </c>
      <c r="D2488" t="s">
        <v>23</v>
      </c>
      <c r="E2488" t="s">
        <v>18</v>
      </c>
      <c r="F2488" s="2">
        <v>3066</v>
      </c>
      <c r="G2488" s="2">
        <f>Monthly_Growth!$C$23</f>
        <v>741980</v>
      </c>
      <c r="H2488" s="5">
        <f>Monthly_Growth!$D$23</f>
        <v>-0.11457599935083067</v>
      </c>
      <c r="I2488" s="15">
        <f>Yearly_Growth!$C$3</f>
        <v>0.11893113731787852</v>
      </c>
      <c r="J2488" s="15">
        <f>Yearly_Growth!$D$3</f>
        <v>0.09</v>
      </c>
      <c r="K2488">
        <f>Sales_Per_Representative!$C$24</f>
        <v>699277</v>
      </c>
      <c r="L2488">
        <f>Sales_Per_Rep_Yearly_Goal!$B$3</f>
        <v>689907.8</v>
      </c>
      <c r="M2488">
        <f>Sales_Per_Rep_Yearly_Goal!$C$3</f>
        <v>690000</v>
      </c>
    </row>
    <row r="2489" spans="1:13" x14ac:dyDescent="0.3">
      <c r="A2489" s="3">
        <v>45587</v>
      </c>
      <c r="B2489">
        <f t="shared" si="38"/>
        <v>2024</v>
      </c>
      <c r="C2489">
        <v>10</v>
      </c>
      <c r="D2489" t="s">
        <v>25</v>
      </c>
      <c r="E2489" t="s">
        <v>30</v>
      </c>
      <c r="F2489" s="2">
        <v>3080</v>
      </c>
      <c r="G2489" s="2">
        <f>Monthly_Growth!$C$23</f>
        <v>741980</v>
      </c>
      <c r="H2489" s="5">
        <f>Monthly_Growth!$D$23</f>
        <v>-0.11457599935083067</v>
      </c>
      <c r="I2489" s="15">
        <f>Yearly_Growth!$C$3</f>
        <v>0.11893113731787852</v>
      </c>
      <c r="J2489" s="15">
        <f>Yearly_Growth!$D$3</f>
        <v>0.09</v>
      </c>
      <c r="K2489">
        <f>Sales_Per_Representative!$C$22</f>
        <v>700142</v>
      </c>
      <c r="L2489">
        <f>Sales_Per_Rep_Yearly_Goal!$B$3</f>
        <v>689907.8</v>
      </c>
      <c r="M2489">
        <f>Sales_Per_Rep_Yearly_Goal!$C$3</f>
        <v>690000</v>
      </c>
    </row>
    <row r="2490" spans="1:13" x14ac:dyDescent="0.3">
      <c r="A2490" s="3">
        <v>45587</v>
      </c>
      <c r="B2490">
        <f t="shared" si="38"/>
        <v>2024</v>
      </c>
      <c r="C2490">
        <v>10</v>
      </c>
      <c r="D2490" t="s">
        <v>28</v>
      </c>
      <c r="E2490" t="s">
        <v>18</v>
      </c>
      <c r="F2490" s="2">
        <v>8332</v>
      </c>
      <c r="G2490" s="2">
        <f>Monthly_Growth!$C$23</f>
        <v>741980</v>
      </c>
      <c r="H2490" s="5">
        <f>Monthly_Growth!$D$23</f>
        <v>-0.11457599935083067</v>
      </c>
      <c r="I2490" s="15">
        <f>Yearly_Growth!$C$3</f>
        <v>0.11893113731787852</v>
      </c>
      <c r="J2490" s="15">
        <f>Yearly_Growth!$D$3</f>
        <v>0.09</v>
      </c>
      <c r="K2490">
        <f>Sales_Per_Representative!$C$24</f>
        <v>699277</v>
      </c>
      <c r="L2490">
        <f>Sales_Per_Rep_Yearly_Goal!$B$3</f>
        <v>689907.8</v>
      </c>
      <c r="M2490">
        <f>Sales_Per_Rep_Yearly_Goal!$C$3</f>
        <v>690000</v>
      </c>
    </row>
    <row r="2491" spans="1:13" x14ac:dyDescent="0.3">
      <c r="A2491" s="3">
        <v>45587</v>
      </c>
      <c r="B2491">
        <f t="shared" si="38"/>
        <v>2024</v>
      </c>
      <c r="C2491">
        <v>10</v>
      </c>
      <c r="D2491" t="s">
        <v>17</v>
      </c>
      <c r="E2491" t="s">
        <v>30</v>
      </c>
      <c r="F2491" s="2">
        <v>11946</v>
      </c>
      <c r="G2491" s="2">
        <f>Monthly_Growth!$C$23</f>
        <v>741980</v>
      </c>
      <c r="H2491" s="5">
        <f>Monthly_Growth!$D$23</f>
        <v>-0.11457599935083067</v>
      </c>
      <c r="I2491" s="15">
        <f>Yearly_Growth!$C$3</f>
        <v>0.11893113731787852</v>
      </c>
      <c r="J2491" s="15">
        <f>Yearly_Growth!$D$3</f>
        <v>0.09</v>
      </c>
      <c r="K2491">
        <f>Sales_Per_Representative!$C$22</f>
        <v>700142</v>
      </c>
      <c r="L2491">
        <f>Sales_Per_Rep_Yearly_Goal!$B$3</f>
        <v>689907.8</v>
      </c>
      <c r="M2491">
        <f>Sales_Per_Rep_Yearly_Goal!$C$3</f>
        <v>690000</v>
      </c>
    </row>
    <row r="2492" spans="1:13" x14ac:dyDescent="0.3">
      <c r="A2492" s="3">
        <v>45588</v>
      </c>
      <c r="B2492">
        <f t="shared" si="38"/>
        <v>2024</v>
      </c>
      <c r="C2492">
        <v>10</v>
      </c>
      <c r="D2492" t="s">
        <v>19</v>
      </c>
      <c r="E2492" t="s">
        <v>33</v>
      </c>
      <c r="F2492" s="2">
        <v>9202</v>
      </c>
      <c r="G2492" s="2">
        <f>Monthly_Growth!$C$23</f>
        <v>741980</v>
      </c>
      <c r="H2492" s="5">
        <f>Monthly_Growth!$D$23</f>
        <v>-0.11457599935083067</v>
      </c>
      <c r="I2492" s="15">
        <f>Yearly_Growth!$C$3</f>
        <v>0.11893113731787852</v>
      </c>
      <c r="J2492" s="15">
        <f>Yearly_Growth!$D$3</f>
        <v>0.09</v>
      </c>
      <c r="K2492">
        <f>Sales_Per_Representative!$C$26</f>
        <v>501360</v>
      </c>
      <c r="L2492">
        <f>Sales_Per_Rep_Yearly_Goal!$B$3</f>
        <v>689907.8</v>
      </c>
      <c r="M2492">
        <f>Sales_Per_Rep_Yearly_Goal!$C$3</f>
        <v>690000</v>
      </c>
    </row>
    <row r="2493" spans="1:13" x14ac:dyDescent="0.3">
      <c r="A2493" s="3">
        <v>45588</v>
      </c>
      <c r="B2493">
        <f t="shared" si="38"/>
        <v>2024</v>
      </c>
      <c r="C2493">
        <v>10</v>
      </c>
      <c r="D2493" t="s">
        <v>25</v>
      </c>
      <c r="E2493" t="s">
        <v>32</v>
      </c>
      <c r="F2493" s="2">
        <v>6048</v>
      </c>
      <c r="G2493" s="2">
        <f>Monthly_Growth!$C$23</f>
        <v>741980</v>
      </c>
      <c r="H2493" s="5">
        <f>Monthly_Growth!$D$23</f>
        <v>-0.11457599935083067</v>
      </c>
      <c r="I2493" s="15">
        <f>Yearly_Growth!$C$3</f>
        <v>0.11893113731787852</v>
      </c>
      <c r="J2493" s="15">
        <f>Yearly_Growth!$D$3</f>
        <v>0.09</v>
      </c>
      <c r="K2493">
        <f>Sales_Per_Representative!$C$18</f>
        <v>783907</v>
      </c>
      <c r="L2493">
        <f>Sales_Per_Rep_Yearly_Goal!$B$3</f>
        <v>689907.8</v>
      </c>
      <c r="M2493">
        <f>Sales_Per_Rep_Yearly_Goal!$C$3</f>
        <v>690000</v>
      </c>
    </row>
    <row r="2494" spans="1:13" x14ac:dyDescent="0.3">
      <c r="A2494" s="3">
        <v>45588</v>
      </c>
      <c r="B2494">
        <f t="shared" si="38"/>
        <v>2024</v>
      </c>
      <c r="C2494">
        <v>10</v>
      </c>
      <c r="D2494" t="s">
        <v>7</v>
      </c>
      <c r="E2494" t="s">
        <v>24</v>
      </c>
      <c r="F2494" s="2">
        <v>11739</v>
      </c>
      <c r="G2494" s="2">
        <f>Monthly_Growth!$C$23</f>
        <v>741980</v>
      </c>
      <c r="H2494" s="5">
        <f>Monthly_Growth!$D$23</f>
        <v>-0.11457599935083067</v>
      </c>
      <c r="I2494" s="15">
        <f>Yearly_Growth!$C$3</f>
        <v>0.11893113731787852</v>
      </c>
      <c r="J2494" s="15">
        <f>Yearly_Growth!$D$3</f>
        <v>0.09</v>
      </c>
      <c r="K2494">
        <f>Sales_Per_Representative!$C$17</f>
        <v>633956</v>
      </c>
      <c r="L2494">
        <f>Sales_Per_Rep_Yearly_Goal!$B$3</f>
        <v>689907.8</v>
      </c>
      <c r="M2494">
        <f>Sales_Per_Rep_Yearly_Goal!$C$3</f>
        <v>690000</v>
      </c>
    </row>
    <row r="2495" spans="1:13" x14ac:dyDescent="0.3">
      <c r="A2495" s="3">
        <v>45588</v>
      </c>
      <c r="B2495">
        <f t="shared" si="38"/>
        <v>2024</v>
      </c>
      <c r="C2495">
        <v>10</v>
      </c>
      <c r="D2495" t="s">
        <v>12</v>
      </c>
      <c r="E2495" t="s">
        <v>26</v>
      </c>
      <c r="F2495" s="2">
        <v>9610</v>
      </c>
      <c r="G2495" s="2">
        <f>Monthly_Growth!$C$23</f>
        <v>741980</v>
      </c>
      <c r="H2495" s="5">
        <f>Monthly_Growth!$D$23</f>
        <v>-0.11457599935083067</v>
      </c>
      <c r="I2495" s="15">
        <f>Yearly_Growth!$C$3</f>
        <v>0.11893113731787852</v>
      </c>
      <c r="J2495" s="15">
        <f>Yearly_Growth!$D$3</f>
        <v>0.09</v>
      </c>
      <c r="K2495">
        <f>Sales_Per_Representative!$C$31</f>
        <v>664244</v>
      </c>
      <c r="L2495">
        <f>Sales_Per_Rep_Yearly_Goal!$B$3</f>
        <v>689907.8</v>
      </c>
      <c r="M2495">
        <f>Sales_Per_Rep_Yearly_Goal!$C$3</f>
        <v>690000</v>
      </c>
    </row>
    <row r="2496" spans="1:13" x14ac:dyDescent="0.3">
      <c r="A2496" s="3">
        <v>45589</v>
      </c>
      <c r="B2496">
        <f t="shared" si="38"/>
        <v>2024</v>
      </c>
      <c r="C2496">
        <v>10</v>
      </c>
      <c r="D2496" t="s">
        <v>19</v>
      </c>
      <c r="E2496" t="s">
        <v>30</v>
      </c>
      <c r="F2496" s="2">
        <v>9115</v>
      </c>
      <c r="G2496" s="2">
        <f>Monthly_Growth!$C$23</f>
        <v>741980</v>
      </c>
      <c r="H2496" s="5">
        <f>Monthly_Growth!$D$23</f>
        <v>-0.11457599935083067</v>
      </c>
      <c r="I2496" s="15">
        <f>Yearly_Growth!$C$3</f>
        <v>0.11893113731787852</v>
      </c>
      <c r="J2496" s="15">
        <f>Yearly_Growth!$D$3</f>
        <v>0.09</v>
      </c>
      <c r="K2496">
        <f>Sales_Per_Representative!$C$22</f>
        <v>700142</v>
      </c>
      <c r="L2496">
        <f>Sales_Per_Rep_Yearly_Goal!$B$3</f>
        <v>689907.8</v>
      </c>
      <c r="M2496">
        <f>Sales_Per_Rep_Yearly_Goal!$C$3</f>
        <v>690000</v>
      </c>
    </row>
    <row r="2497" spans="1:13" x14ac:dyDescent="0.3">
      <c r="A2497" s="3">
        <v>45589</v>
      </c>
      <c r="B2497">
        <f t="shared" si="38"/>
        <v>2024</v>
      </c>
      <c r="C2497">
        <v>10</v>
      </c>
      <c r="D2497" t="s">
        <v>23</v>
      </c>
      <c r="E2497" t="s">
        <v>30</v>
      </c>
      <c r="F2497" s="2">
        <v>8948</v>
      </c>
      <c r="G2497" s="2">
        <f>Monthly_Growth!$C$23</f>
        <v>741980</v>
      </c>
      <c r="H2497" s="5">
        <f>Monthly_Growth!$D$23</f>
        <v>-0.11457599935083067</v>
      </c>
      <c r="I2497" s="15">
        <f>Yearly_Growth!$C$3</f>
        <v>0.11893113731787852</v>
      </c>
      <c r="J2497" s="15">
        <f>Yearly_Growth!$D$3</f>
        <v>0.09</v>
      </c>
      <c r="K2497">
        <f>Sales_Per_Representative!$C$22</f>
        <v>700142</v>
      </c>
      <c r="L2497">
        <f>Sales_Per_Rep_Yearly_Goal!$B$3</f>
        <v>689907.8</v>
      </c>
      <c r="M2497">
        <f>Sales_Per_Rep_Yearly_Goal!$C$3</f>
        <v>690000</v>
      </c>
    </row>
    <row r="2498" spans="1:13" x14ac:dyDescent="0.3">
      <c r="A2498" s="3">
        <v>45589</v>
      </c>
      <c r="B2498">
        <f t="shared" si="38"/>
        <v>2024</v>
      </c>
      <c r="C2498">
        <v>10</v>
      </c>
      <c r="D2498" t="s">
        <v>25</v>
      </c>
      <c r="E2498" t="s">
        <v>33</v>
      </c>
      <c r="F2498" s="2">
        <v>12996</v>
      </c>
      <c r="G2498" s="2">
        <f>Monthly_Growth!$C$23</f>
        <v>741980</v>
      </c>
      <c r="H2498" s="5">
        <f>Monthly_Growth!$D$23</f>
        <v>-0.11457599935083067</v>
      </c>
      <c r="I2498" s="15">
        <f>Yearly_Growth!$C$3</f>
        <v>0.11893113731787852</v>
      </c>
      <c r="J2498" s="15">
        <f>Yearly_Growth!$D$3</f>
        <v>0.09</v>
      </c>
      <c r="K2498">
        <f>Sales_Per_Representative!$C$26</f>
        <v>501360</v>
      </c>
      <c r="L2498">
        <f>Sales_Per_Rep_Yearly_Goal!$B$3</f>
        <v>689907.8</v>
      </c>
      <c r="M2498">
        <f>Sales_Per_Rep_Yearly_Goal!$C$3</f>
        <v>690000</v>
      </c>
    </row>
    <row r="2499" spans="1:13" x14ac:dyDescent="0.3">
      <c r="A2499" s="3">
        <v>45589</v>
      </c>
      <c r="B2499">
        <f t="shared" ref="B2499:B2562" si="39">YEAR(A2499)</f>
        <v>2024</v>
      </c>
      <c r="C2499">
        <v>10</v>
      </c>
      <c r="D2499" t="s">
        <v>25</v>
      </c>
      <c r="E2499" t="s">
        <v>30</v>
      </c>
      <c r="F2499" s="2">
        <v>7816</v>
      </c>
      <c r="G2499" s="2">
        <f>Monthly_Growth!$C$23</f>
        <v>741980</v>
      </c>
      <c r="H2499" s="5">
        <f>Monthly_Growth!$D$23</f>
        <v>-0.11457599935083067</v>
      </c>
      <c r="I2499" s="15">
        <f>Yearly_Growth!$C$3</f>
        <v>0.11893113731787852</v>
      </c>
      <c r="J2499" s="15">
        <f>Yearly_Growth!$D$3</f>
        <v>0.09</v>
      </c>
      <c r="K2499">
        <f>Sales_Per_Representative!$C$22</f>
        <v>700142</v>
      </c>
      <c r="L2499">
        <f>Sales_Per_Rep_Yearly_Goal!$B$3</f>
        <v>689907.8</v>
      </c>
      <c r="M2499">
        <f>Sales_Per_Rep_Yearly_Goal!$C$3</f>
        <v>690000</v>
      </c>
    </row>
    <row r="2500" spans="1:13" x14ac:dyDescent="0.3">
      <c r="A2500" s="3">
        <v>45590</v>
      </c>
      <c r="B2500">
        <f t="shared" si="39"/>
        <v>2024</v>
      </c>
      <c r="C2500">
        <v>10</v>
      </c>
      <c r="D2500" t="s">
        <v>14</v>
      </c>
      <c r="E2500" t="s">
        <v>32</v>
      </c>
      <c r="F2500" s="2">
        <v>1162</v>
      </c>
      <c r="G2500" s="2">
        <f>Monthly_Growth!$C$23</f>
        <v>741980</v>
      </c>
      <c r="H2500" s="5">
        <f>Monthly_Growth!$D$23</f>
        <v>-0.11457599935083067</v>
      </c>
      <c r="I2500" s="15">
        <f>Yearly_Growth!$C$3</f>
        <v>0.11893113731787852</v>
      </c>
      <c r="J2500" s="15">
        <f>Yearly_Growth!$D$3</f>
        <v>0.09</v>
      </c>
      <c r="K2500">
        <f>Sales_Per_Representative!$C$18</f>
        <v>783907</v>
      </c>
      <c r="L2500">
        <f>Sales_Per_Rep_Yearly_Goal!$B$3</f>
        <v>689907.8</v>
      </c>
      <c r="M2500">
        <f>Sales_Per_Rep_Yearly_Goal!$C$3</f>
        <v>690000</v>
      </c>
    </row>
    <row r="2501" spans="1:13" x14ac:dyDescent="0.3">
      <c r="A2501" s="3">
        <v>45591</v>
      </c>
      <c r="B2501">
        <f t="shared" si="39"/>
        <v>2024</v>
      </c>
      <c r="C2501">
        <v>10</v>
      </c>
      <c r="D2501" t="s">
        <v>19</v>
      </c>
      <c r="E2501" t="s">
        <v>5</v>
      </c>
      <c r="F2501" s="2">
        <v>2400</v>
      </c>
      <c r="G2501" s="2">
        <f>Monthly_Growth!$C$23</f>
        <v>741980</v>
      </c>
      <c r="H2501" s="5">
        <f>Monthly_Growth!$D$23</f>
        <v>-0.11457599935083067</v>
      </c>
      <c r="I2501" s="15">
        <f>Yearly_Growth!$C$3</f>
        <v>0.11893113731787852</v>
      </c>
      <c r="J2501" s="15">
        <f>Yearly_Growth!$D$3</f>
        <v>0.09</v>
      </c>
      <c r="K2501">
        <f>Sales_Per_Representative!$C$25</f>
        <v>749460</v>
      </c>
      <c r="L2501">
        <f>Sales_Per_Rep_Yearly_Goal!$B$3</f>
        <v>689907.8</v>
      </c>
      <c r="M2501">
        <f>Sales_Per_Rep_Yearly_Goal!$C$3</f>
        <v>690000</v>
      </c>
    </row>
    <row r="2502" spans="1:13" x14ac:dyDescent="0.3">
      <c r="A2502" s="3">
        <v>45591</v>
      </c>
      <c r="B2502">
        <f t="shared" si="39"/>
        <v>2024</v>
      </c>
      <c r="C2502">
        <v>10</v>
      </c>
      <c r="D2502" t="s">
        <v>7</v>
      </c>
      <c r="E2502" t="s">
        <v>32</v>
      </c>
      <c r="F2502" s="2">
        <v>9755</v>
      </c>
      <c r="G2502" s="2">
        <f>Monthly_Growth!$C$23</f>
        <v>741980</v>
      </c>
      <c r="H2502" s="5">
        <f>Monthly_Growth!$D$23</f>
        <v>-0.11457599935083067</v>
      </c>
      <c r="I2502" s="15">
        <f>Yearly_Growth!$C$3</f>
        <v>0.11893113731787852</v>
      </c>
      <c r="J2502" s="15">
        <f>Yearly_Growth!$D$3</f>
        <v>0.09</v>
      </c>
      <c r="K2502">
        <f>Sales_Per_Representative!$C$18</f>
        <v>783907</v>
      </c>
      <c r="L2502">
        <f>Sales_Per_Rep_Yearly_Goal!$B$3</f>
        <v>689907.8</v>
      </c>
      <c r="M2502">
        <f>Sales_Per_Rep_Yearly_Goal!$C$3</f>
        <v>690000</v>
      </c>
    </row>
    <row r="2503" spans="1:13" x14ac:dyDescent="0.3">
      <c r="A2503" s="3">
        <v>45591</v>
      </c>
      <c r="B2503">
        <f t="shared" si="39"/>
        <v>2024</v>
      </c>
      <c r="C2503">
        <v>10</v>
      </c>
      <c r="D2503" t="s">
        <v>28</v>
      </c>
      <c r="E2503" t="s">
        <v>22</v>
      </c>
      <c r="F2503" s="2">
        <v>2389</v>
      </c>
      <c r="G2503" s="2">
        <f>Monthly_Growth!$C$23</f>
        <v>741980</v>
      </c>
      <c r="H2503" s="5">
        <f>Monthly_Growth!$D$23</f>
        <v>-0.11457599935083067</v>
      </c>
      <c r="I2503" s="15">
        <f>Yearly_Growth!$C$3</f>
        <v>0.11893113731787852</v>
      </c>
      <c r="J2503" s="15">
        <f>Yearly_Growth!$D$3</f>
        <v>0.09</v>
      </c>
      <c r="K2503">
        <f>Sales_Per_Representative!$C$23</f>
        <v>697444</v>
      </c>
      <c r="L2503">
        <f>Sales_Per_Rep_Yearly_Goal!$B$3</f>
        <v>689907.8</v>
      </c>
      <c r="M2503">
        <f>Sales_Per_Rep_Yearly_Goal!$C$3</f>
        <v>690000</v>
      </c>
    </row>
    <row r="2504" spans="1:13" x14ac:dyDescent="0.3">
      <c r="A2504" s="3">
        <v>45592</v>
      </c>
      <c r="B2504">
        <f t="shared" si="39"/>
        <v>2024</v>
      </c>
      <c r="C2504">
        <v>10</v>
      </c>
      <c r="D2504" t="s">
        <v>17</v>
      </c>
      <c r="E2504" t="s">
        <v>18</v>
      </c>
      <c r="F2504" s="2">
        <v>5676</v>
      </c>
      <c r="G2504" s="2">
        <f>Monthly_Growth!$C$23</f>
        <v>741980</v>
      </c>
      <c r="H2504" s="5">
        <f>Monthly_Growth!$D$23</f>
        <v>-0.11457599935083067</v>
      </c>
      <c r="I2504" s="15">
        <f>Yearly_Growth!$C$3</f>
        <v>0.11893113731787852</v>
      </c>
      <c r="J2504" s="15">
        <f>Yearly_Growth!$D$3</f>
        <v>0.09</v>
      </c>
      <c r="K2504">
        <f>Sales_Per_Representative!$C$24</f>
        <v>699277</v>
      </c>
      <c r="L2504">
        <f>Sales_Per_Rep_Yearly_Goal!$B$3</f>
        <v>689907.8</v>
      </c>
      <c r="M2504">
        <f>Sales_Per_Rep_Yearly_Goal!$C$3</f>
        <v>690000</v>
      </c>
    </row>
    <row r="2505" spans="1:13" x14ac:dyDescent="0.3">
      <c r="A2505" s="3">
        <v>45593</v>
      </c>
      <c r="B2505">
        <f t="shared" si="39"/>
        <v>2024</v>
      </c>
      <c r="C2505">
        <v>10</v>
      </c>
      <c r="D2505" t="s">
        <v>14</v>
      </c>
      <c r="E2505" t="s">
        <v>33</v>
      </c>
      <c r="F2505" s="2">
        <v>1016</v>
      </c>
      <c r="G2505" s="2">
        <f>Monthly_Growth!$C$23</f>
        <v>741980</v>
      </c>
      <c r="H2505" s="5">
        <f>Monthly_Growth!$D$23</f>
        <v>-0.11457599935083067</v>
      </c>
      <c r="I2505" s="15">
        <f>Yearly_Growth!$C$3</f>
        <v>0.11893113731787852</v>
      </c>
      <c r="J2505" s="15">
        <f>Yearly_Growth!$D$3</f>
        <v>0.09</v>
      </c>
      <c r="K2505">
        <f>Sales_Per_Representative!$C$26</f>
        <v>501360</v>
      </c>
      <c r="L2505">
        <f>Sales_Per_Rep_Yearly_Goal!$B$3</f>
        <v>689907.8</v>
      </c>
      <c r="M2505">
        <f>Sales_Per_Rep_Yearly_Goal!$C$3</f>
        <v>690000</v>
      </c>
    </row>
    <row r="2506" spans="1:13" x14ac:dyDescent="0.3">
      <c r="A2506" s="3">
        <v>45593</v>
      </c>
      <c r="B2506">
        <f t="shared" si="39"/>
        <v>2024</v>
      </c>
      <c r="C2506">
        <v>10</v>
      </c>
      <c r="D2506" t="s">
        <v>23</v>
      </c>
      <c r="E2506" t="s">
        <v>5</v>
      </c>
      <c r="F2506" s="2">
        <v>5172</v>
      </c>
      <c r="G2506" s="2">
        <f>Monthly_Growth!$C$23</f>
        <v>741980</v>
      </c>
      <c r="H2506" s="5">
        <f>Monthly_Growth!$D$23</f>
        <v>-0.11457599935083067</v>
      </c>
      <c r="I2506" s="15">
        <f>Yearly_Growth!$C$3</f>
        <v>0.11893113731787852</v>
      </c>
      <c r="J2506" s="15">
        <f>Yearly_Growth!$D$3</f>
        <v>0.09</v>
      </c>
      <c r="K2506">
        <f>Sales_Per_Representative!$C$25</f>
        <v>749460</v>
      </c>
      <c r="L2506">
        <f>Sales_Per_Rep_Yearly_Goal!$B$3</f>
        <v>689907.8</v>
      </c>
      <c r="M2506">
        <f>Sales_Per_Rep_Yearly_Goal!$C$3</f>
        <v>690000</v>
      </c>
    </row>
    <row r="2507" spans="1:13" x14ac:dyDescent="0.3">
      <c r="A2507" s="3">
        <v>45593</v>
      </c>
      <c r="B2507">
        <f t="shared" si="39"/>
        <v>2024</v>
      </c>
      <c r="C2507">
        <v>10</v>
      </c>
      <c r="D2507" t="s">
        <v>23</v>
      </c>
      <c r="E2507" t="s">
        <v>27</v>
      </c>
      <c r="F2507" s="2">
        <v>7946</v>
      </c>
      <c r="G2507" s="2">
        <f>Monthly_Growth!$C$23</f>
        <v>741980</v>
      </c>
      <c r="H2507" s="5">
        <f>Monthly_Growth!$D$23</f>
        <v>-0.11457599935083067</v>
      </c>
      <c r="I2507" s="15">
        <f>Yearly_Growth!$C$3</f>
        <v>0.11893113731787852</v>
      </c>
      <c r="J2507" s="15">
        <f>Yearly_Growth!$D$3</f>
        <v>0.09</v>
      </c>
      <c r="K2507">
        <f>Sales_Per_Representative!$C$20</f>
        <v>685380</v>
      </c>
      <c r="L2507">
        <f>Sales_Per_Rep_Yearly_Goal!$B$3</f>
        <v>689907.8</v>
      </c>
      <c r="M2507">
        <f>Sales_Per_Rep_Yearly_Goal!$C$3</f>
        <v>690000</v>
      </c>
    </row>
    <row r="2508" spans="1:13" x14ac:dyDescent="0.3">
      <c r="A2508" s="3">
        <v>45593</v>
      </c>
      <c r="B2508">
        <f t="shared" si="39"/>
        <v>2024</v>
      </c>
      <c r="C2508">
        <v>10</v>
      </c>
      <c r="D2508" t="s">
        <v>25</v>
      </c>
      <c r="E2508" t="s">
        <v>15</v>
      </c>
      <c r="F2508" s="2">
        <v>2896</v>
      </c>
      <c r="G2508" s="2">
        <f>Monthly_Growth!$C$23</f>
        <v>741980</v>
      </c>
      <c r="H2508" s="5">
        <f>Monthly_Growth!$D$23</f>
        <v>-0.11457599935083067</v>
      </c>
      <c r="I2508" s="15">
        <f>Yearly_Growth!$C$3</f>
        <v>0.11893113731787852</v>
      </c>
      <c r="J2508" s="15">
        <f>Yearly_Growth!$D$3</f>
        <v>0.09</v>
      </c>
      <c r="K2508">
        <f>Sales_Per_Representative!$C$27</f>
        <v>617202</v>
      </c>
      <c r="L2508">
        <f>Sales_Per_Rep_Yearly_Goal!$B$3</f>
        <v>689907.8</v>
      </c>
      <c r="M2508">
        <f>Sales_Per_Rep_Yearly_Goal!$C$3</f>
        <v>690000</v>
      </c>
    </row>
    <row r="2509" spans="1:13" x14ac:dyDescent="0.3">
      <c r="A2509" s="3">
        <v>45593</v>
      </c>
      <c r="B2509">
        <f t="shared" si="39"/>
        <v>2024</v>
      </c>
      <c r="C2509">
        <v>10</v>
      </c>
      <c r="D2509" t="s">
        <v>17</v>
      </c>
      <c r="E2509" t="s">
        <v>29</v>
      </c>
      <c r="F2509" s="2">
        <v>10857</v>
      </c>
      <c r="G2509" s="2">
        <f>Monthly_Growth!$C$23</f>
        <v>741980</v>
      </c>
      <c r="H2509" s="5">
        <f>Monthly_Growth!$D$23</f>
        <v>-0.11457599935083067</v>
      </c>
      <c r="I2509" s="15">
        <f>Yearly_Growth!$C$3</f>
        <v>0.11893113731787852</v>
      </c>
      <c r="J2509" s="15">
        <f>Yearly_Growth!$D$3</f>
        <v>0.09</v>
      </c>
      <c r="K2509">
        <f>Sales_Per_Representative!$C$28</f>
        <v>691917</v>
      </c>
      <c r="L2509">
        <f>Sales_Per_Rep_Yearly_Goal!$B$3</f>
        <v>689907.8</v>
      </c>
      <c r="M2509">
        <f>Sales_Per_Rep_Yearly_Goal!$C$3</f>
        <v>690000</v>
      </c>
    </row>
    <row r="2510" spans="1:13" x14ac:dyDescent="0.3">
      <c r="A2510" s="3">
        <v>45594</v>
      </c>
      <c r="B2510">
        <f t="shared" si="39"/>
        <v>2024</v>
      </c>
      <c r="C2510">
        <v>10</v>
      </c>
      <c r="D2510" t="s">
        <v>14</v>
      </c>
      <c r="E2510" t="s">
        <v>24</v>
      </c>
      <c r="F2510" s="2">
        <v>5363</v>
      </c>
      <c r="G2510" s="2">
        <f>Monthly_Growth!$C$23</f>
        <v>741980</v>
      </c>
      <c r="H2510" s="5">
        <f>Monthly_Growth!$D$23</f>
        <v>-0.11457599935083067</v>
      </c>
      <c r="I2510" s="15">
        <f>Yearly_Growth!$C$3</f>
        <v>0.11893113731787852</v>
      </c>
      <c r="J2510" s="15">
        <f>Yearly_Growth!$D$3</f>
        <v>0.09</v>
      </c>
      <c r="K2510">
        <f>Sales_Per_Representative!$C$17</f>
        <v>633956</v>
      </c>
      <c r="L2510">
        <f>Sales_Per_Rep_Yearly_Goal!$B$3</f>
        <v>689907.8</v>
      </c>
      <c r="M2510">
        <f>Sales_Per_Rep_Yearly_Goal!$C$3</f>
        <v>690000</v>
      </c>
    </row>
    <row r="2511" spans="1:13" x14ac:dyDescent="0.3">
      <c r="A2511" s="3">
        <v>45594</v>
      </c>
      <c r="B2511">
        <f t="shared" si="39"/>
        <v>2024</v>
      </c>
      <c r="C2511">
        <v>10</v>
      </c>
      <c r="D2511" t="s">
        <v>17</v>
      </c>
      <c r="E2511" t="s">
        <v>30</v>
      </c>
      <c r="F2511" s="2">
        <v>13729</v>
      </c>
      <c r="G2511" s="2">
        <f>Monthly_Growth!$C$23</f>
        <v>741980</v>
      </c>
      <c r="H2511" s="5">
        <f>Monthly_Growth!$D$23</f>
        <v>-0.11457599935083067</v>
      </c>
      <c r="I2511" s="15">
        <f>Yearly_Growth!$C$3</f>
        <v>0.11893113731787852</v>
      </c>
      <c r="J2511" s="15">
        <f>Yearly_Growth!$D$3</f>
        <v>0.09</v>
      </c>
      <c r="K2511">
        <f>Sales_Per_Representative!$C$22</f>
        <v>700142</v>
      </c>
      <c r="L2511">
        <f>Sales_Per_Rep_Yearly_Goal!$B$3</f>
        <v>689907.8</v>
      </c>
      <c r="M2511">
        <f>Sales_Per_Rep_Yearly_Goal!$C$3</f>
        <v>690000</v>
      </c>
    </row>
    <row r="2512" spans="1:13" x14ac:dyDescent="0.3">
      <c r="A2512" s="3">
        <v>45595</v>
      </c>
      <c r="B2512">
        <f t="shared" si="39"/>
        <v>2024</v>
      </c>
      <c r="C2512">
        <v>10</v>
      </c>
      <c r="D2512" t="s">
        <v>23</v>
      </c>
      <c r="E2512" t="s">
        <v>29</v>
      </c>
      <c r="F2512" s="2">
        <v>12067</v>
      </c>
      <c r="G2512" s="2">
        <f>Monthly_Growth!$C$23</f>
        <v>741980</v>
      </c>
      <c r="H2512" s="5">
        <f>Monthly_Growth!$D$23</f>
        <v>-0.11457599935083067</v>
      </c>
      <c r="I2512" s="15">
        <f>Yearly_Growth!$C$3</f>
        <v>0.11893113731787852</v>
      </c>
      <c r="J2512" s="15">
        <f>Yearly_Growth!$D$3</f>
        <v>0.09</v>
      </c>
      <c r="K2512">
        <f>Sales_Per_Representative!$C$28</f>
        <v>691917</v>
      </c>
      <c r="L2512">
        <f>Sales_Per_Rep_Yearly_Goal!$B$3</f>
        <v>689907.8</v>
      </c>
      <c r="M2512">
        <f>Sales_Per_Rep_Yearly_Goal!$C$3</f>
        <v>690000</v>
      </c>
    </row>
    <row r="2513" spans="1:13" x14ac:dyDescent="0.3">
      <c r="A2513" s="3">
        <v>45595</v>
      </c>
      <c r="B2513">
        <f t="shared" si="39"/>
        <v>2024</v>
      </c>
      <c r="C2513">
        <v>10</v>
      </c>
      <c r="D2513" t="s">
        <v>17</v>
      </c>
      <c r="E2513" t="s">
        <v>29</v>
      </c>
      <c r="F2513" s="2">
        <v>13449</v>
      </c>
      <c r="G2513" s="2">
        <f>Monthly_Growth!$C$23</f>
        <v>741980</v>
      </c>
      <c r="H2513" s="5">
        <f>Monthly_Growth!$D$23</f>
        <v>-0.11457599935083067</v>
      </c>
      <c r="I2513" s="15">
        <f>Yearly_Growth!$C$3</f>
        <v>0.11893113731787852</v>
      </c>
      <c r="J2513" s="15">
        <f>Yearly_Growth!$D$3</f>
        <v>0.09</v>
      </c>
      <c r="K2513">
        <f>Sales_Per_Representative!$C$28</f>
        <v>691917</v>
      </c>
      <c r="L2513">
        <f>Sales_Per_Rep_Yearly_Goal!$B$3</f>
        <v>689907.8</v>
      </c>
      <c r="M2513">
        <f>Sales_Per_Rep_Yearly_Goal!$C$3</f>
        <v>690000</v>
      </c>
    </row>
    <row r="2514" spans="1:13" x14ac:dyDescent="0.3">
      <c r="A2514" s="3">
        <v>45596</v>
      </c>
      <c r="B2514">
        <f t="shared" si="39"/>
        <v>2024</v>
      </c>
      <c r="C2514">
        <v>10</v>
      </c>
      <c r="D2514" t="s">
        <v>28</v>
      </c>
      <c r="E2514" t="s">
        <v>32</v>
      </c>
      <c r="F2514" s="2">
        <v>12048</v>
      </c>
      <c r="G2514" s="2">
        <f>Monthly_Growth!$C$23</f>
        <v>741980</v>
      </c>
      <c r="H2514" s="5">
        <f>Monthly_Growth!$D$23</f>
        <v>-0.11457599935083067</v>
      </c>
      <c r="I2514" s="15">
        <f>Yearly_Growth!$C$3</f>
        <v>0.11893113731787852</v>
      </c>
      <c r="J2514" s="15">
        <f>Yearly_Growth!$D$3</f>
        <v>0.09</v>
      </c>
      <c r="K2514">
        <f>Sales_Per_Representative!$C$18</f>
        <v>783907</v>
      </c>
      <c r="L2514">
        <f>Sales_Per_Rep_Yearly_Goal!$B$3</f>
        <v>689907.8</v>
      </c>
      <c r="M2514">
        <f>Sales_Per_Rep_Yearly_Goal!$C$3</f>
        <v>690000</v>
      </c>
    </row>
    <row r="2515" spans="1:13" x14ac:dyDescent="0.3">
      <c r="A2515" s="3">
        <v>45597</v>
      </c>
      <c r="B2515">
        <f t="shared" si="39"/>
        <v>2024</v>
      </c>
      <c r="C2515">
        <v>11</v>
      </c>
      <c r="D2515" t="s">
        <v>14</v>
      </c>
      <c r="E2515" t="s">
        <v>32</v>
      </c>
      <c r="F2515" s="2">
        <v>2943</v>
      </c>
      <c r="G2515" s="2">
        <f>Monthly_Growth!$C$24</f>
        <v>839001</v>
      </c>
      <c r="H2515" s="5">
        <f>Monthly_Growth!$D$24</f>
        <v>0.13075958920725625</v>
      </c>
      <c r="I2515" s="15">
        <f>Yearly_Growth!$C$3</f>
        <v>0.11893113731787852</v>
      </c>
      <c r="J2515" s="15">
        <f>Yearly_Growth!$D$3</f>
        <v>0.09</v>
      </c>
      <c r="K2515">
        <f>Sales_Per_Representative!$C$18</f>
        <v>783907</v>
      </c>
      <c r="L2515">
        <f>Sales_Per_Rep_Yearly_Goal!$B$3</f>
        <v>689907.8</v>
      </c>
      <c r="M2515">
        <f>Sales_Per_Rep_Yearly_Goal!$C$3</f>
        <v>690000</v>
      </c>
    </row>
    <row r="2516" spans="1:13" x14ac:dyDescent="0.3">
      <c r="A2516" s="3">
        <v>45597</v>
      </c>
      <c r="B2516">
        <f t="shared" si="39"/>
        <v>2024</v>
      </c>
      <c r="C2516">
        <v>11</v>
      </c>
      <c r="D2516" t="s">
        <v>14</v>
      </c>
      <c r="E2516" t="s">
        <v>18</v>
      </c>
      <c r="F2516" s="2">
        <v>11881</v>
      </c>
      <c r="G2516" s="2">
        <f>Monthly_Growth!$C$24</f>
        <v>839001</v>
      </c>
      <c r="H2516" s="5">
        <f>Monthly_Growth!$D$24</f>
        <v>0.13075958920725625</v>
      </c>
      <c r="I2516" s="15">
        <f>Yearly_Growth!$C$3</f>
        <v>0.11893113731787852</v>
      </c>
      <c r="J2516" s="15">
        <f>Yearly_Growth!$D$3</f>
        <v>0.09</v>
      </c>
      <c r="K2516">
        <f>Sales_Per_Representative!$C$24</f>
        <v>699277</v>
      </c>
      <c r="L2516">
        <f>Sales_Per_Rep_Yearly_Goal!$B$3</f>
        <v>689907.8</v>
      </c>
      <c r="M2516">
        <f>Sales_Per_Rep_Yearly_Goal!$C$3</f>
        <v>690000</v>
      </c>
    </row>
    <row r="2517" spans="1:13" x14ac:dyDescent="0.3">
      <c r="A2517" s="3">
        <v>45597</v>
      </c>
      <c r="B2517">
        <f t="shared" si="39"/>
        <v>2024</v>
      </c>
      <c r="C2517">
        <v>11</v>
      </c>
      <c r="D2517" t="s">
        <v>25</v>
      </c>
      <c r="E2517" t="s">
        <v>29</v>
      </c>
      <c r="F2517" s="2">
        <v>6498</v>
      </c>
      <c r="G2517" s="2">
        <f>Monthly_Growth!$C$24</f>
        <v>839001</v>
      </c>
      <c r="H2517" s="5">
        <f>Monthly_Growth!$D$24</f>
        <v>0.13075958920725625</v>
      </c>
      <c r="I2517" s="15">
        <f>Yearly_Growth!$C$3</f>
        <v>0.11893113731787852</v>
      </c>
      <c r="J2517" s="15">
        <f>Yearly_Growth!$D$3</f>
        <v>0.09</v>
      </c>
      <c r="K2517">
        <f>Sales_Per_Representative!$C$28</f>
        <v>691917</v>
      </c>
      <c r="L2517">
        <f>Sales_Per_Rep_Yearly_Goal!$B$3</f>
        <v>689907.8</v>
      </c>
      <c r="M2517">
        <f>Sales_Per_Rep_Yearly_Goal!$C$3</f>
        <v>690000</v>
      </c>
    </row>
    <row r="2518" spans="1:13" x14ac:dyDescent="0.3">
      <c r="A2518" s="3">
        <v>45597</v>
      </c>
      <c r="B2518">
        <f t="shared" si="39"/>
        <v>2024</v>
      </c>
      <c r="C2518">
        <v>11</v>
      </c>
      <c r="D2518" t="s">
        <v>25</v>
      </c>
      <c r="E2518" t="s">
        <v>33</v>
      </c>
      <c r="F2518" s="2">
        <v>3023</v>
      </c>
      <c r="G2518" s="2">
        <f>Monthly_Growth!$C$24</f>
        <v>839001</v>
      </c>
      <c r="H2518" s="5">
        <f>Monthly_Growth!$D$24</f>
        <v>0.13075958920725625</v>
      </c>
      <c r="I2518" s="15">
        <f>Yearly_Growth!$C$3</f>
        <v>0.11893113731787852</v>
      </c>
      <c r="J2518" s="15">
        <f>Yearly_Growth!$D$3</f>
        <v>0.09</v>
      </c>
      <c r="K2518">
        <f>Sales_Per_Representative!$C$26</f>
        <v>501360</v>
      </c>
      <c r="L2518">
        <f>Sales_Per_Rep_Yearly_Goal!$B$3</f>
        <v>689907.8</v>
      </c>
      <c r="M2518">
        <f>Sales_Per_Rep_Yearly_Goal!$C$3</f>
        <v>690000</v>
      </c>
    </row>
    <row r="2519" spans="1:13" x14ac:dyDescent="0.3">
      <c r="A2519" s="3">
        <v>45597</v>
      </c>
      <c r="B2519">
        <f t="shared" si="39"/>
        <v>2024</v>
      </c>
      <c r="C2519">
        <v>11</v>
      </c>
      <c r="D2519" t="s">
        <v>28</v>
      </c>
      <c r="E2519" t="s">
        <v>22</v>
      </c>
      <c r="F2519" s="2">
        <v>7726</v>
      </c>
      <c r="G2519" s="2">
        <f>Monthly_Growth!$C$24</f>
        <v>839001</v>
      </c>
      <c r="H2519" s="5">
        <f>Monthly_Growth!$D$24</f>
        <v>0.13075958920725625</v>
      </c>
      <c r="I2519" s="15">
        <f>Yearly_Growth!$C$3</f>
        <v>0.11893113731787852</v>
      </c>
      <c r="J2519" s="15">
        <f>Yearly_Growth!$D$3</f>
        <v>0.09</v>
      </c>
      <c r="K2519">
        <f>Sales_Per_Representative!$C$23</f>
        <v>697444</v>
      </c>
      <c r="L2519">
        <f>Sales_Per_Rep_Yearly_Goal!$B$3</f>
        <v>689907.8</v>
      </c>
      <c r="M2519">
        <f>Sales_Per_Rep_Yearly_Goal!$C$3</f>
        <v>690000</v>
      </c>
    </row>
    <row r="2520" spans="1:13" x14ac:dyDescent="0.3">
      <c r="A2520" s="3">
        <v>45597</v>
      </c>
      <c r="B2520">
        <f t="shared" si="39"/>
        <v>2024</v>
      </c>
      <c r="C2520">
        <v>11</v>
      </c>
      <c r="D2520" t="s">
        <v>17</v>
      </c>
      <c r="E2520" t="s">
        <v>30</v>
      </c>
      <c r="F2520" s="2">
        <v>9900</v>
      </c>
      <c r="G2520" s="2">
        <f>Monthly_Growth!$C$24</f>
        <v>839001</v>
      </c>
      <c r="H2520" s="5">
        <f>Monthly_Growth!$D$24</f>
        <v>0.13075958920725625</v>
      </c>
      <c r="I2520" s="15">
        <f>Yearly_Growth!$C$3</f>
        <v>0.11893113731787852</v>
      </c>
      <c r="J2520" s="15">
        <f>Yearly_Growth!$D$3</f>
        <v>0.09</v>
      </c>
      <c r="K2520">
        <f>Sales_Per_Representative!$C$22</f>
        <v>700142</v>
      </c>
      <c r="L2520">
        <f>Sales_Per_Rep_Yearly_Goal!$B$3</f>
        <v>689907.8</v>
      </c>
      <c r="M2520">
        <f>Sales_Per_Rep_Yearly_Goal!$C$3</f>
        <v>690000</v>
      </c>
    </row>
    <row r="2521" spans="1:13" x14ac:dyDescent="0.3">
      <c r="A2521" s="3">
        <v>45598</v>
      </c>
      <c r="B2521">
        <f t="shared" si="39"/>
        <v>2024</v>
      </c>
      <c r="C2521">
        <v>11</v>
      </c>
      <c r="D2521" t="s">
        <v>19</v>
      </c>
      <c r="E2521" t="s">
        <v>22</v>
      </c>
      <c r="F2521" s="2">
        <v>12252</v>
      </c>
      <c r="G2521" s="2">
        <f>Monthly_Growth!$C$24</f>
        <v>839001</v>
      </c>
      <c r="H2521" s="5">
        <f>Monthly_Growth!$D$24</f>
        <v>0.13075958920725625</v>
      </c>
      <c r="I2521" s="15">
        <f>Yearly_Growth!$C$3</f>
        <v>0.11893113731787852</v>
      </c>
      <c r="J2521" s="15">
        <f>Yearly_Growth!$D$3</f>
        <v>0.09</v>
      </c>
      <c r="K2521">
        <f>Sales_Per_Representative!$C$23</f>
        <v>697444</v>
      </c>
      <c r="L2521">
        <f>Sales_Per_Rep_Yearly_Goal!$B$3</f>
        <v>689907.8</v>
      </c>
      <c r="M2521">
        <f>Sales_Per_Rep_Yearly_Goal!$C$3</f>
        <v>690000</v>
      </c>
    </row>
    <row r="2522" spans="1:13" x14ac:dyDescent="0.3">
      <c r="A2522" s="3">
        <v>45598</v>
      </c>
      <c r="B2522">
        <f t="shared" si="39"/>
        <v>2024</v>
      </c>
      <c r="C2522">
        <v>11</v>
      </c>
      <c r="D2522" t="s">
        <v>23</v>
      </c>
      <c r="E2522" t="s">
        <v>33</v>
      </c>
      <c r="F2522" s="2">
        <v>6931</v>
      </c>
      <c r="G2522" s="2">
        <f>Monthly_Growth!$C$24</f>
        <v>839001</v>
      </c>
      <c r="H2522" s="5">
        <f>Monthly_Growth!$D$24</f>
        <v>0.13075958920725625</v>
      </c>
      <c r="I2522" s="15">
        <f>Yearly_Growth!$C$3</f>
        <v>0.11893113731787852</v>
      </c>
      <c r="J2522" s="15">
        <f>Yearly_Growth!$D$3</f>
        <v>0.09</v>
      </c>
      <c r="K2522">
        <f>Sales_Per_Representative!$C$26</f>
        <v>501360</v>
      </c>
      <c r="L2522">
        <f>Sales_Per_Rep_Yearly_Goal!$B$3</f>
        <v>689907.8</v>
      </c>
      <c r="M2522">
        <f>Sales_Per_Rep_Yearly_Goal!$C$3</f>
        <v>690000</v>
      </c>
    </row>
    <row r="2523" spans="1:13" x14ac:dyDescent="0.3">
      <c r="A2523" s="3">
        <v>45598</v>
      </c>
      <c r="B2523">
        <f t="shared" si="39"/>
        <v>2024</v>
      </c>
      <c r="C2523">
        <v>11</v>
      </c>
      <c r="D2523" t="s">
        <v>25</v>
      </c>
      <c r="E2523" t="s">
        <v>31</v>
      </c>
      <c r="F2523" s="2">
        <v>2033</v>
      </c>
      <c r="G2523" s="2">
        <f>Monthly_Growth!$C$24</f>
        <v>839001</v>
      </c>
      <c r="H2523" s="5">
        <f>Monthly_Growth!$D$24</f>
        <v>0.13075958920725625</v>
      </c>
      <c r="I2523" s="15">
        <f>Yearly_Growth!$C$3</f>
        <v>0.11893113731787852</v>
      </c>
      <c r="J2523" s="15">
        <f>Yearly_Growth!$D$3</f>
        <v>0.09</v>
      </c>
      <c r="K2523">
        <f>Sales_Per_Representative!$C$21</f>
        <v>679421</v>
      </c>
      <c r="L2523">
        <f>Sales_Per_Rep_Yearly_Goal!$B$3</f>
        <v>689907.8</v>
      </c>
      <c r="M2523">
        <f>Sales_Per_Rep_Yearly_Goal!$C$3</f>
        <v>690000</v>
      </c>
    </row>
    <row r="2524" spans="1:13" x14ac:dyDescent="0.3">
      <c r="A2524" s="3">
        <v>45598</v>
      </c>
      <c r="B2524">
        <f t="shared" si="39"/>
        <v>2024</v>
      </c>
      <c r="C2524">
        <v>11</v>
      </c>
      <c r="D2524" t="s">
        <v>7</v>
      </c>
      <c r="E2524" t="s">
        <v>33</v>
      </c>
      <c r="F2524" s="2">
        <v>1423</v>
      </c>
      <c r="G2524" s="2">
        <f>Monthly_Growth!$C$24</f>
        <v>839001</v>
      </c>
      <c r="H2524" s="5">
        <f>Monthly_Growth!$D$24</f>
        <v>0.13075958920725625</v>
      </c>
      <c r="I2524" s="15">
        <f>Yearly_Growth!$C$3</f>
        <v>0.11893113731787852</v>
      </c>
      <c r="J2524" s="15">
        <f>Yearly_Growth!$D$3</f>
        <v>0.09</v>
      </c>
      <c r="K2524">
        <f>Sales_Per_Representative!$C$26</f>
        <v>501360</v>
      </c>
      <c r="L2524">
        <f>Sales_Per_Rep_Yearly_Goal!$B$3</f>
        <v>689907.8</v>
      </c>
      <c r="M2524">
        <f>Sales_Per_Rep_Yearly_Goal!$C$3</f>
        <v>690000</v>
      </c>
    </row>
    <row r="2525" spans="1:13" x14ac:dyDescent="0.3">
      <c r="A2525" s="3">
        <v>45598</v>
      </c>
      <c r="B2525">
        <f t="shared" si="39"/>
        <v>2024</v>
      </c>
      <c r="C2525">
        <v>11</v>
      </c>
      <c r="D2525" t="s">
        <v>7</v>
      </c>
      <c r="E2525" t="s">
        <v>10</v>
      </c>
      <c r="F2525" s="2">
        <v>1216</v>
      </c>
      <c r="G2525" s="2">
        <f>Monthly_Growth!$C$24</f>
        <v>839001</v>
      </c>
      <c r="H2525" s="5">
        <f>Monthly_Growth!$D$24</f>
        <v>0.13075958920725625</v>
      </c>
      <c r="I2525" s="15">
        <f>Yearly_Growth!$C$3</f>
        <v>0.11893113731787852</v>
      </c>
      <c r="J2525" s="15">
        <f>Yearly_Growth!$D$3</f>
        <v>0.09</v>
      </c>
      <c r="K2525">
        <f>Sales_Per_Representative!$C$19</f>
        <v>711816</v>
      </c>
      <c r="L2525">
        <f>Sales_Per_Rep_Yearly_Goal!$B$3</f>
        <v>689907.8</v>
      </c>
      <c r="M2525">
        <f>Sales_Per_Rep_Yearly_Goal!$C$3</f>
        <v>690000</v>
      </c>
    </row>
    <row r="2526" spans="1:13" x14ac:dyDescent="0.3">
      <c r="A2526" s="3">
        <v>45599</v>
      </c>
      <c r="B2526">
        <f t="shared" si="39"/>
        <v>2024</v>
      </c>
      <c r="C2526">
        <v>11</v>
      </c>
      <c r="D2526" t="s">
        <v>23</v>
      </c>
      <c r="E2526" t="s">
        <v>22</v>
      </c>
      <c r="F2526" s="2">
        <v>12274</v>
      </c>
      <c r="G2526" s="2">
        <f>Monthly_Growth!$C$24</f>
        <v>839001</v>
      </c>
      <c r="H2526" s="5">
        <f>Monthly_Growth!$D$24</f>
        <v>0.13075958920725625</v>
      </c>
      <c r="I2526" s="15">
        <f>Yearly_Growth!$C$3</f>
        <v>0.11893113731787852</v>
      </c>
      <c r="J2526" s="15">
        <f>Yearly_Growth!$D$3</f>
        <v>0.09</v>
      </c>
      <c r="K2526">
        <f>Sales_Per_Representative!$C$23</f>
        <v>697444</v>
      </c>
      <c r="L2526">
        <f>Sales_Per_Rep_Yearly_Goal!$B$3</f>
        <v>689907.8</v>
      </c>
      <c r="M2526">
        <f>Sales_Per_Rep_Yearly_Goal!$C$3</f>
        <v>690000</v>
      </c>
    </row>
    <row r="2527" spans="1:13" x14ac:dyDescent="0.3">
      <c r="A2527" s="3">
        <v>45599</v>
      </c>
      <c r="B2527">
        <f t="shared" si="39"/>
        <v>2024</v>
      </c>
      <c r="C2527">
        <v>11</v>
      </c>
      <c r="D2527" t="s">
        <v>25</v>
      </c>
      <c r="E2527" t="s">
        <v>27</v>
      </c>
      <c r="F2527" s="2">
        <v>6354</v>
      </c>
      <c r="G2527" s="2">
        <f>Monthly_Growth!$C$24</f>
        <v>839001</v>
      </c>
      <c r="H2527" s="5">
        <f>Monthly_Growth!$D$24</f>
        <v>0.13075958920725625</v>
      </c>
      <c r="I2527" s="15">
        <f>Yearly_Growth!$C$3</f>
        <v>0.11893113731787852</v>
      </c>
      <c r="J2527" s="15">
        <f>Yearly_Growth!$D$3</f>
        <v>0.09</v>
      </c>
      <c r="K2527">
        <f>Sales_Per_Representative!$C$20</f>
        <v>685380</v>
      </c>
      <c r="L2527">
        <f>Sales_Per_Rep_Yearly_Goal!$B$3</f>
        <v>689907.8</v>
      </c>
      <c r="M2527">
        <f>Sales_Per_Rep_Yearly_Goal!$C$3</f>
        <v>690000</v>
      </c>
    </row>
    <row r="2528" spans="1:13" x14ac:dyDescent="0.3">
      <c r="A2528" s="3">
        <v>45599</v>
      </c>
      <c r="B2528">
        <f t="shared" si="39"/>
        <v>2024</v>
      </c>
      <c r="C2528">
        <v>11</v>
      </c>
      <c r="D2528" t="s">
        <v>7</v>
      </c>
      <c r="E2528" t="s">
        <v>30</v>
      </c>
      <c r="F2528" s="2">
        <v>6483</v>
      </c>
      <c r="G2528" s="2">
        <f>Monthly_Growth!$C$24</f>
        <v>839001</v>
      </c>
      <c r="H2528" s="5">
        <f>Monthly_Growth!$D$24</f>
        <v>0.13075958920725625</v>
      </c>
      <c r="I2528" s="15">
        <f>Yearly_Growth!$C$3</f>
        <v>0.11893113731787852</v>
      </c>
      <c r="J2528" s="15">
        <f>Yearly_Growth!$D$3</f>
        <v>0.09</v>
      </c>
      <c r="K2528">
        <f>Sales_Per_Representative!$C$22</f>
        <v>700142</v>
      </c>
      <c r="L2528">
        <f>Sales_Per_Rep_Yearly_Goal!$B$3</f>
        <v>689907.8</v>
      </c>
      <c r="M2528">
        <f>Sales_Per_Rep_Yearly_Goal!$C$3</f>
        <v>690000</v>
      </c>
    </row>
    <row r="2529" spans="1:13" x14ac:dyDescent="0.3">
      <c r="A2529" s="3">
        <v>45599</v>
      </c>
      <c r="B2529">
        <f t="shared" si="39"/>
        <v>2024</v>
      </c>
      <c r="C2529">
        <v>11</v>
      </c>
      <c r="D2529" t="s">
        <v>12</v>
      </c>
      <c r="E2529" t="s">
        <v>24</v>
      </c>
      <c r="F2529" s="2">
        <v>6692</v>
      </c>
      <c r="G2529" s="2">
        <f>Monthly_Growth!$C$24</f>
        <v>839001</v>
      </c>
      <c r="H2529" s="5">
        <f>Monthly_Growth!$D$24</f>
        <v>0.13075958920725625</v>
      </c>
      <c r="I2529" s="15">
        <f>Yearly_Growth!$C$3</f>
        <v>0.11893113731787852</v>
      </c>
      <c r="J2529" s="15">
        <f>Yearly_Growth!$D$3</f>
        <v>0.09</v>
      </c>
      <c r="K2529">
        <f>Sales_Per_Representative!$C$17</f>
        <v>633956</v>
      </c>
      <c r="L2529">
        <f>Sales_Per_Rep_Yearly_Goal!$B$3</f>
        <v>689907.8</v>
      </c>
      <c r="M2529">
        <f>Sales_Per_Rep_Yearly_Goal!$C$3</f>
        <v>690000</v>
      </c>
    </row>
    <row r="2530" spans="1:13" x14ac:dyDescent="0.3">
      <c r="A2530" s="3">
        <v>45600</v>
      </c>
      <c r="B2530">
        <f t="shared" si="39"/>
        <v>2024</v>
      </c>
      <c r="C2530">
        <v>11</v>
      </c>
      <c r="D2530" t="s">
        <v>14</v>
      </c>
      <c r="E2530" t="s">
        <v>26</v>
      </c>
      <c r="F2530" s="2">
        <v>12761</v>
      </c>
      <c r="G2530" s="2">
        <f>Monthly_Growth!$C$24</f>
        <v>839001</v>
      </c>
      <c r="H2530" s="5">
        <f>Monthly_Growth!$D$24</f>
        <v>0.13075958920725625</v>
      </c>
      <c r="I2530" s="15">
        <f>Yearly_Growth!$C$3</f>
        <v>0.11893113731787852</v>
      </c>
      <c r="J2530" s="15">
        <f>Yearly_Growth!$D$3</f>
        <v>0.09</v>
      </c>
      <c r="K2530">
        <f>Sales_Per_Representative!$C$31</f>
        <v>664244</v>
      </c>
      <c r="L2530">
        <f>Sales_Per_Rep_Yearly_Goal!$B$3</f>
        <v>689907.8</v>
      </c>
      <c r="M2530">
        <f>Sales_Per_Rep_Yearly_Goal!$C$3</f>
        <v>690000</v>
      </c>
    </row>
    <row r="2531" spans="1:13" x14ac:dyDescent="0.3">
      <c r="A2531" s="3">
        <v>45600</v>
      </c>
      <c r="B2531">
        <f t="shared" si="39"/>
        <v>2024</v>
      </c>
      <c r="C2531">
        <v>11</v>
      </c>
      <c r="D2531" t="s">
        <v>14</v>
      </c>
      <c r="E2531" t="s">
        <v>29</v>
      </c>
      <c r="F2531" s="2">
        <v>7486</v>
      </c>
      <c r="G2531" s="2">
        <f>Monthly_Growth!$C$24</f>
        <v>839001</v>
      </c>
      <c r="H2531" s="5">
        <f>Monthly_Growth!$D$24</f>
        <v>0.13075958920725625</v>
      </c>
      <c r="I2531" s="15">
        <f>Yearly_Growth!$C$3</f>
        <v>0.11893113731787852</v>
      </c>
      <c r="J2531" s="15">
        <f>Yearly_Growth!$D$3</f>
        <v>0.09</v>
      </c>
      <c r="K2531">
        <f>Sales_Per_Representative!$C$28</f>
        <v>691917</v>
      </c>
      <c r="L2531">
        <f>Sales_Per_Rep_Yearly_Goal!$B$3</f>
        <v>689907.8</v>
      </c>
      <c r="M2531">
        <f>Sales_Per_Rep_Yearly_Goal!$C$3</f>
        <v>690000</v>
      </c>
    </row>
    <row r="2532" spans="1:13" x14ac:dyDescent="0.3">
      <c r="A2532" s="3">
        <v>45600</v>
      </c>
      <c r="B2532">
        <f t="shared" si="39"/>
        <v>2024</v>
      </c>
      <c r="C2532">
        <v>11</v>
      </c>
      <c r="D2532" t="s">
        <v>23</v>
      </c>
      <c r="E2532" t="s">
        <v>33</v>
      </c>
      <c r="F2532" s="2">
        <v>11502</v>
      </c>
      <c r="G2532" s="2">
        <f>Monthly_Growth!$C$24</f>
        <v>839001</v>
      </c>
      <c r="H2532" s="5">
        <f>Monthly_Growth!$D$24</f>
        <v>0.13075958920725625</v>
      </c>
      <c r="I2532" s="15">
        <f>Yearly_Growth!$C$3</f>
        <v>0.11893113731787852</v>
      </c>
      <c r="J2532" s="15">
        <f>Yearly_Growth!$D$3</f>
        <v>0.09</v>
      </c>
      <c r="K2532">
        <f>Sales_Per_Representative!$C$26</f>
        <v>501360</v>
      </c>
      <c r="L2532">
        <f>Sales_Per_Rep_Yearly_Goal!$B$3</f>
        <v>689907.8</v>
      </c>
      <c r="M2532">
        <f>Sales_Per_Rep_Yearly_Goal!$C$3</f>
        <v>690000</v>
      </c>
    </row>
    <row r="2533" spans="1:13" x14ac:dyDescent="0.3">
      <c r="A2533" s="3">
        <v>45600</v>
      </c>
      <c r="B2533">
        <f t="shared" si="39"/>
        <v>2024</v>
      </c>
      <c r="C2533">
        <v>11</v>
      </c>
      <c r="D2533" t="s">
        <v>25</v>
      </c>
      <c r="E2533" t="s">
        <v>31</v>
      </c>
      <c r="F2533" s="2">
        <v>3101</v>
      </c>
      <c r="G2533" s="2">
        <f>Monthly_Growth!$C$24</f>
        <v>839001</v>
      </c>
      <c r="H2533" s="5">
        <f>Monthly_Growth!$D$24</f>
        <v>0.13075958920725625</v>
      </c>
      <c r="I2533" s="15">
        <f>Yearly_Growth!$C$3</f>
        <v>0.11893113731787852</v>
      </c>
      <c r="J2533" s="15">
        <f>Yearly_Growth!$D$3</f>
        <v>0.09</v>
      </c>
      <c r="K2533">
        <f>Sales_Per_Representative!$C$21</f>
        <v>679421</v>
      </c>
      <c r="L2533">
        <f>Sales_Per_Rep_Yearly_Goal!$B$3</f>
        <v>689907.8</v>
      </c>
      <c r="M2533">
        <f>Sales_Per_Rep_Yearly_Goal!$C$3</f>
        <v>690000</v>
      </c>
    </row>
    <row r="2534" spans="1:13" x14ac:dyDescent="0.3">
      <c r="A2534" s="3">
        <v>45600</v>
      </c>
      <c r="B2534">
        <f t="shared" si="39"/>
        <v>2024</v>
      </c>
      <c r="C2534">
        <v>11</v>
      </c>
      <c r="D2534" t="s">
        <v>17</v>
      </c>
      <c r="E2534" t="s">
        <v>32</v>
      </c>
      <c r="F2534" s="2">
        <v>7704</v>
      </c>
      <c r="G2534" s="2">
        <f>Monthly_Growth!$C$24</f>
        <v>839001</v>
      </c>
      <c r="H2534" s="5">
        <f>Monthly_Growth!$D$24</f>
        <v>0.13075958920725625</v>
      </c>
      <c r="I2534" s="15">
        <f>Yearly_Growth!$C$3</f>
        <v>0.11893113731787852</v>
      </c>
      <c r="J2534" s="15">
        <f>Yearly_Growth!$D$3</f>
        <v>0.09</v>
      </c>
      <c r="K2534">
        <f>Sales_Per_Representative!$C$18</f>
        <v>783907</v>
      </c>
      <c r="L2534">
        <f>Sales_Per_Rep_Yearly_Goal!$B$3</f>
        <v>689907.8</v>
      </c>
      <c r="M2534">
        <f>Sales_Per_Rep_Yearly_Goal!$C$3</f>
        <v>690000</v>
      </c>
    </row>
    <row r="2535" spans="1:13" x14ac:dyDescent="0.3">
      <c r="A2535" s="3">
        <v>45601</v>
      </c>
      <c r="B2535">
        <f t="shared" si="39"/>
        <v>2024</v>
      </c>
      <c r="C2535">
        <v>11</v>
      </c>
      <c r="D2535" t="s">
        <v>14</v>
      </c>
      <c r="E2535" t="s">
        <v>27</v>
      </c>
      <c r="F2535" s="2">
        <v>10374</v>
      </c>
      <c r="G2535" s="2">
        <f>Monthly_Growth!$C$24</f>
        <v>839001</v>
      </c>
      <c r="H2535" s="5">
        <f>Monthly_Growth!$D$24</f>
        <v>0.13075958920725625</v>
      </c>
      <c r="I2535" s="15">
        <f>Yearly_Growth!$C$3</f>
        <v>0.11893113731787852</v>
      </c>
      <c r="J2535" s="15">
        <f>Yearly_Growth!$D$3</f>
        <v>0.09</v>
      </c>
      <c r="K2535">
        <f>Sales_Per_Representative!$C$20</f>
        <v>685380</v>
      </c>
      <c r="L2535">
        <f>Sales_Per_Rep_Yearly_Goal!$B$3</f>
        <v>689907.8</v>
      </c>
      <c r="M2535">
        <f>Sales_Per_Rep_Yearly_Goal!$C$3</f>
        <v>690000</v>
      </c>
    </row>
    <row r="2536" spans="1:13" x14ac:dyDescent="0.3">
      <c r="A2536" s="3">
        <v>45601</v>
      </c>
      <c r="B2536">
        <f t="shared" si="39"/>
        <v>2024</v>
      </c>
      <c r="C2536">
        <v>11</v>
      </c>
      <c r="D2536" t="s">
        <v>25</v>
      </c>
      <c r="E2536" t="s">
        <v>31</v>
      </c>
      <c r="F2536" s="2">
        <v>9397</v>
      </c>
      <c r="G2536" s="2">
        <f>Monthly_Growth!$C$24</f>
        <v>839001</v>
      </c>
      <c r="H2536" s="5">
        <f>Monthly_Growth!$D$24</f>
        <v>0.13075958920725625</v>
      </c>
      <c r="I2536" s="15">
        <f>Yearly_Growth!$C$3</f>
        <v>0.11893113731787852</v>
      </c>
      <c r="J2536" s="15">
        <f>Yearly_Growth!$D$3</f>
        <v>0.09</v>
      </c>
      <c r="K2536">
        <f>Sales_Per_Representative!$C$21</f>
        <v>679421</v>
      </c>
      <c r="L2536">
        <f>Sales_Per_Rep_Yearly_Goal!$B$3</f>
        <v>689907.8</v>
      </c>
      <c r="M2536">
        <f>Sales_Per_Rep_Yearly_Goal!$C$3</f>
        <v>690000</v>
      </c>
    </row>
    <row r="2537" spans="1:13" x14ac:dyDescent="0.3">
      <c r="A2537" s="3">
        <v>45601</v>
      </c>
      <c r="B2537">
        <f t="shared" si="39"/>
        <v>2024</v>
      </c>
      <c r="C2537">
        <v>11</v>
      </c>
      <c r="D2537" t="s">
        <v>7</v>
      </c>
      <c r="E2537" t="s">
        <v>24</v>
      </c>
      <c r="F2537" s="2">
        <v>8154</v>
      </c>
      <c r="G2537" s="2">
        <f>Monthly_Growth!$C$24</f>
        <v>839001</v>
      </c>
      <c r="H2537" s="5">
        <f>Monthly_Growth!$D$24</f>
        <v>0.13075958920725625</v>
      </c>
      <c r="I2537" s="15">
        <f>Yearly_Growth!$C$3</f>
        <v>0.11893113731787852</v>
      </c>
      <c r="J2537" s="15">
        <f>Yearly_Growth!$D$3</f>
        <v>0.09</v>
      </c>
      <c r="K2537">
        <f>Sales_Per_Representative!$C$17</f>
        <v>633956</v>
      </c>
      <c r="L2537">
        <f>Sales_Per_Rep_Yearly_Goal!$B$3</f>
        <v>689907.8</v>
      </c>
      <c r="M2537">
        <f>Sales_Per_Rep_Yearly_Goal!$C$3</f>
        <v>690000</v>
      </c>
    </row>
    <row r="2538" spans="1:13" x14ac:dyDescent="0.3">
      <c r="A2538" s="3">
        <v>45601</v>
      </c>
      <c r="B2538">
        <f t="shared" si="39"/>
        <v>2024</v>
      </c>
      <c r="C2538">
        <v>11</v>
      </c>
      <c r="D2538" t="s">
        <v>17</v>
      </c>
      <c r="E2538" t="s">
        <v>33</v>
      </c>
      <c r="F2538" s="2">
        <v>4576</v>
      </c>
      <c r="G2538" s="2">
        <f>Monthly_Growth!$C$24</f>
        <v>839001</v>
      </c>
      <c r="H2538" s="5">
        <f>Monthly_Growth!$D$24</f>
        <v>0.13075958920725625</v>
      </c>
      <c r="I2538" s="15">
        <f>Yearly_Growth!$C$3</f>
        <v>0.11893113731787852</v>
      </c>
      <c r="J2538" s="15">
        <f>Yearly_Growth!$D$3</f>
        <v>0.09</v>
      </c>
      <c r="K2538">
        <f>Sales_Per_Representative!$C$26</f>
        <v>501360</v>
      </c>
      <c r="L2538">
        <f>Sales_Per_Rep_Yearly_Goal!$B$3</f>
        <v>689907.8</v>
      </c>
      <c r="M2538">
        <f>Sales_Per_Rep_Yearly_Goal!$C$3</f>
        <v>690000</v>
      </c>
    </row>
    <row r="2539" spans="1:13" x14ac:dyDescent="0.3">
      <c r="A2539" s="3">
        <v>45602</v>
      </c>
      <c r="B2539">
        <f t="shared" si="39"/>
        <v>2024</v>
      </c>
      <c r="C2539">
        <v>11</v>
      </c>
      <c r="D2539" t="s">
        <v>19</v>
      </c>
      <c r="E2539" t="s">
        <v>24</v>
      </c>
      <c r="F2539" s="2">
        <v>7181</v>
      </c>
      <c r="G2539" s="2">
        <f>Monthly_Growth!$C$24</f>
        <v>839001</v>
      </c>
      <c r="H2539" s="5">
        <f>Monthly_Growth!$D$24</f>
        <v>0.13075958920725625</v>
      </c>
      <c r="I2539" s="15">
        <f>Yearly_Growth!$C$3</f>
        <v>0.11893113731787852</v>
      </c>
      <c r="J2539" s="15">
        <f>Yearly_Growth!$D$3</f>
        <v>0.09</v>
      </c>
      <c r="K2539">
        <f>Sales_Per_Representative!$C$17</f>
        <v>633956</v>
      </c>
      <c r="L2539">
        <f>Sales_Per_Rep_Yearly_Goal!$B$3</f>
        <v>689907.8</v>
      </c>
      <c r="M2539">
        <f>Sales_Per_Rep_Yearly_Goal!$C$3</f>
        <v>690000</v>
      </c>
    </row>
    <row r="2540" spans="1:13" x14ac:dyDescent="0.3">
      <c r="A2540" s="3">
        <v>45602</v>
      </c>
      <c r="B2540">
        <f t="shared" si="39"/>
        <v>2024</v>
      </c>
      <c r="C2540">
        <v>11</v>
      </c>
      <c r="D2540" t="s">
        <v>25</v>
      </c>
      <c r="E2540" t="s">
        <v>5</v>
      </c>
      <c r="F2540" s="2">
        <v>6196</v>
      </c>
      <c r="G2540" s="2">
        <f>Monthly_Growth!$C$24</f>
        <v>839001</v>
      </c>
      <c r="H2540" s="5">
        <f>Monthly_Growth!$D$24</f>
        <v>0.13075958920725625</v>
      </c>
      <c r="I2540" s="15">
        <f>Yearly_Growth!$C$3</f>
        <v>0.11893113731787852</v>
      </c>
      <c r="J2540" s="15">
        <f>Yearly_Growth!$D$3</f>
        <v>0.09</v>
      </c>
      <c r="K2540">
        <f>Sales_Per_Representative!$C$25</f>
        <v>749460</v>
      </c>
      <c r="L2540">
        <f>Sales_Per_Rep_Yearly_Goal!$B$3</f>
        <v>689907.8</v>
      </c>
      <c r="M2540">
        <f>Sales_Per_Rep_Yearly_Goal!$C$3</f>
        <v>690000</v>
      </c>
    </row>
    <row r="2541" spans="1:13" x14ac:dyDescent="0.3">
      <c r="A2541" s="3">
        <v>45602</v>
      </c>
      <c r="B2541">
        <f t="shared" si="39"/>
        <v>2024</v>
      </c>
      <c r="C2541">
        <v>11</v>
      </c>
      <c r="D2541" t="s">
        <v>12</v>
      </c>
      <c r="E2541" t="s">
        <v>33</v>
      </c>
      <c r="F2541" s="2">
        <v>4658</v>
      </c>
      <c r="G2541" s="2">
        <f>Monthly_Growth!$C$24</f>
        <v>839001</v>
      </c>
      <c r="H2541" s="5">
        <f>Monthly_Growth!$D$24</f>
        <v>0.13075958920725625</v>
      </c>
      <c r="I2541" s="15">
        <f>Yearly_Growth!$C$3</f>
        <v>0.11893113731787852</v>
      </c>
      <c r="J2541" s="15">
        <f>Yearly_Growth!$D$3</f>
        <v>0.09</v>
      </c>
      <c r="K2541">
        <f>Sales_Per_Representative!$C$26</f>
        <v>501360</v>
      </c>
      <c r="L2541">
        <f>Sales_Per_Rep_Yearly_Goal!$B$3</f>
        <v>689907.8</v>
      </c>
      <c r="M2541">
        <f>Sales_Per_Rep_Yearly_Goal!$C$3</f>
        <v>690000</v>
      </c>
    </row>
    <row r="2542" spans="1:13" x14ac:dyDescent="0.3">
      <c r="A2542" s="3">
        <v>45603</v>
      </c>
      <c r="B2542">
        <f t="shared" si="39"/>
        <v>2024</v>
      </c>
      <c r="C2542">
        <v>11</v>
      </c>
      <c r="D2542" t="s">
        <v>23</v>
      </c>
      <c r="E2542" t="s">
        <v>10</v>
      </c>
      <c r="F2542" s="2">
        <v>2410</v>
      </c>
      <c r="G2542" s="2">
        <f>Monthly_Growth!$C$24</f>
        <v>839001</v>
      </c>
      <c r="H2542" s="5">
        <f>Monthly_Growth!$D$24</f>
        <v>0.13075958920725625</v>
      </c>
      <c r="I2542" s="15">
        <f>Yearly_Growth!$C$3</f>
        <v>0.11893113731787852</v>
      </c>
      <c r="J2542" s="15">
        <f>Yearly_Growth!$D$3</f>
        <v>0.09</v>
      </c>
      <c r="K2542">
        <f>Sales_Per_Representative!$C$19</f>
        <v>711816</v>
      </c>
      <c r="L2542">
        <f>Sales_Per_Rep_Yearly_Goal!$B$3</f>
        <v>689907.8</v>
      </c>
      <c r="M2542">
        <f>Sales_Per_Rep_Yearly_Goal!$C$3</f>
        <v>690000</v>
      </c>
    </row>
    <row r="2543" spans="1:13" x14ac:dyDescent="0.3">
      <c r="A2543" s="3">
        <v>45603</v>
      </c>
      <c r="B2543">
        <f t="shared" si="39"/>
        <v>2024</v>
      </c>
      <c r="C2543">
        <v>11</v>
      </c>
      <c r="D2543" t="s">
        <v>25</v>
      </c>
      <c r="E2543" t="s">
        <v>22</v>
      </c>
      <c r="F2543" s="2">
        <v>4711</v>
      </c>
      <c r="G2543" s="2">
        <f>Monthly_Growth!$C$24</f>
        <v>839001</v>
      </c>
      <c r="H2543" s="5">
        <f>Monthly_Growth!$D$24</f>
        <v>0.13075958920725625</v>
      </c>
      <c r="I2543" s="15">
        <f>Yearly_Growth!$C$3</f>
        <v>0.11893113731787852</v>
      </c>
      <c r="J2543" s="15">
        <f>Yearly_Growth!$D$3</f>
        <v>0.09</v>
      </c>
      <c r="K2543">
        <f>Sales_Per_Representative!$C$23</f>
        <v>697444</v>
      </c>
      <c r="L2543">
        <f>Sales_Per_Rep_Yearly_Goal!$B$3</f>
        <v>689907.8</v>
      </c>
      <c r="M2543">
        <f>Sales_Per_Rep_Yearly_Goal!$C$3</f>
        <v>690000</v>
      </c>
    </row>
    <row r="2544" spans="1:13" x14ac:dyDescent="0.3">
      <c r="A2544" s="3">
        <v>45603</v>
      </c>
      <c r="B2544">
        <f t="shared" si="39"/>
        <v>2024</v>
      </c>
      <c r="C2544">
        <v>11</v>
      </c>
      <c r="D2544" t="s">
        <v>7</v>
      </c>
      <c r="E2544" t="s">
        <v>10</v>
      </c>
      <c r="F2544" s="2">
        <v>10340</v>
      </c>
      <c r="G2544" s="2">
        <f>Monthly_Growth!$C$24</f>
        <v>839001</v>
      </c>
      <c r="H2544" s="5">
        <f>Monthly_Growth!$D$24</f>
        <v>0.13075958920725625</v>
      </c>
      <c r="I2544" s="15">
        <f>Yearly_Growth!$C$3</f>
        <v>0.11893113731787852</v>
      </c>
      <c r="J2544" s="15">
        <f>Yearly_Growth!$D$3</f>
        <v>0.09</v>
      </c>
      <c r="K2544">
        <f>Sales_Per_Representative!$C$19</f>
        <v>711816</v>
      </c>
      <c r="L2544">
        <f>Sales_Per_Rep_Yearly_Goal!$B$3</f>
        <v>689907.8</v>
      </c>
      <c r="M2544">
        <f>Sales_Per_Rep_Yearly_Goal!$C$3</f>
        <v>690000</v>
      </c>
    </row>
    <row r="2545" spans="1:13" x14ac:dyDescent="0.3">
      <c r="A2545" s="3">
        <v>45603</v>
      </c>
      <c r="B2545">
        <f t="shared" si="39"/>
        <v>2024</v>
      </c>
      <c r="C2545">
        <v>11</v>
      </c>
      <c r="D2545" t="s">
        <v>17</v>
      </c>
      <c r="E2545" t="s">
        <v>24</v>
      </c>
      <c r="F2545" s="2">
        <v>11792</v>
      </c>
      <c r="G2545" s="2">
        <f>Monthly_Growth!$C$24</f>
        <v>839001</v>
      </c>
      <c r="H2545" s="5">
        <f>Monthly_Growth!$D$24</f>
        <v>0.13075958920725625</v>
      </c>
      <c r="I2545" s="15">
        <f>Yearly_Growth!$C$3</f>
        <v>0.11893113731787852</v>
      </c>
      <c r="J2545" s="15">
        <f>Yearly_Growth!$D$3</f>
        <v>0.09</v>
      </c>
      <c r="K2545">
        <f>Sales_Per_Representative!$C$17</f>
        <v>633956</v>
      </c>
      <c r="L2545">
        <f>Sales_Per_Rep_Yearly_Goal!$B$3</f>
        <v>689907.8</v>
      </c>
      <c r="M2545">
        <f>Sales_Per_Rep_Yearly_Goal!$C$3</f>
        <v>690000</v>
      </c>
    </row>
    <row r="2546" spans="1:13" x14ac:dyDescent="0.3">
      <c r="A2546" s="3">
        <v>45603</v>
      </c>
      <c r="B2546">
        <f t="shared" si="39"/>
        <v>2024</v>
      </c>
      <c r="C2546">
        <v>11</v>
      </c>
      <c r="D2546" t="s">
        <v>17</v>
      </c>
      <c r="E2546" t="s">
        <v>5</v>
      </c>
      <c r="F2546" s="2">
        <v>3253</v>
      </c>
      <c r="G2546" s="2">
        <f>Monthly_Growth!$C$24</f>
        <v>839001</v>
      </c>
      <c r="H2546" s="5">
        <f>Monthly_Growth!$D$24</f>
        <v>0.13075958920725625</v>
      </c>
      <c r="I2546" s="15">
        <f>Yearly_Growth!$C$3</f>
        <v>0.11893113731787852</v>
      </c>
      <c r="J2546" s="15">
        <f>Yearly_Growth!$D$3</f>
        <v>0.09</v>
      </c>
      <c r="K2546">
        <f>Sales_Per_Representative!$C$25</f>
        <v>749460</v>
      </c>
      <c r="L2546">
        <f>Sales_Per_Rep_Yearly_Goal!$B$3</f>
        <v>689907.8</v>
      </c>
      <c r="M2546">
        <f>Sales_Per_Rep_Yearly_Goal!$C$3</f>
        <v>690000</v>
      </c>
    </row>
    <row r="2547" spans="1:13" x14ac:dyDescent="0.3">
      <c r="A2547" s="3">
        <v>45603</v>
      </c>
      <c r="B2547">
        <f t="shared" si="39"/>
        <v>2024</v>
      </c>
      <c r="C2547">
        <v>11</v>
      </c>
      <c r="D2547" t="s">
        <v>12</v>
      </c>
      <c r="E2547" t="s">
        <v>8</v>
      </c>
      <c r="F2547" s="2">
        <v>4032</v>
      </c>
      <c r="G2547" s="2">
        <f>Monthly_Growth!$C$24</f>
        <v>839001</v>
      </c>
      <c r="H2547" s="5">
        <f>Monthly_Growth!$D$24</f>
        <v>0.13075958920725625</v>
      </c>
      <c r="I2547" s="15">
        <f>Yearly_Growth!$C$3</f>
        <v>0.11893113731787852</v>
      </c>
      <c r="J2547" s="15">
        <f>Yearly_Growth!$D$3</f>
        <v>0.09</v>
      </c>
      <c r="K2547">
        <f>Sales_Per_Representative!$C$30</f>
        <v>780006</v>
      </c>
      <c r="L2547">
        <f>Sales_Per_Rep_Yearly_Goal!$B$3</f>
        <v>689907.8</v>
      </c>
      <c r="M2547">
        <f>Sales_Per_Rep_Yearly_Goal!$C$3</f>
        <v>690000</v>
      </c>
    </row>
    <row r="2548" spans="1:13" x14ac:dyDescent="0.3">
      <c r="A2548" s="3">
        <v>45604</v>
      </c>
      <c r="B2548">
        <f t="shared" si="39"/>
        <v>2024</v>
      </c>
      <c r="C2548">
        <v>11</v>
      </c>
      <c r="D2548" t="s">
        <v>14</v>
      </c>
      <c r="E2548" t="s">
        <v>30</v>
      </c>
      <c r="F2548" s="2">
        <v>13815</v>
      </c>
      <c r="G2548" s="2">
        <f>Monthly_Growth!$C$24</f>
        <v>839001</v>
      </c>
      <c r="H2548" s="5">
        <f>Monthly_Growth!$D$24</f>
        <v>0.13075958920725625</v>
      </c>
      <c r="I2548" s="15">
        <f>Yearly_Growth!$C$3</f>
        <v>0.11893113731787852</v>
      </c>
      <c r="J2548" s="15">
        <f>Yearly_Growth!$D$3</f>
        <v>0.09</v>
      </c>
      <c r="K2548">
        <f>Sales_Per_Representative!$C$22</f>
        <v>700142</v>
      </c>
      <c r="L2548">
        <f>Sales_Per_Rep_Yearly_Goal!$B$3</f>
        <v>689907.8</v>
      </c>
      <c r="M2548">
        <f>Sales_Per_Rep_Yearly_Goal!$C$3</f>
        <v>690000</v>
      </c>
    </row>
    <row r="2549" spans="1:13" x14ac:dyDescent="0.3">
      <c r="A2549" s="3">
        <v>45604</v>
      </c>
      <c r="B2549">
        <f t="shared" si="39"/>
        <v>2024</v>
      </c>
      <c r="C2549">
        <v>11</v>
      </c>
      <c r="D2549" t="s">
        <v>14</v>
      </c>
      <c r="E2549" t="s">
        <v>27</v>
      </c>
      <c r="F2549" s="2">
        <v>13291</v>
      </c>
      <c r="G2549" s="2">
        <f>Monthly_Growth!$C$24</f>
        <v>839001</v>
      </c>
      <c r="H2549" s="5">
        <f>Monthly_Growth!$D$24</f>
        <v>0.13075958920725625</v>
      </c>
      <c r="I2549" s="15">
        <f>Yearly_Growth!$C$3</f>
        <v>0.11893113731787852</v>
      </c>
      <c r="J2549" s="15">
        <f>Yearly_Growth!$D$3</f>
        <v>0.09</v>
      </c>
      <c r="K2549">
        <f>Sales_Per_Representative!$C$20</f>
        <v>685380</v>
      </c>
      <c r="L2549">
        <f>Sales_Per_Rep_Yearly_Goal!$B$3</f>
        <v>689907.8</v>
      </c>
      <c r="M2549">
        <f>Sales_Per_Rep_Yearly_Goal!$C$3</f>
        <v>690000</v>
      </c>
    </row>
    <row r="2550" spans="1:13" x14ac:dyDescent="0.3">
      <c r="A2550" s="3">
        <v>45604</v>
      </c>
      <c r="B2550">
        <f t="shared" si="39"/>
        <v>2024</v>
      </c>
      <c r="C2550">
        <v>11</v>
      </c>
      <c r="D2550" t="s">
        <v>25</v>
      </c>
      <c r="E2550" t="s">
        <v>32</v>
      </c>
      <c r="F2550" s="2">
        <v>4219</v>
      </c>
      <c r="G2550" s="2">
        <f>Monthly_Growth!$C$24</f>
        <v>839001</v>
      </c>
      <c r="H2550" s="5">
        <f>Monthly_Growth!$D$24</f>
        <v>0.13075958920725625</v>
      </c>
      <c r="I2550" s="15">
        <f>Yearly_Growth!$C$3</f>
        <v>0.11893113731787852</v>
      </c>
      <c r="J2550" s="15">
        <f>Yearly_Growth!$D$3</f>
        <v>0.09</v>
      </c>
      <c r="K2550">
        <f>Sales_Per_Representative!$C$18</f>
        <v>783907</v>
      </c>
      <c r="L2550">
        <f>Sales_Per_Rep_Yearly_Goal!$B$3</f>
        <v>689907.8</v>
      </c>
      <c r="M2550">
        <f>Sales_Per_Rep_Yearly_Goal!$C$3</f>
        <v>690000</v>
      </c>
    </row>
    <row r="2551" spans="1:13" x14ac:dyDescent="0.3">
      <c r="A2551" s="3">
        <v>45604</v>
      </c>
      <c r="B2551">
        <f t="shared" si="39"/>
        <v>2024</v>
      </c>
      <c r="C2551">
        <v>11</v>
      </c>
      <c r="D2551" t="s">
        <v>28</v>
      </c>
      <c r="E2551" t="s">
        <v>32</v>
      </c>
      <c r="F2551" s="2">
        <v>9553</v>
      </c>
      <c r="G2551" s="2">
        <f>Monthly_Growth!$C$24</f>
        <v>839001</v>
      </c>
      <c r="H2551" s="5">
        <f>Monthly_Growth!$D$24</f>
        <v>0.13075958920725625</v>
      </c>
      <c r="I2551" s="15">
        <f>Yearly_Growth!$C$3</f>
        <v>0.11893113731787852</v>
      </c>
      <c r="J2551" s="15">
        <f>Yearly_Growth!$D$3</f>
        <v>0.09</v>
      </c>
      <c r="K2551">
        <f>Sales_Per_Representative!$C$18</f>
        <v>783907</v>
      </c>
      <c r="L2551">
        <f>Sales_Per_Rep_Yearly_Goal!$B$3</f>
        <v>689907.8</v>
      </c>
      <c r="M2551">
        <f>Sales_Per_Rep_Yearly_Goal!$C$3</f>
        <v>690000</v>
      </c>
    </row>
    <row r="2552" spans="1:13" x14ac:dyDescent="0.3">
      <c r="A2552" s="3">
        <v>45605</v>
      </c>
      <c r="B2552">
        <f t="shared" si="39"/>
        <v>2024</v>
      </c>
      <c r="C2552">
        <v>11</v>
      </c>
      <c r="D2552" t="s">
        <v>23</v>
      </c>
      <c r="E2552" t="s">
        <v>33</v>
      </c>
      <c r="F2552" s="2">
        <v>1730</v>
      </c>
      <c r="G2552" s="2">
        <f>Monthly_Growth!$C$24</f>
        <v>839001</v>
      </c>
      <c r="H2552" s="5">
        <f>Monthly_Growth!$D$24</f>
        <v>0.13075958920725625</v>
      </c>
      <c r="I2552" s="15">
        <f>Yearly_Growth!$C$3</f>
        <v>0.11893113731787852</v>
      </c>
      <c r="J2552" s="15">
        <f>Yearly_Growth!$D$3</f>
        <v>0.09</v>
      </c>
      <c r="K2552">
        <f>Sales_Per_Representative!$C$26</f>
        <v>501360</v>
      </c>
      <c r="L2552">
        <f>Sales_Per_Rep_Yearly_Goal!$B$3</f>
        <v>689907.8</v>
      </c>
      <c r="M2552">
        <f>Sales_Per_Rep_Yearly_Goal!$C$3</f>
        <v>690000</v>
      </c>
    </row>
    <row r="2553" spans="1:13" x14ac:dyDescent="0.3">
      <c r="A2553" s="3">
        <v>45605</v>
      </c>
      <c r="B2553">
        <f t="shared" si="39"/>
        <v>2024</v>
      </c>
      <c r="C2553">
        <v>11</v>
      </c>
      <c r="D2553" t="s">
        <v>12</v>
      </c>
      <c r="E2553" t="s">
        <v>32</v>
      </c>
      <c r="F2553" s="2">
        <v>4116</v>
      </c>
      <c r="G2553" s="2">
        <f>Monthly_Growth!$C$24</f>
        <v>839001</v>
      </c>
      <c r="H2553" s="5">
        <f>Monthly_Growth!$D$24</f>
        <v>0.13075958920725625</v>
      </c>
      <c r="I2553" s="15">
        <f>Yearly_Growth!$C$3</f>
        <v>0.11893113731787852</v>
      </c>
      <c r="J2553" s="15">
        <f>Yearly_Growth!$D$3</f>
        <v>0.09</v>
      </c>
      <c r="K2553">
        <f>Sales_Per_Representative!$C$18</f>
        <v>783907</v>
      </c>
      <c r="L2553">
        <f>Sales_Per_Rep_Yearly_Goal!$B$3</f>
        <v>689907.8</v>
      </c>
      <c r="M2553">
        <f>Sales_Per_Rep_Yearly_Goal!$C$3</f>
        <v>690000</v>
      </c>
    </row>
    <row r="2554" spans="1:13" x14ac:dyDescent="0.3">
      <c r="A2554" s="3">
        <v>45605</v>
      </c>
      <c r="B2554">
        <f t="shared" si="39"/>
        <v>2024</v>
      </c>
      <c r="C2554">
        <v>11</v>
      </c>
      <c r="D2554" t="s">
        <v>12</v>
      </c>
      <c r="E2554" t="s">
        <v>27</v>
      </c>
      <c r="F2554" s="2">
        <v>11439</v>
      </c>
      <c r="G2554" s="2">
        <f>Monthly_Growth!$C$24</f>
        <v>839001</v>
      </c>
      <c r="H2554" s="5">
        <f>Monthly_Growth!$D$24</f>
        <v>0.13075958920725625</v>
      </c>
      <c r="I2554" s="15">
        <f>Yearly_Growth!$C$3</f>
        <v>0.11893113731787852</v>
      </c>
      <c r="J2554" s="15">
        <f>Yearly_Growth!$D$3</f>
        <v>0.09</v>
      </c>
      <c r="K2554">
        <f>Sales_Per_Representative!$C$20</f>
        <v>685380</v>
      </c>
      <c r="L2554">
        <f>Sales_Per_Rep_Yearly_Goal!$B$3</f>
        <v>689907.8</v>
      </c>
      <c r="M2554">
        <f>Sales_Per_Rep_Yearly_Goal!$C$3</f>
        <v>690000</v>
      </c>
    </row>
    <row r="2555" spans="1:13" x14ac:dyDescent="0.3">
      <c r="A2555" s="3">
        <v>45606</v>
      </c>
      <c r="B2555">
        <f t="shared" si="39"/>
        <v>2024</v>
      </c>
      <c r="C2555">
        <v>11</v>
      </c>
      <c r="D2555" t="s">
        <v>25</v>
      </c>
      <c r="E2555" t="s">
        <v>15</v>
      </c>
      <c r="F2555" s="2">
        <v>8932</v>
      </c>
      <c r="G2555" s="2">
        <f>Monthly_Growth!$C$24</f>
        <v>839001</v>
      </c>
      <c r="H2555" s="5">
        <f>Monthly_Growth!$D$24</f>
        <v>0.13075958920725625</v>
      </c>
      <c r="I2555" s="15">
        <f>Yearly_Growth!$C$3</f>
        <v>0.11893113731787852</v>
      </c>
      <c r="J2555" s="15">
        <f>Yearly_Growth!$D$3</f>
        <v>0.09</v>
      </c>
      <c r="K2555">
        <f>Sales_Per_Representative!$C$27</f>
        <v>617202</v>
      </c>
      <c r="L2555">
        <f>Sales_Per_Rep_Yearly_Goal!$B$3</f>
        <v>689907.8</v>
      </c>
      <c r="M2555">
        <f>Sales_Per_Rep_Yearly_Goal!$C$3</f>
        <v>690000</v>
      </c>
    </row>
    <row r="2556" spans="1:13" x14ac:dyDescent="0.3">
      <c r="A2556" s="3">
        <v>45606</v>
      </c>
      <c r="B2556">
        <f t="shared" si="39"/>
        <v>2024</v>
      </c>
      <c r="C2556">
        <v>11</v>
      </c>
      <c r="D2556" t="s">
        <v>25</v>
      </c>
      <c r="E2556" t="s">
        <v>33</v>
      </c>
      <c r="F2556" s="2">
        <v>13990</v>
      </c>
      <c r="G2556" s="2">
        <f>Monthly_Growth!$C$24</f>
        <v>839001</v>
      </c>
      <c r="H2556" s="5">
        <f>Monthly_Growth!$D$24</f>
        <v>0.13075958920725625</v>
      </c>
      <c r="I2556" s="15">
        <f>Yearly_Growth!$C$3</f>
        <v>0.11893113731787852</v>
      </c>
      <c r="J2556" s="15">
        <f>Yearly_Growth!$D$3</f>
        <v>0.09</v>
      </c>
      <c r="K2556">
        <f>Sales_Per_Representative!$C$26</f>
        <v>501360</v>
      </c>
      <c r="L2556">
        <f>Sales_Per_Rep_Yearly_Goal!$B$3</f>
        <v>689907.8</v>
      </c>
      <c r="M2556">
        <f>Sales_Per_Rep_Yearly_Goal!$C$3</f>
        <v>690000</v>
      </c>
    </row>
    <row r="2557" spans="1:13" x14ac:dyDescent="0.3">
      <c r="A2557" s="3">
        <v>45606</v>
      </c>
      <c r="B2557">
        <f t="shared" si="39"/>
        <v>2024</v>
      </c>
      <c r="C2557">
        <v>11</v>
      </c>
      <c r="D2557" t="s">
        <v>25</v>
      </c>
      <c r="E2557" t="s">
        <v>32</v>
      </c>
      <c r="F2557" s="2">
        <v>7531</v>
      </c>
      <c r="G2557" s="2">
        <f>Monthly_Growth!$C$24</f>
        <v>839001</v>
      </c>
      <c r="H2557" s="5">
        <f>Monthly_Growth!$D$24</f>
        <v>0.13075958920725625</v>
      </c>
      <c r="I2557" s="15">
        <f>Yearly_Growth!$C$3</f>
        <v>0.11893113731787852</v>
      </c>
      <c r="J2557" s="15">
        <f>Yearly_Growth!$D$3</f>
        <v>0.09</v>
      </c>
      <c r="K2557">
        <f>Sales_Per_Representative!$C$18</f>
        <v>783907</v>
      </c>
      <c r="L2557">
        <f>Sales_Per_Rep_Yearly_Goal!$B$3</f>
        <v>689907.8</v>
      </c>
      <c r="M2557">
        <f>Sales_Per_Rep_Yearly_Goal!$C$3</f>
        <v>690000</v>
      </c>
    </row>
    <row r="2558" spans="1:13" x14ac:dyDescent="0.3">
      <c r="A2558" s="3">
        <v>45606</v>
      </c>
      <c r="B2558">
        <f t="shared" si="39"/>
        <v>2024</v>
      </c>
      <c r="C2558">
        <v>11</v>
      </c>
      <c r="D2558" t="s">
        <v>28</v>
      </c>
      <c r="E2558" t="s">
        <v>32</v>
      </c>
      <c r="F2558" s="2">
        <v>11144</v>
      </c>
      <c r="G2558" s="2">
        <f>Monthly_Growth!$C$24</f>
        <v>839001</v>
      </c>
      <c r="H2558" s="5">
        <f>Monthly_Growth!$D$24</f>
        <v>0.13075958920725625</v>
      </c>
      <c r="I2558" s="15">
        <f>Yearly_Growth!$C$3</f>
        <v>0.11893113731787852</v>
      </c>
      <c r="J2558" s="15">
        <f>Yearly_Growth!$D$3</f>
        <v>0.09</v>
      </c>
      <c r="K2558">
        <f>Sales_Per_Representative!$C$18</f>
        <v>783907</v>
      </c>
      <c r="L2558">
        <f>Sales_Per_Rep_Yearly_Goal!$B$3</f>
        <v>689907.8</v>
      </c>
      <c r="M2558">
        <f>Sales_Per_Rep_Yearly_Goal!$C$3</f>
        <v>690000</v>
      </c>
    </row>
    <row r="2559" spans="1:13" x14ac:dyDescent="0.3">
      <c r="A2559" s="3">
        <v>45606</v>
      </c>
      <c r="B2559">
        <f t="shared" si="39"/>
        <v>2024</v>
      </c>
      <c r="C2559">
        <v>11</v>
      </c>
      <c r="D2559" t="s">
        <v>17</v>
      </c>
      <c r="E2559" t="s">
        <v>20</v>
      </c>
      <c r="F2559" s="2">
        <v>2477</v>
      </c>
      <c r="G2559" s="2">
        <f>Monthly_Growth!$C$24</f>
        <v>839001</v>
      </c>
      <c r="H2559" s="5">
        <f>Monthly_Growth!$D$24</f>
        <v>0.13075958920725625</v>
      </c>
      <c r="I2559" s="15">
        <f>Yearly_Growth!$C$3</f>
        <v>0.11893113731787852</v>
      </c>
      <c r="J2559" s="15">
        <f>Yearly_Growth!$D$3</f>
        <v>0.09</v>
      </c>
      <c r="K2559">
        <f>Sales_Per_Representative!$C$29</f>
        <v>753085</v>
      </c>
      <c r="L2559">
        <f>Sales_Per_Rep_Yearly_Goal!$B$3</f>
        <v>689907.8</v>
      </c>
      <c r="M2559">
        <f>Sales_Per_Rep_Yearly_Goal!$C$3</f>
        <v>690000</v>
      </c>
    </row>
    <row r="2560" spans="1:13" x14ac:dyDescent="0.3">
      <c r="A2560" s="3">
        <v>45607</v>
      </c>
      <c r="B2560">
        <f t="shared" si="39"/>
        <v>2024</v>
      </c>
      <c r="C2560">
        <v>11</v>
      </c>
      <c r="D2560" t="s">
        <v>14</v>
      </c>
      <c r="E2560" t="s">
        <v>32</v>
      </c>
      <c r="F2560" s="2">
        <v>1419</v>
      </c>
      <c r="G2560" s="2">
        <f>Monthly_Growth!$C$24</f>
        <v>839001</v>
      </c>
      <c r="H2560" s="5">
        <f>Monthly_Growth!$D$24</f>
        <v>0.13075958920725625</v>
      </c>
      <c r="I2560" s="15">
        <f>Yearly_Growth!$C$3</f>
        <v>0.11893113731787852</v>
      </c>
      <c r="J2560" s="15">
        <f>Yearly_Growth!$D$3</f>
        <v>0.09</v>
      </c>
      <c r="K2560">
        <f>Sales_Per_Representative!$C$18</f>
        <v>783907</v>
      </c>
      <c r="L2560">
        <f>Sales_Per_Rep_Yearly_Goal!$B$3</f>
        <v>689907.8</v>
      </c>
      <c r="M2560">
        <f>Sales_Per_Rep_Yearly_Goal!$C$3</f>
        <v>690000</v>
      </c>
    </row>
    <row r="2561" spans="1:13" x14ac:dyDescent="0.3">
      <c r="A2561" s="3">
        <v>45607</v>
      </c>
      <c r="B2561">
        <f t="shared" si="39"/>
        <v>2024</v>
      </c>
      <c r="C2561">
        <v>11</v>
      </c>
      <c r="D2561" t="s">
        <v>19</v>
      </c>
      <c r="E2561" t="s">
        <v>26</v>
      </c>
      <c r="F2561" s="2">
        <v>1541</v>
      </c>
      <c r="G2561" s="2">
        <f>Monthly_Growth!$C$24</f>
        <v>839001</v>
      </c>
      <c r="H2561" s="5">
        <f>Monthly_Growth!$D$24</f>
        <v>0.13075958920725625</v>
      </c>
      <c r="I2561" s="15">
        <f>Yearly_Growth!$C$3</f>
        <v>0.11893113731787852</v>
      </c>
      <c r="J2561" s="15">
        <f>Yearly_Growth!$D$3</f>
        <v>0.09</v>
      </c>
      <c r="K2561">
        <f>Sales_Per_Representative!$C$31</f>
        <v>664244</v>
      </c>
      <c r="L2561">
        <f>Sales_Per_Rep_Yearly_Goal!$B$3</f>
        <v>689907.8</v>
      </c>
      <c r="M2561">
        <f>Sales_Per_Rep_Yearly_Goal!$C$3</f>
        <v>690000</v>
      </c>
    </row>
    <row r="2562" spans="1:13" x14ac:dyDescent="0.3">
      <c r="A2562" s="3">
        <v>45607</v>
      </c>
      <c r="B2562">
        <f t="shared" si="39"/>
        <v>2024</v>
      </c>
      <c r="C2562">
        <v>11</v>
      </c>
      <c r="D2562" t="s">
        <v>28</v>
      </c>
      <c r="E2562" t="s">
        <v>26</v>
      </c>
      <c r="F2562" s="2">
        <v>2564</v>
      </c>
      <c r="G2562" s="2">
        <f>Monthly_Growth!$C$24</f>
        <v>839001</v>
      </c>
      <c r="H2562" s="5">
        <f>Monthly_Growth!$D$24</f>
        <v>0.13075958920725625</v>
      </c>
      <c r="I2562" s="15">
        <f>Yearly_Growth!$C$3</f>
        <v>0.11893113731787852</v>
      </c>
      <c r="J2562" s="15">
        <f>Yearly_Growth!$D$3</f>
        <v>0.09</v>
      </c>
      <c r="K2562">
        <f>Sales_Per_Representative!$C$31</f>
        <v>664244</v>
      </c>
      <c r="L2562">
        <f>Sales_Per_Rep_Yearly_Goal!$B$3</f>
        <v>689907.8</v>
      </c>
      <c r="M2562">
        <f>Sales_Per_Rep_Yearly_Goal!$C$3</f>
        <v>690000</v>
      </c>
    </row>
    <row r="2563" spans="1:13" x14ac:dyDescent="0.3">
      <c r="A2563" s="3">
        <v>45607</v>
      </c>
      <c r="B2563">
        <f t="shared" ref="B2563:B2626" si="40">YEAR(A2563)</f>
        <v>2024</v>
      </c>
      <c r="C2563">
        <v>11</v>
      </c>
      <c r="D2563" t="s">
        <v>12</v>
      </c>
      <c r="E2563" t="s">
        <v>26</v>
      </c>
      <c r="F2563" s="2">
        <v>5310</v>
      </c>
      <c r="G2563" s="2">
        <f>Monthly_Growth!$C$24</f>
        <v>839001</v>
      </c>
      <c r="H2563" s="5">
        <f>Monthly_Growth!$D$24</f>
        <v>0.13075958920725625</v>
      </c>
      <c r="I2563" s="15">
        <f>Yearly_Growth!$C$3</f>
        <v>0.11893113731787852</v>
      </c>
      <c r="J2563" s="15">
        <f>Yearly_Growth!$D$3</f>
        <v>0.09</v>
      </c>
      <c r="K2563">
        <f>Sales_Per_Representative!$C$31</f>
        <v>664244</v>
      </c>
      <c r="L2563">
        <f>Sales_Per_Rep_Yearly_Goal!$B$3</f>
        <v>689907.8</v>
      </c>
      <c r="M2563">
        <f>Sales_Per_Rep_Yearly_Goal!$C$3</f>
        <v>690000</v>
      </c>
    </row>
    <row r="2564" spans="1:13" x14ac:dyDescent="0.3">
      <c r="A2564" s="3">
        <v>45607</v>
      </c>
      <c r="B2564">
        <f t="shared" si="40"/>
        <v>2024</v>
      </c>
      <c r="C2564">
        <v>11</v>
      </c>
      <c r="D2564" t="s">
        <v>12</v>
      </c>
      <c r="E2564" t="s">
        <v>5</v>
      </c>
      <c r="F2564" s="2">
        <v>11169</v>
      </c>
      <c r="G2564" s="2">
        <f>Monthly_Growth!$C$24</f>
        <v>839001</v>
      </c>
      <c r="H2564" s="5">
        <f>Monthly_Growth!$D$24</f>
        <v>0.13075958920725625</v>
      </c>
      <c r="I2564" s="15">
        <f>Yearly_Growth!$C$3</f>
        <v>0.11893113731787852</v>
      </c>
      <c r="J2564" s="15">
        <f>Yearly_Growth!$D$3</f>
        <v>0.09</v>
      </c>
      <c r="K2564">
        <f>Sales_Per_Representative!$C$25</f>
        <v>749460</v>
      </c>
      <c r="L2564">
        <f>Sales_Per_Rep_Yearly_Goal!$B$3</f>
        <v>689907.8</v>
      </c>
      <c r="M2564">
        <f>Sales_Per_Rep_Yearly_Goal!$C$3</f>
        <v>690000</v>
      </c>
    </row>
    <row r="2565" spans="1:13" x14ac:dyDescent="0.3">
      <c r="A2565" s="3">
        <v>45607</v>
      </c>
      <c r="B2565">
        <f t="shared" si="40"/>
        <v>2024</v>
      </c>
      <c r="C2565">
        <v>11</v>
      </c>
      <c r="D2565" t="s">
        <v>12</v>
      </c>
      <c r="E2565" t="s">
        <v>22</v>
      </c>
      <c r="F2565" s="2">
        <v>7830</v>
      </c>
      <c r="G2565" s="2">
        <f>Monthly_Growth!$C$24</f>
        <v>839001</v>
      </c>
      <c r="H2565" s="5">
        <f>Monthly_Growth!$D$24</f>
        <v>0.13075958920725625</v>
      </c>
      <c r="I2565" s="15">
        <f>Yearly_Growth!$C$3</f>
        <v>0.11893113731787852</v>
      </c>
      <c r="J2565" s="15">
        <f>Yearly_Growth!$D$3</f>
        <v>0.09</v>
      </c>
      <c r="K2565">
        <f>Sales_Per_Representative!$C$23</f>
        <v>697444</v>
      </c>
      <c r="L2565">
        <f>Sales_Per_Rep_Yearly_Goal!$B$3</f>
        <v>689907.8</v>
      </c>
      <c r="M2565">
        <f>Sales_Per_Rep_Yearly_Goal!$C$3</f>
        <v>690000</v>
      </c>
    </row>
    <row r="2566" spans="1:13" x14ac:dyDescent="0.3">
      <c r="A2566" s="3">
        <v>45608</v>
      </c>
      <c r="B2566">
        <f t="shared" si="40"/>
        <v>2024</v>
      </c>
      <c r="C2566">
        <v>11</v>
      </c>
      <c r="D2566" t="s">
        <v>19</v>
      </c>
      <c r="E2566" t="s">
        <v>33</v>
      </c>
      <c r="F2566" s="2">
        <v>11690</v>
      </c>
      <c r="G2566" s="2">
        <f>Monthly_Growth!$C$24</f>
        <v>839001</v>
      </c>
      <c r="H2566" s="5">
        <f>Monthly_Growth!$D$24</f>
        <v>0.13075958920725625</v>
      </c>
      <c r="I2566" s="15">
        <f>Yearly_Growth!$C$3</f>
        <v>0.11893113731787852</v>
      </c>
      <c r="J2566" s="15">
        <f>Yearly_Growth!$D$3</f>
        <v>0.09</v>
      </c>
      <c r="K2566">
        <f>Sales_Per_Representative!$C$26</f>
        <v>501360</v>
      </c>
      <c r="L2566">
        <f>Sales_Per_Rep_Yearly_Goal!$B$3</f>
        <v>689907.8</v>
      </c>
      <c r="M2566">
        <f>Sales_Per_Rep_Yearly_Goal!$C$3</f>
        <v>690000</v>
      </c>
    </row>
    <row r="2567" spans="1:13" x14ac:dyDescent="0.3">
      <c r="A2567" s="3">
        <v>45608</v>
      </c>
      <c r="B2567">
        <f t="shared" si="40"/>
        <v>2024</v>
      </c>
      <c r="C2567">
        <v>11</v>
      </c>
      <c r="D2567" t="s">
        <v>25</v>
      </c>
      <c r="E2567" t="s">
        <v>29</v>
      </c>
      <c r="F2567" s="2">
        <v>4666</v>
      </c>
      <c r="G2567" s="2">
        <f>Monthly_Growth!$C$24</f>
        <v>839001</v>
      </c>
      <c r="H2567" s="5">
        <f>Monthly_Growth!$D$24</f>
        <v>0.13075958920725625</v>
      </c>
      <c r="I2567" s="15">
        <f>Yearly_Growth!$C$3</f>
        <v>0.11893113731787852</v>
      </c>
      <c r="J2567" s="15">
        <f>Yearly_Growth!$D$3</f>
        <v>0.09</v>
      </c>
      <c r="K2567">
        <f>Sales_Per_Representative!$C$28</f>
        <v>691917</v>
      </c>
      <c r="L2567">
        <f>Sales_Per_Rep_Yearly_Goal!$B$3</f>
        <v>689907.8</v>
      </c>
      <c r="M2567">
        <f>Sales_Per_Rep_Yearly_Goal!$C$3</f>
        <v>690000</v>
      </c>
    </row>
    <row r="2568" spans="1:13" x14ac:dyDescent="0.3">
      <c r="A2568" s="3">
        <v>45608</v>
      </c>
      <c r="B2568">
        <f t="shared" si="40"/>
        <v>2024</v>
      </c>
      <c r="C2568">
        <v>11</v>
      </c>
      <c r="D2568" t="s">
        <v>7</v>
      </c>
      <c r="E2568" t="s">
        <v>20</v>
      </c>
      <c r="F2568" s="2">
        <v>8380</v>
      </c>
      <c r="G2568" s="2">
        <f>Monthly_Growth!$C$24</f>
        <v>839001</v>
      </c>
      <c r="H2568" s="5">
        <f>Monthly_Growth!$D$24</f>
        <v>0.13075958920725625</v>
      </c>
      <c r="I2568" s="15">
        <f>Yearly_Growth!$C$3</f>
        <v>0.11893113731787852</v>
      </c>
      <c r="J2568" s="15">
        <f>Yearly_Growth!$D$3</f>
        <v>0.09</v>
      </c>
      <c r="K2568">
        <f>Sales_Per_Representative!$C$29</f>
        <v>753085</v>
      </c>
      <c r="L2568">
        <f>Sales_Per_Rep_Yearly_Goal!$B$3</f>
        <v>689907.8</v>
      </c>
      <c r="M2568">
        <f>Sales_Per_Rep_Yearly_Goal!$C$3</f>
        <v>690000</v>
      </c>
    </row>
    <row r="2569" spans="1:13" x14ac:dyDescent="0.3">
      <c r="A2569" s="3">
        <v>45609</v>
      </c>
      <c r="B2569">
        <f t="shared" si="40"/>
        <v>2024</v>
      </c>
      <c r="C2569">
        <v>11</v>
      </c>
      <c r="D2569" t="s">
        <v>23</v>
      </c>
      <c r="E2569" t="s">
        <v>26</v>
      </c>
      <c r="F2569" s="2">
        <v>10544</v>
      </c>
      <c r="G2569" s="2">
        <f>Monthly_Growth!$C$24</f>
        <v>839001</v>
      </c>
      <c r="H2569" s="5">
        <f>Monthly_Growth!$D$24</f>
        <v>0.13075958920725625</v>
      </c>
      <c r="I2569" s="15">
        <f>Yearly_Growth!$C$3</f>
        <v>0.11893113731787852</v>
      </c>
      <c r="J2569" s="15">
        <f>Yearly_Growth!$D$3</f>
        <v>0.09</v>
      </c>
      <c r="K2569">
        <f>Sales_Per_Representative!$C$31</f>
        <v>664244</v>
      </c>
      <c r="L2569">
        <f>Sales_Per_Rep_Yearly_Goal!$B$3</f>
        <v>689907.8</v>
      </c>
      <c r="M2569">
        <f>Sales_Per_Rep_Yearly_Goal!$C$3</f>
        <v>690000</v>
      </c>
    </row>
    <row r="2570" spans="1:13" x14ac:dyDescent="0.3">
      <c r="A2570" s="3">
        <v>45609</v>
      </c>
      <c r="B2570">
        <f t="shared" si="40"/>
        <v>2024</v>
      </c>
      <c r="C2570">
        <v>11</v>
      </c>
      <c r="D2570" t="s">
        <v>28</v>
      </c>
      <c r="E2570" t="s">
        <v>24</v>
      </c>
      <c r="F2570" s="2">
        <v>3510</v>
      </c>
      <c r="G2570" s="2">
        <f>Monthly_Growth!$C$24</f>
        <v>839001</v>
      </c>
      <c r="H2570" s="5">
        <f>Monthly_Growth!$D$24</f>
        <v>0.13075958920725625</v>
      </c>
      <c r="I2570" s="15">
        <f>Yearly_Growth!$C$3</f>
        <v>0.11893113731787852</v>
      </c>
      <c r="J2570" s="15">
        <f>Yearly_Growth!$D$3</f>
        <v>0.09</v>
      </c>
      <c r="K2570">
        <f>Sales_Per_Representative!$C$17</f>
        <v>633956</v>
      </c>
      <c r="L2570">
        <f>Sales_Per_Rep_Yearly_Goal!$B$3</f>
        <v>689907.8</v>
      </c>
      <c r="M2570">
        <f>Sales_Per_Rep_Yearly_Goal!$C$3</f>
        <v>690000</v>
      </c>
    </row>
    <row r="2571" spans="1:13" x14ac:dyDescent="0.3">
      <c r="A2571" s="3">
        <v>45609</v>
      </c>
      <c r="B2571">
        <f t="shared" si="40"/>
        <v>2024</v>
      </c>
      <c r="C2571">
        <v>11</v>
      </c>
      <c r="D2571" t="s">
        <v>17</v>
      </c>
      <c r="E2571" t="s">
        <v>5</v>
      </c>
      <c r="F2571" s="2">
        <v>11744</v>
      </c>
      <c r="G2571" s="2">
        <f>Monthly_Growth!$C$24</f>
        <v>839001</v>
      </c>
      <c r="H2571" s="5">
        <f>Monthly_Growth!$D$24</f>
        <v>0.13075958920725625</v>
      </c>
      <c r="I2571" s="15">
        <f>Yearly_Growth!$C$3</f>
        <v>0.11893113731787852</v>
      </c>
      <c r="J2571" s="15">
        <f>Yearly_Growth!$D$3</f>
        <v>0.09</v>
      </c>
      <c r="K2571">
        <f>Sales_Per_Representative!$C$25</f>
        <v>749460</v>
      </c>
      <c r="L2571">
        <f>Sales_Per_Rep_Yearly_Goal!$B$3</f>
        <v>689907.8</v>
      </c>
      <c r="M2571">
        <f>Sales_Per_Rep_Yearly_Goal!$C$3</f>
        <v>690000</v>
      </c>
    </row>
    <row r="2572" spans="1:13" x14ac:dyDescent="0.3">
      <c r="A2572" s="3">
        <v>45610</v>
      </c>
      <c r="B2572">
        <f t="shared" si="40"/>
        <v>2024</v>
      </c>
      <c r="C2572">
        <v>11</v>
      </c>
      <c r="D2572" t="s">
        <v>14</v>
      </c>
      <c r="E2572" t="s">
        <v>29</v>
      </c>
      <c r="F2572" s="2">
        <v>11865</v>
      </c>
      <c r="G2572" s="2">
        <f>Monthly_Growth!$C$24</f>
        <v>839001</v>
      </c>
      <c r="H2572" s="5">
        <f>Monthly_Growth!$D$24</f>
        <v>0.13075958920725625</v>
      </c>
      <c r="I2572" s="15">
        <f>Yearly_Growth!$C$3</f>
        <v>0.11893113731787852</v>
      </c>
      <c r="J2572" s="15">
        <f>Yearly_Growth!$D$3</f>
        <v>0.09</v>
      </c>
      <c r="K2572">
        <f>Sales_Per_Representative!$C$28</f>
        <v>691917</v>
      </c>
      <c r="L2572">
        <f>Sales_Per_Rep_Yearly_Goal!$B$3</f>
        <v>689907.8</v>
      </c>
      <c r="M2572">
        <f>Sales_Per_Rep_Yearly_Goal!$C$3</f>
        <v>690000</v>
      </c>
    </row>
    <row r="2573" spans="1:13" x14ac:dyDescent="0.3">
      <c r="A2573" s="3">
        <v>45610</v>
      </c>
      <c r="B2573">
        <f t="shared" si="40"/>
        <v>2024</v>
      </c>
      <c r="C2573">
        <v>11</v>
      </c>
      <c r="D2573" t="s">
        <v>23</v>
      </c>
      <c r="E2573" t="s">
        <v>31</v>
      </c>
      <c r="F2573" s="2">
        <v>3110</v>
      </c>
      <c r="G2573" s="2">
        <f>Monthly_Growth!$C$24</f>
        <v>839001</v>
      </c>
      <c r="H2573" s="5">
        <f>Monthly_Growth!$D$24</f>
        <v>0.13075958920725625</v>
      </c>
      <c r="I2573" s="15">
        <f>Yearly_Growth!$C$3</f>
        <v>0.11893113731787852</v>
      </c>
      <c r="J2573" s="15">
        <f>Yearly_Growth!$D$3</f>
        <v>0.09</v>
      </c>
      <c r="K2573">
        <f>Sales_Per_Representative!$C$21</f>
        <v>679421</v>
      </c>
      <c r="L2573">
        <f>Sales_Per_Rep_Yearly_Goal!$B$3</f>
        <v>689907.8</v>
      </c>
      <c r="M2573">
        <f>Sales_Per_Rep_Yearly_Goal!$C$3</f>
        <v>690000</v>
      </c>
    </row>
    <row r="2574" spans="1:13" x14ac:dyDescent="0.3">
      <c r="A2574" s="3">
        <v>45610</v>
      </c>
      <c r="B2574">
        <f t="shared" si="40"/>
        <v>2024</v>
      </c>
      <c r="C2574">
        <v>11</v>
      </c>
      <c r="D2574" t="s">
        <v>7</v>
      </c>
      <c r="E2574" t="s">
        <v>27</v>
      </c>
      <c r="F2574" s="2">
        <v>1714</v>
      </c>
      <c r="G2574" s="2">
        <f>Monthly_Growth!$C$24</f>
        <v>839001</v>
      </c>
      <c r="H2574" s="5">
        <f>Monthly_Growth!$D$24</f>
        <v>0.13075958920725625</v>
      </c>
      <c r="I2574" s="15">
        <f>Yearly_Growth!$C$3</f>
        <v>0.11893113731787852</v>
      </c>
      <c r="J2574" s="15">
        <f>Yearly_Growth!$D$3</f>
        <v>0.09</v>
      </c>
      <c r="K2574">
        <f>Sales_Per_Representative!$C$20</f>
        <v>685380</v>
      </c>
      <c r="L2574">
        <f>Sales_Per_Rep_Yearly_Goal!$B$3</f>
        <v>689907.8</v>
      </c>
      <c r="M2574">
        <f>Sales_Per_Rep_Yearly_Goal!$C$3</f>
        <v>690000</v>
      </c>
    </row>
    <row r="2575" spans="1:13" x14ac:dyDescent="0.3">
      <c r="A2575" s="3">
        <v>45610</v>
      </c>
      <c r="B2575">
        <f t="shared" si="40"/>
        <v>2024</v>
      </c>
      <c r="C2575">
        <v>11</v>
      </c>
      <c r="D2575" t="s">
        <v>28</v>
      </c>
      <c r="E2575" t="s">
        <v>31</v>
      </c>
      <c r="F2575" s="2">
        <v>4715</v>
      </c>
      <c r="G2575" s="2">
        <f>Monthly_Growth!$C$24</f>
        <v>839001</v>
      </c>
      <c r="H2575" s="5">
        <f>Monthly_Growth!$D$24</f>
        <v>0.13075958920725625</v>
      </c>
      <c r="I2575" s="15">
        <f>Yearly_Growth!$C$3</f>
        <v>0.11893113731787852</v>
      </c>
      <c r="J2575" s="15">
        <f>Yearly_Growth!$D$3</f>
        <v>0.09</v>
      </c>
      <c r="K2575">
        <f>Sales_Per_Representative!$C$21</f>
        <v>679421</v>
      </c>
      <c r="L2575">
        <f>Sales_Per_Rep_Yearly_Goal!$B$3</f>
        <v>689907.8</v>
      </c>
      <c r="M2575">
        <f>Sales_Per_Rep_Yearly_Goal!$C$3</f>
        <v>690000</v>
      </c>
    </row>
    <row r="2576" spans="1:13" x14ac:dyDescent="0.3">
      <c r="A2576" s="3">
        <v>45610</v>
      </c>
      <c r="B2576">
        <f t="shared" si="40"/>
        <v>2024</v>
      </c>
      <c r="C2576">
        <v>11</v>
      </c>
      <c r="D2576" t="s">
        <v>28</v>
      </c>
      <c r="E2576" t="s">
        <v>22</v>
      </c>
      <c r="F2576" s="2">
        <v>8845</v>
      </c>
      <c r="G2576" s="2">
        <f>Monthly_Growth!$C$24</f>
        <v>839001</v>
      </c>
      <c r="H2576" s="5">
        <f>Monthly_Growth!$D$24</f>
        <v>0.13075958920725625</v>
      </c>
      <c r="I2576" s="15">
        <f>Yearly_Growth!$C$3</f>
        <v>0.11893113731787852</v>
      </c>
      <c r="J2576" s="15">
        <f>Yearly_Growth!$D$3</f>
        <v>0.09</v>
      </c>
      <c r="K2576">
        <f>Sales_Per_Representative!$C$23</f>
        <v>697444</v>
      </c>
      <c r="L2576">
        <f>Sales_Per_Rep_Yearly_Goal!$B$3</f>
        <v>689907.8</v>
      </c>
      <c r="M2576">
        <f>Sales_Per_Rep_Yearly_Goal!$C$3</f>
        <v>690000</v>
      </c>
    </row>
    <row r="2577" spans="1:13" x14ac:dyDescent="0.3">
      <c r="A2577" s="3">
        <v>45610</v>
      </c>
      <c r="B2577">
        <f t="shared" si="40"/>
        <v>2024</v>
      </c>
      <c r="C2577">
        <v>11</v>
      </c>
      <c r="D2577" t="s">
        <v>17</v>
      </c>
      <c r="E2577" t="s">
        <v>33</v>
      </c>
      <c r="F2577" s="2">
        <v>8567</v>
      </c>
      <c r="G2577" s="2">
        <f>Monthly_Growth!$C$24</f>
        <v>839001</v>
      </c>
      <c r="H2577" s="5">
        <f>Monthly_Growth!$D$24</f>
        <v>0.13075958920725625</v>
      </c>
      <c r="I2577" s="15">
        <f>Yearly_Growth!$C$3</f>
        <v>0.11893113731787852</v>
      </c>
      <c r="J2577" s="15">
        <f>Yearly_Growth!$D$3</f>
        <v>0.09</v>
      </c>
      <c r="K2577">
        <f>Sales_Per_Representative!$C$26</f>
        <v>501360</v>
      </c>
      <c r="L2577">
        <f>Sales_Per_Rep_Yearly_Goal!$B$3</f>
        <v>689907.8</v>
      </c>
      <c r="M2577">
        <f>Sales_Per_Rep_Yearly_Goal!$C$3</f>
        <v>690000</v>
      </c>
    </row>
    <row r="2578" spans="1:13" x14ac:dyDescent="0.3">
      <c r="A2578" s="3">
        <v>45610</v>
      </c>
      <c r="B2578">
        <f t="shared" si="40"/>
        <v>2024</v>
      </c>
      <c r="C2578">
        <v>11</v>
      </c>
      <c r="D2578" t="s">
        <v>12</v>
      </c>
      <c r="E2578" t="s">
        <v>15</v>
      </c>
      <c r="F2578" s="2">
        <v>2907</v>
      </c>
      <c r="G2578" s="2">
        <f>Monthly_Growth!$C$24</f>
        <v>839001</v>
      </c>
      <c r="H2578" s="5">
        <f>Monthly_Growth!$D$24</f>
        <v>0.13075958920725625</v>
      </c>
      <c r="I2578" s="15">
        <f>Yearly_Growth!$C$3</f>
        <v>0.11893113731787852</v>
      </c>
      <c r="J2578" s="15">
        <f>Yearly_Growth!$D$3</f>
        <v>0.09</v>
      </c>
      <c r="K2578">
        <f>Sales_Per_Representative!$C$27</f>
        <v>617202</v>
      </c>
      <c r="L2578">
        <f>Sales_Per_Rep_Yearly_Goal!$B$3</f>
        <v>689907.8</v>
      </c>
      <c r="M2578">
        <f>Sales_Per_Rep_Yearly_Goal!$C$3</f>
        <v>690000</v>
      </c>
    </row>
    <row r="2579" spans="1:13" x14ac:dyDescent="0.3">
      <c r="A2579" s="3">
        <v>45611</v>
      </c>
      <c r="B2579">
        <f t="shared" si="40"/>
        <v>2024</v>
      </c>
      <c r="C2579">
        <v>11</v>
      </c>
      <c r="D2579" t="s">
        <v>23</v>
      </c>
      <c r="E2579" t="s">
        <v>20</v>
      </c>
      <c r="F2579" s="2">
        <v>3736</v>
      </c>
      <c r="G2579" s="2">
        <f>Monthly_Growth!$C$24</f>
        <v>839001</v>
      </c>
      <c r="H2579" s="5">
        <f>Monthly_Growth!$D$24</f>
        <v>0.13075958920725625</v>
      </c>
      <c r="I2579" s="15">
        <f>Yearly_Growth!$C$3</f>
        <v>0.11893113731787852</v>
      </c>
      <c r="J2579" s="15">
        <f>Yearly_Growth!$D$3</f>
        <v>0.09</v>
      </c>
      <c r="K2579">
        <f>Sales_Per_Representative!$C$29</f>
        <v>753085</v>
      </c>
      <c r="L2579">
        <f>Sales_Per_Rep_Yearly_Goal!$B$3</f>
        <v>689907.8</v>
      </c>
      <c r="M2579">
        <f>Sales_Per_Rep_Yearly_Goal!$C$3</f>
        <v>690000</v>
      </c>
    </row>
    <row r="2580" spans="1:13" x14ac:dyDescent="0.3">
      <c r="A2580" s="3">
        <v>45611</v>
      </c>
      <c r="B2580">
        <f t="shared" si="40"/>
        <v>2024</v>
      </c>
      <c r="C2580">
        <v>11</v>
      </c>
      <c r="D2580" t="s">
        <v>25</v>
      </c>
      <c r="E2580" t="s">
        <v>5</v>
      </c>
      <c r="F2580" s="2">
        <v>7002</v>
      </c>
      <c r="G2580" s="2">
        <f>Monthly_Growth!$C$24</f>
        <v>839001</v>
      </c>
      <c r="H2580" s="5">
        <f>Monthly_Growth!$D$24</f>
        <v>0.13075958920725625</v>
      </c>
      <c r="I2580" s="15">
        <f>Yearly_Growth!$C$3</f>
        <v>0.11893113731787852</v>
      </c>
      <c r="J2580" s="15">
        <f>Yearly_Growth!$D$3</f>
        <v>0.09</v>
      </c>
      <c r="K2580">
        <f>Sales_Per_Representative!$C$25</f>
        <v>749460</v>
      </c>
      <c r="L2580">
        <f>Sales_Per_Rep_Yearly_Goal!$B$3</f>
        <v>689907.8</v>
      </c>
      <c r="M2580">
        <f>Sales_Per_Rep_Yearly_Goal!$C$3</f>
        <v>690000</v>
      </c>
    </row>
    <row r="2581" spans="1:13" x14ac:dyDescent="0.3">
      <c r="A2581" s="3">
        <v>45611</v>
      </c>
      <c r="B2581">
        <f t="shared" si="40"/>
        <v>2024</v>
      </c>
      <c r="C2581">
        <v>11</v>
      </c>
      <c r="D2581" t="s">
        <v>25</v>
      </c>
      <c r="E2581" t="s">
        <v>15</v>
      </c>
      <c r="F2581" s="2">
        <v>11617</v>
      </c>
      <c r="G2581" s="2">
        <f>Monthly_Growth!$C$24</f>
        <v>839001</v>
      </c>
      <c r="H2581" s="5">
        <f>Monthly_Growth!$D$24</f>
        <v>0.13075958920725625</v>
      </c>
      <c r="I2581" s="15">
        <f>Yearly_Growth!$C$3</f>
        <v>0.11893113731787852</v>
      </c>
      <c r="J2581" s="15">
        <f>Yearly_Growth!$D$3</f>
        <v>0.09</v>
      </c>
      <c r="K2581">
        <f>Sales_Per_Representative!$C$27</f>
        <v>617202</v>
      </c>
      <c r="L2581">
        <f>Sales_Per_Rep_Yearly_Goal!$B$3</f>
        <v>689907.8</v>
      </c>
      <c r="M2581">
        <f>Sales_Per_Rep_Yearly_Goal!$C$3</f>
        <v>690000</v>
      </c>
    </row>
    <row r="2582" spans="1:13" x14ac:dyDescent="0.3">
      <c r="A2582" s="3">
        <v>45611</v>
      </c>
      <c r="B2582">
        <f t="shared" si="40"/>
        <v>2024</v>
      </c>
      <c r="C2582">
        <v>11</v>
      </c>
      <c r="D2582" t="s">
        <v>17</v>
      </c>
      <c r="E2582" t="s">
        <v>8</v>
      </c>
      <c r="F2582" s="2">
        <v>11826</v>
      </c>
      <c r="G2582" s="2">
        <f>Monthly_Growth!$C$24</f>
        <v>839001</v>
      </c>
      <c r="H2582" s="5">
        <f>Monthly_Growth!$D$24</f>
        <v>0.13075958920725625</v>
      </c>
      <c r="I2582" s="15">
        <f>Yearly_Growth!$C$3</f>
        <v>0.11893113731787852</v>
      </c>
      <c r="J2582" s="15">
        <f>Yearly_Growth!$D$3</f>
        <v>0.09</v>
      </c>
      <c r="K2582">
        <f>Sales_Per_Representative!$C$30</f>
        <v>780006</v>
      </c>
      <c r="L2582">
        <f>Sales_Per_Rep_Yearly_Goal!$B$3</f>
        <v>689907.8</v>
      </c>
      <c r="M2582">
        <f>Sales_Per_Rep_Yearly_Goal!$C$3</f>
        <v>690000</v>
      </c>
    </row>
    <row r="2583" spans="1:13" x14ac:dyDescent="0.3">
      <c r="A2583" s="3">
        <v>45611</v>
      </c>
      <c r="B2583">
        <f t="shared" si="40"/>
        <v>2024</v>
      </c>
      <c r="C2583">
        <v>11</v>
      </c>
      <c r="D2583" t="s">
        <v>12</v>
      </c>
      <c r="E2583" t="s">
        <v>10</v>
      </c>
      <c r="F2583" s="2">
        <v>9739</v>
      </c>
      <c r="G2583" s="2">
        <f>Monthly_Growth!$C$24</f>
        <v>839001</v>
      </c>
      <c r="H2583" s="5">
        <f>Monthly_Growth!$D$24</f>
        <v>0.13075958920725625</v>
      </c>
      <c r="I2583" s="15">
        <f>Yearly_Growth!$C$3</f>
        <v>0.11893113731787852</v>
      </c>
      <c r="J2583" s="15">
        <f>Yearly_Growth!$D$3</f>
        <v>0.09</v>
      </c>
      <c r="K2583">
        <f>Sales_Per_Representative!$C$19</f>
        <v>711816</v>
      </c>
      <c r="L2583">
        <f>Sales_Per_Rep_Yearly_Goal!$B$3</f>
        <v>689907.8</v>
      </c>
      <c r="M2583">
        <f>Sales_Per_Rep_Yearly_Goal!$C$3</f>
        <v>690000</v>
      </c>
    </row>
    <row r="2584" spans="1:13" x14ac:dyDescent="0.3">
      <c r="A2584" s="3">
        <v>45612</v>
      </c>
      <c r="B2584">
        <f t="shared" si="40"/>
        <v>2024</v>
      </c>
      <c r="C2584">
        <v>11</v>
      </c>
      <c r="D2584" t="s">
        <v>19</v>
      </c>
      <c r="E2584" t="s">
        <v>32</v>
      </c>
      <c r="F2584" s="2">
        <v>7966</v>
      </c>
      <c r="G2584" s="2">
        <f>Monthly_Growth!$C$24</f>
        <v>839001</v>
      </c>
      <c r="H2584" s="5">
        <f>Monthly_Growth!$D$24</f>
        <v>0.13075958920725625</v>
      </c>
      <c r="I2584" s="15">
        <f>Yearly_Growth!$C$3</f>
        <v>0.11893113731787852</v>
      </c>
      <c r="J2584" s="15">
        <f>Yearly_Growth!$D$3</f>
        <v>0.09</v>
      </c>
      <c r="K2584">
        <f>Sales_Per_Representative!$C$18</f>
        <v>783907</v>
      </c>
      <c r="L2584">
        <f>Sales_Per_Rep_Yearly_Goal!$B$3</f>
        <v>689907.8</v>
      </c>
      <c r="M2584">
        <f>Sales_Per_Rep_Yearly_Goal!$C$3</f>
        <v>690000</v>
      </c>
    </row>
    <row r="2585" spans="1:13" x14ac:dyDescent="0.3">
      <c r="A2585" s="3">
        <v>45612</v>
      </c>
      <c r="B2585">
        <f t="shared" si="40"/>
        <v>2024</v>
      </c>
      <c r="C2585">
        <v>11</v>
      </c>
      <c r="D2585" t="s">
        <v>23</v>
      </c>
      <c r="E2585" t="s">
        <v>10</v>
      </c>
      <c r="F2585" s="2">
        <v>8501</v>
      </c>
      <c r="G2585" s="2">
        <f>Monthly_Growth!$C$24</f>
        <v>839001</v>
      </c>
      <c r="H2585" s="5">
        <f>Monthly_Growth!$D$24</f>
        <v>0.13075958920725625</v>
      </c>
      <c r="I2585" s="15">
        <f>Yearly_Growth!$C$3</f>
        <v>0.11893113731787852</v>
      </c>
      <c r="J2585" s="15">
        <f>Yearly_Growth!$D$3</f>
        <v>0.09</v>
      </c>
      <c r="K2585">
        <f>Sales_Per_Representative!$C$19</f>
        <v>711816</v>
      </c>
      <c r="L2585">
        <f>Sales_Per_Rep_Yearly_Goal!$B$3</f>
        <v>689907.8</v>
      </c>
      <c r="M2585">
        <f>Sales_Per_Rep_Yearly_Goal!$C$3</f>
        <v>690000</v>
      </c>
    </row>
    <row r="2586" spans="1:13" x14ac:dyDescent="0.3">
      <c r="A2586" s="3">
        <v>45613</v>
      </c>
      <c r="B2586">
        <f t="shared" si="40"/>
        <v>2024</v>
      </c>
      <c r="C2586">
        <v>11</v>
      </c>
      <c r="D2586" t="s">
        <v>19</v>
      </c>
      <c r="E2586" t="s">
        <v>33</v>
      </c>
      <c r="F2586" s="2">
        <v>2084</v>
      </c>
      <c r="G2586" s="2">
        <f>Monthly_Growth!$C$24</f>
        <v>839001</v>
      </c>
      <c r="H2586" s="5">
        <f>Monthly_Growth!$D$24</f>
        <v>0.13075958920725625</v>
      </c>
      <c r="I2586" s="15">
        <f>Yearly_Growth!$C$3</f>
        <v>0.11893113731787852</v>
      </c>
      <c r="J2586" s="15">
        <f>Yearly_Growth!$D$3</f>
        <v>0.09</v>
      </c>
      <c r="K2586">
        <f>Sales_Per_Representative!$C$26</f>
        <v>501360</v>
      </c>
      <c r="L2586">
        <f>Sales_Per_Rep_Yearly_Goal!$B$3</f>
        <v>689907.8</v>
      </c>
      <c r="M2586">
        <f>Sales_Per_Rep_Yearly_Goal!$C$3</f>
        <v>690000</v>
      </c>
    </row>
    <row r="2587" spans="1:13" x14ac:dyDescent="0.3">
      <c r="A2587" s="3">
        <v>45613</v>
      </c>
      <c r="B2587">
        <f t="shared" si="40"/>
        <v>2024</v>
      </c>
      <c r="C2587">
        <v>11</v>
      </c>
      <c r="D2587" t="s">
        <v>19</v>
      </c>
      <c r="E2587" t="s">
        <v>20</v>
      </c>
      <c r="F2587" s="2">
        <v>6057</v>
      </c>
      <c r="G2587" s="2">
        <f>Monthly_Growth!$C$24</f>
        <v>839001</v>
      </c>
      <c r="H2587" s="5">
        <f>Monthly_Growth!$D$24</f>
        <v>0.13075958920725625</v>
      </c>
      <c r="I2587" s="15">
        <f>Yearly_Growth!$C$3</f>
        <v>0.11893113731787852</v>
      </c>
      <c r="J2587" s="15">
        <f>Yearly_Growth!$D$3</f>
        <v>0.09</v>
      </c>
      <c r="K2587">
        <f>Sales_Per_Representative!$C$29</f>
        <v>753085</v>
      </c>
      <c r="L2587">
        <f>Sales_Per_Rep_Yearly_Goal!$B$3</f>
        <v>689907.8</v>
      </c>
      <c r="M2587">
        <f>Sales_Per_Rep_Yearly_Goal!$C$3</f>
        <v>690000</v>
      </c>
    </row>
    <row r="2588" spans="1:13" x14ac:dyDescent="0.3">
      <c r="A2588" s="3">
        <v>45613</v>
      </c>
      <c r="B2588">
        <f t="shared" si="40"/>
        <v>2024</v>
      </c>
      <c r="C2588">
        <v>11</v>
      </c>
      <c r="D2588" t="s">
        <v>23</v>
      </c>
      <c r="E2588" t="s">
        <v>30</v>
      </c>
      <c r="F2588" s="2">
        <v>1274</v>
      </c>
      <c r="G2588" s="2">
        <f>Monthly_Growth!$C$24</f>
        <v>839001</v>
      </c>
      <c r="H2588" s="5">
        <f>Monthly_Growth!$D$24</f>
        <v>0.13075958920725625</v>
      </c>
      <c r="I2588" s="15">
        <f>Yearly_Growth!$C$3</f>
        <v>0.11893113731787852</v>
      </c>
      <c r="J2588" s="15">
        <f>Yearly_Growth!$D$3</f>
        <v>0.09</v>
      </c>
      <c r="K2588">
        <f>Sales_Per_Representative!$C$22</f>
        <v>700142</v>
      </c>
      <c r="L2588">
        <f>Sales_Per_Rep_Yearly_Goal!$B$3</f>
        <v>689907.8</v>
      </c>
      <c r="M2588">
        <f>Sales_Per_Rep_Yearly_Goal!$C$3</f>
        <v>690000</v>
      </c>
    </row>
    <row r="2589" spans="1:13" x14ac:dyDescent="0.3">
      <c r="A2589" s="3">
        <v>45613</v>
      </c>
      <c r="B2589">
        <f t="shared" si="40"/>
        <v>2024</v>
      </c>
      <c r="C2589">
        <v>11</v>
      </c>
      <c r="D2589" t="s">
        <v>7</v>
      </c>
      <c r="E2589" t="s">
        <v>30</v>
      </c>
      <c r="F2589" s="2">
        <v>5609</v>
      </c>
      <c r="G2589" s="2">
        <f>Monthly_Growth!$C$24</f>
        <v>839001</v>
      </c>
      <c r="H2589" s="5">
        <f>Monthly_Growth!$D$24</f>
        <v>0.13075958920725625</v>
      </c>
      <c r="I2589" s="15">
        <f>Yearly_Growth!$C$3</f>
        <v>0.11893113731787852</v>
      </c>
      <c r="J2589" s="15">
        <f>Yearly_Growth!$D$3</f>
        <v>0.09</v>
      </c>
      <c r="K2589">
        <f>Sales_Per_Representative!$C$22</f>
        <v>700142</v>
      </c>
      <c r="L2589">
        <f>Sales_Per_Rep_Yearly_Goal!$B$3</f>
        <v>689907.8</v>
      </c>
      <c r="M2589">
        <f>Sales_Per_Rep_Yearly_Goal!$C$3</f>
        <v>690000</v>
      </c>
    </row>
    <row r="2590" spans="1:13" x14ac:dyDescent="0.3">
      <c r="A2590" s="3">
        <v>45613</v>
      </c>
      <c r="B2590">
        <f t="shared" si="40"/>
        <v>2024</v>
      </c>
      <c r="C2590">
        <v>11</v>
      </c>
      <c r="D2590" t="s">
        <v>7</v>
      </c>
      <c r="E2590" t="s">
        <v>32</v>
      </c>
      <c r="F2590" s="2">
        <v>3071</v>
      </c>
      <c r="G2590" s="2">
        <f>Monthly_Growth!$C$24</f>
        <v>839001</v>
      </c>
      <c r="H2590" s="5">
        <f>Monthly_Growth!$D$24</f>
        <v>0.13075958920725625</v>
      </c>
      <c r="I2590" s="15">
        <f>Yearly_Growth!$C$3</f>
        <v>0.11893113731787852</v>
      </c>
      <c r="J2590" s="15">
        <f>Yearly_Growth!$D$3</f>
        <v>0.09</v>
      </c>
      <c r="K2590">
        <f>Sales_Per_Representative!$C$18</f>
        <v>783907</v>
      </c>
      <c r="L2590">
        <f>Sales_Per_Rep_Yearly_Goal!$B$3</f>
        <v>689907.8</v>
      </c>
      <c r="M2590">
        <f>Sales_Per_Rep_Yearly_Goal!$C$3</f>
        <v>690000</v>
      </c>
    </row>
    <row r="2591" spans="1:13" x14ac:dyDescent="0.3">
      <c r="A2591" s="3">
        <v>45613</v>
      </c>
      <c r="B2591">
        <f t="shared" si="40"/>
        <v>2024</v>
      </c>
      <c r="C2591">
        <v>11</v>
      </c>
      <c r="D2591" t="s">
        <v>12</v>
      </c>
      <c r="E2591" t="s">
        <v>30</v>
      </c>
      <c r="F2591" s="2">
        <v>3564</v>
      </c>
      <c r="G2591" s="2">
        <f>Monthly_Growth!$C$24</f>
        <v>839001</v>
      </c>
      <c r="H2591" s="5">
        <f>Monthly_Growth!$D$24</f>
        <v>0.13075958920725625</v>
      </c>
      <c r="I2591" s="15">
        <f>Yearly_Growth!$C$3</f>
        <v>0.11893113731787852</v>
      </c>
      <c r="J2591" s="15">
        <f>Yearly_Growth!$D$3</f>
        <v>0.09</v>
      </c>
      <c r="K2591">
        <f>Sales_Per_Representative!$C$22</f>
        <v>700142</v>
      </c>
      <c r="L2591">
        <f>Sales_Per_Rep_Yearly_Goal!$B$3</f>
        <v>689907.8</v>
      </c>
      <c r="M2591">
        <f>Sales_Per_Rep_Yearly_Goal!$C$3</f>
        <v>690000</v>
      </c>
    </row>
    <row r="2592" spans="1:13" x14ac:dyDescent="0.3">
      <c r="A2592" s="3">
        <v>45614</v>
      </c>
      <c r="B2592">
        <f t="shared" si="40"/>
        <v>2024</v>
      </c>
      <c r="C2592">
        <v>11</v>
      </c>
      <c r="D2592" t="s">
        <v>28</v>
      </c>
      <c r="E2592" t="s">
        <v>24</v>
      </c>
      <c r="F2592" s="2">
        <v>5415</v>
      </c>
      <c r="G2592" s="2">
        <f>Monthly_Growth!$C$24</f>
        <v>839001</v>
      </c>
      <c r="H2592" s="5">
        <f>Monthly_Growth!$D$24</f>
        <v>0.13075958920725625</v>
      </c>
      <c r="I2592" s="15">
        <f>Yearly_Growth!$C$3</f>
        <v>0.11893113731787852</v>
      </c>
      <c r="J2592" s="15">
        <f>Yearly_Growth!$D$3</f>
        <v>0.09</v>
      </c>
      <c r="K2592">
        <f>Sales_Per_Representative!$C$17</f>
        <v>633956</v>
      </c>
      <c r="L2592">
        <f>Sales_Per_Rep_Yearly_Goal!$B$3</f>
        <v>689907.8</v>
      </c>
      <c r="M2592">
        <f>Sales_Per_Rep_Yearly_Goal!$C$3</f>
        <v>690000</v>
      </c>
    </row>
    <row r="2593" spans="1:13" x14ac:dyDescent="0.3">
      <c r="A2593" s="3">
        <v>45614</v>
      </c>
      <c r="B2593">
        <f t="shared" si="40"/>
        <v>2024</v>
      </c>
      <c r="C2593">
        <v>11</v>
      </c>
      <c r="D2593" t="s">
        <v>17</v>
      </c>
      <c r="E2593" t="s">
        <v>26</v>
      </c>
      <c r="F2593" s="2">
        <v>1731</v>
      </c>
      <c r="G2593" s="2">
        <f>Monthly_Growth!$C$24</f>
        <v>839001</v>
      </c>
      <c r="H2593" s="5">
        <f>Monthly_Growth!$D$24</f>
        <v>0.13075958920725625</v>
      </c>
      <c r="I2593" s="15">
        <f>Yearly_Growth!$C$3</f>
        <v>0.11893113731787852</v>
      </c>
      <c r="J2593" s="15">
        <f>Yearly_Growth!$D$3</f>
        <v>0.09</v>
      </c>
      <c r="K2593">
        <f>Sales_Per_Representative!$C$31</f>
        <v>664244</v>
      </c>
      <c r="L2593">
        <f>Sales_Per_Rep_Yearly_Goal!$B$3</f>
        <v>689907.8</v>
      </c>
      <c r="M2593">
        <f>Sales_Per_Rep_Yearly_Goal!$C$3</f>
        <v>690000</v>
      </c>
    </row>
    <row r="2594" spans="1:13" x14ac:dyDescent="0.3">
      <c r="A2594" s="3">
        <v>45615</v>
      </c>
      <c r="B2594">
        <f t="shared" si="40"/>
        <v>2024</v>
      </c>
      <c r="C2594">
        <v>11</v>
      </c>
      <c r="D2594" t="s">
        <v>14</v>
      </c>
      <c r="E2594" t="s">
        <v>18</v>
      </c>
      <c r="F2594" s="2">
        <v>6373</v>
      </c>
      <c r="G2594" s="2">
        <f>Monthly_Growth!$C$24</f>
        <v>839001</v>
      </c>
      <c r="H2594" s="5">
        <f>Monthly_Growth!$D$24</f>
        <v>0.13075958920725625</v>
      </c>
      <c r="I2594" s="15">
        <f>Yearly_Growth!$C$3</f>
        <v>0.11893113731787852</v>
      </c>
      <c r="J2594" s="15">
        <f>Yearly_Growth!$D$3</f>
        <v>0.09</v>
      </c>
      <c r="K2594">
        <f>Sales_Per_Representative!$C$24</f>
        <v>699277</v>
      </c>
      <c r="L2594">
        <f>Sales_Per_Rep_Yearly_Goal!$B$3</f>
        <v>689907.8</v>
      </c>
      <c r="M2594">
        <f>Sales_Per_Rep_Yearly_Goal!$C$3</f>
        <v>690000</v>
      </c>
    </row>
    <row r="2595" spans="1:13" x14ac:dyDescent="0.3">
      <c r="A2595" s="3">
        <v>45616</v>
      </c>
      <c r="B2595">
        <f t="shared" si="40"/>
        <v>2024</v>
      </c>
      <c r="C2595">
        <v>11</v>
      </c>
      <c r="D2595" t="s">
        <v>14</v>
      </c>
      <c r="E2595" t="s">
        <v>18</v>
      </c>
      <c r="F2595" s="2">
        <v>13523</v>
      </c>
      <c r="G2595" s="2">
        <f>Monthly_Growth!$C$24</f>
        <v>839001</v>
      </c>
      <c r="H2595" s="5">
        <f>Monthly_Growth!$D$24</f>
        <v>0.13075958920725625</v>
      </c>
      <c r="I2595" s="15">
        <f>Yearly_Growth!$C$3</f>
        <v>0.11893113731787852</v>
      </c>
      <c r="J2595" s="15">
        <f>Yearly_Growth!$D$3</f>
        <v>0.09</v>
      </c>
      <c r="K2595">
        <f>Sales_Per_Representative!$C$24</f>
        <v>699277</v>
      </c>
      <c r="L2595">
        <f>Sales_Per_Rep_Yearly_Goal!$B$3</f>
        <v>689907.8</v>
      </c>
      <c r="M2595">
        <f>Sales_Per_Rep_Yearly_Goal!$C$3</f>
        <v>690000</v>
      </c>
    </row>
    <row r="2596" spans="1:13" x14ac:dyDescent="0.3">
      <c r="A2596" s="3">
        <v>45616</v>
      </c>
      <c r="B2596">
        <f t="shared" si="40"/>
        <v>2024</v>
      </c>
      <c r="C2596">
        <v>11</v>
      </c>
      <c r="D2596" t="s">
        <v>14</v>
      </c>
      <c r="E2596" t="s">
        <v>8</v>
      </c>
      <c r="F2596" s="2">
        <v>6442</v>
      </c>
      <c r="G2596" s="2">
        <f>Monthly_Growth!$C$24</f>
        <v>839001</v>
      </c>
      <c r="H2596" s="5">
        <f>Monthly_Growth!$D$24</f>
        <v>0.13075958920725625</v>
      </c>
      <c r="I2596" s="15">
        <f>Yearly_Growth!$C$3</f>
        <v>0.11893113731787852</v>
      </c>
      <c r="J2596" s="15">
        <f>Yearly_Growth!$D$3</f>
        <v>0.09</v>
      </c>
      <c r="K2596">
        <f>Sales_Per_Representative!$C$30</f>
        <v>780006</v>
      </c>
      <c r="L2596">
        <f>Sales_Per_Rep_Yearly_Goal!$B$3</f>
        <v>689907.8</v>
      </c>
      <c r="M2596">
        <f>Sales_Per_Rep_Yearly_Goal!$C$3</f>
        <v>690000</v>
      </c>
    </row>
    <row r="2597" spans="1:13" x14ac:dyDescent="0.3">
      <c r="A2597" s="3">
        <v>45616</v>
      </c>
      <c r="B2597">
        <f t="shared" si="40"/>
        <v>2024</v>
      </c>
      <c r="C2597">
        <v>11</v>
      </c>
      <c r="D2597" t="s">
        <v>7</v>
      </c>
      <c r="E2597" t="s">
        <v>27</v>
      </c>
      <c r="F2597" s="2">
        <v>8256</v>
      </c>
      <c r="G2597" s="2">
        <f>Monthly_Growth!$C$24</f>
        <v>839001</v>
      </c>
      <c r="H2597" s="5">
        <f>Monthly_Growth!$D$24</f>
        <v>0.13075958920725625</v>
      </c>
      <c r="I2597" s="15">
        <f>Yearly_Growth!$C$3</f>
        <v>0.11893113731787852</v>
      </c>
      <c r="J2597" s="15">
        <f>Yearly_Growth!$D$3</f>
        <v>0.09</v>
      </c>
      <c r="K2597">
        <f>Sales_Per_Representative!$C$20</f>
        <v>685380</v>
      </c>
      <c r="L2597">
        <f>Sales_Per_Rep_Yearly_Goal!$B$3</f>
        <v>689907.8</v>
      </c>
      <c r="M2597">
        <f>Sales_Per_Rep_Yearly_Goal!$C$3</f>
        <v>690000</v>
      </c>
    </row>
    <row r="2598" spans="1:13" x14ac:dyDescent="0.3">
      <c r="A2598" s="3">
        <v>45616</v>
      </c>
      <c r="B2598">
        <f t="shared" si="40"/>
        <v>2024</v>
      </c>
      <c r="C2598">
        <v>11</v>
      </c>
      <c r="D2598" t="s">
        <v>12</v>
      </c>
      <c r="E2598" t="s">
        <v>31</v>
      </c>
      <c r="F2598" s="2">
        <v>9045</v>
      </c>
      <c r="G2598" s="2">
        <f>Monthly_Growth!$C$24</f>
        <v>839001</v>
      </c>
      <c r="H2598" s="5">
        <f>Monthly_Growth!$D$24</f>
        <v>0.13075958920725625</v>
      </c>
      <c r="I2598" s="15">
        <f>Yearly_Growth!$C$3</f>
        <v>0.11893113731787852</v>
      </c>
      <c r="J2598" s="15">
        <f>Yearly_Growth!$D$3</f>
        <v>0.09</v>
      </c>
      <c r="K2598">
        <f>Sales_Per_Representative!$C$21</f>
        <v>679421</v>
      </c>
      <c r="L2598">
        <f>Sales_Per_Rep_Yearly_Goal!$B$3</f>
        <v>689907.8</v>
      </c>
      <c r="M2598">
        <f>Sales_Per_Rep_Yearly_Goal!$C$3</f>
        <v>690000</v>
      </c>
    </row>
    <row r="2599" spans="1:13" x14ac:dyDescent="0.3">
      <c r="A2599" s="3">
        <v>45617</v>
      </c>
      <c r="B2599">
        <f t="shared" si="40"/>
        <v>2024</v>
      </c>
      <c r="C2599">
        <v>11</v>
      </c>
      <c r="D2599" t="s">
        <v>19</v>
      </c>
      <c r="E2599" t="s">
        <v>18</v>
      </c>
      <c r="F2599" s="2">
        <v>4689</v>
      </c>
      <c r="G2599" s="2">
        <f>Monthly_Growth!$C$24</f>
        <v>839001</v>
      </c>
      <c r="H2599" s="5">
        <f>Monthly_Growth!$D$24</f>
        <v>0.13075958920725625</v>
      </c>
      <c r="I2599" s="15">
        <f>Yearly_Growth!$C$3</f>
        <v>0.11893113731787852</v>
      </c>
      <c r="J2599" s="15">
        <f>Yearly_Growth!$D$3</f>
        <v>0.09</v>
      </c>
      <c r="K2599">
        <f>Sales_Per_Representative!$C$24</f>
        <v>699277</v>
      </c>
      <c r="L2599">
        <f>Sales_Per_Rep_Yearly_Goal!$B$3</f>
        <v>689907.8</v>
      </c>
      <c r="M2599">
        <f>Sales_Per_Rep_Yearly_Goal!$C$3</f>
        <v>690000</v>
      </c>
    </row>
    <row r="2600" spans="1:13" x14ac:dyDescent="0.3">
      <c r="A2600" s="3">
        <v>45617</v>
      </c>
      <c r="B2600">
        <f t="shared" si="40"/>
        <v>2024</v>
      </c>
      <c r="C2600">
        <v>11</v>
      </c>
      <c r="D2600" t="s">
        <v>23</v>
      </c>
      <c r="E2600" t="s">
        <v>22</v>
      </c>
      <c r="F2600" s="2">
        <v>12009</v>
      </c>
      <c r="G2600" s="2">
        <f>Monthly_Growth!$C$24</f>
        <v>839001</v>
      </c>
      <c r="H2600" s="5">
        <f>Monthly_Growth!$D$24</f>
        <v>0.13075958920725625</v>
      </c>
      <c r="I2600" s="15">
        <f>Yearly_Growth!$C$3</f>
        <v>0.11893113731787852</v>
      </c>
      <c r="J2600" s="15">
        <f>Yearly_Growth!$D$3</f>
        <v>0.09</v>
      </c>
      <c r="K2600">
        <f>Sales_Per_Representative!$C$23</f>
        <v>697444</v>
      </c>
      <c r="L2600">
        <f>Sales_Per_Rep_Yearly_Goal!$B$3</f>
        <v>689907.8</v>
      </c>
      <c r="M2600">
        <f>Sales_Per_Rep_Yearly_Goal!$C$3</f>
        <v>690000</v>
      </c>
    </row>
    <row r="2601" spans="1:13" x14ac:dyDescent="0.3">
      <c r="A2601" s="3">
        <v>45617</v>
      </c>
      <c r="B2601">
        <f t="shared" si="40"/>
        <v>2024</v>
      </c>
      <c r="C2601">
        <v>11</v>
      </c>
      <c r="D2601" t="s">
        <v>23</v>
      </c>
      <c r="E2601" t="s">
        <v>27</v>
      </c>
      <c r="F2601" s="2">
        <v>13211</v>
      </c>
      <c r="G2601" s="2">
        <f>Monthly_Growth!$C$24</f>
        <v>839001</v>
      </c>
      <c r="H2601" s="5">
        <f>Monthly_Growth!$D$24</f>
        <v>0.13075958920725625</v>
      </c>
      <c r="I2601" s="15">
        <f>Yearly_Growth!$C$3</f>
        <v>0.11893113731787852</v>
      </c>
      <c r="J2601" s="15">
        <f>Yearly_Growth!$D$3</f>
        <v>0.09</v>
      </c>
      <c r="K2601">
        <f>Sales_Per_Representative!$C$20</f>
        <v>685380</v>
      </c>
      <c r="L2601">
        <f>Sales_Per_Rep_Yearly_Goal!$B$3</f>
        <v>689907.8</v>
      </c>
      <c r="M2601">
        <f>Sales_Per_Rep_Yearly_Goal!$C$3</f>
        <v>690000</v>
      </c>
    </row>
    <row r="2602" spans="1:13" x14ac:dyDescent="0.3">
      <c r="A2602" s="3">
        <v>45617</v>
      </c>
      <c r="B2602">
        <f t="shared" si="40"/>
        <v>2024</v>
      </c>
      <c r="C2602">
        <v>11</v>
      </c>
      <c r="D2602" t="s">
        <v>28</v>
      </c>
      <c r="E2602" t="s">
        <v>31</v>
      </c>
      <c r="F2602" s="2">
        <v>2282</v>
      </c>
      <c r="G2602" s="2">
        <f>Monthly_Growth!$C$24</f>
        <v>839001</v>
      </c>
      <c r="H2602" s="5">
        <f>Monthly_Growth!$D$24</f>
        <v>0.13075958920725625</v>
      </c>
      <c r="I2602" s="15">
        <f>Yearly_Growth!$C$3</f>
        <v>0.11893113731787852</v>
      </c>
      <c r="J2602" s="15">
        <f>Yearly_Growth!$D$3</f>
        <v>0.09</v>
      </c>
      <c r="K2602">
        <f>Sales_Per_Representative!$C$21</f>
        <v>679421</v>
      </c>
      <c r="L2602">
        <f>Sales_Per_Rep_Yearly_Goal!$B$3</f>
        <v>689907.8</v>
      </c>
      <c r="M2602">
        <f>Sales_Per_Rep_Yearly_Goal!$C$3</f>
        <v>690000</v>
      </c>
    </row>
    <row r="2603" spans="1:13" x14ac:dyDescent="0.3">
      <c r="A2603" s="3">
        <v>45617</v>
      </c>
      <c r="B2603">
        <f t="shared" si="40"/>
        <v>2024</v>
      </c>
      <c r="C2603">
        <v>11</v>
      </c>
      <c r="D2603" t="s">
        <v>17</v>
      </c>
      <c r="E2603" t="s">
        <v>8</v>
      </c>
      <c r="F2603" s="2">
        <v>11855</v>
      </c>
      <c r="G2603" s="2">
        <f>Monthly_Growth!$C$24</f>
        <v>839001</v>
      </c>
      <c r="H2603" s="5">
        <f>Monthly_Growth!$D$24</f>
        <v>0.13075958920725625</v>
      </c>
      <c r="I2603" s="15">
        <f>Yearly_Growth!$C$3</f>
        <v>0.11893113731787852</v>
      </c>
      <c r="J2603" s="15">
        <f>Yearly_Growth!$D$3</f>
        <v>0.09</v>
      </c>
      <c r="K2603">
        <f>Sales_Per_Representative!$C$30</f>
        <v>780006</v>
      </c>
      <c r="L2603">
        <f>Sales_Per_Rep_Yearly_Goal!$B$3</f>
        <v>689907.8</v>
      </c>
      <c r="M2603">
        <f>Sales_Per_Rep_Yearly_Goal!$C$3</f>
        <v>690000</v>
      </c>
    </row>
    <row r="2604" spans="1:13" x14ac:dyDescent="0.3">
      <c r="A2604" s="3">
        <v>45617</v>
      </c>
      <c r="B2604">
        <f t="shared" si="40"/>
        <v>2024</v>
      </c>
      <c r="C2604">
        <v>11</v>
      </c>
      <c r="D2604" t="s">
        <v>12</v>
      </c>
      <c r="E2604" t="s">
        <v>27</v>
      </c>
      <c r="F2604" s="2">
        <v>2645</v>
      </c>
      <c r="G2604" s="2">
        <f>Monthly_Growth!$C$24</f>
        <v>839001</v>
      </c>
      <c r="H2604" s="5">
        <f>Monthly_Growth!$D$24</f>
        <v>0.13075958920725625</v>
      </c>
      <c r="I2604" s="15">
        <f>Yearly_Growth!$C$3</f>
        <v>0.11893113731787852</v>
      </c>
      <c r="J2604" s="15">
        <f>Yearly_Growth!$D$3</f>
        <v>0.09</v>
      </c>
      <c r="K2604">
        <f>Sales_Per_Representative!$C$20</f>
        <v>685380</v>
      </c>
      <c r="L2604">
        <f>Sales_Per_Rep_Yearly_Goal!$B$3</f>
        <v>689907.8</v>
      </c>
      <c r="M2604">
        <f>Sales_Per_Rep_Yearly_Goal!$C$3</f>
        <v>690000</v>
      </c>
    </row>
    <row r="2605" spans="1:13" x14ac:dyDescent="0.3">
      <c r="A2605" s="3">
        <v>45618</v>
      </c>
      <c r="B2605">
        <f t="shared" si="40"/>
        <v>2024</v>
      </c>
      <c r="C2605">
        <v>11</v>
      </c>
      <c r="D2605" t="s">
        <v>19</v>
      </c>
      <c r="E2605" t="s">
        <v>10</v>
      </c>
      <c r="F2605" s="2">
        <v>1007</v>
      </c>
      <c r="G2605" s="2">
        <f>Monthly_Growth!$C$24</f>
        <v>839001</v>
      </c>
      <c r="H2605" s="5">
        <f>Monthly_Growth!$D$24</f>
        <v>0.13075958920725625</v>
      </c>
      <c r="I2605" s="15">
        <f>Yearly_Growth!$C$3</f>
        <v>0.11893113731787852</v>
      </c>
      <c r="J2605" s="15">
        <f>Yearly_Growth!$D$3</f>
        <v>0.09</v>
      </c>
      <c r="K2605">
        <f>Sales_Per_Representative!$C$19</f>
        <v>711816</v>
      </c>
      <c r="L2605">
        <f>Sales_Per_Rep_Yearly_Goal!$B$3</f>
        <v>689907.8</v>
      </c>
      <c r="M2605">
        <f>Sales_Per_Rep_Yearly_Goal!$C$3</f>
        <v>690000</v>
      </c>
    </row>
    <row r="2606" spans="1:13" x14ac:dyDescent="0.3">
      <c r="A2606" s="3">
        <v>45618</v>
      </c>
      <c r="B2606">
        <f t="shared" si="40"/>
        <v>2024</v>
      </c>
      <c r="C2606">
        <v>11</v>
      </c>
      <c r="D2606" t="s">
        <v>25</v>
      </c>
      <c r="E2606" t="s">
        <v>18</v>
      </c>
      <c r="F2606" s="2">
        <v>10328</v>
      </c>
      <c r="G2606" s="2">
        <f>Monthly_Growth!$C$24</f>
        <v>839001</v>
      </c>
      <c r="H2606" s="5">
        <f>Monthly_Growth!$D$24</f>
        <v>0.13075958920725625</v>
      </c>
      <c r="I2606" s="15">
        <f>Yearly_Growth!$C$3</f>
        <v>0.11893113731787852</v>
      </c>
      <c r="J2606" s="15">
        <f>Yearly_Growth!$D$3</f>
        <v>0.09</v>
      </c>
      <c r="K2606">
        <f>Sales_Per_Representative!$C$24</f>
        <v>699277</v>
      </c>
      <c r="L2606">
        <f>Sales_Per_Rep_Yearly_Goal!$B$3</f>
        <v>689907.8</v>
      </c>
      <c r="M2606">
        <f>Sales_Per_Rep_Yearly_Goal!$C$3</f>
        <v>690000</v>
      </c>
    </row>
    <row r="2607" spans="1:13" x14ac:dyDescent="0.3">
      <c r="A2607" s="3">
        <v>45618</v>
      </c>
      <c r="B2607">
        <f t="shared" si="40"/>
        <v>2024</v>
      </c>
      <c r="C2607">
        <v>11</v>
      </c>
      <c r="D2607" t="s">
        <v>7</v>
      </c>
      <c r="E2607" t="s">
        <v>18</v>
      </c>
      <c r="F2607" s="2">
        <v>5474</v>
      </c>
      <c r="G2607" s="2">
        <f>Monthly_Growth!$C$24</f>
        <v>839001</v>
      </c>
      <c r="H2607" s="5">
        <f>Monthly_Growth!$D$24</f>
        <v>0.13075958920725625</v>
      </c>
      <c r="I2607" s="15">
        <f>Yearly_Growth!$C$3</f>
        <v>0.11893113731787852</v>
      </c>
      <c r="J2607" s="15">
        <f>Yearly_Growth!$D$3</f>
        <v>0.09</v>
      </c>
      <c r="K2607">
        <f>Sales_Per_Representative!$C$24</f>
        <v>699277</v>
      </c>
      <c r="L2607">
        <f>Sales_Per_Rep_Yearly_Goal!$B$3</f>
        <v>689907.8</v>
      </c>
      <c r="M2607">
        <f>Sales_Per_Rep_Yearly_Goal!$C$3</f>
        <v>690000</v>
      </c>
    </row>
    <row r="2608" spans="1:13" x14ac:dyDescent="0.3">
      <c r="A2608" s="3">
        <v>45619</v>
      </c>
      <c r="B2608">
        <f t="shared" si="40"/>
        <v>2024</v>
      </c>
      <c r="C2608">
        <v>11</v>
      </c>
      <c r="D2608" t="s">
        <v>28</v>
      </c>
      <c r="E2608" t="s">
        <v>26</v>
      </c>
      <c r="F2608" s="2">
        <v>5413</v>
      </c>
      <c r="G2608" s="2">
        <f>Monthly_Growth!$C$24</f>
        <v>839001</v>
      </c>
      <c r="H2608" s="5">
        <f>Monthly_Growth!$D$24</f>
        <v>0.13075958920725625</v>
      </c>
      <c r="I2608" s="15">
        <f>Yearly_Growth!$C$3</f>
        <v>0.11893113731787852</v>
      </c>
      <c r="J2608" s="15">
        <f>Yearly_Growth!$D$3</f>
        <v>0.09</v>
      </c>
      <c r="K2608">
        <f>Sales_Per_Representative!$C$31</f>
        <v>664244</v>
      </c>
      <c r="L2608">
        <f>Sales_Per_Rep_Yearly_Goal!$B$3</f>
        <v>689907.8</v>
      </c>
      <c r="M2608">
        <f>Sales_Per_Rep_Yearly_Goal!$C$3</f>
        <v>690000</v>
      </c>
    </row>
    <row r="2609" spans="1:13" x14ac:dyDescent="0.3">
      <c r="A2609" s="3">
        <v>45619</v>
      </c>
      <c r="B2609">
        <f t="shared" si="40"/>
        <v>2024</v>
      </c>
      <c r="C2609">
        <v>11</v>
      </c>
      <c r="D2609" t="s">
        <v>12</v>
      </c>
      <c r="E2609" t="s">
        <v>8</v>
      </c>
      <c r="F2609" s="2">
        <v>10497</v>
      </c>
      <c r="G2609" s="2">
        <f>Monthly_Growth!$C$24</f>
        <v>839001</v>
      </c>
      <c r="H2609" s="5">
        <f>Monthly_Growth!$D$24</f>
        <v>0.13075958920725625</v>
      </c>
      <c r="I2609" s="15">
        <f>Yearly_Growth!$C$3</f>
        <v>0.11893113731787852</v>
      </c>
      <c r="J2609" s="15">
        <f>Yearly_Growth!$D$3</f>
        <v>0.09</v>
      </c>
      <c r="K2609">
        <f>Sales_Per_Representative!$C$30</f>
        <v>780006</v>
      </c>
      <c r="L2609">
        <f>Sales_Per_Rep_Yearly_Goal!$B$3</f>
        <v>689907.8</v>
      </c>
      <c r="M2609">
        <f>Sales_Per_Rep_Yearly_Goal!$C$3</f>
        <v>690000</v>
      </c>
    </row>
    <row r="2610" spans="1:13" x14ac:dyDescent="0.3">
      <c r="A2610" s="3">
        <v>45619</v>
      </c>
      <c r="B2610">
        <f t="shared" si="40"/>
        <v>2024</v>
      </c>
      <c r="C2610">
        <v>11</v>
      </c>
      <c r="D2610" t="s">
        <v>12</v>
      </c>
      <c r="E2610" t="s">
        <v>32</v>
      </c>
      <c r="F2610" s="2">
        <v>1579</v>
      </c>
      <c r="G2610" s="2">
        <f>Monthly_Growth!$C$24</f>
        <v>839001</v>
      </c>
      <c r="H2610" s="5">
        <f>Monthly_Growth!$D$24</f>
        <v>0.13075958920725625</v>
      </c>
      <c r="I2610" s="15">
        <f>Yearly_Growth!$C$3</f>
        <v>0.11893113731787852</v>
      </c>
      <c r="J2610" s="15">
        <f>Yearly_Growth!$D$3</f>
        <v>0.09</v>
      </c>
      <c r="K2610">
        <f>Sales_Per_Representative!$C$18</f>
        <v>783907</v>
      </c>
      <c r="L2610">
        <f>Sales_Per_Rep_Yearly_Goal!$B$3</f>
        <v>689907.8</v>
      </c>
      <c r="M2610">
        <f>Sales_Per_Rep_Yearly_Goal!$C$3</f>
        <v>690000</v>
      </c>
    </row>
    <row r="2611" spans="1:13" x14ac:dyDescent="0.3">
      <c r="A2611" s="3">
        <v>45620</v>
      </c>
      <c r="B2611">
        <f t="shared" si="40"/>
        <v>2024</v>
      </c>
      <c r="C2611">
        <v>11</v>
      </c>
      <c r="D2611" t="s">
        <v>14</v>
      </c>
      <c r="E2611" t="s">
        <v>32</v>
      </c>
      <c r="F2611" s="2">
        <v>11621</v>
      </c>
      <c r="G2611" s="2">
        <f>Monthly_Growth!$C$24</f>
        <v>839001</v>
      </c>
      <c r="H2611" s="5">
        <f>Monthly_Growth!$D$24</f>
        <v>0.13075958920725625</v>
      </c>
      <c r="I2611" s="15">
        <f>Yearly_Growth!$C$3</f>
        <v>0.11893113731787852</v>
      </c>
      <c r="J2611" s="15">
        <f>Yearly_Growth!$D$3</f>
        <v>0.09</v>
      </c>
      <c r="K2611">
        <f>Sales_Per_Representative!$C$18</f>
        <v>783907</v>
      </c>
      <c r="L2611">
        <f>Sales_Per_Rep_Yearly_Goal!$B$3</f>
        <v>689907.8</v>
      </c>
      <c r="M2611">
        <f>Sales_Per_Rep_Yearly_Goal!$C$3</f>
        <v>690000</v>
      </c>
    </row>
    <row r="2612" spans="1:13" x14ac:dyDescent="0.3">
      <c r="A2612" s="3">
        <v>45620</v>
      </c>
      <c r="B2612">
        <f t="shared" si="40"/>
        <v>2024</v>
      </c>
      <c r="C2612">
        <v>11</v>
      </c>
      <c r="D2612" t="s">
        <v>23</v>
      </c>
      <c r="E2612" t="s">
        <v>15</v>
      </c>
      <c r="F2612" s="2">
        <v>3768</v>
      </c>
      <c r="G2612" s="2">
        <f>Monthly_Growth!$C$24</f>
        <v>839001</v>
      </c>
      <c r="H2612" s="5">
        <f>Monthly_Growth!$D$24</f>
        <v>0.13075958920725625</v>
      </c>
      <c r="I2612" s="15">
        <f>Yearly_Growth!$C$3</f>
        <v>0.11893113731787852</v>
      </c>
      <c r="J2612" s="15">
        <f>Yearly_Growth!$D$3</f>
        <v>0.09</v>
      </c>
      <c r="K2612">
        <f>Sales_Per_Representative!$C$27</f>
        <v>617202</v>
      </c>
      <c r="L2612">
        <f>Sales_Per_Rep_Yearly_Goal!$B$3</f>
        <v>689907.8</v>
      </c>
      <c r="M2612">
        <f>Sales_Per_Rep_Yearly_Goal!$C$3</f>
        <v>690000</v>
      </c>
    </row>
    <row r="2613" spans="1:13" x14ac:dyDescent="0.3">
      <c r="A2613" s="3">
        <v>45620</v>
      </c>
      <c r="B2613">
        <f t="shared" si="40"/>
        <v>2024</v>
      </c>
      <c r="C2613">
        <v>11</v>
      </c>
      <c r="D2613" t="s">
        <v>17</v>
      </c>
      <c r="E2613" t="s">
        <v>29</v>
      </c>
      <c r="F2613" s="2">
        <v>5627</v>
      </c>
      <c r="G2613" s="2">
        <f>Monthly_Growth!$C$24</f>
        <v>839001</v>
      </c>
      <c r="H2613" s="5">
        <f>Monthly_Growth!$D$24</f>
        <v>0.13075958920725625</v>
      </c>
      <c r="I2613" s="15">
        <f>Yearly_Growth!$C$3</f>
        <v>0.11893113731787852</v>
      </c>
      <c r="J2613" s="15">
        <f>Yearly_Growth!$D$3</f>
        <v>0.09</v>
      </c>
      <c r="K2613">
        <f>Sales_Per_Representative!$C$28</f>
        <v>691917</v>
      </c>
      <c r="L2613">
        <f>Sales_Per_Rep_Yearly_Goal!$B$3</f>
        <v>689907.8</v>
      </c>
      <c r="M2613">
        <f>Sales_Per_Rep_Yearly_Goal!$C$3</f>
        <v>690000</v>
      </c>
    </row>
    <row r="2614" spans="1:13" x14ac:dyDescent="0.3">
      <c r="A2614" s="3">
        <v>45621</v>
      </c>
      <c r="B2614">
        <f t="shared" si="40"/>
        <v>2024</v>
      </c>
      <c r="C2614">
        <v>11</v>
      </c>
      <c r="D2614" t="s">
        <v>19</v>
      </c>
      <c r="E2614" t="s">
        <v>22</v>
      </c>
      <c r="F2614" s="2">
        <v>13324</v>
      </c>
      <c r="G2614" s="2">
        <f>Monthly_Growth!$C$24</f>
        <v>839001</v>
      </c>
      <c r="H2614" s="5">
        <f>Monthly_Growth!$D$24</f>
        <v>0.13075958920725625</v>
      </c>
      <c r="I2614" s="15">
        <f>Yearly_Growth!$C$3</f>
        <v>0.11893113731787852</v>
      </c>
      <c r="J2614" s="15">
        <f>Yearly_Growth!$D$3</f>
        <v>0.09</v>
      </c>
      <c r="K2614">
        <f>Sales_Per_Representative!$C$23</f>
        <v>697444</v>
      </c>
      <c r="L2614">
        <f>Sales_Per_Rep_Yearly_Goal!$B$3</f>
        <v>689907.8</v>
      </c>
      <c r="M2614">
        <f>Sales_Per_Rep_Yearly_Goal!$C$3</f>
        <v>690000</v>
      </c>
    </row>
    <row r="2615" spans="1:13" x14ac:dyDescent="0.3">
      <c r="A2615" s="3">
        <v>45621</v>
      </c>
      <c r="B2615">
        <f t="shared" si="40"/>
        <v>2024</v>
      </c>
      <c r="C2615">
        <v>11</v>
      </c>
      <c r="D2615" t="s">
        <v>19</v>
      </c>
      <c r="E2615" t="s">
        <v>31</v>
      </c>
      <c r="F2615" s="2">
        <v>4162</v>
      </c>
      <c r="G2615" s="2">
        <f>Monthly_Growth!$C$24</f>
        <v>839001</v>
      </c>
      <c r="H2615" s="5">
        <f>Monthly_Growth!$D$24</f>
        <v>0.13075958920725625</v>
      </c>
      <c r="I2615" s="15">
        <f>Yearly_Growth!$C$3</f>
        <v>0.11893113731787852</v>
      </c>
      <c r="J2615" s="15">
        <f>Yearly_Growth!$D$3</f>
        <v>0.09</v>
      </c>
      <c r="K2615">
        <f>Sales_Per_Representative!$C$21</f>
        <v>679421</v>
      </c>
      <c r="L2615">
        <f>Sales_Per_Rep_Yearly_Goal!$B$3</f>
        <v>689907.8</v>
      </c>
      <c r="M2615">
        <f>Sales_Per_Rep_Yearly_Goal!$C$3</f>
        <v>690000</v>
      </c>
    </row>
    <row r="2616" spans="1:13" x14ac:dyDescent="0.3">
      <c r="A2616" s="3">
        <v>45621</v>
      </c>
      <c r="B2616">
        <f t="shared" si="40"/>
        <v>2024</v>
      </c>
      <c r="C2616">
        <v>11</v>
      </c>
      <c r="D2616" t="s">
        <v>23</v>
      </c>
      <c r="E2616" t="s">
        <v>5</v>
      </c>
      <c r="F2616" s="2">
        <v>5928</v>
      </c>
      <c r="G2616" s="2">
        <f>Monthly_Growth!$C$24</f>
        <v>839001</v>
      </c>
      <c r="H2616" s="5">
        <f>Monthly_Growth!$D$24</f>
        <v>0.13075958920725625</v>
      </c>
      <c r="I2616" s="15">
        <f>Yearly_Growth!$C$3</f>
        <v>0.11893113731787852</v>
      </c>
      <c r="J2616" s="15">
        <f>Yearly_Growth!$D$3</f>
        <v>0.09</v>
      </c>
      <c r="K2616">
        <f>Sales_Per_Representative!$C$25</f>
        <v>749460</v>
      </c>
      <c r="L2616">
        <f>Sales_Per_Rep_Yearly_Goal!$B$3</f>
        <v>689907.8</v>
      </c>
      <c r="M2616">
        <f>Sales_Per_Rep_Yearly_Goal!$C$3</f>
        <v>690000</v>
      </c>
    </row>
    <row r="2617" spans="1:13" x14ac:dyDescent="0.3">
      <c r="A2617" s="3">
        <v>45621</v>
      </c>
      <c r="B2617">
        <f t="shared" si="40"/>
        <v>2024</v>
      </c>
      <c r="C2617">
        <v>11</v>
      </c>
      <c r="D2617" t="s">
        <v>7</v>
      </c>
      <c r="E2617" t="s">
        <v>18</v>
      </c>
      <c r="F2617" s="2">
        <v>9513</v>
      </c>
      <c r="G2617" s="2">
        <f>Monthly_Growth!$C$24</f>
        <v>839001</v>
      </c>
      <c r="H2617" s="5">
        <f>Monthly_Growth!$D$24</f>
        <v>0.13075958920725625</v>
      </c>
      <c r="I2617" s="15">
        <f>Yearly_Growth!$C$3</f>
        <v>0.11893113731787852</v>
      </c>
      <c r="J2617" s="15">
        <f>Yearly_Growth!$D$3</f>
        <v>0.09</v>
      </c>
      <c r="K2617">
        <f>Sales_Per_Representative!$C$24</f>
        <v>699277</v>
      </c>
      <c r="L2617">
        <f>Sales_Per_Rep_Yearly_Goal!$B$3</f>
        <v>689907.8</v>
      </c>
      <c r="M2617">
        <f>Sales_Per_Rep_Yearly_Goal!$C$3</f>
        <v>690000</v>
      </c>
    </row>
    <row r="2618" spans="1:13" x14ac:dyDescent="0.3">
      <c r="A2618" s="3">
        <v>45621</v>
      </c>
      <c r="B2618">
        <f t="shared" si="40"/>
        <v>2024</v>
      </c>
      <c r="C2618">
        <v>11</v>
      </c>
      <c r="D2618" t="s">
        <v>7</v>
      </c>
      <c r="E2618" t="s">
        <v>5</v>
      </c>
      <c r="F2618" s="2">
        <v>4725</v>
      </c>
      <c r="G2618" s="2">
        <f>Monthly_Growth!$C$24</f>
        <v>839001</v>
      </c>
      <c r="H2618" s="5">
        <f>Monthly_Growth!$D$24</f>
        <v>0.13075958920725625</v>
      </c>
      <c r="I2618" s="15">
        <f>Yearly_Growth!$C$3</f>
        <v>0.11893113731787852</v>
      </c>
      <c r="J2618" s="15">
        <f>Yearly_Growth!$D$3</f>
        <v>0.09</v>
      </c>
      <c r="K2618">
        <f>Sales_Per_Representative!$C$25</f>
        <v>749460</v>
      </c>
      <c r="L2618">
        <f>Sales_Per_Rep_Yearly_Goal!$B$3</f>
        <v>689907.8</v>
      </c>
      <c r="M2618">
        <f>Sales_Per_Rep_Yearly_Goal!$C$3</f>
        <v>690000</v>
      </c>
    </row>
    <row r="2619" spans="1:13" x14ac:dyDescent="0.3">
      <c r="A2619" s="3">
        <v>45621</v>
      </c>
      <c r="B2619">
        <f t="shared" si="40"/>
        <v>2024</v>
      </c>
      <c r="C2619">
        <v>11</v>
      </c>
      <c r="D2619" t="s">
        <v>7</v>
      </c>
      <c r="E2619" t="s">
        <v>30</v>
      </c>
      <c r="F2619" s="2">
        <v>5279</v>
      </c>
      <c r="G2619" s="2">
        <f>Monthly_Growth!$C$24</f>
        <v>839001</v>
      </c>
      <c r="H2619" s="5">
        <f>Monthly_Growth!$D$24</f>
        <v>0.13075958920725625</v>
      </c>
      <c r="I2619" s="15">
        <f>Yearly_Growth!$C$3</f>
        <v>0.11893113731787852</v>
      </c>
      <c r="J2619" s="15">
        <f>Yearly_Growth!$D$3</f>
        <v>0.09</v>
      </c>
      <c r="K2619">
        <f>Sales_Per_Representative!$C$22</f>
        <v>700142</v>
      </c>
      <c r="L2619">
        <f>Sales_Per_Rep_Yearly_Goal!$B$3</f>
        <v>689907.8</v>
      </c>
      <c r="M2619">
        <f>Sales_Per_Rep_Yearly_Goal!$C$3</f>
        <v>690000</v>
      </c>
    </row>
    <row r="2620" spans="1:13" x14ac:dyDescent="0.3">
      <c r="A2620" s="3">
        <v>45621</v>
      </c>
      <c r="B2620">
        <f t="shared" si="40"/>
        <v>2024</v>
      </c>
      <c r="C2620">
        <v>11</v>
      </c>
      <c r="D2620" t="s">
        <v>12</v>
      </c>
      <c r="E2620" t="s">
        <v>22</v>
      </c>
      <c r="F2620" s="2">
        <v>13624</v>
      </c>
      <c r="G2620" s="2">
        <f>Monthly_Growth!$C$24</f>
        <v>839001</v>
      </c>
      <c r="H2620" s="5">
        <f>Monthly_Growth!$D$24</f>
        <v>0.13075958920725625</v>
      </c>
      <c r="I2620" s="15">
        <f>Yearly_Growth!$C$3</f>
        <v>0.11893113731787852</v>
      </c>
      <c r="J2620" s="15">
        <f>Yearly_Growth!$D$3</f>
        <v>0.09</v>
      </c>
      <c r="K2620">
        <f>Sales_Per_Representative!$C$23</f>
        <v>697444</v>
      </c>
      <c r="L2620">
        <f>Sales_Per_Rep_Yearly_Goal!$B$3</f>
        <v>689907.8</v>
      </c>
      <c r="M2620">
        <f>Sales_Per_Rep_Yearly_Goal!$C$3</f>
        <v>690000</v>
      </c>
    </row>
    <row r="2621" spans="1:13" x14ac:dyDescent="0.3">
      <c r="A2621" s="3">
        <v>45622</v>
      </c>
      <c r="B2621">
        <f t="shared" si="40"/>
        <v>2024</v>
      </c>
      <c r="C2621">
        <v>11</v>
      </c>
      <c r="D2621" t="s">
        <v>28</v>
      </c>
      <c r="E2621" t="s">
        <v>31</v>
      </c>
      <c r="F2621" s="2">
        <v>9019</v>
      </c>
      <c r="G2621" s="2">
        <f>Monthly_Growth!$C$24</f>
        <v>839001</v>
      </c>
      <c r="H2621" s="5">
        <f>Monthly_Growth!$D$24</f>
        <v>0.13075958920725625</v>
      </c>
      <c r="I2621" s="15">
        <f>Yearly_Growth!$C$3</f>
        <v>0.11893113731787852</v>
      </c>
      <c r="J2621" s="15">
        <f>Yearly_Growth!$D$3</f>
        <v>0.09</v>
      </c>
      <c r="K2621">
        <f>Sales_Per_Representative!$C$21</f>
        <v>679421</v>
      </c>
      <c r="L2621">
        <f>Sales_Per_Rep_Yearly_Goal!$B$3</f>
        <v>689907.8</v>
      </c>
      <c r="M2621">
        <f>Sales_Per_Rep_Yearly_Goal!$C$3</f>
        <v>690000</v>
      </c>
    </row>
    <row r="2622" spans="1:13" x14ac:dyDescent="0.3">
      <c r="A2622" s="3">
        <v>45622</v>
      </c>
      <c r="B2622">
        <f t="shared" si="40"/>
        <v>2024</v>
      </c>
      <c r="C2622">
        <v>11</v>
      </c>
      <c r="D2622" t="s">
        <v>17</v>
      </c>
      <c r="E2622" t="s">
        <v>32</v>
      </c>
      <c r="F2622" s="2">
        <v>4996</v>
      </c>
      <c r="G2622" s="2">
        <f>Monthly_Growth!$C$24</f>
        <v>839001</v>
      </c>
      <c r="H2622" s="5">
        <f>Monthly_Growth!$D$24</f>
        <v>0.13075958920725625</v>
      </c>
      <c r="I2622" s="15">
        <f>Yearly_Growth!$C$3</f>
        <v>0.11893113731787852</v>
      </c>
      <c r="J2622" s="15">
        <f>Yearly_Growth!$D$3</f>
        <v>0.09</v>
      </c>
      <c r="K2622">
        <f>Sales_Per_Representative!$C$18</f>
        <v>783907</v>
      </c>
      <c r="L2622">
        <f>Sales_Per_Rep_Yearly_Goal!$B$3</f>
        <v>689907.8</v>
      </c>
      <c r="M2622">
        <f>Sales_Per_Rep_Yearly_Goal!$C$3</f>
        <v>690000</v>
      </c>
    </row>
    <row r="2623" spans="1:13" x14ac:dyDescent="0.3">
      <c r="A2623" s="3">
        <v>45623</v>
      </c>
      <c r="B2623">
        <f t="shared" si="40"/>
        <v>2024</v>
      </c>
      <c r="C2623">
        <v>11</v>
      </c>
      <c r="D2623" t="s">
        <v>14</v>
      </c>
      <c r="E2623" t="s">
        <v>31</v>
      </c>
      <c r="F2623" s="2">
        <v>13309</v>
      </c>
      <c r="G2623" s="2">
        <f>Monthly_Growth!$C$24</f>
        <v>839001</v>
      </c>
      <c r="H2623" s="5">
        <f>Monthly_Growth!$D$24</f>
        <v>0.13075958920725625</v>
      </c>
      <c r="I2623" s="15">
        <f>Yearly_Growth!$C$3</f>
        <v>0.11893113731787852</v>
      </c>
      <c r="J2623" s="15">
        <f>Yearly_Growth!$D$3</f>
        <v>0.09</v>
      </c>
      <c r="K2623">
        <f>Sales_Per_Representative!$C$21</f>
        <v>679421</v>
      </c>
      <c r="L2623">
        <f>Sales_Per_Rep_Yearly_Goal!$B$3</f>
        <v>689907.8</v>
      </c>
      <c r="M2623">
        <f>Sales_Per_Rep_Yearly_Goal!$C$3</f>
        <v>690000</v>
      </c>
    </row>
    <row r="2624" spans="1:13" x14ac:dyDescent="0.3">
      <c r="A2624" s="3">
        <v>45623</v>
      </c>
      <c r="B2624">
        <f t="shared" si="40"/>
        <v>2024</v>
      </c>
      <c r="C2624">
        <v>11</v>
      </c>
      <c r="D2624" t="s">
        <v>17</v>
      </c>
      <c r="E2624" t="s">
        <v>30</v>
      </c>
      <c r="F2624" s="2">
        <v>2274</v>
      </c>
      <c r="G2624" s="2">
        <f>Monthly_Growth!$C$24</f>
        <v>839001</v>
      </c>
      <c r="H2624" s="5">
        <f>Monthly_Growth!$D$24</f>
        <v>0.13075958920725625</v>
      </c>
      <c r="I2624" s="15">
        <f>Yearly_Growth!$C$3</f>
        <v>0.11893113731787852</v>
      </c>
      <c r="J2624" s="15">
        <f>Yearly_Growth!$D$3</f>
        <v>0.09</v>
      </c>
      <c r="K2624">
        <f>Sales_Per_Representative!$C$22</f>
        <v>700142</v>
      </c>
      <c r="L2624">
        <f>Sales_Per_Rep_Yearly_Goal!$B$3</f>
        <v>689907.8</v>
      </c>
      <c r="M2624">
        <f>Sales_Per_Rep_Yearly_Goal!$C$3</f>
        <v>690000</v>
      </c>
    </row>
    <row r="2625" spans="1:13" x14ac:dyDescent="0.3">
      <c r="A2625" s="3">
        <v>45624</v>
      </c>
      <c r="B2625">
        <f t="shared" si="40"/>
        <v>2024</v>
      </c>
      <c r="C2625">
        <v>11</v>
      </c>
      <c r="D2625" t="s">
        <v>14</v>
      </c>
      <c r="E2625" t="s">
        <v>33</v>
      </c>
      <c r="F2625" s="2">
        <v>6086</v>
      </c>
      <c r="G2625" s="2">
        <f>Monthly_Growth!$C$24</f>
        <v>839001</v>
      </c>
      <c r="H2625" s="5">
        <f>Monthly_Growth!$D$24</f>
        <v>0.13075958920725625</v>
      </c>
      <c r="I2625" s="15">
        <f>Yearly_Growth!$C$3</f>
        <v>0.11893113731787852</v>
      </c>
      <c r="J2625" s="15">
        <f>Yearly_Growth!$D$3</f>
        <v>0.09</v>
      </c>
      <c r="K2625">
        <f>Sales_Per_Representative!$C$26</f>
        <v>501360</v>
      </c>
      <c r="L2625">
        <f>Sales_Per_Rep_Yearly_Goal!$B$3</f>
        <v>689907.8</v>
      </c>
      <c r="M2625">
        <f>Sales_Per_Rep_Yearly_Goal!$C$3</f>
        <v>690000</v>
      </c>
    </row>
    <row r="2626" spans="1:13" x14ac:dyDescent="0.3">
      <c r="A2626" s="3">
        <v>45624</v>
      </c>
      <c r="B2626">
        <f t="shared" si="40"/>
        <v>2024</v>
      </c>
      <c r="C2626">
        <v>11</v>
      </c>
      <c r="D2626" t="s">
        <v>14</v>
      </c>
      <c r="E2626" t="s">
        <v>27</v>
      </c>
      <c r="F2626" s="2">
        <v>1524</v>
      </c>
      <c r="G2626" s="2">
        <f>Monthly_Growth!$C$24</f>
        <v>839001</v>
      </c>
      <c r="H2626" s="5">
        <f>Monthly_Growth!$D$24</f>
        <v>0.13075958920725625</v>
      </c>
      <c r="I2626" s="15">
        <f>Yearly_Growth!$C$3</f>
        <v>0.11893113731787852</v>
      </c>
      <c r="J2626" s="15">
        <f>Yearly_Growth!$D$3</f>
        <v>0.09</v>
      </c>
      <c r="K2626">
        <f>Sales_Per_Representative!$C$20</f>
        <v>685380</v>
      </c>
      <c r="L2626">
        <f>Sales_Per_Rep_Yearly_Goal!$B$3</f>
        <v>689907.8</v>
      </c>
      <c r="M2626">
        <f>Sales_Per_Rep_Yearly_Goal!$C$3</f>
        <v>690000</v>
      </c>
    </row>
    <row r="2627" spans="1:13" x14ac:dyDescent="0.3">
      <c r="A2627" s="3">
        <v>45624</v>
      </c>
      <c r="B2627">
        <f t="shared" ref="B2627:B2690" si="41">YEAR(A2627)</f>
        <v>2024</v>
      </c>
      <c r="C2627">
        <v>11</v>
      </c>
      <c r="D2627" t="s">
        <v>19</v>
      </c>
      <c r="E2627" t="s">
        <v>5</v>
      </c>
      <c r="F2627" s="2">
        <v>3404</v>
      </c>
      <c r="G2627" s="2">
        <f>Monthly_Growth!$C$24</f>
        <v>839001</v>
      </c>
      <c r="H2627" s="5">
        <f>Monthly_Growth!$D$24</f>
        <v>0.13075958920725625</v>
      </c>
      <c r="I2627" s="15">
        <f>Yearly_Growth!$C$3</f>
        <v>0.11893113731787852</v>
      </c>
      <c r="J2627" s="15">
        <f>Yearly_Growth!$D$3</f>
        <v>0.09</v>
      </c>
      <c r="K2627">
        <f>Sales_Per_Representative!$C$25</f>
        <v>749460</v>
      </c>
      <c r="L2627">
        <f>Sales_Per_Rep_Yearly_Goal!$B$3</f>
        <v>689907.8</v>
      </c>
      <c r="M2627">
        <f>Sales_Per_Rep_Yearly_Goal!$C$3</f>
        <v>690000</v>
      </c>
    </row>
    <row r="2628" spans="1:13" x14ac:dyDescent="0.3">
      <c r="A2628" s="3">
        <v>45624</v>
      </c>
      <c r="B2628">
        <f t="shared" si="41"/>
        <v>2024</v>
      </c>
      <c r="C2628">
        <v>11</v>
      </c>
      <c r="D2628" t="s">
        <v>19</v>
      </c>
      <c r="E2628" t="s">
        <v>26</v>
      </c>
      <c r="F2628" s="2">
        <v>13157</v>
      </c>
      <c r="G2628" s="2">
        <f>Monthly_Growth!$C$24</f>
        <v>839001</v>
      </c>
      <c r="H2628" s="5">
        <f>Monthly_Growth!$D$24</f>
        <v>0.13075958920725625</v>
      </c>
      <c r="I2628" s="15">
        <f>Yearly_Growth!$C$3</f>
        <v>0.11893113731787852</v>
      </c>
      <c r="J2628" s="15">
        <f>Yearly_Growth!$D$3</f>
        <v>0.09</v>
      </c>
      <c r="K2628">
        <f>Sales_Per_Representative!$C$31</f>
        <v>664244</v>
      </c>
      <c r="L2628">
        <f>Sales_Per_Rep_Yearly_Goal!$B$3</f>
        <v>689907.8</v>
      </c>
      <c r="M2628">
        <f>Sales_Per_Rep_Yearly_Goal!$C$3</f>
        <v>690000</v>
      </c>
    </row>
    <row r="2629" spans="1:13" x14ac:dyDescent="0.3">
      <c r="A2629" s="3">
        <v>45624</v>
      </c>
      <c r="B2629">
        <f t="shared" si="41"/>
        <v>2024</v>
      </c>
      <c r="C2629">
        <v>11</v>
      </c>
      <c r="D2629" t="s">
        <v>7</v>
      </c>
      <c r="E2629" t="s">
        <v>32</v>
      </c>
      <c r="F2629" s="2">
        <v>12882</v>
      </c>
      <c r="G2629" s="2">
        <f>Monthly_Growth!$C$24</f>
        <v>839001</v>
      </c>
      <c r="H2629" s="5">
        <f>Monthly_Growth!$D$24</f>
        <v>0.13075958920725625</v>
      </c>
      <c r="I2629" s="15">
        <f>Yearly_Growth!$C$3</f>
        <v>0.11893113731787852</v>
      </c>
      <c r="J2629" s="15">
        <f>Yearly_Growth!$D$3</f>
        <v>0.09</v>
      </c>
      <c r="K2629">
        <f>Sales_Per_Representative!$C$18</f>
        <v>783907</v>
      </c>
      <c r="L2629">
        <f>Sales_Per_Rep_Yearly_Goal!$B$3</f>
        <v>689907.8</v>
      </c>
      <c r="M2629">
        <f>Sales_Per_Rep_Yearly_Goal!$C$3</f>
        <v>690000</v>
      </c>
    </row>
    <row r="2630" spans="1:13" x14ac:dyDescent="0.3">
      <c r="A2630" s="3">
        <v>45624</v>
      </c>
      <c r="B2630">
        <f t="shared" si="41"/>
        <v>2024</v>
      </c>
      <c r="C2630">
        <v>11</v>
      </c>
      <c r="D2630" t="s">
        <v>7</v>
      </c>
      <c r="E2630" t="s">
        <v>30</v>
      </c>
      <c r="F2630" s="2">
        <v>5482</v>
      </c>
      <c r="G2630" s="2">
        <f>Monthly_Growth!$C$24</f>
        <v>839001</v>
      </c>
      <c r="H2630" s="5">
        <f>Monthly_Growth!$D$24</f>
        <v>0.13075958920725625</v>
      </c>
      <c r="I2630" s="15">
        <f>Yearly_Growth!$C$3</f>
        <v>0.11893113731787852</v>
      </c>
      <c r="J2630" s="15">
        <f>Yearly_Growth!$D$3</f>
        <v>0.09</v>
      </c>
      <c r="K2630">
        <f>Sales_Per_Representative!$C$22</f>
        <v>700142</v>
      </c>
      <c r="L2630">
        <f>Sales_Per_Rep_Yearly_Goal!$B$3</f>
        <v>689907.8</v>
      </c>
      <c r="M2630">
        <f>Sales_Per_Rep_Yearly_Goal!$C$3</f>
        <v>690000</v>
      </c>
    </row>
    <row r="2631" spans="1:13" x14ac:dyDescent="0.3">
      <c r="A2631" s="3">
        <v>45624</v>
      </c>
      <c r="B2631">
        <f t="shared" si="41"/>
        <v>2024</v>
      </c>
      <c r="C2631">
        <v>11</v>
      </c>
      <c r="D2631" t="s">
        <v>28</v>
      </c>
      <c r="E2631" t="s">
        <v>30</v>
      </c>
      <c r="F2631" s="2">
        <v>10011</v>
      </c>
      <c r="G2631" s="2">
        <f>Monthly_Growth!$C$24</f>
        <v>839001</v>
      </c>
      <c r="H2631" s="5">
        <f>Monthly_Growth!$D$24</f>
        <v>0.13075958920725625</v>
      </c>
      <c r="I2631" s="15">
        <f>Yearly_Growth!$C$3</f>
        <v>0.11893113731787852</v>
      </c>
      <c r="J2631" s="15">
        <f>Yearly_Growth!$D$3</f>
        <v>0.09</v>
      </c>
      <c r="K2631">
        <f>Sales_Per_Representative!$C$22</f>
        <v>700142</v>
      </c>
      <c r="L2631">
        <f>Sales_Per_Rep_Yearly_Goal!$B$3</f>
        <v>689907.8</v>
      </c>
      <c r="M2631">
        <f>Sales_Per_Rep_Yearly_Goal!$C$3</f>
        <v>690000</v>
      </c>
    </row>
    <row r="2632" spans="1:13" x14ac:dyDescent="0.3">
      <c r="A2632" s="3">
        <v>45626</v>
      </c>
      <c r="B2632">
        <f t="shared" si="41"/>
        <v>2024</v>
      </c>
      <c r="C2632">
        <v>11</v>
      </c>
      <c r="D2632" t="s">
        <v>23</v>
      </c>
      <c r="E2632" t="s">
        <v>30</v>
      </c>
      <c r="F2632" s="2">
        <v>8918</v>
      </c>
      <c r="G2632" s="2">
        <f>Monthly_Growth!$C$24</f>
        <v>839001</v>
      </c>
      <c r="H2632" s="5">
        <f>Monthly_Growth!$D$24</f>
        <v>0.13075958920725625</v>
      </c>
      <c r="I2632" s="15">
        <f>Yearly_Growth!$C$3</f>
        <v>0.11893113731787852</v>
      </c>
      <c r="J2632" s="15">
        <f>Yearly_Growth!$D$3</f>
        <v>0.09</v>
      </c>
      <c r="K2632">
        <f>Sales_Per_Representative!$C$22</f>
        <v>700142</v>
      </c>
      <c r="L2632">
        <f>Sales_Per_Rep_Yearly_Goal!$B$3</f>
        <v>689907.8</v>
      </c>
      <c r="M2632">
        <f>Sales_Per_Rep_Yearly_Goal!$C$3</f>
        <v>690000</v>
      </c>
    </row>
    <row r="2633" spans="1:13" x14ac:dyDescent="0.3">
      <c r="A2633" s="3">
        <v>45626</v>
      </c>
      <c r="B2633">
        <f t="shared" si="41"/>
        <v>2024</v>
      </c>
      <c r="C2633">
        <v>11</v>
      </c>
      <c r="D2633" t="s">
        <v>7</v>
      </c>
      <c r="E2633" t="s">
        <v>18</v>
      </c>
      <c r="F2633" s="2">
        <v>4964</v>
      </c>
      <c r="G2633" s="2">
        <f>Monthly_Growth!$C$24</f>
        <v>839001</v>
      </c>
      <c r="H2633" s="5">
        <f>Monthly_Growth!$D$24</f>
        <v>0.13075958920725625</v>
      </c>
      <c r="I2633" s="15">
        <f>Yearly_Growth!$C$3</f>
        <v>0.11893113731787852</v>
      </c>
      <c r="J2633" s="15">
        <f>Yearly_Growth!$D$3</f>
        <v>0.09</v>
      </c>
      <c r="K2633">
        <f>Sales_Per_Representative!$C$24</f>
        <v>699277</v>
      </c>
      <c r="L2633">
        <f>Sales_Per_Rep_Yearly_Goal!$B$3</f>
        <v>689907.8</v>
      </c>
      <c r="M2633">
        <f>Sales_Per_Rep_Yearly_Goal!$C$3</f>
        <v>690000</v>
      </c>
    </row>
    <row r="2634" spans="1:13" x14ac:dyDescent="0.3">
      <c r="A2634" s="3">
        <v>45627</v>
      </c>
      <c r="B2634">
        <f t="shared" si="41"/>
        <v>2024</v>
      </c>
      <c r="C2634">
        <v>12</v>
      </c>
      <c r="D2634" t="s">
        <v>7</v>
      </c>
      <c r="E2634" t="s">
        <v>10</v>
      </c>
      <c r="F2634" s="2">
        <v>8821</v>
      </c>
      <c r="G2634" s="2">
        <f>Monthly_Growth!$C$25</f>
        <v>762927</v>
      </c>
      <c r="H2634" s="5">
        <f>Monthly_Growth!$D$25</f>
        <v>-9.0672120772204087E-2</v>
      </c>
      <c r="I2634" s="15">
        <f>Yearly_Growth!$C$3</f>
        <v>0.11893113731787852</v>
      </c>
      <c r="J2634" s="15">
        <f>Yearly_Growth!$D$3</f>
        <v>0.09</v>
      </c>
      <c r="K2634">
        <f>Sales_Per_Representative!$C$19</f>
        <v>711816</v>
      </c>
      <c r="L2634">
        <f>Sales_Per_Rep_Yearly_Goal!$B$3</f>
        <v>689907.8</v>
      </c>
      <c r="M2634">
        <f>Sales_Per_Rep_Yearly_Goal!$C$3</f>
        <v>690000</v>
      </c>
    </row>
    <row r="2635" spans="1:13" x14ac:dyDescent="0.3">
      <c r="A2635" s="3">
        <v>45627</v>
      </c>
      <c r="B2635">
        <f t="shared" si="41"/>
        <v>2024</v>
      </c>
      <c r="C2635">
        <v>12</v>
      </c>
      <c r="D2635" t="s">
        <v>28</v>
      </c>
      <c r="E2635" t="s">
        <v>26</v>
      </c>
      <c r="F2635" s="2">
        <v>8721</v>
      </c>
      <c r="G2635" s="2">
        <f>Monthly_Growth!$C$25</f>
        <v>762927</v>
      </c>
      <c r="H2635" s="5">
        <f>Monthly_Growth!$D$25</f>
        <v>-9.0672120772204087E-2</v>
      </c>
      <c r="I2635" s="15">
        <f>Yearly_Growth!$C$3</f>
        <v>0.11893113731787852</v>
      </c>
      <c r="J2635" s="15">
        <f>Yearly_Growth!$D$3</f>
        <v>0.09</v>
      </c>
      <c r="K2635">
        <f>Sales_Per_Representative!$C$31</f>
        <v>664244</v>
      </c>
      <c r="L2635">
        <f>Sales_Per_Rep_Yearly_Goal!$B$3</f>
        <v>689907.8</v>
      </c>
      <c r="M2635">
        <f>Sales_Per_Rep_Yearly_Goal!$C$3</f>
        <v>690000</v>
      </c>
    </row>
    <row r="2636" spans="1:13" x14ac:dyDescent="0.3">
      <c r="A2636" s="3">
        <v>45628</v>
      </c>
      <c r="B2636">
        <f t="shared" si="41"/>
        <v>2024</v>
      </c>
      <c r="C2636">
        <v>12</v>
      </c>
      <c r="D2636" t="s">
        <v>14</v>
      </c>
      <c r="E2636" t="s">
        <v>20</v>
      </c>
      <c r="F2636" s="2">
        <v>9216</v>
      </c>
      <c r="G2636" s="2">
        <f>Monthly_Growth!$C$25</f>
        <v>762927</v>
      </c>
      <c r="H2636" s="5">
        <f>Monthly_Growth!$D$25</f>
        <v>-9.0672120772204087E-2</v>
      </c>
      <c r="I2636" s="15">
        <f>Yearly_Growth!$C$3</f>
        <v>0.11893113731787852</v>
      </c>
      <c r="J2636" s="15">
        <f>Yearly_Growth!$D$3</f>
        <v>0.09</v>
      </c>
      <c r="K2636">
        <f>Sales_Per_Representative!$C$29</f>
        <v>753085</v>
      </c>
      <c r="L2636">
        <f>Sales_Per_Rep_Yearly_Goal!$B$3</f>
        <v>689907.8</v>
      </c>
      <c r="M2636">
        <f>Sales_Per_Rep_Yearly_Goal!$C$3</f>
        <v>690000</v>
      </c>
    </row>
    <row r="2637" spans="1:13" x14ac:dyDescent="0.3">
      <c r="A2637" s="3">
        <v>45628</v>
      </c>
      <c r="B2637">
        <f t="shared" si="41"/>
        <v>2024</v>
      </c>
      <c r="C2637">
        <v>12</v>
      </c>
      <c r="D2637" t="s">
        <v>19</v>
      </c>
      <c r="E2637" t="s">
        <v>30</v>
      </c>
      <c r="F2637" s="2">
        <v>8519</v>
      </c>
      <c r="G2637" s="2">
        <f>Monthly_Growth!$C$25</f>
        <v>762927</v>
      </c>
      <c r="H2637" s="5">
        <f>Monthly_Growth!$D$25</f>
        <v>-9.0672120772204087E-2</v>
      </c>
      <c r="I2637" s="15">
        <f>Yearly_Growth!$C$3</f>
        <v>0.11893113731787852</v>
      </c>
      <c r="J2637" s="15">
        <f>Yearly_Growth!$D$3</f>
        <v>0.09</v>
      </c>
      <c r="K2637">
        <f>Sales_Per_Representative!$C$22</f>
        <v>700142</v>
      </c>
      <c r="L2637">
        <f>Sales_Per_Rep_Yearly_Goal!$B$3</f>
        <v>689907.8</v>
      </c>
      <c r="M2637">
        <f>Sales_Per_Rep_Yearly_Goal!$C$3</f>
        <v>690000</v>
      </c>
    </row>
    <row r="2638" spans="1:13" x14ac:dyDescent="0.3">
      <c r="A2638" s="3">
        <v>45628</v>
      </c>
      <c r="B2638">
        <f t="shared" si="41"/>
        <v>2024</v>
      </c>
      <c r="C2638">
        <v>12</v>
      </c>
      <c r="D2638" t="s">
        <v>23</v>
      </c>
      <c r="E2638" t="s">
        <v>29</v>
      </c>
      <c r="F2638" s="2">
        <v>1832</v>
      </c>
      <c r="G2638" s="2">
        <f>Monthly_Growth!$C$25</f>
        <v>762927</v>
      </c>
      <c r="H2638" s="5">
        <f>Monthly_Growth!$D$25</f>
        <v>-9.0672120772204087E-2</v>
      </c>
      <c r="I2638" s="15">
        <f>Yearly_Growth!$C$3</f>
        <v>0.11893113731787852</v>
      </c>
      <c r="J2638" s="15">
        <f>Yearly_Growth!$D$3</f>
        <v>0.09</v>
      </c>
      <c r="K2638">
        <f>Sales_Per_Representative!$C$28</f>
        <v>691917</v>
      </c>
      <c r="L2638">
        <f>Sales_Per_Rep_Yearly_Goal!$B$3</f>
        <v>689907.8</v>
      </c>
      <c r="M2638">
        <f>Sales_Per_Rep_Yearly_Goal!$C$3</f>
        <v>690000</v>
      </c>
    </row>
    <row r="2639" spans="1:13" x14ac:dyDescent="0.3">
      <c r="A2639" s="3">
        <v>45628</v>
      </c>
      <c r="B2639">
        <f t="shared" si="41"/>
        <v>2024</v>
      </c>
      <c r="C2639">
        <v>12</v>
      </c>
      <c r="D2639" t="s">
        <v>23</v>
      </c>
      <c r="E2639" t="s">
        <v>5</v>
      </c>
      <c r="F2639" s="2">
        <v>8811</v>
      </c>
      <c r="G2639" s="2">
        <f>Monthly_Growth!$C$25</f>
        <v>762927</v>
      </c>
      <c r="H2639" s="5">
        <f>Monthly_Growth!$D$25</f>
        <v>-9.0672120772204087E-2</v>
      </c>
      <c r="I2639" s="15">
        <f>Yearly_Growth!$C$3</f>
        <v>0.11893113731787852</v>
      </c>
      <c r="J2639" s="15">
        <f>Yearly_Growth!$D$3</f>
        <v>0.09</v>
      </c>
      <c r="K2639">
        <f>Sales_Per_Representative!$C$25</f>
        <v>749460</v>
      </c>
      <c r="L2639">
        <f>Sales_Per_Rep_Yearly_Goal!$B$3</f>
        <v>689907.8</v>
      </c>
      <c r="M2639">
        <f>Sales_Per_Rep_Yearly_Goal!$C$3</f>
        <v>690000</v>
      </c>
    </row>
    <row r="2640" spans="1:13" x14ac:dyDescent="0.3">
      <c r="A2640" s="3">
        <v>45628</v>
      </c>
      <c r="B2640">
        <f t="shared" si="41"/>
        <v>2024</v>
      </c>
      <c r="C2640">
        <v>12</v>
      </c>
      <c r="D2640" t="s">
        <v>7</v>
      </c>
      <c r="E2640" t="s">
        <v>20</v>
      </c>
      <c r="F2640" s="2">
        <v>11655</v>
      </c>
      <c r="G2640" s="2">
        <f>Monthly_Growth!$C$25</f>
        <v>762927</v>
      </c>
      <c r="H2640" s="5">
        <f>Monthly_Growth!$D$25</f>
        <v>-9.0672120772204087E-2</v>
      </c>
      <c r="I2640" s="15">
        <f>Yearly_Growth!$C$3</f>
        <v>0.11893113731787852</v>
      </c>
      <c r="J2640" s="15">
        <f>Yearly_Growth!$D$3</f>
        <v>0.09</v>
      </c>
      <c r="K2640">
        <f>Sales_Per_Representative!$C$29</f>
        <v>753085</v>
      </c>
      <c r="L2640">
        <f>Sales_Per_Rep_Yearly_Goal!$B$3</f>
        <v>689907.8</v>
      </c>
      <c r="M2640">
        <f>Sales_Per_Rep_Yearly_Goal!$C$3</f>
        <v>690000</v>
      </c>
    </row>
    <row r="2641" spans="1:13" x14ac:dyDescent="0.3">
      <c r="A2641" s="3">
        <v>45628</v>
      </c>
      <c r="B2641">
        <f t="shared" si="41"/>
        <v>2024</v>
      </c>
      <c r="C2641">
        <v>12</v>
      </c>
      <c r="D2641" t="s">
        <v>12</v>
      </c>
      <c r="E2641" t="s">
        <v>18</v>
      </c>
      <c r="F2641" s="2">
        <v>12418</v>
      </c>
      <c r="G2641" s="2">
        <f>Monthly_Growth!$C$25</f>
        <v>762927</v>
      </c>
      <c r="H2641" s="5">
        <f>Monthly_Growth!$D$25</f>
        <v>-9.0672120772204087E-2</v>
      </c>
      <c r="I2641" s="15">
        <f>Yearly_Growth!$C$3</f>
        <v>0.11893113731787852</v>
      </c>
      <c r="J2641" s="15">
        <f>Yearly_Growth!$D$3</f>
        <v>0.09</v>
      </c>
      <c r="K2641">
        <f>Sales_Per_Representative!$C$24</f>
        <v>699277</v>
      </c>
      <c r="L2641">
        <f>Sales_Per_Rep_Yearly_Goal!$B$3</f>
        <v>689907.8</v>
      </c>
      <c r="M2641">
        <f>Sales_Per_Rep_Yearly_Goal!$C$3</f>
        <v>690000</v>
      </c>
    </row>
    <row r="2642" spans="1:13" x14ac:dyDescent="0.3">
      <c r="A2642" s="3">
        <v>45629</v>
      </c>
      <c r="B2642">
        <f t="shared" si="41"/>
        <v>2024</v>
      </c>
      <c r="C2642">
        <v>12</v>
      </c>
      <c r="D2642" t="s">
        <v>25</v>
      </c>
      <c r="E2642" t="s">
        <v>8</v>
      </c>
      <c r="F2642" s="2">
        <v>5539</v>
      </c>
      <c r="G2642" s="2">
        <f>Monthly_Growth!$C$25</f>
        <v>762927</v>
      </c>
      <c r="H2642" s="5">
        <f>Monthly_Growth!$D$25</f>
        <v>-9.0672120772204087E-2</v>
      </c>
      <c r="I2642" s="15">
        <f>Yearly_Growth!$C$3</f>
        <v>0.11893113731787852</v>
      </c>
      <c r="J2642" s="15">
        <f>Yearly_Growth!$D$3</f>
        <v>0.09</v>
      </c>
      <c r="K2642">
        <f>Sales_Per_Representative!$C$30</f>
        <v>780006</v>
      </c>
      <c r="L2642">
        <f>Sales_Per_Rep_Yearly_Goal!$B$3</f>
        <v>689907.8</v>
      </c>
      <c r="M2642">
        <f>Sales_Per_Rep_Yearly_Goal!$C$3</f>
        <v>690000</v>
      </c>
    </row>
    <row r="2643" spans="1:13" x14ac:dyDescent="0.3">
      <c r="A2643" s="3">
        <v>45630</v>
      </c>
      <c r="B2643">
        <f t="shared" si="41"/>
        <v>2024</v>
      </c>
      <c r="C2643">
        <v>12</v>
      </c>
      <c r="D2643" t="s">
        <v>25</v>
      </c>
      <c r="E2643" t="s">
        <v>31</v>
      </c>
      <c r="F2643" s="2">
        <v>11313</v>
      </c>
      <c r="G2643" s="2">
        <f>Monthly_Growth!$C$25</f>
        <v>762927</v>
      </c>
      <c r="H2643" s="5">
        <f>Monthly_Growth!$D$25</f>
        <v>-9.0672120772204087E-2</v>
      </c>
      <c r="I2643" s="15">
        <f>Yearly_Growth!$C$3</f>
        <v>0.11893113731787852</v>
      </c>
      <c r="J2643" s="15">
        <f>Yearly_Growth!$D$3</f>
        <v>0.09</v>
      </c>
      <c r="K2643">
        <f>Sales_Per_Representative!$C$21</f>
        <v>679421</v>
      </c>
      <c r="L2643">
        <f>Sales_Per_Rep_Yearly_Goal!$B$3</f>
        <v>689907.8</v>
      </c>
      <c r="M2643">
        <f>Sales_Per_Rep_Yearly_Goal!$C$3</f>
        <v>690000</v>
      </c>
    </row>
    <row r="2644" spans="1:13" x14ac:dyDescent="0.3">
      <c r="A2644" s="3">
        <v>45630</v>
      </c>
      <c r="B2644">
        <f t="shared" si="41"/>
        <v>2024</v>
      </c>
      <c r="C2644">
        <v>12</v>
      </c>
      <c r="D2644" t="s">
        <v>25</v>
      </c>
      <c r="E2644" t="s">
        <v>24</v>
      </c>
      <c r="F2644" s="2">
        <v>2154</v>
      </c>
      <c r="G2644" s="2">
        <f>Monthly_Growth!$C$25</f>
        <v>762927</v>
      </c>
      <c r="H2644" s="5">
        <f>Monthly_Growth!$D$25</f>
        <v>-9.0672120772204087E-2</v>
      </c>
      <c r="I2644" s="15">
        <f>Yearly_Growth!$C$3</f>
        <v>0.11893113731787852</v>
      </c>
      <c r="J2644" s="15">
        <f>Yearly_Growth!$D$3</f>
        <v>0.09</v>
      </c>
      <c r="K2644">
        <f>Sales_Per_Representative!$C$17</f>
        <v>633956</v>
      </c>
      <c r="L2644">
        <f>Sales_Per_Rep_Yearly_Goal!$B$3</f>
        <v>689907.8</v>
      </c>
      <c r="M2644">
        <f>Sales_Per_Rep_Yearly_Goal!$C$3</f>
        <v>690000</v>
      </c>
    </row>
    <row r="2645" spans="1:13" x14ac:dyDescent="0.3">
      <c r="A2645" s="3">
        <v>45630</v>
      </c>
      <c r="B2645">
        <f t="shared" si="41"/>
        <v>2024</v>
      </c>
      <c r="C2645">
        <v>12</v>
      </c>
      <c r="D2645" t="s">
        <v>7</v>
      </c>
      <c r="E2645" t="s">
        <v>31</v>
      </c>
      <c r="F2645" s="2">
        <v>4599</v>
      </c>
      <c r="G2645" s="2">
        <f>Monthly_Growth!$C$25</f>
        <v>762927</v>
      </c>
      <c r="H2645" s="5">
        <f>Monthly_Growth!$D$25</f>
        <v>-9.0672120772204087E-2</v>
      </c>
      <c r="I2645" s="15">
        <f>Yearly_Growth!$C$3</f>
        <v>0.11893113731787852</v>
      </c>
      <c r="J2645" s="15">
        <f>Yearly_Growth!$D$3</f>
        <v>0.09</v>
      </c>
      <c r="K2645">
        <f>Sales_Per_Representative!$C$21</f>
        <v>679421</v>
      </c>
      <c r="L2645">
        <f>Sales_Per_Rep_Yearly_Goal!$B$3</f>
        <v>689907.8</v>
      </c>
      <c r="M2645">
        <f>Sales_Per_Rep_Yearly_Goal!$C$3</f>
        <v>690000</v>
      </c>
    </row>
    <row r="2646" spans="1:13" x14ac:dyDescent="0.3">
      <c r="A2646" s="3">
        <v>45630</v>
      </c>
      <c r="B2646">
        <f t="shared" si="41"/>
        <v>2024</v>
      </c>
      <c r="C2646">
        <v>12</v>
      </c>
      <c r="D2646" t="s">
        <v>7</v>
      </c>
      <c r="E2646" t="s">
        <v>31</v>
      </c>
      <c r="F2646" s="2">
        <v>5260</v>
      </c>
      <c r="G2646" s="2">
        <f>Monthly_Growth!$C$25</f>
        <v>762927</v>
      </c>
      <c r="H2646" s="5">
        <f>Monthly_Growth!$D$25</f>
        <v>-9.0672120772204087E-2</v>
      </c>
      <c r="I2646" s="15">
        <f>Yearly_Growth!$C$3</f>
        <v>0.11893113731787852</v>
      </c>
      <c r="J2646" s="15">
        <f>Yearly_Growth!$D$3</f>
        <v>0.09</v>
      </c>
      <c r="K2646">
        <f>Sales_Per_Representative!$C$21</f>
        <v>679421</v>
      </c>
      <c r="L2646">
        <f>Sales_Per_Rep_Yearly_Goal!$B$3</f>
        <v>689907.8</v>
      </c>
      <c r="M2646">
        <f>Sales_Per_Rep_Yearly_Goal!$C$3</f>
        <v>690000</v>
      </c>
    </row>
    <row r="2647" spans="1:13" x14ac:dyDescent="0.3">
      <c r="A2647" s="3">
        <v>45630</v>
      </c>
      <c r="B2647">
        <f t="shared" si="41"/>
        <v>2024</v>
      </c>
      <c r="C2647">
        <v>12</v>
      </c>
      <c r="D2647" t="s">
        <v>28</v>
      </c>
      <c r="E2647" t="s">
        <v>26</v>
      </c>
      <c r="F2647" s="2">
        <v>4654</v>
      </c>
      <c r="G2647" s="2">
        <f>Monthly_Growth!$C$25</f>
        <v>762927</v>
      </c>
      <c r="H2647" s="5">
        <f>Monthly_Growth!$D$25</f>
        <v>-9.0672120772204087E-2</v>
      </c>
      <c r="I2647" s="15">
        <f>Yearly_Growth!$C$3</f>
        <v>0.11893113731787852</v>
      </c>
      <c r="J2647" s="15">
        <f>Yearly_Growth!$D$3</f>
        <v>0.09</v>
      </c>
      <c r="K2647">
        <f>Sales_Per_Representative!$C$31</f>
        <v>664244</v>
      </c>
      <c r="L2647">
        <f>Sales_Per_Rep_Yearly_Goal!$B$3</f>
        <v>689907.8</v>
      </c>
      <c r="M2647">
        <f>Sales_Per_Rep_Yearly_Goal!$C$3</f>
        <v>690000</v>
      </c>
    </row>
    <row r="2648" spans="1:13" x14ac:dyDescent="0.3">
      <c r="A2648" s="3">
        <v>45630</v>
      </c>
      <c r="B2648">
        <f t="shared" si="41"/>
        <v>2024</v>
      </c>
      <c r="C2648">
        <v>12</v>
      </c>
      <c r="D2648" t="s">
        <v>12</v>
      </c>
      <c r="E2648" t="s">
        <v>18</v>
      </c>
      <c r="F2648" s="2">
        <v>2209</v>
      </c>
      <c r="G2648" s="2">
        <f>Monthly_Growth!$C$25</f>
        <v>762927</v>
      </c>
      <c r="H2648" s="5">
        <f>Monthly_Growth!$D$25</f>
        <v>-9.0672120772204087E-2</v>
      </c>
      <c r="I2648" s="15">
        <f>Yearly_Growth!$C$3</f>
        <v>0.11893113731787852</v>
      </c>
      <c r="J2648" s="15">
        <f>Yearly_Growth!$D$3</f>
        <v>0.09</v>
      </c>
      <c r="K2648">
        <f>Sales_Per_Representative!$C$24</f>
        <v>699277</v>
      </c>
      <c r="L2648">
        <f>Sales_Per_Rep_Yearly_Goal!$B$3</f>
        <v>689907.8</v>
      </c>
      <c r="M2648">
        <f>Sales_Per_Rep_Yearly_Goal!$C$3</f>
        <v>690000</v>
      </c>
    </row>
    <row r="2649" spans="1:13" x14ac:dyDescent="0.3">
      <c r="A2649" s="3">
        <v>45631</v>
      </c>
      <c r="B2649">
        <f t="shared" si="41"/>
        <v>2024</v>
      </c>
      <c r="C2649">
        <v>12</v>
      </c>
      <c r="D2649" t="s">
        <v>14</v>
      </c>
      <c r="E2649" t="s">
        <v>20</v>
      </c>
      <c r="F2649" s="2">
        <v>6305</v>
      </c>
      <c r="G2649" s="2">
        <f>Monthly_Growth!$C$25</f>
        <v>762927</v>
      </c>
      <c r="H2649" s="5">
        <f>Monthly_Growth!$D$25</f>
        <v>-9.0672120772204087E-2</v>
      </c>
      <c r="I2649" s="15">
        <f>Yearly_Growth!$C$3</f>
        <v>0.11893113731787852</v>
      </c>
      <c r="J2649" s="15">
        <f>Yearly_Growth!$D$3</f>
        <v>0.09</v>
      </c>
      <c r="K2649">
        <f>Sales_Per_Representative!$C$29</f>
        <v>753085</v>
      </c>
      <c r="L2649">
        <f>Sales_Per_Rep_Yearly_Goal!$B$3</f>
        <v>689907.8</v>
      </c>
      <c r="M2649">
        <f>Sales_Per_Rep_Yearly_Goal!$C$3</f>
        <v>690000</v>
      </c>
    </row>
    <row r="2650" spans="1:13" x14ac:dyDescent="0.3">
      <c r="A2650" s="3">
        <v>45631</v>
      </c>
      <c r="B2650">
        <f t="shared" si="41"/>
        <v>2024</v>
      </c>
      <c r="C2650">
        <v>12</v>
      </c>
      <c r="D2650" t="s">
        <v>17</v>
      </c>
      <c r="E2650" t="s">
        <v>30</v>
      </c>
      <c r="F2650" s="2">
        <v>11702</v>
      </c>
      <c r="G2650" s="2">
        <f>Monthly_Growth!$C$25</f>
        <v>762927</v>
      </c>
      <c r="H2650" s="5">
        <f>Monthly_Growth!$D$25</f>
        <v>-9.0672120772204087E-2</v>
      </c>
      <c r="I2650" s="15">
        <f>Yearly_Growth!$C$3</f>
        <v>0.11893113731787852</v>
      </c>
      <c r="J2650" s="15">
        <f>Yearly_Growth!$D$3</f>
        <v>0.09</v>
      </c>
      <c r="K2650">
        <f>Sales_Per_Representative!$C$22</f>
        <v>700142</v>
      </c>
      <c r="L2650">
        <f>Sales_Per_Rep_Yearly_Goal!$B$3</f>
        <v>689907.8</v>
      </c>
      <c r="M2650">
        <f>Sales_Per_Rep_Yearly_Goal!$C$3</f>
        <v>690000</v>
      </c>
    </row>
    <row r="2651" spans="1:13" x14ac:dyDescent="0.3">
      <c r="A2651" s="3">
        <v>45631</v>
      </c>
      <c r="B2651">
        <f t="shared" si="41"/>
        <v>2024</v>
      </c>
      <c r="C2651">
        <v>12</v>
      </c>
      <c r="D2651" t="s">
        <v>12</v>
      </c>
      <c r="E2651" t="s">
        <v>24</v>
      </c>
      <c r="F2651" s="2">
        <v>8976</v>
      </c>
      <c r="G2651" s="2">
        <f>Monthly_Growth!$C$25</f>
        <v>762927</v>
      </c>
      <c r="H2651" s="5">
        <f>Monthly_Growth!$D$25</f>
        <v>-9.0672120772204087E-2</v>
      </c>
      <c r="I2651" s="15">
        <f>Yearly_Growth!$C$3</f>
        <v>0.11893113731787852</v>
      </c>
      <c r="J2651" s="15">
        <f>Yearly_Growth!$D$3</f>
        <v>0.09</v>
      </c>
      <c r="K2651">
        <f>Sales_Per_Representative!$C$17</f>
        <v>633956</v>
      </c>
      <c r="L2651">
        <f>Sales_Per_Rep_Yearly_Goal!$B$3</f>
        <v>689907.8</v>
      </c>
      <c r="M2651">
        <f>Sales_Per_Rep_Yearly_Goal!$C$3</f>
        <v>690000</v>
      </c>
    </row>
    <row r="2652" spans="1:13" x14ac:dyDescent="0.3">
      <c r="A2652" s="3">
        <v>45632</v>
      </c>
      <c r="B2652">
        <f t="shared" si="41"/>
        <v>2024</v>
      </c>
      <c r="C2652">
        <v>12</v>
      </c>
      <c r="D2652" t="s">
        <v>28</v>
      </c>
      <c r="E2652" t="s">
        <v>8</v>
      </c>
      <c r="F2652" s="2">
        <v>10198</v>
      </c>
      <c r="G2652" s="2">
        <f>Monthly_Growth!$C$25</f>
        <v>762927</v>
      </c>
      <c r="H2652" s="5">
        <f>Monthly_Growth!$D$25</f>
        <v>-9.0672120772204087E-2</v>
      </c>
      <c r="I2652" s="15">
        <f>Yearly_Growth!$C$3</f>
        <v>0.11893113731787852</v>
      </c>
      <c r="J2652" s="15">
        <f>Yearly_Growth!$D$3</f>
        <v>0.09</v>
      </c>
      <c r="K2652">
        <f>Sales_Per_Representative!$C$30</f>
        <v>780006</v>
      </c>
      <c r="L2652">
        <f>Sales_Per_Rep_Yearly_Goal!$B$3</f>
        <v>689907.8</v>
      </c>
      <c r="M2652">
        <f>Sales_Per_Rep_Yearly_Goal!$C$3</f>
        <v>690000</v>
      </c>
    </row>
    <row r="2653" spans="1:13" x14ac:dyDescent="0.3">
      <c r="A2653" s="3">
        <v>45632</v>
      </c>
      <c r="B2653">
        <f t="shared" si="41"/>
        <v>2024</v>
      </c>
      <c r="C2653">
        <v>12</v>
      </c>
      <c r="D2653" t="s">
        <v>17</v>
      </c>
      <c r="E2653" t="s">
        <v>26</v>
      </c>
      <c r="F2653" s="2">
        <v>5727</v>
      </c>
      <c r="G2653" s="2">
        <f>Monthly_Growth!$C$25</f>
        <v>762927</v>
      </c>
      <c r="H2653" s="5">
        <f>Monthly_Growth!$D$25</f>
        <v>-9.0672120772204087E-2</v>
      </c>
      <c r="I2653" s="15">
        <f>Yearly_Growth!$C$3</f>
        <v>0.11893113731787852</v>
      </c>
      <c r="J2653" s="15">
        <f>Yearly_Growth!$D$3</f>
        <v>0.09</v>
      </c>
      <c r="K2653">
        <f>Sales_Per_Representative!$C$31</f>
        <v>664244</v>
      </c>
      <c r="L2653">
        <f>Sales_Per_Rep_Yearly_Goal!$B$3</f>
        <v>689907.8</v>
      </c>
      <c r="M2653">
        <f>Sales_Per_Rep_Yearly_Goal!$C$3</f>
        <v>690000</v>
      </c>
    </row>
    <row r="2654" spans="1:13" x14ac:dyDescent="0.3">
      <c r="A2654" s="3">
        <v>45633</v>
      </c>
      <c r="B2654">
        <f t="shared" si="41"/>
        <v>2024</v>
      </c>
      <c r="C2654">
        <v>12</v>
      </c>
      <c r="D2654" t="s">
        <v>7</v>
      </c>
      <c r="E2654" t="s">
        <v>24</v>
      </c>
      <c r="F2654" s="2">
        <v>8400</v>
      </c>
      <c r="G2654" s="2">
        <f>Monthly_Growth!$C$25</f>
        <v>762927</v>
      </c>
      <c r="H2654" s="5">
        <f>Monthly_Growth!$D$25</f>
        <v>-9.0672120772204087E-2</v>
      </c>
      <c r="I2654" s="15">
        <f>Yearly_Growth!$C$3</f>
        <v>0.11893113731787852</v>
      </c>
      <c r="J2654" s="15">
        <f>Yearly_Growth!$D$3</f>
        <v>0.09</v>
      </c>
      <c r="K2654">
        <f>Sales_Per_Representative!$C$17</f>
        <v>633956</v>
      </c>
      <c r="L2654">
        <f>Sales_Per_Rep_Yearly_Goal!$B$3</f>
        <v>689907.8</v>
      </c>
      <c r="M2654">
        <f>Sales_Per_Rep_Yearly_Goal!$C$3</f>
        <v>690000</v>
      </c>
    </row>
    <row r="2655" spans="1:13" x14ac:dyDescent="0.3">
      <c r="A2655" s="3">
        <v>45633</v>
      </c>
      <c r="B2655">
        <f t="shared" si="41"/>
        <v>2024</v>
      </c>
      <c r="C2655">
        <v>12</v>
      </c>
      <c r="D2655" t="s">
        <v>28</v>
      </c>
      <c r="E2655" t="s">
        <v>26</v>
      </c>
      <c r="F2655" s="2">
        <v>6415</v>
      </c>
      <c r="G2655" s="2">
        <f>Monthly_Growth!$C$25</f>
        <v>762927</v>
      </c>
      <c r="H2655" s="5">
        <f>Monthly_Growth!$D$25</f>
        <v>-9.0672120772204087E-2</v>
      </c>
      <c r="I2655" s="15">
        <f>Yearly_Growth!$C$3</f>
        <v>0.11893113731787852</v>
      </c>
      <c r="J2655" s="15">
        <f>Yearly_Growth!$D$3</f>
        <v>0.09</v>
      </c>
      <c r="K2655">
        <f>Sales_Per_Representative!$C$31</f>
        <v>664244</v>
      </c>
      <c r="L2655">
        <f>Sales_Per_Rep_Yearly_Goal!$B$3</f>
        <v>689907.8</v>
      </c>
      <c r="M2655">
        <f>Sales_Per_Rep_Yearly_Goal!$C$3</f>
        <v>690000</v>
      </c>
    </row>
    <row r="2656" spans="1:13" x14ac:dyDescent="0.3">
      <c r="A2656" s="3">
        <v>45633</v>
      </c>
      <c r="B2656">
        <f t="shared" si="41"/>
        <v>2024</v>
      </c>
      <c r="C2656">
        <v>12</v>
      </c>
      <c r="D2656" t="s">
        <v>17</v>
      </c>
      <c r="E2656" t="s">
        <v>5</v>
      </c>
      <c r="F2656" s="2">
        <v>8560</v>
      </c>
      <c r="G2656" s="2">
        <f>Monthly_Growth!$C$25</f>
        <v>762927</v>
      </c>
      <c r="H2656" s="5">
        <f>Monthly_Growth!$D$25</f>
        <v>-9.0672120772204087E-2</v>
      </c>
      <c r="I2656" s="15">
        <f>Yearly_Growth!$C$3</f>
        <v>0.11893113731787852</v>
      </c>
      <c r="J2656" s="15">
        <f>Yearly_Growth!$D$3</f>
        <v>0.09</v>
      </c>
      <c r="K2656">
        <f>Sales_Per_Representative!$C$25</f>
        <v>749460</v>
      </c>
      <c r="L2656">
        <f>Sales_Per_Rep_Yearly_Goal!$B$3</f>
        <v>689907.8</v>
      </c>
      <c r="M2656">
        <f>Sales_Per_Rep_Yearly_Goal!$C$3</f>
        <v>690000</v>
      </c>
    </row>
    <row r="2657" spans="1:13" x14ac:dyDescent="0.3">
      <c r="A2657" s="3">
        <v>45634</v>
      </c>
      <c r="B2657">
        <f t="shared" si="41"/>
        <v>2024</v>
      </c>
      <c r="C2657">
        <v>12</v>
      </c>
      <c r="D2657" t="s">
        <v>25</v>
      </c>
      <c r="E2657" t="s">
        <v>27</v>
      </c>
      <c r="F2657" s="2">
        <v>7340</v>
      </c>
      <c r="G2657" s="2">
        <f>Monthly_Growth!$C$25</f>
        <v>762927</v>
      </c>
      <c r="H2657" s="5">
        <f>Monthly_Growth!$D$25</f>
        <v>-9.0672120772204087E-2</v>
      </c>
      <c r="I2657" s="15">
        <f>Yearly_Growth!$C$3</f>
        <v>0.11893113731787852</v>
      </c>
      <c r="J2657" s="15">
        <f>Yearly_Growth!$D$3</f>
        <v>0.09</v>
      </c>
      <c r="K2657">
        <f>Sales_Per_Representative!$C$20</f>
        <v>685380</v>
      </c>
      <c r="L2657">
        <f>Sales_Per_Rep_Yearly_Goal!$B$3</f>
        <v>689907.8</v>
      </c>
      <c r="M2657">
        <f>Sales_Per_Rep_Yearly_Goal!$C$3</f>
        <v>690000</v>
      </c>
    </row>
    <row r="2658" spans="1:13" x14ac:dyDescent="0.3">
      <c r="A2658" s="3">
        <v>45634</v>
      </c>
      <c r="B2658">
        <f t="shared" si="41"/>
        <v>2024</v>
      </c>
      <c r="C2658">
        <v>12</v>
      </c>
      <c r="D2658" t="s">
        <v>7</v>
      </c>
      <c r="E2658" t="s">
        <v>31</v>
      </c>
      <c r="F2658" s="2">
        <v>12914</v>
      </c>
      <c r="G2658" s="2">
        <f>Monthly_Growth!$C$25</f>
        <v>762927</v>
      </c>
      <c r="H2658" s="5">
        <f>Monthly_Growth!$D$25</f>
        <v>-9.0672120772204087E-2</v>
      </c>
      <c r="I2658" s="15">
        <f>Yearly_Growth!$C$3</f>
        <v>0.11893113731787852</v>
      </c>
      <c r="J2658" s="15">
        <f>Yearly_Growth!$D$3</f>
        <v>0.09</v>
      </c>
      <c r="K2658">
        <f>Sales_Per_Representative!$C$21</f>
        <v>679421</v>
      </c>
      <c r="L2658">
        <f>Sales_Per_Rep_Yearly_Goal!$B$3</f>
        <v>689907.8</v>
      </c>
      <c r="M2658">
        <f>Sales_Per_Rep_Yearly_Goal!$C$3</f>
        <v>690000</v>
      </c>
    </row>
    <row r="2659" spans="1:13" x14ac:dyDescent="0.3">
      <c r="A2659" s="3">
        <v>45635</v>
      </c>
      <c r="B2659">
        <f t="shared" si="41"/>
        <v>2024</v>
      </c>
      <c r="C2659">
        <v>12</v>
      </c>
      <c r="D2659" t="s">
        <v>23</v>
      </c>
      <c r="E2659" t="s">
        <v>10</v>
      </c>
      <c r="F2659" s="2">
        <v>2895</v>
      </c>
      <c r="G2659" s="2">
        <f>Monthly_Growth!$C$25</f>
        <v>762927</v>
      </c>
      <c r="H2659" s="5">
        <f>Monthly_Growth!$D$25</f>
        <v>-9.0672120772204087E-2</v>
      </c>
      <c r="I2659" s="15">
        <f>Yearly_Growth!$C$3</f>
        <v>0.11893113731787852</v>
      </c>
      <c r="J2659" s="15">
        <f>Yearly_Growth!$D$3</f>
        <v>0.09</v>
      </c>
      <c r="K2659">
        <f>Sales_Per_Representative!$C$19</f>
        <v>711816</v>
      </c>
      <c r="L2659">
        <f>Sales_Per_Rep_Yearly_Goal!$B$3</f>
        <v>689907.8</v>
      </c>
      <c r="M2659">
        <f>Sales_Per_Rep_Yearly_Goal!$C$3</f>
        <v>690000</v>
      </c>
    </row>
    <row r="2660" spans="1:13" x14ac:dyDescent="0.3">
      <c r="A2660" s="3">
        <v>45635</v>
      </c>
      <c r="B2660">
        <f t="shared" si="41"/>
        <v>2024</v>
      </c>
      <c r="C2660">
        <v>12</v>
      </c>
      <c r="D2660" t="s">
        <v>7</v>
      </c>
      <c r="E2660" t="s">
        <v>18</v>
      </c>
      <c r="F2660" s="2">
        <v>9500</v>
      </c>
      <c r="G2660" s="2">
        <f>Monthly_Growth!$C$25</f>
        <v>762927</v>
      </c>
      <c r="H2660" s="5">
        <f>Monthly_Growth!$D$25</f>
        <v>-9.0672120772204087E-2</v>
      </c>
      <c r="I2660" s="15">
        <f>Yearly_Growth!$C$3</f>
        <v>0.11893113731787852</v>
      </c>
      <c r="J2660" s="15">
        <f>Yearly_Growth!$D$3</f>
        <v>0.09</v>
      </c>
      <c r="K2660">
        <f>Sales_Per_Representative!$C$24</f>
        <v>699277</v>
      </c>
      <c r="L2660">
        <f>Sales_Per_Rep_Yearly_Goal!$B$3</f>
        <v>689907.8</v>
      </c>
      <c r="M2660">
        <f>Sales_Per_Rep_Yearly_Goal!$C$3</f>
        <v>690000</v>
      </c>
    </row>
    <row r="2661" spans="1:13" x14ac:dyDescent="0.3">
      <c r="A2661" s="3">
        <v>45635</v>
      </c>
      <c r="B2661">
        <f t="shared" si="41"/>
        <v>2024</v>
      </c>
      <c r="C2661">
        <v>12</v>
      </c>
      <c r="D2661" t="s">
        <v>17</v>
      </c>
      <c r="E2661" t="s">
        <v>24</v>
      </c>
      <c r="F2661" s="2">
        <v>13929</v>
      </c>
      <c r="G2661" s="2">
        <f>Monthly_Growth!$C$25</f>
        <v>762927</v>
      </c>
      <c r="H2661" s="5">
        <f>Monthly_Growth!$D$25</f>
        <v>-9.0672120772204087E-2</v>
      </c>
      <c r="I2661" s="15">
        <f>Yearly_Growth!$C$3</f>
        <v>0.11893113731787852</v>
      </c>
      <c r="J2661" s="15">
        <f>Yearly_Growth!$D$3</f>
        <v>0.09</v>
      </c>
      <c r="K2661">
        <f>Sales_Per_Representative!$C$17</f>
        <v>633956</v>
      </c>
      <c r="L2661">
        <f>Sales_Per_Rep_Yearly_Goal!$B$3</f>
        <v>689907.8</v>
      </c>
      <c r="M2661">
        <f>Sales_Per_Rep_Yearly_Goal!$C$3</f>
        <v>690000</v>
      </c>
    </row>
    <row r="2662" spans="1:13" x14ac:dyDescent="0.3">
      <c r="A2662" s="3">
        <v>45636</v>
      </c>
      <c r="B2662">
        <f t="shared" si="41"/>
        <v>2024</v>
      </c>
      <c r="C2662">
        <v>12</v>
      </c>
      <c r="D2662" t="s">
        <v>19</v>
      </c>
      <c r="E2662" t="s">
        <v>27</v>
      </c>
      <c r="F2662" s="2">
        <v>10043</v>
      </c>
      <c r="G2662" s="2">
        <f>Monthly_Growth!$C$25</f>
        <v>762927</v>
      </c>
      <c r="H2662" s="5">
        <f>Monthly_Growth!$D$25</f>
        <v>-9.0672120772204087E-2</v>
      </c>
      <c r="I2662" s="15">
        <f>Yearly_Growth!$C$3</f>
        <v>0.11893113731787852</v>
      </c>
      <c r="J2662" s="15">
        <f>Yearly_Growth!$D$3</f>
        <v>0.09</v>
      </c>
      <c r="K2662">
        <f>Sales_Per_Representative!$C$20</f>
        <v>685380</v>
      </c>
      <c r="L2662">
        <f>Sales_Per_Rep_Yearly_Goal!$B$3</f>
        <v>689907.8</v>
      </c>
      <c r="M2662">
        <f>Sales_Per_Rep_Yearly_Goal!$C$3</f>
        <v>690000</v>
      </c>
    </row>
    <row r="2663" spans="1:13" x14ac:dyDescent="0.3">
      <c r="A2663" s="3">
        <v>45636</v>
      </c>
      <c r="B2663">
        <f t="shared" si="41"/>
        <v>2024</v>
      </c>
      <c r="C2663">
        <v>12</v>
      </c>
      <c r="D2663" t="s">
        <v>23</v>
      </c>
      <c r="E2663" t="s">
        <v>22</v>
      </c>
      <c r="F2663" s="2">
        <v>9831</v>
      </c>
      <c r="G2663" s="2">
        <f>Monthly_Growth!$C$25</f>
        <v>762927</v>
      </c>
      <c r="H2663" s="5">
        <f>Monthly_Growth!$D$25</f>
        <v>-9.0672120772204087E-2</v>
      </c>
      <c r="I2663" s="15">
        <f>Yearly_Growth!$C$3</f>
        <v>0.11893113731787852</v>
      </c>
      <c r="J2663" s="15">
        <f>Yearly_Growth!$D$3</f>
        <v>0.09</v>
      </c>
      <c r="K2663">
        <f>Sales_Per_Representative!$C$23</f>
        <v>697444</v>
      </c>
      <c r="L2663">
        <f>Sales_Per_Rep_Yearly_Goal!$B$3</f>
        <v>689907.8</v>
      </c>
      <c r="M2663">
        <f>Sales_Per_Rep_Yearly_Goal!$C$3</f>
        <v>690000</v>
      </c>
    </row>
    <row r="2664" spans="1:13" x14ac:dyDescent="0.3">
      <c r="A2664" s="3">
        <v>45636</v>
      </c>
      <c r="B2664">
        <f t="shared" si="41"/>
        <v>2024</v>
      </c>
      <c r="C2664">
        <v>12</v>
      </c>
      <c r="D2664" t="s">
        <v>25</v>
      </c>
      <c r="E2664" t="s">
        <v>26</v>
      </c>
      <c r="F2664" s="2">
        <v>12601</v>
      </c>
      <c r="G2664" s="2">
        <f>Monthly_Growth!$C$25</f>
        <v>762927</v>
      </c>
      <c r="H2664" s="5">
        <f>Monthly_Growth!$D$25</f>
        <v>-9.0672120772204087E-2</v>
      </c>
      <c r="I2664" s="15">
        <f>Yearly_Growth!$C$3</f>
        <v>0.11893113731787852</v>
      </c>
      <c r="J2664" s="15">
        <f>Yearly_Growth!$D$3</f>
        <v>0.09</v>
      </c>
      <c r="K2664">
        <f>Sales_Per_Representative!$C$31</f>
        <v>664244</v>
      </c>
      <c r="L2664">
        <f>Sales_Per_Rep_Yearly_Goal!$B$3</f>
        <v>689907.8</v>
      </c>
      <c r="M2664">
        <f>Sales_Per_Rep_Yearly_Goal!$C$3</f>
        <v>690000</v>
      </c>
    </row>
    <row r="2665" spans="1:13" x14ac:dyDescent="0.3">
      <c r="A2665" s="3">
        <v>45636</v>
      </c>
      <c r="B2665">
        <f t="shared" si="41"/>
        <v>2024</v>
      </c>
      <c r="C2665">
        <v>12</v>
      </c>
      <c r="D2665" t="s">
        <v>7</v>
      </c>
      <c r="E2665" t="s">
        <v>8</v>
      </c>
      <c r="F2665" s="2">
        <v>3115</v>
      </c>
      <c r="G2665" s="2">
        <f>Monthly_Growth!$C$25</f>
        <v>762927</v>
      </c>
      <c r="H2665" s="5">
        <f>Monthly_Growth!$D$25</f>
        <v>-9.0672120772204087E-2</v>
      </c>
      <c r="I2665" s="15">
        <f>Yearly_Growth!$C$3</f>
        <v>0.11893113731787852</v>
      </c>
      <c r="J2665" s="15">
        <f>Yearly_Growth!$D$3</f>
        <v>0.09</v>
      </c>
      <c r="K2665">
        <f>Sales_Per_Representative!$C$30</f>
        <v>780006</v>
      </c>
      <c r="L2665">
        <f>Sales_Per_Rep_Yearly_Goal!$B$3</f>
        <v>689907.8</v>
      </c>
      <c r="M2665">
        <f>Sales_Per_Rep_Yearly_Goal!$C$3</f>
        <v>690000</v>
      </c>
    </row>
    <row r="2666" spans="1:13" x14ac:dyDescent="0.3">
      <c r="A2666" s="3">
        <v>45637</v>
      </c>
      <c r="B2666">
        <f t="shared" si="41"/>
        <v>2024</v>
      </c>
      <c r="C2666">
        <v>12</v>
      </c>
      <c r="D2666" t="s">
        <v>14</v>
      </c>
      <c r="E2666" t="s">
        <v>26</v>
      </c>
      <c r="F2666" s="2">
        <v>8844</v>
      </c>
      <c r="G2666" s="2">
        <f>Monthly_Growth!$C$25</f>
        <v>762927</v>
      </c>
      <c r="H2666" s="5">
        <f>Monthly_Growth!$D$25</f>
        <v>-9.0672120772204087E-2</v>
      </c>
      <c r="I2666" s="15">
        <f>Yearly_Growth!$C$3</f>
        <v>0.11893113731787852</v>
      </c>
      <c r="J2666" s="15">
        <f>Yearly_Growth!$D$3</f>
        <v>0.09</v>
      </c>
      <c r="K2666">
        <f>Sales_Per_Representative!$C$31</f>
        <v>664244</v>
      </c>
      <c r="L2666">
        <f>Sales_Per_Rep_Yearly_Goal!$B$3</f>
        <v>689907.8</v>
      </c>
      <c r="M2666">
        <f>Sales_Per_Rep_Yearly_Goal!$C$3</f>
        <v>690000</v>
      </c>
    </row>
    <row r="2667" spans="1:13" x14ac:dyDescent="0.3">
      <c r="A2667" s="3">
        <v>45637</v>
      </c>
      <c r="B2667">
        <f t="shared" si="41"/>
        <v>2024</v>
      </c>
      <c r="C2667">
        <v>12</v>
      </c>
      <c r="D2667" t="s">
        <v>23</v>
      </c>
      <c r="E2667" t="s">
        <v>29</v>
      </c>
      <c r="F2667" s="2">
        <v>13361</v>
      </c>
      <c r="G2667" s="2">
        <f>Monthly_Growth!$C$25</f>
        <v>762927</v>
      </c>
      <c r="H2667" s="5">
        <f>Monthly_Growth!$D$25</f>
        <v>-9.0672120772204087E-2</v>
      </c>
      <c r="I2667" s="15">
        <f>Yearly_Growth!$C$3</f>
        <v>0.11893113731787852</v>
      </c>
      <c r="J2667" s="15">
        <f>Yearly_Growth!$D$3</f>
        <v>0.09</v>
      </c>
      <c r="K2667">
        <f>Sales_Per_Representative!$C$28</f>
        <v>691917</v>
      </c>
      <c r="L2667">
        <f>Sales_Per_Rep_Yearly_Goal!$B$3</f>
        <v>689907.8</v>
      </c>
      <c r="M2667">
        <f>Sales_Per_Rep_Yearly_Goal!$C$3</f>
        <v>690000</v>
      </c>
    </row>
    <row r="2668" spans="1:13" x14ac:dyDescent="0.3">
      <c r="A2668" s="3">
        <v>45637</v>
      </c>
      <c r="B2668">
        <f t="shared" si="41"/>
        <v>2024</v>
      </c>
      <c r="C2668">
        <v>12</v>
      </c>
      <c r="D2668" t="s">
        <v>28</v>
      </c>
      <c r="E2668" t="s">
        <v>32</v>
      </c>
      <c r="F2668" s="2">
        <v>5333</v>
      </c>
      <c r="G2668" s="2">
        <f>Monthly_Growth!$C$25</f>
        <v>762927</v>
      </c>
      <c r="H2668" s="5">
        <f>Monthly_Growth!$D$25</f>
        <v>-9.0672120772204087E-2</v>
      </c>
      <c r="I2668" s="15">
        <f>Yearly_Growth!$C$3</f>
        <v>0.11893113731787852</v>
      </c>
      <c r="J2668" s="15">
        <f>Yearly_Growth!$D$3</f>
        <v>0.09</v>
      </c>
      <c r="K2668">
        <f>Sales_Per_Representative!$C$18</f>
        <v>783907</v>
      </c>
      <c r="L2668">
        <f>Sales_Per_Rep_Yearly_Goal!$B$3</f>
        <v>689907.8</v>
      </c>
      <c r="M2668">
        <f>Sales_Per_Rep_Yearly_Goal!$C$3</f>
        <v>690000</v>
      </c>
    </row>
    <row r="2669" spans="1:13" x14ac:dyDescent="0.3">
      <c r="A2669" s="3">
        <v>45637</v>
      </c>
      <c r="B2669">
        <f t="shared" si="41"/>
        <v>2024</v>
      </c>
      <c r="C2669">
        <v>12</v>
      </c>
      <c r="D2669" t="s">
        <v>12</v>
      </c>
      <c r="E2669" t="s">
        <v>8</v>
      </c>
      <c r="F2669" s="2">
        <v>7292</v>
      </c>
      <c r="G2669" s="2">
        <f>Monthly_Growth!$C$25</f>
        <v>762927</v>
      </c>
      <c r="H2669" s="5">
        <f>Monthly_Growth!$D$25</f>
        <v>-9.0672120772204087E-2</v>
      </c>
      <c r="I2669" s="15">
        <f>Yearly_Growth!$C$3</f>
        <v>0.11893113731787852</v>
      </c>
      <c r="J2669" s="15">
        <f>Yearly_Growth!$D$3</f>
        <v>0.09</v>
      </c>
      <c r="K2669">
        <f>Sales_Per_Representative!$C$30</f>
        <v>780006</v>
      </c>
      <c r="L2669">
        <f>Sales_Per_Rep_Yearly_Goal!$B$3</f>
        <v>689907.8</v>
      </c>
      <c r="M2669">
        <f>Sales_Per_Rep_Yearly_Goal!$C$3</f>
        <v>690000</v>
      </c>
    </row>
    <row r="2670" spans="1:13" x14ac:dyDescent="0.3">
      <c r="A2670" s="3">
        <v>45637</v>
      </c>
      <c r="B2670">
        <f t="shared" si="41"/>
        <v>2024</v>
      </c>
      <c r="C2670">
        <v>12</v>
      </c>
      <c r="D2670" t="s">
        <v>12</v>
      </c>
      <c r="E2670" t="s">
        <v>5</v>
      </c>
      <c r="F2670" s="2">
        <v>5955</v>
      </c>
      <c r="G2670" s="2">
        <f>Monthly_Growth!$C$25</f>
        <v>762927</v>
      </c>
      <c r="H2670" s="5">
        <f>Monthly_Growth!$D$25</f>
        <v>-9.0672120772204087E-2</v>
      </c>
      <c r="I2670" s="15">
        <f>Yearly_Growth!$C$3</f>
        <v>0.11893113731787852</v>
      </c>
      <c r="J2670" s="15">
        <f>Yearly_Growth!$D$3</f>
        <v>0.09</v>
      </c>
      <c r="K2670">
        <f>Sales_Per_Representative!$C$25</f>
        <v>749460</v>
      </c>
      <c r="L2670">
        <f>Sales_Per_Rep_Yearly_Goal!$B$3</f>
        <v>689907.8</v>
      </c>
      <c r="M2670">
        <f>Sales_Per_Rep_Yearly_Goal!$C$3</f>
        <v>690000</v>
      </c>
    </row>
    <row r="2671" spans="1:13" x14ac:dyDescent="0.3">
      <c r="A2671" s="3">
        <v>45638</v>
      </c>
      <c r="B2671">
        <f t="shared" si="41"/>
        <v>2024</v>
      </c>
      <c r="C2671">
        <v>12</v>
      </c>
      <c r="D2671" t="s">
        <v>19</v>
      </c>
      <c r="E2671" t="s">
        <v>30</v>
      </c>
      <c r="F2671" s="2">
        <v>4421</v>
      </c>
      <c r="G2671" s="2">
        <f>Monthly_Growth!$C$25</f>
        <v>762927</v>
      </c>
      <c r="H2671" s="5">
        <f>Monthly_Growth!$D$25</f>
        <v>-9.0672120772204087E-2</v>
      </c>
      <c r="I2671" s="15">
        <f>Yearly_Growth!$C$3</f>
        <v>0.11893113731787852</v>
      </c>
      <c r="J2671" s="15">
        <f>Yearly_Growth!$D$3</f>
        <v>0.09</v>
      </c>
      <c r="K2671">
        <f>Sales_Per_Representative!$C$22</f>
        <v>700142</v>
      </c>
      <c r="L2671">
        <f>Sales_Per_Rep_Yearly_Goal!$B$3</f>
        <v>689907.8</v>
      </c>
      <c r="M2671">
        <f>Sales_Per_Rep_Yearly_Goal!$C$3</f>
        <v>690000</v>
      </c>
    </row>
    <row r="2672" spans="1:13" x14ac:dyDescent="0.3">
      <c r="A2672" s="3">
        <v>45638</v>
      </c>
      <c r="B2672">
        <f t="shared" si="41"/>
        <v>2024</v>
      </c>
      <c r="C2672">
        <v>12</v>
      </c>
      <c r="D2672" t="s">
        <v>23</v>
      </c>
      <c r="E2672" t="s">
        <v>27</v>
      </c>
      <c r="F2672" s="2">
        <v>5785</v>
      </c>
      <c r="G2672" s="2">
        <f>Monthly_Growth!$C$25</f>
        <v>762927</v>
      </c>
      <c r="H2672" s="5">
        <f>Monthly_Growth!$D$25</f>
        <v>-9.0672120772204087E-2</v>
      </c>
      <c r="I2672" s="15">
        <f>Yearly_Growth!$C$3</f>
        <v>0.11893113731787852</v>
      </c>
      <c r="J2672" s="15">
        <f>Yearly_Growth!$D$3</f>
        <v>0.09</v>
      </c>
      <c r="K2672">
        <f>Sales_Per_Representative!$C$20</f>
        <v>685380</v>
      </c>
      <c r="L2672">
        <f>Sales_Per_Rep_Yearly_Goal!$B$3</f>
        <v>689907.8</v>
      </c>
      <c r="M2672">
        <f>Sales_Per_Rep_Yearly_Goal!$C$3</f>
        <v>690000</v>
      </c>
    </row>
    <row r="2673" spans="1:13" x14ac:dyDescent="0.3">
      <c r="A2673" s="3">
        <v>45638</v>
      </c>
      <c r="B2673">
        <f t="shared" si="41"/>
        <v>2024</v>
      </c>
      <c r="C2673">
        <v>12</v>
      </c>
      <c r="D2673" t="s">
        <v>17</v>
      </c>
      <c r="E2673" t="s">
        <v>29</v>
      </c>
      <c r="F2673" s="2">
        <v>7831</v>
      </c>
      <c r="G2673" s="2">
        <f>Monthly_Growth!$C$25</f>
        <v>762927</v>
      </c>
      <c r="H2673" s="5">
        <f>Monthly_Growth!$D$25</f>
        <v>-9.0672120772204087E-2</v>
      </c>
      <c r="I2673" s="15">
        <f>Yearly_Growth!$C$3</f>
        <v>0.11893113731787852</v>
      </c>
      <c r="J2673" s="15">
        <f>Yearly_Growth!$D$3</f>
        <v>0.09</v>
      </c>
      <c r="K2673">
        <f>Sales_Per_Representative!$C$28</f>
        <v>691917</v>
      </c>
      <c r="L2673">
        <f>Sales_Per_Rep_Yearly_Goal!$B$3</f>
        <v>689907.8</v>
      </c>
      <c r="M2673">
        <f>Sales_Per_Rep_Yearly_Goal!$C$3</f>
        <v>690000</v>
      </c>
    </row>
    <row r="2674" spans="1:13" x14ac:dyDescent="0.3">
      <c r="A2674" s="3">
        <v>45638</v>
      </c>
      <c r="B2674">
        <f t="shared" si="41"/>
        <v>2024</v>
      </c>
      <c r="C2674">
        <v>12</v>
      </c>
      <c r="D2674" t="s">
        <v>12</v>
      </c>
      <c r="E2674" t="s">
        <v>27</v>
      </c>
      <c r="F2674" s="2">
        <v>12629</v>
      </c>
      <c r="G2674" s="2">
        <f>Monthly_Growth!$C$25</f>
        <v>762927</v>
      </c>
      <c r="H2674" s="5">
        <f>Monthly_Growth!$D$25</f>
        <v>-9.0672120772204087E-2</v>
      </c>
      <c r="I2674" s="15">
        <f>Yearly_Growth!$C$3</f>
        <v>0.11893113731787852</v>
      </c>
      <c r="J2674" s="15">
        <f>Yearly_Growth!$D$3</f>
        <v>0.09</v>
      </c>
      <c r="K2674">
        <f>Sales_Per_Representative!$C$20</f>
        <v>685380</v>
      </c>
      <c r="L2674">
        <f>Sales_Per_Rep_Yearly_Goal!$B$3</f>
        <v>689907.8</v>
      </c>
      <c r="M2674">
        <f>Sales_Per_Rep_Yearly_Goal!$C$3</f>
        <v>690000</v>
      </c>
    </row>
    <row r="2675" spans="1:13" x14ac:dyDescent="0.3">
      <c r="A2675" s="3">
        <v>45639</v>
      </c>
      <c r="B2675">
        <f t="shared" si="41"/>
        <v>2024</v>
      </c>
      <c r="C2675">
        <v>12</v>
      </c>
      <c r="D2675" t="s">
        <v>14</v>
      </c>
      <c r="E2675" t="s">
        <v>32</v>
      </c>
      <c r="F2675" s="2">
        <v>13918</v>
      </c>
      <c r="G2675" s="2">
        <f>Monthly_Growth!$C$25</f>
        <v>762927</v>
      </c>
      <c r="H2675" s="5">
        <f>Monthly_Growth!$D$25</f>
        <v>-9.0672120772204087E-2</v>
      </c>
      <c r="I2675" s="15">
        <f>Yearly_Growth!$C$3</f>
        <v>0.11893113731787852</v>
      </c>
      <c r="J2675" s="15">
        <f>Yearly_Growth!$D$3</f>
        <v>0.09</v>
      </c>
      <c r="K2675">
        <f>Sales_Per_Representative!$C$18</f>
        <v>783907</v>
      </c>
      <c r="L2675">
        <f>Sales_Per_Rep_Yearly_Goal!$B$3</f>
        <v>689907.8</v>
      </c>
      <c r="M2675">
        <f>Sales_Per_Rep_Yearly_Goal!$C$3</f>
        <v>690000</v>
      </c>
    </row>
    <row r="2676" spans="1:13" x14ac:dyDescent="0.3">
      <c r="A2676" s="3">
        <v>45639</v>
      </c>
      <c r="B2676">
        <f t="shared" si="41"/>
        <v>2024</v>
      </c>
      <c r="C2676">
        <v>12</v>
      </c>
      <c r="D2676" t="s">
        <v>7</v>
      </c>
      <c r="E2676" t="s">
        <v>29</v>
      </c>
      <c r="F2676" s="2">
        <v>1167</v>
      </c>
      <c r="G2676" s="2">
        <f>Monthly_Growth!$C$25</f>
        <v>762927</v>
      </c>
      <c r="H2676" s="5">
        <f>Monthly_Growth!$D$25</f>
        <v>-9.0672120772204087E-2</v>
      </c>
      <c r="I2676" s="15">
        <f>Yearly_Growth!$C$3</f>
        <v>0.11893113731787852</v>
      </c>
      <c r="J2676" s="15">
        <f>Yearly_Growth!$D$3</f>
        <v>0.09</v>
      </c>
      <c r="K2676">
        <f>Sales_Per_Representative!$C$28</f>
        <v>691917</v>
      </c>
      <c r="L2676">
        <f>Sales_Per_Rep_Yearly_Goal!$B$3</f>
        <v>689907.8</v>
      </c>
      <c r="M2676">
        <f>Sales_Per_Rep_Yearly_Goal!$C$3</f>
        <v>690000</v>
      </c>
    </row>
    <row r="2677" spans="1:13" x14ac:dyDescent="0.3">
      <c r="A2677" s="3">
        <v>45639</v>
      </c>
      <c r="B2677">
        <f t="shared" si="41"/>
        <v>2024</v>
      </c>
      <c r="C2677">
        <v>12</v>
      </c>
      <c r="D2677" t="s">
        <v>17</v>
      </c>
      <c r="E2677" t="s">
        <v>22</v>
      </c>
      <c r="F2677" s="2">
        <v>3878</v>
      </c>
      <c r="G2677" s="2">
        <f>Monthly_Growth!$C$25</f>
        <v>762927</v>
      </c>
      <c r="H2677" s="5">
        <f>Monthly_Growth!$D$25</f>
        <v>-9.0672120772204087E-2</v>
      </c>
      <c r="I2677" s="15">
        <f>Yearly_Growth!$C$3</f>
        <v>0.11893113731787852</v>
      </c>
      <c r="J2677" s="15">
        <f>Yearly_Growth!$D$3</f>
        <v>0.09</v>
      </c>
      <c r="K2677">
        <f>Sales_Per_Representative!$C$23</f>
        <v>697444</v>
      </c>
      <c r="L2677">
        <f>Sales_Per_Rep_Yearly_Goal!$B$3</f>
        <v>689907.8</v>
      </c>
      <c r="M2677">
        <f>Sales_Per_Rep_Yearly_Goal!$C$3</f>
        <v>690000</v>
      </c>
    </row>
    <row r="2678" spans="1:13" x14ac:dyDescent="0.3">
      <c r="A2678" s="3">
        <v>45639</v>
      </c>
      <c r="B2678">
        <f t="shared" si="41"/>
        <v>2024</v>
      </c>
      <c r="C2678">
        <v>12</v>
      </c>
      <c r="D2678" t="s">
        <v>17</v>
      </c>
      <c r="E2678" t="s">
        <v>27</v>
      </c>
      <c r="F2678" s="2">
        <v>7696</v>
      </c>
      <c r="G2678" s="2">
        <f>Monthly_Growth!$C$25</f>
        <v>762927</v>
      </c>
      <c r="H2678" s="5">
        <f>Monthly_Growth!$D$25</f>
        <v>-9.0672120772204087E-2</v>
      </c>
      <c r="I2678" s="15">
        <f>Yearly_Growth!$C$3</f>
        <v>0.11893113731787852</v>
      </c>
      <c r="J2678" s="15">
        <f>Yearly_Growth!$D$3</f>
        <v>0.09</v>
      </c>
      <c r="K2678">
        <f>Sales_Per_Representative!$C$20</f>
        <v>685380</v>
      </c>
      <c r="L2678">
        <f>Sales_Per_Rep_Yearly_Goal!$B$3</f>
        <v>689907.8</v>
      </c>
      <c r="M2678">
        <f>Sales_Per_Rep_Yearly_Goal!$C$3</f>
        <v>690000</v>
      </c>
    </row>
    <row r="2679" spans="1:13" x14ac:dyDescent="0.3">
      <c r="A2679" s="3">
        <v>45639</v>
      </c>
      <c r="B2679">
        <f t="shared" si="41"/>
        <v>2024</v>
      </c>
      <c r="C2679">
        <v>12</v>
      </c>
      <c r="D2679" t="s">
        <v>12</v>
      </c>
      <c r="E2679" t="s">
        <v>24</v>
      </c>
      <c r="F2679" s="2">
        <v>3763</v>
      </c>
      <c r="G2679" s="2">
        <f>Monthly_Growth!$C$25</f>
        <v>762927</v>
      </c>
      <c r="H2679" s="5">
        <f>Monthly_Growth!$D$25</f>
        <v>-9.0672120772204087E-2</v>
      </c>
      <c r="I2679" s="15">
        <f>Yearly_Growth!$C$3</f>
        <v>0.11893113731787852</v>
      </c>
      <c r="J2679" s="15">
        <f>Yearly_Growth!$D$3</f>
        <v>0.09</v>
      </c>
      <c r="K2679">
        <f>Sales_Per_Representative!$C$17</f>
        <v>633956</v>
      </c>
      <c r="L2679">
        <f>Sales_Per_Rep_Yearly_Goal!$B$3</f>
        <v>689907.8</v>
      </c>
      <c r="M2679">
        <f>Sales_Per_Rep_Yearly_Goal!$C$3</f>
        <v>690000</v>
      </c>
    </row>
    <row r="2680" spans="1:13" x14ac:dyDescent="0.3">
      <c r="A2680" s="3">
        <v>45640</v>
      </c>
      <c r="B2680">
        <f t="shared" si="41"/>
        <v>2024</v>
      </c>
      <c r="C2680">
        <v>12</v>
      </c>
      <c r="D2680" t="s">
        <v>19</v>
      </c>
      <c r="E2680" t="s">
        <v>5</v>
      </c>
      <c r="F2680" s="2">
        <v>10059</v>
      </c>
      <c r="G2680" s="2">
        <f>Monthly_Growth!$C$25</f>
        <v>762927</v>
      </c>
      <c r="H2680" s="5">
        <f>Monthly_Growth!$D$25</f>
        <v>-9.0672120772204087E-2</v>
      </c>
      <c r="I2680" s="15">
        <f>Yearly_Growth!$C$3</f>
        <v>0.11893113731787852</v>
      </c>
      <c r="J2680" s="15">
        <f>Yearly_Growth!$D$3</f>
        <v>0.09</v>
      </c>
      <c r="K2680">
        <f>Sales_Per_Representative!$C$25</f>
        <v>749460</v>
      </c>
      <c r="L2680">
        <f>Sales_Per_Rep_Yearly_Goal!$B$3</f>
        <v>689907.8</v>
      </c>
      <c r="M2680">
        <f>Sales_Per_Rep_Yearly_Goal!$C$3</f>
        <v>690000</v>
      </c>
    </row>
    <row r="2681" spans="1:13" x14ac:dyDescent="0.3">
      <c r="A2681" s="3">
        <v>45640</v>
      </c>
      <c r="B2681">
        <f t="shared" si="41"/>
        <v>2024</v>
      </c>
      <c r="C2681">
        <v>12</v>
      </c>
      <c r="D2681" t="s">
        <v>19</v>
      </c>
      <c r="E2681" t="s">
        <v>30</v>
      </c>
      <c r="F2681" s="2">
        <v>13304</v>
      </c>
      <c r="G2681" s="2">
        <f>Monthly_Growth!$C$25</f>
        <v>762927</v>
      </c>
      <c r="H2681" s="5">
        <f>Monthly_Growth!$D$25</f>
        <v>-9.0672120772204087E-2</v>
      </c>
      <c r="I2681" s="15">
        <f>Yearly_Growth!$C$3</f>
        <v>0.11893113731787852</v>
      </c>
      <c r="J2681" s="15">
        <f>Yearly_Growth!$D$3</f>
        <v>0.09</v>
      </c>
      <c r="K2681">
        <f>Sales_Per_Representative!$C$22</f>
        <v>700142</v>
      </c>
      <c r="L2681">
        <f>Sales_Per_Rep_Yearly_Goal!$B$3</f>
        <v>689907.8</v>
      </c>
      <c r="M2681">
        <f>Sales_Per_Rep_Yearly_Goal!$C$3</f>
        <v>690000</v>
      </c>
    </row>
    <row r="2682" spans="1:13" x14ac:dyDescent="0.3">
      <c r="A2682" s="3">
        <v>45640</v>
      </c>
      <c r="B2682">
        <f t="shared" si="41"/>
        <v>2024</v>
      </c>
      <c r="C2682">
        <v>12</v>
      </c>
      <c r="D2682" t="s">
        <v>28</v>
      </c>
      <c r="E2682" t="s">
        <v>29</v>
      </c>
      <c r="F2682" s="2">
        <v>2571</v>
      </c>
      <c r="G2682" s="2">
        <f>Monthly_Growth!$C$25</f>
        <v>762927</v>
      </c>
      <c r="H2682" s="5">
        <f>Monthly_Growth!$D$25</f>
        <v>-9.0672120772204087E-2</v>
      </c>
      <c r="I2682" s="15">
        <f>Yearly_Growth!$C$3</f>
        <v>0.11893113731787852</v>
      </c>
      <c r="J2682" s="15">
        <f>Yearly_Growth!$D$3</f>
        <v>0.09</v>
      </c>
      <c r="K2682">
        <f>Sales_Per_Representative!$C$28</f>
        <v>691917</v>
      </c>
      <c r="L2682">
        <f>Sales_Per_Rep_Yearly_Goal!$B$3</f>
        <v>689907.8</v>
      </c>
      <c r="M2682">
        <f>Sales_Per_Rep_Yearly_Goal!$C$3</f>
        <v>690000</v>
      </c>
    </row>
    <row r="2683" spans="1:13" x14ac:dyDescent="0.3">
      <c r="A2683" s="3">
        <v>45640</v>
      </c>
      <c r="B2683">
        <f t="shared" si="41"/>
        <v>2024</v>
      </c>
      <c r="C2683">
        <v>12</v>
      </c>
      <c r="D2683" t="s">
        <v>17</v>
      </c>
      <c r="E2683" t="s">
        <v>20</v>
      </c>
      <c r="F2683" s="2">
        <v>8532</v>
      </c>
      <c r="G2683" s="2">
        <f>Monthly_Growth!$C$25</f>
        <v>762927</v>
      </c>
      <c r="H2683" s="5">
        <f>Monthly_Growth!$D$25</f>
        <v>-9.0672120772204087E-2</v>
      </c>
      <c r="I2683" s="15">
        <f>Yearly_Growth!$C$3</f>
        <v>0.11893113731787852</v>
      </c>
      <c r="J2683" s="15">
        <f>Yearly_Growth!$D$3</f>
        <v>0.09</v>
      </c>
      <c r="K2683">
        <f>Sales_Per_Representative!$C$29</f>
        <v>753085</v>
      </c>
      <c r="L2683">
        <f>Sales_Per_Rep_Yearly_Goal!$B$3</f>
        <v>689907.8</v>
      </c>
      <c r="M2683">
        <f>Sales_Per_Rep_Yearly_Goal!$C$3</f>
        <v>690000</v>
      </c>
    </row>
    <row r="2684" spans="1:13" x14ac:dyDescent="0.3">
      <c r="A2684" s="3">
        <v>45640</v>
      </c>
      <c r="B2684">
        <f t="shared" si="41"/>
        <v>2024</v>
      </c>
      <c r="C2684">
        <v>12</v>
      </c>
      <c r="D2684" t="s">
        <v>17</v>
      </c>
      <c r="E2684" t="s">
        <v>26</v>
      </c>
      <c r="F2684" s="2">
        <v>4675</v>
      </c>
      <c r="G2684" s="2">
        <f>Monthly_Growth!$C$25</f>
        <v>762927</v>
      </c>
      <c r="H2684" s="5">
        <f>Monthly_Growth!$D$25</f>
        <v>-9.0672120772204087E-2</v>
      </c>
      <c r="I2684" s="15">
        <f>Yearly_Growth!$C$3</f>
        <v>0.11893113731787852</v>
      </c>
      <c r="J2684" s="15">
        <f>Yearly_Growth!$D$3</f>
        <v>0.09</v>
      </c>
      <c r="K2684">
        <f>Sales_Per_Representative!$C$31</f>
        <v>664244</v>
      </c>
      <c r="L2684">
        <f>Sales_Per_Rep_Yearly_Goal!$B$3</f>
        <v>689907.8</v>
      </c>
      <c r="M2684">
        <f>Sales_Per_Rep_Yearly_Goal!$C$3</f>
        <v>690000</v>
      </c>
    </row>
    <row r="2685" spans="1:13" x14ac:dyDescent="0.3">
      <c r="A2685" s="3">
        <v>45640</v>
      </c>
      <c r="B2685">
        <f t="shared" si="41"/>
        <v>2024</v>
      </c>
      <c r="C2685">
        <v>12</v>
      </c>
      <c r="D2685" t="s">
        <v>17</v>
      </c>
      <c r="E2685" t="s">
        <v>15</v>
      </c>
      <c r="F2685" s="2">
        <v>8322</v>
      </c>
      <c r="G2685" s="2">
        <f>Monthly_Growth!$C$25</f>
        <v>762927</v>
      </c>
      <c r="H2685" s="5">
        <f>Monthly_Growth!$D$25</f>
        <v>-9.0672120772204087E-2</v>
      </c>
      <c r="I2685" s="15">
        <f>Yearly_Growth!$C$3</f>
        <v>0.11893113731787852</v>
      </c>
      <c r="J2685" s="15">
        <f>Yearly_Growth!$D$3</f>
        <v>0.09</v>
      </c>
      <c r="K2685">
        <f>Sales_Per_Representative!$C$27</f>
        <v>617202</v>
      </c>
      <c r="L2685">
        <f>Sales_Per_Rep_Yearly_Goal!$B$3</f>
        <v>689907.8</v>
      </c>
      <c r="M2685">
        <f>Sales_Per_Rep_Yearly_Goal!$C$3</f>
        <v>690000</v>
      </c>
    </row>
    <row r="2686" spans="1:13" x14ac:dyDescent="0.3">
      <c r="A2686" s="3">
        <v>45641</v>
      </c>
      <c r="B2686">
        <f t="shared" si="41"/>
        <v>2024</v>
      </c>
      <c r="C2686">
        <v>12</v>
      </c>
      <c r="D2686" t="s">
        <v>23</v>
      </c>
      <c r="E2686" t="s">
        <v>8</v>
      </c>
      <c r="F2686" s="2">
        <v>1537</v>
      </c>
      <c r="G2686" s="2">
        <f>Monthly_Growth!$C$25</f>
        <v>762927</v>
      </c>
      <c r="H2686" s="5">
        <f>Monthly_Growth!$D$25</f>
        <v>-9.0672120772204087E-2</v>
      </c>
      <c r="I2686" s="15">
        <f>Yearly_Growth!$C$3</f>
        <v>0.11893113731787852</v>
      </c>
      <c r="J2686" s="15">
        <f>Yearly_Growth!$D$3</f>
        <v>0.09</v>
      </c>
      <c r="K2686">
        <f>Sales_Per_Representative!$C$30</f>
        <v>780006</v>
      </c>
      <c r="L2686">
        <f>Sales_Per_Rep_Yearly_Goal!$B$3</f>
        <v>689907.8</v>
      </c>
      <c r="M2686">
        <f>Sales_Per_Rep_Yearly_Goal!$C$3</f>
        <v>690000</v>
      </c>
    </row>
    <row r="2687" spans="1:13" x14ac:dyDescent="0.3">
      <c r="A2687" s="3">
        <v>45641</v>
      </c>
      <c r="B2687">
        <f t="shared" si="41"/>
        <v>2024</v>
      </c>
      <c r="C2687">
        <v>12</v>
      </c>
      <c r="D2687" t="s">
        <v>7</v>
      </c>
      <c r="E2687" t="s">
        <v>10</v>
      </c>
      <c r="F2687" s="2">
        <v>13227</v>
      </c>
      <c r="G2687" s="2">
        <f>Monthly_Growth!$C$25</f>
        <v>762927</v>
      </c>
      <c r="H2687" s="5">
        <f>Monthly_Growth!$D$25</f>
        <v>-9.0672120772204087E-2</v>
      </c>
      <c r="I2687" s="15">
        <f>Yearly_Growth!$C$3</f>
        <v>0.11893113731787852</v>
      </c>
      <c r="J2687" s="15">
        <f>Yearly_Growth!$D$3</f>
        <v>0.09</v>
      </c>
      <c r="K2687">
        <f>Sales_Per_Representative!$C$19</f>
        <v>711816</v>
      </c>
      <c r="L2687">
        <f>Sales_Per_Rep_Yearly_Goal!$B$3</f>
        <v>689907.8</v>
      </c>
      <c r="M2687">
        <f>Sales_Per_Rep_Yearly_Goal!$C$3</f>
        <v>690000</v>
      </c>
    </row>
    <row r="2688" spans="1:13" x14ac:dyDescent="0.3">
      <c r="A2688" s="3">
        <v>45641</v>
      </c>
      <c r="B2688">
        <f t="shared" si="41"/>
        <v>2024</v>
      </c>
      <c r="C2688">
        <v>12</v>
      </c>
      <c r="D2688" t="s">
        <v>17</v>
      </c>
      <c r="E2688" t="s">
        <v>15</v>
      </c>
      <c r="F2688" s="2">
        <v>5643</v>
      </c>
      <c r="G2688" s="2">
        <f>Monthly_Growth!$C$25</f>
        <v>762927</v>
      </c>
      <c r="H2688" s="5">
        <f>Monthly_Growth!$D$25</f>
        <v>-9.0672120772204087E-2</v>
      </c>
      <c r="I2688" s="15">
        <f>Yearly_Growth!$C$3</f>
        <v>0.11893113731787852</v>
      </c>
      <c r="J2688" s="15">
        <f>Yearly_Growth!$D$3</f>
        <v>0.09</v>
      </c>
      <c r="K2688">
        <f>Sales_Per_Representative!$C$27</f>
        <v>617202</v>
      </c>
      <c r="L2688">
        <f>Sales_Per_Rep_Yearly_Goal!$B$3</f>
        <v>689907.8</v>
      </c>
      <c r="M2688">
        <f>Sales_Per_Rep_Yearly_Goal!$C$3</f>
        <v>690000</v>
      </c>
    </row>
    <row r="2689" spans="1:13" x14ac:dyDescent="0.3">
      <c r="A2689" s="3">
        <v>45642</v>
      </c>
      <c r="B2689">
        <f t="shared" si="41"/>
        <v>2024</v>
      </c>
      <c r="C2689">
        <v>12</v>
      </c>
      <c r="D2689" t="s">
        <v>28</v>
      </c>
      <c r="E2689" t="s">
        <v>24</v>
      </c>
      <c r="F2689" s="2">
        <v>1365</v>
      </c>
      <c r="G2689" s="2">
        <f>Monthly_Growth!$C$25</f>
        <v>762927</v>
      </c>
      <c r="H2689" s="5">
        <f>Monthly_Growth!$D$25</f>
        <v>-9.0672120772204087E-2</v>
      </c>
      <c r="I2689" s="15">
        <f>Yearly_Growth!$C$3</f>
        <v>0.11893113731787852</v>
      </c>
      <c r="J2689" s="15">
        <f>Yearly_Growth!$D$3</f>
        <v>0.09</v>
      </c>
      <c r="K2689">
        <f>Sales_Per_Representative!$C$17</f>
        <v>633956</v>
      </c>
      <c r="L2689">
        <f>Sales_Per_Rep_Yearly_Goal!$B$3</f>
        <v>689907.8</v>
      </c>
      <c r="M2689">
        <f>Sales_Per_Rep_Yearly_Goal!$C$3</f>
        <v>690000</v>
      </c>
    </row>
    <row r="2690" spans="1:13" x14ac:dyDescent="0.3">
      <c r="A2690" s="3">
        <v>45642</v>
      </c>
      <c r="B2690">
        <f t="shared" si="41"/>
        <v>2024</v>
      </c>
      <c r="C2690">
        <v>12</v>
      </c>
      <c r="D2690" t="s">
        <v>17</v>
      </c>
      <c r="E2690" t="s">
        <v>8</v>
      </c>
      <c r="F2690" s="2">
        <v>3580</v>
      </c>
      <c r="G2690" s="2">
        <f>Monthly_Growth!$C$25</f>
        <v>762927</v>
      </c>
      <c r="H2690" s="5">
        <f>Monthly_Growth!$D$25</f>
        <v>-9.0672120772204087E-2</v>
      </c>
      <c r="I2690" s="15">
        <f>Yearly_Growth!$C$3</f>
        <v>0.11893113731787852</v>
      </c>
      <c r="J2690" s="15">
        <f>Yearly_Growth!$D$3</f>
        <v>0.09</v>
      </c>
      <c r="K2690">
        <f>Sales_Per_Representative!$C$30</f>
        <v>780006</v>
      </c>
      <c r="L2690">
        <f>Sales_Per_Rep_Yearly_Goal!$B$3</f>
        <v>689907.8</v>
      </c>
      <c r="M2690">
        <f>Sales_Per_Rep_Yearly_Goal!$C$3</f>
        <v>690000</v>
      </c>
    </row>
    <row r="2691" spans="1:13" x14ac:dyDescent="0.3">
      <c r="A2691" s="3">
        <v>45643</v>
      </c>
      <c r="B2691">
        <f t="shared" ref="B2691:B2739" si="42">YEAR(A2691)</f>
        <v>2024</v>
      </c>
      <c r="C2691">
        <v>12</v>
      </c>
      <c r="D2691" t="s">
        <v>23</v>
      </c>
      <c r="E2691" t="s">
        <v>22</v>
      </c>
      <c r="F2691" s="2">
        <v>8041</v>
      </c>
      <c r="G2691" s="2">
        <f>Monthly_Growth!$C$25</f>
        <v>762927</v>
      </c>
      <c r="H2691" s="5">
        <f>Monthly_Growth!$D$25</f>
        <v>-9.0672120772204087E-2</v>
      </c>
      <c r="I2691" s="15">
        <f>Yearly_Growth!$C$3</f>
        <v>0.11893113731787852</v>
      </c>
      <c r="J2691" s="15">
        <f>Yearly_Growth!$D$3</f>
        <v>0.09</v>
      </c>
      <c r="K2691">
        <f>Sales_Per_Representative!$C$23</f>
        <v>697444</v>
      </c>
      <c r="L2691">
        <f>Sales_Per_Rep_Yearly_Goal!$B$3</f>
        <v>689907.8</v>
      </c>
      <c r="M2691">
        <f>Sales_Per_Rep_Yearly_Goal!$C$3</f>
        <v>690000</v>
      </c>
    </row>
    <row r="2692" spans="1:13" x14ac:dyDescent="0.3">
      <c r="A2692" s="3">
        <v>45643</v>
      </c>
      <c r="B2692">
        <f t="shared" si="42"/>
        <v>2024</v>
      </c>
      <c r="C2692">
        <v>12</v>
      </c>
      <c r="D2692" t="s">
        <v>28</v>
      </c>
      <c r="E2692" t="s">
        <v>33</v>
      </c>
      <c r="F2692" s="2">
        <v>3441</v>
      </c>
      <c r="G2692" s="2">
        <f>Monthly_Growth!$C$25</f>
        <v>762927</v>
      </c>
      <c r="H2692" s="5">
        <f>Monthly_Growth!$D$25</f>
        <v>-9.0672120772204087E-2</v>
      </c>
      <c r="I2692" s="15">
        <f>Yearly_Growth!$C$3</f>
        <v>0.11893113731787852</v>
      </c>
      <c r="J2692" s="15">
        <f>Yearly_Growth!$D$3</f>
        <v>0.09</v>
      </c>
      <c r="K2692">
        <f>Sales_Per_Representative!$C$26</f>
        <v>501360</v>
      </c>
      <c r="L2692">
        <f>Sales_Per_Rep_Yearly_Goal!$B$3</f>
        <v>689907.8</v>
      </c>
      <c r="M2692">
        <f>Sales_Per_Rep_Yearly_Goal!$C$3</f>
        <v>690000</v>
      </c>
    </row>
    <row r="2693" spans="1:13" x14ac:dyDescent="0.3">
      <c r="A2693" s="3">
        <v>45643</v>
      </c>
      <c r="B2693">
        <f t="shared" si="42"/>
        <v>2024</v>
      </c>
      <c r="C2693">
        <v>12</v>
      </c>
      <c r="D2693" t="s">
        <v>12</v>
      </c>
      <c r="E2693" t="s">
        <v>30</v>
      </c>
      <c r="F2693" s="2">
        <v>4824</v>
      </c>
      <c r="G2693" s="2">
        <f>Monthly_Growth!$C$25</f>
        <v>762927</v>
      </c>
      <c r="H2693" s="5">
        <f>Monthly_Growth!$D$25</f>
        <v>-9.0672120772204087E-2</v>
      </c>
      <c r="I2693" s="15">
        <f>Yearly_Growth!$C$3</f>
        <v>0.11893113731787852</v>
      </c>
      <c r="J2693" s="15">
        <f>Yearly_Growth!$D$3</f>
        <v>0.09</v>
      </c>
      <c r="K2693">
        <f>Sales_Per_Representative!$C$22</f>
        <v>700142</v>
      </c>
      <c r="L2693">
        <f>Sales_Per_Rep_Yearly_Goal!$B$3</f>
        <v>689907.8</v>
      </c>
      <c r="M2693">
        <f>Sales_Per_Rep_Yearly_Goal!$C$3</f>
        <v>690000</v>
      </c>
    </row>
    <row r="2694" spans="1:13" x14ac:dyDescent="0.3">
      <c r="A2694" s="3">
        <v>45643</v>
      </c>
      <c r="B2694">
        <f t="shared" si="42"/>
        <v>2024</v>
      </c>
      <c r="C2694">
        <v>12</v>
      </c>
      <c r="D2694" t="s">
        <v>12</v>
      </c>
      <c r="E2694" t="s">
        <v>8</v>
      </c>
      <c r="F2694" s="2">
        <v>2183</v>
      </c>
      <c r="G2694" s="2">
        <f>Monthly_Growth!$C$25</f>
        <v>762927</v>
      </c>
      <c r="H2694" s="5">
        <f>Monthly_Growth!$D$25</f>
        <v>-9.0672120772204087E-2</v>
      </c>
      <c r="I2694" s="15">
        <f>Yearly_Growth!$C$3</f>
        <v>0.11893113731787852</v>
      </c>
      <c r="J2694" s="15">
        <f>Yearly_Growth!$D$3</f>
        <v>0.09</v>
      </c>
      <c r="K2694">
        <f>Sales_Per_Representative!$C$30</f>
        <v>780006</v>
      </c>
      <c r="L2694">
        <f>Sales_Per_Rep_Yearly_Goal!$B$3</f>
        <v>689907.8</v>
      </c>
      <c r="M2694">
        <f>Sales_Per_Rep_Yearly_Goal!$C$3</f>
        <v>690000</v>
      </c>
    </row>
    <row r="2695" spans="1:13" x14ac:dyDescent="0.3">
      <c r="A2695" s="3">
        <v>45644</v>
      </c>
      <c r="B2695">
        <f t="shared" si="42"/>
        <v>2024</v>
      </c>
      <c r="C2695">
        <v>12</v>
      </c>
      <c r="D2695" t="s">
        <v>23</v>
      </c>
      <c r="E2695" t="s">
        <v>15</v>
      </c>
      <c r="F2695" s="2">
        <v>7666</v>
      </c>
      <c r="G2695" s="2">
        <f>Monthly_Growth!$C$25</f>
        <v>762927</v>
      </c>
      <c r="H2695" s="5">
        <f>Monthly_Growth!$D$25</f>
        <v>-9.0672120772204087E-2</v>
      </c>
      <c r="I2695" s="15">
        <f>Yearly_Growth!$C$3</f>
        <v>0.11893113731787852</v>
      </c>
      <c r="J2695" s="15">
        <f>Yearly_Growth!$D$3</f>
        <v>0.09</v>
      </c>
      <c r="K2695">
        <f>Sales_Per_Representative!$C$27</f>
        <v>617202</v>
      </c>
      <c r="L2695">
        <f>Sales_Per_Rep_Yearly_Goal!$B$3</f>
        <v>689907.8</v>
      </c>
      <c r="M2695">
        <f>Sales_Per_Rep_Yearly_Goal!$C$3</f>
        <v>690000</v>
      </c>
    </row>
    <row r="2696" spans="1:13" x14ac:dyDescent="0.3">
      <c r="A2696" s="3">
        <v>45644</v>
      </c>
      <c r="B2696">
        <f t="shared" si="42"/>
        <v>2024</v>
      </c>
      <c r="C2696">
        <v>12</v>
      </c>
      <c r="D2696" t="s">
        <v>25</v>
      </c>
      <c r="E2696" t="s">
        <v>8</v>
      </c>
      <c r="F2696" s="2">
        <v>5375</v>
      </c>
      <c r="G2696" s="2">
        <f>Monthly_Growth!$C$25</f>
        <v>762927</v>
      </c>
      <c r="H2696" s="5">
        <f>Monthly_Growth!$D$25</f>
        <v>-9.0672120772204087E-2</v>
      </c>
      <c r="I2696" s="15">
        <f>Yearly_Growth!$C$3</f>
        <v>0.11893113731787852</v>
      </c>
      <c r="J2696" s="15">
        <f>Yearly_Growth!$D$3</f>
        <v>0.09</v>
      </c>
      <c r="K2696">
        <f>Sales_Per_Representative!$C$30</f>
        <v>780006</v>
      </c>
      <c r="L2696">
        <f>Sales_Per_Rep_Yearly_Goal!$B$3</f>
        <v>689907.8</v>
      </c>
      <c r="M2696">
        <f>Sales_Per_Rep_Yearly_Goal!$C$3</f>
        <v>690000</v>
      </c>
    </row>
    <row r="2697" spans="1:13" x14ac:dyDescent="0.3">
      <c r="A2697" s="3">
        <v>45644</v>
      </c>
      <c r="B2697">
        <f t="shared" si="42"/>
        <v>2024</v>
      </c>
      <c r="C2697">
        <v>12</v>
      </c>
      <c r="D2697" t="s">
        <v>12</v>
      </c>
      <c r="E2697" t="s">
        <v>26</v>
      </c>
      <c r="F2697" s="2">
        <v>13849</v>
      </c>
      <c r="G2697" s="2">
        <f>Monthly_Growth!$C$25</f>
        <v>762927</v>
      </c>
      <c r="H2697" s="5">
        <f>Monthly_Growth!$D$25</f>
        <v>-9.0672120772204087E-2</v>
      </c>
      <c r="I2697" s="15">
        <f>Yearly_Growth!$C$3</f>
        <v>0.11893113731787852</v>
      </c>
      <c r="J2697" s="15">
        <f>Yearly_Growth!$D$3</f>
        <v>0.09</v>
      </c>
      <c r="K2697">
        <f>Sales_Per_Representative!$C$31</f>
        <v>664244</v>
      </c>
      <c r="L2697">
        <f>Sales_Per_Rep_Yearly_Goal!$B$3</f>
        <v>689907.8</v>
      </c>
      <c r="M2697">
        <f>Sales_Per_Rep_Yearly_Goal!$C$3</f>
        <v>690000</v>
      </c>
    </row>
    <row r="2698" spans="1:13" x14ac:dyDescent="0.3">
      <c r="A2698" s="3">
        <v>45645</v>
      </c>
      <c r="B2698">
        <f t="shared" si="42"/>
        <v>2024</v>
      </c>
      <c r="C2698">
        <v>12</v>
      </c>
      <c r="D2698" t="s">
        <v>14</v>
      </c>
      <c r="E2698" t="s">
        <v>10</v>
      </c>
      <c r="F2698" s="2">
        <v>4211</v>
      </c>
      <c r="G2698" s="2">
        <f>Monthly_Growth!$C$25</f>
        <v>762927</v>
      </c>
      <c r="H2698" s="5">
        <f>Monthly_Growth!$D$25</f>
        <v>-9.0672120772204087E-2</v>
      </c>
      <c r="I2698" s="15">
        <f>Yearly_Growth!$C$3</f>
        <v>0.11893113731787852</v>
      </c>
      <c r="J2698" s="15">
        <f>Yearly_Growth!$D$3</f>
        <v>0.09</v>
      </c>
      <c r="K2698">
        <f>Sales_Per_Representative!$C$19</f>
        <v>711816</v>
      </c>
      <c r="L2698">
        <f>Sales_Per_Rep_Yearly_Goal!$B$3</f>
        <v>689907.8</v>
      </c>
      <c r="M2698">
        <f>Sales_Per_Rep_Yearly_Goal!$C$3</f>
        <v>690000</v>
      </c>
    </row>
    <row r="2699" spans="1:13" x14ac:dyDescent="0.3">
      <c r="A2699" s="3">
        <v>45645</v>
      </c>
      <c r="B2699">
        <f t="shared" si="42"/>
        <v>2024</v>
      </c>
      <c r="C2699">
        <v>12</v>
      </c>
      <c r="D2699" t="s">
        <v>14</v>
      </c>
      <c r="E2699" t="s">
        <v>31</v>
      </c>
      <c r="F2699" s="2">
        <v>3087</v>
      </c>
      <c r="G2699" s="2">
        <f>Monthly_Growth!$C$25</f>
        <v>762927</v>
      </c>
      <c r="H2699" s="5">
        <f>Monthly_Growth!$D$25</f>
        <v>-9.0672120772204087E-2</v>
      </c>
      <c r="I2699" s="15">
        <f>Yearly_Growth!$C$3</f>
        <v>0.11893113731787852</v>
      </c>
      <c r="J2699" s="15">
        <f>Yearly_Growth!$D$3</f>
        <v>0.09</v>
      </c>
      <c r="K2699">
        <f>Sales_Per_Representative!$C$21</f>
        <v>679421</v>
      </c>
      <c r="L2699">
        <f>Sales_Per_Rep_Yearly_Goal!$B$3</f>
        <v>689907.8</v>
      </c>
      <c r="M2699">
        <f>Sales_Per_Rep_Yearly_Goal!$C$3</f>
        <v>690000</v>
      </c>
    </row>
    <row r="2700" spans="1:13" x14ac:dyDescent="0.3">
      <c r="A2700" s="3">
        <v>45645</v>
      </c>
      <c r="B2700">
        <f t="shared" si="42"/>
        <v>2024</v>
      </c>
      <c r="C2700">
        <v>12</v>
      </c>
      <c r="D2700" t="s">
        <v>23</v>
      </c>
      <c r="E2700" t="s">
        <v>10</v>
      </c>
      <c r="F2700" s="2">
        <v>11304</v>
      </c>
      <c r="G2700" s="2">
        <f>Monthly_Growth!$C$25</f>
        <v>762927</v>
      </c>
      <c r="H2700" s="5">
        <f>Monthly_Growth!$D$25</f>
        <v>-9.0672120772204087E-2</v>
      </c>
      <c r="I2700" s="15">
        <f>Yearly_Growth!$C$3</f>
        <v>0.11893113731787852</v>
      </c>
      <c r="J2700" s="15">
        <f>Yearly_Growth!$D$3</f>
        <v>0.09</v>
      </c>
      <c r="K2700">
        <f>Sales_Per_Representative!$C$19</f>
        <v>711816</v>
      </c>
      <c r="L2700">
        <f>Sales_Per_Rep_Yearly_Goal!$B$3</f>
        <v>689907.8</v>
      </c>
      <c r="M2700">
        <f>Sales_Per_Rep_Yearly_Goal!$C$3</f>
        <v>690000</v>
      </c>
    </row>
    <row r="2701" spans="1:13" x14ac:dyDescent="0.3">
      <c r="A2701" s="3">
        <v>45645</v>
      </c>
      <c r="B2701">
        <f t="shared" si="42"/>
        <v>2024</v>
      </c>
      <c r="C2701">
        <v>12</v>
      </c>
      <c r="D2701" t="s">
        <v>23</v>
      </c>
      <c r="E2701" t="s">
        <v>15</v>
      </c>
      <c r="F2701" s="2">
        <v>1077</v>
      </c>
      <c r="G2701" s="2">
        <f>Monthly_Growth!$C$25</f>
        <v>762927</v>
      </c>
      <c r="H2701" s="5">
        <f>Monthly_Growth!$D$25</f>
        <v>-9.0672120772204087E-2</v>
      </c>
      <c r="I2701" s="15">
        <f>Yearly_Growth!$C$3</f>
        <v>0.11893113731787852</v>
      </c>
      <c r="J2701" s="15">
        <f>Yearly_Growth!$D$3</f>
        <v>0.09</v>
      </c>
      <c r="K2701">
        <f>Sales_Per_Representative!$C$27</f>
        <v>617202</v>
      </c>
      <c r="L2701">
        <f>Sales_Per_Rep_Yearly_Goal!$B$3</f>
        <v>689907.8</v>
      </c>
      <c r="M2701">
        <f>Sales_Per_Rep_Yearly_Goal!$C$3</f>
        <v>690000</v>
      </c>
    </row>
    <row r="2702" spans="1:13" x14ac:dyDescent="0.3">
      <c r="A2702" s="3">
        <v>45646</v>
      </c>
      <c r="B2702">
        <f t="shared" si="42"/>
        <v>2024</v>
      </c>
      <c r="C2702">
        <v>12</v>
      </c>
      <c r="D2702" t="s">
        <v>7</v>
      </c>
      <c r="E2702" t="s">
        <v>29</v>
      </c>
      <c r="F2702" s="2">
        <v>9909</v>
      </c>
      <c r="G2702" s="2">
        <f>Monthly_Growth!$C$25</f>
        <v>762927</v>
      </c>
      <c r="H2702" s="5">
        <f>Monthly_Growth!$D$25</f>
        <v>-9.0672120772204087E-2</v>
      </c>
      <c r="I2702" s="15">
        <f>Yearly_Growth!$C$3</f>
        <v>0.11893113731787852</v>
      </c>
      <c r="J2702" s="15">
        <f>Yearly_Growth!$D$3</f>
        <v>0.09</v>
      </c>
      <c r="K2702">
        <f>Sales_Per_Representative!$C$28</f>
        <v>691917</v>
      </c>
      <c r="L2702">
        <f>Sales_Per_Rep_Yearly_Goal!$B$3</f>
        <v>689907.8</v>
      </c>
      <c r="M2702">
        <f>Sales_Per_Rep_Yearly_Goal!$C$3</f>
        <v>690000</v>
      </c>
    </row>
    <row r="2703" spans="1:13" x14ac:dyDescent="0.3">
      <c r="A2703" s="3">
        <v>45647</v>
      </c>
      <c r="B2703">
        <f t="shared" si="42"/>
        <v>2024</v>
      </c>
      <c r="C2703">
        <v>12</v>
      </c>
      <c r="D2703" t="s">
        <v>25</v>
      </c>
      <c r="E2703" t="s">
        <v>10</v>
      </c>
      <c r="F2703" s="2">
        <v>3910</v>
      </c>
      <c r="G2703" s="2">
        <f>Monthly_Growth!$C$25</f>
        <v>762927</v>
      </c>
      <c r="H2703" s="5">
        <f>Monthly_Growth!$D$25</f>
        <v>-9.0672120772204087E-2</v>
      </c>
      <c r="I2703" s="15">
        <f>Yearly_Growth!$C$3</f>
        <v>0.11893113731787852</v>
      </c>
      <c r="J2703" s="15">
        <f>Yearly_Growth!$D$3</f>
        <v>0.09</v>
      </c>
      <c r="K2703">
        <f>Sales_Per_Representative!$C$19</f>
        <v>711816</v>
      </c>
      <c r="L2703">
        <f>Sales_Per_Rep_Yearly_Goal!$B$3</f>
        <v>689907.8</v>
      </c>
      <c r="M2703">
        <f>Sales_Per_Rep_Yearly_Goal!$C$3</f>
        <v>690000</v>
      </c>
    </row>
    <row r="2704" spans="1:13" x14ac:dyDescent="0.3">
      <c r="A2704" s="3">
        <v>45647</v>
      </c>
      <c r="B2704">
        <f t="shared" si="42"/>
        <v>2024</v>
      </c>
      <c r="C2704">
        <v>12</v>
      </c>
      <c r="D2704" t="s">
        <v>12</v>
      </c>
      <c r="E2704" t="s">
        <v>29</v>
      </c>
      <c r="F2704" s="2">
        <v>12732</v>
      </c>
      <c r="G2704" s="2">
        <f>Monthly_Growth!$C$25</f>
        <v>762927</v>
      </c>
      <c r="H2704" s="5">
        <f>Monthly_Growth!$D$25</f>
        <v>-9.0672120772204087E-2</v>
      </c>
      <c r="I2704" s="15">
        <f>Yearly_Growth!$C$3</f>
        <v>0.11893113731787852</v>
      </c>
      <c r="J2704" s="15">
        <f>Yearly_Growth!$D$3</f>
        <v>0.09</v>
      </c>
      <c r="K2704">
        <f>Sales_Per_Representative!$C$28</f>
        <v>691917</v>
      </c>
      <c r="L2704">
        <f>Sales_Per_Rep_Yearly_Goal!$B$3</f>
        <v>689907.8</v>
      </c>
      <c r="M2704">
        <f>Sales_Per_Rep_Yearly_Goal!$C$3</f>
        <v>690000</v>
      </c>
    </row>
    <row r="2705" spans="1:13" x14ac:dyDescent="0.3">
      <c r="A2705" s="3">
        <v>45648</v>
      </c>
      <c r="B2705">
        <f t="shared" si="42"/>
        <v>2024</v>
      </c>
      <c r="C2705">
        <v>12</v>
      </c>
      <c r="D2705" t="s">
        <v>19</v>
      </c>
      <c r="E2705" t="s">
        <v>26</v>
      </c>
      <c r="F2705" s="2">
        <v>4204</v>
      </c>
      <c r="G2705" s="2">
        <f>Monthly_Growth!$C$25</f>
        <v>762927</v>
      </c>
      <c r="H2705" s="5">
        <f>Monthly_Growth!$D$25</f>
        <v>-9.0672120772204087E-2</v>
      </c>
      <c r="I2705" s="15">
        <f>Yearly_Growth!$C$3</f>
        <v>0.11893113731787852</v>
      </c>
      <c r="J2705" s="15">
        <f>Yearly_Growth!$D$3</f>
        <v>0.09</v>
      </c>
      <c r="K2705">
        <f>Sales_Per_Representative!$C$31</f>
        <v>664244</v>
      </c>
      <c r="L2705">
        <f>Sales_Per_Rep_Yearly_Goal!$B$3</f>
        <v>689907.8</v>
      </c>
      <c r="M2705">
        <f>Sales_Per_Rep_Yearly_Goal!$C$3</f>
        <v>690000</v>
      </c>
    </row>
    <row r="2706" spans="1:13" x14ac:dyDescent="0.3">
      <c r="A2706" s="3">
        <v>45648</v>
      </c>
      <c r="B2706">
        <f t="shared" si="42"/>
        <v>2024</v>
      </c>
      <c r="C2706">
        <v>12</v>
      </c>
      <c r="D2706" t="s">
        <v>7</v>
      </c>
      <c r="E2706" t="s">
        <v>33</v>
      </c>
      <c r="F2706" s="2">
        <v>7900</v>
      </c>
      <c r="G2706" s="2">
        <f>Monthly_Growth!$C$25</f>
        <v>762927</v>
      </c>
      <c r="H2706" s="5">
        <f>Monthly_Growth!$D$25</f>
        <v>-9.0672120772204087E-2</v>
      </c>
      <c r="I2706" s="15">
        <f>Yearly_Growth!$C$3</f>
        <v>0.11893113731787852</v>
      </c>
      <c r="J2706" s="15">
        <f>Yearly_Growth!$D$3</f>
        <v>0.09</v>
      </c>
      <c r="K2706">
        <f>Sales_Per_Representative!$C$26</f>
        <v>501360</v>
      </c>
      <c r="L2706">
        <f>Sales_Per_Rep_Yearly_Goal!$B$3</f>
        <v>689907.8</v>
      </c>
      <c r="M2706">
        <f>Sales_Per_Rep_Yearly_Goal!$C$3</f>
        <v>690000</v>
      </c>
    </row>
    <row r="2707" spans="1:13" x14ac:dyDescent="0.3">
      <c r="A2707" s="3">
        <v>45648</v>
      </c>
      <c r="B2707">
        <f t="shared" si="42"/>
        <v>2024</v>
      </c>
      <c r="C2707">
        <v>12</v>
      </c>
      <c r="D2707" t="s">
        <v>28</v>
      </c>
      <c r="E2707" t="s">
        <v>31</v>
      </c>
      <c r="F2707" s="2">
        <v>11864</v>
      </c>
      <c r="G2707" s="2">
        <f>Monthly_Growth!$C$25</f>
        <v>762927</v>
      </c>
      <c r="H2707" s="5">
        <f>Monthly_Growth!$D$25</f>
        <v>-9.0672120772204087E-2</v>
      </c>
      <c r="I2707" s="15">
        <f>Yearly_Growth!$C$3</f>
        <v>0.11893113731787852</v>
      </c>
      <c r="J2707" s="15">
        <f>Yearly_Growth!$D$3</f>
        <v>0.09</v>
      </c>
      <c r="K2707">
        <f>Sales_Per_Representative!$C$21</f>
        <v>679421</v>
      </c>
      <c r="L2707">
        <f>Sales_Per_Rep_Yearly_Goal!$B$3</f>
        <v>689907.8</v>
      </c>
      <c r="M2707">
        <f>Sales_Per_Rep_Yearly_Goal!$C$3</f>
        <v>690000</v>
      </c>
    </row>
    <row r="2708" spans="1:13" x14ac:dyDescent="0.3">
      <c r="A2708" s="3">
        <v>45648</v>
      </c>
      <c r="B2708">
        <f t="shared" si="42"/>
        <v>2024</v>
      </c>
      <c r="C2708">
        <v>12</v>
      </c>
      <c r="D2708" t="s">
        <v>12</v>
      </c>
      <c r="E2708" t="s">
        <v>8</v>
      </c>
      <c r="F2708" s="2">
        <v>6101</v>
      </c>
      <c r="G2708" s="2">
        <f>Monthly_Growth!$C$25</f>
        <v>762927</v>
      </c>
      <c r="H2708" s="5">
        <f>Monthly_Growth!$D$25</f>
        <v>-9.0672120772204087E-2</v>
      </c>
      <c r="I2708" s="15">
        <f>Yearly_Growth!$C$3</f>
        <v>0.11893113731787852</v>
      </c>
      <c r="J2708" s="15">
        <f>Yearly_Growth!$D$3</f>
        <v>0.09</v>
      </c>
      <c r="K2708">
        <f>Sales_Per_Representative!$C$30</f>
        <v>780006</v>
      </c>
      <c r="L2708">
        <f>Sales_Per_Rep_Yearly_Goal!$B$3</f>
        <v>689907.8</v>
      </c>
      <c r="M2708">
        <f>Sales_Per_Rep_Yearly_Goal!$C$3</f>
        <v>690000</v>
      </c>
    </row>
    <row r="2709" spans="1:13" x14ac:dyDescent="0.3">
      <c r="A2709" s="3">
        <v>45649</v>
      </c>
      <c r="B2709">
        <f t="shared" si="42"/>
        <v>2024</v>
      </c>
      <c r="C2709">
        <v>12</v>
      </c>
      <c r="D2709" t="s">
        <v>14</v>
      </c>
      <c r="E2709" t="s">
        <v>32</v>
      </c>
      <c r="F2709" s="2">
        <v>3450</v>
      </c>
      <c r="G2709" s="2">
        <f>Monthly_Growth!$C$25</f>
        <v>762927</v>
      </c>
      <c r="H2709" s="5">
        <f>Monthly_Growth!$D$25</f>
        <v>-9.0672120772204087E-2</v>
      </c>
      <c r="I2709" s="15">
        <f>Yearly_Growth!$C$3</f>
        <v>0.11893113731787852</v>
      </c>
      <c r="J2709" s="15">
        <f>Yearly_Growth!$D$3</f>
        <v>0.09</v>
      </c>
      <c r="K2709">
        <f>Sales_Per_Representative!$C$18</f>
        <v>783907</v>
      </c>
      <c r="L2709">
        <f>Sales_Per_Rep_Yearly_Goal!$B$3</f>
        <v>689907.8</v>
      </c>
      <c r="M2709">
        <f>Sales_Per_Rep_Yearly_Goal!$C$3</f>
        <v>690000</v>
      </c>
    </row>
    <row r="2710" spans="1:13" x14ac:dyDescent="0.3">
      <c r="A2710" s="3">
        <v>45649</v>
      </c>
      <c r="B2710">
        <f t="shared" si="42"/>
        <v>2024</v>
      </c>
      <c r="C2710">
        <v>12</v>
      </c>
      <c r="D2710" t="s">
        <v>17</v>
      </c>
      <c r="E2710" t="s">
        <v>31</v>
      </c>
      <c r="F2710" s="2">
        <v>4712</v>
      </c>
      <c r="G2710" s="2">
        <f>Monthly_Growth!$C$25</f>
        <v>762927</v>
      </c>
      <c r="H2710" s="5">
        <f>Monthly_Growth!$D$25</f>
        <v>-9.0672120772204087E-2</v>
      </c>
      <c r="I2710" s="15">
        <f>Yearly_Growth!$C$3</f>
        <v>0.11893113731787852</v>
      </c>
      <c r="J2710" s="15">
        <f>Yearly_Growth!$D$3</f>
        <v>0.09</v>
      </c>
      <c r="K2710">
        <f>Sales_Per_Representative!$C$21</f>
        <v>679421</v>
      </c>
      <c r="L2710">
        <f>Sales_Per_Rep_Yearly_Goal!$B$3</f>
        <v>689907.8</v>
      </c>
      <c r="M2710">
        <f>Sales_Per_Rep_Yearly_Goal!$C$3</f>
        <v>690000</v>
      </c>
    </row>
    <row r="2711" spans="1:13" x14ac:dyDescent="0.3">
      <c r="A2711" s="3">
        <v>45650</v>
      </c>
      <c r="B2711">
        <f t="shared" si="42"/>
        <v>2024</v>
      </c>
      <c r="C2711">
        <v>12</v>
      </c>
      <c r="D2711" t="s">
        <v>7</v>
      </c>
      <c r="E2711" t="s">
        <v>20</v>
      </c>
      <c r="F2711" s="2">
        <v>6868</v>
      </c>
      <c r="G2711" s="2">
        <f>Monthly_Growth!$C$25</f>
        <v>762927</v>
      </c>
      <c r="H2711" s="5">
        <f>Monthly_Growth!$D$25</f>
        <v>-9.0672120772204087E-2</v>
      </c>
      <c r="I2711" s="15">
        <f>Yearly_Growth!$C$3</f>
        <v>0.11893113731787852</v>
      </c>
      <c r="J2711" s="15">
        <f>Yearly_Growth!$D$3</f>
        <v>0.09</v>
      </c>
      <c r="K2711">
        <f>Sales_Per_Representative!$C$29</f>
        <v>753085</v>
      </c>
      <c r="L2711">
        <f>Sales_Per_Rep_Yearly_Goal!$B$3</f>
        <v>689907.8</v>
      </c>
      <c r="M2711">
        <f>Sales_Per_Rep_Yearly_Goal!$C$3</f>
        <v>690000</v>
      </c>
    </row>
    <row r="2712" spans="1:13" x14ac:dyDescent="0.3">
      <c r="A2712" s="3">
        <v>45650</v>
      </c>
      <c r="B2712">
        <f t="shared" si="42"/>
        <v>2024</v>
      </c>
      <c r="C2712">
        <v>12</v>
      </c>
      <c r="D2712" t="s">
        <v>17</v>
      </c>
      <c r="E2712" t="s">
        <v>22</v>
      </c>
      <c r="F2712" s="2">
        <v>4894</v>
      </c>
      <c r="G2712" s="2">
        <f>Monthly_Growth!$C$25</f>
        <v>762927</v>
      </c>
      <c r="H2712" s="5">
        <f>Monthly_Growth!$D$25</f>
        <v>-9.0672120772204087E-2</v>
      </c>
      <c r="I2712" s="15">
        <f>Yearly_Growth!$C$3</f>
        <v>0.11893113731787852</v>
      </c>
      <c r="J2712" s="15">
        <f>Yearly_Growth!$D$3</f>
        <v>0.09</v>
      </c>
      <c r="K2712">
        <f>Sales_Per_Representative!$C$23</f>
        <v>697444</v>
      </c>
      <c r="L2712">
        <f>Sales_Per_Rep_Yearly_Goal!$B$3</f>
        <v>689907.8</v>
      </c>
      <c r="M2712">
        <f>Sales_Per_Rep_Yearly_Goal!$C$3</f>
        <v>690000</v>
      </c>
    </row>
    <row r="2713" spans="1:13" x14ac:dyDescent="0.3">
      <c r="A2713" s="3">
        <v>45651</v>
      </c>
      <c r="B2713">
        <f t="shared" si="42"/>
        <v>2024</v>
      </c>
      <c r="C2713">
        <v>12</v>
      </c>
      <c r="D2713" t="s">
        <v>25</v>
      </c>
      <c r="E2713" t="s">
        <v>10</v>
      </c>
      <c r="F2713" s="2">
        <v>7068</v>
      </c>
      <c r="G2713" s="2">
        <f>Monthly_Growth!$C$25</f>
        <v>762927</v>
      </c>
      <c r="H2713" s="5">
        <f>Monthly_Growth!$D$25</f>
        <v>-9.0672120772204087E-2</v>
      </c>
      <c r="I2713" s="15">
        <f>Yearly_Growth!$C$3</f>
        <v>0.11893113731787852</v>
      </c>
      <c r="J2713" s="15">
        <f>Yearly_Growth!$D$3</f>
        <v>0.09</v>
      </c>
      <c r="K2713">
        <f>Sales_Per_Representative!$C$19</f>
        <v>711816</v>
      </c>
      <c r="L2713">
        <f>Sales_Per_Rep_Yearly_Goal!$B$3</f>
        <v>689907.8</v>
      </c>
      <c r="M2713">
        <f>Sales_Per_Rep_Yearly_Goal!$C$3</f>
        <v>690000</v>
      </c>
    </row>
    <row r="2714" spans="1:13" x14ac:dyDescent="0.3">
      <c r="A2714" s="3">
        <v>45651</v>
      </c>
      <c r="B2714">
        <f t="shared" si="42"/>
        <v>2024</v>
      </c>
      <c r="C2714">
        <v>12</v>
      </c>
      <c r="D2714" t="s">
        <v>28</v>
      </c>
      <c r="E2714" t="s">
        <v>8</v>
      </c>
      <c r="F2714" s="2">
        <v>1726</v>
      </c>
      <c r="G2714" s="2">
        <f>Monthly_Growth!$C$25</f>
        <v>762927</v>
      </c>
      <c r="H2714" s="5">
        <f>Monthly_Growth!$D$25</f>
        <v>-9.0672120772204087E-2</v>
      </c>
      <c r="I2714" s="15">
        <f>Yearly_Growth!$C$3</f>
        <v>0.11893113731787852</v>
      </c>
      <c r="J2714" s="15">
        <f>Yearly_Growth!$D$3</f>
        <v>0.09</v>
      </c>
      <c r="K2714">
        <f>Sales_Per_Representative!$C$30</f>
        <v>780006</v>
      </c>
      <c r="L2714">
        <f>Sales_Per_Rep_Yearly_Goal!$B$3</f>
        <v>689907.8</v>
      </c>
      <c r="M2714">
        <f>Sales_Per_Rep_Yearly_Goal!$C$3</f>
        <v>690000</v>
      </c>
    </row>
    <row r="2715" spans="1:13" x14ac:dyDescent="0.3">
      <c r="A2715" s="3">
        <v>45651</v>
      </c>
      <c r="B2715">
        <f t="shared" si="42"/>
        <v>2024</v>
      </c>
      <c r="C2715">
        <v>12</v>
      </c>
      <c r="D2715" t="s">
        <v>28</v>
      </c>
      <c r="E2715" t="s">
        <v>10</v>
      </c>
      <c r="F2715" s="2">
        <v>11515</v>
      </c>
      <c r="G2715" s="2">
        <f>Monthly_Growth!$C$25</f>
        <v>762927</v>
      </c>
      <c r="H2715" s="5">
        <f>Monthly_Growth!$D$25</f>
        <v>-9.0672120772204087E-2</v>
      </c>
      <c r="I2715" s="15">
        <f>Yearly_Growth!$C$3</f>
        <v>0.11893113731787852</v>
      </c>
      <c r="J2715" s="15">
        <f>Yearly_Growth!$D$3</f>
        <v>0.09</v>
      </c>
      <c r="K2715">
        <f>Sales_Per_Representative!$C$19</f>
        <v>711816</v>
      </c>
      <c r="L2715">
        <f>Sales_Per_Rep_Yearly_Goal!$B$3</f>
        <v>689907.8</v>
      </c>
      <c r="M2715">
        <f>Sales_Per_Rep_Yearly_Goal!$C$3</f>
        <v>690000</v>
      </c>
    </row>
    <row r="2716" spans="1:13" x14ac:dyDescent="0.3">
      <c r="A2716" s="3">
        <v>45651</v>
      </c>
      <c r="B2716">
        <f t="shared" si="42"/>
        <v>2024</v>
      </c>
      <c r="C2716">
        <v>12</v>
      </c>
      <c r="D2716" t="s">
        <v>17</v>
      </c>
      <c r="E2716" t="s">
        <v>30</v>
      </c>
      <c r="F2716" s="2">
        <v>10863</v>
      </c>
      <c r="G2716" s="2">
        <f>Monthly_Growth!$C$25</f>
        <v>762927</v>
      </c>
      <c r="H2716" s="5">
        <f>Monthly_Growth!$D$25</f>
        <v>-9.0672120772204087E-2</v>
      </c>
      <c r="I2716" s="15">
        <f>Yearly_Growth!$C$3</f>
        <v>0.11893113731787852</v>
      </c>
      <c r="J2716" s="15">
        <f>Yearly_Growth!$D$3</f>
        <v>0.09</v>
      </c>
      <c r="K2716">
        <f>Sales_Per_Representative!$C$22</f>
        <v>700142</v>
      </c>
      <c r="L2716">
        <f>Sales_Per_Rep_Yearly_Goal!$B$3</f>
        <v>689907.8</v>
      </c>
      <c r="M2716">
        <f>Sales_Per_Rep_Yearly_Goal!$C$3</f>
        <v>690000</v>
      </c>
    </row>
    <row r="2717" spans="1:13" x14ac:dyDescent="0.3">
      <c r="A2717" s="3">
        <v>45651</v>
      </c>
      <c r="B2717">
        <f t="shared" si="42"/>
        <v>2024</v>
      </c>
      <c r="C2717">
        <v>12</v>
      </c>
      <c r="D2717" t="s">
        <v>17</v>
      </c>
      <c r="E2717" t="s">
        <v>26</v>
      </c>
      <c r="F2717" s="2">
        <v>2554</v>
      </c>
      <c r="G2717" s="2">
        <f>Monthly_Growth!$C$25</f>
        <v>762927</v>
      </c>
      <c r="H2717" s="5">
        <f>Monthly_Growth!$D$25</f>
        <v>-9.0672120772204087E-2</v>
      </c>
      <c r="I2717" s="15">
        <f>Yearly_Growth!$C$3</f>
        <v>0.11893113731787852</v>
      </c>
      <c r="J2717" s="15">
        <f>Yearly_Growth!$D$3</f>
        <v>0.09</v>
      </c>
      <c r="K2717">
        <f>Sales_Per_Representative!$C$31</f>
        <v>664244</v>
      </c>
      <c r="L2717">
        <f>Sales_Per_Rep_Yearly_Goal!$B$3</f>
        <v>689907.8</v>
      </c>
      <c r="M2717">
        <f>Sales_Per_Rep_Yearly_Goal!$C$3</f>
        <v>690000</v>
      </c>
    </row>
    <row r="2718" spans="1:13" x14ac:dyDescent="0.3">
      <c r="A2718" s="3">
        <v>45651</v>
      </c>
      <c r="B2718">
        <f t="shared" si="42"/>
        <v>2024</v>
      </c>
      <c r="C2718">
        <v>12</v>
      </c>
      <c r="D2718" t="s">
        <v>17</v>
      </c>
      <c r="E2718" t="s">
        <v>30</v>
      </c>
      <c r="F2718" s="2">
        <v>3815</v>
      </c>
      <c r="G2718" s="2">
        <f>Monthly_Growth!$C$25</f>
        <v>762927</v>
      </c>
      <c r="H2718" s="5">
        <f>Monthly_Growth!$D$25</f>
        <v>-9.0672120772204087E-2</v>
      </c>
      <c r="I2718" s="15">
        <f>Yearly_Growth!$C$3</f>
        <v>0.11893113731787852</v>
      </c>
      <c r="J2718" s="15">
        <f>Yearly_Growth!$D$3</f>
        <v>0.09</v>
      </c>
      <c r="K2718">
        <f>Sales_Per_Representative!$C$22</f>
        <v>700142</v>
      </c>
      <c r="L2718">
        <f>Sales_Per_Rep_Yearly_Goal!$B$3</f>
        <v>689907.8</v>
      </c>
      <c r="M2718">
        <f>Sales_Per_Rep_Yearly_Goal!$C$3</f>
        <v>690000</v>
      </c>
    </row>
    <row r="2719" spans="1:13" x14ac:dyDescent="0.3">
      <c r="A2719" s="3">
        <v>45652</v>
      </c>
      <c r="B2719">
        <f t="shared" si="42"/>
        <v>2024</v>
      </c>
      <c r="C2719">
        <v>12</v>
      </c>
      <c r="D2719" t="s">
        <v>19</v>
      </c>
      <c r="E2719" t="s">
        <v>10</v>
      </c>
      <c r="F2719" s="2">
        <v>2063</v>
      </c>
      <c r="G2719" s="2">
        <f>Monthly_Growth!$C$25</f>
        <v>762927</v>
      </c>
      <c r="H2719" s="5">
        <f>Monthly_Growth!$D$25</f>
        <v>-9.0672120772204087E-2</v>
      </c>
      <c r="I2719" s="15">
        <f>Yearly_Growth!$C$3</f>
        <v>0.11893113731787852</v>
      </c>
      <c r="J2719" s="15">
        <f>Yearly_Growth!$D$3</f>
        <v>0.09</v>
      </c>
      <c r="K2719">
        <f>Sales_Per_Representative!$C$19</f>
        <v>711816</v>
      </c>
      <c r="L2719">
        <f>Sales_Per_Rep_Yearly_Goal!$B$3</f>
        <v>689907.8</v>
      </c>
      <c r="M2719">
        <f>Sales_Per_Rep_Yearly_Goal!$C$3</f>
        <v>690000</v>
      </c>
    </row>
    <row r="2720" spans="1:13" x14ac:dyDescent="0.3">
      <c r="A2720" s="3">
        <v>45653</v>
      </c>
      <c r="B2720">
        <f t="shared" si="42"/>
        <v>2024</v>
      </c>
      <c r="C2720">
        <v>12</v>
      </c>
      <c r="D2720" t="s">
        <v>23</v>
      </c>
      <c r="E2720" t="s">
        <v>20</v>
      </c>
      <c r="F2720" s="2">
        <v>7509</v>
      </c>
      <c r="G2720" s="2">
        <f>Monthly_Growth!$C$25</f>
        <v>762927</v>
      </c>
      <c r="H2720" s="5">
        <f>Monthly_Growth!$D$25</f>
        <v>-9.0672120772204087E-2</v>
      </c>
      <c r="I2720" s="15">
        <f>Yearly_Growth!$C$3</f>
        <v>0.11893113731787852</v>
      </c>
      <c r="J2720" s="15">
        <f>Yearly_Growth!$D$3</f>
        <v>0.09</v>
      </c>
      <c r="K2720">
        <f>Sales_Per_Representative!$C$29</f>
        <v>753085</v>
      </c>
      <c r="L2720">
        <f>Sales_Per_Rep_Yearly_Goal!$B$3</f>
        <v>689907.8</v>
      </c>
      <c r="M2720">
        <f>Sales_Per_Rep_Yearly_Goal!$C$3</f>
        <v>690000</v>
      </c>
    </row>
    <row r="2721" spans="1:13" x14ac:dyDescent="0.3">
      <c r="A2721" s="3">
        <v>45653</v>
      </c>
      <c r="B2721">
        <f t="shared" si="42"/>
        <v>2024</v>
      </c>
      <c r="C2721">
        <v>12</v>
      </c>
      <c r="D2721" t="s">
        <v>7</v>
      </c>
      <c r="E2721" t="s">
        <v>32</v>
      </c>
      <c r="F2721" s="2">
        <v>9839</v>
      </c>
      <c r="G2721" s="2">
        <f>Monthly_Growth!$C$25</f>
        <v>762927</v>
      </c>
      <c r="H2721" s="5">
        <f>Monthly_Growth!$D$25</f>
        <v>-9.0672120772204087E-2</v>
      </c>
      <c r="I2721" s="15">
        <f>Yearly_Growth!$C$3</f>
        <v>0.11893113731787852</v>
      </c>
      <c r="J2721" s="15">
        <f>Yearly_Growth!$D$3</f>
        <v>0.09</v>
      </c>
      <c r="K2721">
        <f>Sales_Per_Representative!$C$18</f>
        <v>783907</v>
      </c>
      <c r="L2721">
        <f>Sales_Per_Rep_Yearly_Goal!$B$3</f>
        <v>689907.8</v>
      </c>
      <c r="M2721">
        <f>Sales_Per_Rep_Yearly_Goal!$C$3</f>
        <v>690000</v>
      </c>
    </row>
    <row r="2722" spans="1:13" x14ac:dyDescent="0.3">
      <c r="A2722" s="3">
        <v>45653</v>
      </c>
      <c r="B2722">
        <f t="shared" si="42"/>
        <v>2024</v>
      </c>
      <c r="C2722">
        <v>12</v>
      </c>
      <c r="D2722" t="s">
        <v>12</v>
      </c>
      <c r="E2722" t="s">
        <v>32</v>
      </c>
      <c r="F2722" s="2">
        <v>10182</v>
      </c>
      <c r="G2722" s="2">
        <f>Monthly_Growth!$C$25</f>
        <v>762927</v>
      </c>
      <c r="H2722" s="5">
        <f>Monthly_Growth!$D$25</f>
        <v>-9.0672120772204087E-2</v>
      </c>
      <c r="I2722" s="15">
        <f>Yearly_Growth!$C$3</f>
        <v>0.11893113731787852</v>
      </c>
      <c r="J2722" s="15">
        <f>Yearly_Growth!$D$3</f>
        <v>0.09</v>
      </c>
      <c r="K2722">
        <f>Sales_Per_Representative!$C$18</f>
        <v>783907</v>
      </c>
      <c r="L2722">
        <f>Sales_Per_Rep_Yearly_Goal!$B$3</f>
        <v>689907.8</v>
      </c>
      <c r="M2722">
        <f>Sales_Per_Rep_Yearly_Goal!$C$3</f>
        <v>690000</v>
      </c>
    </row>
    <row r="2723" spans="1:13" x14ac:dyDescent="0.3">
      <c r="A2723" s="3">
        <v>45653</v>
      </c>
      <c r="B2723">
        <f t="shared" si="42"/>
        <v>2024</v>
      </c>
      <c r="C2723">
        <v>12</v>
      </c>
      <c r="D2723" t="s">
        <v>12</v>
      </c>
      <c r="E2723" t="s">
        <v>15</v>
      </c>
      <c r="F2723" s="2">
        <v>6347</v>
      </c>
      <c r="G2723" s="2">
        <f>Monthly_Growth!$C$25</f>
        <v>762927</v>
      </c>
      <c r="H2723" s="5">
        <f>Monthly_Growth!$D$25</f>
        <v>-9.0672120772204087E-2</v>
      </c>
      <c r="I2723" s="15">
        <f>Yearly_Growth!$C$3</f>
        <v>0.11893113731787852</v>
      </c>
      <c r="J2723" s="15">
        <f>Yearly_Growth!$D$3</f>
        <v>0.09</v>
      </c>
      <c r="K2723">
        <f>Sales_Per_Representative!$C$27</f>
        <v>617202</v>
      </c>
      <c r="L2723">
        <f>Sales_Per_Rep_Yearly_Goal!$B$3</f>
        <v>689907.8</v>
      </c>
      <c r="M2723">
        <f>Sales_Per_Rep_Yearly_Goal!$C$3</f>
        <v>690000</v>
      </c>
    </row>
    <row r="2724" spans="1:13" x14ac:dyDescent="0.3">
      <c r="A2724" s="3">
        <v>45655</v>
      </c>
      <c r="B2724">
        <f t="shared" si="42"/>
        <v>2024</v>
      </c>
      <c r="C2724">
        <v>12</v>
      </c>
      <c r="D2724" t="s">
        <v>23</v>
      </c>
      <c r="E2724" t="s">
        <v>15</v>
      </c>
      <c r="F2724" s="2">
        <v>1321</v>
      </c>
      <c r="G2724" s="2">
        <f>Monthly_Growth!$C$25</f>
        <v>762927</v>
      </c>
      <c r="H2724" s="5">
        <f>Monthly_Growth!$D$25</f>
        <v>-9.0672120772204087E-2</v>
      </c>
      <c r="I2724" s="15">
        <f>Yearly_Growth!$C$3</f>
        <v>0.11893113731787852</v>
      </c>
      <c r="J2724" s="15">
        <f>Yearly_Growth!$D$3</f>
        <v>0.09</v>
      </c>
      <c r="K2724">
        <f>Sales_Per_Representative!$C$27</f>
        <v>617202</v>
      </c>
      <c r="L2724">
        <f>Sales_Per_Rep_Yearly_Goal!$B$3</f>
        <v>689907.8</v>
      </c>
      <c r="M2724">
        <f>Sales_Per_Rep_Yearly_Goal!$C$3</f>
        <v>690000</v>
      </c>
    </row>
    <row r="2725" spans="1:13" x14ac:dyDescent="0.3">
      <c r="A2725" s="3">
        <v>45655</v>
      </c>
      <c r="B2725">
        <f t="shared" si="42"/>
        <v>2024</v>
      </c>
      <c r="C2725">
        <v>12</v>
      </c>
      <c r="D2725" t="s">
        <v>25</v>
      </c>
      <c r="E2725" t="s">
        <v>33</v>
      </c>
      <c r="F2725" s="2">
        <v>1294</v>
      </c>
      <c r="G2725" s="2">
        <f>Monthly_Growth!$C$25</f>
        <v>762927</v>
      </c>
      <c r="H2725" s="5">
        <f>Monthly_Growth!$D$25</f>
        <v>-9.0672120772204087E-2</v>
      </c>
      <c r="I2725" s="15">
        <f>Yearly_Growth!$C$3</f>
        <v>0.11893113731787852</v>
      </c>
      <c r="J2725" s="15">
        <f>Yearly_Growth!$D$3</f>
        <v>0.09</v>
      </c>
      <c r="K2725">
        <f>Sales_Per_Representative!$C$26</f>
        <v>501360</v>
      </c>
      <c r="L2725">
        <f>Sales_Per_Rep_Yearly_Goal!$B$3</f>
        <v>689907.8</v>
      </c>
      <c r="M2725">
        <f>Sales_Per_Rep_Yearly_Goal!$C$3</f>
        <v>690000</v>
      </c>
    </row>
    <row r="2726" spans="1:13" x14ac:dyDescent="0.3">
      <c r="A2726" s="3">
        <v>45655</v>
      </c>
      <c r="B2726">
        <f t="shared" si="42"/>
        <v>2024</v>
      </c>
      <c r="C2726">
        <v>12</v>
      </c>
      <c r="D2726" t="s">
        <v>25</v>
      </c>
      <c r="E2726" t="s">
        <v>15</v>
      </c>
      <c r="F2726" s="2">
        <v>1506</v>
      </c>
      <c r="G2726" s="2">
        <f>Monthly_Growth!$C$25</f>
        <v>762927</v>
      </c>
      <c r="H2726" s="5">
        <f>Monthly_Growth!$D$25</f>
        <v>-9.0672120772204087E-2</v>
      </c>
      <c r="I2726" s="15">
        <f>Yearly_Growth!$C$3</f>
        <v>0.11893113731787852</v>
      </c>
      <c r="J2726" s="15">
        <f>Yearly_Growth!$D$3</f>
        <v>0.09</v>
      </c>
      <c r="K2726">
        <f>Sales_Per_Representative!$C$27</f>
        <v>617202</v>
      </c>
      <c r="L2726">
        <f>Sales_Per_Rep_Yearly_Goal!$B$3</f>
        <v>689907.8</v>
      </c>
      <c r="M2726">
        <f>Sales_Per_Rep_Yearly_Goal!$C$3</f>
        <v>690000</v>
      </c>
    </row>
    <row r="2727" spans="1:13" x14ac:dyDescent="0.3">
      <c r="A2727" s="3">
        <v>45655</v>
      </c>
      <c r="B2727">
        <f t="shared" si="42"/>
        <v>2024</v>
      </c>
      <c r="C2727">
        <v>12</v>
      </c>
      <c r="D2727" t="s">
        <v>7</v>
      </c>
      <c r="E2727" t="s">
        <v>29</v>
      </c>
      <c r="F2727" s="2">
        <v>3993</v>
      </c>
      <c r="G2727" s="2">
        <f>Monthly_Growth!$C$25</f>
        <v>762927</v>
      </c>
      <c r="H2727" s="5">
        <f>Monthly_Growth!$D$25</f>
        <v>-9.0672120772204087E-2</v>
      </c>
      <c r="I2727" s="15">
        <f>Yearly_Growth!$C$3</f>
        <v>0.11893113731787852</v>
      </c>
      <c r="J2727" s="15">
        <f>Yearly_Growth!$D$3</f>
        <v>0.09</v>
      </c>
      <c r="K2727">
        <f>Sales_Per_Representative!$C$28</f>
        <v>691917</v>
      </c>
      <c r="L2727">
        <f>Sales_Per_Rep_Yearly_Goal!$B$3</f>
        <v>689907.8</v>
      </c>
      <c r="M2727">
        <f>Sales_Per_Rep_Yearly_Goal!$C$3</f>
        <v>690000</v>
      </c>
    </row>
    <row r="2728" spans="1:13" x14ac:dyDescent="0.3">
      <c r="A2728" s="3">
        <v>45655</v>
      </c>
      <c r="B2728">
        <f t="shared" si="42"/>
        <v>2024</v>
      </c>
      <c r="C2728">
        <v>12</v>
      </c>
      <c r="D2728" t="s">
        <v>7</v>
      </c>
      <c r="E2728" t="s">
        <v>29</v>
      </c>
      <c r="F2728" s="2">
        <v>13558</v>
      </c>
      <c r="G2728" s="2">
        <f>Monthly_Growth!$C$25</f>
        <v>762927</v>
      </c>
      <c r="H2728" s="5">
        <f>Monthly_Growth!$D$25</f>
        <v>-9.0672120772204087E-2</v>
      </c>
      <c r="I2728" s="15">
        <f>Yearly_Growth!$C$3</f>
        <v>0.11893113731787852</v>
      </c>
      <c r="J2728" s="15">
        <f>Yearly_Growth!$D$3</f>
        <v>0.09</v>
      </c>
      <c r="K2728">
        <f>Sales_Per_Representative!$C$28</f>
        <v>691917</v>
      </c>
      <c r="L2728">
        <f>Sales_Per_Rep_Yearly_Goal!$B$3</f>
        <v>689907.8</v>
      </c>
      <c r="M2728">
        <f>Sales_Per_Rep_Yearly_Goal!$C$3</f>
        <v>690000</v>
      </c>
    </row>
    <row r="2729" spans="1:13" x14ac:dyDescent="0.3">
      <c r="A2729" s="3">
        <v>45655</v>
      </c>
      <c r="B2729">
        <f t="shared" si="42"/>
        <v>2024</v>
      </c>
      <c r="C2729">
        <v>12</v>
      </c>
      <c r="D2729" t="s">
        <v>28</v>
      </c>
      <c r="E2729" t="s">
        <v>20</v>
      </c>
      <c r="F2729" s="2">
        <v>7905</v>
      </c>
      <c r="G2729" s="2">
        <f>Monthly_Growth!$C$25</f>
        <v>762927</v>
      </c>
      <c r="H2729" s="5">
        <f>Monthly_Growth!$D$25</f>
        <v>-9.0672120772204087E-2</v>
      </c>
      <c r="I2729" s="15">
        <f>Yearly_Growth!$C$3</f>
        <v>0.11893113731787852</v>
      </c>
      <c r="J2729" s="15">
        <f>Yearly_Growth!$D$3</f>
        <v>0.09</v>
      </c>
      <c r="K2729">
        <f>Sales_Per_Representative!$C$29</f>
        <v>753085</v>
      </c>
      <c r="L2729">
        <f>Sales_Per_Rep_Yearly_Goal!$B$3</f>
        <v>689907.8</v>
      </c>
      <c r="M2729">
        <f>Sales_Per_Rep_Yearly_Goal!$C$3</f>
        <v>690000</v>
      </c>
    </row>
    <row r="2730" spans="1:13" x14ac:dyDescent="0.3">
      <c r="A2730" s="3">
        <v>45655</v>
      </c>
      <c r="B2730">
        <f t="shared" si="42"/>
        <v>2024</v>
      </c>
      <c r="C2730">
        <v>12</v>
      </c>
      <c r="D2730" t="s">
        <v>12</v>
      </c>
      <c r="E2730" t="s">
        <v>30</v>
      </c>
      <c r="F2730" s="2">
        <v>12449</v>
      </c>
      <c r="G2730" s="2">
        <f>Monthly_Growth!$C$25</f>
        <v>762927</v>
      </c>
      <c r="H2730" s="5">
        <f>Monthly_Growth!$D$25</f>
        <v>-9.0672120772204087E-2</v>
      </c>
      <c r="I2730" s="15">
        <f>Yearly_Growth!$C$3</f>
        <v>0.11893113731787852</v>
      </c>
      <c r="J2730" s="15">
        <f>Yearly_Growth!$D$3</f>
        <v>0.09</v>
      </c>
      <c r="K2730">
        <f>Sales_Per_Representative!$C$22</f>
        <v>700142</v>
      </c>
      <c r="L2730">
        <f>Sales_Per_Rep_Yearly_Goal!$B$3</f>
        <v>689907.8</v>
      </c>
      <c r="M2730">
        <f>Sales_Per_Rep_Yearly_Goal!$C$3</f>
        <v>690000</v>
      </c>
    </row>
    <row r="2731" spans="1:13" x14ac:dyDescent="0.3">
      <c r="A2731" s="3">
        <v>45656</v>
      </c>
      <c r="B2731">
        <f t="shared" si="42"/>
        <v>2024</v>
      </c>
      <c r="C2731">
        <v>12</v>
      </c>
      <c r="D2731" t="s">
        <v>19</v>
      </c>
      <c r="E2731" t="s">
        <v>5</v>
      </c>
      <c r="F2731" s="2">
        <v>7540</v>
      </c>
      <c r="G2731" s="2">
        <f>Monthly_Growth!$C$25</f>
        <v>762927</v>
      </c>
      <c r="H2731" s="5">
        <f>Monthly_Growth!$D$25</f>
        <v>-9.0672120772204087E-2</v>
      </c>
      <c r="I2731" s="15">
        <f>Yearly_Growth!$C$3</f>
        <v>0.11893113731787852</v>
      </c>
      <c r="J2731" s="15">
        <f>Yearly_Growth!$D$3</f>
        <v>0.09</v>
      </c>
      <c r="K2731">
        <f>Sales_Per_Representative!$C$25</f>
        <v>749460</v>
      </c>
      <c r="L2731">
        <f>Sales_Per_Rep_Yearly_Goal!$B$3</f>
        <v>689907.8</v>
      </c>
      <c r="M2731">
        <f>Sales_Per_Rep_Yearly_Goal!$C$3</f>
        <v>690000</v>
      </c>
    </row>
    <row r="2732" spans="1:13" x14ac:dyDescent="0.3">
      <c r="A2732" s="3">
        <v>45656</v>
      </c>
      <c r="B2732">
        <f t="shared" si="42"/>
        <v>2024</v>
      </c>
      <c r="C2732">
        <v>12</v>
      </c>
      <c r="D2732" t="s">
        <v>7</v>
      </c>
      <c r="E2732" t="s">
        <v>20</v>
      </c>
      <c r="F2732" s="2">
        <v>10403</v>
      </c>
      <c r="G2732" s="2">
        <f>Monthly_Growth!$C$25</f>
        <v>762927</v>
      </c>
      <c r="H2732" s="5">
        <f>Monthly_Growth!$D$25</f>
        <v>-9.0672120772204087E-2</v>
      </c>
      <c r="I2732" s="15">
        <f>Yearly_Growth!$C$3</f>
        <v>0.11893113731787852</v>
      </c>
      <c r="J2732" s="15">
        <f>Yearly_Growth!$D$3</f>
        <v>0.09</v>
      </c>
      <c r="K2732">
        <f>Sales_Per_Representative!$C$29</f>
        <v>753085</v>
      </c>
      <c r="L2732">
        <f>Sales_Per_Rep_Yearly_Goal!$B$3</f>
        <v>689907.8</v>
      </c>
      <c r="M2732">
        <f>Sales_Per_Rep_Yearly_Goal!$C$3</f>
        <v>690000</v>
      </c>
    </row>
    <row r="2733" spans="1:13" x14ac:dyDescent="0.3">
      <c r="A2733" s="3">
        <v>45657</v>
      </c>
      <c r="B2733">
        <f t="shared" si="42"/>
        <v>2024</v>
      </c>
      <c r="C2733">
        <v>12</v>
      </c>
      <c r="D2733" t="s">
        <v>19</v>
      </c>
      <c r="E2733" t="s">
        <v>31</v>
      </c>
      <c r="F2733" s="2">
        <v>11357</v>
      </c>
      <c r="G2733" s="2">
        <f>Monthly_Growth!$C$25</f>
        <v>762927</v>
      </c>
      <c r="H2733" s="5">
        <f>Monthly_Growth!$D$25</f>
        <v>-9.0672120772204087E-2</v>
      </c>
      <c r="I2733" s="15">
        <f>Yearly_Growth!$C$3</f>
        <v>0.11893113731787852</v>
      </c>
      <c r="J2733" s="15">
        <f>Yearly_Growth!$D$3</f>
        <v>0.09</v>
      </c>
      <c r="K2733">
        <f>Sales_Per_Representative!$C$21</f>
        <v>679421</v>
      </c>
      <c r="L2733">
        <f>Sales_Per_Rep_Yearly_Goal!$B$3</f>
        <v>689907.8</v>
      </c>
      <c r="M2733">
        <f>Sales_Per_Rep_Yearly_Goal!$C$3</f>
        <v>690000</v>
      </c>
    </row>
    <row r="2734" spans="1:13" x14ac:dyDescent="0.3">
      <c r="A2734" s="3">
        <v>45657</v>
      </c>
      <c r="B2734">
        <f t="shared" si="42"/>
        <v>2024</v>
      </c>
      <c r="C2734">
        <v>12</v>
      </c>
      <c r="D2734" t="s">
        <v>23</v>
      </c>
      <c r="E2734" t="s">
        <v>26</v>
      </c>
      <c r="F2734" s="2">
        <v>4880</v>
      </c>
      <c r="G2734" s="2">
        <f>Monthly_Growth!$C$25</f>
        <v>762927</v>
      </c>
      <c r="H2734" s="5">
        <f>Monthly_Growth!$D$25</f>
        <v>-9.0672120772204087E-2</v>
      </c>
      <c r="I2734" s="15">
        <f>Yearly_Growth!$C$3</f>
        <v>0.11893113731787852</v>
      </c>
      <c r="J2734" s="15">
        <f>Yearly_Growth!$D$3</f>
        <v>0.09</v>
      </c>
      <c r="K2734">
        <f>Sales_Per_Representative!$C$31</f>
        <v>664244</v>
      </c>
      <c r="L2734">
        <f>Sales_Per_Rep_Yearly_Goal!$B$3</f>
        <v>689907.8</v>
      </c>
      <c r="M2734">
        <f>Sales_Per_Rep_Yearly_Goal!$C$3</f>
        <v>690000</v>
      </c>
    </row>
    <row r="2735" spans="1:13" x14ac:dyDescent="0.3">
      <c r="A2735" s="3">
        <v>45657</v>
      </c>
      <c r="B2735">
        <f t="shared" si="42"/>
        <v>2024</v>
      </c>
      <c r="C2735">
        <v>12</v>
      </c>
      <c r="D2735" t="s">
        <v>23</v>
      </c>
      <c r="E2735" t="s">
        <v>20</v>
      </c>
      <c r="F2735" s="2">
        <v>4958</v>
      </c>
      <c r="G2735" s="2">
        <f>Monthly_Growth!$C$25</f>
        <v>762927</v>
      </c>
      <c r="H2735" s="5">
        <f>Monthly_Growth!$D$25</f>
        <v>-9.0672120772204087E-2</v>
      </c>
      <c r="I2735" s="15">
        <f>Yearly_Growth!$C$3</f>
        <v>0.11893113731787852</v>
      </c>
      <c r="J2735" s="15">
        <f>Yearly_Growth!$D$3</f>
        <v>0.09</v>
      </c>
      <c r="K2735">
        <f>Sales_Per_Representative!$C$29</f>
        <v>753085</v>
      </c>
      <c r="L2735">
        <f>Sales_Per_Rep_Yearly_Goal!$B$3</f>
        <v>689907.8</v>
      </c>
      <c r="M2735">
        <f>Sales_Per_Rep_Yearly_Goal!$C$3</f>
        <v>690000</v>
      </c>
    </row>
    <row r="2736" spans="1:13" x14ac:dyDescent="0.3">
      <c r="A2736" s="3">
        <v>45657</v>
      </c>
      <c r="B2736">
        <f t="shared" si="42"/>
        <v>2024</v>
      </c>
      <c r="C2736">
        <v>12</v>
      </c>
      <c r="D2736" t="s">
        <v>23</v>
      </c>
      <c r="E2736" t="s">
        <v>20</v>
      </c>
      <c r="F2736" s="2">
        <v>7664</v>
      </c>
      <c r="G2736" s="2">
        <f>Monthly_Growth!$C$25</f>
        <v>762927</v>
      </c>
      <c r="H2736" s="5">
        <f>Monthly_Growth!$D$25</f>
        <v>-9.0672120772204087E-2</v>
      </c>
      <c r="I2736" s="15">
        <f>Yearly_Growth!$C$3</f>
        <v>0.11893113731787852</v>
      </c>
      <c r="J2736" s="15">
        <f>Yearly_Growth!$D$3</f>
        <v>0.09</v>
      </c>
      <c r="K2736">
        <f>Sales_Per_Representative!$C$29</f>
        <v>753085</v>
      </c>
      <c r="L2736">
        <f>Sales_Per_Rep_Yearly_Goal!$B$3</f>
        <v>689907.8</v>
      </c>
      <c r="M2736">
        <f>Sales_Per_Rep_Yearly_Goal!$C$3</f>
        <v>690000</v>
      </c>
    </row>
    <row r="2737" spans="1:13" x14ac:dyDescent="0.3">
      <c r="A2737" s="3">
        <v>45657</v>
      </c>
      <c r="B2737">
        <f t="shared" si="42"/>
        <v>2024</v>
      </c>
      <c r="C2737">
        <v>12</v>
      </c>
      <c r="D2737" t="s">
        <v>23</v>
      </c>
      <c r="E2737" t="s">
        <v>26</v>
      </c>
      <c r="F2737" s="2">
        <v>7599</v>
      </c>
      <c r="G2737" s="2">
        <f>Monthly_Growth!$C$25</f>
        <v>762927</v>
      </c>
      <c r="H2737" s="5">
        <f>Monthly_Growth!$D$25</f>
        <v>-9.0672120772204087E-2</v>
      </c>
      <c r="I2737" s="15">
        <f>Yearly_Growth!$C$3</f>
        <v>0.11893113731787852</v>
      </c>
      <c r="J2737" s="15">
        <f>Yearly_Growth!$D$3</f>
        <v>0.09</v>
      </c>
      <c r="K2737">
        <f>Sales_Per_Representative!$C$31</f>
        <v>664244</v>
      </c>
      <c r="L2737">
        <f>Sales_Per_Rep_Yearly_Goal!$B$3</f>
        <v>689907.8</v>
      </c>
      <c r="M2737">
        <f>Sales_Per_Rep_Yearly_Goal!$C$3</f>
        <v>690000</v>
      </c>
    </row>
    <row r="2738" spans="1:13" x14ac:dyDescent="0.3">
      <c r="A2738" s="3">
        <v>45657</v>
      </c>
      <c r="B2738">
        <f t="shared" si="42"/>
        <v>2024</v>
      </c>
      <c r="C2738">
        <v>12</v>
      </c>
      <c r="D2738" t="s">
        <v>25</v>
      </c>
      <c r="E2738" t="s">
        <v>29</v>
      </c>
      <c r="F2738" s="2">
        <v>11021</v>
      </c>
      <c r="G2738" s="2">
        <f>Monthly_Growth!$C$25</f>
        <v>762927</v>
      </c>
      <c r="H2738" s="5">
        <f>Monthly_Growth!$D$25</f>
        <v>-9.0672120772204087E-2</v>
      </c>
      <c r="I2738" s="15">
        <f>Yearly_Growth!$C$3</f>
        <v>0.11893113731787852</v>
      </c>
      <c r="J2738" s="15">
        <f>Yearly_Growth!$D$3</f>
        <v>0.09</v>
      </c>
      <c r="K2738">
        <f>Sales_Per_Representative!$C$28</f>
        <v>691917</v>
      </c>
      <c r="L2738">
        <f>Sales_Per_Rep_Yearly_Goal!$B$3</f>
        <v>689907.8</v>
      </c>
      <c r="M2738">
        <f>Sales_Per_Rep_Yearly_Goal!$C$3</f>
        <v>690000</v>
      </c>
    </row>
    <row r="2739" spans="1:13" x14ac:dyDescent="0.3">
      <c r="A2739" s="3">
        <v>45657</v>
      </c>
      <c r="B2739">
        <f t="shared" si="42"/>
        <v>2024</v>
      </c>
      <c r="C2739">
        <v>12</v>
      </c>
      <c r="D2739" t="s">
        <v>25</v>
      </c>
      <c r="E2739" t="s">
        <v>24</v>
      </c>
      <c r="F2739" s="2">
        <v>11536</v>
      </c>
      <c r="G2739" s="2">
        <f>Monthly_Growth!$C$25</f>
        <v>762927</v>
      </c>
      <c r="H2739" s="5">
        <f>Monthly_Growth!$D$25</f>
        <v>-9.0672120772204087E-2</v>
      </c>
      <c r="I2739" s="15">
        <f>Yearly_Growth!$C$3</f>
        <v>0.11893113731787852</v>
      </c>
      <c r="J2739" s="15">
        <f>Yearly_Growth!$D$3</f>
        <v>0.09</v>
      </c>
      <c r="K2739">
        <f>Sales_Per_Representative!$C$17</f>
        <v>633956</v>
      </c>
      <c r="L2739">
        <f>Sales_Per_Rep_Yearly_Goal!$B$3</f>
        <v>689907.8</v>
      </c>
      <c r="M2739">
        <f>Sales_Per_Rep_Yearly_Goal!$C$3</f>
        <v>690000</v>
      </c>
    </row>
  </sheetData>
  <autoFilter ref="A1:M2739" xr:uid="{2EC46425-B1EA-4997-BBD8-0ECC28B3E052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739"/>
  <sheetViews>
    <sheetView topLeftCell="A2673" workbookViewId="0">
      <selection activeCell="E2" sqref="E2:E2739"/>
    </sheetView>
  </sheetViews>
  <sheetFormatPr defaultRowHeight="14.4" x14ac:dyDescent="0.3"/>
  <cols>
    <col min="1" max="1" width="15.44140625" bestFit="1" customWidth="1"/>
    <col min="2" max="2" width="10.33203125" bestFit="1" customWidth="1"/>
    <col min="3" max="3" width="38.88671875" bestFit="1" customWidth="1"/>
    <col min="4" max="4" width="10.5546875" bestFit="1" customWidth="1"/>
    <col min="5" max="5" width="12.33203125" bestFit="1" customWidth="1"/>
  </cols>
  <sheetData>
    <row r="1" spans="1:5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3">
      <c r="A2" t="s">
        <v>24</v>
      </c>
      <c r="B2" t="s">
        <v>13</v>
      </c>
      <c r="C2" t="s">
        <v>14</v>
      </c>
      <c r="D2" s="3">
        <v>44927</v>
      </c>
      <c r="E2" s="2">
        <v>5216</v>
      </c>
    </row>
    <row r="3" spans="1:5" x14ac:dyDescent="0.3">
      <c r="A3" t="s">
        <v>32</v>
      </c>
      <c r="B3" t="s">
        <v>6</v>
      </c>
      <c r="C3" t="s">
        <v>14</v>
      </c>
      <c r="D3" s="3">
        <v>44927</v>
      </c>
      <c r="E3" s="2">
        <v>7972</v>
      </c>
    </row>
    <row r="4" spans="1:5" x14ac:dyDescent="0.3">
      <c r="A4" t="s">
        <v>24</v>
      </c>
      <c r="B4" t="s">
        <v>16</v>
      </c>
      <c r="C4" t="s">
        <v>25</v>
      </c>
      <c r="D4" s="3">
        <v>44927</v>
      </c>
      <c r="E4" s="2">
        <v>7297</v>
      </c>
    </row>
    <row r="5" spans="1:5" x14ac:dyDescent="0.3">
      <c r="A5" t="s">
        <v>10</v>
      </c>
      <c r="B5" t="s">
        <v>9</v>
      </c>
      <c r="C5" t="s">
        <v>25</v>
      </c>
      <c r="D5" s="3">
        <v>44927</v>
      </c>
      <c r="E5" s="2">
        <v>13823</v>
      </c>
    </row>
    <row r="6" spans="1:5" x14ac:dyDescent="0.3">
      <c r="A6" t="s">
        <v>27</v>
      </c>
      <c r="B6" t="s">
        <v>16</v>
      </c>
      <c r="C6" t="s">
        <v>28</v>
      </c>
      <c r="D6" s="3">
        <v>44928</v>
      </c>
      <c r="E6" s="2">
        <v>12694</v>
      </c>
    </row>
    <row r="7" spans="1:5" x14ac:dyDescent="0.3">
      <c r="A7" t="s">
        <v>31</v>
      </c>
      <c r="B7" t="s">
        <v>9</v>
      </c>
      <c r="C7" t="s">
        <v>28</v>
      </c>
      <c r="D7" s="3">
        <v>44929</v>
      </c>
      <c r="E7" s="2">
        <v>6224</v>
      </c>
    </row>
    <row r="8" spans="1:5" x14ac:dyDescent="0.3">
      <c r="A8" t="s">
        <v>30</v>
      </c>
      <c r="B8" t="s">
        <v>11</v>
      </c>
      <c r="C8" t="s">
        <v>12</v>
      </c>
      <c r="D8" s="3">
        <v>44929</v>
      </c>
      <c r="E8" s="2">
        <v>2218</v>
      </c>
    </row>
    <row r="9" spans="1:5" x14ac:dyDescent="0.3">
      <c r="A9" t="s">
        <v>22</v>
      </c>
      <c r="B9" t="s">
        <v>6</v>
      </c>
      <c r="C9" t="s">
        <v>14</v>
      </c>
      <c r="D9" s="3">
        <v>44930</v>
      </c>
      <c r="E9" s="2">
        <v>6455</v>
      </c>
    </row>
    <row r="10" spans="1:5" x14ac:dyDescent="0.3">
      <c r="A10" t="s">
        <v>22</v>
      </c>
      <c r="B10" t="s">
        <v>11</v>
      </c>
      <c r="C10" t="s">
        <v>19</v>
      </c>
      <c r="D10" s="3">
        <v>44930</v>
      </c>
      <c r="E10" s="2">
        <v>12070</v>
      </c>
    </row>
    <row r="11" spans="1:5" x14ac:dyDescent="0.3">
      <c r="A11" t="s">
        <v>18</v>
      </c>
      <c r="B11" t="s">
        <v>16</v>
      </c>
      <c r="C11" t="s">
        <v>19</v>
      </c>
      <c r="D11" s="3">
        <v>44930</v>
      </c>
      <c r="E11" s="2">
        <v>5435</v>
      </c>
    </row>
    <row r="12" spans="1:5" x14ac:dyDescent="0.3">
      <c r="A12" t="s">
        <v>5</v>
      </c>
      <c r="B12" t="s">
        <v>9</v>
      </c>
      <c r="C12" t="s">
        <v>23</v>
      </c>
      <c r="D12" s="3">
        <v>44930</v>
      </c>
      <c r="E12" s="2">
        <v>4786</v>
      </c>
    </row>
    <row r="13" spans="1:5" x14ac:dyDescent="0.3">
      <c r="A13" t="s">
        <v>24</v>
      </c>
      <c r="B13" t="s">
        <v>13</v>
      </c>
      <c r="C13" t="s">
        <v>25</v>
      </c>
      <c r="D13" s="3">
        <v>44930</v>
      </c>
      <c r="E13" s="2">
        <v>7816</v>
      </c>
    </row>
    <row r="14" spans="1:5" x14ac:dyDescent="0.3">
      <c r="A14" t="s">
        <v>10</v>
      </c>
      <c r="B14" t="s">
        <v>6</v>
      </c>
      <c r="C14" t="s">
        <v>17</v>
      </c>
      <c r="D14" s="3">
        <v>44930</v>
      </c>
      <c r="E14" s="2">
        <v>1519</v>
      </c>
    </row>
    <row r="15" spans="1:5" x14ac:dyDescent="0.3">
      <c r="A15" t="s">
        <v>33</v>
      </c>
      <c r="B15" t="s">
        <v>9</v>
      </c>
      <c r="C15" t="s">
        <v>14</v>
      </c>
      <c r="D15" s="3">
        <v>44931</v>
      </c>
      <c r="E15" s="2">
        <v>10472</v>
      </c>
    </row>
    <row r="16" spans="1:5" x14ac:dyDescent="0.3">
      <c r="A16" t="s">
        <v>32</v>
      </c>
      <c r="B16" t="s">
        <v>16</v>
      </c>
      <c r="C16" t="s">
        <v>14</v>
      </c>
      <c r="D16" s="3">
        <v>44931</v>
      </c>
      <c r="E16" s="2">
        <v>9682</v>
      </c>
    </row>
    <row r="17" spans="1:5" x14ac:dyDescent="0.3">
      <c r="A17" t="s">
        <v>15</v>
      </c>
      <c r="B17" t="s">
        <v>6</v>
      </c>
      <c r="C17" t="s">
        <v>19</v>
      </c>
      <c r="D17" s="3">
        <v>44931</v>
      </c>
      <c r="E17" s="2">
        <v>12833</v>
      </c>
    </row>
    <row r="18" spans="1:5" x14ac:dyDescent="0.3">
      <c r="A18" t="s">
        <v>15</v>
      </c>
      <c r="B18" t="s">
        <v>6</v>
      </c>
      <c r="C18" t="s">
        <v>25</v>
      </c>
      <c r="D18" s="3">
        <v>44931</v>
      </c>
      <c r="E18" s="2">
        <v>5795</v>
      </c>
    </row>
    <row r="19" spans="1:5" x14ac:dyDescent="0.3">
      <c r="A19" t="s">
        <v>29</v>
      </c>
      <c r="B19" t="s">
        <v>11</v>
      </c>
      <c r="C19" t="s">
        <v>25</v>
      </c>
      <c r="D19" s="3">
        <v>44931</v>
      </c>
      <c r="E19" s="2">
        <v>2010</v>
      </c>
    </row>
    <row r="20" spans="1:5" x14ac:dyDescent="0.3">
      <c r="A20" t="s">
        <v>22</v>
      </c>
      <c r="B20" t="s">
        <v>21</v>
      </c>
      <c r="C20" t="s">
        <v>7</v>
      </c>
      <c r="D20" s="3">
        <v>44931</v>
      </c>
      <c r="E20" s="2">
        <v>2597</v>
      </c>
    </row>
    <row r="21" spans="1:5" x14ac:dyDescent="0.3">
      <c r="A21" t="s">
        <v>24</v>
      </c>
      <c r="B21" t="s">
        <v>16</v>
      </c>
      <c r="C21" t="s">
        <v>14</v>
      </c>
      <c r="D21" s="3">
        <v>44932</v>
      </c>
      <c r="E21" s="2">
        <v>2600</v>
      </c>
    </row>
    <row r="22" spans="1:5" x14ac:dyDescent="0.3">
      <c r="A22" t="s">
        <v>15</v>
      </c>
      <c r="B22" t="s">
        <v>6</v>
      </c>
      <c r="C22" t="s">
        <v>14</v>
      </c>
      <c r="D22" s="3">
        <v>44932</v>
      </c>
      <c r="E22" s="2">
        <v>11100</v>
      </c>
    </row>
    <row r="23" spans="1:5" x14ac:dyDescent="0.3">
      <c r="A23" t="s">
        <v>20</v>
      </c>
      <c r="B23" t="s">
        <v>21</v>
      </c>
      <c r="C23" t="s">
        <v>14</v>
      </c>
      <c r="D23" s="3">
        <v>44932</v>
      </c>
      <c r="E23" s="2">
        <v>6777</v>
      </c>
    </row>
    <row r="24" spans="1:5" x14ac:dyDescent="0.3">
      <c r="A24" t="s">
        <v>29</v>
      </c>
      <c r="B24" t="s">
        <v>13</v>
      </c>
      <c r="C24" t="s">
        <v>19</v>
      </c>
      <c r="D24" s="3">
        <v>44932</v>
      </c>
      <c r="E24" s="2">
        <v>4350</v>
      </c>
    </row>
    <row r="25" spans="1:5" x14ac:dyDescent="0.3">
      <c r="A25" t="s">
        <v>24</v>
      </c>
      <c r="B25" t="s">
        <v>11</v>
      </c>
      <c r="C25" t="s">
        <v>25</v>
      </c>
      <c r="D25" s="3">
        <v>44932</v>
      </c>
      <c r="E25" s="2">
        <v>2161</v>
      </c>
    </row>
    <row r="26" spans="1:5" x14ac:dyDescent="0.3">
      <c r="A26" t="s">
        <v>10</v>
      </c>
      <c r="B26" t="s">
        <v>11</v>
      </c>
      <c r="C26" t="s">
        <v>28</v>
      </c>
      <c r="D26" s="3">
        <v>44932</v>
      </c>
      <c r="E26" s="2">
        <v>11470</v>
      </c>
    </row>
    <row r="27" spans="1:5" x14ac:dyDescent="0.3">
      <c r="A27" t="s">
        <v>24</v>
      </c>
      <c r="B27" t="s">
        <v>6</v>
      </c>
      <c r="C27" t="s">
        <v>19</v>
      </c>
      <c r="D27" s="3">
        <v>44933</v>
      </c>
      <c r="E27" s="2">
        <v>7805</v>
      </c>
    </row>
    <row r="28" spans="1:5" x14ac:dyDescent="0.3">
      <c r="A28" t="s">
        <v>18</v>
      </c>
      <c r="B28" t="s">
        <v>9</v>
      </c>
      <c r="C28" t="s">
        <v>25</v>
      </c>
      <c r="D28" s="3">
        <v>44933</v>
      </c>
      <c r="E28" s="2">
        <v>7763</v>
      </c>
    </row>
    <row r="29" spans="1:5" x14ac:dyDescent="0.3">
      <c r="A29" t="s">
        <v>24</v>
      </c>
      <c r="B29" t="s">
        <v>6</v>
      </c>
      <c r="C29" t="s">
        <v>7</v>
      </c>
      <c r="D29" s="3">
        <v>44933</v>
      </c>
      <c r="E29" s="2">
        <v>11071</v>
      </c>
    </row>
    <row r="30" spans="1:5" x14ac:dyDescent="0.3">
      <c r="A30" t="s">
        <v>5</v>
      </c>
      <c r="B30" t="s">
        <v>9</v>
      </c>
      <c r="C30" t="s">
        <v>12</v>
      </c>
      <c r="D30" s="3">
        <v>44933</v>
      </c>
      <c r="E30" s="2">
        <v>11682</v>
      </c>
    </row>
    <row r="31" spans="1:5" x14ac:dyDescent="0.3">
      <c r="A31" t="s">
        <v>33</v>
      </c>
      <c r="B31" t="s">
        <v>16</v>
      </c>
      <c r="C31" t="s">
        <v>12</v>
      </c>
      <c r="D31" s="3">
        <v>44933</v>
      </c>
      <c r="E31" s="2">
        <v>4574</v>
      </c>
    </row>
    <row r="32" spans="1:5" x14ac:dyDescent="0.3">
      <c r="A32" t="s">
        <v>10</v>
      </c>
      <c r="B32" t="s">
        <v>21</v>
      </c>
      <c r="C32" t="s">
        <v>14</v>
      </c>
      <c r="D32" s="3">
        <v>44934</v>
      </c>
      <c r="E32" s="2">
        <v>13903</v>
      </c>
    </row>
    <row r="33" spans="1:5" x14ac:dyDescent="0.3">
      <c r="A33" t="s">
        <v>24</v>
      </c>
      <c r="B33" t="s">
        <v>21</v>
      </c>
      <c r="C33" t="s">
        <v>14</v>
      </c>
      <c r="D33" s="3">
        <v>44934</v>
      </c>
      <c r="E33" s="2">
        <v>12689</v>
      </c>
    </row>
    <row r="34" spans="1:5" x14ac:dyDescent="0.3">
      <c r="A34" t="s">
        <v>32</v>
      </c>
      <c r="B34" t="s">
        <v>21</v>
      </c>
      <c r="C34" t="s">
        <v>19</v>
      </c>
      <c r="D34" s="3">
        <v>44934</v>
      </c>
      <c r="E34" s="2">
        <v>12726</v>
      </c>
    </row>
    <row r="35" spans="1:5" x14ac:dyDescent="0.3">
      <c r="A35" t="s">
        <v>30</v>
      </c>
      <c r="B35" t="s">
        <v>11</v>
      </c>
      <c r="C35" t="s">
        <v>12</v>
      </c>
      <c r="D35" s="3">
        <v>44934</v>
      </c>
      <c r="E35" s="2">
        <v>10112</v>
      </c>
    </row>
    <row r="36" spans="1:5" x14ac:dyDescent="0.3">
      <c r="A36" t="s">
        <v>8</v>
      </c>
      <c r="B36" t="s">
        <v>11</v>
      </c>
      <c r="C36" t="s">
        <v>19</v>
      </c>
      <c r="D36" s="3">
        <v>44935</v>
      </c>
      <c r="E36" s="2">
        <v>6012</v>
      </c>
    </row>
    <row r="37" spans="1:5" x14ac:dyDescent="0.3">
      <c r="A37" t="s">
        <v>10</v>
      </c>
      <c r="B37" t="s">
        <v>13</v>
      </c>
      <c r="C37" t="s">
        <v>17</v>
      </c>
      <c r="D37" s="3">
        <v>44935</v>
      </c>
      <c r="E37" s="2">
        <v>5996</v>
      </c>
    </row>
    <row r="38" spans="1:5" x14ac:dyDescent="0.3">
      <c r="A38" t="s">
        <v>20</v>
      </c>
      <c r="B38" t="s">
        <v>13</v>
      </c>
      <c r="C38" t="s">
        <v>17</v>
      </c>
      <c r="D38" s="3">
        <v>44936</v>
      </c>
      <c r="E38" s="2">
        <v>13562</v>
      </c>
    </row>
    <row r="39" spans="1:5" x14ac:dyDescent="0.3">
      <c r="A39" t="s">
        <v>18</v>
      </c>
      <c r="B39" t="s">
        <v>13</v>
      </c>
      <c r="C39" t="s">
        <v>23</v>
      </c>
      <c r="D39" s="3">
        <v>44937</v>
      </c>
      <c r="E39" s="2">
        <v>10399</v>
      </c>
    </row>
    <row r="40" spans="1:5" x14ac:dyDescent="0.3">
      <c r="A40" t="s">
        <v>18</v>
      </c>
      <c r="B40" t="s">
        <v>21</v>
      </c>
      <c r="C40" t="s">
        <v>23</v>
      </c>
      <c r="D40" s="3">
        <v>44937</v>
      </c>
      <c r="E40" s="2">
        <v>10355</v>
      </c>
    </row>
    <row r="41" spans="1:5" x14ac:dyDescent="0.3">
      <c r="A41" t="s">
        <v>22</v>
      </c>
      <c r="B41" t="s">
        <v>11</v>
      </c>
      <c r="C41" t="s">
        <v>7</v>
      </c>
      <c r="D41" s="3">
        <v>44937</v>
      </c>
      <c r="E41" s="2">
        <v>3088</v>
      </c>
    </row>
    <row r="42" spans="1:5" x14ac:dyDescent="0.3">
      <c r="A42" t="s">
        <v>27</v>
      </c>
      <c r="B42" t="s">
        <v>11</v>
      </c>
      <c r="C42" t="s">
        <v>23</v>
      </c>
      <c r="D42" s="3">
        <v>44938</v>
      </c>
      <c r="E42" s="2">
        <v>8860</v>
      </c>
    </row>
    <row r="43" spans="1:5" x14ac:dyDescent="0.3">
      <c r="A43" t="s">
        <v>5</v>
      </c>
      <c r="B43" t="s">
        <v>11</v>
      </c>
      <c r="C43" t="s">
        <v>12</v>
      </c>
      <c r="D43" s="3">
        <v>44938</v>
      </c>
      <c r="E43" s="2">
        <v>10887</v>
      </c>
    </row>
    <row r="44" spans="1:5" x14ac:dyDescent="0.3">
      <c r="A44" t="s">
        <v>5</v>
      </c>
      <c r="B44" t="s">
        <v>21</v>
      </c>
      <c r="C44" t="s">
        <v>19</v>
      </c>
      <c r="D44" s="3">
        <v>44939</v>
      </c>
      <c r="E44" s="2">
        <v>3760</v>
      </c>
    </row>
    <row r="45" spans="1:5" x14ac:dyDescent="0.3">
      <c r="A45" t="s">
        <v>33</v>
      </c>
      <c r="B45" t="s">
        <v>21</v>
      </c>
      <c r="C45" t="s">
        <v>12</v>
      </c>
      <c r="D45" s="3">
        <v>44939</v>
      </c>
      <c r="E45" s="2">
        <v>12338</v>
      </c>
    </row>
    <row r="46" spans="1:5" x14ac:dyDescent="0.3">
      <c r="A46" t="s">
        <v>27</v>
      </c>
      <c r="B46" t="s">
        <v>6</v>
      </c>
      <c r="C46" t="s">
        <v>7</v>
      </c>
      <c r="D46" s="3">
        <v>44940</v>
      </c>
      <c r="E46" s="2">
        <v>6529</v>
      </c>
    </row>
    <row r="47" spans="1:5" x14ac:dyDescent="0.3">
      <c r="A47" t="s">
        <v>32</v>
      </c>
      <c r="B47" t="s">
        <v>9</v>
      </c>
      <c r="C47" t="s">
        <v>28</v>
      </c>
      <c r="D47" s="3">
        <v>44940</v>
      </c>
      <c r="E47" s="2">
        <v>8320</v>
      </c>
    </row>
    <row r="48" spans="1:5" x14ac:dyDescent="0.3">
      <c r="A48" t="s">
        <v>10</v>
      </c>
      <c r="B48" t="s">
        <v>6</v>
      </c>
      <c r="C48" t="s">
        <v>28</v>
      </c>
      <c r="D48" s="3">
        <v>44940</v>
      </c>
      <c r="E48" s="2">
        <v>7620</v>
      </c>
    </row>
    <row r="49" spans="1:5" x14ac:dyDescent="0.3">
      <c r="A49" t="s">
        <v>33</v>
      </c>
      <c r="B49" t="s">
        <v>21</v>
      </c>
      <c r="C49" t="s">
        <v>14</v>
      </c>
      <c r="D49" s="3">
        <v>44941</v>
      </c>
      <c r="E49" s="2">
        <v>1369</v>
      </c>
    </row>
    <row r="50" spans="1:5" x14ac:dyDescent="0.3">
      <c r="A50" t="s">
        <v>10</v>
      </c>
      <c r="B50" t="s">
        <v>21</v>
      </c>
      <c r="C50" t="s">
        <v>19</v>
      </c>
      <c r="D50" s="3">
        <v>44941</v>
      </c>
      <c r="E50" s="2">
        <v>2364</v>
      </c>
    </row>
    <row r="51" spans="1:5" x14ac:dyDescent="0.3">
      <c r="A51" t="s">
        <v>20</v>
      </c>
      <c r="B51" t="s">
        <v>11</v>
      </c>
      <c r="C51" t="s">
        <v>25</v>
      </c>
      <c r="D51" s="3">
        <v>44941</v>
      </c>
      <c r="E51" s="2">
        <v>1421</v>
      </c>
    </row>
    <row r="52" spans="1:5" x14ac:dyDescent="0.3">
      <c r="A52" t="s">
        <v>26</v>
      </c>
      <c r="B52" t="s">
        <v>6</v>
      </c>
      <c r="C52" t="s">
        <v>7</v>
      </c>
      <c r="D52" s="3">
        <v>44941</v>
      </c>
      <c r="E52" s="2">
        <v>1824</v>
      </c>
    </row>
    <row r="53" spans="1:5" x14ac:dyDescent="0.3">
      <c r="A53" t="s">
        <v>20</v>
      </c>
      <c r="B53" t="s">
        <v>6</v>
      </c>
      <c r="C53" t="s">
        <v>28</v>
      </c>
      <c r="D53" s="3">
        <v>44941</v>
      </c>
      <c r="E53" s="2">
        <v>10269</v>
      </c>
    </row>
    <row r="54" spans="1:5" x14ac:dyDescent="0.3">
      <c r="A54" t="s">
        <v>27</v>
      </c>
      <c r="B54" t="s">
        <v>11</v>
      </c>
      <c r="C54" t="s">
        <v>17</v>
      </c>
      <c r="D54" s="3">
        <v>44941</v>
      </c>
      <c r="E54" s="2">
        <v>7597</v>
      </c>
    </row>
    <row r="55" spans="1:5" x14ac:dyDescent="0.3">
      <c r="A55" t="s">
        <v>20</v>
      </c>
      <c r="B55" t="s">
        <v>6</v>
      </c>
      <c r="C55" t="s">
        <v>12</v>
      </c>
      <c r="D55" s="3">
        <v>44941</v>
      </c>
      <c r="E55" s="2">
        <v>2810</v>
      </c>
    </row>
    <row r="56" spans="1:5" x14ac:dyDescent="0.3">
      <c r="A56" t="s">
        <v>26</v>
      </c>
      <c r="B56" t="s">
        <v>11</v>
      </c>
      <c r="C56" t="s">
        <v>12</v>
      </c>
      <c r="D56" s="3">
        <v>44941</v>
      </c>
      <c r="E56" s="2">
        <v>7440</v>
      </c>
    </row>
    <row r="57" spans="1:5" x14ac:dyDescent="0.3">
      <c r="A57" t="s">
        <v>32</v>
      </c>
      <c r="B57" t="s">
        <v>13</v>
      </c>
      <c r="C57" t="s">
        <v>12</v>
      </c>
      <c r="D57" s="3">
        <v>44941</v>
      </c>
      <c r="E57" s="2">
        <v>7260</v>
      </c>
    </row>
    <row r="58" spans="1:5" x14ac:dyDescent="0.3">
      <c r="A58" t="s">
        <v>15</v>
      </c>
      <c r="B58" t="s">
        <v>6</v>
      </c>
      <c r="C58" t="s">
        <v>25</v>
      </c>
      <c r="D58" s="3">
        <v>44942</v>
      </c>
      <c r="E58" s="2">
        <v>8624</v>
      </c>
    </row>
    <row r="59" spans="1:5" x14ac:dyDescent="0.3">
      <c r="A59" t="s">
        <v>26</v>
      </c>
      <c r="B59" t="s">
        <v>16</v>
      </c>
      <c r="C59" t="s">
        <v>25</v>
      </c>
      <c r="D59" s="3">
        <v>44942</v>
      </c>
      <c r="E59" s="2">
        <v>5437</v>
      </c>
    </row>
    <row r="60" spans="1:5" x14ac:dyDescent="0.3">
      <c r="A60" t="s">
        <v>31</v>
      </c>
      <c r="B60" t="s">
        <v>21</v>
      </c>
      <c r="C60" t="s">
        <v>7</v>
      </c>
      <c r="D60" s="3">
        <v>44942</v>
      </c>
      <c r="E60" s="2">
        <v>4910</v>
      </c>
    </row>
    <row r="61" spans="1:5" x14ac:dyDescent="0.3">
      <c r="A61" t="s">
        <v>27</v>
      </c>
      <c r="B61" t="s">
        <v>6</v>
      </c>
      <c r="C61" t="s">
        <v>17</v>
      </c>
      <c r="D61" s="3">
        <v>44942</v>
      </c>
      <c r="E61" s="2">
        <v>4113</v>
      </c>
    </row>
    <row r="62" spans="1:5" x14ac:dyDescent="0.3">
      <c r="A62" t="s">
        <v>5</v>
      </c>
      <c r="B62" t="s">
        <v>21</v>
      </c>
      <c r="C62" t="s">
        <v>17</v>
      </c>
      <c r="D62" s="3">
        <v>44942</v>
      </c>
      <c r="E62" s="2">
        <v>13452</v>
      </c>
    </row>
    <row r="63" spans="1:5" x14ac:dyDescent="0.3">
      <c r="A63" t="s">
        <v>15</v>
      </c>
      <c r="B63" t="s">
        <v>21</v>
      </c>
      <c r="C63" t="s">
        <v>25</v>
      </c>
      <c r="D63" s="3">
        <v>44943</v>
      </c>
      <c r="E63" s="2">
        <v>13540</v>
      </c>
    </row>
    <row r="64" spans="1:5" x14ac:dyDescent="0.3">
      <c r="A64" t="s">
        <v>31</v>
      </c>
      <c r="B64" t="s">
        <v>16</v>
      </c>
      <c r="C64" t="s">
        <v>7</v>
      </c>
      <c r="D64" s="3">
        <v>44943</v>
      </c>
      <c r="E64" s="2">
        <v>9053</v>
      </c>
    </row>
    <row r="65" spans="1:5" x14ac:dyDescent="0.3">
      <c r="A65" t="s">
        <v>31</v>
      </c>
      <c r="B65" t="s">
        <v>6</v>
      </c>
      <c r="C65" t="s">
        <v>17</v>
      </c>
      <c r="D65" s="3">
        <v>44944</v>
      </c>
      <c r="E65" s="2">
        <v>9456</v>
      </c>
    </row>
    <row r="66" spans="1:5" x14ac:dyDescent="0.3">
      <c r="A66" t="s">
        <v>30</v>
      </c>
      <c r="B66" t="s">
        <v>16</v>
      </c>
      <c r="C66" t="s">
        <v>12</v>
      </c>
      <c r="D66" s="3">
        <v>44944</v>
      </c>
      <c r="E66" s="2">
        <v>9138</v>
      </c>
    </row>
    <row r="67" spans="1:5" x14ac:dyDescent="0.3">
      <c r="A67" t="s">
        <v>31</v>
      </c>
      <c r="B67" t="s">
        <v>9</v>
      </c>
      <c r="C67" t="s">
        <v>12</v>
      </c>
      <c r="D67" s="3">
        <v>44944</v>
      </c>
      <c r="E67" s="2">
        <v>6853</v>
      </c>
    </row>
    <row r="68" spans="1:5" x14ac:dyDescent="0.3">
      <c r="A68" t="s">
        <v>32</v>
      </c>
      <c r="B68" t="s">
        <v>13</v>
      </c>
      <c r="C68" t="s">
        <v>14</v>
      </c>
      <c r="D68" s="3">
        <v>44945</v>
      </c>
      <c r="E68" s="2">
        <v>2781</v>
      </c>
    </row>
    <row r="69" spans="1:5" x14ac:dyDescent="0.3">
      <c r="A69" t="s">
        <v>10</v>
      </c>
      <c r="B69" t="s">
        <v>9</v>
      </c>
      <c r="C69" t="s">
        <v>14</v>
      </c>
      <c r="D69" s="3">
        <v>44945</v>
      </c>
      <c r="E69" s="2">
        <v>9217</v>
      </c>
    </row>
    <row r="70" spans="1:5" x14ac:dyDescent="0.3">
      <c r="A70" t="s">
        <v>31</v>
      </c>
      <c r="B70" t="s">
        <v>11</v>
      </c>
      <c r="C70" t="s">
        <v>19</v>
      </c>
      <c r="D70" s="3">
        <v>44945</v>
      </c>
      <c r="E70" s="2">
        <v>6679</v>
      </c>
    </row>
    <row r="71" spans="1:5" x14ac:dyDescent="0.3">
      <c r="A71" t="s">
        <v>29</v>
      </c>
      <c r="B71" t="s">
        <v>11</v>
      </c>
      <c r="C71" t="s">
        <v>25</v>
      </c>
      <c r="D71" s="3">
        <v>44945</v>
      </c>
      <c r="E71" s="2">
        <v>10174</v>
      </c>
    </row>
    <row r="72" spans="1:5" x14ac:dyDescent="0.3">
      <c r="A72" t="s">
        <v>26</v>
      </c>
      <c r="B72" t="s">
        <v>21</v>
      </c>
      <c r="C72" t="s">
        <v>17</v>
      </c>
      <c r="D72" s="3">
        <v>44945</v>
      </c>
      <c r="E72" s="2">
        <v>11108</v>
      </c>
    </row>
    <row r="73" spans="1:5" x14ac:dyDescent="0.3">
      <c r="A73" t="s">
        <v>20</v>
      </c>
      <c r="B73" t="s">
        <v>11</v>
      </c>
      <c r="C73" t="s">
        <v>17</v>
      </c>
      <c r="D73" s="3">
        <v>44945</v>
      </c>
      <c r="E73" s="2">
        <v>4794</v>
      </c>
    </row>
    <row r="74" spans="1:5" x14ac:dyDescent="0.3">
      <c r="A74" t="s">
        <v>32</v>
      </c>
      <c r="B74" t="s">
        <v>21</v>
      </c>
      <c r="C74" t="s">
        <v>12</v>
      </c>
      <c r="D74" s="3">
        <v>44945</v>
      </c>
      <c r="E74" s="2">
        <v>3132</v>
      </c>
    </row>
    <row r="75" spans="1:5" x14ac:dyDescent="0.3">
      <c r="A75" t="s">
        <v>20</v>
      </c>
      <c r="B75" t="s">
        <v>6</v>
      </c>
      <c r="C75" t="s">
        <v>23</v>
      </c>
      <c r="D75" s="3">
        <v>44946</v>
      </c>
      <c r="E75" s="2">
        <v>11752</v>
      </c>
    </row>
    <row r="76" spans="1:5" x14ac:dyDescent="0.3">
      <c r="A76" t="s">
        <v>5</v>
      </c>
      <c r="B76" t="s">
        <v>9</v>
      </c>
      <c r="C76" t="s">
        <v>23</v>
      </c>
      <c r="D76" s="3">
        <v>44946</v>
      </c>
      <c r="E76" s="2">
        <v>6444</v>
      </c>
    </row>
    <row r="77" spans="1:5" x14ac:dyDescent="0.3">
      <c r="A77" t="s">
        <v>22</v>
      </c>
      <c r="B77" t="s">
        <v>13</v>
      </c>
      <c r="C77" t="s">
        <v>19</v>
      </c>
      <c r="D77" s="3">
        <v>44947</v>
      </c>
      <c r="E77" s="2">
        <v>6648</v>
      </c>
    </row>
    <row r="78" spans="1:5" x14ac:dyDescent="0.3">
      <c r="A78" t="s">
        <v>8</v>
      </c>
      <c r="B78" t="s">
        <v>9</v>
      </c>
      <c r="C78" t="s">
        <v>23</v>
      </c>
      <c r="D78" s="3">
        <v>44947</v>
      </c>
      <c r="E78" s="2">
        <v>13386</v>
      </c>
    </row>
    <row r="79" spans="1:5" x14ac:dyDescent="0.3">
      <c r="A79" t="s">
        <v>27</v>
      </c>
      <c r="B79" t="s">
        <v>11</v>
      </c>
      <c r="C79" t="s">
        <v>25</v>
      </c>
      <c r="D79" s="3">
        <v>44947</v>
      </c>
      <c r="E79" s="2">
        <v>9254</v>
      </c>
    </row>
    <row r="80" spans="1:5" x14ac:dyDescent="0.3">
      <c r="A80" t="s">
        <v>5</v>
      </c>
      <c r="B80" t="s">
        <v>9</v>
      </c>
      <c r="C80" t="s">
        <v>17</v>
      </c>
      <c r="D80" s="3">
        <v>44947</v>
      </c>
      <c r="E80" s="2">
        <v>13000</v>
      </c>
    </row>
    <row r="81" spans="1:5" x14ac:dyDescent="0.3">
      <c r="A81" t="s">
        <v>10</v>
      </c>
      <c r="B81" t="s">
        <v>21</v>
      </c>
      <c r="C81" t="s">
        <v>12</v>
      </c>
      <c r="D81" s="3">
        <v>44947</v>
      </c>
      <c r="E81" s="2">
        <v>8302</v>
      </c>
    </row>
    <row r="82" spans="1:5" x14ac:dyDescent="0.3">
      <c r="A82" t="s">
        <v>10</v>
      </c>
      <c r="B82" t="s">
        <v>11</v>
      </c>
      <c r="C82" t="s">
        <v>12</v>
      </c>
      <c r="D82" s="3">
        <v>44947</v>
      </c>
      <c r="E82" s="2">
        <v>12667</v>
      </c>
    </row>
    <row r="83" spans="1:5" x14ac:dyDescent="0.3">
      <c r="A83" t="s">
        <v>33</v>
      </c>
      <c r="B83" t="s">
        <v>11</v>
      </c>
      <c r="C83" t="s">
        <v>14</v>
      </c>
      <c r="D83" s="3">
        <v>44948</v>
      </c>
      <c r="E83" s="2">
        <v>8888</v>
      </c>
    </row>
    <row r="84" spans="1:5" x14ac:dyDescent="0.3">
      <c r="A84" t="s">
        <v>24</v>
      </c>
      <c r="B84" t="s">
        <v>21</v>
      </c>
      <c r="C84" t="s">
        <v>14</v>
      </c>
      <c r="D84" s="3">
        <v>44948</v>
      </c>
      <c r="E84" s="2">
        <v>2836</v>
      </c>
    </row>
    <row r="85" spans="1:5" x14ac:dyDescent="0.3">
      <c r="A85" t="s">
        <v>30</v>
      </c>
      <c r="B85" t="s">
        <v>6</v>
      </c>
      <c r="C85" t="s">
        <v>14</v>
      </c>
      <c r="D85" s="3">
        <v>44948</v>
      </c>
      <c r="E85" s="2">
        <v>2335</v>
      </c>
    </row>
    <row r="86" spans="1:5" x14ac:dyDescent="0.3">
      <c r="A86" t="s">
        <v>18</v>
      </c>
      <c r="B86" t="s">
        <v>13</v>
      </c>
      <c r="C86" t="s">
        <v>25</v>
      </c>
      <c r="D86" s="3">
        <v>44948</v>
      </c>
      <c r="E86" s="2">
        <v>10927</v>
      </c>
    </row>
    <row r="87" spans="1:5" x14ac:dyDescent="0.3">
      <c r="A87" t="s">
        <v>5</v>
      </c>
      <c r="B87" t="s">
        <v>6</v>
      </c>
      <c r="C87" t="s">
        <v>7</v>
      </c>
      <c r="D87" s="3">
        <v>44948</v>
      </c>
      <c r="E87" s="2">
        <v>13111</v>
      </c>
    </row>
    <row r="88" spans="1:5" x14ac:dyDescent="0.3">
      <c r="A88" t="s">
        <v>30</v>
      </c>
      <c r="B88" t="s">
        <v>11</v>
      </c>
      <c r="C88" t="s">
        <v>7</v>
      </c>
      <c r="D88" s="3">
        <v>44948</v>
      </c>
      <c r="E88" s="2">
        <v>13335</v>
      </c>
    </row>
    <row r="89" spans="1:5" x14ac:dyDescent="0.3">
      <c r="A89" t="s">
        <v>30</v>
      </c>
      <c r="B89" t="s">
        <v>9</v>
      </c>
      <c r="C89" t="s">
        <v>19</v>
      </c>
      <c r="D89" s="3">
        <v>44949</v>
      </c>
      <c r="E89" s="2">
        <v>1400</v>
      </c>
    </row>
    <row r="90" spans="1:5" x14ac:dyDescent="0.3">
      <c r="A90" t="s">
        <v>10</v>
      </c>
      <c r="B90" t="s">
        <v>13</v>
      </c>
      <c r="C90" t="s">
        <v>19</v>
      </c>
      <c r="D90" s="3">
        <v>44949</v>
      </c>
      <c r="E90" s="2">
        <v>8878</v>
      </c>
    </row>
    <row r="91" spans="1:5" x14ac:dyDescent="0.3">
      <c r="A91" t="s">
        <v>15</v>
      </c>
      <c r="B91" t="s">
        <v>21</v>
      </c>
      <c r="C91" t="s">
        <v>28</v>
      </c>
      <c r="D91" s="3">
        <v>44949</v>
      </c>
      <c r="E91" s="2">
        <v>3357</v>
      </c>
    </row>
    <row r="92" spans="1:5" x14ac:dyDescent="0.3">
      <c r="A92" t="s">
        <v>26</v>
      </c>
      <c r="B92" t="s">
        <v>11</v>
      </c>
      <c r="C92" t="s">
        <v>19</v>
      </c>
      <c r="D92" s="3">
        <v>44950</v>
      </c>
      <c r="E92" s="2">
        <v>9167</v>
      </c>
    </row>
    <row r="93" spans="1:5" x14ac:dyDescent="0.3">
      <c r="A93" t="s">
        <v>27</v>
      </c>
      <c r="B93" t="s">
        <v>9</v>
      </c>
      <c r="C93" t="s">
        <v>7</v>
      </c>
      <c r="D93" s="3">
        <v>44950</v>
      </c>
      <c r="E93" s="2">
        <v>11645</v>
      </c>
    </row>
    <row r="94" spans="1:5" x14ac:dyDescent="0.3">
      <c r="A94" t="s">
        <v>32</v>
      </c>
      <c r="B94" t="s">
        <v>11</v>
      </c>
      <c r="C94" t="s">
        <v>7</v>
      </c>
      <c r="D94" s="3">
        <v>44950</v>
      </c>
      <c r="E94" s="2">
        <v>8727</v>
      </c>
    </row>
    <row r="95" spans="1:5" x14ac:dyDescent="0.3">
      <c r="A95" t="s">
        <v>10</v>
      </c>
      <c r="B95" t="s">
        <v>6</v>
      </c>
      <c r="C95" t="s">
        <v>19</v>
      </c>
      <c r="D95" s="3">
        <v>44951</v>
      </c>
      <c r="E95" s="2">
        <v>12815</v>
      </c>
    </row>
    <row r="96" spans="1:5" x14ac:dyDescent="0.3">
      <c r="A96" t="s">
        <v>18</v>
      </c>
      <c r="B96" t="s">
        <v>9</v>
      </c>
      <c r="C96" t="s">
        <v>19</v>
      </c>
      <c r="D96" s="3">
        <v>44951</v>
      </c>
      <c r="E96" s="2">
        <v>8386</v>
      </c>
    </row>
    <row r="97" spans="1:5" x14ac:dyDescent="0.3">
      <c r="A97" t="s">
        <v>20</v>
      </c>
      <c r="B97" t="s">
        <v>9</v>
      </c>
      <c r="C97" t="s">
        <v>23</v>
      </c>
      <c r="D97" s="3">
        <v>44951</v>
      </c>
      <c r="E97" s="2">
        <v>2703</v>
      </c>
    </row>
    <row r="98" spans="1:5" x14ac:dyDescent="0.3">
      <c r="A98" t="s">
        <v>10</v>
      </c>
      <c r="B98" t="s">
        <v>21</v>
      </c>
      <c r="C98" t="s">
        <v>25</v>
      </c>
      <c r="D98" s="3">
        <v>44951</v>
      </c>
      <c r="E98" s="2">
        <v>1631</v>
      </c>
    </row>
    <row r="99" spans="1:5" x14ac:dyDescent="0.3">
      <c r="A99" t="s">
        <v>27</v>
      </c>
      <c r="B99" t="s">
        <v>13</v>
      </c>
      <c r="C99" t="s">
        <v>7</v>
      </c>
      <c r="D99" s="3">
        <v>44951</v>
      </c>
      <c r="E99" s="2">
        <v>13093</v>
      </c>
    </row>
    <row r="100" spans="1:5" x14ac:dyDescent="0.3">
      <c r="A100" t="s">
        <v>32</v>
      </c>
      <c r="B100" t="s">
        <v>16</v>
      </c>
      <c r="C100" t="s">
        <v>12</v>
      </c>
      <c r="D100" s="3">
        <v>44951</v>
      </c>
      <c r="E100" s="2">
        <v>2887</v>
      </c>
    </row>
    <row r="101" spans="1:5" x14ac:dyDescent="0.3">
      <c r="A101" t="s">
        <v>29</v>
      </c>
      <c r="B101" t="s">
        <v>9</v>
      </c>
      <c r="C101" t="s">
        <v>19</v>
      </c>
      <c r="D101" s="3">
        <v>44952</v>
      </c>
      <c r="E101" s="2">
        <v>2970</v>
      </c>
    </row>
    <row r="102" spans="1:5" x14ac:dyDescent="0.3">
      <c r="A102" t="s">
        <v>29</v>
      </c>
      <c r="B102" t="s">
        <v>6</v>
      </c>
      <c r="C102" t="s">
        <v>7</v>
      </c>
      <c r="D102" s="3">
        <v>44952</v>
      </c>
      <c r="E102" s="2">
        <v>3862</v>
      </c>
    </row>
    <row r="103" spans="1:5" x14ac:dyDescent="0.3">
      <c r="A103" t="s">
        <v>10</v>
      </c>
      <c r="B103" t="s">
        <v>21</v>
      </c>
      <c r="C103" t="s">
        <v>7</v>
      </c>
      <c r="D103" s="3">
        <v>44952</v>
      </c>
      <c r="E103" s="2">
        <v>9957</v>
      </c>
    </row>
    <row r="104" spans="1:5" x14ac:dyDescent="0.3">
      <c r="A104" t="s">
        <v>27</v>
      </c>
      <c r="B104" t="s">
        <v>16</v>
      </c>
      <c r="C104" t="s">
        <v>23</v>
      </c>
      <c r="D104" s="3">
        <v>44953</v>
      </c>
      <c r="E104" s="2">
        <v>3829</v>
      </c>
    </row>
    <row r="105" spans="1:5" x14ac:dyDescent="0.3">
      <c r="A105" t="s">
        <v>32</v>
      </c>
      <c r="B105" t="s">
        <v>11</v>
      </c>
      <c r="C105" t="s">
        <v>25</v>
      </c>
      <c r="D105" s="3">
        <v>44953</v>
      </c>
      <c r="E105" s="2">
        <v>7847</v>
      </c>
    </row>
    <row r="106" spans="1:5" x14ac:dyDescent="0.3">
      <c r="A106" t="s">
        <v>8</v>
      </c>
      <c r="B106" t="s">
        <v>16</v>
      </c>
      <c r="C106" t="s">
        <v>12</v>
      </c>
      <c r="D106" s="3">
        <v>44953</v>
      </c>
      <c r="E106" s="2">
        <v>12830</v>
      </c>
    </row>
    <row r="107" spans="1:5" x14ac:dyDescent="0.3">
      <c r="A107" t="s">
        <v>27</v>
      </c>
      <c r="B107" t="s">
        <v>21</v>
      </c>
      <c r="C107" t="s">
        <v>14</v>
      </c>
      <c r="D107" s="3">
        <v>44954</v>
      </c>
      <c r="E107" s="2">
        <v>7831</v>
      </c>
    </row>
    <row r="108" spans="1:5" x14ac:dyDescent="0.3">
      <c r="A108" t="s">
        <v>26</v>
      </c>
      <c r="B108" t="s">
        <v>16</v>
      </c>
      <c r="C108" t="s">
        <v>14</v>
      </c>
      <c r="D108" s="3">
        <v>44954</v>
      </c>
      <c r="E108" s="2">
        <v>4652</v>
      </c>
    </row>
    <row r="109" spans="1:5" x14ac:dyDescent="0.3">
      <c r="A109" t="s">
        <v>30</v>
      </c>
      <c r="B109" t="s">
        <v>6</v>
      </c>
      <c r="C109" t="s">
        <v>25</v>
      </c>
      <c r="D109" s="3">
        <v>44954</v>
      </c>
      <c r="E109" s="2">
        <v>7627</v>
      </c>
    </row>
    <row r="110" spans="1:5" x14ac:dyDescent="0.3">
      <c r="A110" t="s">
        <v>24</v>
      </c>
      <c r="B110" t="s">
        <v>9</v>
      </c>
      <c r="C110" t="s">
        <v>28</v>
      </c>
      <c r="D110" s="3">
        <v>44954</v>
      </c>
      <c r="E110" s="2">
        <v>3474</v>
      </c>
    </row>
    <row r="111" spans="1:5" x14ac:dyDescent="0.3">
      <c r="A111" t="s">
        <v>22</v>
      </c>
      <c r="B111" t="s">
        <v>11</v>
      </c>
      <c r="C111" t="s">
        <v>19</v>
      </c>
      <c r="D111" s="3">
        <v>44955</v>
      </c>
      <c r="E111" s="2">
        <v>8144</v>
      </c>
    </row>
    <row r="112" spans="1:5" x14ac:dyDescent="0.3">
      <c r="A112" t="s">
        <v>30</v>
      </c>
      <c r="B112" t="s">
        <v>16</v>
      </c>
      <c r="C112" t="s">
        <v>7</v>
      </c>
      <c r="D112" s="3">
        <v>44955</v>
      </c>
      <c r="E112" s="2">
        <v>8762</v>
      </c>
    </row>
    <row r="113" spans="1:5" x14ac:dyDescent="0.3">
      <c r="A113" t="s">
        <v>20</v>
      </c>
      <c r="B113" t="s">
        <v>21</v>
      </c>
      <c r="C113" t="s">
        <v>12</v>
      </c>
      <c r="D113" s="3">
        <v>44955</v>
      </c>
      <c r="E113" s="2">
        <v>1465</v>
      </c>
    </row>
    <row r="114" spans="1:5" x14ac:dyDescent="0.3">
      <c r="A114" t="s">
        <v>20</v>
      </c>
      <c r="B114" t="s">
        <v>6</v>
      </c>
      <c r="C114" t="s">
        <v>23</v>
      </c>
      <c r="D114" s="3">
        <v>44956</v>
      </c>
      <c r="E114" s="2">
        <v>6131</v>
      </c>
    </row>
    <row r="115" spans="1:5" x14ac:dyDescent="0.3">
      <c r="A115" t="s">
        <v>31</v>
      </c>
      <c r="B115" t="s">
        <v>16</v>
      </c>
      <c r="C115" t="s">
        <v>23</v>
      </c>
      <c r="D115" s="3">
        <v>44956</v>
      </c>
      <c r="E115" s="2">
        <v>9880</v>
      </c>
    </row>
    <row r="116" spans="1:5" x14ac:dyDescent="0.3">
      <c r="A116" t="s">
        <v>15</v>
      </c>
      <c r="B116" t="s">
        <v>16</v>
      </c>
      <c r="C116" t="s">
        <v>17</v>
      </c>
      <c r="D116" s="3">
        <v>44956</v>
      </c>
      <c r="E116" s="2">
        <v>9728</v>
      </c>
    </row>
    <row r="117" spans="1:5" x14ac:dyDescent="0.3">
      <c r="A117" t="s">
        <v>20</v>
      </c>
      <c r="B117" t="s">
        <v>11</v>
      </c>
      <c r="C117" t="s">
        <v>17</v>
      </c>
      <c r="D117" s="3">
        <v>44956</v>
      </c>
      <c r="E117" s="2">
        <v>4058</v>
      </c>
    </row>
    <row r="118" spans="1:5" x14ac:dyDescent="0.3">
      <c r="A118" t="s">
        <v>22</v>
      </c>
      <c r="B118" t="s">
        <v>9</v>
      </c>
      <c r="C118" t="s">
        <v>17</v>
      </c>
      <c r="D118" s="3">
        <v>44957</v>
      </c>
      <c r="E118" s="2">
        <v>10802</v>
      </c>
    </row>
    <row r="119" spans="1:5" x14ac:dyDescent="0.3">
      <c r="A119" t="s">
        <v>8</v>
      </c>
      <c r="B119" t="s">
        <v>11</v>
      </c>
      <c r="C119" t="s">
        <v>12</v>
      </c>
      <c r="D119" s="3">
        <v>44957</v>
      </c>
      <c r="E119" s="2">
        <v>2008</v>
      </c>
    </row>
    <row r="120" spans="1:5" x14ac:dyDescent="0.3">
      <c r="A120" t="s">
        <v>29</v>
      </c>
      <c r="B120" t="s">
        <v>21</v>
      </c>
      <c r="C120" t="s">
        <v>12</v>
      </c>
      <c r="D120" s="3">
        <v>44957</v>
      </c>
      <c r="E120" s="2">
        <v>10440</v>
      </c>
    </row>
    <row r="121" spans="1:5" x14ac:dyDescent="0.3">
      <c r="A121" t="s">
        <v>32</v>
      </c>
      <c r="B121" t="s">
        <v>11</v>
      </c>
      <c r="C121" t="s">
        <v>19</v>
      </c>
      <c r="D121" s="3">
        <v>44958</v>
      </c>
      <c r="E121" s="2">
        <v>8049</v>
      </c>
    </row>
    <row r="122" spans="1:5" x14ac:dyDescent="0.3">
      <c r="A122" t="s">
        <v>32</v>
      </c>
      <c r="B122" t="s">
        <v>6</v>
      </c>
      <c r="C122" t="s">
        <v>23</v>
      </c>
      <c r="D122" s="3">
        <v>44958</v>
      </c>
      <c r="E122" s="2">
        <v>5906</v>
      </c>
    </row>
    <row r="123" spans="1:5" x14ac:dyDescent="0.3">
      <c r="A123" t="s">
        <v>33</v>
      </c>
      <c r="B123" t="s">
        <v>11</v>
      </c>
      <c r="C123" t="s">
        <v>7</v>
      </c>
      <c r="D123" s="3">
        <v>44958</v>
      </c>
      <c r="E123" s="2">
        <v>10509</v>
      </c>
    </row>
    <row r="124" spans="1:5" x14ac:dyDescent="0.3">
      <c r="A124" t="s">
        <v>5</v>
      </c>
      <c r="B124" t="s">
        <v>9</v>
      </c>
      <c r="C124" t="s">
        <v>23</v>
      </c>
      <c r="D124" s="3">
        <v>44959</v>
      </c>
      <c r="E124" s="2">
        <v>10492</v>
      </c>
    </row>
    <row r="125" spans="1:5" x14ac:dyDescent="0.3">
      <c r="A125" t="s">
        <v>10</v>
      </c>
      <c r="B125" t="s">
        <v>16</v>
      </c>
      <c r="C125" t="s">
        <v>28</v>
      </c>
      <c r="D125" s="3">
        <v>44959</v>
      </c>
      <c r="E125" s="2">
        <v>11126</v>
      </c>
    </row>
    <row r="126" spans="1:5" x14ac:dyDescent="0.3">
      <c r="A126" t="s">
        <v>24</v>
      </c>
      <c r="B126" t="s">
        <v>6</v>
      </c>
      <c r="C126" t="s">
        <v>17</v>
      </c>
      <c r="D126" s="3">
        <v>44959</v>
      </c>
      <c r="E126" s="2">
        <v>13791</v>
      </c>
    </row>
    <row r="127" spans="1:5" x14ac:dyDescent="0.3">
      <c r="A127" t="s">
        <v>33</v>
      </c>
      <c r="B127" t="s">
        <v>6</v>
      </c>
      <c r="C127" t="s">
        <v>14</v>
      </c>
      <c r="D127" s="3">
        <v>44960</v>
      </c>
      <c r="E127" s="2">
        <v>2117</v>
      </c>
    </row>
    <row r="128" spans="1:5" x14ac:dyDescent="0.3">
      <c r="A128" t="s">
        <v>5</v>
      </c>
      <c r="B128" t="s">
        <v>21</v>
      </c>
      <c r="C128" t="s">
        <v>14</v>
      </c>
      <c r="D128" s="3">
        <v>44960</v>
      </c>
      <c r="E128" s="2">
        <v>8031</v>
      </c>
    </row>
    <row r="129" spans="1:5" x14ac:dyDescent="0.3">
      <c r="A129" t="s">
        <v>26</v>
      </c>
      <c r="B129" t="s">
        <v>16</v>
      </c>
      <c r="C129" t="s">
        <v>17</v>
      </c>
      <c r="D129" s="3">
        <v>44960</v>
      </c>
      <c r="E129" s="2">
        <v>13912</v>
      </c>
    </row>
    <row r="130" spans="1:5" x14ac:dyDescent="0.3">
      <c r="A130" t="s">
        <v>8</v>
      </c>
      <c r="B130" t="s">
        <v>11</v>
      </c>
      <c r="C130" t="s">
        <v>17</v>
      </c>
      <c r="D130" s="3">
        <v>44960</v>
      </c>
      <c r="E130" s="2">
        <v>12974</v>
      </c>
    </row>
    <row r="131" spans="1:5" x14ac:dyDescent="0.3">
      <c r="A131" t="s">
        <v>22</v>
      </c>
      <c r="B131" t="s">
        <v>21</v>
      </c>
      <c r="C131" t="s">
        <v>14</v>
      </c>
      <c r="D131" s="3">
        <v>44961</v>
      </c>
      <c r="E131" s="2">
        <v>13486</v>
      </c>
    </row>
    <row r="132" spans="1:5" x14ac:dyDescent="0.3">
      <c r="A132" t="s">
        <v>18</v>
      </c>
      <c r="B132" t="s">
        <v>16</v>
      </c>
      <c r="C132" t="s">
        <v>23</v>
      </c>
      <c r="D132" s="3">
        <v>44961</v>
      </c>
      <c r="E132" s="2">
        <v>12309</v>
      </c>
    </row>
    <row r="133" spans="1:5" x14ac:dyDescent="0.3">
      <c r="A133" t="s">
        <v>24</v>
      </c>
      <c r="B133" t="s">
        <v>9</v>
      </c>
      <c r="C133" t="s">
        <v>25</v>
      </c>
      <c r="D133" s="3">
        <v>44961</v>
      </c>
      <c r="E133" s="2">
        <v>10110</v>
      </c>
    </row>
    <row r="134" spans="1:5" x14ac:dyDescent="0.3">
      <c r="A134" t="s">
        <v>22</v>
      </c>
      <c r="B134" t="s">
        <v>16</v>
      </c>
      <c r="C134" t="s">
        <v>7</v>
      </c>
      <c r="D134" s="3">
        <v>44961</v>
      </c>
      <c r="E134" s="2">
        <v>9014</v>
      </c>
    </row>
    <row r="135" spans="1:5" x14ac:dyDescent="0.3">
      <c r="A135" t="s">
        <v>22</v>
      </c>
      <c r="B135" t="s">
        <v>6</v>
      </c>
      <c r="C135" t="s">
        <v>7</v>
      </c>
      <c r="D135" s="3">
        <v>44961</v>
      </c>
      <c r="E135" s="2">
        <v>11082</v>
      </c>
    </row>
    <row r="136" spans="1:5" x14ac:dyDescent="0.3">
      <c r="A136" t="s">
        <v>8</v>
      </c>
      <c r="B136" t="s">
        <v>9</v>
      </c>
      <c r="C136" t="s">
        <v>7</v>
      </c>
      <c r="D136" s="3">
        <v>44961</v>
      </c>
      <c r="E136" s="2">
        <v>6334</v>
      </c>
    </row>
    <row r="137" spans="1:5" x14ac:dyDescent="0.3">
      <c r="A137" t="s">
        <v>26</v>
      </c>
      <c r="B137" t="s">
        <v>21</v>
      </c>
      <c r="C137" t="s">
        <v>28</v>
      </c>
      <c r="D137" s="3">
        <v>44961</v>
      </c>
      <c r="E137" s="2">
        <v>13996</v>
      </c>
    </row>
    <row r="138" spans="1:5" x14ac:dyDescent="0.3">
      <c r="A138" t="s">
        <v>26</v>
      </c>
      <c r="B138" t="s">
        <v>16</v>
      </c>
      <c r="C138" t="s">
        <v>17</v>
      </c>
      <c r="D138" s="3">
        <v>44961</v>
      </c>
      <c r="E138" s="2">
        <v>4675</v>
      </c>
    </row>
    <row r="139" spans="1:5" x14ac:dyDescent="0.3">
      <c r="A139" t="s">
        <v>22</v>
      </c>
      <c r="B139" t="s">
        <v>11</v>
      </c>
      <c r="C139" t="s">
        <v>19</v>
      </c>
      <c r="D139" s="3">
        <v>44962</v>
      </c>
      <c r="E139" s="2">
        <v>13775</v>
      </c>
    </row>
    <row r="140" spans="1:5" x14ac:dyDescent="0.3">
      <c r="A140" t="s">
        <v>15</v>
      </c>
      <c r="B140" t="s">
        <v>21</v>
      </c>
      <c r="C140" t="s">
        <v>23</v>
      </c>
      <c r="D140" s="3">
        <v>44962</v>
      </c>
      <c r="E140" s="2">
        <v>5803</v>
      </c>
    </row>
    <row r="141" spans="1:5" x14ac:dyDescent="0.3">
      <c r="A141" t="s">
        <v>29</v>
      </c>
      <c r="B141" t="s">
        <v>13</v>
      </c>
      <c r="C141" t="s">
        <v>25</v>
      </c>
      <c r="D141" s="3">
        <v>44962</v>
      </c>
      <c r="E141" s="2">
        <v>1637</v>
      </c>
    </row>
    <row r="142" spans="1:5" x14ac:dyDescent="0.3">
      <c r="A142" t="s">
        <v>15</v>
      </c>
      <c r="B142" t="s">
        <v>16</v>
      </c>
      <c r="C142" t="s">
        <v>28</v>
      </c>
      <c r="D142" s="3">
        <v>44962</v>
      </c>
      <c r="E142" s="2">
        <v>1865</v>
      </c>
    </row>
    <row r="143" spans="1:5" x14ac:dyDescent="0.3">
      <c r="A143" t="s">
        <v>26</v>
      </c>
      <c r="B143" t="s">
        <v>9</v>
      </c>
      <c r="C143" t="s">
        <v>28</v>
      </c>
      <c r="D143" s="3">
        <v>44962</v>
      </c>
      <c r="E143" s="2">
        <v>3711</v>
      </c>
    </row>
    <row r="144" spans="1:5" x14ac:dyDescent="0.3">
      <c r="A144" t="s">
        <v>27</v>
      </c>
      <c r="B144" t="s">
        <v>21</v>
      </c>
      <c r="C144" t="s">
        <v>17</v>
      </c>
      <c r="D144" s="3">
        <v>44962</v>
      </c>
      <c r="E144" s="2">
        <v>13128</v>
      </c>
    </row>
    <row r="145" spans="1:5" x14ac:dyDescent="0.3">
      <c r="A145" t="s">
        <v>29</v>
      </c>
      <c r="B145" t="s">
        <v>16</v>
      </c>
      <c r="C145" t="s">
        <v>19</v>
      </c>
      <c r="D145" s="3">
        <v>44963</v>
      </c>
      <c r="E145" s="2">
        <v>1157</v>
      </c>
    </row>
    <row r="146" spans="1:5" x14ac:dyDescent="0.3">
      <c r="A146" t="s">
        <v>8</v>
      </c>
      <c r="B146" t="s">
        <v>13</v>
      </c>
      <c r="C146" t="s">
        <v>17</v>
      </c>
      <c r="D146" s="3">
        <v>44963</v>
      </c>
      <c r="E146" s="2">
        <v>12766</v>
      </c>
    </row>
    <row r="147" spans="1:5" x14ac:dyDescent="0.3">
      <c r="A147" t="s">
        <v>22</v>
      </c>
      <c r="B147" t="s">
        <v>9</v>
      </c>
      <c r="C147" t="s">
        <v>14</v>
      </c>
      <c r="D147" s="3">
        <v>44964</v>
      </c>
      <c r="E147" s="2">
        <v>4057</v>
      </c>
    </row>
    <row r="148" spans="1:5" x14ac:dyDescent="0.3">
      <c r="A148" t="s">
        <v>33</v>
      </c>
      <c r="B148" t="s">
        <v>16</v>
      </c>
      <c r="C148" t="s">
        <v>19</v>
      </c>
      <c r="D148" s="3">
        <v>44964</v>
      </c>
      <c r="E148" s="2">
        <v>7518</v>
      </c>
    </row>
    <row r="149" spans="1:5" x14ac:dyDescent="0.3">
      <c r="A149" t="s">
        <v>8</v>
      </c>
      <c r="B149" t="s">
        <v>16</v>
      </c>
      <c r="C149" t="s">
        <v>25</v>
      </c>
      <c r="D149" s="3">
        <v>44964</v>
      </c>
      <c r="E149" s="2">
        <v>1531</v>
      </c>
    </row>
    <row r="150" spans="1:5" x14ac:dyDescent="0.3">
      <c r="A150" t="s">
        <v>20</v>
      </c>
      <c r="B150" t="s">
        <v>16</v>
      </c>
      <c r="C150" t="s">
        <v>25</v>
      </c>
      <c r="D150" s="3">
        <v>44964</v>
      </c>
      <c r="E150" s="2">
        <v>7400</v>
      </c>
    </row>
    <row r="151" spans="1:5" x14ac:dyDescent="0.3">
      <c r="A151" t="s">
        <v>24</v>
      </c>
      <c r="B151" t="s">
        <v>6</v>
      </c>
      <c r="C151" t="s">
        <v>25</v>
      </c>
      <c r="D151" s="3">
        <v>44964</v>
      </c>
      <c r="E151" s="2">
        <v>1720</v>
      </c>
    </row>
    <row r="152" spans="1:5" x14ac:dyDescent="0.3">
      <c r="A152" t="s">
        <v>15</v>
      </c>
      <c r="B152" t="s">
        <v>21</v>
      </c>
      <c r="C152" t="s">
        <v>17</v>
      </c>
      <c r="D152" s="3">
        <v>44964</v>
      </c>
      <c r="E152" s="2">
        <v>13636</v>
      </c>
    </row>
    <row r="153" spans="1:5" x14ac:dyDescent="0.3">
      <c r="A153" t="s">
        <v>22</v>
      </c>
      <c r="B153" t="s">
        <v>9</v>
      </c>
      <c r="C153" t="s">
        <v>12</v>
      </c>
      <c r="D153" s="3">
        <v>44964</v>
      </c>
      <c r="E153" s="2">
        <v>4129</v>
      </c>
    </row>
    <row r="154" spans="1:5" x14ac:dyDescent="0.3">
      <c r="A154" t="s">
        <v>18</v>
      </c>
      <c r="B154" t="s">
        <v>21</v>
      </c>
      <c r="C154" t="s">
        <v>14</v>
      </c>
      <c r="D154" s="3">
        <v>44965</v>
      </c>
      <c r="E154" s="2">
        <v>11480</v>
      </c>
    </row>
    <row r="155" spans="1:5" x14ac:dyDescent="0.3">
      <c r="A155" t="s">
        <v>15</v>
      </c>
      <c r="B155" t="s">
        <v>21</v>
      </c>
      <c r="C155" t="s">
        <v>19</v>
      </c>
      <c r="D155" s="3">
        <v>44965</v>
      </c>
      <c r="E155" s="2">
        <v>12023</v>
      </c>
    </row>
    <row r="156" spans="1:5" x14ac:dyDescent="0.3">
      <c r="A156" t="s">
        <v>15</v>
      </c>
      <c r="B156" t="s">
        <v>11</v>
      </c>
      <c r="C156" t="s">
        <v>19</v>
      </c>
      <c r="D156" s="3">
        <v>44965</v>
      </c>
      <c r="E156" s="2">
        <v>10552</v>
      </c>
    </row>
    <row r="157" spans="1:5" x14ac:dyDescent="0.3">
      <c r="A157" t="s">
        <v>30</v>
      </c>
      <c r="B157" t="s">
        <v>9</v>
      </c>
      <c r="C157" t="s">
        <v>23</v>
      </c>
      <c r="D157" s="3">
        <v>44965</v>
      </c>
      <c r="E157" s="2">
        <v>10607</v>
      </c>
    </row>
    <row r="158" spans="1:5" x14ac:dyDescent="0.3">
      <c r="A158" t="s">
        <v>30</v>
      </c>
      <c r="B158" t="s">
        <v>9</v>
      </c>
      <c r="C158" t="s">
        <v>28</v>
      </c>
      <c r="D158" s="3">
        <v>44965</v>
      </c>
      <c r="E158" s="2">
        <v>9584</v>
      </c>
    </row>
    <row r="159" spans="1:5" x14ac:dyDescent="0.3">
      <c r="A159" t="s">
        <v>10</v>
      </c>
      <c r="B159" t="s">
        <v>21</v>
      </c>
      <c r="C159" t="s">
        <v>28</v>
      </c>
      <c r="D159" s="3">
        <v>44965</v>
      </c>
      <c r="E159" s="2">
        <v>9302</v>
      </c>
    </row>
    <row r="160" spans="1:5" x14ac:dyDescent="0.3">
      <c r="A160" t="s">
        <v>26</v>
      </c>
      <c r="B160" t="s">
        <v>16</v>
      </c>
      <c r="C160" t="s">
        <v>17</v>
      </c>
      <c r="D160" s="3">
        <v>44965</v>
      </c>
      <c r="E160" s="2">
        <v>5925</v>
      </c>
    </row>
    <row r="161" spans="1:5" x14ac:dyDescent="0.3">
      <c r="A161" t="s">
        <v>29</v>
      </c>
      <c r="B161" t="s">
        <v>9</v>
      </c>
      <c r="C161" t="s">
        <v>19</v>
      </c>
      <c r="D161" s="3">
        <v>44966</v>
      </c>
      <c r="E161" s="2">
        <v>1679</v>
      </c>
    </row>
    <row r="162" spans="1:5" x14ac:dyDescent="0.3">
      <c r="A162" t="s">
        <v>29</v>
      </c>
      <c r="B162" t="s">
        <v>21</v>
      </c>
      <c r="C162" t="s">
        <v>25</v>
      </c>
      <c r="D162" s="3">
        <v>44966</v>
      </c>
      <c r="E162" s="2">
        <v>1618</v>
      </c>
    </row>
    <row r="163" spans="1:5" x14ac:dyDescent="0.3">
      <c r="A163" t="s">
        <v>10</v>
      </c>
      <c r="B163" t="s">
        <v>11</v>
      </c>
      <c r="C163" t="s">
        <v>7</v>
      </c>
      <c r="D163" s="3">
        <v>44966</v>
      </c>
      <c r="E163" s="2">
        <v>8925</v>
      </c>
    </row>
    <row r="164" spans="1:5" x14ac:dyDescent="0.3">
      <c r="A164" t="s">
        <v>33</v>
      </c>
      <c r="B164" t="s">
        <v>21</v>
      </c>
      <c r="C164" t="s">
        <v>17</v>
      </c>
      <c r="D164" s="3">
        <v>44966</v>
      </c>
      <c r="E164" s="2">
        <v>5852</v>
      </c>
    </row>
    <row r="165" spans="1:5" x14ac:dyDescent="0.3">
      <c r="A165" t="s">
        <v>27</v>
      </c>
      <c r="B165" t="s">
        <v>6</v>
      </c>
      <c r="C165" t="s">
        <v>25</v>
      </c>
      <c r="D165" s="3">
        <v>44967</v>
      </c>
      <c r="E165" s="2">
        <v>13078</v>
      </c>
    </row>
    <row r="166" spans="1:5" x14ac:dyDescent="0.3">
      <c r="A166" t="s">
        <v>31</v>
      </c>
      <c r="B166" t="s">
        <v>13</v>
      </c>
      <c r="C166" t="s">
        <v>25</v>
      </c>
      <c r="D166" s="3">
        <v>44967</v>
      </c>
      <c r="E166" s="2">
        <v>4231</v>
      </c>
    </row>
    <row r="167" spans="1:5" x14ac:dyDescent="0.3">
      <c r="A167" t="s">
        <v>30</v>
      </c>
      <c r="B167" t="s">
        <v>6</v>
      </c>
      <c r="C167" t="s">
        <v>28</v>
      </c>
      <c r="D167" s="3">
        <v>44967</v>
      </c>
      <c r="E167" s="2">
        <v>4531</v>
      </c>
    </row>
    <row r="168" spans="1:5" x14ac:dyDescent="0.3">
      <c r="A168" t="s">
        <v>30</v>
      </c>
      <c r="B168" t="s">
        <v>21</v>
      </c>
      <c r="C168" t="s">
        <v>17</v>
      </c>
      <c r="D168" s="3">
        <v>44967</v>
      </c>
      <c r="E168" s="2">
        <v>2247</v>
      </c>
    </row>
    <row r="169" spans="1:5" x14ac:dyDescent="0.3">
      <c r="A169" t="s">
        <v>10</v>
      </c>
      <c r="B169" t="s">
        <v>6</v>
      </c>
      <c r="C169" t="s">
        <v>19</v>
      </c>
      <c r="D169" s="3">
        <v>44968</v>
      </c>
      <c r="E169" s="2">
        <v>4300</v>
      </c>
    </row>
    <row r="170" spans="1:5" x14ac:dyDescent="0.3">
      <c r="A170" t="s">
        <v>5</v>
      </c>
      <c r="B170" t="s">
        <v>13</v>
      </c>
      <c r="C170" t="s">
        <v>25</v>
      </c>
      <c r="D170" s="3">
        <v>44968</v>
      </c>
      <c r="E170" s="2">
        <v>11304</v>
      </c>
    </row>
    <row r="171" spans="1:5" x14ac:dyDescent="0.3">
      <c r="A171" t="s">
        <v>29</v>
      </c>
      <c r="B171" t="s">
        <v>11</v>
      </c>
      <c r="C171" t="s">
        <v>17</v>
      </c>
      <c r="D171" s="3">
        <v>44968</v>
      </c>
      <c r="E171" s="2">
        <v>11396</v>
      </c>
    </row>
    <row r="172" spans="1:5" x14ac:dyDescent="0.3">
      <c r="A172" t="s">
        <v>20</v>
      </c>
      <c r="B172" t="s">
        <v>9</v>
      </c>
      <c r="C172" t="s">
        <v>12</v>
      </c>
      <c r="D172" s="3">
        <v>44968</v>
      </c>
      <c r="E172" s="2">
        <v>9489</v>
      </c>
    </row>
    <row r="173" spans="1:5" x14ac:dyDescent="0.3">
      <c r="A173" t="s">
        <v>31</v>
      </c>
      <c r="B173" t="s">
        <v>16</v>
      </c>
      <c r="C173" t="s">
        <v>23</v>
      </c>
      <c r="D173" s="3">
        <v>44969</v>
      </c>
      <c r="E173" s="2">
        <v>2574</v>
      </c>
    </row>
    <row r="174" spans="1:5" x14ac:dyDescent="0.3">
      <c r="A174" t="s">
        <v>18</v>
      </c>
      <c r="B174" t="s">
        <v>11</v>
      </c>
      <c r="C174" t="s">
        <v>25</v>
      </c>
      <c r="D174" s="3">
        <v>44969</v>
      </c>
      <c r="E174" s="2">
        <v>10632</v>
      </c>
    </row>
    <row r="175" spans="1:5" x14ac:dyDescent="0.3">
      <c r="A175" t="s">
        <v>22</v>
      </c>
      <c r="B175" t="s">
        <v>9</v>
      </c>
      <c r="C175" t="s">
        <v>28</v>
      </c>
      <c r="D175" s="3">
        <v>44969</v>
      </c>
      <c r="E175" s="2">
        <v>9798</v>
      </c>
    </row>
    <row r="176" spans="1:5" x14ac:dyDescent="0.3">
      <c r="A176" t="s">
        <v>26</v>
      </c>
      <c r="B176" t="s">
        <v>6</v>
      </c>
      <c r="C176" t="s">
        <v>17</v>
      </c>
      <c r="D176" s="3">
        <v>44969</v>
      </c>
      <c r="E176" s="2">
        <v>10098</v>
      </c>
    </row>
    <row r="177" spans="1:5" x14ac:dyDescent="0.3">
      <c r="A177" t="s">
        <v>18</v>
      </c>
      <c r="B177" t="s">
        <v>9</v>
      </c>
      <c r="C177" t="s">
        <v>14</v>
      </c>
      <c r="D177" s="3">
        <v>44970</v>
      </c>
      <c r="E177" s="2">
        <v>4863</v>
      </c>
    </row>
    <row r="178" spans="1:5" x14ac:dyDescent="0.3">
      <c r="A178" t="s">
        <v>24</v>
      </c>
      <c r="B178" t="s">
        <v>21</v>
      </c>
      <c r="C178" t="s">
        <v>14</v>
      </c>
      <c r="D178" s="3">
        <v>44970</v>
      </c>
      <c r="E178" s="2">
        <v>3867</v>
      </c>
    </row>
    <row r="179" spans="1:5" x14ac:dyDescent="0.3">
      <c r="A179" t="s">
        <v>18</v>
      </c>
      <c r="B179" t="s">
        <v>21</v>
      </c>
      <c r="C179" t="s">
        <v>19</v>
      </c>
      <c r="D179" s="3">
        <v>44970</v>
      </c>
      <c r="E179" s="2">
        <v>9785</v>
      </c>
    </row>
    <row r="180" spans="1:5" x14ac:dyDescent="0.3">
      <c r="A180" t="s">
        <v>27</v>
      </c>
      <c r="B180" t="s">
        <v>16</v>
      </c>
      <c r="C180" t="s">
        <v>25</v>
      </c>
      <c r="D180" s="3">
        <v>44970</v>
      </c>
      <c r="E180" s="2">
        <v>4955</v>
      </c>
    </row>
    <row r="181" spans="1:5" x14ac:dyDescent="0.3">
      <c r="A181" t="s">
        <v>8</v>
      </c>
      <c r="B181" t="s">
        <v>13</v>
      </c>
      <c r="C181" t="s">
        <v>25</v>
      </c>
      <c r="D181" s="3">
        <v>44970</v>
      </c>
      <c r="E181" s="2">
        <v>11466</v>
      </c>
    </row>
    <row r="182" spans="1:5" x14ac:dyDescent="0.3">
      <c r="A182" t="s">
        <v>18</v>
      </c>
      <c r="B182" t="s">
        <v>11</v>
      </c>
      <c r="C182" t="s">
        <v>17</v>
      </c>
      <c r="D182" s="3">
        <v>44970</v>
      </c>
      <c r="E182" s="2">
        <v>1310</v>
      </c>
    </row>
    <row r="183" spans="1:5" x14ac:dyDescent="0.3">
      <c r="A183" t="s">
        <v>33</v>
      </c>
      <c r="B183" t="s">
        <v>9</v>
      </c>
      <c r="C183" t="s">
        <v>12</v>
      </c>
      <c r="D183" s="3">
        <v>44970</v>
      </c>
      <c r="E183" s="2">
        <v>8213</v>
      </c>
    </row>
    <row r="184" spans="1:5" x14ac:dyDescent="0.3">
      <c r="A184" t="s">
        <v>27</v>
      </c>
      <c r="B184" t="s">
        <v>16</v>
      </c>
      <c r="C184" t="s">
        <v>23</v>
      </c>
      <c r="D184" s="3">
        <v>44971</v>
      </c>
      <c r="E184" s="2">
        <v>8787</v>
      </c>
    </row>
    <row r="185" spans="1:5" x14ac:dyDescent="0.3">
      <c r="A185" t="s">
        <v>22</v>
      </c>
      <c r="B185" t="s">
        <v>16</v>
      </c>
      <c r="C185" t="s">
        <v>23</v>
      </c>
      <c r="D185" s="3">
        <v>44971</v>
      </c>
      <c r="E185" s="2">
        <v>2220</v>
      </c>
    </row>
    <row r="186" spans="1:5" x14ac:dyDescent="0.3">
      <c r="A186" t="s">
        <v>10</v>
      </c>
      <c r="B186" t="s">
        <v>9</v>
      </c>
      <c r="C186" t="s">
        <v>25</v>
      </c>
      <c r="D186" s="3">
        <v>44971</v>
      </c>
      <c r="E186" s="2">
        <v>9351</v>
      </c>
    </row>
    <row r="187" spans="1:5" x14ac:dyDescent="0.3">
      <c r="A187" t="s">
        <v>24</v>
      </c>
      <c r="B187" t="s">
        <v>16</v>
      </c>
      <c r="C187" t="s">
        <v>25</v>
      </c>
      <c r="D187" s="3">
        <v>44971</v>
      </c>
      <c r="E187" s="2">
        <v>3112</v>
      </c>
    </row>
    <row r="188" spans="1:5" x14ac:dyDescent="0.3">
      <c r="A188" t="s">
        <v>32</v>
      </c>
      <c r="B188" t="s">
        <v>11</v>
      </c>
      <c r="C188" t="s">
        <v>19</v>
      </c>
      <c r="D188" s="3">
        <v>44972</v>
      </c>
      <c r="E188" s="2">
        <v>6398</v>
      </c>
    </row>
    <row r="189" spans="1:5" x14ac:dyDescent="0.3">
      <c r="A189" t="s">
        <v>33</v>
      </c>
      <c r="B189" t="s">
        <v>21</v>
      </c>
      <c r="C189" t="s">
        <v>19</v>
      </c>
      <c r="D189" s="3">
        <v>44972</v>
      </c>
      <c r="E189" s="2">
        <v>4971</v>
      </c>
    </row>
    <row r="190" spans="1:5" x14ac:dyDescent="0.3">
      <c r="A190" t="s">
        <v>24</v>
      </c>
      <c r="B190" t="s">
        <v>13</v>
      </c>
      <c r="C190" t="s">
        <v>23</v>
      </c>
      <c r="D190" s="3">
        <v>44972</v>
      </c>
      <c r="E190" s="2">
        <v>9276</v>
      </c>
    </row>
    <row r="191" spans="1:5" x14ac:dyDescent="0.3">
      <c r="A191" t="s">
        <v>30</v>
      </c>
      <c r="B191" t="s">
        <v>13</v>
      </c>
      <c r="C191" t="s">
        <v>25</v>
      </c>
      <c r="D191" s="3">
        <v>44972</v>
      </c>
      <c r="E191" s="2">
        <v>4009</v>
      </c>
    </row>
    <row r="192" spans="1:5" x14ac:dyDescent="0.3">
      <c r="A192" t="s">
        <v>30</v>
      </c>
      <c r="B192" t="s">
        <v>9</v>
      </c>
      <c r="C192" t="s">
        <v>14</v>
      </c>
      <c r="D192" s="3">
        <v>44973</v>
      </c>
      <c r="E192" s="2">
        <v>4086</v>
      </c>
    </row>
    <row r="193" spans="1:5" x14ac:dyDescent="0.3">
      <c r="A193" t="s">
        <v>33</v>
      </c>
      <c r="B193" t="s">
        <v>13</v>
      </c>
      <c r="C193" t="s">
        <v>25</v>
      </c>
      <c r="D193" s="3">
        <v>44973</v>
      </c>
      <c r="E193" s="2">
        <v>6241</v>
      </c>
    </row>
    <row r="194" spans="1:5" x14ac:dyDescent="0.3">
      <c r="A194" t="s">
        <v>22</v>
      </c>
      <c r="B194" t="s">
        <v>16</v>
      </c>
      <c r="C194" t="s">
        <v>17</v>
      </c>
      <c r="D194" s="3">
        <v>44973</v>
      </c>
      <c r="E194" s="2">
        <v>8805</v>
      </c>
    </row>
    <row r="195" spans="1:5" x14ac:dyDescent="0.3">
      <c r="A195" t="s">
        <v>32</v>
      </c>
      <c r="B195" t="s">
        <v>9</v>
      </c>
      <c r="C195" t="s">
        <v>17</v>
      </c>
      <c r="D195" s="3">
        <v>44973</v>
      </c>
      <c r="E195" s="2">
        <v>9621</v>
      </c>
    </row>
    <row r="196" spans="1:5" x14ac:dyDescent="0.3">
      <c r="A196" t="s">
        <v>22</v>
      </c>
      <c r="B196" t="s">
        <v>13</v>
      </c>
      <c r="C196" t="s">
        <v>12</v>
      </c>
      <c r="D196" s="3">
        <v>44973</v>
      </c>
      <c r="E196" s="2">
        <v>8282</v>
      </c>
    </row>
    <row r="197" spans="1:5" x14ac:dyDescent="0.3">
      <c r="A197" t="s">
        <v>32</v>
      </c>
      <c r="B197" t="s">
        <v>11</v>
      </c>
      <c r="C197" t="s">
        <v>25</v>
      </c>
      <c r="D197" s="3">
        <v>44974</v>
      </c>
      <c r="E197" s="2">
        <v>1516</v>
      </c>
    </row>
    <row r="198" spans="1:5" x14ac:dyDescent="0.3">
      <c r="A198" t="s">
        <v>27</v>
      </c>
      <c r="B198" t="s">
        <v>11</v>
      </c>
      <c r="C198" t="s">
        <v>17</v>
      </c>
      <c r="D198" s="3">
        <v>44974</v>
      </c>
      <c r="E198" s="2">
        <v>12805</v>
      </c>
    </row>
    <row r="199" spans="1:5" x14ac:dyDescent="0.3">
      <c r="A199" t="s">
        <v>26</v>
      </c>
      <c r="B199" t="s">
        <v>21</v>
      </c>
      <c r="C199" t="s">
        <v>14</v>
      </c>
      <c r="D199" s="3">
        <v>44975</v>
      </c>
      <c r="E199" s="2">
        <v>8109</v>
      </c>
    </row>
    <row r="200" spans="1:5" x14ac:dyDescent="0.3">
      <c r="A200" t="s">
        <v>20</v>
      </c>
      <c r="B200" t="s">
        <v>9</v>
      </c>
      <c r="C200" t="s">
        <v>14</v>
      </c>
      <c r="D200" s="3">
        <v>44975</v>
      </c>
      <c r="E200" s="2">
        <v>2392</v>
      </c>
    </row>
    <row r="201" spans="1:5" x14ac:dyDescent="0.3">
      <c r="A201" t="s">
        <v>15</v>
      </c>
      <c r="B201" t="s">
        <v>16</v>
      </c>
      <c r="C201" t="s">
        <v>25</v>
      </c>
      <c r="D201" s="3">
        <v>44975</v>
      </c>
      <c r="E201" s="2">
        <v>4938</v>
      </c>
    </row>
    <row r="202" spans="1:5" x14ac:dyDescent="0.3">
      <c r="A202" t="s">
        <v>31</v>
      </c>
      <c r="B202" t="s">
        <v>13</v>
      </c>
      <c r="C202" t="s">
        <v>25</v>
      </c>
      <c r="D202" s="3">
        <v>44975</v>
      </c>
      <c r="E202" s="2">
        <v>3125</v>
      </c>
    </row>
    <row r="203" spans="1:5" x14ac:dyDescent="0.3">
      <c r="A203" t="s">
        <v>27</v>
      </c>
      <c r="B203" t="s">
        <v>11</v>
      </c>
      <c r="C203" t="s">
        <v>25</v>
      </c>
      <c r="D203" s="3">
        <v>44975</v>
      </c>
      <c r="E203" s="2">
        <v>7513</v>
      </c>
    </row>
    <row r="204" spans="1:5" x14ac:dyDescent="0.3">
      <c r="A204" t="s">
        <v>32</v>
      </c>
      <c r="B204" t="s">
        <v>13</v>
      </c>
      <c r="C204" t="s">
        <v>7</v>
      </c>
      <c r="D204" s="3">
        <v>44975</v>
      </c>
      <c r="E204" s="2">
        <v>9785</v>
      </c>
    </row>
    <row r="205" spans="1:5" x14ac:dyDescent="0.3">
      <c r="A205" t="s">
        <v>8</v>
      </c>
      <c r="B205" t="s">
        <v>13</v>
      </c>
      <c r="C205" t="s">
        <v>7</v>
      </c>
      <c r="D205" s="3">
        <v>44975</v>
      </c>
      <c r="E205" s="2">
        <v>10024</v>
      </c>
    </row>
    <row r="206" spans="1:5" x14ac:dyDescent="0.3">
      <c r="A206" t="s">
        <v>22</v>
      </c>
      <c r="B206" t="s">
        <v>13</v>
      </c>
      <c r="C206" t="s">
        <v>17</v>
      </c>
      <c r="D206" s="3">
        <v>44975</v>
      </c>
      <c r="E206" s="2">
        <v>1451</v>
      </c>
    </row>
    <row r="207" spans="1:5" x14ac:dyDescent="0.3">
      <c r="A207" t="s">
        <v>10</v>
      </c>
      <c r="B207" t="s">
        <v>16</v>
      </c>
      <c r="C207" t="s">
        <v>12</v>
      </c>
      <c r="D207" s="3">
        <v>44975</v>
      </c>
      <c r="E207" s="2">
        <v>1633</v>
      </c>
    </row>
    <row r="208" spans="1:5" x14ac:dyDescent="0.3">
      <c r="A208" t="s">
        <v>32</v>
      </c>
      <c r="B208" t="s">
        <v>16</v>
      </c>
      <c r="C208" t="s">
        <v>25</v>
      </c>
      <c r="D208" s="3">
        <v>44976</v>
      </c>
      <c r="E208" s="2">
        <v>8722</v>
      </c>
    </row>
    <row r="209" spans="1:5" x14ac:dyDescent="0.3">
      <c r="A209" t="s">
        <v>10</v>
      </c>
      <c r="B209" t="s">
        <v>13</v>
      </c>
      <c r="C209" t="s">
        <v>14</v>
      </c>
      <c r="D209" s="3">
        <v>44977</v>
      </c>
      <c r="E209" s="2">
        <v>13358</v>
      </c>
    </row>
    <row r="210" spans="1:5" x14ac:dyDescent="0.3">
      <c r="A210" t="s">
        <v>24</v>
      </c>
      <c r="B210" t="s">
        <v>6</v>
      </c>
      <c r="C210" t="s">
        <v>7</v>
      </c>
      <c r="D210" s="3">
        <v>44977</v>
      </c>
      <c r="E210" s="2">
        <v>1180</v>
      </c>
    </row>
    <row r="211" spans="1:5" x14ac:dyDescent="0.3">
      <c r="A211" t="s">
        <v>24</v>
      </c>
      <c r="B211" t="s">
        <v>21</v>
      </c>
      <c r="C211" t="s">
        <v>28</v>
      </c>
      <c r="D211" s="3">
        <v>44977</v>
      </c>
      <c r="E211" s="2">
        <v>3973</v>
      </c>
    </row>
    <row r="212" spans="1:5" x14ac:dyDescent="0.3">
      <c r="A212" t="s">
        <v>20</v>
      </c>
      <c r="B212" t="s">
        <v>11</v>
      </c>
      <c r="C212" t="s">
        <v>28</v>
      </c>
      <c r="D212" s="3">
        <v>44977</v>
      </c>
      <c r="E212" s="2">
        <v>10762</v>
      </c>
    </row>
    <row r="213" spans="1:5" x14ac:dyDescent="0.3">
      <c r="A213" t="s">
        <v>15</v>
      </c>
      <c r="B213" t="s">
        <v>13</v>
      </c>
      <c r="C213" t="s">
        <v>19</v>
      </c>
      <c r="D213" s="3">
        <v>44978</v>
      </c>
      <c r="E213" s="2">
        <v>2207</v>
      </c>
    </row>
    <row r="214" spans="1:5" x14ac:dyDescent="0.3">
      <c r="A214" t="s">
        <v>29</v>
      </c>
      <c r="B214" t="s">
        <v>6</v>
      </c>
      <c r="C214" t="s">
        <v>23</v>
      </c>
      <c r="D214" s="3">
        <v>44978</v>
      </c>
      <c r="E214" s="2">
        <v>6279</v>
      </c>
    </row>
    <row r="215" spans="1:5" x14ac:dyDescent="0.3">
      <c r="A215" t="s">
        <v>32</v>
      </c>
      <c r="B215" t="s">
        <v>16</v>
      </c>
      <c r="C215" t="s">
        <v>23</v>
      </c>
      <c r="D215" s="3">
        <v>44978</v>
      </c>
      <c r="E215" s="2">
        <v>10701</v>
      </c>
    </row>
    <row r="216" spans="1:5" x14ac:dyDescent="0.3">
      <c r="A216" t="s">
        <v>32</v>
      </c>
      <c r="B216" t="s">
        <v>11</v>
      </c>
      <c r="C216" t="s">
        <v>25</v>
      </c>
      <c r="D216" s="3">
        <v>44978</v>
      </c>
      <c r="E216" s="2">
        <v>2073</v>
      </c>
    </row>
    <row r="217" spans="1:5" x14ac:dyDescent="0.3">
      <c r="A217" t="s">
        <v>26</v>
      </c>
      <c r="B217" t="s">
        <v>16</v>
      </c>
      <c r="C217" t="s">
        <v>14</v>
      </c>
      <c r="D217" s="3">
        <v>44979</v>
      </c>
      <c r="E217" s="2">
        <v>8366</v>
      </c>
    </row>
    <row r="218" spans="1:5" x14ac:dyDescent="0.3">
      <c r="A218" t="s">
        <v>10</v>
      </c>
      <c r="B218" t="s">
        <v>6</v>
      </c>
      <c r="C218" t="s">
        <v>25</v>
      </c>
      <c r="D218" s="3">
        <v>44979</v>
      </c>
      <c r="E218" s="2">
        <v>10058</v>
      </c>
    </row>
    <row r="219" spans="1:5" x14ac:dyDescent="0.3">
      <c r="A219" t="s">
        <v>5</v>
      </c>
      <c r="B219" t="s">
        <v>6</v>
      </c>
      <c r="C219" t="s">
        <v>25</v>
      </c>
      <c r="D219" s="3">
        <v>44979</v>
      </c>
      <c r="E219" s="2">
        <v>7459</v>
      </c>
    </row>
    <row r="220" spans="1:5" x14ac:dyDescent="0.3">
      <c r="A220" t="s">
        <v>8</v>
      </c>
      <c r="B220" t="s">
        <v>6</v>
      </c>
      <c r="C220" t="s">
        <v>7</v>
      </c>
      <c r="D220" s="3">
        <v>44979</v>
      </c>
      <c r="E220" s="2">
        <v>12953</v>
      </c>
    </row>
    <row r="221" spans="1:5" x14ac:dyDescent="0.3">
      <c r="A221" t="s">
        <v>29</v>
      </c>
      <c r="B221" t="s">
        <v>9</v>
      </c>
      <c r="C221" t="s">
        <v>28</v>
      </c>
      <c r="D221" s="3">
        <v>44979</v>
      </c>
      <c r="E221" s="2">
        <v>1235</v>
      </c>
    </row>
    <row r="222" spans="1:5" x14ac:dyDescent="0.3">
      <c r="A222" t="s">
        <v>31</v>
      </c>
      <c r="B222" t="s">
        <v>9</v>
      </c>
      <c r="C222" t="s">
        <v>14</v>
      </c>
      <c r="D222" s="3">
        <v>44980</v>
      </c>
      <c r="E222" s="2">
        <v>1128</v>
      </c>
    </row>
    <row r="223" spans="1:5" x14ac:dyDescent="0.3">
      <c r="A223" t="s">
        <v>10</v>
      </c>
      <c r="B223" t="s">
        <v>11</v>
      </c>
      <c r="C223" t="s">
        <v>25</v>
      </c>
      <c r="D223" s="3">
        <v>44980</v>
      </c>
      <c r="E223" s="2">
        <v>3222</v>
      </c>
    </row>
    <row r="224" spans="1:5" x14ac:dyDescent="0.3">
      <c r="A224" t="s">
        <v>26</v>
      </c>
      <c r="B224" t="s">
        <v>11</v>
      </c>
      <c r="C224" t="s">
        <v>7</v>
      </c>
      <c r="D224" s="3">
        <v>44980</v>
      </c>
      <c r="E224" s="2">
        <v>9075</v>
      </c>
    </row>
    <row r="225" spans="1:5" x14ac:dyDescent="0.3">
      <c r="A225" t="s">
        <v>27</v>
      </c>
      <c r="B225" t="s">
        <v>13</v>
      </c>
      <c r="C225" t="s">
        <v>25</v>
      </c>
      <c r="D225" s="3">
        <v>44981</v>
      </c>
      <c r="E225" s="2">
        <v>3627</v>
      </c>
    </row>
    <row r="226" spans="1:5" x14ac:dyDescent="0.3">
      <c r="A226" t="s">
        <v>26</v>
      </c>
      <c r="B226" t="s">
        <v>13</v>
      </c>
      <c r="C226" t="s">
        <v>28</v>
      </c>
      <c r="D226" s="3">
        <v>44981</v>
      </c>
      <c r="E226" s="2">
        <v>6431</v>
      </c>
    </row>
    <row r="227" spans="1:5" x14ac:dyDescent="0.3">
      <c r="A227" t="s">
        <v>33</v>
      </c>
      <c r="B227" t="s">
        <v>16</v>
      </c>
      <c r="C227" t="s">
        <v>14</v>
      </c>
      <c r="D227" s="3">
        <v>44982</v>
      </c>
      <c r="E227" s="2">
        <v>5153</v>
      </c>
    </row>
    <row r="228" spans="1:5" x14ac:dyDescent="0.3">
      <c r="A228" t="s">
        <v>26</v>
      </c>
      <c r="B228" t="s">
        <v>13</v>
      </c>
      <c r="C228" t="s">
        <v>25</v>
      </c>
      <c r="D228" s="3">
        <v>44982</v>
      </c>
      <c r="E228" s="2">
        <v>3759</v>
      </c>
    </row>
    <row r="229" spans="1:5" x14ac:dyDescent="0.3">
      <c r="A229" t="s">
        <v>26</v>
      </c>
      <c r="B229" t="s">
        <v>16</v>
      </c>
      <c r="C229" t="s">
        <v>25</v>
      </c>
      <c r="D229" s="3">
        <v>44982</v>
      </c>
      <c r="E229" s="2">
        <v>10578</v>
      </c>
    </row>
    <row r="230" spans="1:5" x14ac:dyDescent="0.3">
      <c r="A230" t="s">
        <v>20</v>
      </c>
      <c r="B230" t="s">
        <v>6</v>
      </c>
      <c r="C230" t="s">
        <v>25</v>
      </c>
      <c r="D230" s="3">
        <v>44982</v>
      </c>
      <c r="E230" s="2">
        <v>12622</v>
      </c>
    </row>
    <row r="231" spans="1:5" x14ac:dyDescent="0.3">
      <c r="A231" t="s">
        <v>26</v>
      </c>
      <c r="B231" t="s">
        <v>21</v>
      </c>
      <c r="C231" t="s">
        <v>19</v>
      </c>
      <c r="D231" s="3">
        <v>44983</v>
      </c>
      <c r="E231" s="2">
        <v>10074</v>
      </c>
    </row>
    <row r="232" spans="1:5" x14ac:dyDescent="0.3">
      <c r="A232" t="s">
        <v>8</v>
      </c>
      <c r="B232" t="s">
        <v>16</v>
      </c>
      <c r="C232" t="s">
        <v>19</v>
      </c>
      <c r="D232" s="3">
        <v>44983</v>
      </c>
      <c r="E232" s="2">
        <v>3274</v>
      </c>
    </row>
    <row r="233" spans="1:5" x14ac:dyDescent="0.3">
      <c r="A233" t="s">
        <v>8</v>
      </c>
      <c r="B233" t="s">
        <v>21</v>
      </c>
      <c r="C233" t="s">
        <v>25</v>
      </c>
      <c r="D233" s="3">
        <v>44983</v>
      </c>
      <c r="E233" s="2">
        <v>13157</v>
      </c>
    </row>
    <row r="234" spans="1:5" x14ac:dyDescent="0.3">
      <c r="A234" t="s">
        <v>15</v>
      </c>
      <c r="B234" t="s">
        <v>21</v>
      </c>
      <c r="C234" t="s">
        <v>7</v>
      </c>
      <c r="D234" s="3">
        <v>44983</v>
      </c>
      <c r="E234" s="2">
        <v>10767</v>
      </c>
    </row>
    <row r="235" spans="1:5" x14ac:dyDescent="0.3">
      <c r="A235" t="s">
        <v>26</v>
      </c>
      <c r="B235" t="s">
        <v>11</v>
      </c>
      <c r="C235" t="s">
        <v>28</v>
      </c>
      <c r="D235" s="3">
        <v>44983</v>
      </c>
      <c r="E235" s="2">
        <v>6721</v>
      </c>
    </row>
    <row r="236" spans="1:5" x14ac:dyDescent="0.3">
      <c r="A236" t="s">
        <v>24</v>
      </c>
      <c r="B236" t="s">
        <v>11</v>
      </c>
      <c r="C236" t="s">
        <v>19</v>
      </c>
      <c r="D236" s="3">
        <v>44984</v>
      </c>
      <c r="E236" s="2">
        <v>6885</v>
      </c>
    </row>
    <row r="237" spans="1:5" x14ac:dyDescent="0.3">
      <c r="A237" t="s">
        <v>22</v>
      </c>
      <c r="B237" t="s">
        <v>16</v>
      </c>
      <c r="C237" t="s">
        <v>23</v>
      </c>
      <c r="D237" s="3">
        <v>44984</v>
      </c>
      <c r="E237" s="2">
        <v>8091</v>
      </c>
    </row>
    <row r="238" spans="1:5" x14ac:dyDescent="0.3">
      <c r="A238" t="s">
        <v>32</v>
      </c>
      <c r="B238" t="s">
        <v>6</v>
      </c>
      <c r="C238" t="s">
        <v>28</v>
      </c>
      <c r="D238" s="3">
        <v>44984</v>
      </c>
      <c r="E238" s="2">
        <v>6385</v>
      </c>
    </row>
    <row r="239" spans="1:5" x14ac:dyDescent="0.3">
      <c r="A239" t="s">
        <v>29</v>
      </c>
      <c r="B239" t="s">
        <v>9</v>
      </c>
      <c r="C239" t="s">
        <v>17</v>
      </c>
      <c r="D239" s="3">
        <v>44984</v>
      </c>
      <c r="E239" s="2">
        <v>6707</v>
      </c>
    </row>
    <row r="240" spans="1:5" x14ac:dyDescent="0.3">
      <c r="A240" t="s">
        <v>18</v>
      </c>
      <c r="B240" t="s">
        <v>9</v>
      </c>
      <c r="C240" t="s">
        <v>19</v>
      </c>
      <c r="D240" s="3">
        <v>44985</v>
      </c>
      <c r="E240" s="2">
        <v>2112</v>
      </c>
    </row>
    <row r="241" spans="1:5" x14ac:dyDescent="0.3">
      <c r="A241" t="s">
        <v>26</v>
      </c>
      <c r="B241" t="s">
        <v>6</v>
      </c>
      <c r="C241" t="s">
        <v>7</v>
      </c>
      <c r="D241" s="3">
        <v>44985</v>
      </c>
      <c r="E241" s="2">
        <v>1798</v>
      </c>
    </row>
    <row r="242" spans="1:5" x14ac:dyDescent="0.3">
      <c r="A242" t="s">
        <v>8</v>
      </c>
      <c r="B242" t="s">
        <v>6</v>
      </c>
      <c r="C242" t="s">
        <v>14</v>
      </c>
      <c r="D242" s="3">
        <v>44986</v>
      </c>
      <c r="E242" s="2">
        <v>3296</v>
      </c>
    </row>
    <row r="243" spans="1:5" x14ac:dyDescent="0.3">
      <c r="A243" t="s">
        <v>20</v>
      </c>
      <c r="B243" t="s">
        <v>13</v>
      </c>
      <c r="C243" t="s">
        <v>19</v>
      </c>
      <c r="D243" s="3">
        <v>44986</v>
      </c>
      <c r="E243" s="2">
        <v>2439</v>
      </c>
    </row>
    <row r="244" spans="1:5" x14ac:dyDescent="0.3">
      <c r="A244" t="s">
        <v>32</v>
      </c>
      <c r="B244" t="s">
        <v>11</v>
      </c>
      <c r="C244" t="s">
        <v>19</v>
      </c>
      <c r="D244" s="3">
        <v>44986</v>
      </c>
      <c r="E244" s="2">
        <v>6520</v>
      </c>
    </row>
    <row r="245" spans="1:5" x14ac:dyDescent="0.3">
      <c r="A245" t="s">
        <v>32</v>
      </c>
      <c r="B245" t="s">
        <v>13</v>
      </c>
      <c r="C245" t="s">
        <v>19</v>
      </c>
      <c r="D245" s="3">
        <v>44986</v>
      </c>
      <c r="E245" s="2">
        <v>10370</v>
      </c>
    </row>
    <row r="246" spans="1:5" x14ac:dyDescent="0.3">
      <c r="A246" t="s">
        <v>32</v>
      </c>
      <c r="B246" t="s">
        <v>21</v>
      </c>
      <c r="C246" t="s">
        <v>28</v>
      </c>
      <c r="D246" s="3">
        <v>44986</v>
      </c>
      <c r="E246" s="2">
        <v>7577</v>
      </c>
    </row>
    <row r="247" spans="1:5" x14ac:dyDescent="0.3">
      <c r="A247" t="s">
        <v>22</v>
      </c>
      <c r="B247" t="s">
        <v>21</v>
      </c>
      <c r="C247" t="s">
        <v>17</v>
      </c>
      <c r="D247" s="3">
        <v>44986</v>
      </c>
      <c r="E247" s="2">
        <v>2948</v>
      </c>
    </row>
    <row r="248" spans="1:5" x14ac:dyDescent="0.3">
      <c r="A248" t="s">
        <v>10</v>
      </c>
      <c r="B248" t="s">
        <v>16</v>
      </c>
      <c r="C248" t="s">
        <v>17</v>
      </c>
      <c r="D248" s="3">
        <v>44986</v>
      </c>
      <c r="E248" s="2">
        <v>8339</v>
      </c>
    </row>
    <row r="249" spans="1:5" x14ac:dyDescent="0.3">
      <c r="A249" t="s">
        <v>29</v>
      </c>
      <c r="B249" t="s">
        <v>9</v>
      </c>
      <c r="C249" t="s">
        <v>17</v>
      </c>
      <c r="D249" s="3">
        <v>44986</v>
      </c>
      <c r="E249" s="2">
        <v>12340</v>
      </c>
    </row>
    <row r="250" spans="1:5" x14ac:dyDescent="0.3">
      <c r="A250" t="s">
        <v>29</v>
      </c>
      <c r="B250" t="s">
        <v>16</v>
      </c>
      <c r="C250" t="s">
        <v>23</v>
      </c>
      <c r="D250" s="3">
        <v>44987</v>
      </c>
      <c r="E250" s="2">
        <v>8503</v>
      </c>
    </row>
    <row r="251" spans="1:5" x14ac:dyDescent="0.3">
      <c r="A251" t="s">
        <v>29</v>
      </c>
      <c r="B251" t="s">
        <v>16</v>
      </c>
      <c r="C251" t="s">
        <v>23</v>
      </c>
      <c r="D251" s="3">
        <v>44987</v>
      </c>
      <c r="E251" s="2">
        <v>9110</v>
      </c>
    </row>
    <row r="252" spans="1:5" x14ac:dyDescent="0.3">
      <c r="A252" t="s">
        <v>29</v>
      </c>
      <c r="B252" t="s">
        <v>13</v>
      </c>
      <c r="C252" t="s">
        <v>12</v>
      </c>
      <c r="D252" s="3">
        <v>44987</v>
      </c>
      <c r="E252" s="2">
        <v>8588</v>
      </c>
    </row>
    <row r="253" spans="1:5" x14ac:dyDescent="0.3">
      <c r="A253" t="s">
        <v>20</v>
      </c>
      <c r="B253" t="s">
        <v>6</v>
      </c>
      <c r="C253" t="s">
        <v>19</v>
      </c>
      <c r="D253" s="3">
        <v>44988</v>
      </c>
      <c r="E253" s="2">
        <v>2955</v>
      </c>
    </row>
    <row r="254" spans="1:5" x14ac:dyDescent="0.3">
      <c r="A254" t="s">
        <v>5</v>
      </c>
      <c r="B254" t="s">
        <v>13</v>
      </c>
      <c r="C254" t="s">
        <v>7</v>
      </c>
      <c r="D254" s="3">
        <v>44988</v>
      </c>
      <c r="E254" s="2">
        <v>6403</v>
      </c>
    </row>
    <row r="255" spans="1:5" x14ac:dyDescent="0.3">
      <c r="A255" t="s">
        <v>18</v>
      </c>
      <c r="B255" t="s">
        <v>16</v>
      </c>
      <c r="C255" t="s">
        <v>28</v>
      </c>
      <c r="D255" s="3">
        <v>44988</v>
      </c>
      <c r="E255" s="2">
        <v>5031</v>
      </c>
    </row>
    <row r="256" spans="1:5" x14ac:dyDescent="0.3">
      <c r="A256" t="s">
        <v>30</v>
      </c>
      <c r="B256" t="s">
        <v>11</v>
      </c>
      <c r="C256" t="s">
        <v>14</v>
      </c>
      <c r="D256" s="3">
        <v>44989</v>
      </c>
      <c r="E256" s="2">
        <v>1025</v>
      </c>
    </row>
    <row r="257" spans="1:5" x14ac:dyDescent="0.3">
      <c r="A257" t="s">
        <v>10</v>
      </c>
      <c r="B257" t="s">
        <v>6</v>
      </c>
      <c r="C257" t="s">
        <v>23</v>
      </c>
      <c r="D257" s="3">
        <v>44989</v>
      </c>
      <c r="E257" s="2">
        <v>3193</v>
      </c>
    </row>
    <row r="258" spans="1:5" x14ac:dyDescent="0.3">
      <c r="A258" t="s">
        <v>18</v>
      </c>
      <c r="B258" t="s">
        <v>13</v>
      </c>
      <c r="C258" t="s">
        <v>7</v>
      </c>
      <c r="D258" s="3">
        <v>44989</v>
      </c>
      <c r="E258" s="2">
        <v>11405</v>
      </c>
    </row>
    <row r="259" spans="1:5" x14ac:dyDescent="0.3">
      <c r="A259" t="s">
        <v>20</v>
      </c>
      <c r="B259" t="s">
        <v>13</v>
      </c>
      <c r="C259" t="s">
        <v>14</v>
      </c>
      <c r="D259" s="3">
        <v>44990</v>
      </c>
      <c r="E259" s="2">
        <v>9831</v>
      </c>
    </row>
    <row r="260" spans="1:5" x14ac:dyDescent="0.3">
      <c r="A260" t="s">
        <v>24</v>
      </c>
      <c r="B260" t="s">
        <v>6</v>
      </c>
      <c r="C260" t="s">
        <v>23</v>
      </c>
      <c r="D260" s="3">
        <v>44990</v>
      </c>
      <c r="E260" s="2">
        <v>11032</v>
      </c>
    </row>
    <row r="261" spans="1:5" x14ac:dyDescent="0.3">
      <c r="A261" t="s">
        <v>32</v>
      </c>
      <c r="B261" t="s">
        <v>16</v>
      </c>
      <c r="C261" t="s">
        <v>23</v>
      </c>
      <c r="D261" s="3">
        <v>44990</v>
      </c>
      <c r="E261" s="2">
        <v>4959</v>
      </c>
    </row>
    <row r="262" spans="1:5" x14ac:dyDescent="0.3">
      <c r="A262" t="s">
        <v>24</v>
      </c>
      <c r="B262" t="s">
        <v>6</v>
      </c>
      <c r="C262" t="s">
        <v>7</v>
      </c>
      <c r="D262" s="3">
        <v>44991</v>
      </c>
      <c r="E262" s="2">
        <v>3044</v>
      </c>
    </row>
    <row r="263" spans="1:5" x14ac:dyDescent="0.3">
      <c r="A263" t="s">
        <v>32</v>
      </c>
      <c r="B263" t="s">
        <v>21</v>
      </c>
      <c r="C263" t="s">
        <v>28</v>
      </c>
      <c r="D263" s="3">
        <v>44991</v>
      </c>
      <c r="E263" s="2">
        <v>4934</v>
      </c>
    </row>
    <row r="264" spans="1:5" x14ac:dyDescent="0.3">
      <c r="A264" t="s">
        <v>10</v>
      </c>
      <c r="B264" t="s">
        <v>6</v>
      </c>
      <c r="C264" t="s">
        <v>12</v>
      </c>
      <c r="D264" s="3">
        <v>44991</v>
      </c>
      <c r="E264" s="2">
        <v>1168</v>
      </c>
    </row>
    <row r="265" spans="1:5" x14ac:dyDescent="0.3">
      <c r="A265" t="s">
        <v>33</v>
      </c>
      <c r="B265" t="s">
        <v>6</v>
      </c>
      <c r="C265" t="s">
        <v>25</v>
      </c>
      <c r="D265" s="3">
        <v>44992</v>
      </c>
      <c r="E265" s="2">
        <v>11408</v>
      </c>
    </row>
    <row r="266" spans="1:5" x14ac:dyDescent="0.3">
      <c r="A266" t="s">
        <v>31</v>
      </c>
      <c r="B266" t="s">
        <v>13</v>
      </c>
      <c r="C266" t="s">
        <v>7</v>
      </c>
      <c r="D266" s="3">
        <v>44992</v>
      </c>
      <c r="E266" s="2">
        <v>3444</v>
      </c>
    </row>
    <row r="267" spans="1:5" x14ac:dyDescent="0.3">
      <c r="A267" t="s">
        <v>31</v>
      </c>
      <c r="B267" t="s">
        <v>6</v>
      </c>
      <c r="C267" t="s">
        <v>17</v>
      </c>
      <c r="D267" s="3">
        <v>44992</v>
      </c>
      <c r="E267" s="2">
        <v>9448</v>
      </c>
    </row>
    <row r="268" spans="1:5" x14ac:dyDescent="0.3">
      <c r="A268" t="s">
        <v>5</v>
      </c>
      <c r="B268" t="s">
        <v>6</v>
      </c>
      <c r="C268" t="s">
        <v>17</v>
      </c>
      <c r="D268" s="3">
        <v>44992</v>
      </c>
      <c r="E268" s="2">
        <v>4399</v>
      </c>
    </row>
    <row r="269" spans="1:5" x14ac:dyDescent="0.3">
      <c r="A269" t="s">
        <v>8</v>
      </c>
      <c r="B269" t="s">
        <v>6</v>
      </c>
      <c r="C269" t="s">
        <v>12</v>
      </c>
      <c r="D269" s="3">
        <v>44992</v>
      </c>
      <c r="E269" s="2">
        <v>1195</v>
      </c>
    </row>
    <row r="270" spans="1:5" x14ac:dyDescent="0.3">
      <c r="A270" t="s">
        <v>5</v>
      </c>
      <c r="B270" t="s">
        <v>9</v>
      </c>
      <c r="C270" t="s">
        <v>19</v>
      </c>
      <c r="D270" s="3">
        <v>44993</v>
      </c>
      <c r="E270" s="2">
        <v>8213</v>
      </c>
    </row>
    <row r="271" spans="1:5" x14ac:dyDescent="0.3">
      <c r="A271" t="s">
        <v>31</v>
      </c>
      <c r="B271" t="s">
        <v>9</v>
      </c>
      <c r="C271" t="s">
        <v>19</v>
      </c>
      <c r="D271" s="3">
        <v>44993</v>
      </c>
      <c r="E271" s="2">
        <v>11302</v>
      </c>
    </row>
    <row r="272" spans="1:5" x14ac:dyDescent="0.3">
      <c r="A272" t="s">
        <v>30</v>
      </c>
      <c r="B272" t="s">
        <v>21</v>
      </c>
      <c r="C272" t="s">
        <v>7</v>
      </c>
      <c r="D272" s="3">
        <v>44993</v>
      </c>
      <c r="E272" s="2">
        <v>2818</v>
      </c>
    </row>
    <row r="273" spans="1:5" x14ac:dyDescent="0.3">
      <c r="A273" t="s">
        <v>31</v>
      </c>
      <c r="B273" t="s">
        <v>13</v>
      </c>
      <c r="C273" t="s">
        <v>12</v>
      </c>
      <c r="D273" s="3">
        <v>44993</v>
      </c>
      <c r="E273" s="2">
        <v>6538</v>
      </c>
    </row>
    <row r="274" spans="1:5" x14ac:dyDescent="0.3">
      <c r="A274" t="s">
        <v>26</v>
      </c>
      <c r="B274" t="s">
        <v>6</v>
      </c>
      <c r="C274" t="s">
        <v>14</v>
      </c>
      <c r="D274" s="3">
        <v>44994</v>
      </c>
      <c r="E274" s="2">
        <v>3180</v>
      </c>
    </row>
    <row r="275" spans="1:5" x14ac:dyDescent="0.3">
      <c r="A275" t="s">
        <v>24</v>
      </c>
      <c r="B275" t="s">
        <v>6</v>
      </c>
      <c r="C275" t="s">
        <v>23</v>
      </c>
      <c r="D275" s="3">
        <v>44994</v>
      </c>
      <c r="E275" s="2">
        <v>8735</v>
      </c>
    </row>
    <row r="276" spans="1:5" x14ac:dyDescent="0.3">
      <c r="A276" t="s">
        <v>27</v>
      </c>
      <c r="B276" t="s">
        <v>9</v>
      </c>
      <c r="C276" t="s">
        <v>25</v>
      </c>
      <c r="D276" s="3">
        <v>44994</v>
      </c>
      <c r="E276" s="2">
        <v>6474</v>
      </c>
    </row>
    <row r="277" spans="1:5" x14ac:dyDescent="0.3">
      <c r="A277" t="s">
        <v>8</v>
      </c>
      <c r="B277" t="s">
        <v>13</v>
      </c>
      <c r="C277" t="s">
        <v>25</v>
      </c>
      <c r="D277" s="3">
        <v>44994</v>
      </c>
      <c r="E277" s="2">
        <v>7136</v>
      </c>
    </row>
    <row r="278" spans="1:5" x14ac:dyDescent="0.3">
      <c r="A278" t="s">
        <v>5</v>
      </c>
      <c r="B278" t="s">
        <v>11</v>
      </c>
      <c r="C278" t="s">
        <v>7</v>
      </c>
      <c r="D278" s="3">
        <v>44994</v>
      </c>
      <c r="E278" s="2">
        <v>13830</v>
      </c>
    </row>
    <row r="279" spans="1:5" x14ac:dyDescent="0.3">
      <c r="A279" t="s">
        <v>31</v>
      </c>
      <c r="B279" t="s">
        <v>11</v>
      </c>
      <c r="C279" t="s">
        <v>12</v>
      </c>
      <c r="D279" s="3">
        <v>44995</v>
      </c>
      <c r="E279" s="2">
        <v>5185</v>
      </c>
    </row>
    <row r="280" spans="1:5" x14ac:dyDescent="0.3">
      <c r="A280" t="s">
        <v>24</v>
      </c>
      <c r="B280" t="s">
        <v>13</v>
      </c>
      <c r="C280" t="s">
        <v>23</v>
      </c>
      <c r="D280" s="3">
        <v>44996</v>
      </c>
      <c r="E280" s="2">
        <v>6343</v>
      </c>
    </row>
    <row r="281" spans="1:5" x14ac:dyDescent="0.3">
      <c r="A281" t="s">
        <v>18</v>
      </c>
      <c r="B281" t="s">
        <v>16</v>
      </c>
      <c r="C281" t="s">
        <v>7</v>
      </c>
      <c r="D281" s="3">
        <v>44996</v>
      </c>
      <c r="E281" s="2">
        <v>5462</v>
      </c>
    </row>
    <row r="282" spans="1:5" x14ac:dyDescent="0.3">
      <c r="A282" t="s">
        <v>20</v>
      </c>
      <c r="B282" t="s">
        <v>9</v>
      </c>
      <c r="C282" t="s">
        <v>28</v>
      </c>
      <c r="D282" s="3">
        <v>44996</v>
      </c>
      <c r="E282" s="2">
        <v>10643</v>
      </c>
    </row>
    <row r="283" spans="1:5" x14ac:dyDescent="0.3">
      <c r="A283" t="s">
        <v>30</v>
      </c>
      <c r="B283" t="s">
        <v>11</v>
      </c>
      <c r="C283" t="s">
        <v>17</v>
      </c>
      <c r="D283" s="3">
        <v>44996</v>
      </c>
      <c r="E283" s="2">
        <v>8520</v>
      </c>
    </row>
    <row r="284" spans="1:5" x14ac:dyDescent="0.3">
      <c r="A284" t="s">
        <v>20</v>
      </c>
      <c r="B284" t="s">
        <v>13</v>
      </c>
      <c r="C284" t="s">
        <v>14</v>
      </c>
      <c r="D284" s="3">
        <v>44997</v>
      </c>
      <c r="E284" s="2">
        <v>10599</v>
      </c>
    </row>
    <row r="285" spans="1:5" x14ac:dyDescent="0.3">
      <c r="A285" t="s">
        <v>26</v>
      </c>
      <c r="B285" t="s">
        <v>16</v>
      </c>
      <c r="C285" t="s">
        <v>19</v>
      </c>
      <c r="D285" s="3">
        <v>44997</v>
      </c>
      <c r="E285" s="2">
        <v>5078</v>
      </c>
    </row>
    <row r="286" spans="1:5" x14ac:dyDescent="0.3">
      <c r="A286" t="s">
        <v>8</v>
      </c>
      <c r="B286" t="s">
        <v>6</v>
      </c>
      <c r="C286" t="s">
        <v>19</v>
      </c>
      <c r="D286" s="3">
        <v>44997</v>
      </c>
      <c r="E286" s="2">
        <v>10598</v>
      </c>
    </row>
    <row r="287" spans="1:5" x14ac:dyDescent="0.3">
      <c r="A287" t="s">
        <v>26</v>
      </c>
      <c r="B287" t="s">
        <v>21</v>
      </c>
      <c r="C287" t="s">
        <v>28</v>
      </c>
      <c r="D287" s="3">
        <v>44997</v>
      </c>
      <c r="E287" s="2">
        <v>1745</v>
      </c>
    </row>
    <row r="288" spans="1:5" x14ac:dyDescent="0.3">
      <c r="A288" t="s">
        <v>8</v>
      </c>
      <c r="B288" t="s">
        <v>13</v>
      </c>
      <c r="C288" t="s">
        <v>17</v>
      </c>
      <c r="D288" s="3">
        <v>44997</v>
      </c>
      <c r="E288" s="2">
        <v>13593</v>
      </c>
    </row>
    <row r="289" spans="1:5" x14ac:dyDescent="0.3">
      <c r="A289" t="s">
        <v>22</v>
      </c>
      <c r="B289" t="s">
        <v>13</v>
      </c>
      <c r="C289" t="s">
        <v>25</v>
      </c>
      <c r="D289" s="3">
        <v>44998</v>
      </c>
      <c r="E289" s="2">
        <v>2994</v>
      </c>
    </row>
    <row r="290" spans="1:5" x14ac:dyDescent="0.3">
      <c r="A290" t="s">
        <v>8</v>
      </c>
      <c r="B290" t="s">
        <v>16</v>
      </c>
      <c r="C290" t="s">
        <v>14</v>
      </c>
      <c r="D290" s="3">
        <v>44999</v>
      </c>
      <c r="E290" s="2">
        <v>4626</v>
      </c>
    </row>
    <row r="291" spans="1:5" x14ac:dyDescent="0.3">
      <c r="A291" t="s">
        <v>29</v>
      </c>
      <c r="B291" t="s">
        <v>21</v>
      </c>
      <c r="C291" t="s">
        <v>25</v>
      </c>
      <c r="D291" s="3">
        <v>44999</v>
      </c>
      <c r="E291" s="2">
        <v>12369</v>
      </c>
    </row>
    <row r="292" spans="1:5" x14ac:dyDescent="0.3">
      <c r="A292" t="s">
        <v>24</v>
      </c>
      <c r="B292" t="s">
        <v>11</v>
      </c>
      <c r="C292" t="s">
        <v>28</v>
      </c>
      <c r="D292" s="3">
        <v>44999</v>
      </c>
      <c r="E292" s="2">
        <v>7062</v>
      </c>
    </row>
    <row r="293" spans="1:5" x14ac:dyDescent="0.3">
      <c r="A293" t="s">
        <v>26</v>
      </c>
      <c r="B293" t="s">
        <v>9</v>
      </c>
      <c r="C293" t="s">
        <v>12</v>
      </c>
      <c r="D293" s="3">
        <v>44999</v>
      </c>
      <c r="E293" s="2">
        <v>2455</v>
      </c>
    </row>
    <row r="294" spans="1:5" x14ac:dyDescent="0.3">
      <c r="A294" t="s">
        <v>30</v>
      </c>
      <c r="B294" t="s">
        <v>9</v>
      </c>
      <c r="C294" t="s">
        <v>7</v>
      </c>
      <c r="D294" s="3">
        <v>45000</v>
      </c>
      <c r="E294" s="2">
        <v>13230</v>
      </c>
    </row>
    <row r="295" spans="1:5" x14ac:dyDescent="0.3">
      <c r="A295" t="s">
        <v>20</v>
      </c>
      <c r="B295" t="s">
        <v>16</v>
      </c>
      <c r="C295" t="s">
        <v>28</v>
      </c>
      <c r="D295" s="3">
        <v>45000</v>
      </c>
      <c r="E295" s="2">
        <v>9206</v>
      </c>
    </row>
    <row r="296" spans="1:5" x14ac:dyDescent="0.3">
      <c r="A296" t="s">
        <v>32</v>
      </c>
      <c r="B296" t="s">
        <v>16</v>
      </c>
      <c r="C296" t="s">
        <v>12</v>
      </c>
      <c r="D296" s="3">
        <v>45000</v>
      </c>
      <c r="E296" s="2">
        <v>13584</v>
      </c>
    </row>
    <row r="297" spans="1:5" x14ac:dyDescent="0.3">
      <c r="A297" t="s">
        <v>18</v>
      </c>
      <c r="B297" t="s">
        <v>13</v>
      </c>
      <c r="C297" t="s">
        <v>19</v>
      </c>
      <c r="D297" s="3">
        <v>45001</v>
      </c>
      <c r="E297" s="2">
        <v>4565</v>
      </c>
    </row>
    <row r="298" spans="1:5" x14ac:dyDescent="0.3">
      <c r="A298" t="s">
        <v>27</v>
      </c>
      <c r="B298" t="s">
        <v>9</v>
      </c>
      <c r="C298" t="s">
        <v>7</v>
      </c>
      <c r="D298" s="3">
        <v>45002</v>
      </c>
      <c r="E298" s="2">
        <v>4790</v>
      </c>
    </row>
    <row r="299" spans="1:5" x14ac:dyDescent="0.3">
      <c r="A299" t="s">
        <v>5</v>
      </c>
      <c r="B299" t="s">
        <v>9</v>
      </c>
      <c r="C299" t="s">
        <v>23</v>
      </c>
      <c r="D299" s="3">
        <v>45003</v>
      </c>
      <c r="E299" s="2">
        <v>11758</v>
      </c>
    </row>
    <row r="300" spans="1:5" x14ac:dyDescent="0.3">
      <c r="A300" t="s">
        <v>15</v>
      </c>
      <c r="B300" t="s">
        <v>9</v>
      </c>
      <c r="C300" t="s">
        <v>28</v>
      </c>
      <c r="D300" s="3">
        <v>45003</v>
      </c>
      <c r="E300" s="2">
        <v>2079</v>
      </c>
    </row>
    <row r="301" spans="1:5" x14ac:dyDescent="0.3">
      <c r="A301" t="s">
        <v>32</v>
      </c>
      <c r="B301" t="s">
        <v>13</v>
      </c>
      <c r="C301" t="s">
        <v>12</v>
      </c>
      <c r="D301" s="3">
        <v>45003</v>
      </c>
      <c r="E301" s="2">
        <v>10684</v>
      </c>
    </row>
    <row r="302" spans="1:5" x14ac:dyDescent="0.3">
      <c r="A302" t="s">
        <v>27</v>
      </c>
      <c r="B302" t="s">
        <v>11</v>
      </c>
      <c r="C302" t="s">
        <v>12</v>
      </c>
      <c r="D302" s="3">
        <v>45003</v>
      </c>
      <c r="E302" s="2">
        <v>10114</v>
      </c>
    </row>
    <row r="303" spans="1:5" x14ac:dyDescent="0.3">
      <c r="A303" t="s">
        <v>31</v>
      </c>
      <c r="B303" t="s">
        <v>9</v>
      </c>
      <c r="C303" t="s">
        <v>19</v>
      </c>
      <c r="D303" s="3">
        <v>45004</v>
      </c>
      <c r="E303" s="2">
        <v>4756</v>
      </c>
    </row>
    <row r="304" spans="1:5" x14ac:dyDescent="0.3">
      <c r="A304" t="s">
        <v>8</v>
      </c>
      <c r="B304" t="s">
        <v>13</v>
      </c>
      <c r="C304" t="s">
        <v>23</v>
      </c>
      <c r="D304" s="3">
        <v>45004</v>
      </c>
      <c r="E304" s="2">
        <v>12188</v>
      </c>
    </row>
    <row r="305" spans="1:5" x14ac:dyDescent="0.3">
      <c r="A305" t="s">
        <v>30</v>
      </c>
      <c r="B305" t="s">
        <v>16</v>
      </c>
      <c r="C305" t="s">
        <v>12</v>
      </c>
      <c r="D305" s="3">
        <v>45004</v>
      </c>
      <c r="E305" s="2">
        <v>2628</v>
      </c>
    </row>
    <row r="306" spans="1:5" x14ac:dyDescent="0.3">
      <c r="A306" t="s">
        <v>18</v>
      </c>
      <c r="B306" t="s">
        <v>13</v>
      </c>
      <c r="C306" t="s">
        <v>19</v>
      </c>
      <c r="D306" s="3">
        <v>45005</v>
      </c>
      <c r="E306" s="2">
        <v>2704</v>
      </c>
    </row>
    <row r="307" spans="1:5" x14ac:dyDescent="0.3">
      <c r="A307" t="s">
        <v>29</v>
      </c>
      <c r="B307" t="s">
        <v>6</v>
      </c>
      <c r="C307" t="s">
        <v>12</v>
      </c>
      <c r="D307" s="3">
        <v>45005</v>
      </c>
      <c r="E307" s="2">
        <v>3973</v>
      </c>
    </row>
    <row r="308" spans="1:5" x14ac:dyDescent="0.3">
      <c r="A308" t="s">
        <v>22</v>
      </c>
      <c r="B308" t="s">
        <v>21</v>
      </c>
      <c r="C308" t="s">
        <v>23</v>
      </c>
      <c r="D308" s="3">
        <v>45006</v>
      </c>
      <c r="E308" s="2">
        <v>6131</v>
      </c>
    </row>
    <row r="309" spans="1:5" x14ac:dyDescent="0.3">
      <c r="A309" t="s">
        <v>29</v>
      </c>
      <c r="B309" t="s">
        <v>13</v>
      </c>
      <c r="C309" t="s">
        <v>17</v>
      </c>
      <c r="D309" s="3">
        <v>45006</v>
      </c>
      <c r="E309" s="2">
        <v>4268</v>
      </c>
    </row>
    <row r="310" spans="1:5" x14ac:dyDescent="0.3">
      <c r="A310" t="s">
        <v>10</v>
      </c>
      <c r="B310" t="s">
        <v>9</v>
      </c>
      <c r="C310" t="s">
        <v>28</v>
      </c>
      <c r="D310" s="3">
        <v>45007</v>
      </c>
      <c r="E310" s="2">
        <v>8106</v>
      </c>
    </row>
    <row r="311" spans="1:5" x14ac:dyDescent="0.3">
      <c r="A311" t="s">
        <v>26</v>
      </c>
      <c r="B311" t="s">
        <v>13</v>
      </c>
      <c r="C311" t="s">
        <v>7</v>
      </c>
      <c r="D311" s="3">
        <v>45008</v>
      </c>
      <c r="E311" s="2">
        <v>10516</v>
      </c>
    </row>
    <row r="312" spans="1:5" x14ac:dyDescent="0.3">
      <c r="A312" t="s">
        <v>26</v>
      </c>
      <c r="B312" t="s">
        <v>16</v>
      </c>
      <c r="C312" t="s">
        <v>12</v>
      </c>
      <c r="D312" s="3">
        <v>45008</v>
      </c>
      <c r="E312" s="2">
        <v>6303</v>
      </c>
    </row>
    <row r="313" spans="1:5" x14ac:dyDescent="0.3">
      <c r="A313" t="s">
        <v>31</v>
      </c>
      <c r="B313" t="s">
        <v>21</v>
      </c>
      <c r="C313" t="s">
        <v>14</v>
      </c>
      <c r="D313" s="3">
        <v>45009</v>
      </c>
      <c r="E313" s="2">
        <v>8085</v>
      </c>
    </row>
    <row r="314" spans="1:5" x14ac:dyDescent="0.3">
      <c r="A314" t="s">
        <v>20</v>
      </c>
      <c r="B314" t="s">
        <v>9</v>
      </c>
      <c r="C314" t="s">
        <v>19</v>
      </c>
      <c r="D314" s="3">
        <v>45009</v>
      </c>
      <c r="E314" s="2">
        <v>2967</v>
      </c>
    </row>
    <row r="315" spans="1:5" x14ac:dyDescent="0.3">
      <c r="A315" t="s">
        <v>22</v>
      </c>
      <c r="B315" t="s">
        <v>16</v>
      </c>
      <c r="C315" t="s">
        <v>7</v>
      </c>
      <c r="D315" s="3">
        <v>45009</v>
      </c>
      <c r="E315" s="2">
        <v>8185</v>
      </c>
    </row>
    <row r="316" spans="1:5" x14ac:dyDescent="0.3">
      <c r="A316" t="s">
        <v>15</v>
      </c>
      <c r="B316" t="s">
        <v>21</v>
      </c>
      <c r="C316" t="s">
        <v>7</v>
      </c>
      <c r="D316" s="3">
        <v>45009</v>
      </c>
      <c r="E316" s="2">
        <v>5081</v>
      </c>
    </row>
    <row r="317" spans="1:5" x14ac:dyDescent="0.3">
      <c r="A317" t="s">
        <v>31</v>
      </c>
      <c r="B317" t="s">
        <v>11</v>
      </c>
      <c r="C317" t="s">
        <v>17</v>
      </c>
      <c r="D317" s="3">
        <v>45009</v>
      </c>
      <c r="E317" s="2">
        <v>4367</v>
      </c>
    </row>
    <row r="318" spans="1:5" x14ac:dyDescent="0.3">
      <c r="A318" t="s">
        <v>32</v>
      </c>
      <c r="B318" t="s">
        <v>13</v>
      </c>
      <c r="C318" t="s">
        <v>12</v>
      </c>
      <c r="D318" s="3">
        <v>45009</v>
      </c>
      <c r="E318" s="2">
        <v>10595</v>
      </c>
    </row>
    <row r="319" spans="1:5" x14ac:dyDescent="0.3">
      <c r="A319" t="s">
        <v>27</v>
      </c>
      <c r="B319" t="s">
        <v>6</v>
      </c>
      <c r="C319" t="s">
        <v>19</v>
      </c>
      <c r="D319" s="3">
        <v>45010</v>
      </c>
      <c r="E319" s="2">
        <v>1689</v>
      </c>
    </row>
    <row r="320" spans="1:5" x14ac:dyDescent="0.3">
      <c r="A320" t="s">
        <v>31</v>
      </c>
      <c r="B320" t="s">
        <v>9</v>
      </c>
      <c r="C320" t="s">
        <v>14</v>
      </c>
      <c r="D320" s="3">
        <v>45011</v>
      </c>
      <c r="E320" s="2">
        <v>6659</v>
      </c>
    </row>
    <row r="321" spans="1:5" x14ac:dyDescent="0.3">
      <c r="A321" t="s">
        <v>15</v>
      </c>
      <c r="B321" t="s">
        <v>6</v>
      </c>
      <c r="C321" t="s">
        <v>14</v>
      </c>
      <c r="D321" s="3">
        <v>45012</v>
      </c>
      <c r="E321" s="2">
        <v>4202</v>
      </c>
    </row>
    <row r="322" spans="1:5" x14ac:dyDescent="0.3">
      <c r="A322" t="s">
        <v>29</v>
      </c>
      <c r="B322" t="s">
        <v>6</v>
      </c>
      <c r="C322" t="s">
        <v>19</v>
      </c>
      <c r="D322" s="3">
        <v>45012</v>
      </c>
      <c r="E322" s="2">
        <v>12340</v>
      </c>
    </row>
    <row r="323" spans="1:5" x14ac:dyDescent="0.3">
      <c r="A323" t="s">
        <v>20</v>
      </c>
      <c r="B323" t="s">
        <v>11</v>
      </c>
      <c r="C323" t="s">
        <v>28</v>
      </c>
      <c r="D323" s="3">
        <v>45013</v>
      </c>
      <c r="E323" s="2">
        <v>1501</v>
      </c>
    </row>
    <row r="324" spans="1:5" x14ac:dyDescent="0.3">
      <c r="A324" t="s">
        <v>29</v>
      </c>
      <c r="B324" t="s">
        <v>11</v>
      </c>
      <c r="C324" t="s">
        <v>12</v>
      </c>
      <c r="D324" s="3">
        <v>45013</v>
      </c>
      <c r="E324" s="2">
        <v>4574</v>
      </c>
    </row>
    <row r="325" spans="1:5" x14ac:dyDescent="0.3">
      <c r="A325" t="s">
        <v>5</v>
      </c>
      <c r="B325" t="s">
        <v>21</v>
      </c>
      <c r="C325" t="s">
        <v>19</v>
      </c>
      <c r="D325" s="3">
        <v>45014</v>
      </c>
      <c r="E325" s="2">
        <v>2966</v>
      </c>
    </row>
    <row r="326" spans="1:5" x14ac:dyDescent="0.3">
      <c r="A326" t="s">
        <v>26</v>
      </c>
      <c r="B326" t="s">
        <v>13</v>
      </c>
      <c r="C326" t="s">
        <v>19</v>
      </c>
      <c r="D326" s="3">
        <v>45014</v>
      </c>
      <c r="E326" s="2">
        <v>5618</v>
      </c>
    </row>
    <row r="327" spans="1:5" x14ac:dyDescent="0.3">
      <c r="A327" t="s">
        <v>27</v>
      </c>
      <c r="B327" t="s">
        <v>6</v>
      </c>
      <c r="C327" t="s">
        <v>17</v>
      </c>
      <c r="D327" s="3">
        <v>45014</v>
      </c>
      <c r="E327" s="2">
        <v>2409</v>
      </c>
    </row>
    <row r="328" spans="1:5" x14ac:dyDescent="0.3">
      <c r="A328" t="s">
        <v>29</v>
      </c>
      <c r="B328" t="s">
        <v>13</v>
      </c>
      <c r="C328" t="s">
        <v>23</v>
      </c>
      <c r="D328" s="3">
        <v>45015</v>
      </c>
      <c r="E328" s="2">
        <v>10046</v>
      </c>
    </row>
    <row r="329" spans="1:5" x14ac:dyDescent="0.3">
      <c r="A329" t="s">
        <v>33</v>
      </c>
      <c r="B329" t="s">
        <v>13</v>
      </c>
      <c r="C329" t="s">
        <v>23</v>
      </c>
      <c r="D329" s="3">
        <v>45015</v>
      </c>
      <c r="E329" s="2">
        <v>2055</v>
      </c>
    </row>
    <row r="330" spans="1:5" x14ac:dyDescent="0.3">
      <c r="A330" t="s">
        <v>10</v>
      </c>
      <c r="B330" t="s">
        <v>13</v>
      </c>
      <c r="C330" t="s">
        <v>7</v>
      </c>
      <c r="D330" s="3">
        <v>45015</v>
      </c>
      <c r="E330" s="2">
        <v>10826</v>
      </c>
    </row>
    <row r="331" spans="1:5" x14ac:dyDescent="0.3">
      <c r="A331" t="s">
        <v>18</v>
      </c>
      <c r="B331" t="s">
        <v>11</v>
      </c>
      <c r="C331" t="s">
        <v>7</v>
      </c>
      <c r="D331" s="3">
        <v>45015</v>
      </c>
      <c r="E331" s="2">
        <v>10852</v>
      </c>
    </row>
    <row r="332" spans="1:5" x14ac:dyDescent="0.3">
      <c r="A332" t="s">
        <v>8</v>
      </c>
      <c r="B332" t="s">
        <v>6</v>
      </c>
      <c r="C332" t="s">
        <v>7</v>
      </c>
      <c r="D332" s="3">
        <v>45015</v>
      </c>
      <c r="E332" s="2">
        <v>1847</v>
      </c>
    </row>
    <row r="333" spans="1:5" x14ac:dyDescent="0.3">
      <c r="A333" t="s">
        <v>31</v>
      </c>
      <c r="B333" t="s">
        <v>21</v>
      </c>
      <c r="C333" t="s">
        <v>17</v>
      </c>
      <c r="D333" s="3">
        <v>45015</v>
      </c>
      <c r="E333" s="2">
        <v>9599</v>
      </c>
    </row>
    <row r="334" spans="1:5" x14ac:dyDescent="0.3">
      <c r="A334" t="s">
        <v>10</v>
      </c>
      <c r="B334" t="s">
        <v>6</v>
      </c>
      <c r="C334" t="s">
        <v>23</v>
      </c>
      <c r="D334" s="3">
        <v>45016</v>
      </c>
      <c r="E334" s="2">
        <v>4690</v>
      </c>
    </row>
    <row r="335" spans="1:5" x14ac:dyDescent="0.3">
      <c r="A335" t="s">
        <v>31</v>
      </c>
      <c r="B335" t="s">
        <v>11</v>
      </c>
      <c r="C335" t="s">
        <v>23</v>
      </c>
      <c r="D335" s="3">
        <v>45016</v>
      </c>
      <c r="E335" s="2">
        <v>7047</v>
      </c>
    </row>
    <row r="336" spans="1:5" x14ac:dyDescent="0.3">
      <c r="A336" t="s">
        <v>8</v>
      </c>
      <c r="B336" t="s">
        <v>11</v>
      </c>
      <c r="C336" t="s">
        <v>28</v>
      </c>
      <c r="D336" s="3">
        <v>45016</v>
      </c>
      <c r="E336" s="2">
        <v>9889</v>
      </c>
    </row>
    <row r="337" spans="1:5" x14ac:dyDescent="0.3">
      <c r="A337" t="s">
        <v>26</v>
      </c>
      <c r="B337" t="s">
        <v>21</v>
      </c>
      <c r="C337" t="s">
        <v>17</v>
      </c>
      <c r="D337" s="3">
        <v>45016</v>
      </c>
      <c r="E337" s="2">
        <v>4386</v>
      </c>
    </row>
    <row r="338" spans="1:5" x14ac:dyDescent="0.3">
      <c r="A338" t="s">
        <v>24</v>
      </c>
      <c r="B338" t="s">
        <v>6</v>
      </c>
      <c r="C338" t="s">
        <v>17</v>
      </c>
      <c r="D338" s="3">
        <v>45016</v>
      </c>
      <c r="E338" s="2">
        <v>10938</v>
      </c>
    </row>
    <row r="339" spans="1:5" x14ac:dyDescent="0.3">
      <c r="A339" t="s">
        <v>32</v>
      </c>
      <c r="B339" t="s">
        <v>16</v>
      </c>
      <c r="C339" t="s">
        <v>12</v>
      </c>
      <c r="D339" s="3">
        <v>45016</v>
      </c>
      <c r="E339" s="2">
        <v>10800</v>
      </c>
    </row>
    <row r="340" spans="1:5" x14ac:dyDescent="0.3">
      <c r="A340" t="s">
        <v>5</v>
      </c>
      <c r="B340" t="s">
        <v>6</v>
      </c>
      <c r="C340" t="s">
        <v>23</v>
      </c>
      <c r="D340" s="3">
        <v>45017</v>
      </c>
      <c r="E340" s="2">
        <v>10452</v>
      </c>
    </row>
    <row r="341" spans="1:5" x14ac:dyDescent="0.3">
      <c r="A341" t="s">
        <v>24</v>
      </c>
      <c r="B341" t="s">
        <v>16</v>
      </c>
      <c r="C341" t="s">
        <v>25</v>
      </c>
      <c r="D341" s="3">
        <v>45017</v>
      </c>
      <c r="E341" s="2">
        <v>3049</v>
      </c>
    </row>
    <row r="342" spans="1:5" x14ac:dyDescent="0.3">
      <c r="A342" t="s">
        <v>10</v>
      </c>
      <c r="B342" t="s">
        <v>16</v>
      </c>
      <c r="C342" t="s">
        <v>7</v>
      </c>
      <c r="D342" s="3">
        <v>45017</v>
      </c>
      <c r="E342" s="2">
        <v>13005</v>
      </c>
    </row>
    <row r="343" spans="1:5" x14ac:dyDescent="0.3">
      <c r="A343" t="s">
        <v>27</v>
      </c>
      <c r="B343" t="s">
        <v>11</v>
      </c>
      <c r="C343" t="s">
        <v>7</v>
      </c>
      <c r="D343" s="3">
        <v>45017</v>
      </c>
      <c r="E343" s="2">
        <v>11130</v>
      </c>
    </row>
    <row r="344" spans="1:5" x14ac:dyDescent="0.3">
      <c r="A344" t="s">
        <v>26</v>
      </c>
      <c r="B344" t="s">
        <v>16</v>
      </c>
      <c r="C344" t="s">
        <v>17</v>
      </c>
      <c r="D344" s="3">
        <v>45017</v>
      </c>
      <c r="E344" s="2">
        <v>1473</v>
      </c>
    </row>
    <row r="345" spans="1:5" x14ac:dyDescent="0.3">
      <c r="A345" t="s">
        <v>15</v>
      </c>
      <c r="B345" t="s">
        <v>6</v>
      </c>
      <c r="C345" t="s">
        <v>17</v>
      </c>
      <c r="D345" s="3">
        <v>45017</v>
      </c>
      <c r="E345" s="2">
        <v>6328</v>
      </c>
    </row>
    <row r="346" spans="1:5" x14ac:dyDescent="0.3">
      <c r="A346" t="s">
        <v>27</v>
      </c>
      <c r="B346" t="s">
        <v>9</v>
      </c>
      <c r="C346" t="s">
        <v>14</v>
      </c>
      <c r="D346" s="3">
        <v>45018</v>
      </c>
      <c r="E346" s="2">
        <v>7726</v>
      </c>
    </row>
    <row r="347" spans="1:5" x14ac:dyDescent="0.3">
      <c r="A347" t="s">
        <v>29</v>
      </c>
      <c r="B347" t="s">
        <v>6</v>
      </c>
      <c r="C347" t="s">
        <v>14</v>
      </c>
      <c r="D347" s="3">
        <v>45018</v>
      </c>
      <c r="E347" s="2">
        <v>7553</v>
      </c>
    </row>
    <row r="348" spans="1:5" x14ac:dyDescent="0.3">
      <c r="A348" t="s">
        <v>22</v>
      </c>
      <c r="B348" t="s">
        <v>21</v>
      </c>
      <c r="C348" t="s">
        <v>19</v>
      </c>
      <c r="D348" s="3">
        <v>45018</v>
      </c>
      <c r="E348" s="2">
        <v>3447</v>
      </c>
    </row>
    <row r="349" spans="1:5" x14ac:dyDescent="0.3">
      <c r="A349" t="s">
        <v>5</v>
      </c>
      <c r="B349" t="s">
        <v>13</v>
      </c>
      <c r="C349" t="s">
        <v>25</v>
      </c>
      <c r="D349" s="3">
        <v>45018</v>
      </c>
      <c r="E349" s="2">
        <v>10900</v>
      </c>
    </row>
    <row r="350" spans="1:5" x14ac:dyDescent="0.3">
      <c r="A350" t="s">
        <v>20</v>
      </c>
      <c r="B350" t="s">
        <v>13</v>
      </c>
      <c r="C350" t="s">
        <v>28</v>
      </c>
      <c r="D350" s="3">
        <v>45018</v>
      </c>
      <c r="E350" s="2">
        <v>3734</v>
      </c>
    </row>
    <row r="351" spans="1:5" x14ac:dyDescent="0.3">
      <c r="A351" t="s">
        <v>8</v>
      </c>
      <c r="B351" t="s">
        <v>21</v>
      </c>
      <c r="C351" t="s">
        <v>12</v>
      </c>
      <c r="D351" s="3">
        <v>45018</v>
      </c>
      <c r="E351" s="2">
        <v>2033</v>
      </c>
    </row>
    <row r="352" spans="1:5" x14ac:dyDescent="0.3">
      <c r="A352" t="s">
        <v>10</v>
      </c>
      <c r="B352" t="s">
        <v>21</v>
      </c>
      <c r="C352" t="s">
        <v>12</v>
      </c>
      <c r="D352" s="3">
        <v>45018</v>
      </c>
      <c r="E352" s="2">
        <v>5098</v>
      </c>
    </row>
    <row r="353" spans="1:5" x14ac:dyDescent="0.3">
      <c r="A353" t="s">
        <v>31</v>
      </c>
      <c r="B353" t="s">
        <v>13</v>
      </c>
      <c r="C353" t="s">
        <v>12</v>
      </c>
      <c r="D353" s="3">
        <v>45018</v>
      </c>
      <c r="E353" s="2">
        <v>1437</v>
      </c>
    </row>
    <row r="354" spans="1:5" x14ac:dyDescent="0.3">
      <c r="A354" t="s">
        <v>8</v>
      </c>
      <c r="B354" t="s">
        <v>11</v>
      </c>
      <c r="C354" t="s">
        <v>23</v>
      </c>
      <c r="D354" s="3">
        <v>45019</v>
      </c>
      <c r="E354" s="2">
        <v>11562</v>
      </c>
    </row>
    <row r="355" spans="1:5" x14ac:dyDescent="0.3">
      <c r="A355" t="s">
        <v>29</v>
      </c>
      <c r="B355" t="s">
        <v>21</v>
      </c>
      <c r="C355" t="s">
        <v>25</v>
      </c>
      <c r="D355" s="3">
        <v>45019</v>
      </c>
      <c r="E355" s="2">
        <v>10540</v>
      </c>
    </row>
    <row r="356" spans="1:5" x14ac:dyDescent="0.3">
      <c r="A356" t="s">
        <v>15</v>
      </c>
      <c r="B356" t="s">
        <v>6</v>
      </c>
      <c r="C356" t="s">
        <v>14</v>
      </c>
      <c r="D356" s="3">
        <v>45020</v>
      </c>
      <c r="E356" s="2">
        <v>6330</v>
      </c>
    </row>
    <row r="357" spans="1:5" x14ac:dyDescent="0.3">
      <c r="A357" t="s">
        <v>32</v>
      </c>
      <c r="B357" t="s">
        <v>11</v>
      </c>
      <c r="C357" t="s">
        <v>14</v>
      </c>
      <c r="D357" s="3">
        <v>45020</v>
      </c>
      <c r="E357" s="2">
        <v>6627</v>
      </c>
    </row>
    <row r="358" spans="1:5" x14ac:dyDescent="0.3">
      <c r="A358" t="s">
        <v>5</v>
      </c>
      <c r="B358" t="s">
        <v>16</v>
      </c>
      <c r="C358" t="s">
        <v>19</v>
      </c>
      <c r="D358" s="3">
        <v>45020</v>
      </c>
      <c r="E358" s="2">
        <v>4553</v>
      </c>
    </row>
    <row r="359" spans="1:5" x14ac:dyDescent="0.3">
      <c r="A359" t="s">
        <v>5</v>
      </c>
      <c r="B359" t="s">
        <v>16</v>
      </c>
      <c r="C359" t="s">
        <v>23</v>
      </c>
      <c r="D359" s="3">
        <v>45020</v>
      </c>
      <c r="E359" s="2">
        <v>5461</v>
      </c>
    </row>
    <row r="360" spans="1:5" x14ac:dyDescent="0.3">
      <c r="A360" t="s">
        <v>26</v>
      </c>
      <c r="B360" t="s">
        <v>16</v>
      </c>
      <c r="C360" t="s">
        <v>14</v>
      </c>
      <c r="D360" s="3">
        <v>45021</v>
      </c>
      <c r="E360" s="2">
        <v>1889</v>
      </c>
    </row>
    <row r="361" spans="1:5" x14ac:dyDescent="0.3">
      <c r="A361" t="s">
        <v>33</v>
      </c>
      <c r="B361" t="s">
        <v>21</v>
      </c>
      <c r="C361" t="s">
        <v>28</v>
      </c>
      <c r="D361" s="3">
        <v>45021</v>
      </c>
      <c r="E361" s="2">
        <v>12085</v>
      </c>
    </row>
    <row r="362" spans="1:5" x14ac:dyDescent="0.3">
      <c r="A362" t="s">
        <v>27</v>
      </c>
      <c r="B362" t="s">
        <v>16</v>
      </c>
      <c r="C362" t="s">
        <v>12</v>
      </c>
      <c r="D362" s="3">
        <v>45021</v>
      </c>
      <c r="E362" s="2">
        <v>6586</v>
      </c>
    </row>
    <row r="363" spans="1:5" x14ac:dyDescent="0.3">
      <c r="A363" t="s">
        <v>22</v>
      </c>
      <c r="B363" t="s">
        <v>6</v>
      </c>
      <c r="C363" t="s">
        <v>19</v>
      </c>
      <c r="D363" s="3">
        <v>45022</v>
      </c>
      <c r="E363" s="2">
        <v>2988</v>
      </c>
    </row>
    <row r="364" spans="1:5" x14ac:dyDescent="0.3">
      <c r="A364" t="s">
        <v>30</v>
      </c>
      <c r="B364" t="s">
        <v>16</v>
      </c>
      <c r="C364" t="s">
        <v>23</v>
      </c>
      <c r="D364" s="3">
        <v>45022</v>
      </c>
      <c r="E364" s="2">
        <v>5271</v>
      </c>
    </row>
    <row r="365" spans="1:5" x14ac:dyDescent="0.3">
      <c r="A365" t="s">
        <v>30</v>
      </c>
      <c r="B365" t="s">
        <v>13</v>
      </c>
      <c r="C365" t="s">
        <v>28</v>
      </c>
      <c r="D365" s="3">
        <v>45022</v>
      </c>
      <c r="E365" s="2">
        <v>9886</v>
      </c>
    </row>
    <row r="366" spans="1:5" x14ac:dyDescent="0.3">
      <c r="A366" t="s">
        <v>22</v>
      </c>
      <c r="B366" t="s">
        <v>16</v>
      </c>
      <c r="C366" t="s">
        <v>12</v>
      </c>
      <c r="D366" s="3">
        <v>45022</v>
      </c>
      <c r="E366" s="2">
        <v>2981</v>
      </c>
    </row>
    <row r="367" spans="1:5" x14ac:dyDescent="0.3">
      <c r="A367" t="s">
        <v>8</v>
      </c>
      <c r="B367" t="s">
        <v>21</v>
      </c>
      <c r="C367" t="s">
        <v>23</v>
      </c>
      <c r="D367" s="3">
        <v>45023</v>
      </c>
      <c r="E367" s="2">
        <v>8633</v>
      </c>
    </row>
    <row r="368" spans="1:5" x14ac:dyDescent="0.3">
      <c r="A368" t="s">
        <v>20</v>
      </c>
      <c r="B368" t="s">
        <v>16</v>
      </c>
      <c r="C368" t="s">
        <v>25</v>
      </c>
      <c r="D368" s="3">
        <v>45023</v>
      </c>
      <c r="E368" s="2">
        <v>11397</v>
      </c>
    </row>
    <row r="369" spans="1:5" x14ac:dyDescent="0.3">
      <c r="A369" t="s">
        <v>15</v>
      </c>
      <c r="B369" t="s">
        <v>13</v>
      </c>
      <c r="C369" t="s">
        <v>7</v>
      </c>
      <c r="D369" s="3">
        <v>45023</v>
      </c>
      <c r="E369" s="2">
        <v>1966</v>
      </c>
    </row>
    <row r="370" spans="1:5" x14ac:dyDescent="0.3">
      <c r="A370" t="s">
        <v>22</v>
      </c>
      <c r="B370" t="s">
        <v>11</v>
      </c>
      <c r="C370" t="s">
        <v>28</v>
      </c>
      <c r="D370" s="3">
        <v>45023</v>
      </c>
      <c r="E370" s="2">
        <v>6195</v>
      </c>
    </row>
    <row r="371" spans="1:5" x14ac:dyDescent="0.3">
      <c r="A371" t="s">
        <v>31</v>
      </c>
      <c r="B371" t="s">
        <v>21</v>
      </c>
      <c r="C371" t="s">
        <v>19</v>
      </c>
      <c r="D371" s="3">
        <v>45024</v>
      </c>
      <c r="E371" s="2">
        <v>3562</v>
      </c>
    </row>
    <row r="372" spans="1:5" x14ac:dyDescent="0.3">
      <c r="A372" t="s">
        <v>32</v>
      </c>
      <c r="B372" t="s">
        <v>9</v>
      </c>
      <c r="C372" t="s">
        <v>19</v>
      </c>
      <c r="D372" s="3">
        <v>45024</v>
      </c>
      <c r="E372" s="2">
        <v>13571</v>
      </c>
    </row>
    <row r="373" spans="1:5" x14ac:dyDescent="0.3">
      <c r="A373" t="s">
        <v>5</v>
      </c>
      <c r="B373" t="s">
        <v>11</v>
      </c>
      <c r="C373" t="s">
        <v>25</v>
      </c>
      <c r="D373" s="3">
        <v>45024</v>
      </c>
      <c r="E373" s="2">
        <v>9321</v>
      </c>
    </row>
    <row r="374" spans="1:5" x14ac:dyDescent="0.3">
      <c r="A374" t="s">
        <v>10</v>
      </c>
      <c r="B374" t="s">
        <v>9</v>
      </c>
      <c r="C374" t="s">
        <v>25</v>
      </c>
      <c r="D374" s="3">
        <v>45024</v>
      </c>
      <c r="E374" s="2">
        <v>3928</v>
      </c>
    </row>
    <row r="375" spans="1:5" x14ac:dyDescent="0.3">
      <c r="A375" t="s">
        <v>31</v>
      </c>
      <c r="B375" t="s">
        <v>13</v>
      </c>
      <c r="C375" t="s">
        <v>28</v>
      </c>
      <c r="D375" s="3">
        <v>45024</v>
      </c>
      <c r="E375" s="2">
        <v>13874</v>
      </c>
    </row>
    <row r="376" spans="1:5" x14ac:dyDescent="0.3">
      <c r="A376" t="s">
        <v>20</v>
      </c>
      <c r="B376" t="s">
        <v>13</v>
      </c>
      <c r="C376" t="s">
        <v>25</v>
      </c>
      <c r="D376" s="3">
        <v>45025</v>
      </c>
      <c r="E376" s="2">
        <v>10182</v>
      </c>
    </row>
    <row r="377" spans="1:5" x14ac:dyDescent="0.3">
      <c r="A377" t="s">
        <v>20</v>
      </c>
      <c r="B377" t="s">
        <v>11</v>
      </c>
      <c r="C377" t="s">
        <v>7</v>
      </c>
      <c r="D377" s="3">
        <v>45025</v>
      </c>
      <c r="E377" s="2">
        <v>7300</v>
      </c>
    </row>
    <row r="378" spans="1:5" x14ac:dyDescent="0.3">
      <c r="A378" t="s">
        <v>27</v>
      </c>
      <c r="B378" t="s">
        <v>9</v>
      </c>
      <c r="C378" t="s">
        <v>12</v>
      </c>
      <c r="D378" s="3">
        <v>45025</v>
      </c>
      <c r="E378" s="2">
        <v>13376</v>
      </c>
    </row>
    <row r="379" spans="1:5" x14ac:dyDescent="0.3">
      <c r="A379" t="s">
        <v>32</v>
      </c>
      <c r="B379" t="s">
        <v>21</v>
      </c>
      <c r="C379" t="s">
        <v>12</v>
      </c>
      <c r="D379" s="3">
        <v>45025</v>
      </c>
      <c r="E379" s="2">
        <v>2019</v>
      </c>
    </row>
    <row r="380" spans="1:5" x14ac:dyDescent="0.3">
      <c r="A380" t="s">
        <v>20</v>
      </c>
      <c r="B380" t="s">
        <v>6</v>
      </c>
      <c r="C380" t="s">
        <v>28</v>
      </c>
      <c r="D380" s="3">
        <v>45026</v>
      </c>
      <c r="E380" s="2">
        <v>2238</v>
      </c>
    </row>
    <row r="381" spans="1:5" x14ac:dyDescent="0.3">
      <c r="A381" t="s">
        <v>8</v>
      </c>
      <c r="B381" t="s">
        <v>11</v>
      </c>
      <c r="C381" t="s">
        <v>28</v>
      </c>
      <c r="D381" s="3">
        <v>45026</v>
      </c>
      <c r="E381" s="2">
        <v>6751</v>
      </c>
    </row>
    <row r="382" spans="1:5" x14ac:dyDescent="0.3">
      <c r="A382" t="s">
        <v>10</v>
      </c>
      <c r="B382" t="s">
        <v>6</v>
      </c>
      <c r="C382" t="s">
        <v>12</v>
      </c>
      <c r="D382" s="3">
        <v>45026</v>
      </c>
      <c r="E382" s="2">
        <v>4257</v>
      </c>
    </row>
    <row r="383" spans="1:5" x14ac:dyDescent="0.3">
      <c r="A383" t="s">
        <v>32</v>
      </c>
      <c r="B383" t="s">
        <v>11</v>
      </c>
      <c r="C383" t="s">
        <v>12</v>
      </c>
      <c r="D383" s="3">
        <v>45026</v>
      </c>
      <c r="E383" s="2">
        <v>8467</v>
      </c>
    </row>
    <row r="384" spans="1:5" x14ac:dyDescent="0.3">
      <c r="A384" t="s">
        <v>31</v>
      </c>
      <c r="B384" t="s">
        <v>21</v>
      </c>
      <c r="C384" t="s">
        <v>12</v>
      </c>
      <c r="D384" s="3">
        <v>45026</v>
      </c>
      <c r="E384" s="2">
        <v>11548</v>
      </c>
    </row>
    <row r="385" spans="1:5" x14ac:dyDescent="0.3">
      <c r="A385" t="s">
        <v>20</v>
      </c>
      <c r="B385" t="s">
        <v>16</v>
      </c>
      <c r="C385" t="s">
        <v>14</v>
      </c>
      <c r="D385" s="3">
        <v>45027</v>
      </c>
      <c r="E385" s="2">
        <v>2616</v>
      </c>
    </row>
    <row r="386" spans="1:5" x14ac:dyDescent="0.3">
      <c r="A386" t="s">
        <v>20</v>
      </c>
      <c r="B386" t="s">
        <v>16</v>
      </c>
      <c r="C386" t="s">
        <v>19</v>
      </c>
      <c r="D386" s="3">
        <v>45027</v>
      </c>
      <c r="E386" s="2">
        <v>13961</v>
      </c>
    </row>
    <row r="387" spans="1:5" x14ac:dyDescent="0.3">
      <c r="A387" t="s">
        <v>5</v>
      </c>
      <c r="B387" t="s">
        <v>6</v>
      </c>
      <c r="C387" t="s">
        <v>25</v>
      </c>
      <c r="D387" s="3">
        <v>45027</v>
      </c>
      <c r="E387" s="2">
        <v>10742</v>
      </c>
    </row>
    <row r="388" spans="1:5" x14ac:dyDescent="0.3">
      <c r="A388" t="s">
        <v>27</v>
      </c>
      <c r="B388" t="s">
        <v>21</v>
      </c>
      <c r="C388" t="s">
        <v>7</v>
      </c>
      <c r="D388" s="3">
        <v>45027</v>
      </c>
      <c r="E388" s="2">
        <v>1595</v>
      </c>
    </row>
    <row r="389" spans="1:5" x14ac:dyDescent="0.3">
      <c r="A389" t="s">
        <v>5</v>
      </c>
      <c r="B389" t="s">
        <v>16</v>
      </c>
      <c r="C389" t="s">
        <v>28</v>
      </c>
      <c r="D389" s="3">
        <v>45027</v>
      </c>
      <c r="E389" s="2">
        <v>9535</v>
      </c>
    </row>
    <row r="390" spans="1:5" x14ac:dyDescent="0.3">
      <c r="A390" t="s">
        <v>27</v>
      </c>
      <c r="B390" t="s">
        <v>21</v>
      </c>
      <c r="C390" t="s">
        <v>28</v>
      </c>
      <c r="D390" s="3">
        <v>45027</v>
      </c>
      <c r="E390" s="2">
        <v>5885</v>
      </c>
    </row>
    <row r="391" spans="1:5" x14ac:dyDescent="0.3">
      <c r="A391" t="s">
        <v>31</v>
      </c>
      <c r="B391" t="s">
        <v>11</v>
      </c>
      <c r="C391" t="s">
        <v>23</v>
      </c>
      <c r="D391" s="3">
        <v>45028</v>
      </c>
      <c r="E391" s="2">
        <v>4002</v>
      </c>
    </row>
    <row r="392" spans="1:5" x14ac:dyDescent="0.3">
      <c r="A392" t="s">
        <v>31</v>
      </c>
      <c r="B392" t="s">
        <v>13</v>
      </c>
      <c r="C392" t="s">
        <v>7</v>
      </c>
      <c r="D392" s="3">
        <v>45028</v>
      </c>
      <c r="E392" s="2">
        <v>11300</v>
      </c>
    </row>
    <row r="393" spans="1:5" x14ac:dyDescent="0.3">
      <c r="A393" t="s">
        <v>30</v>
      </c>
      <c r="B393" t="s">
        <v>6</v>
      </c>
      <c r="C393" t="s">
        <v>17</v>
      </c>
      <c r="D393" s="3">
        <v>45028</v>
      </c>
      <c r="E393" s="2">
        <v>11011</v>
      </c>
    </row>
    <row r="394" spans="1:5" x14ac:dyDescent="0.3">
      <c r="A394" t="s">
        <v>31</v>
      </c>
      <c r="B394" t="s">
        <v>9</v>
      </c>
      <c r="C394" t="s">
        <v>17</v>
      </c>
      <c r="D394" s="3">
        <v>45028</v>
      </c>
      <c r="E394" s="2">
        <v>7508</v>
      </c>
    </row>
    <row r="395" spans="1:5" x14ac:dyDescent="0.3">
      <c r="A395" t="s">
        <v>22</v>
      </c>
      <c r="B395" t="s">
        <v>16</v>
      </c>
      <c r="C395" t="s">
        <v>19</v>
      </c>
      <c r="D395" s="3">
        <v>45029</v>
      </c>
      <c r="E395" s="2">
        <v>5628</v>
      </c>
    </row>
    <row r="396" spans="1:5" x14ac:dyDescent="0.3">
      <c r="A396" t="s">
        <v>29</v>
      </c>
      <c r="B396" t="s">
        <v>9</v>
      </c>
      <c r="C396" t="s">
        <v>23</v>
      </c>
      <c r="D396" s="3">
        <v>45029</v>
      </c>
      <c r="E396" s="2">
        <v>4388</v>
      </c>
    </row>
    <row r="397" spans="1:5" x14ac:dyDescent="0.3">
      <c r="A397" t="s">
        <v>27</v>
      </c>
      <c r="B397" t="s">
        <v>9</v>
      </c>
      <c r="C397" t="s">
        <v>25</v>
      </c>
      <c r="D397" s="3">
        <v>45029</v>
      </c>
      <c r="E397" s="2">
        <v>6874</v>
      </c>
    </row>
    <row r="398" spans="1:5" x14ac:dyDescent="0.3">
      <c r="A398" t="s">
        <v>30</v>
      </c>
      <c r="B398" t="s">
        <v>13</v>
      </c>
      <c r="C398" t="s">
        <v>7</v>
      </c>
      <c r="D398" s="3">
        <v>45029</v>
      </c>
      <c r="E398" s="2">
        <v>7835</v>
      </c>
    </row>
    <row r="399" spans="1:5" x14ac:dyDescent="0.3">
      <c r="A399" t="s">
        <v>26</v>
      </c>
      <c r="B399" t="s">
        <v>9</v>
      </c>
      <c r="C399" t="s">
        <v>28</v>
      </c>
      <c r="D399" s="3">
        <v>45029</v>
      </c>
      <c r="E399" s="2">
        <v>12428</v>
      </c>
    </row>
    <row r="400" spans="1:5" x14ac:dyDescent="0.3">
      <c r="A400" t="s">
        <v>10</v>
      </c>
      <c r="B400" t="s">
        <v>16</v>
      </c>
      <c r="C400" t="s">
        <v>28</v>
      </c>
      <c r="D400" s="3">
        <v>45029</v>
      </c>
      <c r="E400" s="2">
        <v>9219</v>
      </c>
    </row>
    <row r="401" spans="1:5" x14ac:dyDescent="0.3">
      <c r="A401" t="s">
        <v>10</v>
      </c>
      <c r="B401" t="s">
        <v>11</v>
      </c>
      <c r="C401" t="s">
        <v>19</v>
      </c>
      <c r="D401" s="3">
        <v>45030</v>
      </c>
      <c r="E401" s="2">
        <v>7896</v>
      </c>
    </row>
    <row r="402" spans="1:5" x14ac:dyDescent="0.3">
      <c r="A402" t="s">
        <v>10</v>
      </c>
      <c r="B402" t="s">
        <v>11</v>
      </c>
      <c r="C402" t="s">
        <v>28</v>
      </c>
      <c r="D402" s="3">
        <v>45030</v>
      </c>
      <c r="E402" s="2">
        <v>8204</v>
      </c>
    </row>
    <row r="403" spans="1:5" x14ac:dyDescent="0.3">
      <c r="A403" t="s">
        <v>20</v>
      </c>
      <c r="B403" t="s">
        <v>6</v>
      </c>
      <c r="C403" t="s">
        <v>19</v>
      </c>
      <c r="D403" s="3">
        <v>45031</v>
      </c>
      <c r="E403" s="2">
        <v>6018</v>
      </c>
    </row>
    <row r="404" spans="1:5" x14ac:dyDescent="0.3">
      <c r="A404" t="s">
        <v>5</v>
      </c>
      <c r="B404" t="s">
        <v>13</v>
      </c>
      <c r="C404" t="s">
        <v>17</v>
      </c>
      <c r="D404" s="3">
        <v>45031</v>
      </c>
      <c r="E404" s="2">
        <v>13161</v>
      </c>
    </row>
    <row r="405" spans="1:5" x14ac:dyDescent="0.3">
      <c r="A405" t="s">
        <v>10</v>
      </c>
      <c r="B405" t="s">
        <v>9</v>
      </c>
      <c r="C405" t="s">
        <v>12</v>
      </c>
      <c r="D405" s="3">
        <v>45031</v>
      </c>
      <c r="E405" s="2">
        <v>1732</v>
      </c>
    </row>
    <row r="406" spans="1:5" x14ac:dyDescent="0.3">
      <c r="A406" t="s">
        <v>10</v>
      </c>
      <c r="B406" t="s">
        <v>6</v>
      </c>
      <c r="C406" t="s">
        <v>14</v>
      </c>
      <c r="D406" s="3">
        <v>45032</v>
      </c>
      <c r="E406" s="2">
        <v>3529</v>
      </c>
    </row>
    <row r="407" spans="1:5" x14ac:dyDescent="0.3">
      <c r="A407" t="s">
        <v>8</v>
      </c>
      <c r="B407" t="s">
        <v>11</v>
      </c>
      <c r="C407" t="s">
        <v>19</v>
      </c>
      <c r="D407" s="3">
        <v>45032</v>
      </c>
      <c r="E407" s="2">
        <v>4006</v>
      </c>
    </row>
    <row r="408" spans="1:5" x14ac:dyDescent="0.3">
      <c r="A408" t="s">
        <v>31</v>
      </c>
      <c r="B408" t="s">
        <v>16</v>
      </c>
      <c r="C408" t="s">
        <v>19</v>
      </c>
      <c r="D408" s="3">
        <v>45032</v>
      </c>
      <c r="E408" s="2">
        <v>10213</v>
      </c>
    </row>
    <row r="409" spans="1:5" x14ac:dyDescent="0.3">
      <c r="A409" t="s">
        <v>31</v>
      </c>
      <c r="B409" t="s">
        <v>11</v>
      </c>
      <c r="C409" t="s">
        <v>7</v>
      </c>
      <c r="D409" s="3">
        <v>45032</v>
      </c>
      <c r="E409" s="2">
        <v>2699</v>
      </c>
    </row>
    <row r="410" spans="1:5" x14ac:dyDescent="0.3">
      <c r="A410" t="s">
        <v>27</v>
      </c>
      <c r="B410" t="s">
        <v>9</v>
      </c>
      <c r="C410" t="s">
        <v>14</v>
      </c>
      <c r="D410" s="3">
        <v>45033</v>
      </c>
      <c r="E410" s="2">
        <v>9717</v>
      </c>
    </row>
    <row r="411" spans="1:5" x14ac:dyDescent="0.3">
      <c r="A411" t="s">
        <v>20</v>
      </c>
      <c r="B411" t="s">
        <v>13</v>
      </c>
      <c r="C411" t="s">
        <v>14</v>
      </c>
      <c r="D411" s="3">
        <v>45033</v>
      </c>
      <c r="E411" s="2">
        <v>7616</v>
      </c>
    </row>
    <row r="412" spans="1:5" x14ac:dyDescent="0.3">
      <c r="A412" t="s">
        <v>30</v>
      </c>
      <c r="B412" t="s">
        <v>11</v>
      </c>
      <c r="C412" t="s">
        <v>14</v>
      </c>
      <c r="D412" s="3">
        <v>45033</v>
      </c>
      <c r="E412" s="2">
        <v>13103</v>
      </c>
    </row>
    <row r="413" spans="1:5" x14ac:dyDescent="0.3">
      <c r="A413" t="s">
        <v>29</v>
      </c>
      <c r="B413" t="s">
        <v>16</v>
      </c>
      <c r="C413" t="s">
        <v>19</v>
      </c>
      <c r="D413" s="3">
        <v>45033</v>
      </c>
      <c r="E413" s="2">
        <v>8409</v>
      </c>
    </row>
    <row r="414" spans="1:5" x14ac:dyDescent="0.3">
      <c r="A414" t="s">
        <v>29</v>
      </c>
      <c r="B414" t="s">
        <v>21</v>
      </c>
      <c r="C414" t="s">
        <v>28</v>
      </c>
      <c r="D414" s="3">
        <v>45033</v>
      </c>
      <c r="E414" s="2">
        <v>7265</v>
      </c>
    </row>
    <row r="415" spans="1:5" x14ac:dyDescent="0.3">
      <c r="A415" t="s">
        <v>8</v>
      </c>
      <c r="B415" t="s">
        <v>6</v>
      </c>
      <c r="C415" t="s">
        <v>28</v>
      </c>
      <c r="D415" s="3">
        <v>45033</v>
      </c>
      <c r="E415" s="2">
        <v>11694</v>
      </c>
    </row>
    <row r="416" spans="1:5" x14ac:dyDescent="0.3">
      <c r="A416" t="s">
        <v>5</v>
      </c>
      <c r="B416" t="s">
        <v>16</v>
      </c>
      <c r="C416" t="s">
        <v>14</v>
      </c>
      <c r="D416" s="3">
        <v>45034</v>
      </c>
      <c r="E416" s="2">
        <v>3515</v>
      </c>
    </row>
    <row r="417" spans="1:5" x14ac:dyDescent="0.3">
      <c r="A417" t="s">
        <v>33</v>
      </c>
      <c r="B417" t="s">
        <v>16</v>
      </c>
      <c r="C417" t="s">
        <v>7</v>
      </c>
      <c r="D417" s="3">
        <v>45034</v>
      </c>
      <c r="E417" s="2">
        <v>4281</v>
      </c>
    </row>
    <row r="418" spans="1:5" x14ac:dyDescent="0.3">
      <c r="A418" t="s">
        <v>27</v>
      </c>
      <c r="B418" t="s">
        <v>21</v>
      </c>
      <c r="C418" t="s">
        <v>28</v>
      </c>
      <c r="D418" s="3">
        <v>45034</v>
      </c>
      <c r="E418" s="2">
        <v>3607</v>
      </c>
    </row>
    <row r="419" spans="1:5" x14ac:dyDescent="0.3">
      <c r="A419" t="s">
        <v>15</v>
      </c>
      <c r="B419" t="s">
        <v>21</v>
      </c>
      <c r="C419" t="s">
        <v>28</v>
      </c>
      <c r="D419" s="3">
        <v>45034</v>
      </c>
      <c r="E419" s="2">
        <v>5172</v>
      </c>
    </row>
    <row r="420" spans="1:5" x14ac:dyDescent="0.3">
      <c r="A420" t="s">
        <v>24</v>
      </c>
      <c r="B420" t="s">
        <v>16</v>
      </c>
      <c r="C420" t="s">
        <v>28</v>
      </c>
      <c r="D420" s="3">
        <v>45035</v>
      </c>
      <c r="E420" s="2">
        <v>9665</v>
      </c>
    </row>
    <row r="421" spans="1:5" x14ac:dyDescent="0.3">
      <c r="A421" t="s">
        <v>33</v>
      </c>
      <c r="B421" t="s">
        <v>21</v>
      </c>
      <c r="C421" t="s">
        <v>17</v>
      </c>
      <c r="D421" s="3">
        <v>45035</v>
      </c>
      <c r="E421" s="2">
        <v>5111</v>
      </c>
    </row>
    <row r="422" spans="1:5" x14ac:dyDescent="0.3">
      <c r="A422" t="s">
        <v>20</v>
      </c>
      <c r="B422" t="s">
        <v>11</v>
      </c>
      <c r="C422" t="s">
        <v>14</v>
      </c>
      <c r="D422" s="3">
        <v>45036</v>
      </c>
      <c r="E422" s="2">
        <v>6636</v>
      </c>
    </row>
    <row r="423" spans="1:5" x14ac:dyDescent="0.3">
      <c r="A423" t="s">
        <v>20</v>
      </c>
      <c r="B423" t="s">
        <v>9</v>
      </c>
      <c r="C423" t="s">
        <v>19</v>
      </c>
      <c r="D423" s="3">
        <v>45036</v>
      </c>
      <c r="E423" s="2">
        <v>3189</v>
      </c>
    </row>
    <row r="424" spans="1:5" x14ac:dyDescent="0.3">
      <c r="A424" t="s">
        <v>22</v>
      </c>
      <c r="B424" t="s">
        <v>21</v>
      </c>
      <c r="C424" t="s">
        <v>28</v>
      </c>
      <c r="D424" s="3">
        <v>45036</v>
      </c>
      <c r="E424" s="2">
        <v>13089</v>
      </c>
    </row>
    <row r="425" spans="1:5" x14ac:dyDescent="0.3">
      <c r="A425" t="s">
        <v>5</v>
      </c>
      <c r="B425" t="s">
        <v>11</v>
      </c>
      <c r="C425" t="s">
        <v>28</v>
      </c>
      <c r="D425" s="3">
        <v>45036</v>
      </c>
      <c r="E425" s="2">
        <v>1925</v>
      </c>
    </row>
    <row r="426" spans="1:5" x14ac:dyDescent="0.3">
      <c r="A426" t="s">
        <v>32</v>
      </c>
      <c r="B426" t="s">
        <v>16</v>
      </c>
      <c r="C426" t="s">
        <v>12</v>
      </c>
      <c r="D426" s="3">
        <v>45036</v>
      </c>
      <c r="E426" s="2">
        <v>8919</v>
      </c>
    </row>
    <row r="427" spans="1:5" x14ac:dyDescent="0.3">
      <c r="A427" t="s">
        <v>5</v>
      </c>
      <c r="B427" t="s">
        <v>13</v>
      </c>
      <c r="C427" t="s">
        <v>23</v>
      </c>
      <c r="D427" s="3">
        <v>45037</v>
      </c>
      <c r="E427" s="2">
        <v>10894</v>
      </c>
    </row>
    <row r="428" spans="1:5" x14ac:dyDescent="0.3">
      <c r="A428" t="s">
        <v>27</v>
      </c>
      <c r="B428" t="s">
        <v>9</v>
      </c>
      <c r="C428" t="s">
        <v>25</v>
      </c>
      <c r="D428" s="3">
        <v>45037</v>
      </c>
      <c r="E428" s="2">
        <v>8614</v>
      </c>
    </row>
    <row r="429" spans="1:5" x14ac:dyDescent="0.3">
      <c r="A429" t="s">
        <v>22</v>
      </c>
      <c r="B429" t="s">
        <v>6</v>
      </c>
      <c r="C429" t="s">
        <v>7</v>
      </c>
      <c r="D429" s="3">
        <v>45037</v>
      </c>
      <c r="E429" s="2">
        <v>6852</v>
      </c>
    </row>
    <row r="430" spans="1:5" x14ac:dyDescent="0.3">
      <c r="A430" t="s">
        <v>29</v>
      </c>
      <c r="B430" t="s">
        <v>11</v>
      </c>
      <c r="C430" t="s">
        <v>12</v>
      </c>
      <c r="D430" s="3">
        <v>45037</v>
      </c>
      <c r="E430" s="2">
        <v>6973</v>
      </c>
    </row>
    <row r="431" spans="1:5" x14ac:dyDescent="0.3">
      <c r="A431" t="s">
        <v>10</v>
      </c>
      <c r="B431" t="s">
        <v>21</v>
      </c>
      <c r="C431" t="s">
        <v>14</v>
      </c>
      <c r="D431" s="3">
        <v>45038</v>
      </c>
      <c r="E431" s="2">
        <v>3940</v>
      </c>
    </row>
    <row r="432" spans="1:5" x14ac:dyDescent="0.3">
      <c r="A432" t="s">
        <v>29</v>
      </c>
      <c r="B432" t="s">
        <v>11</v>
      </c>
      <c r="C432" t="s">
        <v>12</v>
      </c>
      <c r="D432" s="3">
        <v>45038</v>
      </c>
      <c r="E432" s="2">
        <v>3564</v>
      </c>
    </row>
    <row r="433" spans="1:5" x14ac:dyDescent="0.3">
      <c r="A433" t="s">
        <v>30</v>
      </c>
      <c r="B433" t="s">
        <v>21</v>
      </c>
      <c r="C433" t="s">
        <v>14</v>
      </c>
      <c r="D433" s="3">
        <v>45039</v>
      </c>
      <c r="E433" s="2">
        <v>13257</v>
      </c>
    </row>
    <row r="434" spans="1:5" x14ac:dyDescent="0.3">
      <c r="A434" t="s">
        <v>33</v>
      </c>
      <c r="B434" t="s">
        <v>21</v>
      </c>
      <c r="C434" t="s">
        <v>14</v>
      </c>
      <c r="D434" s="3">
        <v>45039</v>
      </c>
      <c r="E434" s="2">
        <v>5597</v>
      </c>
    </row>
    <row r="435" spans="1:5" x14ac:dyDescent="0.3">
      <c r="A435" t="s">
        <v>30</v>
      </c>
      <c r="B435" t="s">
        <v>9</v>
      </c>
      <c r="C435" t="s">
        <v>7</v>
      </c>
      <c r="D435" s="3">
        <v>45039</v>
      </c>
      <c r="E435" s="2">
        <v>7403</v>
      </c>
    </row>
    <row r="436" spans="1:5" x14ac:dyDescent="0.3">
      <c r="A436" t="s">
        <v>33</v>
      </c>
      <c r="B436" t="s">
        <v>9</v>
      </c>
      <c r="C436" t="s">
        <v>7</v>
      </c>
      <c r="D436" s="3">
        <v>45039</v>
      </c>
      <c r="E436" s="2">
        <v>4281</v>
      </c>
    </row>
    <row r="437" spans="1:5" x14ac:dyDescent="0.3">
      <c r="A437" t="s">
        <v>8</v>
      </c>
      <c r="B437" t="s">
        <v>16</v>
      </c>
      <c r="C437" t="s">
        <v>17</v>
      </c>
      <c r="D437" s="3">
        <v>45039</v>
      </c>
      <c r="E437" s="2">
        <v>4659</v>
      </c>
    </row>
    <row r="438" spans="1:5" x14ac:dyDescent="0.3">
      <c r="A438" t="s">
        <v>18</v>
      </c>
      <c r="B438" t="s">
        <v>21</v>
      </c>
      <c r="C438" t="s">
        <v>14</v>
      </c>
      <c r="D438" s="3">
        <v>45040</v>
      </c>
      <c r="E438" s="2">
        <v>6608</v>
      </c>
    </row>
    <row r="439" spans="1:5" x14ac:dyDescent="0.3">
      <c r="A439" t="s">
        <v>20</v>
      </c>
      <c r="B439" t="s">
        <v>21</v>
      </c>
      <c r="C439" t="s">
        <v>14</v>
      </c>
      <c r="D439" s="3">
        <v>45040</v>
      </c>
      <c r="E439" s="2">
        <v>4986</v>
      </c>
    </row>
    <row r="440" spans="1:5" x14ac:dyDescent="0.3">
      <c r="A440" t="s">
        <v>33</v>
      </c>
      <c r="B440" t="s">
        <v>21</v>
      </c>
      <c r="C440" t="s">
        <v>23</v>
      </c>
      <c r="D440" s="3">
        <v>45040</v>
      </c>
      <c r="E440" s="2">
        <v>12286</v>
      </c>
    </row>
    <row r="441" spans="1:5" x14ac:dyDescent="0.3">
      <c r="A441" t="s">
        <v>26</v>
      </c>
      <c r="B441" t="s">
        <v>11</v>
      </c>
      <c r="C441" t="s">
        <v>25</v>
      </c>
      <c r="D441" s="3">
        <v>45040</v>
      </c>
      <c r="E441" s="2">
        <v>7873</v>
      </c>
    </row>
    <row r="442" spans="1:5" x14ac:dyDescent="0.3">
      <c r="A442" t="s">
        <v>29</v>
      </c>
      <c r="B442" t="s">
        <v>13</v>
      </c>
      <c r="C442" t="s">
        <v>7</v>
      </c>
      <c r="D442" s="3">
        <v>45040</v>
      </c>
      <c r="E442" s="2">
        <v>13889</v>
      </c>
    </row>
    <row r="443" spans="1:5" x14ac:dyDescent="0.3">
      <c r="A443" t="s">
        <v>18</v>
      </c>
      <c r="B443" t="s">
        <v>11</v>
      </c>
      <c r="C443" t="s">
        <v>12</v>
      </c>
      <c r="D443" s="3">
        <v>45040</v>
      </c>
      <c r="E443" s="2">
        <v>8855</v>
      </c>
    </row>
    <row r="444" spans="1:5" x14ac:dyDescent="0.3">
      <c r="A444" t="s">
        <v>22</v>
      </c>
      <c r="B444" t="s">
        <v>11</v>
      </c>
      <c r="C444" t="s">
        <v>14</v>
      </c>
      <c r="D444" s="3">
        <v>45041</v>
      </c>
      <c r="E444" s="2">
        <v>3162</v>
      </c>
    </row>
    <row r="445" spans="1:5" x14ac:dyDescent="0.3">
      <c r="A445" t="s">
        <v>30</v>
      </c>
      <c r="B445" t="s">
        <v>13</v>
      </c>
      <c r="C445" t="s">
        <v>19</v>
      </c>
      <c r="D445" s="3">
        <v>45041</v>
      </c>
      <c r="E445" s="2">
        <v>5710</v>
      </c>
    </row>
    <row r="446" spans="1:5" x14ac:dyDescent="0.3">
      <c r="A446" t="s">
        <v>31</v>
      </c>
      <c r="B446" t="s">
        <v>11</v>
      </c>
      <c r="C446" t="s">
        <v>7</v>
      </c>
      <c r="D446" s="3">
        <v>45041</v>
      </c>
      <c r="E446" s="2">
        <v>2594</v>
      </c>
    </row>
    <row r="447" spans="1:5" x14ac:dyDescent="0.3">
      <c r="A447" t="s">
        <v>22</v>
      </c>
      <c r="B447" t="s">
        <v>21</v>
      </c>
      <c r="C447" t="s">
        <v>23</v>
      </c>
      <c r="D447" s="3">
        <v>45042</v>
      </c>
      <c r="E447" s="2">
        <v>9319</v>
      </c>
    </row>
    <row r="448" spans="1:5" x14ac:dyDescent="0.3">
      <c r="A448" t="s">
        <v>20</v>
      </c>
      <c r="B448" t="s">
        <v>13</v>
      </c>
      <c r="C448" t="s">
        <v>23</v>
      </c>
      <c r="D448" s="3">
        <v>45042</v>
      </c>
      <c r="E448" s="2">
        <v>10961</v>
      </c>
    </row>
    <row r="449" spans="1:5" x14ac:dyDescent="0.3">
      <c r="A449" t="s">
        <v>5</v>
      </c>
      <c r="B449" t="s">
        <v>21</v>
      </c>
      <c r="C449" t="s">
        <v>23</v>
      </c>
      <c r="D449" s="3">
        <v>45042</v>
      </c>
      <c r="E449" s="2">
        <v>1513</v>
      </c>
    </row>
    <row r="450" spans="1:5" x14ac:dyDescent="0.3">
      <c r="A450" t="s">
        <v>32</v>
      </c>
      <c r="B450" t="s">
        <v>16</v>
      </c>
      <c r="C450" t="s">
        <v>28</v>
      </c>
      <c r="D450" s="3">
        <v>45042</v>
      </c>
      <c r="E450" s="2">
        <v>12370</v>
      </c>
    </row>
    <row r="451" spans="1:5" x14ac:dyDescent="0.3">
      <c r="A451" t="s">
        <v>32</v>
      </c>
      <c r="B451" t="s">
        <v>6</v>
      </c>
      <c r="C451" t="s">
        <v>17</v>
      </c>
      <c r="D451" s="3">
        <v>45042</v>
      </c>
      <c r="E451" s="2">
        <v>13926</v>
      </c>
    </row>
    <row r="452" spans="1:5" x14ac:dyDescent="0.3">
      <c r="A452" t="s">
        <v>26</v>
      </c>
      <c r="B452" t="s">
        <v>21</v>
      </c>
      <c r="C452" t="s">
        <v>14</v>
      </c>
      <c r="D452" s="3">
        <v>45043</v>
      </c>
      <c r="E452" s="2">
        <v>1437</v>
      </c>
    </row>
    <row r="453" spans="1:5" x14ac:dyDescent="0.3">
      <c r="A453" t="s">
        <v>31</v>
      </c>
      <c r="B453" t="s">
        <v>16</v>
      </c>
      <c r="C453" t="s">
        <v>19</v>
      </c>
      <c r="D453" s="3">
        <v>45043</v>
      </c>
      <c r="E453" s="2">
        <v>6321</v>
      </c>
    </row>
    <row r="454" spans="1:5" x14ac:dyDescent="0.3">
      <c r="A454" t="s">
        <v>15</v>
      </c>
      <c r="B454" t="s">
        <v>13</v>
      </c>
      <c r="C454" t="s">
        <v>19</v>
      </c>
      <c r="D454" s="3">
        <v>45043</v>
      </c>
      <c r="E454" s="2">
        <v>13741</v>
      </c>
    </row>
    <row r="455" spans="1:5" x14ac:dyDescent="0.3">
      <c r="A455" t="s">
        <v>18</v>
      </c>
      <c r="B455" t="s">
        <v>9</v>
      </c>
      <c r="C455" t="s">
        <v>17</v>
      </c>
      <c r="D455" s="3">
        <v>45044</v>
      </c>
      <c r="E455" s="2">
        <v>11827</v>
      </c>
    </row>
    <row r="456" spans="1:5" x14ac:dyDescent="0.3">
      <c r="A456" t="s">
        <v>31</v>
      </c>
      <c r="B456" t="s">
        <v>6</v>
      </c>
      <c r="C456" t="s">
        <v>14</v>
      </c>
      <c r="D456" s="3">
        <v>45045</v>
      </c>
      <c r="E456" s="2">
        <v>5070</v>
      </c>
    </row>
    <row r="457" spans="1:5" x14ac:dyDescent="0.3">
      <c r="A457" t="s">
        <v>31</v>
      </c>
      <c r="B457" t="s">
        <v>6</v>
      </c>
      <c r="C457" t="s">
        <v>19</v>
      </c>
      <c r="D457" s="3">
        <v>45045</v>
      </c>
      <c r="E457" s="2">
        <v>12026</v>
      </c>
    </row>
    <row r="458" spans="1:5" x14ac:dyDescent="0.3">
      <c r="A458" t="s">
        <v>22</v>
      </c>
      <c r="B458" t="s">
        <v>16</v>
      </c>
      <c r="C458" t="s">
        <v>23</v>
      </c>
      <c r="D458" s="3">
        <v>45045</v>
      </c>
      <c r="E458" s="2">
        <v>12315</v>
      </c>
    </row>
    <row r="459" spans="1:5" x14ac:dyDescent="0.3">
      <c r="A459" t="s">
        <v>26</v>
      </c>
      <c r="B459" t="s">
        <v>6</v>
      </c>
      <c r="C459" t="s">
        <v>28</v>
      </c>
      <c r="D459" s="3">
        <v>45045</v>
      </c>
      <c r="E459" s="2">
        <v>11719</v>
      </c>
    </row>
    <row r="460" spans="1:5" x14ac:dyDescent="0.3">
      <c r="A460" t="s">
        <v>15</v>
      </c>
      <c r="B460" t="s">
        <v>16</v>
      </c>
      <c r="C460" t="s">
        <v>7</v>
      </c>
      <c r="D460" s="3">
        <v>45046</v>
      </c>
      <c r="E460" s="2">
        <v>1105</v>
      </c>
    </row>
    <row r="461" spans="1:5" x14ac:dyDescent="0.3">
      <c r="A461" t="s">
        <v>32</v>
      </c>
      <c r="B461" t="s">
        <v>6</v>
      </c>
      <c r="C461" t="s">
        <v>28</v>
      </c>
      <c r="D461" s="3">
        <v>45046</v>
      </c>
      <c r="E461" s="2">
        <v>4373</v>
      </c>
    </row>
    <row r="462" spans="1:5" x14ac:dyDescent="0.3">
      <c r="A462" t="s">
        <v>26</v>
      </c>
      <c r="B462" t="s">
        <v>11</v>
      </c>
      <c r="C462" t="s">
        <v>28</v>
      </c>
      <c r="D462" s="3">
        <v>45046</v>
      </c>
      <c r="E462" s="2">
        <v>5292</v>
      </c>
    </row>
    <row r="463" spans="1:5" x14ac:dyDescent="0.3">
      <c r="A463" t="s">
        <v>5</v>
      </c>
      <c r="B463" t="s">
        <v>13</v>
      </c>
      <c r="C463" t="s">
        <v>14</v>
      </c>
      <c r="D463" s="3">
        <v>45047</v>
      </c>
      <c r="E463" s="2">
        <v>2471</v>
      </c>
    </row>
    <row r="464" spans="1:5" x14ac:dyDescent="0.3">
      <c r="A464" t="s">
        <v>15</v>
      </c>
      <c r="B464" t="s">
        <v>9</v>
      </c>
      <c r="C464" t="s">
        <v>23</v>
      </c>
      <c r="D464" s="3">
        <v>45047</v>
      </c>
      <c r="E464" s="2">
        <v>8191</v>
      </c>
    </row>
    <row r="465" spans="1:5" x14ac:dyDescent="0.3">
      <c r="A465" t="s">
        <v>18</v>
      </c>
      <c r="B465" t="s">
        <v>16</v>
      </c>
      <c r="C465" t="s">
        <v>7</v>
      </c>
      <c r="D465" s="3">
        <v>45047</v>
      </c>
      <c r="E465" s="2">
        <v>3772</v>
      </c>
    </row>
    <row r="466" spans="1:5" x14ac:dyDescent="0.3">
      <c r="A466" t="s">
        <v>24</v>
      </c>
      <c r="B466" t="s">
        <v>16</v>
      </c>
      <c r="C466" t="s">
        <v>19</v>
      </c>
      <c r="D466" s="3">
        <v>45048</v>
      </c>
      <c r="E466" s="2">
        <v>13256</v>
      </c>
    </row>
    <row r="467" spans="1:5" x14ac:dyDescent="0.3">
      <c r="A467" t="s">
        <v>24</v>
      </c>
      <c r="B467" t="s">
        <v>6</v>
      </c>
      <c r="C467" t="s">
        <v>28</v>
      </c>
      <c r="D467" s="3">
        <v>45048</v>
      </c>
      <c r="E467" s="2">
        <v>6065</v>
      </c>
    </row>
    <row r="468" spans="1:5" x14ac:dyDescent="0.3">
      <c r="A468" t="s">
        <v>18</v>
      </c>
      <c r="B468" t="s">
        <v>6</v>
      </c>
      <c r="C468" t="s">
        <v>17</v>
      </c>
      <c r="D468" s="3">
        <v>45048</v>
      </c>
      <c r="E468" s="2">
        <v>7922</v>
      </c>
    </row>
    <row r="469" spans="1:5" x14ac:dyDescent="0.3">
      <c r="A469" t="s">
        <v>5</v>
      </c>
      <c r="B469" t="s">
        <v>13</v>
      </c>
      <c r="C469" t="s">
        <v>14</v>
      </c>
      <c r="D469" s="3">
        <v>45049</v>
      </c>
      <c r="E469" s="2">
        <v>12630</v>
      </c>
    </row>
    <row r="470" spans="1:5" x14ac:dyDescent="0.3">
      <c r="A470" t="s">
        <v>27</v>
      </c>
      <c r="B470" t="s">
        <v>16</v>
      </c>
      <c r="C470" t="s">
        <v>28</v>
      </c>
      <c r="D470" s="3">
        <v>45049</v>
      </c>
      <c r="E470" s="2">
        <v>11610</v>
      </c>
    </row>
    <row r="471" spans="1:5" x14ac:dyDescent="0.3">
      <c r="A471" t="s">
        <v>18</v>
      </c>
      <c r="B471" t="s">
        <v>21</v>
      </c>
      <c r="C471" t="s">
        <v>17</v>
      </c>
      <c r="D471" s="3">
        <v>45049</v>
      </c>
      <c r="E471" s="2">
        <v>6851</v>
      </c>
    </row>
    <row r="472" spans="1:5" x14ac:dyDescent="0.3">
      <c r="A472" t="s">
        <v>10</v>
      </c>
      <c r="B472" t="s">
        <v>6</v>
      </c>
      <c r="C472" t="s">
        <v>17</v>
      </c>
      <c r="D472" s="3">
        <v>45049</v>
      </c>
      <c r="E472" s="2">
        <v>6969</v>
      </c>
    </row>
    <row r="473" spans="1:5" x14ac:dyDescent="0.3">
      <c r="A473" t="s">
        <v>10</v>
      </c>
      <c r="B473" t="s">
        <v>9</v>
      </c>
      <c r="C473" t="s">
        <v>14</v>
      </c>
      <c r="D473" s="3">
        <v>45050</v>
      </c>
      <c r="E473" s="2">
        <v>5900</v>
      </c>
    </row>
    <row r="474" spans="1:5" x14ac:dyDescent="0.3">
      <c r="A474" t="s">
        <v>24</v>
      </c>
      <c r="B474" t="s">
        <v>13</v>
      </c>
      <c r="C474" t="s">
        <v>23</v>
      </c>
      <c r="D474" s="3">
        <v>45050</v>
      </c>
      <c r="E474" s="2">
        <v>8352</v>
      </c>
    </row>
    <row r="475" spans="1:5" x14ac:dyDescent="0.3">
      <c r="A475" t="s">
        <v>20</v>
      </c>
      <c r="B475" t="s">
        <v>13</v>
      </c>
      <c r="C475" t="s">
        <v>7</v>
      </c>
      <c r="D475" s="3">
        <v>45050</v>
      </c>
      <c r="E475" s="2">
        <v>7223</v>
      </c>
    </row>
    <row r="476" spans="1:5" x14ac:dyDescent="0.3">
      <c r="A476" t="s">
        <v>29</v>
      </c>
      <c r="B476" t="s">
        <v>6</v>
      </c>
      <c r="C476" t="s">
        <v>7</v>
      </c>
      <c r="D476" s="3">
        <v>45050</v>
      </c>
      <c r="E476" s="2">
        <v>11227</v>
      </c>
    </row>
    <row r="477" spans="1:5" x14ac:dyDescent="0.3">
      <c r="A477" t="s">
        <v>22</v>
      </c>
      <c r="B477" t="s">
        <v>21</v>
      </c>
      <c r="C477" t="s">
        <v>28</v>
      </c>
      <c r="D477" s="3">
        <v>45050</v>
      </c>
      <c r="E477" s="2">
        <v>13522</v>
      </c>
    </row>
    <row r="478" spans="1:5" x14ac:dyDescent="0.3">
      <c r="A478" t="s">
        <v>24</v>
      </c>
      <c r="B478" t="s">
        <v>11</v>
      </c>
      <c r="C478" t="s">
        <v>28</v>
      </c>
      <c r="D478" s="3">
        <v>45050</v>
      </c>
      <c r="E478" s="2">
        <v>8027</v>
      </c>
    </row>
    <row r="479" spans="1:5" x14ac:dyDescent="0.3">
      <c r="A479" t="s">
        <v>27</v>
      </c>
      <c r="B479" t="s">
        <v>13</v>
      </c>
      <c r="C479" t="s">
        <v>17</v>
      </c>
      <c r="D479" s="3">
        <v>45050</v>
      </c>
      <c r="E479" s="2">
        <v>6802</v>
      </c>
    </row>
    <row r="480" spans="1:5" x14ac:dyDescent="0.3">
      <c r="A480" t="s">
        <v>15</v>
      </c>
      <c r="B480" t="s">
        <v>11</v>
      </c>
      <c r="C480" t="s">
        <v>19</v>
      </c>
      <c r="D480" s="3">
        <v>45051</v>
      </c>
      <c r="E480" s="2">
        <v>5319</v>
      </c>
    </row>
    <row r="481" spans="1:5" x14ac:dyDescent="0.3">
      <c r="A481" t="s">
        <v>26</v>
      </c>
      <c r="B481" t="s">
        <v>9</v>
      </c>
      <c r="C481" t="s">
        <v>28</v>
      </c>
      <c r="D481" s="3">
        <v>45051</v>
      </c>
      <c r="E481" s="2">
        <v>2147</v>
      </c>
    </row>
    <row r="482" spans="1:5" x14ac:dyDescent="0.3">
      <c r="A482" t="s">
        <v>30</v>
      </c>
      <c r="B482" t="s">
        <v>6</v>
      </c>
      <c r="C482" t="s">
        <v>28</v>
      </c>
      <c r="D482" s="3">
        <v>45051</v>
      </c>
      <c r="E482" s="2">
        <v>7148</v>
      </c>
    </row>
    <row r="483" spans="1:5" x14ac:dyDescent="0.3">
      <c r="A483" t="s">
        <v>20</v>
      </c>
      <c r="B483" t="s">
        <v>11</v>
      </c>
      <c r="C483" t="s">
        <v>14</v>
      </c>
      <c r="D483" s="3">
        <v>45052</v>
      </c>
      <c r="E483" s="2">
        <v>8088</v>
      </c>
    </row>
    <row r="484" spans="1:5" x14ac:dyDescent="0.3">
      <c r="A484" t="s">
        <v>24</v>
      </c>
      <c r="B484" t="s">
        <v>11</v>
      </c>
      <c r="C484" t="s">
        <v>25</v>
      </c>
      <c r="D484" s="3">
        <v>45052</v>
      </c>
      <c r="E484" s="2">
        <v>5130</v>
      </c>
    </row>
    <row r="485" spans="1:5" x14ac:dyDescent="0.3">
      <c r="A485" t="s">
        <v>29</v>
      </c>
      <c r="B485" t="s">
        <v>13</v>
      </c>
      <c r="C485" t="s">
        <v>19</v>
      </c>
      <c r="D485" s="3">
        <v>45053</v>
      </c>
      <c r="E485" s="2">
        <v>1606</v>
      </c>
    </row>
    <row r="486" spans="1:5" x14ac:dyDescent="0.3">
      <c r="A486" t="s">
        <v>5</v>
      </c>
      <c r="B486" t="s">
        <v>21</v>
      </c>
      <c r="C486" t="s">
        <v>17</v>
      </c>
      <c r="D486" s="3">
        <v>45053</v>
      </c>
      <c r="E486" s="2">
        <v>2495</v>
      </c>
    </row>
    <row r="487" spans="1:5" x14ac:dyDescent="0.3">
      <c r="A487" t="s">
        <v>5</v>
      </c>
      <c r="B487" t="s">
        <v>11</v>
      </c>
      <c r="C487" t="s">
        <v>17</v>
      </c>
      <c r="D487" s="3">
        <v>45053</v>
      </c>
      <c r="E487" s="2">
        <v>9540</v>
      </c>
    </row>
    <row r="488" spans="1:5" x14ac:dyDescent="0.3">
      <c r="A488" t="s">
        <v>31</v>
      </c>
      <c r="B488" t="s">
        <v>16</v>
      </c>
      <c r="C488" t="s">
        <v>14</v>
      </c>
      <c r="D488" s="3">
        <v>45054</v>
      </c>
      <c r="E488" s="2">
        <v>7993</v>
      </c>
    </row>
    <row r="489" spans="1:5" x14ac:dyDescent="0.3">
      <c r="A489" t="s">
        <v>27</v>
      </c>
      <c r="B489" t="s">
        <v>6</v>
      </c>
      <c r="C489" t="s">
        <v>23</v>
      </c>
      <c r="D489" s="3">
        <v>45054</v>
      </c>
      <c r="E489" s="2">
        <v>1564</v>
      </c>
    </row>
    <row r="490" spans="1:5" x14ac:dyDescent="0.3">
      <c r="A490" t="s">
        <v>10</v>
      </c>
      <c r="B490" t="s">
        <v>9</v>
      </c>
      <c r="C490" t="s">
        <v>28</v>
      </c>
      <c r="D490" s="3">
        <v>45054</v>
      </c>
      <c r="E490" s="2">
        <v>11329</v>
      </c>
    </row>
    <row r="491" spans="1:5" x14ac:dyDescent="0.3">
      <c r="A491" t="s">
        <v>26</v>
      </c>
      <c r="B491" t="s">
        <v>6</v>
      </c>
      <c r="C491" t="s">
        <v>12</v>
      </c>
      <c r="D491" s="3">
        <v>45054</v>
      </c>
      <c r="E491" s="2">
        <v>12291</v>
      </c>
    </row>
    <row r="492" spans="1:5" x14ac:dyDescent="0.3">
      <c r="A492" t="s">
        <v>20</v>
      </c>
      <c r="B492" t="s">
        <v>6</v>
      </c>
      <c r="C492" t="s">
        <v>14</v>
      </c>
      <c r="D492" s="3">
        <v>45055</v>
      </c>
      <c r="E492" s="2">
        <v>8146</v>
      </c>
    </row>
    <row r="493" spans="1:5" x14ac:dyDescent="0.3">
      <c r="A493" t="s">
        <v>24</v>
      </c>
      <c r="B493" t="s">
        <v>13</v>
      </c>
      <c r="C493" t="s">
        <v>14</v>
      </c>
      <c r="D493" s="3">
        <v>45055</v>
      </c>
      <c r="E493" s="2">
        <v>6834</v>
      </c>
    </row>
    <row r="494" spans="1:5" x14ac:dyDescent="0.3">
      <c r="A494" t="s">
        <v>5</v>
      </c>
      <c r="B494" t="s">
        <v>6</v>
      </c>
      <c r="C494" t="s">
        <v>25</v>
      </c>
      <c r="D494" s="3">
        <v>45055</v>
      </c>
      <c r="E494" s="2">
        <v>8403</v>
      </c>
    </row>
    <row r="495" spans="1:5" x14ac:dyDescent="0.3">
      <c r="A495" t="s">
        <v>8</v>
      </c>
      <c r="B495" t="s">
        <v>9</v>
      </c>
      <c r="C495" t="s">
        <v>28</v>
      </c>
      <c r="D495" s="3">
        <v>45055</v>
      </c>
      <c r="E495" s="2">
        <v>1210</v>
      </c>
    </row>
    <row r="496" spans="1:5" x14ac:dyDescent="0.3">
      <c r="A496" t="s">
        <v>29</v>
      </c>
      <c r="B496" t="s">
        <v>13</v>
      </c>
      <c r="C496" t="s">
        <v>23</v>
      </c>
      <c r="D496" s="3">
        <v>45056</v>
      </c>
      <c r="E496" s="2">
        <v>4866</v>
      </c>
    </row>
    <row r="497" spans="1:5" x14ac:dyDescent="0.3">
      <c r="A497" t="s">
        <v>29</v>
      </c>
      <c r="B497" t="s">
        <v>9</v>
      </c>
      <c r="C497" t="s">
        <v>25</v>
      </c>
      <c r="D497" s="3">
        <v>45056</v>
      </c>
      <c r="E497" s="2">
        <v>10106</v>
      </c>
    </row>
    <row r="498" spans="1:5" x14ac:dyDescent="0.3">
      <c r="A498" t="s">
        <v>27</v>
      </c>
      <c r="B498" t="s">
        <v>9</v>
      </c>
      <c r="C498" t="s">
        <v>17</v>
      </c>
      <c r="D498" s="3">
        <v>45056</v>
      </c>
      <c r="E498" s="2">
        <v>1212</v>
      </c>
    </row>
    <row r="499" spans="1:5" x14ac:dyDescent="0.3">
      <c r="A499" t="s">
        <v>5</v>
      </c>
      <c r="B499" t="s">
        <v>21</v>
      </c>
      <c r="C499" t="s">
        <v>12</v>
      </c>
      <c r="D499" s="3">
        <v>45056</v>
      </c>
      <c r="E499" s="2">
        <v>4356</v>
      </c>
    </row>
    <row r="500" spans="1:5" x14ac:dyDescent="0.3">
      <c r="A500" t="s">
        <v>18</v>
      </c>
      <c r="B500" t="s">
        <v>16</v>
      </c>
      <c r="C500" t="s">
        <v>12</v>
      </c>
      <c r="D500" s="3">
        <v>45056</v>
      </c>
      <c r="E500" s="2">
        <v>10765</v>
      </c>
    </row>
    <row r="501" spans="1:5" x14ac:dyDescent="0.3">
      <c r="A501" t="s">
        <v>27</v>
      </c>
      <c r="B501" t="s">
        <v>9</v>
      </c>
      <c r="C501" t="s">
        <v>19</v>
      </c>
      <c r="D501" s="3">
        <v>45057</v>
      </c>
      <c r="E501" s="2">
        <v>13502</v>
      </c>
    </row>
    <row r="502" spans="1:5" x14ac:dyDescent="0.3">
      <c r="A502" t="s">
        <v>15</v>
      </c>
      <c r="B502" t="s">
        <v>9</v>
      </c>
      <c r="C502" t="s">
        <v>19</v>
      </c>
      <c r="D502" s="3">
        <v>45057</v>
      </c>
      <c r="E502" s="2">
        <v>3809</v>
      </c>
    </row>
    <row r="503" spans="1:5" x14ac:dyDescent="0.3">
      <c r="A503" t="s">
        <v>20</v>
      </c>
      <c r="B503" t="s">
        <v>16</v>
      </c>
      <c r="C503" t="s">
        <v>17</v>
      </c>
      <c r="D503" s="3">
        <v>45057</v>
      </c>
      <c r="E503" s="2">
        <v>1785</v>
      </c>
    </row>
    <row r="504" spans="1:5" x14ac:dyDescent="0.3">
      <c r="A504" t="s">
        <v>26</v>
      </c>
      <c r="B504" t="s">
        <v>16</v>
      </c>
      <c r="C504" t="s">
        <v>17</v>
      </c>
      <c r="D504" s="3">
        <v>45057</v>
      </c>
      <c r="E504" s="2">
        <v>13953</v>
      </c>
    </row>
    <row r="505" spans="1:5" x14ac:dyDescent="0.3">
      <c r="A505" t="s">
        <v>27</v>
      </c>
      <c r="B505" t="s">
        <v>21</v>
      </c>
      <c r="C505" t="s">
        <v>7</v>
      </c>
      <c r="D505" s="3">
        <v>45058</v>
      </c>
      <c r="E505" s="2">
        <v>1982</v>
      </c>
    </row>
    <row r="506" spans="1:5" x14ac:dyDescent="0.3">
      <c r="A506" t="s">
        <v>8</v>
      </c>
      <c r="B506" t="s">
        <v>9</v>
      </c>
      <c r="C506" t="s">
        <v>7</v>
      </c>
      <c r="D506" s="3">
        <v>45058</v>
      </c>
      <c r="E506" s="2">
        <v>3853</v>
      </c>
    </row>
    <row r="507" spans="1:5" x14ac:dyDescent="0.3">
      <c r="A507" t="s">
        <v>26</v>
      </c>
      <c r="B507" t="s">
        <v>16</v>
      </c>
      <c r="C507" t="s">
        <v>28</v>
      </c>
      <c r="D507" s="3">
        <v>45058</v>
      </c>
      <c r="E507" s="2">
        <v>12678</v>
      </c>
    </row>
    <row r="508" spans="1:5" x14ac:dyDescent="0.3">
      <c r="A508" t="s">
        <v>20</v>
      </c>
      <c r="B508" t="s">
        <v>16</v>
      </c>
      <c r="C508" t="s">
        <v>19</v>
      </c>
      <c r="D508" s="3">
        <v>45059</v>
      </c>
      <c r="E508" s="2">
        <v>8161</v>
      </c>
    </row>
    <row r="509" spans="1:5" x14ac:dyDescent="0.3">
      <c r="A509" t="s">
        <v>18</v>
      </c>
      <c r="B509" t="s">
        <v>11</v>
      </c>
      <c r="C509" t="s">
        <v>23</v>
      </c>
      <c r="D509" s="3">
        <v>45059</v>
      </c>
      <c r="E509" s="2">
        <v>2166</v>
      </c>
    </row>
    <row r="510" spans="1:5" x14ac:dyDescent="0.3">
      <c r="A510" t="s">
        <v>26</v>
      </c>
      <c r="B510" t="s">
        <v>6</v>
      </c>
      <c r="C510" t="s">
        <v>25</v>
      </c>
      <c r="D510" s="3">
        <v>45059</v>
      </c>
      <c r="E510" s="2">
        <v>10921</v>
      </c>
    </row>
    <row r="511" spans="1:5" x14ac:dyDescent="0.3">
      <c r="A511" t="s">
        <v>33</v>
      </c>
      <c r="B511" t="s">
        <v>6</v>
      </c>
      <c r="C511" t="s">
        <v>7</v>
      </c>
      <c r="D511" s="3">
        <v>45059</v>
      </c>
      <c r="E511" s="2">
        <v>6647</v>
      </c>
    </row>
    <row r="512" spans="1:5" x14ac:dyDescent="0.3">
      <c r="A512" t="s">
        <v>32</v>
      </c>
      <c r="B512" t="s">
        <v>9</v>
      </c>
      <c r="C512" t="s">
        <v>7</v>
      </c>
      <c r="D512" s="3">
        <v>45059</v>
      </c>
      <c r="E512" s="2">
        <v>3018</v>
      </c>
    </row>
    <row r="513" spans="1:5" x14ac:dyDescent="0.3">
      <c r="A513" t="s">
        <v>20</v>
      </c>
      <c r="B513" t="s">
        <v>9</v>
      </c>
      <c r="C513" t="s">
        <v>7</v>
      </c>
      <c r="D513" s="3">
        <v>45060</v>
      </c>
      <c r="E513" s="2">
        <v>2753</v>
      </c>
    </row>
    <row r="514" spans="1:5" x14ac:dyDescent="0.3">
      <c r="A514" t="s">
        <v>30</v>
      </c>
      <c r="B514" t="s">
        <v>21</v>
      </c>
      <c r="C514" t="s">
        <v>7</v>
      </c>
      <c r="D514" s="3">
        <v>45060</v>
      </c>
      <c r="E514" s="2">
        <v>11257</v>
      </c>
    </row>
    <row r="515" spans="1:5" x14ac:dyDescent="0.3">
      <c r="A515" t="s">
        <v>33</v>
      </c>
      <c r="B515" t="s">
        <v>6</v>
      </c>
      <c r="C515" t="s">
        <v>25</v>
      </c>
      <c r="D515" s="3">
        <v>45061</v>
      </c>
      <c r="E515" s="2">
        <v>4144</v>
      </c>
    </row>
    <row r="516" spans="1:5" x14ac:dyDescent="0.3">
      <c r="A516" t="s">
        <v>22</v>
      </c>
      <c r="B516" t="s">
        <v>13</v>
      </c>
      <c r="C516" t="s">
        <v>12</v>
      </c>
      <c r="D516" s="3">
        <v>45061</v>
      </c>
      <c r="E516" s="2">
        <v>7888</v>
      </c>
    </row>
    <row r="517" spans="1:5" x14ac:dyDescent="0.3">
      <c r="A517" t="s">
        <v>8</v>
      </c>
      <c r="B517" t="s">
        <v>11</v>
      </c>
      <c r="C517" t="s">
        <v>12</v>
      </c>
      <c r="D517" s="3">
        <v>45061</v>
      </c>
      <c r="E517" s="2">
        <v>6228</v>
      </c>
    </row>
    <row r="518" spans="1:5" x14ac:dyDescent="0.3">
      <c r="A518" t="s">
        <v>15</v>
      </c>
      <c r="B518" t="s">
        <v>11</v>
      </c>
      <c r="C518" t="s">
        <v>7</v>
      </c>
      <c r="D518" s="3">
        <v>45062</v>
      </c>
      <c r="E518" s="2">
        <v>3333</v>
      </c>
    </row>
    <row r="519" spans="1:5" x14ac:dyDescent="0.3">
      <c r="A519" t="s">
        <v>22</v>
      </c>
      <c r="B519" t="s">
        <v>21</v>
      </c>
      <c r="C519" t="s">
        <v>28</v>
      </c>
      <c r="D519" s="3">
        <v>45062</v>
      </c>
      <c r="E519" s="2">
        <v>1558</v>
      </c>
    </row>
    <row r="520" spans="1:5" x14ac:dyDescent="0.3">
      <c r="A520" t="s">
        <v>22</v>
      </c>
      <c r="B520" t="s">
        <v>21</v>
      </c>
      <c r="C520" t="s">
        <v>12</v>
      </c>
      <c r="D520" s="3">
        <v>45062</v>
      </c>
      <c r="E520" s="2">
        <v>12726</v>
      </c>
    </row>
    <row r="521" spans="1:5" x14ac:dyDescent="0.3">
      <c r="A521" t="s">
        <v>10</v>
      </c>
      <c r="B521" t="s">
        <v>21</v>
      </c>
      <c r="C521" t="s">
        <v>12</v>
      </c>
      <c r="D521" s="3">
        <v>45062</v>
      </c>
      <c r="E521" s="2">
        <v>9286</v>
      </c>
    </row>
    <row r="522" spans="1:5" x14ac:dyDescent="0.3">
      <c r="A522" t="s">
        <v>33</v>
      </c>
      <c r="B522" t="s">
        <v>21</v>
      </c>
      <c r="C522" t="s">
        <v>14</v>
      </c>
      <c r="D522" s="3">
        <v>45063</v>
      </c>
      <c r="E522" s="2">
        <v>4868</v>
      </c>
    </row>
    <row r="523" spans="1:5" x14ac:dyDescent="0.3">
      <c r="A523" t="s">
        <v>32</v>
      </c>
      <c r="B523" t="s">
        <v>9</v>
      </c>
      <c r="C523" t="s">
        <v>19</v>
      </c>
      <c r="D523" s="3">
        <v>45063</v>
      </c>
      <c r="E523" s="2">
        <v>10527</v>
      </c>
    </row>
    <row r="524" spans="1:5" x14ac:dyDescent="0.3">
      <c r="A524" t="s">
        <v>22</v>
      </c>
      <c r="B524" t="s">
        <v>11</v>
      </c>
      <c r="C524" t="s">
        <v>19</v>
      </c>
      <c r="D524" s="3">
        <v>45063</v>
      </c>
      <c r="E524" s="2">
        <v>10910</v>
      </c>
    </row>
    <row r="525" spans="1:5" x14ac:dyDescent="0.3">
      <c r="A525" t="s">
        <v>31</v>
      </c>
      <c r="B525" t="s">
        <v>21</v>
      </c>
      <c r="C525" t="s">
        <v>17</v>
      </c>
      <c r="D525" s="3">
        <v>45063</v>
      </c>
      <c r="E525" s="2">
        <v>10209</v>
      </c>
    </row>
    <row r="526" spans="1:5" x14ac:dyDescent="0.3">
      <c r="A526" t="s">
        <v>8</v>
      </c>
      <c r="B526" t="s">
        <v>13</v>
      </c>
      <c r="C526" t="s">
        <v>17</v>
      </c>
      <c r="D526" s="3">
        <v>45063</v>
      </c>
      <c r="E526" s="2">
        <v>13392</v>
      </c>
    </row>
    <row r="527" spans="1:5" x14ac:dyDescent="0.3">
      <c r="A527" t="s">
        <v>10</v>
      </c>
      <c r="B527" t="s">
        <v>21</v>
      </c>
      <c r="C527" t="s">
        <v>14</v>
      </c>
      <c r="D527" s="3">
        <v>45064</v>
      </c>
      <c r="E527" s="2">
        <v>4567</v>
      </c>
    </row>
    <row r="528" spans="1:5" x14ac:dyDescent="0.3">
      <c r="A528" t="s">
        <v>30</v>
      </c>
      <c r="B528" t="s">
        <v>9</v>
      </c>
      <c r="C528" t="s">
        <v>7</v>
      </c>
      <c r="D528" s="3">
        <v>45064</v>
      </c>
      <c r="E528" s="2">
        <v>11788</v>
      </c>
    </row>
    <row r="529" spans="1:5" x14ac:dyDescent="0.3">
      <c r="A529" t="s">
        <v>31</v>
      </c>
      <c r="B529" t="s">
        <v>9</v>
      </c>
      <c r="C529" t="s">
        <v>17</v>
      </c>
      <c r="D529" s="3">
        <v>45064</v>
      </c>
      <c r="E529" s="2">
        <v>8850</v>
      </c>
    </row>
    <row r="530" spans="1:5" x14ac:dyDescent="0.3">
      <c r="A530" t="s">
        <v>27</v>
      </c>
      <c r="B530" t="s">
        <v>13</v>
      </c>
      <c r="C530" t="s">
        <v>25</v>
      </c>
      <c r="D530" s="3">
        <v>45065</v>
      </c>
      <c r="E530" s="2">
        <v>2478</v>
      </c>
    </row>
    <row r="531" spans="1:5" x14ac:dyDescent="0.3">
      <c r="A531" t="s">
        <v>24</v>
      </c>
      <c r="B531" t="s">
        <v>9</v>
      </c>
      <c r="C531" t="s">
        <v>14</v>
      </c>
      <c r="D531" s="3">
        <v>45066</v>
      </c>
      <c r="E531" s="2">
        <v>11047</v>
      </c>
    </row>
    <row r="532" spans="1:5" x14ac:dyDescent="0.3">
      <c r="A532" t="s">
        <v>20</v>
      </c>
      <c r="B532" t="s">
        <v>9</v>
      </c>
      <c r="C532" t="s">
        <v>14</v>
      </c>
      <c r="D532" s="3">
        <v>45066</v>
      </c>
      <c r="E532" s="2">
        <v>7989</v>
      </c>
    </row>
    <row r="533" spans="1:5" x14ac:dyDescent="0.3">
      <c r="A533" t="s">
        <v>22</v>
      </c>
      <c r="B533" t="s">
        <v>21</v>
      </c>
      <c r="C533" t="s">
        <v>25</v>
      </c>
      <c r="D533" s="3">
        <v>45066</v>
      </c>
      <c r="E533" s="2">
        <v>10732</v>
      </c>
    </row>
    <row r="534" spans="1:5" x14ac:dyDescent="0.3">
      <c r="A534" t="s">
        <v>8</v>
      </c>
      <c r="B534" t="s">
        <v>21</v>
      </c>
      <c r="C534" t="s">
        <v>25</v>
      </c>
      <c r="D534" s="3">
        <v>45066</v>
      </c>
      <c r="E534" s="2">
        <v>2080</v>
      </c>
    </row>
    <row r="535" spans="1:5" x14ac:dyDescent="0.3">
      <c r="A535" t="s">
        <v>22</v>
      </c>
      <c r="B535" t="s">
        <v>21</v>
      </c>
      <c r="C535" t="s">
        <v>28</v>
      </c>
      <c r="D535" s="3">
        <v>45067</v>
      </c>
      <c r="E535" s="2">
        <v>3624</v>
      </c>
    </row>
    <row r="536" spans="1:5" x14ac:dyDescent="0.3">
      <c r="A536" t="s">
        <v>8</v>
      </c>
      <c r="B536" t="s">
        <v>11</v>
      </c>
      <c r="C536" t="s">
        <v>19</v>
      </c>
      <c r="D536" s="3">
        <v>45068</v>
      </c>
      <c r="E536" s="2">
        <v>2584</v>
      </c>
    </row>
    <row r="537" spans="1:5" x14ac:dyDescent="0.3">
      <c r="A537" t="s">
        <v>24</v>
      </c>
      <c r="B537" t="s">
        <v>11</v>
      </c>
      <c r="C537" t="s">
        <v>28</v>
      </c>
      <c r="D537" s="3">
        <v>45068</v>
      </c>
      <c r="E537" s="2">
        <v>4641</v>
      </c>
    </row>
    <row r="538" spans="1:5" x14ac:dyDescent="0.3">
      <c r="A538" t="s">
        <v>24</v>
      </c>
      <c r="B538" t="s">
        <v>9</v>
      </c>
      <c r="C538" t="s">
        <v>14</v>
      </c>
      <c r="D538" s="3">
        <v>45069</v>
      </c>
      <c r="E538" s="2">
        <v>9683</v>
      </c>
    </row>
    <row r="539" spans="1:5" x14ac:dyDescent="0.3">
      <c r="A539" t="s">
        <v>33</v>
      </c>
      <c r="B539" t="s">
        <v>13</v>
      </c>
      <c r="C539" t="s">
        <v>19</v>
      </c>
      <c r="D539" s="3">
        <v>45069</v>
      </c>
      <c r="E539" s="2">
        <v>9975</v>
      </c>
    </row>
    <row r="540" spans="1:5" x14ac:dyDescent="0.3">
      <c r="A540" t="s">
        <v>26</v>
      </c>
      <c r="B540" t="s">
        <v>16</v>
      </c>
      <c r="C540" t="s">
        <v>23</v>
      </c>
      <c r="D540" s="3">
        <v>45069</v>
      </c>
      <c r="E540" s="2">
        <v>4924</v>
      </c>
    </row>
    <row r="541" spans="1:5" x14ac:dyDescent="0.3">
      <c r="A541" t="s">
        <v>33</v>
      </c>
      <c r="B541" t="s">
        <v>11</v>
      </c>
      <c r="C541" t="s">
        <v>25</v>
      </c>
      <c r="D541" s="3">
        <v>45069</v>
      </c>
      <c r="E541" s="2">
        <v>3757</v>
      </c>
    </row>
    <row r="542" spans="1:5" x14ac:dyDescent="0.3">
      <c r="A542" t="s">
        <v>22</v>
      </c>
      <c r="B542" t="s">
        <v>11</v>
      </c>
      <c r="C542" t="s">
        <v>25</v>
      </c>
      <c r="D542" s="3">
        <v>45069</v>
      </c>
      <c r="E542" s="2">
        <v>7310</v>
      </c>
    </row>
    <row r="543" spans="1:5" x14ac:dyDescent="0.3">
      <c r="A543" t="s">
        <v>20</v>
      </c>
      <c r="B543" t="s">
        <v>21</v>
      </c>
      <c r="C543" t="s">
        <v>17</v>
      </c>
      <c r="D543" s="3">
        <v>45069</v>
      </c>
      <c r="E543" s="2">
        <v>11484</v>
      </c>
    </row>
    <row r="544" spans="1:5" x14ac:dyDescent="0.3">
      <c r="A544" t="s">
        <v>24</v>
      </c>
      <c r="B544" t="s">
        <v>9</v>
      </c>
      <c r="C544" t="s">
        <v>19</v>
      </c>
      <c r="D544" s="3">
        <v>45070</v>
      </c>
      <c r="E544" s="2">
        <v>2182</v>
      </c>
    </row>
    <row r="545" spans="1:5" x14ac:dyDescent="0.3">
      <c r="A545" t="s">
        <v>20</v>
      </c>
      <c r="B545" t="s">
        <v>9</v>
      </c>
      <c r="C545" t="s">
        <v>7</v>
      </c>
      <c r="D545" s="3">
        <v>45070</v>
      </c>
      <c r="E545" s="2">
        <v>2917</v>
      </c>
    </row>
    <row r="546" spans="1:5" x14ac:dyDescent="0.3">
      <c r="A546" t="s">
        <v>24</v>
      </c>
      <c r="B546" t="s">
        <v>21</v>
      </c>
      <c r="C546" t="s">
        <v>17</v>
      </c>
      <c r="D546" s="3">
        <v>45070</v>
      </c>
      <c r="E546" s="2">
        <v>9219</v>
      </c>
    </row>
    <row r="547" spans="1:5" x14ac:dyDescent="0.3">
      <c r="A547" t="s">
        <v>29</v>
      </c>
      <c r="B547" t="s">
        <v>13</v>
      </c>
      <c r="C547" t="s">
        <v>12</v>
      </c>
      <c r="D547" s="3">
        <v>45070</v>
      </c>
      <c r="E547" s="2">
        <v>10807</v>
      </c>
    </row>
    <row r="548" spans="1:5" x14ac:dyDescent="0.3">
      <c r="A548" t="s">
        <v>31</v>
      </c>
      <c r="B548" t="s">
        <v>21</v>
      </c>
      <c r="C548" t="s">
        <v>25</v>
      </c>
      <c r="D548" s="3">
        <v>45071</v>
      </c>
      <c r="E548" s="2">
        <v>1582</v>
      </c>
    </row>
    <row r="549" spans="1:5" x14ac:dyDescent="0.3">
      <c r="A549" t="s">
        <v>18</v>
      </c>
      <c r="B549" t="s">
        <v>16</v>
      </c>
      <c r="C549" t="s">
        <v>28</v>
      </c>
      <c r="D549" s="3">
        <v>45072</v>
      </c>
      <c r="E549" s="2">
        <v>5974</v>
      </c>
    </row>
    <row r="550" spans="1:5" x14ac:dyDescent="0.3">
      <c r="A550" t="s">
        <v>26</v>
      </c>
      <c r="B550" t="s">
        <v>9</v>
      </c>
      <c r="C550" t="s">
        <v>17</v>
      </c>
      <c r="D550" s="3">
        <v>45072</v>
      </c>
      <c r="E550" s="2">
        <v>4310</v>
      </c>
    </row>
    <row r="551" spans="1:5" x14ac:dyDescent="0.3">
      <c r="A551" t="s">
        <v>33</v>
      </c>
      <c r="B551" t="s">
        <v>21</v>
      </c>
      <c r="C551" t="s">
        <v>12</v>
      </c>
      <c r="D551" s="3">
        <v>45072</v>
      </c>
      <c r="E551" s="2">
        <v>11190</v>
      </c>
    </row>
    <row r="552" spans="1:5" x14ac:dyDescent="0.3">
      <c r="A552" t="s">
        <v>24</v>
      </c>
      <c r="B552" t="s">
        <v>13</v>
      </c>
      <c r="C552" t="s">
        <v>12</v>
      </c>
      <c r="D552" s="3">
        <v>45072</v>
      </c>
      <c r="E552" s="2">
        <v>6582</v>
      </c>
    </row>
    <row r="553" spans="1:5" x14ac:dyDescent="0.3">
      <c r="A553" t="s">
        <v>15</v>
      </c>
      <c r="B553" t="s">
        <v>11</v>
      </c>
      <c r="C553" t="s">
        <v>14</v>
      </c>
      <c r="D553" s="3">
        <v>45073</v>
      </c>
      <c r="E553" s="2">
        <v>4591</v>
      </c>
    </row>
    <row r="554" spans="1:5" x14ac:dyDescent="0.3">
      <c r="A554" t="s">
        <v>5</v>
      </c>
      <c r="B554" t="s">
        <v>13</v>
      </c>
      <c r="C554" t="s">
        <v>19</v>
      </c>
      <c r="D554" s="3">
        <v>45073</v>
      </c>
      <c r="E554" s="2">
        <v>4590</v>
      </c>
    </row>
    <row r="555" spans="1:5" x14ac:dyDescent="0.3">
      <c r="A555" t="s">
        <v>30</v>
      </c>
      <c r="B555" t="s">
        <v>11</v>
      </c>
      <c r="C555" t="s">
        <v>19</v>
      </c>
      <c r="D555" s="3">
        <v>45073</v>
      </c>
      <c r="E555" s="2">
        <v>13991</v>
      </c>
    </row>
    <row r="556" spans="1:5" x14ac:dyDescent="0.3">
      <c r="A556" t="s">
        <v>5</v>
      </c>
      <c r="B556" t="s">
        <v>21</v>
      </c>
      <c r="C556" t="s">
        <v>12</v>
      </c>
      <c r="D556" s="3">
        <v>45073</v>
      </c>
      <c r="E556" s="2">
        <v>3908</v>
      </c>
    </row>
    <row r="557" spans="1:5" x14ac:dyDescent="0.3">
      <c r="A557" t="s">
        <v>8</v>
      </c>
      <c r="B557" t="s">
        <v>21</v>
      </c>
      <c r="C557" t="s">
        <v>25</v>
      </c>
      <c r="D557" s="3">
        <v>45074</v>
      </c>
      <c r="E557" s="2">
        <v>6004</v>
      </c>
    </row>
    <row r="558" spans="1:5" x14ac:dyDescent="0.3">
      <c r="A558" t="s">
        <v>10</v>
      </c>
      <c r="B558" t="s">
        <v>9</v>
      </c>
      <c r="C558" t="s">
        <v>28</v>
      </c>
      <c r="D558" s="3">
        <v>45074</v>
      </c>
      <c r="E558" s="2">
        <v>13134</v>
      </c>
    </row>
    <row r="559" spans="1:5" x14ac:dyDescent="0.3">
      <c r="A559" t="s">
        <v>27</v>
      </c>
      <c r="B559" t="s">
        <v>11</v>
      </c>
      <c r="C559" t="s">
        <v>28</v>
      </c>
      <c r="D559" s="3">
        <v>45074</v>
      </c>
      <c r="E559" s="2">
        <v>13918</v>
      </c>
    </row>
    <row r="560" spans="1:5" x14ac:dyDescent="0.3">
      <c r="A560" t="s">
        <v>30</v>
      </c>
      <c r="B560" t="s">
        <v>11</v>
      </c>
      <c r="C560" t="s">
        <v>17</v>
      </c>
      <c r="D560" s="3">
        <v>45074</v>
      </c>
      <c r="E560" s="2">
        <v>10443</v>
      </c>
    </row>
    <row r="561" spans="1:5" x14ac:dyDescent="0.3">
      <c r="A561" t="s">
        <v>18</v>
      </c>
      <c r="B561" t="s">
        <v>9</v>
      </c>
      <c r="C561" t="s">
        <v>14</v>
      </c>
      <c r="D561" s="3">
        <v>45075</v>
      </c>
      <c r="E561" s="2">
        <v>13716</v>
      </c>
    </row>
    <row r="562" spans="1:5" x14ac:dyDescent="0.3">
      <c r="A562" t="s">
        <v>24</v>
      </c>
      <c r="B562" t="s">
        <v>11</v>
      </c>
      <c r="C562" t="s">
        <v>23</v>
      </c>
      <c r="D562" s="3">
        <v>45075</v>
      </c>
      <c r="E562" s="2">
        <v>3504</v>
      </c>
    </row>
    <row r="563" spans="1:5" x14ac:dyDescent="0.3">
      <c r="A563" t="s">
        <v>10</v>
      </c>
      <c r="B563" t="s">
        <v>9</v>
      </c>
      <c r="C563" t="s">
        <v>23</v>
      </c>
      <c r="D563" s="3">
        <v>45075</v>
      </c>
      <c r="E563" s="2">
        <v>1073</v>
      </c>
    </row>
    <row r="564" spans="1:5" x14ac:dyDescent="0.3">
      <c r="A564" t="s">
        <v>31</v>
      </c>
      <c r="B564" t="s">
        <v>9</v>
      </c>
      <c r="C564" t="s">
        <v>25</v>
      </c>
      <c r="D564" s="3">
        <v>45075</v>
      </c>
      <c r="E564" s="2">
        <v>2942</v>
      </c>
    </row>
    <row r="565" spans="1:5" x14ac:dyDescent="0.3">
      <c r="A565" t="s">
        <v>27</v>
      </c>
      <c r="B565" t="s">
        <v>9</v>
      </c>
      <c r="C565" t="s">
        <v>17</v>
      </c>
      <c r="D565" s="3">
        <v>45075</v>
      </c>
      <c r="E565" s="2">
        <v>5092</v>
      </c>
    </row>
    <row r="566" spans="1:5" x14ac:dyDescent="0.3">
      <c r="A566" t="s">
        <v>8</v>
      </c>
      <c r="B566" t="s">
        <v>13</v>
      </c>
      <c r="C566" t="s">
        <v>12</v>
      </c>
      <c r="D566" s="3">
        <v>45076</v>
      </c>
      <c r="E566" s="2">
        <v>12514</v>
      </c>
    </row>
    <row r="567" spans="1:5" x14ac:dyDescent="0.3">
      <c r="A567" t="s">
        <v>29</v>
      </c>
      <c r="B567" t="s">
        <v>6</v>
      </c>
      <c r="C567" t="s">
        <v>19</v>
      </c>
      <c r="D567" s="3">
        <v>45077</v>
      </c>
      <c r="E567" s="2">
        <v>11541</v>
      </c>
    </row>
    <row r="568" spans="1:5" x14ac:dyDescent="0.3">
      <c r="A568" t="s">
        <v>22</v>
      </c>
      <c r="B568" t="s">
        <v>13</v>
      </c>
      <c r="C568" t="s">
        <v>19</v>
      </c>
      <c r="D568" s="3">
        <v>45077</v>
      </c>
      <c r="E568" s="2">
        <v>13427</v>
      </c>
    </row>
    <row r="569" spans="1:5" x14ac:dyDescent="0.3">
      <c r="A569" t="s">
        <v>22</v>
      </c>
      <c r="B569" t="s">
        <v>21</v>
      </c>
      <c r="C569" t="s">
        <v>28</v>
      </c>
      <c r="D569" s="3">
        <v>45077</v>
      </c>
      <c r="E569" s="2">
        <v>6453</v>
      </c>
    </row>
    <row r="570" spans="1:5" x14ac:dyDescent="0.3">
      <c r="A570" t="s">
        <v>20</v>
      </c>
      <c r="B570" t="s">
        <v>13</v>
      </c>
      <c r="C570" t="s">
        <v>12</v>
      </c>
      <c r="D570" s="3">
        <v>45077</v>
      </c>
      <c r="E570" s="2">
        <v>3238</v>
      </c>
    </row>
    <row r="571" spans="1:5" x14ac:dyDescent="0.3">
      <c r="A571" t="s">
        <v>33</v>
      </c>
      <c r="B571" t="s">
        <v>13</v>
      </c>
      <c r="C571" t="s">
        <v>12</v>
      </c>
      <c r="D571" s="3">
        <v>45077</v>
      </c>
      <c r="E571" s="2">
        <v>13383</v>
      </c>
    </row>
    <row r="572" spans="1:5" x14ac:dyDescent="0.3">
      <c r="A572" t="s">
        <v>18</v>
      </c>
      <c r="B572" t="s">
        <v>11</v>
      </c>
      <c r="C572" t="s">
        <v>23</v>
      </c>
      <c r="D572" s="3">
        <v>45079</v>
      </c>
      <c r="E572" s="2">
        <v>2936</v>
      </c>
    </row>
    <row r="573" spans="1:5" x14ac:dyDescent="0.3">
      <c r="A573" t="s">
        <v>33</v>
      </c>
      <c r="B573" t="s">
        <v>6</v>
      </c>
      <c r="C573" t="s">
        <v>25</v>
      </c>
      <c r="D573" s="3">
        <v>45079</v>
      </c>
      <c r="E573" s="2">
        <v>1733</v>
      </c>
    </row>
    <row r="574" spans="1:5" x14ac:dyDescent="0.3">
      <c r="A574" t="s">
        <v>32</v>
      </c>
      <c r="B574" t="s">
        <v>16</v>
      </c>
      <c r="C574" t="s">
        <v>25</v>
      </c>
      <c r="D574" s="3">
        <v>45079</v>
      </c>
      <c r="E574" s="2">
        <v>6375</v>
      </c>
    </row>
    <row r="575" spans="1:5" x14ac:dyDescent="0.3">
      <c r="A575" t="s">
        <v>31</v>
      </c>
      <c r="B575" t="s">
        <v>11</v>
      </c>
      <c r="C575" t="s">
        <v>28</v>
      </c>
      <c r="D575" s="3">
        <v>45079</v>
      </c>
      <c r="E575" s="2">
        <v>5149</v>
      </c>
    </row>
    <row r="576" spans="1:5" x14ac:dyDescent="0.3">
      <c r="A576" t="s">
        <v>8</v>
      </c>
      <c r="B576" t="s">
        <v>9</v>
      </c>
      <c r="C576" t="s">
        <v>17</v>
      </c>
      <c r="D576" s="3">
        <v>45079</v>
      </c>
      <c r="E576" s="2">
        <v>6816</v>
      </c>
    </row>
    <row r="577" spans="1:5" x14ac:dyDescent="0.3">
      <c r="A577" t="s">
        <v>29</v>
      </c>
      <c r="B577" t="s">
        <v>16</v>
      </c>
      <c r="C577" t="s">
        <v>17</v>
      </c>
      <c r="D577" s="3">
        <v>45079</v>
      </c>
      <c r="E577" s="2">
        <v>2051</v>
      </c>
    </row>
    <row r="578" spans="1:5" x14ac:dyDescent="0.3">
      <c r="A578" t="s">
        <v>33</v>
      </c>
      <c r="B578" t="s">
        <v>11</v>
      </c>
      <c r="C578" t="s">
        <v>17</v>
      </c>
      <c r="D578" s="3">
        <v>45080</v>
      </c>
      <c r="E578" s="2">
        <v>7051</v>
      </c>
    </row>
    <row r="579" spans="1:5" x14ac:dyDescent="0.3">
      <c r="A579" t="s">
        <v>20</v>
      </c>
      <c r="B579" t="s">
        <v>13</v>
      </c>
      <c r="C579" t="s">
        <v>12</v>
      </c>
      <c r="D579" s="3">
        <v>45080</v>
      </c>
      <c r="E579" s="2">
        <v>7139</v>
      </c>
    </row>
    <row r="580" spans="1:5" x14ac:dyDescent="0.3">
      <c r="A580" t="s">
        <v>10</v>
      </c>
      <c r="B580" t="s">
        <v>11</v>
      </c>
      <c r="C580" t="s">
        <v>14</v>
      </c>
      <c r="D580" s="3">
        <v>45081</v>
      </c>
      <c r="E580" s="2">
        <v>12454</v>
      </c>
    </row>
    <row r="581" spans="1:5" x14ac:dyDescent="0.3">
      <c r="A581" t="s">
        <v>20</v>
      </c>
      <c r="B581" t="s">
        <v>16</v>
      </c>
      <c r="C581" t="s">
        <v>14</v>
      </c>
      <c r="D581" s="3">
        <v>45081</v>
      </c>
      <c r="E581" s="2">
        <v>13384</v>
      </c>
    </row>
    <row r="582" spans="1:5" x14ac:dyDescent="0.3">
      <c r="A582" t="s">
        <v>27</v>
      </c>
      <c r="B582" t="s">
        <v>6</v>
      </c>
      <c r="C582" t="s">
        <v>19</v>
      </c>
      <c r="D582" s="3">
        <v>45081</v>
      </c>
      <c r="E582" s="2">
        <v>7551</v>
      </c>
    </row>
    <row r="583" spans="1:5" x14ac:dyDescent="0.3">
      <c r="A583" t="s">
        <v>22</v>
      </c>
      <c r="B583" t="s">
        <v>16</v>
      </c>
      <c r="C583" t="s">
        <v>7</v>
      </c>
      <c r="D583" s="3">
        <v>45081</v>
      </c>
      <c r="E583" s="2">
        <v>9805</v>
      </c>
    </row>
    <row r="584" spans="1:5" x14ac:dyDescent="0.3">
      <c r="A584" t="s">
        <v>18</v>
      </c>
      <c r="B584" t="s">
        <v>9</v>
      </c>
      <c r="C584" t="s">
        <v>7</v>
      </c>
      <c r="D584" s="3">
        <v>45081</v>
      </c>
      <c r="E584" s="2">
        <v>7487</v>
      </c>
    </row>
    <row r="585" spans="1:5" x14ac:dyDescent="0.3">
      <c r="A585" t="s">
        <v>27</v>
      </c>
      <c r="B585" t="s">
        <v>13</v>
      </c>
      <c r="C585" t="s">
        <v>28</v>
      </c>
      <c r="D585" s="3">
        <v>45081</v>
      </c>
      <c r="E585" s="2">
        <v>8105</v>
      </c>
    </row>
    <row r="586" spans="1:5" x14ac:dyDescent="0.3">
      <c r="A586" t="s">
        <v>10</v>
      </c>
      <c r="B586" t="s">
        <v>9</v>
      </c>
      <c r="C586" t="s">
        <v>17</v>
      </c>
      <c r="D586" s="3">
        <v>45082</v>
      </c>
      <c r="E586" s="2">
        <v>7163</v>
      </c>
    </row>
    <row r="587" spans="1:5" x14ac:dyDescent="0.3">
      <c r="A587" t="s">
        <v>8</v>
      </c>
      <c r="B587" t="s">
        <v>6</v>
      </c>
      <c r="C587" t="s">
        <v>17</v>
      </c>
      <c r="D587" s="3">
        <v>45082</v>
      </c>
      <c r="E587" s="2">
        <v>8532</v>
      </c>
    </row>
    <row r="588" spans="1:5" x14ac:dyDescent="0.3">
      <c r="A588" t="s">
        <v>33</v>
      </c>
      <c r="B588" t="s">
        <v>13</v>
      </c>
      <c r="C588" t="s">
        <v>19</v>
      </c>
      <c r="D588" s="3">
        <v>45083</v>
      </c>
      <c r="E588" s="2">
        <v>2264</v>
      </c>
    </row>
    <row r="589" spans="1:5" x14ac:dyDescent="0.3">
      <c r="A589" t="s">
        <v>15</v>
      </c>
      <c r="B589" t="s">
        <v>6</v>
      </c>
      <c r="C589" t="s">
        <v>25</v>
      </c>
      <c r="D589" s="3">
        <v>45083</v>
      </c>
      <c r="E589" s="2">
        <v>9370</v>
      </c>
    </row>
    <row r="590" spans="1:5" x14ac:dyDescent="0.3">
      <c r="A590" t="s">
        <v>10</v>
      </c>
      <c r="B590" t="s">
        <v>9</v>
      </c>
      <c r="C590" t="s">
        <v>7</v>
      </c>
      <c r="D590" s="3">
        <v>45083</v>
      </c>
      <c r="E590" s="2">
        <v>6567</v>
      </c>
    </row>
    <row r="591" spans="1:5" x14ac:dyDescent="0.3">
      <c r="A591" t="s">
        <v>31</v>
      </c>
      <c r="B591" t="s">
        <v>16</v>
      </c>
      <c r="C591" t="s">
        <v>28</v>
      </c>
      <c r="D591" s="3">
        <v>45083</v>
      </c>
      <c r="E591" s="2">
        <v>6848</v>
      </c>
    </row>
    <row r="592" spans="1:5" x14ac:dyDescent="0.3">
      <c r="A592" t="s">
        <v>15</v>
      </c>
      <c r="B592" t="s">
        <v>9</v>
      </c>
      <c r="C592" t="s">
        <v>28</v>
      </c>
      <c r="D592" s="3">
        <v>45083</v>
      </c>
      <c r="E592" s="2">
        <v>13226</v>
      </c>
    </row>
    <row r="593" spans="1:5" x14ac:dyDescent="0.3">
      <c r="A593" t="s">
        <v>22</v>
      </c>
      <c r="B593" t="s">
        <v>11</v>
      </c>
      <c r="C593" t="s">
        <v>12</v>
      </c>
      <c r="D593" s="3">
        <v>45083</v>
      </c>
      <c r="E593" s="2">
        <v>9287</v>
      </c>
    </row>
    <row r="594" spans="1:5" x14ac:dyDescent="0.3">
      <c r="A594" t="s">
        <v>8</v>
      </c>
      <c r="B594" t="s">
        <v>6</v>
      </c>
      <c r="C594" t="s">
        <v>19</v>
      </c>
      <c r="D594" s="3">
        <v>45084</v>
      </c>
      <c r="E594" s="2">
        <v>2732</v>
      </c>
    </row>
    <row r="595" spans="1:5" x14ac:dyDescent="0.3">
      <c r="A595" t="s">
        <v>20</v>
      </c>
      <c r="B595" t="s">
        <v>11</v>
      </c>
      <c r="C595" t="s">
        <v>19</v>
      </c>
      <c r="D595" s="3">
        <v>45084</v>
      </c>
      <c r="E595" s="2">
        <v>9933</v>
      </c>
    </row>
    <row r="596" spans="1:5" x14ac:dyDescent="0.3">
      <c r="A596" t="s">
        <v>22</v>
      </c>
      <c r="B596" t="s">
        <v>13</v>
      </c>
      <c r="C596" t="s">
        <v>23</v>
      </c>
      <c r="D596" s="3">
        <v>45084</v>
      </c>
      <c r="E596" s="2">
        <v>1556</v>
      </c>
    </row>
    <row r="597" spans="1:5" x14ac:dyDescent="0.3">
      <c r="A597" t="s">
        <v>26</v>
      </c>
      <c r="B597" t="s">
        <v>11</v>
      </c>
      <c r="C597" t="s">
        <v>14</v>
      </c>
      <c r="D597" s="3">
        <v>45085</v>
      </c>
      <c r="E597" s="2">
        <v>7633</v>
      </c>
    </row>
    <row r="598" spans="1:5" x14ac:dyDescent="0.3">
      <c r="A598" t="s">
        <v>30</v>
      </c>
      <c r="B598" t="s">
        <v>6</v>
      </c>
      <c r="C598" t="s">
        <v>25</v>
      </c>
      <c r="D598" s="3">
        <v>45085</v>
      </c>
      <c r="E598" s="2">
        <v>13424</v>
      </c>
    </row>
    <row r="599" spans="1:5" x14ac:dyDescent="0.3">
      <c r="A599" t="s">
        <v>32</v>
      </c>
      <c r="B599" t="s">
        <v>21</v>
      </c>
      <c r="C599" t="s">
        <v>28</v>
      </c>
      <c r="D599" s="3">
        <v>45085</v>
      </c>
      <c r="E599" s="2">
        <v>6449</v>
      </c>
    </row>
    <row r="600" spans="1:5" x14ac:dyDescent="0.3">
      <c r="A600" t="s">
        <v>10</v>
      </c>
      <c r="B600" t="s">
        <v>11</v>
      </c>
      <c r="C600" t="s">
        <v>14</v>
      </c>
      <c r="D600" s="3">
        <v>45086</v>
      </c>
      <c r="E600" s="2">
        <v>5669</v>
      </c>
    </row>
    <row r="601" spans="1:5" x14ac:dyDescent="0.3">
      <c r="A601" t="s">
        <v>27</v>
      </c>
      <c r="B601" t="s">
        <v>11</v>
      </c>
      <c r="C601" t="s">
        <v>25</v>
      </c>
      <c r="D601" s="3">
        <v>45086</v>
      </c>
      <c r="E601" s="2">
        <v>2144</v>
      </c>
    </row>
    <row r="602" spans="1:5" x14ac:dyDescent="0.3">
      <c r="A602" t="s">
        <v>32</v>
      </c>
      <c r="B602" t="s">
        <v>11</v>
      </c>
      <c r="C602" t="s">
        <v>7</v>
      </c>
      <c r="D602" s="3">
        <v>45086</v>
      </c>
      <c r="E602" s="2">
        <v>10797</v>
      </c>
    </row>
    <row r="603" spans="1:5" x14ac:dyDescent="0.3">
      <c r="A603" t="s">
        <v>30</v>
      </c>
      <c r="B603" t="s">
        <v>21</v>
      </c>
      <c r="C603" t="s">
        <v>7</v>
      </c>
      <c r="D603" s="3">
        <v>45086</v>
      </c>
      <c r="E603" s="2">
        <v>1372</v>
      </c>
    </row>
    <row r="604" spans="1:5" x14ac:dyDescent="0.3">
      <c r="A604" t="s">
        <v>18</v>
      </c>
      <c r="B604" t="s">
        <v>11</v>
      </c>
      <c r="C604" t="s">
        <v>28</v>
      </c>
      <c r="D604" s="3">
        <v>45086</v>
      </c>
      <c r="E604" s="2">
        <v>7968</v>
      </c>
    </row>
    <row r="605" spans="1:5" x14ac:dyDescent="0.3">
      <c r="A605" t="s">
        <v>15</v>
      </c>
      <c r="B605" t="s">
        <v>6</v>
      </c>
      <c r="C605" t="s">
        <v>28</v>
      </c>
      <c r="D605" s="3">
        <v>45086</v>
      </c>
      <c r="E605" s="2">
        <v>10985</v>
      </c>
    </row>
    <row r="606" spans="1:5" x14ac:dyDescent="0.3">
      <c r="A606" t="s">
        <v>30</v>
      </c>
      <c r="B606" t="s">
        <v>21</v>
      </c>
      <c r="C606" t="s">
        <v>7</v>
      </c>
      <c r="D606" s="3">
        <v>45087</v>
      </c>
      <c r="E606" s="2">
        <v>9730</v>
      </c>
    </row>
    <row r="607" spans="1:5" x14ac:dyDescent="0.3">
      <c r="A607" t="s">
        <v>33</v>
      </c>
      <c r="B607" t="s">
        <v>9</v>
      </c>
      <c r="C607" t="s">
        <v>17</v>
      </c>
      <c r="D607" s="3">
        <v>45087</v>
      </c>
      <c r="E607" s="2">
        <v>12736</v>
      </c>
    </row>
    <row r="608" spans="1:5" x14ac:dyDescent="0.3">
      <c r="A608" t="s">
        <v>31</v>
      </c>
      <c r="B608" t="s">
        <v>21</v>
      </c>
      <c r="C608" t="s">
        <v>7</v>
      </c>
      <c r="D608" s="3">
        <v>45088</v>
      </c>
      <c r="E608" s="2">
        <v>5701</v>
      </c>
    </row>
    <row r="609" spans="1:5" x14ac:dyDescent="0.3">
      <c r="A609" t="s">
        <v>24</v>
      </c>
      <c r="B609" t="s">
        <v>9</v>
      </c>
      <c r="C609" t="s">
        <v>14</v>
      </c>
      <c r="D609" s="3">
        <v>45089</v>
      </c>
      <c r="E609" s="2">
        <v>8737</v>
      </c>
    </row>
    <row r="610" spans="1:5" x14ac:dyDescent="0.3">
      <c r="A610" t="s">
        <v>29</v>
      </c>
      <c r="B610" t="s">
        <v>16</v>
      </c>
      <c r="C610" t="s">
        <v>23</v>
      </c>
      <c r="D610" s="3">
        <v>45089</v>
      </c>
      <c r="E610" s="2">
        <v>12404</v>
      </c>
    </row>
    <row r="611" spans="1:5" x14ac:dyDescent="0.3">
      <c r="A611" t="s">
        <v>18</v>
      </c>
      <c r="B611" t="s">
        <v>11</v>
      </c>
      <c r="C611" t="s">
        <v>25</v>
      </c>
      <c r="D611" s="3">
        <v>45089</v>
      </c>
      <c r="E611" s="2">
        <v>2697</v>
      </c>
    </row>
    <row r="612" spans="1:5" x14ac:dyDescent="0.3">
      <c r="A612" t="s">
        <v>18</v>
      </c>
      <c r="B612" t="s">
        <v>11</v>
      </c>
      <c r="C612" t="s">
        <v>17</v>
      </c>
      <c r="D612" s="3">
        <v>45089</v>
      </c>
      <c r="E612" s="2">
        <v>4967</v>
      </c>
    </row>
    <row r="613" spans="1:5" x14ac:dyDescent="0.3">
      <c r="A613" t="s">
        <v>30</v>
      </c>
      <c r="B613" t="s">
        <v>9</v>
      </c>
      <c r="C613" t="s">
        <v>12</v>
      </c>
      <c r="D613" s="3">
        <v>45089</v>
      </c>
      <c r="E613" s="2">
        <v>2186</v>
      </c>
    </row>
    <row r="614" spans="1:5" x14ac:dyDescent="0.3">
      <c r="A614" t="s">
        <v>8</v>
      </c>
      <c r="B614" t="s">
        <v>13</v>
      </c>
      <c r="C614" t="s">
        <v>23</v>
      </c>
      <c r="D614" s="3">
        <v>45090</v>
      </c>
      <c r="E614" s="2">
        <v>3068</v>
      </c>
    </row>
    <row r="615" spans="1:5" x14ac:dyDescent="0.3">
      <c r="A615" t="s">
        <v>30</v>
      </c>
      <c r="B615" t="s">
        <v>13</v>
      </c>
      <c r="C615" t="s">
        <v>17</v>
      </c>
      <c r="D615" s="3">
        <v>45090</v>
      </c>
      <c r="E615" s="2">
        <v>7083</v>
      </c>
    </row>
    <row r="616" spans="1:5" x14ac:dyDescent="0.3">
      <c r="A616" t="s">
        <v>22</v>
      </c>
      <c r="B616" t="s">
        <v>11</v>
      </c>
      <c r="C616" t="s">
        <v>12</v>
      </c>
      <c r="D616" s="3">
        <v>45091</v>
      </c>
      <c r="E616" s="2">
        <v>5704</v>
      </c>
    </row>
    <row r="617" spans="1:5" x14ac:dyDescent="0.3">
      <c r="A617" t="s">
        <v>30</v>
      </c>
      <c r="B617" t="s">
        <v>6</v>
      </c>
      <c r="C617" t="s">
        <v>14</v>
      </c>
      <c r="D617" s="3">
        <v>45092</v>
      </c>
      <c r="E617" s="2">
        <v>10194</v>
      </c>
    </row>
    <row r="618" spans="1:5" x14ac:dyDescent="0.3">
      <c r="A618" t="s">
        <v>10</v>
      </c>
      <c r="B618" t="s">
        <v>6</v>
      </c>
      <c r="C618" t="s">
        <v>7</v>
      </c>
      <c r="D618" s="3">
        <v>45092</v>
      </c>
      <c r="E618" s="2">
        <v>4059</v>
      </c>
    </row>
    <row r="619" spans="1:5" x14ac:dyDescent="0.3">
      <c r="A619" t="s">
        <v>10</v>
      </c>
      <c r="B619" t="s">
        <v>16</v>
      </c>
      <c r="C619" t="s">
        <v>28</v>
      </c>
      <c r="D619" s="3">
        <v>45092</v>
      </c>
      <c r="E619" s="2">
        <v>7426</v>
      </c>
    </row>
    <row r="620" spans="1:5" x14ac:dyDescent="0.3">
      <c r="A620" t="s">
        <v>24</v>
      </c>
      <c r="B620" t="s">
        <v>16</v>
      </c>
      <c r="C620" t="s">
        <v>28</v>
      </c>
      <c r="D620" s="3">
        <v>45092</v>
      </c>
      <c r="E620" s="2">
        <v>4807</v>
      </c>
    </row>
    <row r="621" spans="1:5" x14ac:dyDescent="0.3">
      <c r="A621" t="s">
        <v>32</v>
      </c>
      <c r="B621" t="s">
        <v>6</v>
      </c>
      <c r="C621" t="s">
        <v>14</v>
      </c>
      <c r="D621" s="3">
        <v>45093</v>
      </c>
      <c r="E621" s="2">
        <v>1996</v>
      </c>
    </row>
    <row r="622" spans="1:5" x14ac:dyDescent="0.3">
      <c r="A622" t="s">
        <v>5</v>
      </c>
      <c r="B622" t="s">
        <v>16</v>
      </c>
      <c r="C622" t="s">
        <v>19</v>
      </c>
      <c r="D622" s="3">
        <v>45093</v>
      </c>
      <c r="E622" s="2">
        <v>5393</v>
      </c>
    </row>
    <row r="623" spans="1:5" x14ac:dyDescent="0.3">
      <c r="A623" t="s">
        <v>29</v>
      </c>
      <c r="B623" t="s">
        <v>6</v>
      </c>
      <c r="C623" t="s">
        <v>19</v>
      </c>
      <c r="D623" s="3">
        <v>45093</v>
      </c>
      <c r="E623" s="2">
        <v>3827</v>
      </c>
    </row>
    <row r="624" spans="1:5" x14ac:dyDescent="0.3">
      <c r="A624" t="s">
        <v>15</v>
      </c>
      <c r="B624" t="s">
        <v>21</v>
      </c>
      <c r="C624" t="s">
        <v>25</v>
      </c>
      <c r="D624" s="3">
        <v>45093</v>
      </c>
      <c r="E624" s="2">
        <v>8052</v>
      </c>
    </row>
    <row r="625" spans="1:5" x14ac:dyDescent="0.3">
      <c r="A625" t="s">
        <v>15</v>
      </c>
      <c r="B625" t="s">
        <v>9</v>
      </c>
      <c r="C625" t="s">
        <v>7</v>
      </c>
      <c r="D625" s="3">
        <v>45093</v>
      </c>
      <c r="E625" s="2">
        <v>11199</v>
      </c>
    </row>
    <row r="626" spans="1:5" x14ac:dyDescent="0.3">
      <c r="A626" t="s">
        <v>15</v>
      </c>
      <c r="B626" t="s">
        <v>6</v>
      </c>
      <c r="C626" t="s">
        <v>12</v>
      </c>
      <c r="D626" s="3">
        <v>45093</v>
      </c>
      <c r="E626" s="2">
        <v>5271</v>
      </c>
    </row>
    <row r="627" spans="1:5" x14ac:dyDescent="0.3">
      <c r="A627" t="s">
        <v>26</v>
      </c>
      <c r="B627" t="s">
        <v>16</v>
      </c>
      <c r="C627" t="s">
        <v>14</v>
      </c>
      <c r="D627" s="3">
        <v>45094</v>
      </c>
      <c r="E627" s="2">
        <v>2329</v>
      </c>
    </row>
    <row r="628" spans="1:5" x14ac:dyDescent="0.3">
      <c r="A628" t="s">
        <v>29</v>
      </c>
      <c r="B628" t="s">
        <v>6</v>
      </c>
      <c r="C628" t="s">
        <v>14</v>
      </c>
      <c r="D628" s="3">
        <v>45094</v>
      </c>
      <c r="E628" s="2">
        <v>11295</v>
      </c>
    </row>
    <row r="629" spans="1:5" x14ac:dyDescent="0.3">
      <c r="A629" t="s">
        <v>8</v>
      </c>
      <c r="B629" t="s">
        <v>13</v>
      </c>
      <c r="C629" t="s">
        <v>19</v>
      </c>
      <c r="D629" s="3">
        <v>45094</v>
      </c>
      <c r="E629" s="2">
        <v>10834</v>
      </c>
    </row>
    <row r="630" spans="1:5" x14ac:dyDescent="0.3">
      <c r="A630" t="s">
        <v>24</v>
      </c>
      <c r="B630" t="s">
        <v>9</v>
      </c>
      <c r="C630" t="s">
        <v>19</v>
      </c>
      <c r="D630" s="3">
        <v>45094</v>
      </c>
      <c r="E630" s="2">
        <v>10912</v>
      </c>
    </row>
    <row r="631" spans="1:5" x14ac:dyDescent="0.3">
      <c r="A631" t="s">
        <v>32</v>
      </c>
      <c r="B631" t="s">
        <v>21</v>
      </c>
      <c r="C631" t="s">
        <v>25</v>
      </c>
      <c r="D631" s="3">
        <v>45094</v>
      </c>
      <c r="E631" s="2">
        <v>8002</v>
      </c>
    </row>
    <row r="632" spans="1:5" x14ac:dyDescent="0.3">
      <c r="A632" t="s">
        <v>8</v>
      </c>
      <c r="B632" t="s">
        <v>6</v>
      </c>
      <c r="C632" t="s">
        <v>17</v>
      </c>
      <c r="D632" s="3">
        <v>45094</v>
      </c>
      <c r="E632" s="2">
        <v>3841</v>
      </c>
    </row>
    <row r="633" spans="1:5" x14ac:dyDescent="0.3">
      <c r="A633" t="s">
        <v>15</v>
      </c>
      <c r="B633" t="s">
        <v>16</v>
      </c>
      <c r="C633" t="s">
        <v>19</v>
      </c>
      <c r="D633" s="3">
        <v>45095</v>
      </c>
      <c r="E633" s="2">
        <v>6270</v>
      </c>
    </row>
    <row r="634" spans="1:5" x14ac:dyDescent="0.3">
      <c r="A634" t="s">
        <v>30</v>
      </c>
      <c r="B634" t="s">
        <v>21</v>
      </c>
      <c r="C634" t="s">
        <v>19</v>
      </c>
      <c r="D634" s="3">
        <v>45095</v>
      </c>
      <c r="E634" s="2">
        <v>6786</v>
      </c>
    </row>
    <row r="635" spans="1:5" x14ac:dyDescent="0.3">
      <c r="A635" t="s">
        <v>26</v>
      </c>
      <c r="B635" t="s">
        <v>11</v>
      </c>
      <c r="C635" t="s">
        <v>7</v>
      </c>
      <c r="D635" s="3">
        <v>45095</v>
      </c>
      <c r="E635" s="2">
        <v>7712</v>
      </c>
    </row>
    <row r="636" spans="1:5" x14ac:dyDescent="0.3">
      <c r="A636" t="s">
        <v>31</v>
      </c>
      <c r="B636" t="s">
        <v>21</v>
      </c>
      <c r="C636" t="s">
        <v>17</v>
      </c>
      <c r="D636" s="3">
        <v>45095</v>
      </c>
      <c r="E636" s="2">
        <v>5113</v>
      </c>
    </row>
    <row r="637" spans="1:5" x14ac:dyDescent="0.3">
      <c r="A637" t="s">
        <v>32</v>
      </c>
      <c r="B637" t="s">
        <v>6</v>
      </c>
      <c r="C637" t="s">
        <v>19</v>
      </c>
      <c r="D637" s="3">
        <v>45096</v>
      </c>
      <c r="E637" s="2">
        <v>11827</v>
      </c>
    </row>
    <row r="638" spans="1:5" x14ac:dyDescent="0.3">
      <c r="A638" t="s">
        <v>32</v>
      </c>
      <c r="B638" t="s">
        <v>13</v>
      </c>
      <c r="C638" t="s">
        <v>23</v>
      </c>
      <c r="D638" s="3">
        <v>45096</v>
      </c>
      <c r="E638" s="2">
        <v>11669</v>
      </c>
    </row>
    <row r="639" spans="1:5" x14ac:dyDescent="0.3">
      <c r="A639" t="s">
        <v>20</v>
      </c>
      <c r="B639" t="s">
        <v>13</v>
      </c>
      <c r="C639" t="s">
        <v>23</v>
      </c>
      <c r="D639" s="3">
        <v>45096</v>
      </c>
      <c r="E639" s="2">
        <v>8696</v>
      </c>
    </row>
    <row r="640" spans="1:5" x14ac:dyDescent="0.3">
      <c r="A640" t="s">
        <v>8</v>
      </c>
      <c r="B640" t="s">
        <v>16</v>
      </c>
      <c r="C640" t="s">
        <v>7</v>
      </c>
      <c r="D640" s="3">
        <v>45096</v>
      </c>
      <c r="E640" s="2">
        <v>6184</v>
      </c>
    </row>
    <row r="641" spans="1:5" x14ac:dyDescent="0.3">
      <c r="A641" t="s">
        <v>18</v>
      </c>
      <c r="B641" t="s">
        <v>6</v>
      </c>
      <c r="C641" t="s">
        <v>17</v>
      </c>
      <c r="D641" s="3">
        <v>45096</v>
      </c>
      <c r="E641" s="2">
        <v>7888</v>
      </c>
    </row>
    <row r="642" spans="1:5" x14ac:dyDescent="0.3">
      <c r="A642" t="s">
        <v>22</v>
      </c>
      <c r="B642" t="s">
        <v>16</v>
      </c>
      <c r="C642" t="s">
        <v>19</v>
      </c>
      <c r="D642" s="3">
        <v>45097</v>
      </c>
      <c r="E642" s="2">
        <v>2201</v>
      </c>
    </row>
    <row r="643" spans="1:5" x14ac:dyDescent="0.3">
      <c r="A643" t="s">
        <v>15</v>
      </c>
      <c r="B643" t="s">
        <v>9</v>
      </c>
      <c r="C643" t="s">
        <v>25</v>
      </c>
      <c r="D643" s="3">
        <v>45097</v>
      </c>
      <c r="E643" s="2">
        <v>9426</v>
      </c>
    </row>
    <row r="644" spans="1:5" x14ac:dyDescent="0.3">
      <c r="A644" t="s">
        <v>22</v>
      </c>
      <c r="B644" t="s">
        <v>21</v>
      </c>
      <c r="C644" t="s">
        <v>25</v>
      </c>
      <c r="D644" s="3">
        <v>45097</v>
      </c>
      <c r="E644" s="2">
        <v>1973</v>
      </c>
    </row>
    <row r="645" spans="1:5" x14ac:dyDescent="0.3">
      <c r="A645" t="s">
        <v>5</v>
      </c>
      <c r="B645" t="s">
        <v>16</v>
      </c>
      <c r="C645" t="s">
        <v>7</v>
      </c>
      <c r="D645" s="3">
        <v>45097</v>
      </c>
      <c r="E645" s="2">
        <v>2487</v>
      </c>
    </row>
    <row r="646" spans="1:5" x14ac:dyDescent="0.3">
      <c r="A646" t="s">
        <v>27</v>
      </c>
      <c r="B646" t="s">
        <v>16</v>
      </c>
      <c r="C646" t="s">
        <v>19</v>
      </c>
      <c r="D646" s="3">
        <v>45098</v>
      </c>
      <c r="E646" s="2">
        <v>5283</v>
      </c>
    </row>
    <row r="647" spans="1:5" x14ac:dyDescent="0.3">
      <c r="A647" t="s">
        <v>31</v>
      </c>
      <c r="B647" t="s">
        <v>11</v>
      </c>
      <c r="C647" t="s">
        <v>28</v>
      </c>
      <c r="D647" s="3">
        <v>45098</v>
      </c>
      <c r="E647" s="2">
        <v>8492</v>
      </c>
    </row>
    <row r="648" spans="1:5" x14ac:dyDescent="0.3">
      <c r="A648" t="s">
        <v>29</v>
      </c>
      <c r="B648" t="s">
        <v>6</v>
      </c>
      <c r="C648" t="s">
        <v>19</v>
      </c>
      <c r="D648" s="3">
        <v>45099</v>
      </c>
      <c r="E648" s="2">
        <v>8283</v>
      </c>
    </row>
    <row r="649" spans="1:5" x14ac:dyDescent="0.3">
      <c r="A649" t="s">
        <v>10</v>
      </c>
      <c r="B649" t="s">
        <v>13</v>
      </c>
      <c r="C649" t="s">
        <v>12</v>
      </c>
      <c r="D649" s="3">
        <v>45099</v>
      </c>
      <c r="E649" s="2">
        <v>3030</v>
      </c>
    </row>
    <row r="650" spans="1:5" x14ac:dyDescent="0.3">
      <c r="A650" t="s">
        <v>26</v>
      </c>
      <c r="B650" t="s">
        <v>9</v>
      </c>
      <c r="C650" t="s">
        <v>14</v>
      </c>
      <c r="D650" s="3">
        <v>45100</v>
      </c>
      <c r="E650" s="2">
        <v>11453</v>
      </c>
    </row>
    <row r="651" spans="1:5" x14ac:dyDescent="0.3">
      <c r="A651" t="s">
        <v>8</v>
      </c>
      <c r="B651" t="s">
        <v>11</v>
      </c>
      <c r="C651" t="s">
        <v>23</v>
      </c>
      <c r="D651" s="3">
        <v>45100</v>
      </c>
      <c r="E651" s="2">
        <v>4835</v>
      </c>
    </row>
    <row r="652" spans="1:5" x14ac:dyDescent="0.3">
      <c r="A652" t="s">
        <v>24</v>
      </c>
      <c r="B652" t="s">
        <v>9</v>
      </c>
      <c r="C652" t="s">
        <v>23</v>
      </c>
      <c r="D652" s="3">
        <v>45100</v>
      </c>
      <c r="E652" s="2">
        <v>10504</v>
      </c>
    </row>
    <row r="653" spans="1:5" x14ac:dyDescent="0.3">
      <c r="A653" t="s">
        <v>20</v>
      </c>
      <c r="B653" t="s">
        <v>6</v>
      </c>
      <c r="C653" t="s">
        <v>25</v>
      </c>
      <c r="D653" s="3">
        <v>45100</v>
      </c>
      <c r="E653" s="2">
        <v>3710</v>
      </c>
    </row>
    <row r="654" spans="1:5" x14ac:dyDescent="0.3">
      <c r="A654" t="s">
        <v>29</v>
      </c>
      <c r="B654" t="s">
        <v>9</v>
      </c>
      <c r="C654" t="s">
        <v>7</v>
      </c>
      <c r="D654" s="3">
        <v>45100</v>
      </c>
      <c r="E654" s="2">
        <v>7527</v>
      </c>
    </row>
    <row r="655" spans="1:5" x14ac:dyDescent="0.3">
      <c r="A655" t="s">
        <v>29</v>
      </c>
      <c r="B655" t="s">
        <v>16</v>
      </c>
      <c r="C655" t="s">
        <v>14</v>
      </c>
      <c r="D655" s="3">
        <v>45101</v>
      </c>
      <c r="E655" s="2">
        <v>10079</v>
      </c>
    </row>
    <row r="656" spans="1:5" x14ac:dyDescent="0.3">
      <c r="A656" t="s">
        <v>15</v>
      </c>
      <c r="B656" t="s">
        <v>9</v>
      </c>
      <c r="C656" t="s">
        <v>28</v>
      </c>
      <c r="D656" s="3">
        <v>45101</v>
      </c>
      <c r="E656" s="2">
        <v>2208</v>
      </c>
    </row>
    <row r="657" spans="1:5" x14ac:dyDescent="0.3">
      <c r="A657" t="s">
        <v>20</v>
      </c>
      <c r="B657" t="s">
        <v>11</v>
      </c>
      <c r="C657" t="s">
        <v>23</v>
      </c>
      <c r="D657" s="3">
        <v>45102</v>
      </c>
      <c r="E657" s="2">
        <v>5606</v>
      </c>
    </row>
    <row r="658" spans="1:5" x14ac:dyDescent="0.3">
      <c r="A658" t="s">
        <v>15</v>
      </c>
      <c r="B658" t="s">
        <v>13</v>
      </c>
      <c r="C658" t="s">
        <v>28</v>
      </c>
      <c r="D658" s="3">
        <v>45102</v>
      </c>
      <c r="E658" s="2">
        <v>7594</v>
      </c>
    </row>
    <row r="659" spans="1:5" x14ac:dyDescent="0.3">
      <c r="A659" t="s">
        <v>32</v>
      </c>
      <c r="B659" t="s">
        <v>16</v>
      </c>
      <c r="C659" t="s">
        <v>17</v>
      </c>
      <c r="D659" s="3">
        <v>45102</v>
      </c>
      <c r="E659" s="2">
        <v>6915</v>
      </c>
    </row>
    <row r="660" spans="1:5" x14ac:dyDescent="0.3">
      <c r="A660" t="s">
        <v>29</v>
      </c>
      <c r="B660" t="s">
        <v>6</v>
      </c>
      <c r="C660" t="s">
        <v>12</v>
      </c>
      <c r="D660" s="3">
        <v>45102</v>
      </c>
      <c r="E660" s="2">
        <v>13557</v>
      </c>
    </row>
    <row r="661" spans="1:5" x14ac:dyDescent="0.3">
      <c r="A661" t="s">
        <v>24</v>
      </c>
      <c r="B661" t="s">
        <v>11</v>
      </c>
      <c r="C661" t="s">
        <v>12</v>
      </c>
      <c r="D661" s="3">
        <v>45102</v>
      </c>
      <c r="E661" s="2">
        <v>1275</v>
      </c>
    </row>
    <row r="662" spans="1:5" x14ac:dyDescent="0.3">
      <c r="A662" t="s">
        <v>18</v>
      </c>
      <c r="B662" t="s">
        <v>6</v>
      </c>
      <c r="C662" t="s">
        <v>14</v>
      </c>
      <c r="D662" s="3">
        <v>45104</v>
      </c>
      <c r="E662" s="2">
        <v>9240</v>
      </c>
    </row>
    <row r="663" spans="1:5" x14ac:dyDescent="0.3">
      <c r="A663" t="s">
        <v>24</v>
      </c>
      <c r="B663" t="s">
        <v>6</v>
      </c>
      <c r="C663" t="s">
        <v>23</v>
      </c>
      <c r="D663" s="3">
        <v>45105</v>
      </c>
      <c r="E663" s="2">
        <v>11948</v>
      </c>
    </row>
    <row r="664" spans="1:5" x14ac:dyDescent="0.3">
      <c r="A664" t="s">
        <v>24</v>
      </c>
      <c r="B664" t="s">
        <v>21</v>
      </c>
      <c r="C664" t="s">
        <v>7</v>
      </c>
      <c r="D664" s="3">
        <v>45105</v>
      </c>
      <c r="E664" s="2">
        <v>10761</v>
      </c>
    </row>
    <row r="665" spans="1:5" x14ac:dyDescent="0.3">
      <c r="A665" t="s">
        <v>24</v>
      </c>
      <c r="B665" t="s">
        <v>9</v>
      </c>
      <c r="C665" t="s">
        <v>28</v>
      </c>
      <c r="D665" s="3">
        <v>45105</v>
      </c>
      <c r="E665" s="2">
        <v>2590</v>
      </c>
    </row>
    <row r="666" spans="1:5" x14ac:dyDescent="0.3">
      <c r="A666" t="s">
        <v>33</v>
      </c>
      <c r="B666" t="s">
        <v>6</v>
      </c>
      <c r="C666" t="s">
        <v>14</v>
      </c>
      <c r="D666" s="3">
        <v>45106</v>
      </c>
      <c r="E666" s="2">
        <v>13349</v>
      </c>
    </row>
    <row r="667" spans="1:5" x14ac:dyDescent="0.3">
      <c r="A667" t="s">
        <v>29</v>
      </c>
      <c r="B667" t="s">
        <v>13</v>
      </c>
      <c r="C667" t="s">
        <v>14</v>
      </c>
      <c r="D667" s="3">
        <v>45106</v>
      </c>
      <c r="E667" s="2">
        <v>6527</v>
      </c>
    </row>
    <row r="668" spans="1:5" x14ac:dyDescent="0.3">
      <c r="A668" t="s">
        <v>32</v>
      </c>
      <c r="B668" t="s">
        <v>13</v>
      </c>
      <c r="C668" t="s">
        <v>19</v>
      </c>
      <c r="D668" s="3">
        <v>45106</v>
      </c>
      <c r="E668" s="2">
        <v>13474</v>
      </c>
    </row>
    <row r="669" spans="1:5" x14ac:dyDescent="0.3">
      <c r="A669" t="s">
        <v>33</v>
      </c>
      <c r="B669" t="s">
        <v>21</v>
      </c>
      <c r="C669" t="s">
        <v>23</v>
      </c>
      <c r="D669" s="3">
        <v>45106</v>
      </c>
      <c r="E669" s="2">
        <v>11429</v>
      </c>
    </row>
    <row r="670" spans="1:5" x14ac:dyDescent="0.3">
      <c r="A670" t="s">
        <v>24</v>
      </c>
      <c r="B670" t="s">
        <v>9</v>
      </c>
      <c r="C670" t="s">
        <v>12</v>
      </c>
      <c r="D670" s="3">
        <v>45106</v>
      </c>
      <c r="E670" s="2">
        <v>6421</v>
      </c>
    </row>
    <row r="671" spans="1:5" x14ac:dyDescent="0.3">
      <c r="A671" t="s">
        <v>33</v>
      </c>
      <c r="B671" t="s">
        <v>6</v>
      </c>
      <c r="C671" t="s">
        <v>14</v>
      </c>
      <c r="D671" s="3">
        <v>45107</v>
      </c>
      <c r="E671" s="2">
        <v>1199</v>
      </c>
    </row>
    <row r="672" spans="1:5" x14ac:dyDescent="0.3">
      <c r="A672" t="s">
        <v>27</v>
      </c>
      <c r="B672" t="s">
        <v>21</v>
      </c>
      <c r="C672" t="s">
        <v>19</v>
      </c>
      <c r="D672" s="3">
        <v>45107</v>
      </c>
      <c r="E672" s="2">
        <v>1977</v>
      </c>
    </row>
    <row r="673" spans="1:5" x14ac:dyDescent="0.3">
      <c r="A673" t="s">
        <v>20</v>
      </c>
      <c r="B673" t="s">
        <v>6</v>
      </c>
      <c r="C673" t="s">
        <v>28</v>
      </c>
      <c r="D673" s="3">
        <v>45107</v>
      </c>
      <c r="E673" s="2">
        <v>6577</v>
      </c>
    </row>
    <row r="674" spans="1:5" x14ac:dyDescent="0.3">
      <c r="A674" t="s">
        <v>29</v>
      </c>
      <c r="B674" t="s">
        <v>11</v>
      </c>
      <c r="C674" t="s">
        <v>17</v>
      </c>
      <c r="D674" s="3">
        <v>45107</v>
      </c>
      <c r="E674" s="2">
        <v>3508</v>
      </c>
    </row>
    <row r="675" spans="1:5" x14ac:dyDescent="0.3">
      <c r="A675" t="s">
        <v>30</v>
      </c>
      <c r="B675" t="s">
        <v>6</v>
      </c>
      <c r="C675" t="s">
        <v>17</v>
      </c>
      <c r="D675" s="3">
        <v>45107</v>
      </c>
      <c r="E675" s="2">
        <v>13625</v>
      </c>
    </row>
    <row r="676" spans="1:5" x14ac:dyDescent="0.3">
      <c r="A676" t="s">
        <v>5</v>
      </c>
      <c r="B676" t="s">
        <v>11</v>
      </c>
      <c r="C676" t="s">
        <v>25</v>
      </c>
      <c r="D676" s="3">
        <v>45108</v>
      </c>
      <c r="E676" s="2">
        <v>11267</v>
      </c>
    </row>
    <row r="677" spans="1:5" x14ac:dyDescent="0.3">
      <c r="A677" t="s">
        <v>30</v>
      </c>
      <c r="B677" t="s">
        <v>16</v>
      </c>
      <c r="C677" t="s">
        <v>28</v>
      </c>
      <c r="D677" s="3">
        <v>45108</v>
      </c>
      <c r="E677" s="2">
        <v>10160</v>
      </c>
    </row>
    <row r="678" spans="1:5" x14ac:dyDescent="0.3">
      <c r="A678" t="s">
        <v>15</v>
      </c>
      <c r="B678" t="s">
        <v>6</v>
      </c>
      <c r="C678" t="s">
        <v>12</v>
      </c>
      <c r="D678" s="3">
        <v>45108</v>
      </c>
      <c r="E678" s="2">
        <v>6208</v>
      </c>
    </row>
    <row r="679" spans="1:5" x14ac:dyDescent="0.3">
      <c r="A679" t="s">
        <v>27</v>
      </c>
      <c r="B679" t="s">
        <v>6</v>
      </c>
      <c r="C679" t="s">
        <v>14</v>
      </c>
      <c r="D679" s="3">
        <v>45109</v>
      </c>
      <c r="E679" s="2">
        <v>6450</v>
      </c>
    </row>
    <row r="680" spans="1:5" x14ac:dyDescent="0.3">
      <c r="A680" t="s">
        <v>10</v>
      </c>
      <c r="B680" t="s">
        <v>6</v>
      </c>
      <c r="C680" t="s">
        <v>25</v>
      </c>
      <c r="D680" s="3">
        <v>45109</v>
      </c>
      <c r="E680" s="2">
        <v>12356</v>
      </c>
    </row>
    <row r="681" spans="1:5" x14ac:dyDescent="0.3">
      <c r="A681" t="s">
        <v>26</v>
      </c>
      <c r="B681" t="s">
        <v>9</v>
      </c>
      <c r="C681" t="s">
        <v>14</v>
      </c>
      <c r="D681" s="3">
        <v>45110</v>
      </c>
      <c r="E681" s="2">
        <v>7014</v>
      </c>
    </row>
    <row r="682" spans="1:5" x14ac:dyDescent="0.3">
      <c r="A682" t="s">
        <v>33</v>
      </c>
      <c r="B682" t="s">
        <v>11</v>
      </c>
      <c r="C682" t="s">
        <v>19</v>
      </c>
      <c r="D682" s="3">
        <v>45111</v>
      </c>
      <c r="E682" s="2">
        <v>13003</v>
      </c>
    </row>
    <row r="683" spans="1:5" x14ac:dyDescent="0.3">
      <c r="A683" t="s">
        <v>20</v>
      </c>
      <c r="B683" t="s">
        <v>6</v>
      </c>
      <c r="C683" t="s">
        <v>23</v>
      </c>
      <c r="D683" s="3">
        <v>45111</v>
      </c>
      <c r="E683" s="2">
        <v>7937</v>
      </c>
    </row>
    <row r="684" spans="1:5" x14ac:dyDescent="0.3">
      <c r="A684" t="s">
        <v>27</v>
      </c>
      <c r="B684" t="s">
        <v>11</v>
      </c>
      <c r="C684" t="s">
        <v>23</v>
      </c>
      <c r="D684" s="3">
        <v>45111</v>
      </c>
      <c r="E684" s="2">
        <v>8972</v>
      </c>
    </row>
    <row r="685" spans="1:5" x14ac:dyDescent="0.3">
      <c r="A685" t="s">
        <v>8</v>
      </c>
      <c r="B685" t="s">
        <v>21</v>
      </c>
      <c r="C685" t="s">
        <v>23</v>
      </c>
      <c r="D685" s="3">
        <v>45111</v>
      </c>
      <c r="E685" s="2">
        <v>7940</v>
      </c>
    </row>
    <row r="686" spans="1:5" x14ac:dyDescent="0.3">
      <c r="A686" t="s">
        <v>5</v>
      </c>
      <c r="B686" t="s">
        <v>16</v>
      </c>
      <c r="C686" t="s">
        <v>7</v>
      </c>
      <c r="D686" s="3">
        <v>45111</v>
      </c>
      <c r="E686" s="2">
        <v>12151</v>
      </c>
    </row>
    <row r="687" spans="1:5" x14ac:dyDescent="0.3">
      <c r="A687" t="s">
        <v>18</v>
      </c>
      <c r="B687" t="s">
        <v>16</v>
      </c>
      <c r="C687" t="s">
        <v>28</v>
      </c>
      <c r="D687" s="3">
        <v>45111</v>
      </c>
      <c r="E687" s="2">
        <v>7841</v>
      </c>
    </row>
    <row r="688" spans="1:5" x14ac:dyDescent="0.3">
      <c r="A688" t="s">
        <v>31</v>
      </c>
      <c r="B688" t="s">
        <v>16</v>
      </c>
      <c r="C688" t="s">
        <v>28</v>
      </c>
      <c r="D688" s="3">
        <v>45111</v>
      </c>
      <c r="E688" s="2">
        <v>10308</v>
      </c>
    </row>
    <row r="689" spans="1:5" x14ac:dyDescent="0.3">
      <c r="A689" t="s">
        <v>8</v>
      </c>
      <c r="B689" t="s">
        <v>6</v>
      </c>
      <c r="C689" t="s">
        <v>28</v>
      </c>
      <c r="D689" s="3">
        <v>45111</v>
      </c>
      <c r="E689" s="2">
        <v>3147</v>
      </c>
    </row>
    <row r="690" spans="1:5" x14ac:dyDescent="0.3">
      <c r="A690" t="s">
        <v>32</v>
      </c>
      <c r="B690" t="s">
        <v>9</v>
      </c>
      <c r="C690" t="s">
        <v>17</v>
      </c>
      <c r="D690" s="3">
        <v>45111</v>
      </c>
      <c r="E690" s="2">
        <v>11688</v>
      </c>
    </row>
    <row r="691" spans="1:5" x14ac:dyDescent="0.3">
      <c r="A691" t="s">
        <v>26</v>
      </c>
      <c r="B691" t="s">
        <v>9</v>
      </c>
      <c r="C691" t="s">
        <v>25</v>
      </c>
      <c r="D691" s="3">
        <v>45112</v>
      </c>
      <c r="E691" s="2">
        <v>12245</v>
      </c>
    </row>
    <row r="692" spans="1:5" x14ac:dyDescent="0.3">
      <c r="A692" t="s">
        <v>27</v>
      </c>
      <c r="B692" t="s">
        <v>6</v>
      </c>
      <c r="C692" t="s">
        <v>7</v>
      </c>
      <c r="D692" s="3">
        <v>45112</v>
      </c>
      <c r="E692" s="2">
        <v>13784</v>
      </c>
    </row>
    <row r="693" spans="1:5" x14ac:dyDescent="0.3">
      <c r="A693" t="s">
        <v>30</v>
      </c>
      <c r="B693" t="s">
        <v>13</v>
      </c>
      <c r="C693" t="s">
        <v>28</v>
      </c>
      <c r="D693" s="3">
        <v>45112</v>
      </c>
      <c r="E693" s="2">
        <v>7119</v>
      </c>
    </row>
    <row r="694" spans="1:5" x14ac:dyDescent="0.3">
      <c r="A694" t="s">
        <v>15</v>
      </c>
      <c r="B694" t="s">
        <v>13</v>
      </c>
      <c r="C694" t="s">
        <v>17</v>
      </c>
      <c r="D694" s="3">
        <v>45112</v>
      </c>
      <c r="E694" s="2">
        <v>1681</v>
      </c>
    </row>
    <row r="695" spans="1:5" x14ac:dyDescent="0.3">
      <c r="A695" t="s">
        <v>15</v>
      </c>
      <c r="B695" t="s">
        <v>13</v>
      </c>
      <c r="C695" t="s">
        <v>17</v>
      </c>
      <c r="D695" s="3">
        <v>45112</v>
      </c>
      <c r="E695" s="2">
        <v>10688</v>
      </c>
    </row>
    <row r="696" spans="1:5" x14ac:dyDescent="0.3">
      <c r="A696" t="s">
        <v>30</v>
      </c>
      <c r="B696" t="s">
        <v>21</v>
      </c>
      <c r="C696" t="s">
        <v>23</v>
      </c>
      <c r="D696" s="3">
        <v>45113</v>
      </c>
      <c r="E696" s="2">
        <v>10122</v>
      </c>
    </row>
    <row r="697" spans="1:5" x14ac:dyDescent="0.3">
      <c r="A697" t="s">
        <v>8</v>
      </c>
      <c r="B697" t="s">
        <v>9</v>
      </c>
      <c r="C697" t="s">
        <v>23</v>
      </c>
      <c r="D697" s="3">
        <v>45113</v>
      </c>
      <c r="E697" s="2">
        <v>2093</v>
      </c>
    </row>
    <row r="698" spans="1:5" x14ac:dyDescent="0.3">
      <c r="A698" t="s">
        <v>22</v>
      </c>
      <c r="B698" t="s">
        <v>21</v>
      </c>
      <c r="C698" t="s">
        <v>25</v>
      </c>
      <c r="D698" s="3">
        <v>45113</v>
      </c>
      <c r="E698" s="2">
        <v>3068</v>
      </c>
    </row>
    <row r="699" spans="1:5" x14ac:dyDescent="0.3">
      <c r="A699" t="s">
        <v>15</v>
      </c>
      <c r="B699" t="s">
        <v>11</v>
      </c>
      <c r="C699" t="s">
        <v>17</v>
      </c>
      <c r="D699" s="3">
        <v>45113</v>
      </c>
      <c r="E699" s="2">
        <v>8926</v>
      </c>
    </row>
    <row r="700" spans="1:5" x14ac:dyDescent="0.3">
      <c r="A700" t="s">
        <v>22</v>
      </c>
      <c r="B700" t="s">
        <v>9</v>
      </c>
      <c r="C700" t="s">
        <v>14</v>
      </c>
      <c r="D700" s="3">
        <v>45115</v>
      </c>
      <c r="E700" s="2">
        <v>8052</v>
      </c>
    </row>
    <row r="701" spans="1:5" x14ac:dyDescent="0.3">
      <c r="A701" t="s">
        <v>32</v>
      </c>
      <c r="B701" t="s">
        <v>13</v>
      </c>
      <c r="C701" t="s">
        <v>17</v>
      </c>
      <c r="D701" s="3">
        <v>45115</v>
      </c>
      <c r="E701" s="2">
        <v>3158</v>
      </c>
    </row>
    <row r="702" spans="1:5" x14ac:dyDescent="0.3">
      <c r="A702" t="s">
        <v>31</v>
      </c>
      <c r="B702" t="s">
        <v>11</v>
      </c>
      <c r="C702" t="s">
        <v>19</v>
      </c>
      <c r="D702" s="3">
        <v>45116</v>
      </c>
      <c r="E702" s="2">
        <v>8397</v>
      </c>
    </row>
    <row r="703" spans="1:5" x14ac:dyDescent="0.3">
      <c r="A703" t="s">
        <v>27</v>
      </c>
      <c r="B703" t="s">
        <v>9</v>
      </c>
      <c r="C703" t="s">
        <v>28</v>
      </c>
      <c r="D703" s="3">
        <v>45116</v>
      </c>
      <c r="E703" s="2">
        <v>3866</v>
      </c>
    </row>
    <row r="704" spans="1:5" x14ac:dyDescent="0.3">
      <c r="A704" t="s">
        <v>31</v>
      </c>
      <c r="B704" t="s">
        <v>16</v>
      </c>
      <c r="C704" t="s">
        <v>17</v>
      </c>
      <c r="D704" s="3">
        <v>45116</v>
      </c>
      <c r="E704" s="2">
        <v>2791</v>
      </c>
    </row>
    <row r="705" spans="1:5" x14ac:dyDescent="0.3">
      <c r="A705" t="s">
        <v>18</v>
      </c>
      <c r="B705" t="s">
        <v>21</v>
      </c>
      <c r="C705" t="s">
        <v>14</v>
      </c>
      <c r="D705" s="3">
        <v>45117</v>
      </c>
      <c r="E705" s="2">
        <v>3903</v>
      </c>
    </row>
    <row r="706" spans="1:5" x14ac:dyDescent="0.3">
      <c r="A706" t="s">
        <v>31</v>
      </c>
      <c r="B706" t="s">
        <v>6</v>
      </c>
      <c r="C706" t="s">
        <v>7</v>
      </c>
      <c r="D706" s="3">
        <v>45117</v>
      </c>
      <c r="E706" s="2">
        <v>10250</v>
      </c>
    </row>
    <row r="707" spans="1:5" x14ac:dyDescent="0.3">
      <c r="A707" t="s">
        <v>10</v>
      </c>
      <c r="B707" t="s">
        <v>21</v>
      </c>
      <c r="C707" t="s">
        <v>12</v>
      </c>
      <c r="D707" s="3">
        <v>45117</v>
      </c>
      <c r="E707" s="2">
        <v>4167</v>
      </c>
    </row>
    <row r="708" spans="1:5" x14ac:dyDescent="0.3">
      <c r="A708" t="s">
        <v>29</v>
      </c>
      <c r="B708" t="s">
        <v>16</v>
      </c>
      <c r="C708" t="s">
        <v>25</v>
      </c>
      <c r="D708" s="3">
        <v>45118</v>
      </c>
      <c r="E708" s="2">
        <v>9854</v>
      </c>
    </row>
    <row r="709" spans="1:5" x14ac:dyDescent="0.3">
      <c r="A709" t="s">
        <v>22</v>
      </c>
      <c r="B709" t="s">
        <v>13</v>
      </c>
      <c r="C709" t="s">
        <v>7</v>
      </c>
      <c r="D709" s="3">
        <v>45118</v>
      </c>
      <c r="E709" s="2">
        <v>4488</v>
      </c>
    </row>
    <row r="710" spans="1:5" x14ac:dyDescent="0.3">
      <c r="A710" t="s">
        <v>31</v>
      </c>
      <c r="B710" t="s">
        <v>9</v>
      </c>
      <c r="C710" t="s">
        <v>7</v>
      </c>
      <c r="D710" s="3">
        <v>45118</v>
      </c>
      <c r="E710" s="2">
        <v>3401</v>
      </c>
    </row>
    <row r="711" spans="1:5" x14ac:dyDescent="0.3">
      <c r="A711" t="s">
        <v>22</v>
      </c>
      <c r="B711" t="s">
        <v>11</v>
      </c>
      <c r="C711" t="s">
        <v>28</v>
      </c>
      <c r="D711" s="3">
        <v>45118</v>
      </c>
      <c r="E711" s="2">
        <v>11980</v>
      </c>
    </row>
    <row r="712" spans="1:5" x14ac:dyDescent="0.3">
      <c r="A712" t="s">
        <v>27</v>
      </c>
      <c r="B712" t="s">
        <v>11</v>
      </c>
      <c r="C712" t="s">
        <v>12</v>
      </c>
      <c r="D712" s="3">
        <v>45118</v>
      </c>
      <c r="E712" s="2">
        <v>13215</v>
      </c>
    </row>
    <row r="713" spans="1:5" x14ac:dyDescent="0.3">
      <c r="A713" t="s">
        <v>15</v>
      </c>
      <c r="B713" t="s">
        <v>13</v>
      </c>
      <c r="C713" t="s">
        <v>28</v>
      </c>
      <c r="D713" s="3">
        <v>45119</v>
      </c>
      <c r="E713" s="2">
        <v>13858</v>
      </c>
    </row>
    <row r="714" spans="1:5" x14ac:dyDescent="0.3">
      <c r="A714" t="s">
        <v>5</v>
      </c>
      <c r="B714" t="s">
        <v>11</v>
      </c>
      <c r="C714" t="s">
        <v>14</v>
      </c>
      <c r="D714" s="3">
        <v>45120</v>
      </c>
      <c r="E714" s="2">
        <v>5628</v>
      </c>
    </row>
    <row r="715" spans="1:5" x14ac:dyDescent="0.3">
      <c r="A715" t="s">
        <v>26</v>
      </c>
      <c r="B715" t="s">
        <v>9</v>
      </c>
      <c r="C715" t="s">
        <v>23</v>
      </c>
      <c r="D715" s="3">
        <v>45120</v>
      </c>
      <c r="E715" s="2">
        <v>8998</v>
      </c>
    </row>
    <row r="716" spans="1:5" x14ac:dyDescent="0.3">
      <c r="A716" t="s">
        <v>32</v>
      </c>
      <c r="B716" t="s">
        <v>11</v>
      </c>
      <c r="C716" t="s">
        <v>23</v>
      </c>
      <c r="D716" s="3">
        <v>45120</v>
      </c>
      <c r="E716" s="2">
        <v>10611</v>
      </c>
    </row>
    <row r="717" spans="1:5" x14ac:dyDescent="0.3">
      <c r="A717" t="s">
        <v>33</v>
      </c>
      <c r="B717" t="s">
        <v>6</v>
      </c>
      <c r="C717" t="s">
        <v>7</v>
      </c>
      <c r="D717" s="3">
        <v>45120</v>
      </c>
      <c r="E717" s="2">
        <v>1129</v>
      </c>
    </row>
    <row r="718" spans="1:5" x14ac:dyDescent="0.3">
      <c r="A718" t="s">
        <v>27</v>
      </c>
      <c r="B718" t="s">
        <v>21</v>
      </c>
      <c r="C718" t="s">
        <v>17</v>
      </c>
      <c r="D718" s="3">
        <v>45120</v>
      </c>
      <c r="E718" s="2">
        <v>1712</v>
      </c>
    </row>
    <row r="719" spans="1:5" x14ac:dyDescent="0.3">
      <c r="A719" t="s">
        <v>15</v>
      </c>
      <c r="B719" t="s">
        <v>21</v>
      </c>
      <c r="C719" t="s">
        <v>23</v>
      </c>
      <c r="D719" s="3">
        <v>45121</v>
      </c>
      <c r="E719" s="2">
        <v>2875</v>
      </c>
    </row>
    <row r="720" spans="1:5" x14ac:dyDescent="0.3">
      <c r="A720" t="s">
        <v>31</v>
      </c>
      <c r="B720" t="s">
        <v>21</v>
      </c>
      <c r="C720" t="s">
        <v>23</v>
      </c>
      <c r="D720" s="3">
        <v>45121</v>
      </c>
      <c r="E720" s="2">
        <v>12641</v>
      </c>
    </row>
    <row r="721" spans="1:5" x14ac:dyDescent="0.3">
      <c r="A721" t="s">
        <v>29</v>
      </c>
      <c r="B721" t="s">
        <v>13</v>
      </c>
      <c r="C721" t="s">
        <v>25</v>
      </c>
      <c r="D721" s="3">
        <v>45121</v>
      </c>
      <c r="E721" s="2">
        <v>13618</v>
      </c>
    </row>
    <row r="722" spans="1:5" x14ac:dyDescent="0.3">
      <c r="A722" t="s">
        <v>22</v>
      </c>
      <c r="B722" t="s">
        <v>21</v>
      </c>
      <c r="C722" t="s">
        <v>7</v>
      </c>
      <c r="D722" s="3">
        <v>45121</v>
      </c>
      <c r="E722" s="2">
        <v>9314</v>
      </c>
    </row>
    <row r="723" spans="1:5" x14ac:dyDescent="0.3">
      <c r="A723" t="s">
        <v>27</v>
      </c>
      <c r="B723" t="s">
        <v>16</v>
      </c>
      <c r="C723" t="s">
        <v>28</v>
      </c>
      <c r="D723" s="3">
        <v>45121</v>
      </c>
      <c r="E723" s="2">
        <v>1695</v>
      </c>
    </row>
    <row r="724" spans="1:5" x14ac:dyDescent="0.3">
      <c r="A724" t="s">
        <v>32</v>
      </c>
      <c r="B724" t="s">
        <v>6</v>
      </c>
      <c r="C724" t="s">
        <v>12</v>
      </c>
      <c r="D724" s="3">
        <v>45121</v>
      </c>
      <c r="E724" s="2">
        <v>13752</v>
      </c>
    </row>
    <row r="725" spans="1:5" x14ac:dyDescent="0.3">
      <c r="A725" t="s">
        <v>22</v>
      </c>
      <c r="B725" t="s">
        <v>9</v>
      </c>
      <c r="C725" t="s">
        <v>19</v>
      </c>
      <c r="D725" s="3">
        <v>45122</v>
      </c>
      <c r="E725" s="2">
        <v>4181</v>
      </c>
    </row>
    <row r="726" spans="1:5" x14ac:dyDescent="0.3">
      <c r="A726" t="s">
        <v>32</v>
      </c>
      <c r="B726" t="s">
        <v>21</v>
      </c>
      <c r="C726" t="s">
        <v>23</v>
      </c>
      <c r="D726" s="3">
        <v>45122</v>
      </c>
      <c r="E726" s="2">
        <v>10467</v>
      </c>
    </row>
    <row r="727" spans="1:5" x14ac:dyDescent="0.3">
      <c r="A727" t="s">
        <v>22</v>
      </c>
      <c r="B727" t="s">
        <v>21</v>
      </c>
      <c r="C727" t="s">
        <v>28</v>
      </c>
      <c r="D727" s="3">
        <v>45122</v>
      </c>
      <c r="E727" s="2">
        <v>7291</v>
      </c>
    </row>
    <row r="728" spans="1:5" x14ac:dyDescent="0.3">
      <c r="A728" t="s">
        <v>8</v>
      </c>
      <c r="B728" t="s">
        <v>9</v>
      </c>
      <c r="C728" t="s">
        <v>28</v>
      </c>
      <c r="D728" s="3">
        <v>45122</v>
      </c>
      <c r="E728" s="2">
        <v>1987</v>
      </c>
    </row>
    <row r="729" spans="1:5" x14ac:dyDescent="0.3">
      <c r="A729" t="s">
        <v>30</v>
      </c>
      <c r="B729" t="s">
        <v>13</v>
      </c>
      <c r="C729" t="s">
        <v>17</v>
      </c>
      <c r="D729" s="3">
        <v>45122</v>
      </c>
      <c r="E729" s="2">
        <v>9780</v>
      </c>
    </row>
    <row r="730" spans="1:5" x14ac:dyDescent="0.3">
      <c r="A730" t="s">
        <v>27</v>
      </c>
      <c r="B730" t="s">
        <v>9</v>
      </c>
      <c r="C730" t="s">
        <v>14</v>
      </c>
      <c r="D730" s="3">
        <v>45123</v>
      </c>
      <c r="E730" s="2">
        <v>2150</v>
      </c>
    </row>
    <row r="731" spans="1:5" x14ac:dyDescent="0.3">
      <c r="A731" t="s">
        <v>18</v>
      </c>
      <c r="B731" t="s">
        <v>13</v>
      </c>
      <c r="C731" t="s">
        <v>14</v>
      </c>
      <c r="D731" s="3">
        <v>45123</v>
      </c>
      <c r="E731" s="2">
        <v>11342</v>
      </c>
    </row>
    <row r="732" spans="1:5" x14ac:dyDescent="0.3">
      <c r="A732" t="s">
        <v>18</v>
      </c>
      <c r="B732" t="s">
        <v>9</v>
      </c>
      <c r="C732" t="s">
        <v>23</v>
      </c>
      <c r="D732" s="3">
        <v>45123</v>
      </c>
      <c r="E732" s="2">
        <v>3836</v>
      </c>
    </row>
    <row r="733" spans="1:5" x14ac:dyDescent="0.3">
      <c r="A733" t="s">
        <v>29</v>
      </c>
      <c r="B733" t="s">
        <v>9</v>
      </c>
      <c r="C733" t="s">
        <v>7</v>
      </c>
      <c r="D733" s="3">
        <v>45123</v>
      </c>
      <c r="E733" s="2">
        <v>10885</v>
      </c>
    </row>
    <row r="734" spans="1:5" x14ac:dyDescent="0.3">
      <c r="A734" t="s">
        <v>15</v>
      </c>
      <c r="B734" t="s">
        <v>13</v>
      </c>
      <c r="C734" t="s">
        <v>28</v>
      </c>
      <c r="D734" s="3">
        <v>45123</v>
      </c>
      <c r="E734" s="2">
        <v>4632</v>
      </c>
    </row>
    <row r="735" spans="1:5" x14ac:dyDescent="0.3">
      <c r="A735" t="s">
        <v>5</v>
      </c>
      <c r="B735" t="s">
        <v>13</v>
      </c>
      <c r="C735" t="s">
        <v>28</v>
      </c>
      <c r="D735" s="3">
        <v>45123</v>
      </c>
      <c r="E735" s="2">
        <v>2913</v>
      </c>
    </row>
    <row r="736" spans="1:5" x14ac:dyDescent="0.3">
      <c r="A736" t="s">
        <v>24</v>
      </c>
      <c r="B736" t="s">
        <v>13</v>
      </c>
      <c r="C736" t="s">
        <v>17</v>
      </c>
      <c r="D736" s="3">
        <v>45123</v>
      </c>
      <c r="E736" s="2">
        <v>7767</v>
      </c>
    </row>
    <row r="737" spans="1:5" x14ac:dyDescent="0.3">
      <c r="A737" t="s">
        <v>8</v>
      </c>
      <c r="B737" t="s">
        <v>16</v>
      </c>
      <c r="C737" t="s">
        <v>19</v>
      </c>
      <c r="D737" s="3">
        <v>45124</v>
      </c>
      <c r="E737" s="2">
        <v>2276</v>
      </c>
    </row>
    <row r="738" spans="1:5" x14ac:dyDescent="0.3">
      <c r="A738" t="s">
        <v>18</v>
      </c>
      <c r="B738" t="s">
        <v>16</v>
      </c>
      <c r="C738" t="s">
        <v>23</v>
      </c>
      <c r="D738" s="3">
        <v>45124</v>
      </c>
      <c r="E738" s="2">
        <v>13774</v>
      </c>
    </row>
    <row r="739" spans="1:5" x14ac:dyDescent="0.3">
      <c r="A739" t="s">
        <v>8</v>
      </c>
      <c r="B739" t="s">
        <v>11</v>
      </c>
      <c r="C739" t="s">
        <v>7</v>
      </c>
      <c r="D739" s="3">
        <v>45124</v>
      </c>
      <c r="E739" s="2">
        <v>2255</v>
      </c>
    </row>
    <row r="740" spans="1:5" x14ac:dyDescent="0.3">
      <c r="A740" t="s">
        <v>32</v>
      </c>
      <c r="B740" t="s">
        <v>13</v>
      </c>
      <c r="C740" t="s">
        <v>28</v>
      </c>
      <c r="D740" s="3">
        <v>45124</v>
      </c>
      <c r="E740" s="2">
        <v>12055</v>
      </c>
    </row>
    <row r="741" spans="1:5" x14ac:dyDescent="0.3">
      <c r="A741" t="s">
        <v>24</v>
      </c>
      <c r="B741" t="s">
        <v>13</v>
      </c>
      <c r="C741" t="s">
        <v>17</v>
      </c>
      <c r="D741" s="3">
        <v>45124</v>
      </c>
      <c r="E741" s="2">
        <v>4585</v>
      </c>
    </row>
    <row r="742" spans="1:5" x14ac:dyDescent="0.3">
      <c r="A742" t="s">
        <v>31</v>
      </c>
      <c r="B742" t="s">
        <v>13</v>
      </c>
      <c r="C742" t="s">
        <v>12</v>
      </c>
      <c r="D742" s="3">
        <v>45124</v>
      </c>
      <c r="E742" s="2">
        <v>3615</v>
      </c>
    </row>
    <row r="743" spans="1:5" x14ac:dyDescent="0.3">
      <c r="A743" t="s">
        <v>15</v>
      </c>
      <c r="B743" t="s">
        <v>6</v>
      </c>
      <c r="C743" t="s">
        <v>12</v>
      </c>
      <c r="D743" s="3">
        <v>45124</v>
      </c>
      <c r="E743" s="2">
        <v>8347</v>
      </c>
    </row>
    <row r="744" spans="1:5" x14ac:dyDescent="0.3">
      <c r="A744" t="s">
        <v>20</v>
      </c>
      <c r="B744" t="s">
        <v>9</v>
      </c>
      <c r="C744" t="s">
        <v>14</v>
      </c>
      <c r="D744" s="3">
        <v>45125</v>
      </c>
      <c r="E744" s="2">
        <v>9734</v>
      </c>
    </row>
    <row r="745" spans="1:5" x14ac:dyDescent="0.3">
      <c r="A745" t="s">
        <v>10</v>
      </c>
      <c r="B745" t="s">
        <v>9</v>
      </c>
      <c r="C745" t="s">
        <v>14</v>
      </c>
      <c r="D745" s="3">
        <v>45125</v>
      </c>
      <c r="E745" s="2">
        <v>3099</v>
      </c>
    </row>
    <row r="746" spans="1:5" x14ac:dyDescent="0.3">
      <c r="A746" t="s">
        <v>31</v>
      </c>
      <c r="B746" t="s">
        <v>16</v>
      </c>
      <c r="C746" t="s">
        <v>28</v>
      </c>
      <c r="D746" s="3">
        <v>45125</v>
      </c>
      <c r="E746" s="2">
        <v>10658</v>
      </c>
    </row>
    <row r="747" spans="1:5" x14ac:dyDescent="0.3">
      <c r="A747" t="s">
        <v>32</v>
      </c>
      <c r="B747" t="s">
        <v>6</v>
      </c>
      <c r="C747" t="s">
        <v>28</v>
      </c>
      <c r="D747" s="3">
        <v>45125</v>
      </c>
      <c r="E747" s="2">
        <v>13465</v>
      </c>
    </row>
    <row r="748" spans="1:5" x14ac:dyDescent="0.3">
      <c r="A748" t="s">
        <v>27</v>
      </c>
      <c r="B748" t="s">
        <v>16</v>
      </c>
      <c r="C748" t="s">
        <v>19</v>
      </c>
      <c r="D748" s="3">
        <v>45126</v>
      </c>
      <c r="E748" s="2">
        <v>7992</v>
      </c>
    </row>
    <row r="749" spans="1:5" x14ac:dyDescent="0.3">
      <c r="A749" t="s">
        <v>10</v>
      </c>
      <c r="B749" t="s">
        <v>6</v>
      </c>
      <c r="C749" t="s">
        <v>19</v>
      </c>
      <c r="D749" s="3">
        <v>45126</v>
      </c>
      <c r="E749" s="2">
        <v>4872</v>
      </c>
    </row>
    <row r="750" spans="1:5" x14ac:dyDescent="0.3">
      <c r="A750" t="s">
        <v>32</v>
      </c>
      <c r="B750" t="s">
        <v>16</v>
      </c>
      <c r="C750" t="s">
        <v>19</v>
      </c>
      <c r="D750" s="3">
        <v>45126</v>
      </c>
      <c r="E750" s="2">
        <v>6556</v>
      </c>
    </row>
    <row r="751" spans="1:5" x14ac:dyDescent="0.3">
      <c r="A751" t="s">
        <v>30</v>
      </c>
      <c r="B751" t="s">
        <v>11</v>
      </c>
      <c r="C751" t="s">
        <v>23</v>
      </c>
      <c r="D751" s="3">
        <v>45126</v>
      </c>
      <c r="E751" s="2">
        <v>10140</v>
      </c>
    </row>
    <row r="752" spans="1:5" x14ac:dyDescent="0.3">
      <c r="A752" t="s">
        <v>30</v>
      </c>
      <c r="B752" t="s">
        <v>11</v>
      </c>
      <c r="C752" t="s">
        <v>25</v>
      </c>
      <c r="D752" s="3">
        <v>45126</v>
      </c>
      <c r="E752" s="2">
        <v>4966</v>
      </c>
    </row>
    <row r="753" spans="1:5" x14ac:dyDescent="0.3">
      <c r="A753" t="s">
        <v>30</v>
      </c>
      <c r="B753" t="s">
        <v>11</v>
      </c>
      <c r="C753" t="s">
        <v>25</v>
      </c>
      <c r="D753" s="3">
        <v>45126</v>
      </c>
      <c r="E753" s="2">
        <v>1024</v>
      </c>
    </row>
    <row r="754" spans="1:5" x14ac:dyDescent="0.3">
      <c r="A754" t="s">
        <v>30</v>
      </c>
      <c r="B754" t="s">
        <v>16</v>
      </c>
      <c r="C754" t="s">
        <v>25</v>
      </c>
      <c r="D754" s="3">
        <v>45126</v>
      </c>
      <c r="E754" s="2">
        <v>12772</v>
      </c>
    </row>
    <row r="755" spans="1:5" x14ac:dyDescent="0.3">
      <c r="A755" t="s">
        <v>5</v>
      </c>
      <c r="B755" t="s">
        <v>13</v>
      </c>
      <c r="C755" t="s">
        <v>17</v>
      </c>
      <c r="D755" s="3">
        <v>45126</v>
      </c>
      <c r="E755" s="2">
        <v>1167</v>
      </c>
    </row>
    <row r="756" spans="1:5" x14ac:dyDescent="0.3">
      <c r="A756" t="s">
        <v>30</v>
      </c>
      <c r="B756" t="s">
        <v>16</v>
      </c>
      <c r="C756" t="s">
        <v>23</v>
      </c>
      <c r="D756" s="3">
        <v>45127</v>
      </c>
      <c r="E756" s="2">
        <v>3649</v>
      </c>
    </row>
    <row r="757" spans="1:5" x14ac:dyDescent="0.3">
      <c r="A757" t="s">
        <v>33</v>
      </c>
      <c r="B757" t="s">
        <v>9</v>
      </c>
      <c r="C757" t="s">
        <v>28</v>
      </c>
      <c r="D757" s="3">
        <v>45127</v>
      </c>
      <c r="E757" s="2">
        <v>3747</v>
      </c>
    </row>
    <row r="758" spans="1:5" x14ac:dyDescent="0.3">
      <c r="A758" t="s">
        <v>18</v>
      </c>
      <c r="B758" t="s">
        <v>11</v>
      </c>
      <c r="C758" t="s">
        <v>28</v>
      </c>
      <c r="D758" s="3">
        <v>45127</v>
      </c>
      <c r="E758" s="2">
        <v>9541</v>
      </c>
    </row>
    <row r="759" spans="1:5" x14ac:dyDescent="0.3">
      <c r="A759" t="s">
        <v>27</v>
      </c>
      <c r="B759" t="s">
        <v>11</v>
      </c>
      <c r="C759" t="s">
        <v>23</v>
      </c>
      <c r="D759" s="3">
        <v>45128</v>
      </c>
      <c r="E759" s="2">
        <v>10389</v>
      </c>
    </row>
    <row r="760" spans="1:5" x14ac:dyDescent="0.3">
      <c r="A760" t="s">
        <v>20</v>
      </c>
      <c r="B760" t="s">
        <v>13</v>
      </c>
      <c r="C760" t="s">
        <v>23</v>
      </c>
      <c r="D760" s="3">
        <v>45128</v>
      </c>
      <c r="E760" s="2">
        <v>11429</v>
      </c>
    </row>
    <row r="761" spans="1:5" x14ac:dyDescent="0.3">
      <c r="A761" t="s">
        <v>15</v>
      </c>
      <c r="B761" t="s">
        <v>11</v>
      </c>
      <c r="C761" t="s">
        <v>23</v>
      </c>
      <c r="D761" s="3">
        <v>45128</v>
      </c>
      <c r="E761" s="2">
        <v>13248</v>
      </c>
    </row>
    <row r="762" spans="1:5" x14ac:dyDescent="0.3">
      <c r="A762" t="s">
        <v>10</v>
      </c>
      <c r="B762" t="s">
        <v>11</v>
      </c>
      <c r="C762" t="s">
        <v>25</v>
      </c>
      <c r="D762" s="3">
        <v>45128</v>
      </c>
      <c r="E762" s="2">
        <v>13633</v>
      </c>
    </row>
    <row r="763" spans="1:5" x14ac:dyDescent="0.3">
      <c r="A763" t="s">
        <v>20</v>
      </c>
      <c r="B763" t="s">
        <v>13</v>
      </c>
      <c r="C763" t="s">
        <v>12</v>
      </c>
      <c r="D763" s="3">
        <v>45128</v>
      </c>
      <c r="E763" s="2">
        <v>4618</v>
      </c>
    </row>
    <row r="764" spans="1:5" x14ac:dyDescent="0.3">
      <c r="A764" t="s">
        <v>31</v>
      </c>
      <c r="B764" t="s">
        <v>13</v>
      </c>
      <c r="C764" t="s">
        <v>12</v>
      </c>
      <c r="D764" s="3">
        <v>45128</v>
      </c>
      <c r="E764" s="2">
        <v>13505</v>
      </c>
    </row>
    <row r="765" spans="1:5" x14ac:dyDescent="0.3">
      <c r="A765" t="s">
        <v>27</v>
      </c>
      <c r="B765" t="s">
        <v>6</v>
      </c>
      <c r="C765" t="s">
        <v>12</v>
      </c>
      <c r="D765" s="3">
        <v>45128</v>
      </c>
      <c r="E765" s="2">
        <v>5015</v>
      </c>
    </row>
    <row r="766" spans="1:5" x14ac:dyDescent="0.3">
      <c r="A766" t="s">
        <v>30</v>
      </c>
      <c r="B766" t="s">
        <v>16</v>
      </c>
      <c r="C766" t="s">
        <v>14</v>
      </c>
      <c r="D766" s="3">
        <v>45129</v>
      </c>
      <c r="E766" s="2">
        <v>5464</v>
      </c>
    </row>
    <row r="767" spans="1:5" x14ac:dyDescent="0.3">
      <c r="A767" t="s">
        <v>5</v>
      </c>
      <c r="B767" t="s">
        <v>13</v>
      </c>
      <c r="C767" t="s">
        <v>23</v>
      </c>
      <c r="D767" s="3">
        <v>45129</v>
      </c>
      <c r="E767" s="2">
        <v>7227</v>
      </c>
    </row>
    <row r="768" spans="1:5" x14ac:dyDescent="0.3">
      <c r="A768" t="s">
        <v>15</v>
      </c>
      <c r="B768" t="s">
        <v>16</v>
      </c>
      <c r="C768" t="s">
        <v>23</v>
      </c>
      <c r="D768" s="3">
        <v>45129</v>
      </c>
      <c r="E768" s="2">
        <v>4381</v>
      </c>
    </row>
    <row r="769" spans="1:5" x14ac:dyDescent="0.3">
      <c r="A769" t="s">
        <v>20</v>
      </c>
      <c r="B769" t="s">
        <v>6</v>
      </c>
      <c r="C769" t="s">
        <v>7</v>
      </c>
      <c r="D769" s="3">
        <v>45129</v>
      </c>
      <c r="E769" s="2">
        <v>11734</v>
      </c>
    </row>
    <row r="770" spans="1:5" x14ac:dyDescent="0.3">
      <c r="A770" t="s">
        <v>32</v>
      </c>
      <c r="B770" t="s">
        <v>9</v>
      </c>
      <c r="C770" t="s">
        <v>17</v>
      </c>
      <c r="D770" s="3">
        <v>45129</v>
      </c>
      <c r="E770" s="2">
        <v>5282</v>
      </c>
    </row>
    <row r="771" spans="1:5" x14ac:dyDescent="0.3">
      <c r="A771" t="s">
        <v>27</v>
      </c>
      <c r="B771" t="s">
        <v>9</v>
      </c>
      <c r="C771" t="s">
        <v>23</v>
      </c>
      <c r="D771" s="3">
        <v>45130</v>
      </c>
      <c r="E771" s="2">
        <v>8216</v>
      </c>
    </row>
    <row r="772" spans="1:5" x14ac:dyDescent="0.3">
      <c r="A772" t="s">
        <v>22</v>
      </c>
      <c r="B772" t="s">
        <v>13</v>
      </c>
      <c r="C772" t="s">
        <v>25</v>
      </c>
      <c r="D772" s="3">
        <v>45130</v>
      </c>
      <c r="E772" s="2">
        <v>3071</v>
      </c>
    </row>
    <row r="773" spans="1:5" x14ac:dyDescent="0.3">
      <c r="A773" t="s">
        <v>8</v>
      </c>
      <c r="B773" t="s">
        <v>11</v>
      </c>
      <c r="C773" t="s">
        <v>28</v>
      </c>
      <c r="D773" s="3">
        <v>45130</v>
      </c>
      <c r="E773" s="2">
        <v>7452</v>
      </c>
    </row>
    <row r="774" spans="1:5" x14ac:dyDescent="0.3">
      <c r="A774" t="s">
        <v>24</v>
      </c>
      <c r="B774" t="s">
        <v>21</v>
      </c>
      <c r="C774" t="s">
        <v>28</v>
      </c>
      <c r="D774" s="3">
        <v>45131</v>
      </c>
      <c r="E774" s="2">
        <v>11448</v>
      </c>
    </row>
    <row r="775" spans="1:5" x14ac:dyDescent="0.3">
      <c r="A775" t="s">
        <v>26</v>
      </c>
      <c r="B775" t="s">
        <v>11</v>
      </c>
      <c r="C775" t="s">
        <v>28</v>
      </c>
      <c r="D775" s="3">
        <v>45131</v>
      </c>
      <c r="E775" s="2">
        <v>4125</v>
      </c>
    </row>
    <row r="776" spans="1:5" x14ac:dyDescent="0.3">
      <c r="A776" t="s">
        <v>20</v>
      </c>
      <c r="B776" t="s">
        <v>6</v>
      </c>
      <c r="C776" t="s">
        <v>14</v>
      </c>
      <c r="D776" s="3">
        <v>45132</v>
      </c>
      <c r="E776" s="2">
        <v>3326</v>
      </c>
    </row>
    <row r="777" spans="1:5" x14ac:dyDescent="0.3">
      <c r="A777" t="s">
        <v>27</v>
      </c>
      <c r="B777" t="s">
        <v>21</v>
      </c>
      <c r="C777" t="s">
        <v>7</v>
      </c>
      <c r="D777" s="3">
        <v>45132</v>
      </c>
      <c r="E777" s="2">
        <v>6205</v>
      </c>
    </row>
    <row r="778" spans="1:5" x14ac:dyDescent="0.3">
      <c r="A778" t="s">
        <v>22</v>
      </c>
      <c r="B778" t="s">
        <v>11</v>
      </c>
      <c r="C778" t="s">
        <v>12</v>
      </c>
      <c r="D778" s="3">
        <v>45132</v>
      </c>
      <c r="E778" s="2">
        <v>5554</v>
      </c>
    </row>
    <row r="779" spans="1:5" x14ac:dyDescent="0.3">
      <c r="A779" t="s">
        <v>18</v>
      </c>
      <c r="B779" t="s">
        <v>13</v>
      </c>
      <c r="C779" t="s">
        <v>19</v>
      </c>
      <c r="D779" s="3">
        <v>45133</v>
      </c>
      <c r="E779" s="2">
        <v>13509</v>
      </c>
    </row>
    <row r="780" spans="1:5" x14ac:dyDescent="0.3">
      <c r="A780" t="s">
        <v>32</v>
      </c>
      <c r="B780" t="s">
        <v>6</v>
      </c>
      <c r="C780" t="s">
        <v>23</v>
      </c>
      <c r="D780" s="3">
        <v>45133</v>
      </c>
      <c r="E780" s="2">
        <v>11515</v>
      </c>
    </row>
    <row r="781" spans="1:5" x14ac:dyDescent="0.3">
      <c r="A781" t="s">
        <v>31</v>
      </c>
      <c r="B781" t="s">
        <v>21</v>
      </c>
      <c r="C781" t="s">
        <v>23</v>
      </c>
      <c r="D781" s="3">
        <v>45133</v>
      </c>
      <c r="E781" s="2">
        <v>12503</v>
      </c>
    </row>
    <row r="782" spans="1:5" x14ac:dyDescent="0.3">
      <c r="A782" t="s">
        <v>27</v>
      </c>
      <c r="B782" t="s">
        <v>11</v>
      </c>
      <c r="C782" t="s">
        <v>28</v>
      </c>
      <c r="D782" s="3">
        <v>45133</v>
      </c>
      <c r="E782" s="2">
        <v>8053</v>
      </c>
    </row>
    <row r="783" spans="1:5" x14ac:dyDescent="0.3">
      <c r="A783" t="s">
        <v>33</v>
      </c>
      <c r="B783" t="s">
        <v>9</v>
      </c>
      <c r="C783" t="s">
        <v>28</v>
      </c>
      <c r="D783" s="3">
        <v>45133</v>
      </c>
      <c r="E783" s="2">
        <v>2003</v>
      </c>
    </row>
    <row r="784" spans="1:5" x14ac:dyDescent="0.3">
      <c r="A784" t="s">
        <v>29</v>
      </c>
      <c r="B784" t="s">
        <v>13</v>
      </c>
      <c r="C784" t="s">
        <v>17</v>
      </c>
      <c r="D784" s="3">
        <v>45133</v>
      </c>
      <c r="E784" s="2">
        <v>3559</v>
      </c>
    </row>
    <row r="785" spans="1:5" x14ac:dyDescent="0.3">
      <c r="A785" t="s">
        <v>32</v>
      </c>
      <c r="B785" t="s">
        <v>13</v>
      </c>
      <c r="C785" t="s">
        <v>14</v>
      </c>
      <c r="D785" s="3">
        <v>45134</v>
      </c>
      <c r="E785" s="2">
        <v>12205</v>
      </c>
    </row>
    <row r="786" spans="1:5" x14ac:dyDescent="0.3">
      <c r="A786" t="s">
        <v>10</v>
      </c>
      <c r="B786" t="s">
        <v>11</v>
      </c>
      <c r="C786" t="s">
        <v>28</v>
      </c>
      <c r="D786" s="3">
        <v>45134</v>
      </c>
      <c r="E786" s="2">
        <v>13132</v>
      </c>
    </row>
    <row r="787" spans="1:5" x14ac:dyDescent="0.3">
      <c r="A787" t="s">
        <v>32</v>
      </c>
      <c r="B787" t="s">
        <v>6</v>
      </c>
      <c r="C787" t="s">
        <v>17</v>
      </c>
      <c r="D787" s="3">
        <v>45134</v>
      </c>
      <c r="E787" s="2">
        <v>1948</v>
      </c>
    </row>
    <row r="788" spans="1:5" x14ac:dyDescent="0.3">
      <c r="A788" t="s">
        <v>26</v>
      </c>
      <c r="B788" t="s">
        <v>6</v>
      </c>
      <c r="C788" t="s">
        <v>14</v>
      </c>
      <c r="D788" s="3">
        <v>45135</v>
      </c>
      <c r="E788" s="2">
        <v>5162</v>
      </c>
    </row>
    <row r="789" spans="1:5" x14ac:dyDescent="0.3">
      <c r="A789" t="s">
        <v>8</v>
      </c>
      <c r="B789" t="s">
        <v>13</v>
      </c>
      <c r="C789" t="s">
        <v>14</v>
      </c>
      <c r="D789" s="3">
        <v>45135</v>
      </c>
      <c r="E789" s="2">
        <v>5305</v>
      </c>
    </row>
    <row r="790" spans="1:5" x14ac:dyDescent="0.3">
      <c r="A790" t="s">
        <v>24</v>
      </c>
      <c r="B790" t="s">
        <v>13</v>
      </c>
      <c r="C790" t="s">
        <v>23</v>
      </c>
      <c r="D790" s="3">
        <v>45135</v>
      </c>
      <c r="E790" s="2">
        <v>7888</v>
      </c>
    </row>
    <row r="791" spans="1:5" x14ac:dyDescent="0.3">
      <c r="A791" t="s">
        <v>30</v>
      </c>
      <c r="B791" t="s">
        <v>6</v>
      </c>
      <c r="C791" t="s">
        <v>17</v>
      </c>
      <c r="D791" s="3">
        <v>45135</v>
      </c>
      <c r="E791" s="2">
        <v>11741</v>
      </c>
    </row>
    <row r="792" spans="1:5" x14ac:dyDescent="0.3">
      <c r="A792" t="s">
        <v>24</v>
      </c>
      <c r="B792" t="s">
        <v>21</v>
      </c>
      <c r="C792" t="s">
        <v>28</v>
      </c>
      <c r="D792" s="3">
        <v>45136</v>
      </c>
      <c r="E792" s="2">
        <v>2044</v>
      </c>
    </row>
    <row r="793" spans="1:5" x14ac:dyDescent="0.3">
      <c r="A793" t="s">
        <v>22</v>
      </c>
      <c r="B793" t="s">
        <v>13</v>
      </c>
      <c r="C793" t="s">
        <v>12</v>
      </c>
      <c r="D793" s="3">
        <v>45136</v>
      </c>
      <c r="E793" s="2">
        <v>2277</v>
      </c>
    </row>
    <row r="794" spans="1:5" x14ac:dyDescent="0.3">
      <c r="A794" t="s">
        <v>5</v>
      </c>
      <c r="B794" t="s">
        <v>9</v>
      </c>
      <c r="C794" t="s">
        <v>12</v>
      </c>
      <c r="D794" s="3">
        <v>45136</v>
      </c>
      <c r="E794" s="2">
        <v>11616</v>
      </c>
    </row>
    <row r="795" spans="1:5" x14ac:dyDescent="0.3">
      <c r="A795" t="s">
        <v>31</v>
      </c>
      <c r="B795" t="s">
        <v>6</v>
      </c>
      <c r="C795" t="s">
        <v>19</v>
      </c>
      <c r="D795" s="3">
        <v>45137</v>
      </c>
      <c r="E795" s="2">
        <v>13461</v>
      </c>
    </row>
    <row r="796" spans="1:5" x14ac:dyDescent="0.3">
      <c r="A796" t="s">
        <v>20</v>
      </c>
      <c r="B796" t="s">
        <v>6</v>
      </c>
      <c r="C796" t="s">
        <v>7</v>
      </c>
      <c r="D796" s="3">
        <v>45137</v>
      </c>
      <c r="E796" s="2">
        <v>11438</v>
      </c>
    </row>
    <row r="797" spans="1:5" x14ac:dyDescent="0.3">
      <c r="A797" t="s">
        <v>31</v>
      </c>
      <c r="B797" t="s">
        <v>6</v>
      </c>
      <c r="C797" t="s">
        <v>28</v>
      </c>
      <c r="D797" s="3">
        <v>45137</v>
      </c>
      <c r="E797" s="2">
        <v>7386</v>
      </c>
    </row>
    <row r="798" spans="1:5" x14ac:dyDescent="0.3">
      <c r="A798" t="s">
        <v>24</v>
      </c>
      <c r="B798" t="s">
        <v>6</v>
      </c>
      <c r="C798" t="s">
        <v>14</v>
      </c>
      <c r="D798" s="3">
        <v>45138</v>
      </c>
      <c r="E798" s="2">
        <v>3013</v>
      </c>
    </row>
    <row r="799" spans="1:5" x14ac:dyDescent="0.3">
      <c r="A799" t="s">
        <v>22</v>
      </c>
      <c r="B799" t="s">
        <v>21</v>
      </c>
      <c r="C799" t="s">
        <v>14</v>
      </c>
      <c r="D799" s="3">
        <v>45138</v>
      </c>
      <c r="E799" s="2">
        <v>1186</v>
      </c>
    </row>
    <row r="800" spans="1:5" x14ac:dyDescent="0.3">
      <c r="A800" t="s">
        <v>31</v>
      </c>
      <c r="B800" t="s">
        <v>9</v>
      </c>
      <c r="C800" t="s">
        <v>14</v>
      </c>
      <c r="D800" s="3">
        <v>45138</v>
      </c>
      <c r="E800" s="2">
        <v>4305</v>
      </c>
    </row>
    <row r="801" spans="1:5" x14ac:dyDescent="0.3">
      <c r="A801" t="s">
        <v>8</v>
      </c>
      <c r="B801" t="s">
        <v>9</v>
      </c>
      <c r="C801" t="s">
        <v>14</v>
      </c>
      <c r="D801" s="3">
        <v>45138</v>
      </c>
      <c r="E801" s="2">
        <v>9765</v>
      </c>
    </row>
    <row r="802" spans="1:5" x14ac:dyDescent="0.3">
      <c r="A802" t="s">
        <v>15</v>
      </c>
      <c r="B802" t="s">
        <v>13</v>
      </c>
      <c r="C802" t="s">
        <v>25</v>
      </c>
      <c r="D802" s="3">
        <v>45138</v>
      </c>
      <c r="E802" s="2">
        <v>6692</v>
      </c>
    </row>
    <row r="803" spans="1:5" x14ac:dyDescent="0.3">
      <c r="A803" t="s">
        <v>10</v>
      </c>
      <c r="B803" t="s">
        <v>11</v>
      </c>
      <c r="C803" t="s">
        <v>25</v>
      </c>
      <c r="D803" s="3">
        <v>45138</v>
      </c>
      <c r="E803" s="2">
        <v>7666</v>
      </c>
    </row>
    <row r="804" spans="1:5" x14ac:dyDescent="0.3">
      <c r="A804" t="s">
        <v>32</v>
      </c>
      <c r="B804" t="s">
        <v>13</v>
      </c>
      <c r="C804" t="s">
        <v>25</v>
      </c>
      <c r="D804" s="3">
        <v>45138</v>
      </c>
      <c r="E804" s="2">
        <v>11732</v>
      </c>
    </row>
    <row r="805" spans="1:5" x14ac:dyDescent="0.3">
      <c r="A805" t="s">
        <v>29</v>
      </c>
      <c r="B805" t="s">
        <v>13</v>
      </c>
      <c r="C805" t="s">
        <v>14</v>
      </c>
      <c r="D805" s="3">
        <v>45139</v>
      </c>
      <c r="E805" s="2">
        <v>3064</v>
      </c>
    </row>
    <row r="806" spans="1:5" x14ac:dyDescent="0.3">
      <c r="A806" t="s">
        <v>31</v>
      </c>
      <c r="B806" t="s">
        <v>11</v>
      </c>
      <c r="C806" t="s">
        <v>23</v>
      </c>
      <c r="D806" s="3">
        <v>45139</v>
      </c>
      <c r="E806" s="2">
        <v>5717</v>
      </c>
    </row>
    <row r="807" spans="1:5" x14ac:dyDescent="0.3">
      <c r="A807" t="s">
        <v>22</v>
      </c>
      <c r="B807" t="s">
        <v>11</v>
      </c>
      <c r="C807" t="s">
        <v>23</v>
      </c>
      <c r="D807" s="3">
        <v>45139</v>
      </c>
      <c r="E807" s="2">
        <v>4155</v>
      </c>
    </row>
    <row r="808" spans="1:5" x14ac:dyDescent="0.3">
      <c r="A808" t="s">
        <v>26</v>
      </c>
      <c r="B808" t="s">
        <v>16</v>
      </c>
      <c r="C808" t="s">
        <v>7</v>
      </c>
      <c r="D808" s="3">
        <v>45139</v>
      </c>
      <c r="E808" s="2">
        <v>5483</v>
      </c>
    </row>
    <row r="809" spans="1:5" x14ac:dyDescent="0.3">
      <c r="A809" t="s">
        <v>20</v>
      </c>
      <c r="B809" t="s">
        <v>13</v>
      </c>
      <c r="C809" t="s">
        <v>17</v>
      </c>
      <c r="D809" s="3">
        <v>45139</v>
      </c>
      <c r="E809" s="2">
        <v>2610</v>
      </c>
    </row>
    <row r="810" spans="1:5" x14ac:dyDescent="0.3">
      <c r="A810" t="s">
        <v>8</v>
      </c>
      <c r="B810" t="s">
        <v>11</v>
      </c>
      <c r="C810" t="s">
        <v>25</v>
      </c>
      <c r="D810" s="3">
        <v>45140</v>
      </c>
      <c r="E810" s="2">
        <v>10427</v>
      </c>
    </row>
    <row r="811" spans="1:5" x14ac:dyDescent="0.3">
      <c r="A811" t="s">
        <v>24</v>
      </c>
      <c r="B811" t="s">
        <v>9</v>
      </c>
      <c r="C811" t="s">
        <v>7</v>
      </c>
      <c r="D811" s="3">
        <v>45140</v>
      </c>
      <c r="E811" s="2">
        <v>10162</v>
      </c>
    </row>
    <row r="812" spans="1:5" x14ac:dyDescent="0.3">
      <c r="A812" t="s">
        <v>18</v>
      </c>
      <c r="B812" t="s">
        <v>9</v>
      </c>
      <c r="C812" t="s">
        <v>28</v>
      </c>
      <c r="D812" s="3">
        <v>45140</v>
      </c>
      <c r="E812" s="2">
        <v>3628</v>
      </c>
    </row>
    <row r="813" spans="1:5" x14ac:dyDescent="0.3">
      <c r="A813" t="s">
        <v>22</v>
      </c>
      <c r="B813" t="s">
        <v>16</v>
      </c>
      <c r="C813" t="s">
        <v>17</v>
      </c>
      <c r="D813" s="3">
        <v>45140</v>
      </c>
      <c r="E813" s="2">
        <v>6864</v>
      </c>
    </row>
    <row r="814" spans="1:5" x14ac:dyDescent="0.3">
      <c r="A814" t="s">
        <v>26</v>
      </c>
      <c r="B814" t="s">
        <v>21</v>
      </c>
      <c r="C814" t="s">
        <v>17</v>
      </c>
      <c r="D814" s="3">
        <v>45140</v>
      </c>
      <c r="E814" s="2">
        <v>1810</v>
      </c>
    </row>
    <row r="815" spans="1:5" x14ac:dyDescent="0.3">
      <c r="A815" t="s">
        <v>10</v>
      </c>
      <c r="B815" t="s">
        <v>6</v>
      </c>
      <c r="C815" t="s">
        <v>14</v>
      </c>
      <c r="D815" s="3">
        <v>45141</v>
      </c>
      <c r="E815" s="2">
        <v>6221</v>
      </c>
    </row>
    <row r="816" spans="1:5" x14ac:dyDescent="0.3">
      <c r="A816" t="s">
        <v>31</v>
      </c>
      <c r="B816" t="s">
        <v>9</v>
      </c>
      <c r="C816" t="s">
        <v>19</v>
      </c>
      <c r="D816" s="3">
        <v>45141</v>
      </c>
      <c r="E816" s="2">
        <v>1056</v>
      </c>
    </row>
    <row r="817" spans="1:5" x14ac:dyDescent="0.3">
      <c r="A817" t="s">
        <v>5</v>
      </c>
      <c r="B817" t="s">
        <v>13</v>
      </c>
      <c r="C817" t="s">
        <v>23</v>
      </c>
      <c r="D817" s="3">
        <v>45141</v>
      </c>
      <c r="E817" s="2">
        <v>2761</v>
      </c>
    </row>
    <row r="818" spans="1:5" x14ac:dyDescent="0.3">
      <c r="A818" t="s">
        <v>26</v>
      </c>
      <c r="B818" t="s">
        <v>11</v>
      </c>
      <c r="C818" t="s">
        <v>7</v>
      </c>
      <c r="D818" s="3">
        <v>45141</v>
      </c>
      <c r="E818" s="2">
        <v>2544</v>
      </c>
    </row>
    <row r="819" spans="1:5" x14ac:dyDescent="0.3">
      <c r="A819" t="s">
        <v>5</v>
      </c>
      <c r="B819" t="s">
        <v>6</v>
      </c>
      <c r="C819" t="s">
        <v>17</v>
      </c>
      <c r="D819" s="3">
        <v>45141</v>
      </c>
      <c r="E819" s="2">
        <v>10580</v>
      </c>
    </row>
    <row r="820" spans="1:5" x14ac:dyDescent="0.3">
      <c r="A820" t="s">
        <v>27</v>
      </c>
      <c r="B820" t="s">
        <v>21</v>
      </c>
      <c r="C820" t="s">
        <v>17</v>
      </c>
      <c r="D820" s="3">
        <v>45142</v>
      </c>
      <c r="E820" s="2">
        <v>2033</v>
      </c>
    </row>
    <row r="821" spans="1:5" x14ac:dyDescent="0.3">
      <c r="A821" t="s">
        <v>10</v>
      </c>
      <c r="B821" t="s">
        <v>13</v>
      </c>
      <c r="C821" t="s">
        <v>17</v>
      </c>
      <c r="D821" s="3">
        <v>45142</v>
      </c>
      <c r="E821" s="2">
        <v>7086</v>
      </c>
    </row>
    <row r="822" spans="1:5" x14ac:dyDescent="0.3">
      <c r="A822" t="s">
        <v>8</v>
      </c>
      <c r="B822" t="s">
        <v>11</v>
      </c>
      <c r="C822" t="s">
        <v>12</v>
      </c>
      <c r="D822" s="3">
        <v>45142</v>
      </c>
      <c r="E822" s="2">
        <v>8771</v>
      </c>
    </row>
    <row r="823" spans="1:5" x14ac:dyDescent="0.3">
      <c r="A823" t="s">
        <v>5</v>
      </c>
      <c r="B823" t="s">
        <v>21</v>
      </c>
      <c r="C823" t="s">
        <v>12</v>
      </c>
      <c r="D823" s="3">
        <v>45142</v>
      </c>
      <c r="E823" s="2">
        <v>12735</v>
      </c>
    </row>
    <row r="824" spans="1:5" x14ac:dyDescent="0.3">
      <c r="A824" t="s">
        <v>30</v>
      </c>
      <c r="B824" t="s">
        <v>16</v>
      </c>
      <c r="C824" t="s">
        <v>17</v>
      </c>
      <c r="D824" s="3">
        <v>45143</v>
      </c>
      <c r="E824" s="2">
        <v>10271</v>
      </c>
    </row>
    <row r="825" spans="1:5" x14ac:dyDescent="0.3">
      <c r="A825" t="s">
        <v>24</v>
      </c>
      <c r="B825" t="s">
        <v>11</v>
      </c>
      <c r="C825" t="s">
        <v>12</v>
      </c>
      <c r="D825" s="3">
        <v>45143</v>
      </c>
      <c r="E825" s="2">
        <v>1867</v>
      </c>
    </row>
    <row r="826" spans="1:5" x14ac:dyDescent="0.3">
      <c r="A826" t="s">
        <v>24</v>
      </c>
      <c r="B826" t="s">
        <v>16</v>
      </c>
      <c r="C826" t="s">
        <v>12</v>
      </c>
      <c r="D826" s="3">
        <v>45143</v>
      </c>
      <c r="E826" s="2">
        <v>10631</v>
      </c>
    </row>
    <row r="827" spans="1:5" x14ac:dyDescent="0.3">
      <c r="A827" t="s">
        <v>29</v>
      </c>
      <c r="B827" t="s">
        <v>21</v>
      </c>
      <c r="C827" t="s">
        <v>7</v>
      </c>
      <c r="D827" s="3">
        <v>45144</v>
      </c>
      <c r="E827" s="2">
        <v>3714</v>
      </c>
    </row>
    <row r="828" spans="1:5" x14ac:dyDescent="0.3">
      <c r="A828" t="s">
        <v>29</v>
      </c>
      <c r="B828" t="s">
        <v>21</v>
      </c>
      <c r="C828" t="s">
        <v>12</v>
      </c>
      <c r="D828" s="3">
        <v>45144</v>
      </c>
      <c r="E828" s="2">
        <v>8593</v>
      </c>
    </row>
    <row r="829" spans="1:5" x14ac:dyDescent="0.3">
      <c r="A829" t="s">
        <v>33</v>
      </c>
      <c r="B829" t="s">
        <v>16</v>
      </c>
      <c r="C829" t="s">
        <v>14</v>
      </c>
      <c r="D829" s="3">
        <v>45145</v>
      </c>
      <c r="E829" s="2">
        <v>9591</v>
      </c>
    </row>
    <row r="830" spans="1:5" x14ac:dyDescent="0.3">
      <c r="A830" t="s">
        <v>33</v>
      </c>
      <c r="B830" t="s">
        <v>6</v>
      </c>
      <c r="C830" t="s">
        <v>14</v>
      </c>
      <c r="D830" s="3">
        <v>45145</v>
      </c>
      <c r="E830" s="2">
        <v>10531</v>
      </c>
    </row>
    <row r="831" spans="1:5" x14ac:dyDescent="0.3">
      <c r="A831" t="s">
        <v>15</v>
      </c>
      <c r="B831" t="s">
        <v>13</v>
      </c>
      <c r="C831" t="s">
        <v>23</v>
      </c>
      <c r="D831" s="3">
        <v>45145</v>
      </c>
      <c r="E831" s="2">
        <v>8442</v>
      </c>
    </row>
    <row r="832" spans="1:5" x14ac:dyDescent="0.3">
      <c r="A832" t="s">
        <v>30</v>
      </c>
      <c r="B832" t="s">
        <v>16</v>
      </c>
      <c r="C832" t="s">
        <v>25</v>
      </c>
      <c r="D832" s="3">
        <v>45145</v>
      </c>
      <c r="E832" s="2">
        <v>3425</v>
      </c>
    </row>
    <row r="833" spans="1:5" x14ac:dyDescent="0.3">
      <c r="A833" t="s">
        <v>15</v>
      </c>
      <c r="B833" t="s">
        <v>16</v>
      </c>
      <c r="C833" t="s">
        <v>17</v>
      </c>
      <c r="D833" s="3">
        <v>45145</v>
      </c>
      <c r="E833" s="2">
        <v>3065</v>
      </c>
    </row>
    <row r="834" spans="1:5" x14ac:dyDescent="0.3">
      <c r="A834" t="s">
        <v>10</v>
      </c>
      <c r="B834" t="s">
        <v>16</v>
      </c>
      <c r="C834" t="s">
        <v>14</v>
      </c>
      <c r="D834" s="3">
        <v>45146</v>
      </c>
      <c r="E834" s="2">
        <v>12950</v>
      </c>
    </row>
    <row r="835" spans="1:5" x14ac:dyDescent="0.3">
      <c r="A835" t="s">
        <v>15</v>
      </c>
      <c r="B835" t="s">
        <v>21</v>
      </c>
      <c r="C835" t="s">
        <v>14</v>
      </c>
      <c r="D835" s="3">
        <v>45146</v>
      </c>
      <c r="E835" s="2">
        <v>9470</v>
      </c>
    </row>
    <row r="836" spans="1:5" x14ac:dyDescent="0.3">
      <c r="A836" t="s">
        <v>30</v>
      </c>
      <c r="B836" t="s">
        <v>6</v>
      </c>
      <c r="C836" t="s">
        <v>19</v>
      </c>
      <c r="D836" s="3">
        <v>45146</v>
      </c>
      <c r="E836" s="2">
        <v>7136</v>
      </c>
    </row>
    <row r="837" spans="1:5" x14ac:dyDescent="0.3">
      <c r="A837" t="s">
        <v>10</v>
      </c>
      <c r="B837" t="s">
        <v>6</v>
      </c>
      <c r="C837" t="s">
        <v>7</v>
      </c>
      <c r="D837" s="3">
        <v>45146</v>
      </c>
      <c r="E837" s="2">
        <v>5679</v>
      </c>
    </row>
    <row r="838" spans="1:5" x14ac:dyDescent="0.3">
      <c r="A838" t="s">
        <v>30</v>
      </c>
      <c r="B838" t="s">
        <v>21</v>
      </c>
      <c r="C838" t="s">
        <v>12</v>
      </c>
      <c r="D838" s="3">
        <v>45146</v>
      </c>
      <c r="E838" s="2">
        <v>11078</v>
      </c>
    </row>
    <row r="839" spans="1:5" x14ac:dyDescent="0.3">
      <c r="A839" t="s">
        <v>8</v>
      </c>
      <c r="B839" t="s">
        <v>9</v>
      </c>
      <c r="C839" t="s">
        <v>14</v>
      </c>
      <c r="D839" s="3">
        <v>45147</v>
      </c>
      <c r="E839" s="2">
        <v>1637</v>
      </c>
    </row>
    <row r="840" spans="1:5" x14ac:dyDescent="0.3">
      <c r="A840" t="s">
        <v>24</v>
      </c>
      <c r="B840" t="s">
        <v>11</v>
      </c>
      <c r="C840" t="s">
        <v>19</v>
      </c>
      <c r="D840" s="3">
        <v>45147</v>
      </c>
      <c r="E840" s="2">
        <v>6770</v>
      </c>
    </row>
    <row r="841" spans="1:5" x14ac:dyDescent="0.3">
      <c r="A841" t="s">
        <v>26</v>
      </c>
      <c r="B841" t="s">
        <v>16</v>
      </c>
      <c r="C841" t="s">
        <v>12</v>
      </c>
      <c r="D841" s="3">
        <v>45147</v>
      </c>
      <c r="E841" s="2">
        <v>9602</v>
      </c>
    </row>
    <row r="842" spans="1:5" x14ac:dyDescent="0.3">
      <c r="A842" t="s">
        <v>31</v>
      </c>
      <c r="B842" t="s">
        <v>11</v>
      </c>
      <c r="C842" t="s">
        <v>19</v>
      </c>
      <c r="D842" s="3">
        <v>45148</v>
      </c>
      <c r="E842" s="2">
        <v>1086</v>
      </c>
    </row>
    <row r="843" spans="1:5" x14ac:dyDescent="0.3">
      <c r="A843" t="s">
        <v>29</v>
      </c>
      <c r="B843" t="s">
        <v>11</v>
      </c>
      <c r="C843" t="s">
        <v>23</v>
      </c>
      <c r="D843" s="3">
        <v>45148</v>
      </c>
      <c r="E843" s="2">
        <v>2693</v>
      </c>
    </row>
    <row r="844" spans="1:5" x14ac:dyDescent="0.3">
      <c r="A844" t="s">
        <v>18</v>
      </c>
      <c r="B844" t="s">
        <v>16</v>
      </c>
      <c r="C844" t="s">
        <v>25</v>
      </c>
      <c r="D844" s="3">
        <v>45148</v>
      </c>
      <c r="E844" s="2">
        <v>10702</v>
      </c>
    </row>
    <row r="845" spans="1:5" x14ac:dyDescent="0.3">
      <c r="A845" t="s">
        <v>15</v>
      </c>
      <c r="B845" t="s">
        <v>11</v>
      </c>
      <c r="C845" t="s">
        <v>25</v>
      </c>
      <c r="D845" s="3">
        <v>45148</v>
      </c>
      <c r="E845" s="2">
        <v>7766</v>
      </c>
    </row>
    <row r="846" spans="1:5" x14ac:dyDescent="0.3">
      <c r="A846" t="s">
        <v>22</v>
      </c>
      <c r="B846" t="s">
        <v>21</v>
      </c>
      <c r="C846" t="s">
        <v>25</v>
      </c>
      <c r="D846" s="3">
        <v>45148</v>
      </c>
      <c r="E846" s="2">
        <v>2081</v>
      </c>
    </row>
    <row r="847" spans="1:5" x14ac:dyDescent="0.3">
      <c r="A847" t="s">
        <v>10</v>
      </c>
      <c r="B847" t="s">
        <v>9</v>
      </c>
      <c r="C847" t="s">
        <v>17</v>
      </c>
      <c r="D847" s="3">
        <v>45148</v>
      </c>
      <c r="E847" s="2">
        <v>5610</v>
      </c>
    </row>
    <row r="848" spans="1:5" x14ac:dyDescent="0.3">
      <c r="A848" t="s">
        <v>20</v>
      </c>
      <c r="B848" t="s">
        <v>13</v>
      </c>
      <c r="C848" t="s">
        <v>7</v>
      </c>
      <c r="D848" s="3">
        <v>45150</v>
      </c>
      <c r="E848" s="2">
        <v>6780</v>
      </c>
    </row>
    <row r="849" spans="1:5" x14ac:dyDescent="0.3">
      <c r="A849" t="s">
        <v>10</v>
      </c>
      <c r="B849" t="s">
        <v>9</v>
      </c>
      <c r="C849" t="s">
        <v>17</v>
      </c>
      <c r="D849" s="3">
        <v>45150</v>
      </c>
      <c r="E849" s="2">
        <v>3055</v>
      </c>
    </row>
    <row r="850" spans="1:5" x14ac:dyDescent="0.3">
      <c r="A850" t="s">
        <v>22</v>
      </c>
      <c r="B850" t="s">
        <v>13</v>
      </c>
      <c r="C850" t="s">
        <v>14</v>
      </c>
      <c r="D850" s="3">
        <v>45152</v>
      </c>
      <c r="E850" s="2">
        <v>3429</v>
      </c>
    </row>
    <row r="851" spans="1:5" x14ac:dyDescent="0.3">
      <c r="A851" t="s">
        <v>33</v>
      </c>
      <c r="B851" t="s">
        <v>6</v>
      </c>
      <c r="C851" t="s">
        <v>14</v>
      </c>
      <c r="D851" s="3">
        <v>45152</v>
      </c>
      <c r="E851" s="2">
        <v>10829</v>
      </c>
    </row>
    <row r="852" spans="1:5" x14ac:dyDescent="0.3">
      <c r="A852" t="s">
        <v>33</v>
      </c>
      <c r="B852" t="s">
        <v>21</v>
      </c>
      <c r="C852" t="s">
        <v>19</v>
      </c>
      <c r="D852" s="3">
        <v>45152</v>
      </c>
      <c r="E852" s="2">
        <v>6750</v>
      </c>
    </row>
    <row r="853" spans="1:5" x14ac:dyDescent="0.3">
      <c r="A853" t="s">
        <v>5</v>
      </c>
      <c r="B853" t="s">
        <v>9</v>
      </c>
      <c r="C853" t="s">
        <v>17</v>
      </c>
      <c r="D853" s="3">
        <v>45152</v>
      </c>
      <c r="E853" s="2">
        <v>10349</v>
      </c>
    </row>
    <row r="854" spans="1:5" x14ac:dyDescent="0.3">
      <c r="A854" t="s">
        <v>33</v>
      </c>
      <c r="B854" t="s">
        <v>9</v>
      </c>
      <c r="C854" t="s">
        <v>12</v>
      </c>
      <c r="D854" s="3">
        <v>45152</v>
      </c>
      <c r="E854" s="2">
        <v>6900</v>
      </c>
    </row>
    <row r="855" spans="1:5" x14ac:dyDescent="0.3">
      <c r="A855" t="s">
        <v>8</v>
      </c>
      <c r="B855" t="s">
        <v>9</v>
      </c>
      <c r="C855" t="s">
        <v>7</v>
      </c>
      <c r="D855" s="3">
        <v>45153</v>
      </c>
      <c r="E855" s="2">
        <v>10863</v>
      </c>
    </row>
    <row r="856" spans="1:5" x14ac:dyDescent="0.3">
      <c r="A856" t="s">
        <v>24</v>
      </c>
      <c r="B856" t="s">
        <v>9</v>
      </c>
      <c r="C856" t="s">
        <v>25</v>
      </c>
      <c r="D856" s="3">
        <v>45154</v>
      </c>
      <c r="E856" s="2">
        <v>12421</v>
      </c>
    </row>
    <row r="857" spans="1:5" x14ac:dyDescent="0.3">
      <c r="A857" t="s">
        <v>20</v>
      </c>
      <c r="B857" t="s">
        <v>11</v>
      </c>
      <c r="C857" t="s">
        <v>28</v>
      </c>
      <c r="D857" s="3">
        <v>45154</v>
      </c>
      <c r="E857" s="2">
        <v>6227</v>
      </c>
    </row>
    <row r="858" spans="1:5" x14ac:dyDescent="0.3">
      <c r="A858" t="s">
        <v>22</v>
      </c>
      <c r="B858" t="s">
        <v>21</v>
      </c>
      <c r="C858" t="s">
        <v>12</v>
      </c>
      <c r="D858" s="3">
        <v>45154</v>
      </c>
      <c r="E858" s="2">
        <v>10994</v>
      </c>
    </row>
    <row r="859" spans="1:5" x14ac:dyDescent="0.3">
      <c r="A859" t="s">
        <v>10</v>
      </c>
      <c r="B859" t="s">
        <v>13</v>
      </c>
      <c r="C859" t="s">
        <v>7</v>
      </c>
      <c r="D859" s="3">
        <v>45155</v>
      </c>
      <c r="E859" s="2">
        <v>8311</v>
      </c>
    </row>
    <row r="860" spans="1:5" x14ac:dyDescent="0.3">
      <c r="A860" t="s">
        <v>20</v>
      </c>
      <c r="B860" t="s">
        <v>13</v>
      </c>
      <c r="C860" t="s">
        <v>17</v>
      </c>
      <c r="D860" s="3">
        <v>45155</v>
      </c>
      <c r="E860" s="2">
        <v>3041</v>
      </c>
    </row>
    <row r="861" spans="1:5" x14ac:dyDescent="0.3">
      <c r="A861" t="s">
        <v>15</v>
      </c>
      <c r="B861" t="s">
        <v>9</v>
      </c>
      <c r="C861" t="s">
        <v>12</v>
      </c>
      <c r="D861" s="3">
        <v>45155</v>
      </c>
      <c r="E861" s="2">
        <v>3273</v>
      </c>
    </row>
    <row r="862" spans="1:5" x14ac:dyDescent="0.3">
      <c r="A862" t="s">
        <v>31</v>
      </c>
      <c r="B862" t="s">
        <v>21</v>
      </c>
      <c r="C862" t="s">
        <v>19</v>
      </c>
      <c r="D862" s="3">
        <v>45156</v>
      </c>
      <c r="E862" s="2">
        <v>7155</v>
      </c>
    </row>
    <row r="863" spans="1:5" x14ac:dyDescent="0.3">
      <c r="A863" t="s">
        <v>8</v>
      </c>
      <c r="B863" t="s">
        <v>16</v>
      </c>
      <c r="C863" t="s">
        <v>23</v>
      </c>
      <c r="D863" s="3">
        <v>45156</v>
      </c>
      <c r="E863" s="2">
        <v>7403</v>
      </c>
    </row>
    <row r="864" spans="1:5" x14ac:dyDescent="0.3">
      <c r="A864" t="s">
        <v>30</v>
      </c>
      <c r="B864" t="s">
        <v>11</v>
      </c>
      <c r="C864" t="s">
        <v>23</v>
      </c>
      <c r="D864" s="3">
        <v>45156</v>
      </c>
      <c r="E864" s="2">
        <v>2974</v>
      </c>
    </row>
    <row r="865" spans="1:5" x14ac:dyDescent="0.3">
      <c r="A865" t="s">
        <v>15</v>
      </c>
      <c r="B865" t="s">
        <v>6</v>
      </c>
      <c r="C865" t="s">
        <v>14</v>
      </c>
      <c r="D865" s="3">
        <v>45157</v>
      </c>
      <c r="E865" s="2">
        <v>9827</v>
      </c>
    </row>
    <row r="866" spans="1:5" x14ac:dyDescent="0.3">
      <c r="A866" t="s">
        <v>22</v>
      </c>
      <c r="B866" t="s">
        <v>16</v>
      </c>
      <c r="C866" t="s">
        <v>23</v>
      </c>
      <c r="D866" s="3">
        <v>45157</v>
      </c>
      <c r="E866" s="2">
        <v>13052</v>
      </c>
    </row>
    <row r="867" spans="1:5" x14ac:dyDescent="0.3">
      <c r="A867" t="s">
        <v>32</v>
      </c>
      <c r="B867" t="s">
        <v>13</v>
      </c>
      <c r="C867" t="s">
        <v>7</v>
      </c>
      <c r="D867" s="3">
        <v>45157</v>
      </c>
      <c r="E867" s="2">
        <v>3485</v>
      </c>
    </row>
    <row r="868" spans="1:5" x14ac:dyDescent="0.3">
      <c r="A868" t="s">
        <v>29</v>
      </c>
      <c r="B868" t="s">
        <v>9</v>
      </c>
      <c r="C868" t="s">
        <v>17</v>
      </c>
      <c r="D868" s="3">
        <v>45157</v>
      </c>
      <c r="E868" s="2">
        <v>11364</v>
      </c>
    </row>
    <row r="869" spans="1:5" x14ac:dyDescent="0.3">
      <c r="A869" t="s">
        <v>18</v>
      </c>
      <c r="B869" t="s">
        <v>16</v>
      </c>
      <c r="C869" t="s">
        <v>12</v>
      </c>
      <c r="D869" s="3">
        <v>45157</v>
      </c>
      <c r="E869" s="2">
        <v>1523</v>
      </c>
    </row>
    <row r="870" spans="1:5" x14ac:dyDescent="0.3">
      <c r="A870" t="s">
        <v>22</v>
      </c>
      <c r="B870" t="s">
        <v>9</v>
      </c>
      <c r="C870" t="s">
        <v>19</v>
      </c>
      <c r="D870" s="3">
        <v>45158</v>
      </c>
      <c r="E870" s="2">
        <v>11274</v>
      </c>
    </row>
    <row r="871" spans="1:5" x14ac:dyDescent="0.3">
      <c r="A871" t="s">
        <v>31</v>
      </c>
      <c r="B871" t="s">
        <v>13</v>
      </c>
      <c r="C871" t="s">
        <v>25</v>
      </c>
      <c r="D871" s="3">
        <v>45158</v>
      </c>
      <c r="E871" s="2">
        <v>6117</v>
      </c>
    </row>
    <row r="872" spans="1:5" x14ac:dyDescent="0.3">
      <c r="A872" t="s">
        <v>18</v>
      </c>
      <c r="B872" t="s">
        <v>11</v>
      </c>
      <c r="C872" t="s">
        <v>25</v>
      </c>
      <c r="D872" s="3">
        <v>45158</v>
      </c>
      <c r="E872" s="2">
        <v>2823</v>
      </c>
    </row>
    <row r="873" spans="1:5" x14ac:dyDescent="0.3">
      <c r="A873" t="s">
        <v>33</v>
      </c>
      <c r="B873" t="s">
        <v>13</v>
      </c>
      <c r="C873" t="s">
        <v>25</v>
      </c>
      <c r="D873" s="3">
        <v>45159</v>
      </c>
      <c r="E873" s="2">
        <v>9363</v>
      </c>
    </row>
    <row r="874" spans="1:5" x14ac:dyDescent="0.3">
      <c r="A874" t="s">
        <v>27</v>
      </c>
      <c r="B874" t="s">
        <v>6</v>
      </c>
      <c r="C874" t="s">
        <v>7</v>
      </c>
      <c r="D874" s="3">
        <v>45159</v>
      </c>
      <c r="E874" s="2">
        <v>6838</v>
      </c>
    </row>
    <row r="875" spans="1:5" x14ac:dyDescent="0.3">
      <c r="A875" t="s">
        <v>8</v>
      </c>
      <c r="B875" t="s">
        <v>13</v>
      </c>
      <c r="C875" t="s">
        <v>17</v>
      </c>
      <c r="D875" s="3">
        <v>45159</v>
      </c>
      <c r="E875" s="2">
        <v>11031</v>
      </c>
    </row>
    <row r="876" spans="1:5" x14ac:dyDescent="0.3">
      <c r="A876" t="s">
        <v>22</v>
      </c>
      <c r="B876" t="s">
        <v>16</v>
      </c>
      <c r="C876" t="s">
        <v>23</v>
      </c>
      <c r="D876" s="3">
        <v>45160</v>
      </c>
      <c r="E876" s="2">
        <v>12514</v>
      </c>
    </row>
    <row r="877" spans="1:5" x14ac:dyDescent="0.3">
      <c r="A877" t="s">
        <v>24</v>
      </c>
      <c r="B877" t="s">
        <v>6</v>
      </c>
      <c r="C877" t="s">
        <v>25</v>
      </c>
      <c r="D877" s="3">
        <v>45160</v>
      </c>
      <c r="E877" s="2">
        <v>7132</v>
      </c>
    </row>
    <row r="878" spans="1:5" x14ac:dyDescent="0.3">
      <c r="A878" t="s">
        <v>29</v>
      </c>
      <c r="B878" t="s">
        <v>11</v>
      </c>
      <c r="C878" t="s">
        <v>28</v>
      </c>
      <c r="D878" s="3">
        <v>45160</v>
      </c>
      <c r="E878" s="2">
        <v>4766</v>
      </c>
    </row>
    <row r="879" spans="1:5" x14ac:dyDescent="0.3">
      <c r="A879" t="s">
        <v>33</v>
      </c>
      <c r="B879" t="s">
        <v>6</v>
      </c>
      <c r="C879" t="s">
        <v>7</v>
      </c>
      <c r="D879" s="3">
        <v>45161</v>
      </c>
      <c r="E879" s="2">
        <v>11844</v>
      </c>
    </row>
    <row r="880" spans="1:5" x14ac:dyDescent="0.3">
      <c r="A880" t="s">
        <v>8</v>
      </c>
      <c r="B880" t="s">
        <v>6</v>
      </c>
      <c r="C880" t="s">
        <v>12</v>
      </c>
      <c r="D880" s="3">
        <v>45161</v>
      </c>
      <c r="E880" s="2">
        <v>9443</v>
      </c>
    </row>
    <row r="881" spans="1:5" x14ac:dyDescent="0.3">
      <c r="A881" t="s">
        <v>32</v>
      </c>
      <c r="B881" t="s">
        <v>9</v>
      </c>
      <c r="C881" t="s">
        <v>14</v>
      </c>
      <c r="D881" s="3">
        <v>45162</v>
      </c>
      <c r="E881" s="2">
        <v>12791</v>
      </c>
    </row>
    <row r="882" spans="1:5" x14ac:dyDescent="0.3">
      <c r="A882" t="s">
        <v>8</v>
      </c>
      <c r="B882" t="s">
        <v>9</v>
      </c>
      <c r="C882" t="s">
        <v>25</v>
      </c>
      <c r="D882" s="3">
        <v>45162</v>
      </c>
      <c r="E882" s="2">
        <v>13779</v>
      </c>
    </row>
    <row r="883" spans="1:5" x14ac:dyDescent="0.3">
      <c r="A883" t="s">
        <v>18</v>
      </c>
      <c r="B883" t="s">
        <v>16</v>
      </c>
      <c r="C883" t="s">
        <v>14</v>
      </c>
      <c r="D883" s="3">
        <v>45163</v>
      </c>
      <c r="E883" s="2">
        <v>9320</v>
      </c>
    </row>
    <row r="884" spans="1:5" x14ac:dyDescent="0.3">
      <c r="A884" t="s">
        <v>27</v>
      </c>
      <c r="B884" t="s">
        <v>16</v>
      </c>
      <c r="C884" t="s">
        <v>19</v>
      </c>
      <c r="D884" s="3">
        <v>45163</v>
      </c>
      <c r="E884" s="2">
        <v>8702</v>
      </c>
    </row>
    <row r="885" spans="1:5" x14ac:dyDescent="0.3">
      <c r="A885" t="s">
        <v>5</v>
      </c>
      <c r="B885" t="s">
        <v>11</v>
      </c>
      <c r="C885" t="s">
        <v>23</v>
      </c>
      <c r="D885" s="3">
        <v>45163</v>
      </c>
      <c r="E885" s="2">
        <v>13489</v>
      </c>
    </row>
    <row r="886" spans="1:5" x14ac:dyDescent="0.3">
      <c r="A886" t="s">
        <v>10</v>
      </c>
      <c r="B886" t="s">
        <v>6</v>
      </c>
      <c r="C886" t="s">
        <v>28</v>
      </c>
      <c r="D886" s="3">
        <v>45163</v>
      </c>
      <c r="E886" s="2">
        <v>1789</v>
      </c>
    </row>
    <row r="887" spans="1:5" x14ac:dyDescent="0.3">
      <c r="A887" t="s">
        <v>22</v>
      </c>
      <c r="B887" t="s">
        <v>6</v>
      </c>
      <c r="C887" t="s">
        <v>17</v>
      </c>
      <c r="D887" s="3">
        <v>45163</v>
      </c>
      <c r="E887" s="2">
        <v>2096</v>
      </c>
    </row>
    <row r="888" spans="1:5" x14ac:dyDescent="0.3">
      <c r="A888" t="s">
        <v>18</v>
      </c>
      <c r="B888" t="s">
        <v>13</v>
      </c>
      <c r="C888" t="s">
        <v>17</v>
      </c>
      <c r="D888" s="3">
        <v>45163</v>
      </c>
      <c r="E888" s="2">
        <v>2604</v>
      </c>
    </row>
    <row r="889" spans="1:5" x14ac:dyDescent="0.3">
      <c r="A889" t="s">
        <v>26</v>
      </c>
      <c r="B889" t="s">
        <v>21</v>
      </c>
      <c r="C889" t="s">
        <v>28</v>
      </c>
      <c r="D889" s="3">
        <v>45164</v>
      </c>
      <c r="E889" s="2">
        <v>10520</v>
      </c>
    </row>
    <row r="890" spans="1:5" x14ac:dyDescent="0.3">
      <c r="A890" t="s">
        <v>24</v>
      </c>
      <c r="B890" t="s">
        <v>16</v>
      </c>
      <c r="C890" t="s">
        <v>25</v>
      </c>
      <c r="D890" s="3">
        <v>45165</v>
      </c>
      <c r="E890" s="2">
        <v>4063</v>
      </c>
    </row>
    <row r="891" spans="1:5" x14ac:dyDescent="0.3">
      <c r="A891" t="s">
        <v>32</v>
      </c>
      <c r="B891" t="s">
        <v>11</v>
      </c>
      <c r="C891" t="s">
        <v>7</v>
      </c>
      <c r="D891" s="3">
        <v>45165</v>
      </c>
      <c r="E891" s="2">
        <v>6521</v>
      </c>
    </row>
    <row r="892" spans="1:5" x14ac:dyDescent="0.3">
      <c r="A892" t="s">
        <v>5</v>
      </c>
      <c r="B892" t="s">
        <v>11</v>
      </c>
      <c r="C892" t="s">
        <v>7</v>
      </c>
      <c r="D892" s="3">
        <v>45165</v>
      </c>
      <c r="E892" s="2">
        <v>3851</v>
      </c>
    </row>
    <row r="893" spans="1:5" x14ac:dyDescent="0.3">
      <c r="A893" t="s">
        <v>30</v>
      </c>
      <c r="B893" t="s">
        <v>6</v>
      </c>
      <c r="C893" t="s">
        <v>19</v>
      </c>
      <c r="D893" s="3">
        <v>45166</v>
      </c>
      <c r="E893" s="2">
        <v>6661</v>
      </c>
    </row>
    <row r="894" spans="1:5" x14ac:dyDescent="0.3">
      <c r="A894" t="s">
        <v>33</v>
      </c>
      <c r="B894" t="s">
        <v>9</v>
      </c>
      <c r="C894" t="s">
        <v>23</v>
      </c>
      <c r="D894" s="3">
        <v>45166</v>
      </c>
      <c r="E894" s="2">
        <v>10292</v>
      </c>
    </row>
    <row r="895" spans="1:5" x14ac:dyDescent="0.3">
      <c r="A895" t="s">
        <v>8</v>
      </c>
      <c r="B895" t="s">
        <v>16</v>
      </c>
      <c r="C895" t="s">
        <v>12</v>
      </c>
      <c r="D895" s="3">
        <v>45166</v>
      </c>
      <c r="E895" s="2">
        <v>13632</v>
      </c>
    </row>
    <row r="896" spans="1:5" x14ac:dyDescent="0.3">
      <c r="A896" t="s">
        <v>10</v>
      </c>
      <c r="B896" t="s">
        <v>11</v>
      </c>
      <c r="C896" t="s">
        <v>12</v>
      </c>
      <c r="D896" s="3">
        <v>45166</v>
      </c>
      <c r="E896" s="2">
        <v>12618</v>
      </c>
    </row>
    <row r="897" spans="1:5" x14ac:dyDescent="0.3">
      <c r="A897" t="s">
        <v>31</v>
      </c>
      <c r="B897" t="s">
        <v>21</v>
      </c>
      <c r="C897" t="s">
        <v>12</v>
      </c>
      <c r="D897" s="3">
        <v>45166</v>
      </c>
      <c r="E897" s="2">
        <v>8494</v>
      </c>
    </row>
    <row r="898" spans="1:5" x14ac:dyDescent="0.3">
      <c r="A898" t="s">
        <v>30</v>
      </c>
      <c r="B898" t="s">
        <v>21</v>
      </c>
      <c r="C898" t="s">
        <v>7</v>
      </c>
      <c r="D898" s="3">
        <v>45167</v>
      </c>
      <c r="E898" s="2">
        <v>11435</v>
      </c>
    </row>
    <row r="899" spans="1:5" x14ac:dyDescent="0.3">
      <c r="A899" t="s">
        <v>5</v>
      </c>
      <c r="B899" t="s">
        <v>21</v>
      </c>
      <c r="C899" t="s">
        <v>12</v>
      </c>
      <c r="D899" s="3">
        <v>45167</v>
      </c>
      <c r="E899" s="2">
        <v>7519</v>
      </c>
    </row>
    <row r="900" spans="1:5" x14ac:dyDescent="0.3">
      <c r="A900" t="s">
        <v>32</v>
      </c>
      <c r="B900" t="s">
        <v>11</v>
      </c>
      <c r="C900" t="s">
        <v>14</v>
      </c>
      <c r="D900" s="3">
        <v>45168</v>
      </c>
      <c r="E900" s="2">
        <v>8108</v>
      </c>
    </row>
    <row r="901" spans="1:5" x14ac:dyDescent="0.3">
      <c r="A901" t="s">
        <v>27</v>
      </c>
      <c r="B901" t="s">
        <v>21</v>
      </c>
      <c r="C901" t="s">
        <v>7</v>
      </c>
      <c r="D901" s="3">
        <v>45168</v>
      </c>
      <c r="E901" s="2">
        <v>10004</v>
      </c>
    </row>
    <row r="902" spans="1:5" x14ac:dyDescent="0.3">
      <c r="A902" t="s">
        <v>24</v>
      </c>
      <c r="B902" t="s">
        <v>11</v>
      </c>
      <c r="C902" t="s">
        <v>28</v>
      </c>
      <c r="D902" s="3">
        <v>45168</v>
      </c>
      <c r="E902" s="2">
        <v>9463</v>
      </c>
    </row>
    <row r="903" spans="1:5" x14ac:dyDescent="0.3">
      <c r="A903" t="s">
        <v>27</v>
      </c>
      <c r="B903" t="s">
        <v>6</v>
      </c>
      <c r="C903" t="s">
        <v>12</v>
      </c>
      <c r="D903" s="3">
        <v>45168</v>
      </c>
      <c r="E903" s="2">
        <v>10548</v>
      </c>
    </row>
    <row r="904" spans="1:5" x14ac:dyDescent="0.3">
      <c r="A904" t="s">
        <v>29</v>
      </c>
      <c r="B904" t="s">
        <v>21</v>
      </c>
      <c r="C904" t="s">
        <v>7</v>
      </c>
      <c r="D904" s="3">
        <v>45169</v>
      </c>
      <c r="E904" s="2">
        <v>8422</v>
      </c>
    </row>
    <row r="905" spans="1:5" x14ac:dyDescent="0.3">
      <c r="A905" t="s">
        <v>24</v>
      </c>
      <c r="B905" t="s">
        <v>16</v>
      </c>
      <c r="C905" t="s">
        <v>28</v>
      </c>
      <c r="D905" s="3">
        <v>45169</v>
      </c>
      <c r="E905" s="2">
        <v>6519</v>
      </c>
    </row>
    <row r="906" spans="1:5" x14ac:dyDescent="0.3">
      <c r="A906" t="s">
        <v>20</v>
      </c>
      <c r="B906" t="s">
        <v>16</v>
      </c>
      <c r="C906" t="s">
        <v>14</v>
      </c>
      <c r="D906" s="3">
        <v>45170</v>
      </c>
      <c r="E906" s="2">
        <v>7815</v>
      </c>
    </row>
    <row r="907" spans="1:5" x14ac:dyDescent="0.3">
      <c r="A907" t="s">
        <v>31</v>
      </c>
      <c r="B907" t="s">
        <v>13</v>
      </c>
      <c r="C907" t="s">
        <v>19</v>
      </c>
      <c r="D907" s="3">
        <v>45170</v>
      </c>
      <c r="E907" s="2">
        <v>8693</v>
      </c>
    </row>
    <row r="908" spans="1:5" x14ac:dyDescent="0.3">
      <c r="A908" t="s">
        <v>29</v>
      </c>
      <c r="B908" t="s">
        <v>9</v>
      </c>
      <c r="C908" t="s">
        <v>23</v>
      </c>
      <c r="D908" s="3">
        <v>45170</v>
      </c>
      <c r="E908" s="2">
        <v>13952</v>
      </c>
    </row>
    <row r="909" spans="1:5" x14ac:dyDescent="0.3">
      <c r="A909" t="s">
        <v>29</v>
      </c>
      <c r="B909" t="s">
        <v>11</v>
      </c>
      <c r="C909" t="s">
        <v>7</v>
      </c>
      <c r="D909" s="3">
        <v>45170</v>
      </c>
      <c r="E909" s="2">
        <v>8570</v>
      </c>
    </row>
    <row r="910" spans="1:5" x14ac:dyDescent="0.3">
      <c r="A910" t="s">
        <v>15</v>
      </c>
      <c r="B910" t="s">
        <v>11</v>
      </c>
      <c r="C910" t="s">
        <v>7</v>
      </c>
      <c r="D910" s="3">
        <v>45170</v>
      </c>
      <c r="E910" s="2">
        <v>1055</v>
      </c>
    </row>
    <row r="911" spans="1:5" x14ac:dyDescent="0.3">
      <c r="A911" t="s">
        <v>10</v>
      </c>
      <c r="B911" t="s">
        <v>6</v>
      </c>
      <c r="C911" t="s">
        <v>17</v>
      </c>
      <c r="D911" s="3">
        <v>45170</v>
      </c>
      <c r="E911" s="2">
        <v>7025</v>
      </c>
    </row>
    <row r="912" spans="1:5" x14ac:dyDescent="0.3">
      <c r="A912" t="s">
        <v>30</v>
      </c>
      <c r="B912" t="s">
        <v>13</v>
      </c>
      <c r="C912" t="s">
        <v>17</v>
      </c>
      <c r="D912" s="3">
        <v>45170</v>
      </c>
      <c r="E912" s="2">
        <v>5355</v>
      </c>
    </row>
    <row r="913" spans="1:5" x14ac:dyDescent="0.3">
      <c r="A913" t="s">
        <v>8</v>
      </c>
      <c r="B913" t="s">
        <v>21</v>
      </c>
      <c r="C913" t="s">
        <v>17</v>
      </c>
      <c r="D913" s="3">
        <v>45170</v>
      </c>
      <c r="E913" s="2">
        <v>1718</v>
      </c>
    </row>
    <row r="914" spans="1:5" x14ac:dyDescent="0.3">
      <c r="A914" t="s">
        <v>29</v>
      </c>
      <c r="B914" t="s">
        <v>9</v>
      </c>
      <c r="C914" t="s">
        <v>12</v>
      </c>
      <c r="D914" s="3">
        <v>45170</v>
      </c>
      <c r="E914" s="2">
        <v>6444</v>
      </c>
    </row>
    <row r="915" spans="1:5" x14ac:dyDescent="0.3">
      <c r="A915" t="s">
        <v>5</v>
      </c>
      <c r="B915" t="s">
        <v>9</v>
      </c>
      <c r="C915" t="s">
        <v>23</v>
      </c>
      <c r="D915" s="3">
        <v>45171</v>
      </c>
      <c r="E915" s="2">
        <v>7837</v>
      </c>
    </row>
    <row r="916" spans="1:5" x14ac:dyDescent="0.3">
      <c r="A916" t="s">
        <v>8</v>
      </c>
      <c r="B916" t="s">
        <v>21</v>
      </c>
      <c r="C916" t="s">
        <v>17</v>
      </c>
      <c r="D916" s="3">
        <v>45171</v>
      </c>
      <c r="E916" s="2">
        <v>13502</v>
      </c>
    </row>
    <row r="917" spans="1:5" x14ac:dyDescent="0.3">
      <c r="A917" t="s">
        <v>22</v>
      </c>
      <c r="B917" t="s">
        <v>21</v>
      </c>
      <c r="C917" t="s">
        <v>19</v>
      </c>
      <c r="D917" s="3">
        <v>45172</v>
      </c>
      <c r="E917" s="2">
        <v>13574</v>
      </c>
    </row>
    <row r="918" spans="1:5" x14ac:dyDescent="0.3">
      <c r="A918" t="s">
        <v>8</v>
      </c>
      <c r="B918" t="s">
        <v>9</v>
      </c>
      <c r="C918" t="s">
        <v>23</v>
      </c>
      <c r="D918" s="3">
        <v>45172</v>
      </c>
      <c r="E918" s="2">
        <v>7531</v>
      </c>
    </row>
    <row r="919" spans="1:5" x14ac:dyDescent="0.3">
      <c r="A919" t="s">
        <v>26</v>
      </c>
      <c r="B919" t="s">
        <v>13</v>
      </c>
      <c r="C919" t="s">
        <v>23</v>
      </c>
      <c r="D919" s="3">
        <v>45172</v>
      </c>
      <c r="E919" s="2">
        <v>10203</v>
      </c>
    </row>
    <row r="920" spans="1:5" x14ac:dyDescent="0.3">
      <c r="A920" t="s">
        <v>18</v>
      </c>
      <c r="B920" t="s">
        <v>21</v>
      </c>
      <c r="C920" t="s">
        <v>25</v>
      </c>
      <c r="D920" s="3">
        <v>45172</v>
      </c>
      <c r="E920" s="2">
        <v>8552</v>
      </c>
    </row>
    <row r="921" spans="1:5" x14ac:dyDescent="0.3">
      <c r="A921" t="s">
        <v>22</v>
      </c>
      <c r="B921" t="s">
        <v>21</v>
      </c>
      <c r="C921" t="s">
        <v>7</v>
      </c>
      <c r="D921" s="3">
        <v>45172</v>
      </c>
      <c r="E921" s="2">
        <v>3218</v>
      </c>
    </row>
    <row r="922" spans="1:5" x14ac:dyDescent="0.3">
      <c r="A922" t="s">
        <v>32</v>
      </c>
      <c r="B922" t="s">
        <v>13</v>
      </c>
      <c r="C922" t="s">
        <v>28</v>
      </c>
      <c r="D922" s="3">
        <v>45173</v>
      </c>
      <c r="E922" s="2">
        <v>1402</v>
      </c>
    </row>
    <row r="923" spans="1:5" x14ac:dyDescent="0.3">
      <c r="A923" t="s">
        <v>15</v>
      </c>
      <c r="B923" t="s">
        <v>13</v>
      </c>
      <c r="C923" t="s">
        <v>17</v>
      </c>
      <c r="D923" s="3">
        <v>45174</v>
      </c>
      <c r="E923" s="2">
        <v>11855</v>
      </c>
    </row>
    <row r="924" spans="1:5" x14ac:dyDescent="0.3">
      <c r="A924" t="s">
        <v>24</v>
      </c>
      <c r="B924" t="s">
        <v>6</v>
      </c>
      <c r="C924" t="s">
        <v>17</v>
      </c>
      <c r="D924" s="3">
        <v>45174</v>
      </c>
      <c r="E924" s="2">
        <v>9596</v>
      </c>
    </row>
    <row r="925" spans="1:5" x14ac:dyDescent="0.3">
      <c r="A925" t="s">
        <v>27</v>
      </c>
      <c r="B925" t="s">
        <v>6</v>
      </c>
      <c r="C925" t="s">
        <v>12</v>
      </c>
      <c r="D925" s="3">
        <v>45175</v>
      </c>
      <c r="E925" s="2">
        <v>3759</v>
      </c>
    </row>
    <row r="926" spans="1:5" x14ac:dyDescent="0.3">
      <c r="A926" t="s">
        <v>8</v>
      </c>
      <c r="B926" t="s">
        <v>11</v>
      </c>
      <c r="C926" t="s">
        <v>12</v>
      </c>
      <c r="D926" s="3">
        <v>45175</v>
      </c>
      <c r="E926" s="2">
        <v>3248</v>
      </c>
    </row>
    <row r="927" spans="1:5" x14ac:dyDescent="0.3">
      <c r="A927" t="s">
        <v>30</v>
      </c>
      <c r="B927" t="s">
        <v>9</v>
      </c>
      <c r="C927" t="s">
        <v>25</v>
      </c>
      <c r="D927" s="3">
        <v>45176</v>
      </c>
      <c r="E927" s="2">
        <v>12794</v>
      </c>
    </row>
    <row r="928" spans="1:5" x14ac:dyDescent="0.3">
      <c r="A928" t="s">
        <v>22</v>
      </c>
      <c r="B928" t="s">
        <v>9</v>
      </c>
      <c r="C928" t="s">
        <v>17</v>
      </c>
      <c r="D928" s="3">
        <v>45176</v>
      </c>
      <c r="E928" s="2">
        <v>4917</v>
      </c>
    </row>
    <row r="929" spans="1:5" x14ac:dyDescent="0.3">
      <c r="A929" t="s">
        <v>32</v>
      </c>
      <c r="B929" t="s">
        <v>9</v>
      </c>
      <c r="C929" t="s">
        <v>19</v>
      </c>
      <c r="D929" s="3">
        <v>45177</v>
      </c>
      <c r="E929" s="2">
        <v>2237</v>
      </c>
    </row>
    <row r="930" spans="1:5" x14ac:dyDescent="0.3">
      <c r="A930" t="s">
        <v>32</v>
      </c>
      <c r="B930" t="s">
        <v>16</v>
      </c>
      <c r="C930" t="s">
        <v>7</v>
      </c>
      <c r="D930" s="3">
        <v>45177</v>
      </c>
      <c r="E930" s="2">
        <v>7303</v>
      </c>
    </row>
    <row r="931" spans="1:5" x14ac:dyDescent="0.3">
      <c r="A931" t="s">
        <v>8</v>
      </c>
      <c r="B931" t="s">
        <v>21</v>
      </c>
      <c r="C931" t="s">
        <v>17</v>
      </c>
      <c r="D931" s="3">
        <v>45177</v>
      </c>
      <c r="E931" s="2">
        <v>3937</v>
      </c>
    </row>
    <row r="932" spans="1:5" x14ac:dyDescent="0.3">
      <c r="A932" t="s">
        <v>8</v>
      </c>
      <c r="B932" t="s">
        <v>21</v>
      </c>
      <c r="C932" t="s">
        <v>17</v>
      </c>
      <c r="D932" s="3">
        <v>45177</v>
      </c>
      <c r="E932" s="2">
        <v>13243</v>
      </c>
    </row>
    <row r="933" spans="1:5" x14ac:dyDescent="0.3">
      <c r="A933" t="s">
        <v>27</v>
      </c>
      <c r="B933" t="s">
        <v>11</v>
      </c>
      <c r="C933" t="s">
        <v>12</v>
      </c>
      <c r="D933" s="3">
        <v>45177</v>
      </c>
      <c r="E933" s="2">
        <v>5355</v>
      </c>
    </row>
    <row r="934" spans="1:5" x14ac:dyDescent="0.3">
      <c r="A934" t="s">
        <v>33</v>
      </c>
      <c r="B934" t="s">
        <v>13</v>
      </c>
      <c r="C934" t="s">
        <v>19</v>
      </c>
      <c r="D934" s="3">
        <v>45178</v>
      </c>
      <c r="E934" s="2">
        <v>2201</v>
      </c>
    </row>
    <row r="935" spans="1:5" x14ac:dyDescent="0.3">
      <c r="A935" t="s">
        <v>18</v>
      </c>
      <c r="B935" t="s">
        <v>11</v>
      </c>
      <c r="C935" t="s">
        <v>17</v>
      </c>
      <c r="D935" s="3">
        <v>45178</v>
      </c>
      <c r="E935" s="2">
        <v>5211</v>
      </c>
    </row>
    <row r="936" spans="1:5" x14ac:dyDescent="0.3">
      <c r="A936" t="s">
        <v>32</v>
      </c>
      <c r="B936" t="s">
        <v>9</v>
      </c>
      <c r="C936" t="s">
        <v>14</v>
      </c>
      <c r="D936" s="3">
        <v>45179</v>
      </c>
      <c r="E936" s="2">
        <v>13400</v>
      </c>
    </row>
    <row r="937" spans="1:5" x14ac:dyDescent="0.3">
      <c r="A937" t="s">
        <v>29</v>
      </c>
      <c r="B937" t="s">
        <v>21</v>
      </c>
      <c r="C937" t="s">
        <v>14</v>
      </c>
      <c r="D937" s="3">
        <v>45179</v>
      </c>
      <c r="E937" s="2">
        <v>10774</v>
      </c>
    </row>
    <row r="938" spans="1:5" x14ac:dyDescent="0.3">
      <c r="A938" t="s">
        <v>24</v>
      </c>
      <c r="B938" t="s">
        <v>6</v>
      </c>
      <c r="C938" t="s">
        <v>19</v>
      </c>
      <c r="D938" s="3">
        <v>45179</v>
      </c>
      <c r="E938" s="2">
        <v>6943</v>
      </c>
    </row>
    <row r="939" spans="1:5" x14ac:dyDescent="0.3">
      <c r="A939" t="s">
        <v>22</v>
      </c>
      <c r="B939" t="s">
        <v>11</v>
      </c>
      <c r="C939" t="s">
        <v>23</v>
      </c>
      <c r="D939" s="3">
        <v>45179</v>
      </c>
      <c r="E939" s="2">
        <v>2848</v>
      </c>
    </row>
    <row r="940" spans="1:5" x14ac:dyDescent="0.3">
      <c r="A940" t="s">
        <v>10</v>
      </c>
      <c r="B940" t="s">
        <v>21</v>
      </c>
      <c r="C940" t="s">
        <v>25</v>
      </c>
      <c r="D940" s="3">
        <v>45179</v>
      </c>
      <c r="E940" s="2">
        <v>10262</v>
      </c>
    </row>
    <row r="941" spans="1:5" x14ac:dyDescent="0.3">
      <c r="A941" t="s">
        <v>8</v>
      </c>
      <c r="B941" t="s">
        <v>6</v>
      </c>
      <c r="C941" t="s">
        <v>7</v>
      </c>
      <c r="D941" s="3">
        <v>45179</v>
      </c>
      <c r="E941" s="2">
        <v>1234</v>
      </c>
    </row>
    <row r="942" spans="1:5" x14ac:dyDescent="0.3">
      <c r="A942" t="s">
        <v>15</v>
      </c>
      <c r="B942" t="s">
        <v>16</v>
      </c>
      <c r="C942" t="s">
        <v>17</v>
      </c>
      <c r="D942" s="3">
        <v>45179</v>
      </c>
      <c r="E942" s="2">
        <v>3617</v>
      </c>
    </row>
    <row r="943" spans="1:5" x14ac:dyDescent="0.3">
      <c r="A943" t="s">
        <v>20</v>
      </c>
      <c r="B943" t="s">
        <v>6</v>
      </c>
      <c r="C943" t="s">
        <v>23</v>
      </c>
      <c r="D943" s="3">
        <v>45180</v>
      </c>
      <c r="E943" s="2">
        <v>6394</v>
      </c>
    </row>
    <row r="944" spans="1:5" x14ac:dyDescent="0.3">
      <c r="A944" t="s">
        <v>5</v>
      </c>
      <c r="B944" t="s">
        <v>9</v>
      </c>
      <c r="C944" t="s">
        <v>12</v>
      </c>
      <c r="D944" s="3">
        <v>45180</v>
      </c>
      <c r="E944" s="2">
        <v>2599</v>
      </c>
    </row>
    <row r="945" spans="1:5" x14ac:dyDescent="0.3">
      <c r="A945" t="s">
        <v>31</v>
      </c>
      <c r="B945" t="s">
        <v>16</v>
      </c>
      <c r="C945" t="s">
        <v>19</v>
      </c>
      <c r="D945" s="3">
        <v>45181</v>
      </c>
      <c r="E945" s="2">
        <v>12251</v>
      </c>
    </row>
    <row r="946" spans="1:5" x14ac:dyDescent="0.3">
      <c r="A946" t="s">
        <v>30</v>
      </c>
      <c r="B946" t="s">
        <v>6</v>
      </c>
      <c r="C946" t="s">
        <v>23</v>
      </c>
      <c r="D946" s="3">
        <v>45181</v>
      </c>
      <c r="E946" s="2">
        <v>1165</v>
      </c>
    </row>
    <row r="947" spans="1:5" x14ac:dyDescent="0.3">
      <c r="A947" t="s">
        <v>26</v>
      </c>
      <c r="B947" t="s">
        <v>13</v>
      </c>
      <c r="C947" t="s">
        <v>25</v>
      </c>
      <c r="D947" s="3">
        <v>45181</v>
      </c>
      <c r="E947" s="2">
        <v>1558</v>
      </c>
    </row>
    <row r="948" spans="1:5" x14ac:dyDescent="0.3">
      <c r="A948" t="s">
        <v>33</v>
      </c>
      <c r="B948" t="s">
        <v>11</v>
      </c>
      <c r="C948" t="s">
        <v>17</v>
      </c>
      <c r="D948" s="3">
        <v>45181</v>
      </c>
      <c r="E948" s="2">
        <v>2726</v>
      </c>
    </row>
    <row r="949" spans="1:5" x14ac:dyDescent="0.3">
      <c r="A949" t="s">
        <v>20</v>
      </c>
      <c r="B949" t="s">
        <v>6</v>
      </c>
      <c r="C949" t="s">
        <v>19</v>
      </c>
      <c r="D949" s="3">
        <v>45182</v>
      </c>
      <c r="E949" s="2">
        <v>13500</v>
      </c>
    </row>
    <row r="950" spans="1:5" x14ac:dyDescent="0.3">
      <c r="A950" t="s">
        <v>31</v>
      </c>
      <c r="B950" t="s">
        <v>6</v>
      </c>
      <c r="C950" t="s">
        <v>23</v>
      </c>
      <c r="D950" s="3">
        <v>45182</v>
      </c>
      <c r="E950" s="2">
        <v>6990</v>
      </c>
    </row>
    <row r="951" spans="1:5" x14ac:dyDescent="0.3">
      <c r="A951" t="s">
        <v>29</v>
      </c>
      <c r="B951" t="s">
        <v>11</v>
      </c>
      <c r="C951" t="s">
        <v>25</v>
      </c>
      <c r="D951" s="3">
        <v>45182</v>
      </c>
      <c r="E951" s="2">
        <v>3080</v>
      </c>
    </row>
    <row r="952" spans="1:5" x14ac:dyDescent="0.3">
      <c r="A952" t="s">
        <v>15</v>
      </c>
      <c r="B952" t="s">
        <v>13</v>
      </c>
      <c r="C952" t="s">
        <v>7</v>
      </c>
      <c r="D952" s="3">
        <v>45182</v>
      </c>
      <c r="E952" s="2">
        <v>6733</v>
      </c>
    </row>
    <row r="953" spans="1:5" x14ac:dyDescent="0.3">
      <c r="A953" t="s">
        <v>33</v>
      </c>
      <c r="B953" t="s">
        <v>6</v>
      </c>
      <c r="C953" t="s">
        <v>19</v>
      </c>
      <c r="D953" s="3">
        <v>45183</v>
      </c>
      <c r="E953" s="2">
        <v>8746</v>
      </c>
    </row>
    <row r="954" spans="1:5" x14ac:dyDescent="0.3">
      <c r="A954" t="s">
        <v>31</v>
      </c>
      <c r="B954" t="s">
        <v>16</v>
      </c>
      <c r="C954" t="s">
        <v>28</v>
      </c>
      <c r="D954" s="3">
        <v>45183</v>
      </c>
      <c r="E954" s="2">
        <v>6598</v>
      </c>
    </row>
    <row r="955" spans="1:5" x14ac:dyDescent="0.3">
      <c r="A955" t="s">
        <v>31</v>
      </c>
      <c r="B955" t="s">
        <v>6</v>
      </c>
      <c r="C955" t="s">
        <v>12</v>
      </c>
      <c r="D955" s="3">
        <v>45183</v>
      </c>
      <c r="E955" s="2">
        <v>7009</v>
      </c>
    </row>
    <row r="956" spans="1:5" x14ac:dyDescent="0.3">
      <c r="A956" t="s">
        <v>27</v>
      </c>
      <c r="B956" t="s">
        <v>16</v>
      </c>
      <c r="C956" t="s">
        <v>23</v>
      </c>
      <c r="D956" s="3">
        <v>45184</v>
      </c>
      <c r="E956" s="2">
        <v>12321</v>
      </c>
    </row>
    <row r="957" spans="1:5" x14ac:dyDescent="0.3">
      <c r="A957" t="s">
        <v>32</v>
      </c>
      <c r="B957" t="s">
        <v>13</v>
      </c>
      <c r="C957" t="s">
        <v>12</v>
      </c>
      <c r="D957" s="3">
        <v>45184</v>
      </c>
      <c r="E957" s="2">
        <v>1989</v>
      </c>
    </row>
    <row r="958" spans="1:5" x14ac:dyDescent="0.3">
      <c r="A958" t="s">
        <v>15</v>
      </c>
      <c r="B958" t="s">
        <v>21</v>
      </c>
      <c r="C958" t="s">
        <v>14</v>
      </c>
      <c r="D958" s="3">
        <v>45185</v>
      </c>
      <c r="E958" s="2">
        <v>8632</v>
      </c>
    </row>
    <row r="959" spans="1:5" x14ac:dyDescent="0.3">
      <c r="A959" t="s">
        <v>10</v>
      </c>
      <c r="B959" t="s">
        <v>13</v>
      </c>
      <c r="C959" t="s">
        <v>19</v>
      </c>
      <c r="D959" s="3">
        <v>45185</v>
      </c>
      <c r="E959" s="2">
        <v>10924</v>
      </c>
    </row>
    <row r="960" spans="1:5" x14ac:dyDescent="0.3">
      <c r="A960" t="s">
        <v>33</v>
      </c>
      <c r="B960" t="s">
        <v>13</v>
      </c>
      <c r="C960" t="s">
        <v>19</v>
      </c>
      <c r="D960" s="3">
        <v>45185</v>
      </c>
      <c r="E960" s="2">
        <v>4544</v>
      </c>
    </row>
    <row r="961" spans="1:5" x14ac:dyDescent="0.3">
      <c r="A961" t="s">
        <v>18</v>
      </c>
      <c r="B961" t="s">
        <v>16</v>
      </c>
      <c r="C961" t="s">
        <v>19</v>
      </c>
      <c r="D961" s="3">
        <v>45185</v>
      </c>
      <c r="E961" s="2">
        <v>4241</v>
      </c>
    </row>
    <row r="962" spans="1:5" x14ac:dyDescent="0.3">
      <c r="A962" t="s">
        <v>29</v>
      </c>
      <c r="B962" t="s">
        <v>16</v>
      </c>
      <c r="C962" t="s">
        <v>25</v>
      </c>
      <c r="D962" s="3">
        <v>45185</v>
      </c>
      <c r="E962" s="2">
        <v>7038</v>
      </c>
    </row>
    <row r="963" spans="1:5" x14ac:dyDescent="0.3">
      <c r="A963" t="s">
        <v>31</v>
      </c>
      <c r="B963" t="s">
        <v>21</v>
      </c>
      <c r="C963" t="s">
        <v>28</v>
      </c>
      <c r="D963" s="3">
        <v>45185</v>
      </c>
      <c r="E963" s="2">
        <v>8532</v>
      </c>
    </row>
    <row r="964" spans="1:5" x14ac:dyDescent="0.3">
      <c r="A964" t="s">
        <v>18</v>
      </c>
      <c r="B964" t="s">
        <v>21</v>
      </c>
      <c r="C964" t="s">
        <v>12</v>
      </c>
      <c r="D964" s="3">
        <v>45185</v>
      </c>
      <c r="E964" s="2">
        <v>6783</v>
      </c>
    </row>
    <row r="965" spans="1:5" x14ac:dyDescent="0.3">
      <c r="A965" t="s">
        <v>24</v>
      </c>
      <c r="B965" t="s">
        <v>21</v>
      </c>
      <c r="C965" t="s">
        <v>12</v>
      </c>
      <c r="D965" s="3">
        <v>45186</v>
      </c>
      <c r="E965" s="2">
        <v>11744</v>
      </c>
    </row>
    <row r="966" spans="1:5" x14ac:dyDescent="0.3">
      <c r="A966" t="s">
        <v>31</v>
      </c>
      <c r="B966" t="s">
        <v>6</v>
      </c>
      <c r="C966" t="s">
        <v>19</v>
      </c>
      <c r="D966" s="3">
        <v>45187</v>
      </c>
      <c r="E966" s="2">
        <v>9834</v>
      </c>
    </row>
    <row r="967" spans="1:5" x14ac:dyDescent="0.3">
      <c r="A967" t="s">
        <v>22</v>
      </c>
      <c r="B967" t="s">
        <v>11</v>
      </c>
      <c r="C967" t="s">
        <v>28</v>
      </c>
      <c r="D967" s="3">
        <v>45187</v>
      </c>
      <c r="E967" s="2">
        <v>2907</v>
      </c>
    </row>
    <row r="968" spans="1:5" x14ac:dyDescent="0.3">
      <c r="A968" t="s">
        <v>18</v>
      </c>
      <c r="B968" t="s">
        <v>6</v>
      </c>
      <c r="C968" t="s">
        <v>17</v>
      </c>
      <c r="D968" s="3">
        <v>45187</v>
      </c>
      <c r="E968" s="2">
        <v>8978</v>
      </c>
    </row>
    <row r="969" spans="1:5" x14ac:dyDescent="0.3">
      <c r="A969" t="s">
        <v>32</v>
      </c>
      <c r="B969" t="s">
        <v>16</v>
      </c>
      <c r="C969" t="s">
        <v>25</v>
      </c>
      <c r="D969" s="3">
        <v>45188</v>
      </c>
      <c r="E969" s="2">
        <v>4775</v>
      </c>
    </row>
    <row r="970" spans="1:5" x14ac:dyDescent="0.3">
      <c r="A970" t="s">
        <v>18</v>
      </c>
      <c r="B970" t="s">
        <v>6</v>
      </c>
      <c r="C970" t="s">
        <v>25</v>
      </c>
      <c r="D970" s="3">
        <v>45188</v>
      </c>
      <c r="E970" s="2">
        <v>1463</v>
      </c>
    </row>
    <row r="971" spans="1:5" x14ac:dyDescent="0.3">
      <c r="A971" t="s">
        <v>26</v>
      </c>
      <c r="B971" t="s">
        <v>13</v>
      </c>
      <c r="C971" t="s">
        <v>28</v>
      </c>
      <c r="D971" s="3">
        <v>45188</v>
      </c>
      <c r="E971" s="2">
        <v>12153</v>
      </c>
    </row>
    <row r="972" spans="1:5" x14ac:dyDescent="0.3">
      <c r="A972" t="s">
        <v>22</v>
      </c>
      <c r="B972" t="s">
        <v>9</v>
      </c>
      <c r="C972" t="s">
        <v>12</v>
      </c>
      <c r="D972" s="3">
        <v>45188</v>
      </c>
      <c r="E972" s="2">
        <v>5418</v>
      </c>
    </row>
    <row r="973" spans="1:5" x14ac:dyDescent="0.3">
      <c r="A973" t="s">
        <v>22</v>
      </c>
      <c r="B973" t="s">
        <v>16</v>
      </c>
      <c r="C973" t="s">
        <v>19</v>
      </c>
      <c r="D973" s="3">
        <v>45189</v>
      </c>
      <c r="E973" s="2">
        <v>11101</v>
      </c>
    </row>
    <row r="974" spans="1:5" x14ac:dyDescent="0.3">
      <c r="A974" t="s">
        <v>31</v>
      </c>
      <c r="B974" t="s">
        <v>6</v>
      </c>
      <c r="C974" t="s">
        <v>19</v>
      </c>
      <c r="D974" s="3">
        <v>45189</v>
      </c>
      <c r="E974" s="2">
        <v>8294</v>
      </c>
    </row>
    <row r="975" spans="1:5" x14ac:dyDescent="0.3">
      <c r="A975" t="s">
        <v>33</v>
      </c>
      <c r="B975" t="s">
        <v>13</v>
      </c>
      <c r="C975" t="s">
        <v>23</v>
      </c>
      <c r="D975" s="3">
        <v>45189</v>
      </c>
      <c r="E975" s="2">
        <v>10339</v>
      </c>
    </row>
    <row r="976" spans="1:5" x14ac:dyDescent="0.3">
      <c r="A976" t="s">
        <v>26</v>
      </c>
      <c r="B976" t="s">
        <v>11</v>
      </c>
      <c r="C976" t="s">
        <v>23</v>
      </c>
      <c r="D976" s="3">
        <v>45189</v>
      </c>
      <c r="E976" s="2">
        <v>12774</v>
      </c>
    </row>
    <row r="977" spans="1:5" x14ac:dyDescent="0.3">
      <c r="A977" t="s">
        <v>27</v>
      </c>
      <c r="B977" t="s">
        <v>13</v>
      </c>
      <c r="C977" t="s">
        <v>28</v>
      </c>
      <c r="D977" s="3">
        <v>45189</v>
      </c>
      <c r="E977" s="2">
        <v>5526</v>
      </c>
    </row>
    <row r="978" spans="1:5" x14ac:dyDescent="0.3">
      <c r="A978" t="s">
        <v>26</v>
      </c>
      <c r="B978" t="s">
        <v>13</v>
      </c>
      <c r="C978" t="s">
        <v>17</v>
      </c>
      <c r="D978" s="3">
        <v>45189</v>
      </c>
      <c r="E978" s="2">
        <v>11767</v>
      </c>
    </row>
    <row r="979" spans="1:5" x14ac:dyDescent="0.3">
      <c r="A979" t="s">
        <v>30</v>
      </c>
      <c r="B979" t="s">
        <v>6</v>
      </c>
      <c r="C979" t="s">
        <v>14</v>
      </c>
      <c r="D979" s="3">
        <v>45190</v>
      </c>
      <c r="E979" s="2">
        <v>5468</v>
      </c>
    </row>
    <row r="980" spans="1:5" x14ac:dyDescent="0.3">
      <c r="A980" t="s">
        <v>20</v>
      </c>
      <c r="B980" t="s">
        <v>13</v>
      </c>
      <c r="C980" t="s">
        <v>14</v>
      </c>
      <c r="D980" s="3">
        <v>45190</v>
      </c>
      <c r="E980" s="2">
        <v>2834</v>
      </c>
    </row>
    <row r="981" spans="1:5" x14ac:dyDescent="0.3">
      <c r="A981" t="s">
        <v>18</v>
      </c>
      <c r="B981" t="s">
        <v>16</v>
      </c>
      <c r="C981" t="s">
        <v>23</v>
      </c>
      <c r="D981" s="3">
        <v>45190</v>
      </c>
      <c r="E981" s="2">
        <v>7116</v>
      </c>
    </row>
    <row r="982" spans="1:5" x14ac:dyDescent="0.3">
      <c r="A982" t="s">
        <v>27</v>
      </c>
      <c r="B982" t="s">
        <v>13</v>
      </c>
      <c r="C982" t="s">
        <v>17</v>
      </c>
      <c r="D982" s="3">
        <v>45190</v>
      </c>
      <c r="E982" s="2">
        <v>11586</v>
      </c>
    </row>
    <row r="983" spans="1:5" x14ac:dyDescent="0.3">
      <c r="A983" t="s">
        <v>10</v>
      </c>
      <c r="B983" t="s">
        <v>16</v>
      </c>
      <c r="C983" t="s">
        <v>23</v>
      </c>
      <c r="D983" s="3">
        <v>45191</v>
      </c>
      <c r="E983" s="2">
        <v>13952</v>
      </c>
    </row>
    <row r="984" spans="1:5" x14ac:dyDescent="0.3">
      <c r="A984" t="s">
        <v>32</v>
      </c>
      <c r="B984" t="s">
        <v>16</v>
      </c>
      <c r="C984" t="s">
        <v>25</v>
      </c>
      <c r="D984" s="3">
        <v>45191</v>
      </c>
      <c r="E984" s="2">
        <v>4497</v>
      </c>
    </row>
    <row r="985" spans="1:5" x14ac:dyDescent="0.3">
      <c r="A985" t="s">
        <v>26</v>
      </c>
      <c r="B985" t="s">
        <v>21</v>
      </c>
      <c r="C985" t="s">
        <v>25</v>
      </c>
      <c r="D985" s="3">
        <v>45191</v>
      </c>
      <c r="E985" s="2">
        <v>8321</v>
      </c>
    </row>
    <row r="986" spans="1:5" x14ac:dyDescent="0.3">
      <c r="A986" t="s">
        <v>27</v>
      </c>
      <c r="B986" t="s">
        <v>11</v>
      </c>
      <c r="C986" t="s">
        <v>12</v>
      </c>
      <c r="D986" s="3">
        <v>45191</v>
      </c>
      <c r="E986" s="2">
        <v>4097</v>
      </c>
    </row>
    <row r="987" spans="1:5" x14ac:dyDescent="0.3">
      <c r="A987" t="s">
        <v>32</v>
      </c>
      <c r="B987" t="s">
        <v>16</v>
      </c>
      <c r="C987" t="s">
        <v>14</v>
      </c>
      <c r="D987" s="3">
        <v>45192</v>
      </c>
      <c r="E987" s="2">
        <v>10614</v>
      </c>
    </row>
    <row r="988" spans="1:5" x14ac:dyDescent="0.3">
      <c r="A988" t="s">
        <v>31</v>
      </c>
      <c r="B988" t="s">
        <v>11</v>
      </c>
      <c r="C988" t="s">
        <v>19</v>
      </c>
      <c r="D988" s="3">
        <v>45192</v>
      </c>
      <c r="E988" s="2">
        <v>9727</v>
      </c>
    </row>
    <row r="989" spans="1:5" x14ac:dyDescent="0.3">
      <c r="A989" t="s">
        <v>22</v>
      </c>
      <c r="B989" t="s">
        <v>13</v>
      </c>
      <c r="C989" t="s">
        <v>23</v>
      </c>
      <c r="D989" s="3">
        <v>45192</v>
      </c>
      <c r="E989" s="2">
        <v>4233</v>
      </c>
    </row>
    <row r="990" spans="1:5" x14ac:dyDescent="0.3">
      <c r="A990" t="s">
        <v>15</v>
      </c>
      <c r="B990" t="s">
        <v>16</v>
      </c>
      <c r="C990" t="s">
        <v>28</v>
      </c>
      <c r="D990" s="3">
        <v>45192</v>
      </c>
      <c r="E990" s="2">
        <v>2172</v>
      </c>
    </row>
    <row r="991" spans="1:5" x14ac:dyDescent="0.3">
      <c r="A991" t="s">
        <v>8</v>
      </c>
      <c r="B991" t="s">
        <v>11</v>
      </c>
      <c r="C991" t="s">
        <v>17</v>
      </c>
      <c r="D991" s="3">
        <v>45192</v>
      </c>
      <c r="E991" s="2">
        <v>13375</v>
      </c>
    </row>
    <row r="992" spans="1:5" x14ac:dyDescent="0.3">
      <c r="A992" t="s">
        <v>22</v>
      </c>
      <c r="B992" t="s">
        <v>11</v>
      </c>
      <c r="C992" t="s">
        <v>17</v>
      </c>
      <c r="D992" s="3">
        <v>45192</v>
      </c>
      <c r="E992" s="2">
        <v>10455</v>
      </c>
    </row>
    <row r="993" spans="1:5" x14ac:dyDescent="0.3">
      <c r="A993" t="s">
        <v>20</v>
      </c>
      <c r="B993" t="s">
        <v>11</v>
      </c>
      <c r="C993" t="s">
        <v>28</v>
      </c>
      <c r="D993" s="3">
        <v>45193</v>
      </c>
      <c r="E993" s="2">
        <v>10748</v>
      </c>
    </row>
    <row r="994" spans="1:5" x14ac:dyDescent="0.3">
      <c r="A994" t="s">
        <v>29</v>
      </c>
      <c r="B994" t="s">
        <v>13</v>
      </c>
      <c r="C994" t="s">
        <v>23</v>
      </c>
      <c r="D994" s="3">
        <v>45194</v>
      </c>
      <c r="E994" s="2">
        <v>1947</v>
      </c>
    </row>
    <row r="995" spans="1:5" x14ac:dyDescent="0.3">
      <c r="A995" t="s">
        <v>15</v>
      </c>
      <c r="B995" t="s">
        <v>11</v>
      </c>
      <c r="C995" t="s">
        <v>7</v>
      </c>
      <c r="D995" s="3">
        <v>45194</v>
      </c>
      <c r="E995" s="2">
        <v>1977</v>
      </c>
    </row>
    <row r="996" spans="1:5" x14ac:dyDescent="0.3">
      <c r="A996" t="s">
        <v>26</v>
      </c>
      <c r="B996" t="s">
        <v>21</v>
      </c>
      <c r="C996" t="s">
        <v>7</v>
      </c>
      <c r="D996" s="3">
        <v>45194</v>
      </c>
      <c r="E996" s="2">
        <v>4819</v>
      </c>
    </row>
    <row r="997" spans="1:5" x14ac:dyDescent="0.3">
      <c r="A997" t="s">
        <v>15</v>
      </c>
      <c r="B997" t="s">
        <v>21</v>
      </c>
      <c r="C997" t="s">
        <v>28</v>
      </c>
      <c r="D997" s="3">
        <v>45194</v>
      </c>
      <c r="E997" s="2">
        <v>12960</v>
      </c>
    </row>
    <row r="998" spans="1:5" x14ac:dyDescent="0.3">
      <c r="A998" t="s">
        <v>18</v>
      </c>
      <c r="B998" t="s">
        <v>6</v>
      </c>
      <c r="C998" t="s">
        <v>12</v>
      </c>
      <c r="D998" s="3">
        <v>45194</v>
      </c>
      <c r="E998" s="2">
        <v>1404</v>
      </c>
    </row>
    <row r="999" spans="1:5" x14ac:dyDescent="0.3">
      <c r="A999" t="s">
        <v>27</v>
      </c>
      <c r="B999" t="s">
        <v>21</v>
      </c>
      <c r="C999" t="s">
        <v>12</v>
      </c>
      <c r="D999" s="3">
        <v>45195</v>
      </c>
      <c r="E999" s="2">
        <v>10356</v>
      </c>
    </row>
    <row r="1000" spans="1:5" x14ac:dyDescent="0.3">
      <c r="A1000" t="s">
        <v>8</v>
      </c>
      <c r="B1000" t="s">
        <v>11</v>
      </c>
      <c r="C1000" t="s">
        <v>12</v>
      </c>
      <c r="D1000" s="3">
        <v>45195</v>
      </c>
      <c r="E1000" s="2">
        <v>12849</v>
      </c>
    </row>
    <row r="1001" spans="1:5" x14ac:dyDescent="0.3">
      <c r="A1001" t="s">
        <v>18</v>
      </c>
      <c r="B1001" t="s">
        <v>13</v>
      </c>
      <c r="C1001" t="s">
        <v>25</v>
      </c>
      <c r="D1001" s="3">
        <v>45196</v>
      </c>
      <c r="E1001" s="2">
        <v>1600</v>
      </c>
    </row>
    <row r="1002" spans="1:5" x14ac:dyDescent="0.3">
      <c r="A1002" t="s">
        <v>24</v>
      </c>
      <c r="B1002" t="s">
        <v>21</v>
      </c>
      <c r="C1002" t="s">
        <v>25</v>
      </c>
      <c r="D1002" s="3">
        <v>45196</v>
      </c>
      <c r="E1002" s="2">
        <v>4140</v>
      </c>
    </row>
    <row r="1003" spans="1:5" x14ac:dyDescent="0.3">
      <c r="A1003" t="s">
        <v>26</v>
      </c>
      <c r="B1003" t="s">
        <v>9</v>
      </c>
      <c r="C1003" t="s">
        <v>7</v>
      </c>
      <c r="D1003" s="3">
        <v>45196</v>
      </c>
      <c r="E1003" s="2">
        <v>2016</v>
      </c>
    </row>
    <row r="1004" spans="1:5" x14ac:dyDescent="0.3">
      <c r="A1004" t="s">
        <v>18</v>
      </c>
      <c r="B1004" t="s">
        <v>16</v>
      </c>
      <c r="C1004" t="s">
        <v>17</v>
      </c>
      <c r="D1004" s="3">
        <v>45196</v>
      </c>
      <c r="E1004" s="2">
        <v>3448</v>
      </c>
    </row>
    <row r="1005" spans="1:5" x14ac:dyDescent="0.3">
      <c r="A1005" t="s">
        <v>33</v>
      </c>
      <c r="B1005" t="s">
        <v>6</v>
      </c>
      <c r="C1005" t="s">
        <v>7</v>
      </c>
      <c r="D1005" s="3">
        <v>45197</v>
      </c>
      <c r="E1005" s="2">
        <v>1363</v>
      </c>
    </row>
    <row r="1006" spans="1:5" x14ac:dyDescent="0.3">
      <c r="A1006" t="s">
        <v>8</v>
      </c>
      <c r="B1006" t="s">
        <v>13</v>
      </c>
      <c r="C1006" t="s">
        <v>19</v>
      </c>
      <c r="D1006" s="3">
        <v>45198</v>
      </c>
      <c r="E1006" s="2">
        <v>4358</v>
      </c>
    </row>
    <row r="1007" spans="1:5" x14ac:dyDescent="0.3">
      <c r="A1007" t="s">
        <v>24</v>
      </c>
      <c r="B1007" t="s">
        <v>21</v>
      </c>
      <c r="C1007" t="s">
        <v>25</v>
      </c>
      <c r="D1007" s="3">
        <v>45198</v>
      </c>
      <c r="E1007" s="2">
        <v>3663</v>
      </c>
    </row>
    <row r="1008" spans="1:5" x14ac:dyDescent="0.3">
      <c r="A1008" t="s">
        <v>18</v>
      </c>
      <c r="B1008" t="s">
        <v>9</v>
      </c>
      <c r="C1008" t="s">
        <v>7</v>
      </c>
      <c r="D1008" s="3">
        <v>45198</v>
      </c>
      <c r="E1008" s="2">
        <v>1789</v>
      </c>
    </row>
    <row r="1009" spans="1:5" x14ac:dyDescent="0.3">
      <c r="A1009" t="s">
        <v>20</v>
      </c>
      <c r="B1009" t="s">
        <v>11</v>
      </c>
      <c r="C1009" t="s">
        <v>12</v>
      </c>
      <c r="D1009" s="3">
        <v>45198</v>
      </c>
      <c r="E1009" s="2">
        <v>13578</v>
      </c>
    </row>
    <row r="1010" spans="1:5" x14ac:dyDescent="0.3">
      <c r="A1010" t="s">
        <v>10</v>
      </c>
      <c r="B1010" t="s">
        <v>21</v>
      </c>
      <c r="C1010" t="s">
        <v>23</v>
      </c>
      <c r="D1010" s="3">
        <v>45199</v>
      </c>
      <c r="E1010" s="2">
        <v>10908</v>
      </c>
    </row>
    <row r="1011" spans="1:5" x14ac:dyDescent="0.3">
      <c r="A1011" t="s">
        <v>10</v>
      </c>
      <c r="B1011" t="s">
        <v>13</v>
      </c>
      <c r="C1011" t="s">
        <v>23</v>
      </c>
      <c r="D1011" s="3">
        <v>45199</v>
      </c>
      <c r="E1011" s="2">
        <v>7691</v>
      </c>
    </row>
    <row r="1012" spans="1:5" x14ac:dyDescent="0.3">
      <c r="A1012" t="s">
        <v>29</v>
      </c>
      <c r="B1012" t="s">
        <v>21</v>
      </c>
      <c r="C1012" t="s">
        <v>25</v>
      </c>
      <c r="D1012" s="3">
        <v>45199</v>
      </c>
      <c r="E1012" s="2">
        <v>11738</v>
      </c>
    </row>
    <row r="1013" spans="1:5" x14ac:dyDescent="0.3">
      <c r="A1013" t="s">
        <v>10</v>
      </c>
      <c r="B1013" t="s">
        <v>11</v>
      </c>
      <c r="C1013" t="s">
        <v>25</v>
      </c>
      <c r="D1013" s="3">
        <v>45199</v>
      </c>
      <c r="E1013" s="2">
        <v>11351</v>
      </c>
    </row>
    <row r="1014" spans="1:5" x14ac:dyDescent="0.3">
      <c r="A1014" t="s">
        <v>32</v>
      </c>
      <c r="B1014" t="s">
        <v>13</v>
      </c>
      <c r="C1014" t="s">
        <v>25</v>
      </c>
      <c r="D1014" s="3">
        <v>45199</v>
      </c>
      <c r="E1014" s="2">
        <v>7120</v>
      </c>
    </row>
    <row r="1015" spans="1:5" x14ac:dyDescent="0.3">
      <c r="A1015" t="s">
        <v>10</v>
      </c>
      <c r="B1015" t="s">
        <v>16</v>
      </c>
      <c r="C1015" t="s">
        <v>7</v>
      </c>
      <c r="D1015" s="3">
        <v>45199</v>
      </c>
      <c r="E1015" s="2">
        <v>5923</v>
      </c>
    </row>
    <row r="1016" spans="1:5" x14ac:dyDescent="0.3">
      <c r="A1016" t="s">
        <v>32</v>
      </c>
      <c r="B1016" t="s">
        <v>6</v>
      </c>
      <c r="C1016" t="s">
        <v>28</v>
      </c>
      <c r="D1016" s="3">
        <v>45199</v>
      </c>
      <c r="E1016" s="2">
        <v>12683</v>
      </c>
    </row>
    <row r="1017" spans="1:5" x14ac:dyDescent="0.3">
      <c r="A1017" t="s">
        <v>24</v>
      </c>
      <c r="B1017" t="s">
        <v>21</v>
      </c>
      <c r="C1017" t="s">
        <v>12</v>
      </c>
      <c r="D1017" s="3">
        <v>45199</v>
      </c>
      <c r="E1017" s="2">
        <v>11900</v>
      </c>
    </row>
    <row r="1018" spans="1:5" x14ac:dyDescent="0.3">
      <c r="A1018" t="s">
        <v>15</v>
      </c>
      <c r="B1018" t="s">
        <v>11</v>
      </c>
      <c r="C1018" t="s">
        <v>14</v>
      </c>
      <c r="D1018" s="3">
        <v>45200</v>
      </c>
      <c r="E1018" s="2">
        <v>5163</v>
      </c>
    </row>
    <row r="1019" spans="1:5" x14ac:dyDescent="0.3">
      <c r="A1019" t="s">
        <v>20</v>
      </c>
      <c r="B1019" t="s">
        <v>21</v>
      </c>
      <c r="C1019" t="s">
        <v>28</v>
      </c>
      <c r="D1019" s="3">
        <v>45202</v>
      </c>
      <c r="E1019" s="2">
        <v>9233</v>
      </c>
    </row>
    <row r="1020" spans="1:5" x14ac:dyDescent="0.3">
      <c r="A1020" t="s">
        <v>30</v>
      </c>
      <c r="B1020" t="s">
        <v>9</v>
      </c>
      <c r="C1020" t="s">
        <v>14</v>
      </c>
      <c r="D1020" s="3">
        <v>45203</v>
      </c>
      <c r="E1020" s="2">
        <v>8028</v>
      </c>
    </row>
    <row r="1021" spans="1:5" x14ac:dyDescent="0.3">
      <c r="A1021" t="s">
        <v>30</v>
      </c>
      <c r="B1021" t="s">
        <v>13</v>
      </c>
      <c r="C1021" t="s">
        <v>14</v>
      </c>
      <c r="D1021" s="3">
        <v>45203</v>
      </c>
      <c r="E1021" s="2">
        <v>12915</v>
      </c>
    </row>
    <row r="1022" spans="1:5" x14ac:dyDescent="0.3">
      <c r="A1022" t="s">
        <v>20</v>
      </c>
      <c r="B1022" t="s">
        <v>9</v>
      </c>
      <c r="C1022" t="s">
        <v>19</v>
      </c>
      <c r="D1022" s="3">
        <v>45203</v>
      </c>
      <c r="E1022" s="2">
        <v>12350</v>
      </c>
    </row>
    <row r="1023" spans="1:5" x14ac:dyDescent="0.3">
      <c r="A1023" t="s">
        <v>31</v>
      </c>
      <c r="B1023" t="s">
        <v>6</v>
      </c>
      <c r="C1023" t="s">
        <v>25</v>
      </c>
      <c r="D1023" s="3">
        <v>45203</v>
      </c>
      <c r="E1023" s="2">
        <v>12540</v>
      </c>
    </row>
    <row r="1024" spans="1:5" x14ac:dyDescent="0.3">
      <c r="A1024" t="s">
        <v>30</v>
      </c>
      <c r="B1024" t="s">
        <v>6</v>
      </c>
      <c r="C1024" t="s">
        <v>19</v>
      </c>
      <c r="D1024" s="3">
        <v>45204</v>
      </c>
      <c r="E1024" s="2">
        <v>4201</v>
      </c>
    </row>
    <row r="1025" spans="1:5" x14ac:dyDescent="0.3">
      <c r="A1025" t="s">
        <v>18</v>
      </c>
      <c r="B1025" t="s">
        <v>16</v>
      </c>
      <c r="C1025" t="s">
        <v>23</v>
      </c>
      <c r="D1025" s="3">
        <v>45205</v>
      </c>
      <c r="E1025" s="2">
        <v>12880</v>
      </c>
    </row>
    <row r="1026" spans="1:5" x14ac:dyDescent="0.3">
      <c r="A1026" t="s">
        <v>20</v>
      </c>
      <c r="B1026" t="s">
        <v>13</v>
      </c>
      <c r="C1026" t="s">
        <v>25</v>
      </c>
      <c r="D1026" s="3">
        <v>45205</v>
      </c>
      <c r="E1026" s="2">
        <v>8516</v>
      </c>
    </row>
    <row r="1027" spans="1:5" x14ac:dyDescent="0.3">
      <c r="A1027" t="s">
        <v>8</v>
      </c>
      <c r="B1027" t="s">
        <v>21</v>
      </c>
      <c r="C1027" t="s">
        <v>7</v>
      </c>
      <c r="D1027" s="3">
        <v>45205</v>
      </c>
      <c r="E1027" s="2">
        <v>2729</v>
      </c>
    </row>
    <row r="1028" spans="1:5" x14ac:dyDescent="0.3">
      <c r="A1028" t="s">
        <v>18</v>
      </c>
      <c r="B1028" t="s">
        <v>13</v>
      </c>
      <c r="C1028" t="s">
        <v>14</v>
      </c>
      <c r="D1028" s="3">
        <v>45206</v>
      </c>
      <c r="E1028" s="2">
        <v>13502</v>
      </c>
    </row>
    <row r="1029" spans="1:5" x14ac:dyDescent="0.3">
      <c r="A1029" t="s">
        <v>26</v>
      </c>
      <c r="B1029" t="s">
        <v>13</v>
      </c>
      <c r="C1029" t="s">
        <v>17</v>
      </c>
      <c r="D1029" s="3">
        <v>45206</v>
      </c>
      <c r="E1029" s="2">
        <v>3888</v>
      </c>
    </row>
    <row r="1030" spans="1:5" x14ac:dyDescent="0.3">
      <c r="A1030" t="s">
        <v>30</v>
      </c>
      <c r="B1030" t="s">
        <v>16</v>
      </c>
      <c r="C1030" t="s">
        <v>14</v>
      </c>
      <c r="D1030" s="3">
        <v>45207</v>
      </c>
      <c r="E1030" s="2">
        <v>6709</v>
      </c>
    </row>
    <row r="1031" spans="1:5" x14ac:dyDescent="0.3">
      <c r="A1031" t="s">
        <v>32</v>
      </c>
      <c r="B1031" t="s">
        <v>9</v>
      </c>
      <c r="C1031" t="s">
        <v>25</v>
      </c>
      <c r="D1031" s="3">
        <v>45207</v>
      </c>
      <c r="E1031" s="2">
        <v>8547</v>
      </c>
    </row>
    <row r="1032" spans="1:5" x14ac:dyDescent="0.3">
      <c r="A1032" t="s">
        <v>30</v>
      </c>
      <c r="B1032" t="s">
        <v>21</v>
      </c>
      <c r="C1032" t="s">
        <v>28</v>
      </c>
      <c r="D1032" s="3">
        <v>45207</v>
      </c>
      <c r="E1032" s="2">
        <v>4571</v>
      </c>
    </row>
    <row r="1033" spans="1:5" x14ac:dyDescent="0.3">
      <c r="A1033" t="s">
        <v>15</v>
      </c>
      <c r="B1033" t="s">
        <v>13</v>
      </c>
      <c r="C1033" t="s">
        <v>14</v>
      </c>
      <c r="D1033" s="3">
        <v>45208</v>
      </c>
      <c r="E1033" s="2">
        <v>11953</v>
      </c>
    </row>
    <row r="1034" spans="1:5" x14ac:dyDescent="0.3">
      <c r="A1034" t="s">
        <v>5</v>
      </c>
      <c r="B1034" t="s">
        <v>16</v>
      </c>
      <c r="C1034" t="s">
        <v>14</v>
      </c>
      <c r="D1034" s="3">
        <v>45208</v>
      </c>
      <c r="E1034" s="2">
        <v>11708</v>
      </c>
    </row>
    <row r="1035" spans="1:5" x14ac:dyDescent="0.3">
      <c r="A1035" t="s">
        <v>8</v>
      </c>
      <c r="B1035" t="s">
        <v>9</v>
      </c>
      <c r="C1035" t="s">
        <v>7</v>
      </c>
      <c r="D1035" s="3">
        <v>45208</v>
      </c>
      <c r="E1035" s="2">
        <v>6039</v>
      </c>
    </row>
    <row r="1036" spans="1:5" x14ac:dyDescent="0.3">
      <c r="A1036" t="s">
        <v>8</v>
      </c>
      <c r="B1036" t="s">
        <v>13</v>
      </c>
      <c r="C1036" t="s">
        <v>17</v>
      </c>
      <c r="D1036" s="3">
        <v>45208</v>
      </c>
      <c r="E1036" s="2">
        <v>6862</v>
      </c>
    </row>
    <row r="1037" spans="1:5" x14ac:dyDescent="0.3">
      <c r="A1037" t="s">
        <v>22</v>
      </c>
      <c r="B1037" t="s">
        <v>6</v>
      </c>
      <c r="C1037" t="s">
        <v>12</v>
      </c>
      <c r="D1037" s="3">
        <v>45208</v>
      </c>
      <c r="E1037" s="2">
        <v>8719</v>
      </c>
    </row>
    <row r="1038" spans="1:5" x14ac:dyDescent="0.3">
      <c r="A1038" t="s">
        <v>5</v>
      </c>
      <c r="B1038" t="s">
        <v>11</v>
      </c>
      <c r="C1038" t="s">
        <v>12</v>
      </c>
      <c r="D1038" s="3">
        <v>45208</v>
      </c>
      <c r="E1038" s="2">
        <v>11673</v>
      </c>
    </row>
    <row r="1039" spans="1:5" x14ac:dyDescent="0.3">
      <c r="A1039" t="s">
        <v>26</v>
      </c>
      <c r="B1039" t="s">
        <v>13</v>
      </c>
      <c r="C1039" t="s">
        <v>25</v>
      </c>
      <c r="D1039" s="3">
        <v>45209</v>
      </c>
      <c r="E1039" s="2">
        <v>11792</v>
      </c>
    </row>
    <row r="1040" spans="1:5" x14ac:dyDescent="0.3">
      <c r="A1040" t="s">
        <v>5</v>
      </c>
      <c r="B1040" t="s">
        <v>21</v>
      </c>
      <c r="C1040" t="s">
        <v>7</v>
      </c>
      <c r="D1040" s="3">
        <v>45209</v>
      </c>
      <c r="E1040" s="2">
        <v>7634</v>
      </c>
    </row>
    <row r="1041" spans="1:5" x14ac:dyDescent="0.3">
      <c r="A1041" t="s">
        <v>27</v>
      </c>
      <c r="B1041" t="s">
        <v>16</v>
      </c>
      <c r="C1041" t="s">
        <v>17</v>
      </c>
      <c r="D1041" s="3">
        <v>45209</v>
      </c>
      <c r="E1041" s="2">
        <v>10103</v>
      </c>
    </row>
    <row r="1042" spans="1:5" x14ac:dyDescent="0.3">
      <c r="A1042" t="s">
        <v>10</v>
      </c>
      <c r="B1042" t="s">
        <v>9</v>
      </c>
      <c r="C1042" t="s">
        <v>25</v>
      </c>
      <c r="D1042" s="3">
        <v>45210</v>
      </c>
      <c r="E1042" s="2">
        <v>6624</v>
      </c>
    </row>
    <row r="1043" spans="1:5" x14ac:dyDescent="0.3">
      <c r="A1043" t="s">
        <v>30</v>
      </c>
      <c r="B1043" t="s">
        <v>16</v>
      </c>
      <c r="C1043" t="s">
        <v>25</v>
      </c>
      <c r="D1043" s="3">
        <v>45210</v>
      </c>
      <c r="E1043" s="2">
        <v>11004</v>
      </c>
    </row>
    <row r="1044" spans="1:5" x14ac:dyDescent="0.3">
      <c r="A1044" t="s">
        <v>5</v>
      </c>
      <c r="B1044" t="s">
        <v>13</v>
      </c>
      <c r="C1044" t="s">
        <v>25</v>
      </c>
      <c r="D1044" s="3">
        <v>45210</v>
      </c>
      <c r="E1044" s="2">
        <v>7179</v>
      </c>
    </row>
    <row r="1045" spans="1:5" x14ac:dyDescent="0.3">
      <c r="A1045" t="s">
        <v>30</v>
      </c>
      <c r="B1045" t="s">
        <v>6</v>
      </c>
      <c r="C1045" t="s">
        <v>17</v>
      </c>
      <c r="D1045" s="3">
        <v>45210</v>
      </c>
      <c r="E1045" s="2">
        <v>11541</v>
      </c>
    </row>
    <row r="1046" spans="1:5" x14ac:dyDescent="0.3">
      <c r="A1046" t="s">
        <v>31</v>
      </c>
      <c r="B1046" t="s">
        <v>6</v>
      </c>
      <c r="C1046" t="s">
        <v>14</v>
      </c>
      <c r="D1046" s="3">
        <v>45211</v>
      </c>
      <c r="E1046" s="2">
        <v>8400</v>
      </c>
    </row>
    <row r="1047" spans="1:5" x14ac:dyDescent="0.3">
      <c r="A1047" t="s">
        <v>15</v>
      </c>
      <c r="B1047" t="s">
        <v>16</v>
      </c>
      <c r="C1047" t="s">
        <v>14</v>
      </c>
      <c r="D1047" s="3">
        <v>45211</v>
      </c>
      <c r="E1047" s="2">
        <v>1554</v>
      </c>
    </row>
    <row r="1048" spans="1:5" x14ac:dyDescent="0.3">
      <c r="A1048" t="s">
        <v>8</v>
      </c>
      <c r="B1048" t="s">
        <v>16</v>
      </c>
      <c r="C1048" t="s">
        <v>19</v>
      </c>
      <c r="D1048" s="3">
        <v>45211</v>
      </c>
      <c r="E1048" s="2">
        <v>10467</v>
      </c>
    </row>
    <row r="1049" spans="1:5" x14ac:dyDescent="0.3">
      <c r="A1049" t="s">
        <v>20</v>
      </c>
      <c r="B1049" t="s">
        <v>13</v>
      </c>
      <c r="C1049" t="s">
        <v>23</v>
      </c>
      <c r="D1049" s="3">
        <v>45211</v>
      </c>
      <c r="E1049" s="2">
        <v>1562</v>
      </c>
    </row>
    <row r="1050" spans="1:5" x14ac:dyDescent="0.3">
      <c r="A1050" t="s">
        <v>26</v>
      </c>
      <c r="B1050" t="s">
        <v>16</v>
      </c>
      <c r="C1050" t="s">
        <v>25</v>
      </c>
      <c r="D1050" s="3">
        <v>45211</v>
      </c>
      <c r="E1050" s="2">
        <v>11882</v>
      </c>
    </row>
    <row r="1051" spans="1:5" x14ac:dyDescent="0.3">
      <c r="A1051" t="s">
        <v>22</v>
      </c>
      <c r="B1051" t="s">
        <v>6</v>
      </c>
      <c r="C1051" t="s">
        <v>28</v>
      </c>
      <c r="D1051" s="3">
        <v>45211</v>
      </c>
      <c r="E1051" s="2">
        <v>2303</v>
      </c>
    </row>
    <row r="1052" spans="1:5" x14ac:dyDescent="0.3">
      <c r="A1052" t="s">
        <v>33</v>
      </c>
      <c r="B1052" t="s">
        <v>6</v>
      </c>
      <c r="C1052" t="s">
        <v>17</v>
      </c>
      <c r="D1052" s="3">
        <v>45211</v>
      </c>
      <c r="E1052" s="2">
        <v>8882</v>
      </c>
    </row>
    <row r="1053" spans="1:5" x14ac:dyDescent="0.3">
      <c r="A1053" t="s">
        <v>10</v>
      </c>
      <c r="B1053" t="s">
        <v>16</v>
      </c>
      <c r="C1053" t="s">
        <v>12</v>
      </c>
      <c r="D1053" s="3">
        <v>45211</v>
      </c>
      <c r="E1053" s="2">
        <v>6272</v>
      </c>
    </row>
    <row r="1054" spans="1:5" x14ac:dyDescent="0.3">
      <c r="A1054" t="s">
        <v>31</v>
      </c>
      <c r="B1054" t="s">
        <v>6</v>
      </c>
      <c r="C1054" t="s">
        <v>14</v>
      </c>
      <c r="D1054" s="3">
        <v>45212</v>
      </c>
      <c r="E1054" s="2">
        <v>11715</v>
      </c>
    </row>
    <row r="1055" spans="1:5" x14ac:dyDescent="0.3">
      <c r="A1055" t="s">
        <v>29</v>
      </c>
      <c r="B1055" t="s">
        <v>9</v>
      </c>
      <c r="C1055" t="s">
        <v>17</v>
      </c>
      <c r="D1055" s="3">
        <v>45212</v>
      </c>
      <c r="E1055" s="2">
        <v>8816</v>
      </c>
    </row>
    <row r="1056" spans="1:5" x14ac:dyDescent="0.3">
      <c r="A1056" t="s">
        <v>32</v>
      </c>
      <c r="B1056" t="s">
        <v>9</v>
      </c>
      <c r="C1056" t="s">
        <v>19</v>
      </c>
      <c r="D1056" s="3">
        <v>45213</v>
      </c>
      <c r="E1056" s="2">
        <v>5871</v>
      </c>
    </row>
    <row r="1057" spans="1:5" x14ac:dyDescent="0.3">
      <c r="A1057" t="s">
        <v>31</v>
      </c>
      <c r="B1057" t="s">
        <v>6</v>
      </c>
      <c r="C1057" t="s">
        <v>28</v>
      </c>
      <c r="D1057" s="3">
        <v>45213</v>
      </c>
      <c r="E1057" s="2">
        <v>4345</v>
      </c>
    </row>
    <row r="1058" spans="1:5" x14ac:dyDescent="0.3">
      <c r="A1058" t="s">
        <v>33</v>
      </c>
      <c r="B1058" t="s">
        <v>16</v>
      </c>
      <c r="C1058" t="s">
        <v>12</v>
      </c>
      <c r="D1058" s="3">
        <v>45213</v>
      </c>
      <c r="E1058" s="2">
        <v>3922</v>
      </c>
    </row>
    <row r="1059" spans="1:5" x14ac:dyDescent="0.3">
      <c r="A1059" t="s">
        <v>32</v>
      </c>
      <c r="B1059" t="s">
        <v>13</v>
      </c>
      <c r="C1059" t="s">
        <v>14</v>
      </c>
      <c r="D1059" s="3">
        <v>45214</v>
      </c>
      <c r="E1059" s="2">
        <v>5550</v>
      </c>
    </row>
    <row r="1060" spans="1:5" x14ac:dyDescent="0.3">
      <c r="A1060" t="s">
        <v>15</v>
      </c>
      <c r="B1060" t="s">
        <v>6</v>
      </c>
      <c r="C1060" t="s">
        <v>14</v>
      </c>
      <c r="D1060" s="3">
        <v>45214</v>
      </c>
      <c r="E1060" s="2">
        <v>9664</v>
      </c>
    </row>
    <row r="1061" spans="1:5" x14ac:dyDescent="0.3">
      <c r="A1061" t="s">
        <v>30</v>
      </c>
      <c r="B1061" t="s">
        <v>11</v>
      </c>
      <c r="C1061" t="s">
        <v>19</v>
      </c>
      <c r="D1061" s="3">
        <v>45214</v>
      </c>
      <c r="E1061" s="2">
        <v>1625</v>
      </c>
    </row>
    <row r="1062" spans="1:5" x14ac:dyDescent="0.3">
      <c r="A1062" t="s">
        <v>30</v>
      </c>
      <c r="B1062" t="s">
        <v>21</v>
      </c>
      <c r="C1062" t="s">
        <v>19</v>
      </c>
      <c r="D1062" s="3">
        <v>45214</v>
      </c>
      <c r="E1062" s="2">
        <v>3630</v>
      </c>
    </row>
    <row r="1063" spans="1:5" x14ac:dyDescent="0.3">
      <c r="A1063" t="s">
        <v>27</v>
      </c>
      <c r="B1063" t="s">
        <v>11</v>
      </c>
      <c r="C1063" t="s">
        <v>23</v>
      </c>
      <c r="D1063" s="3">
        <v>45214</v>
      </c>
      <c r="E1063" s="2">
        <v>9325</v>
      </c>
    </row>
    <row r="1064" spans="1:5" x14ac:dyDescent="0.3">
      <c r="A1064" t="s">
        <v>15</v>
      </c>
      <c r="B1064" t="s">
        <v>13</v>
      </c>
      <c r="C1064" t="s">
        <v>23</v>
      </c>
      <c r="D1064" s="3">
        <v>45214</v>
      </c>
      <c r="E1064" s="2">
        <v>2022</v>
      </c>
    </row>
    <row r="1065" spans="1:5" x14ac:dyDescent="0.3">
      <c r="A1065" t="s">
        <v>20</v>
      </c>
      <c r="B1065" t="s">
        <v>13</v>
      </c>
      <c r="C1065" t="s">
        <v>23</v>
      </c>
      <c r="D1065" s="3">
        <v>45214</v>
      </c>
      <c r="E1065" s="2">
        <v>13890</v>
      </c>
    </row>
    <row r="1066" spans="1:5" x14ac:dyDescent="0.3">
      <c r="A1066" t="s">
        <v>32</v>
      </c>
      <c r="B1066" t="s">
        <v>6</v>
      </c>
      <c r="C1066" t="s">
        <v>25</v>
      </c>
      <c r="D1066" s="3">
        <v>45214</v>
      </c>
      <c r="E1066" s="2">
        <v>13472</v>
      </c>
    </row>
    <row r="1067" spans="1:5" x14ac:dyDescent="0.3">
      <c r="A1067" t="s">
        <v>31</v>
      </c>
      <c r="B1067" t="s">
        <v>21</v>
      </c>
      <c r="C1067" t="s">
        <v>7</v>
      </c>
      <c r="D1067" s="3">
        <v>45214</v>
      </c>
      <c r="E1067" s="2">
        <v>11233</v>
      </c>
    </row>
    <row r="1068" spans="1:5" x14ac:dyDescent="0.3">
      <c r="A1068" t="s">
        <v>30</v>
      </c>
      <c r="B1068" t="s">
        <v>16</v>
      </c>
      <c r="C1068" t="s">
        <v>17</v>
      </c>
      <c r="D1068" s="3">
        <v>45214</v>
      </c>
      <c r="E1068" s="2">
        <v>7448</v>
      </c>
    </row>
    <row r="1069" spans="1:5" x14ac:dyDescent="0.3">
      <c r="A1069" t="s">
        <v>29</v>
      </c>
      <c r="B1069" t="s">
        <v>16</v>
      </c>
      <c r="C1069" t="s">
        <v>12</v>
      </c>
      <c r="D1069" s="3">
        <v>45214</v>
      </c>
      <c r="E1069" s="2">
        <v>1821</v>
      </c>
    </row>
    <row r="1070" spans="1:5" x14ac:dyDescent="0.3">
      <c r="A1070" t="s">
        <v>22</v>
      </c>
      <c r="B1070" t="s">
        <v>9</v>
      </c>
      <c r="C1070" t="s">
        <v>12</v>
      </c>
      <c r="D1070" s="3">
        <v>45214</v>
      </c>
      <c r="E1070" s="2">
        <v>12745</v>
      </c>
    </row>
    <row r="1071" spans="1:5" x14ac:dyDescent="0.3">
      <c r="A1071" t="s">
        <v>20</v>
      </c>
      <c r="B1071" t="s">
        <v>6</v>
      </c>
      <c r="C1071" t="s">
        <v>19</v>
      </c>
      <c r="D1071" s="3">
        <v>45215</v>
      </c>
      <c r="E1071" s="2">
        <v>2075</v>
      </c>
    </row>
    <row r="1072" spans="1:5" x14ac:dyDescent="0.3">
      <c r="A1072" t="s">
        <v>33</v>
      </c>
      <c r="B1072" t="s">
        <v>9</v>
      </c>
      <c r="C1072" t="s">
        <v>28</v>
      </c>
      <c r="D1072" s="3">
        <v>45215</v>
      </c>
      <c r="E1072" s="2">
        <v>11541</v>
      </c>
    </row>
    <row r="1073" spans="1:5" x14ac:dyDescent="0.3">
      <c r="A1073" t="s">
        <v>15</v>
      </c>
      <c r="B1073" t="s">
        <v>16</v>
      </c>
      <c r="C1073" t="s">
        <v>28</v>
      </c>
      <c r="D1073" s="3">
        <v>45215</v>
      </c>
      <c r="E1073" s="2">
        <v>3058</v>
      </c>
    </row>
    <row r="1074" spans="1:5" x14ac:dyDescent="0.3">
      <c r="A1074" t="s">
        <v>26</v>
      </c>
      <c r="B1074" t="s">
        <v>9</v>
      </c>
      <c r="C1074" t="s">
        <v>28</v>
      </c>
      <c r="D1074" s="3">
        <v>45215</v>
      </c>
      <c r="E1074" s="2">
        <v>2646</v>
      </c>
    </row>
    <row r="1075" spans="1:5" x14ac:dyDescent="0.3">
      <c r="A1075" t="s">
        <v>27</v>
      </c>
      <c r="B1075" t="s">
        <v>16</v>
      </c>
      <c r="C1075" t="s">
        <v>17</v>
      </c>
      <c r="D1075" s="3">
        <v>45215</v>
      </c>
      <c r="E1075" s="2">
        <v>1837</v>
      </c>
    </row>
    <row r="1076" spans="1:5" x14ac:dyDescent="0.3">
      <c r="A1076" t="s">
        <v>24</v>
      </c>
      <c r="B1076" t="s">
        <v>16</v>
      </c>
      <c r="C1076" t="s">
        <v>12</v>
      </c>
      <c r="D1076" s="3">
        <v>45215</v>
      </c>
      <c r="E1076" s="2">
        <v>7606</v>
      </c>
    </row>
    <row r="1077" spans="1:5" x14ac:dyDescent="0.3">
      <c r="A1077" t="s">
        <v>26</v>
      </c>
      <c r="B1077" t="s">
        <v>21</v>
      </c>
      <c r="C1077" t="s">
        <v>12</v>
      </c>
      <c r="D1077" s="3">
        <v>45215</v>
      </c>
      <c r="E1077" s="2">
        <v>13921</v>
      </c>
    </row>
    <row r="1078" spans="1:5" x14ac:dyDescent="0.3">
      <c r="A1078" t="s">
        <v>5</v>
      </c>
      <c r="B1078" t="s">
        <v>9</v>
      </c>
      <c r="C1078" t="s">
        <v>14</v>
      </c>
      <c r="D1078" s="3">
        <v>45216</v>
      </c>
      <c r="E1078" s="2">
        <v>2627</v>
      </c>
    </row>
    <row r="1079" spans="1:5" x14ac:dyDescent="0.3">
      <c r="A1079" t="s">
        <v>22</v>
      </c>
      <c r="B1079" t="s">
        <v>6</v>
      </c>
      <c r="C1079" t="s">
        <v>25</v>
      </c>
      <c r="D1079" s="3">
        <v>45216</v>
      </c>
      <c r="E1079" s="2">
        <v>4497</v>
      </c>
    </row>
    <row r="1080" spans="1:5" x14ac:dyDescent="0.3">
      <c r="A1080" t="s">
        <v>30</v>
      </c>
      <c r="B1080" t="s">
        <v>6</v>
      </c>
      <c r="C1080" t="s">
        <v>23</v>
      </c>
      <c r="D1080" s="3">
        <v>45217</v>
      </c>
      <c r="E1080" s="2">
        <v>8592</v>
      </c>
    </row>
    <row r="1081" spans="1:5" x14ac:dyDescent="0.3">
      <c r="A1081" t="s">
        <v>32</v>
      </c>
      <c r="B1081" t="s">
        <v>16</v>
      </c>
      <c r="C1081" t="s">
        <v>25</v>
      </c>
      <c r="D1081" s="3">
        <v>45217</v>
      </c>
      <c r="E1081" s="2">
        <v>5519</v>
      </c>
    </row>
    <row r="1082" spans="1:5" x14ac:dyDescent="0.3">
      <c r="A1082" t="s">
        <v>29</v>
      </c>
      <c r="B1082" t="s">
        <v>21</v>
      </c>
      <c r="C1082" t="s">
        <v>25</v>
      </c>
      <c r="D1082" s="3">
        <v>45217</v>
      </c>
      <c r="E1082" s="2">
        <v>5400</v>
      </c>
    </row>
    <row r="1083" spans="1:5" x14ac:dyDescent="0.3">
      <c r="A1083" t="s">
        <v>32</v>
      </c>
      <c r="B1083" t="s">
        <v>11</v>
      </c>
      <c r="C1083" t="s">
        <v>7</v>
      </c>
      <c r="D1083" s="3">
        <v>45217</v>
      </c>
      <c r="E1083" s="2">
        <v>13817</v>
      </c>
    </row>
    <row r="1084" spans="1:5" x14ac:dyDescent="0.3">
      <c r="A1084" t="s">
        <v>33</v>
      </c>
      <c r="B1084" t="s">
        <v>13</v>
      </c>
      <c r="C1084" t="s">
        <v>12</v>
      </c>
      <c r="D1084" s="3">
        <v>45217</v>
      </c>
      <c r="E1084" s="2">
        <v>13993</v>
      </c>
    </row>
    <row r="1085" spans="1:5" x14ac:dyDescent="0.3">
      <c r="A1085" t="s">
        <v>20</v>
      </c>
      <c r="B1085" t="s">
        <v>13</v>
      </c>
      <c r="C1085" t="s">
        <v>25</v>
      </c>
      <c r="D1085" s="3">
        <v>45218</v>
      </c>
      <c r="E1085" s="2">
        <v>4190</v>
      </c>
    </row>
    <row r="1086" spans="1:5" x14ac:dyDescent="0.3">
      <c r="A1086" t="s">
        <v>8</v>
      </c>
      <c r="B1086" t="s">
        <v>16</v>
      </c>
      <c r="C1086" t="s">
        <v>25</v>
      </c>
      <c r="D1086" s="3">
        <v>45218</v>
      </c>
      <c r="E1086" s="2">
        <v>6673</v>
      </c>
    </row>
    <row r="1087" spans="1:5" x14ac:dyDescent="0.3">
      <c r="A1087" t="s">
        <v>33</v>
      </c>
      <c r="B1087" t="s">
        <v>21</v>
      </c>
      <c r="C1087" t="s">
        <v>23</v>
      </c>
      <c r="D1087" s="3">
        <v>45219</v>
      </c>
      <c r="E1087" s="2">
        <v>13435</v>
      </c>
    </row>
    <row r="1088" spans="1:5" x14ac:dyDescent="0.3">
      <c r="A1088" t="s">
        <v>30</v>
      </c>
      <c r="B1088" t="s">
        <v>9</v>
      </c>
      <c r="C1088" t="s">
        <v>7</v>
      </c>
      <c r="D1088" s="3">
        <v>45219</v>
      </c>
      <c r="E1088" s="2">
        <v>6310</v>
      </c>
    </row>
    <row r="1089" spans="1:5" x14ac:dyDescent="0.3">
      <c r="A1089" t="s">
        <v>30</v>
      </c>
      <c r="B1089" t="s">
        <v>9</v>
      </c>
      <c r="C1089" t="s">
        <v>28</v>
      </c>
      <c r="D1089" s="3">
        <v>45219</v>
      </c>
      <c r="E1089" s="2">
        <v>2353</v>
      </c>
    </row>
    <row r="1090" spans="1:5" x14ac:dyDescent="0.3">
      <c r="A1090" t="s">
        <v>31</v>
      </c>
      <c r="B1090" t="s">
        <v>11</v>
      </c>
      <c r="C1090" t="s">
        <v>28</v>
      </c>
      <c r="D1090" s="3">
        <v>45219</v>
      </c>
      <c r="E1090" s="2">
        <v>11851</v>
      </c>
    </row>
    <row r="1091" spans="1:5" x14ac:dyDescent="0.3">
      <c r="A1091" t="s">
        <v>24</v>
      </c>
      <c r="B1091" t="s">
        <v>13</v>
      </c>
      <c r="C1091" t="s">
        <v>12</v>
      </c>
      <c r="D1091" s="3">
        <v>45219</v>
      </c>
      <c r="E1091" s="2">
        <v>5789</v>
      </c>
    </row>
    <row r="1092" spans="1:5" x14ac:dyDescent="0.3">
      <c r="A1092" t="s">
        <v>30</v>
      </c>
      <c r="B1092" t="s">
        <v>6</v>
      </c>
      <c r="C1092" t="s">
        <v>14</v>
      </c>
      <c r="D1092" s="3">
        <v>45220</v>
      </c>
      <c r="E1092" s="2">
        <v>13165</v>
      </c>
    </row>
    <row r="1093" spans="1:5" x14ac:dyDescent="0.3">
      <c r="A1093" t="s">
        <v>8</v>
      </c>
      <c r="B1093" t="s">
        <v>9</v>
      </c>
      <c r="C1093" t="s">
        <v>7</v>
      </c>
      <c r="D1093" s="3">
        <v>45220</v>
      </c>
      <c r="E1093" s="2">
        <v>11602</v>
      </c>
    </row>
    <row r="1094" spans="1:5" x14ac:dyDescent="0.3">
      <c r="A1094" t="s">
        <v>5</v>
      </c>
      <c r="B1094" t="s">
        <v>11</v>
      </c>
      <c r="C1094" t="s">
        <v>7</v>
      </c>
      <c r="D1094" s="3">
        <v>45220</v>
      </c>
      <c r="E1094" s="2">
        <v>4836</v>
      </c>
    </row>
    <row r="1095" spans="1:5" x14ac:dyDescent="0.3">
      <c r="A1095" t="s">
        <v>10</v>
      </c>
      <c r="B1095" t="s">
        <v>11</v>
      </c>
      <c r="C1095" t="s">
        <v>28</v>
      </c>
      <c r="D1095" s="3">
        <v>45220</v>
      </c>
      <c r="E1095" s="2">
        <v>2475</v>
      </c>
    </row>
    <row r="1096" spans="1:5" x14ac:dyDescent="0.3">
      <c r="A1096" t="s">
        <v>27</v>
      </c>
      <c r="B1096" t="s">
        <v>6</v>
      </c>
      <c r="C1096" t="s">
        <v>17</v>
      </c>
      <c r="D1096" s="3">
        <v>45221</v>
      </c>
      <c r="E1096" s="2">
        <v>7063</v>
      </c>
    </row>
    <row r="1097" spans="1:5" x14ac:dyDescent="0.3">
      <c r="A1097" t="s">
        <v>31</v>
      </c>
      <c r="B1097" t="s">
        <v>11</v>
      </c>
      <c r="C1097" t="s">
        <v>14</v>
      </c>
      <c r="D1097" s="3">
        <v>45222</v>
      </c>
      <c r="E1097" s="2">
        <v>13705</v>
      </c>
    </row>
    <row r="1098" spans="1:5" x14ac:dyDescent="0.3">
      <c r="A1098" t="s">
        <v>5</v>
      </c>
      <c r="B1098" t="s">
        <v>21</v>
      </c>
      <c r="C1098" t="s">
        <v>7</v>
      </c>
      <c r="D1098" s="3">
        <v>45222</v>
      </c>
      <c r="E1098" s="2">
        <v>1236</v>
      </c>
    </row>
    <row r="1099" spans="1:5" x14ac:dyDescent="0.3">
      <c r="A1099" t="s">
        <v>31</v>
      </c>
      <c r="B1099" t="s">
        <v>6</v>
      </c>
      <c r="C1099" t="s">
        <v>28</v>
      </c>
      <c r="D1099" s="3">
        <v>45222</v>
      </c>
      <c r="E1099" s="2">
        <v>2550</v>
      </c>
    </row>
    <row r="1100" spans="1:5" x14ac:dyDescent="0.3">
      <c r="A1100" t="s">
        <v>15</v>
      </c>
      <c r="B1100" t="s">
        <v>9</v>
      </c>
      <c r="C1100" t="s">
        <v>12</v>
      </c>
      <c r="D1100" s="3">
        <v>45222</v>
      </c>
      <c r="E1100" s="2">
        <v>10973</v>
      </c>
    </row>
    <row r="1101" spans="1:5" x14ac:dyDescent="0.3">
      <c r="A1101" t="s">
        <v>8</v>
      </c>
      <c r="B1101" t="s">
        <v>16</v>
      </c>
      <c r="C1101" t="s">
        <v>12</v>
      </c>
      <c r="D1101" s="3">
        <v>45223</v>
      </c>
      <c r="E1101" s="2">
        <v>4450</v>
      </c>
    </row>
    <row r="1102" spans="1:5" x14ac:dyDescent="0.3">
      <c r="A1102" t="s">
        <v>32</v>
      </c>
      <c r="B1102" t="s">
        <v>21</v>
      </c>
      <c r="C1102" t="s">
        <v>19</v>
      </c>
      <c r="D1102" s="3">
        <v>45224</v>
      </c>
      <c r="E1102" s="2">
        <v>3421</v>
      </c>
    </row>
    <row r="1103" spans="1:5" x14ac:dyDescent="0.3">
      <c r="A1103" t="s">
        <v>27</v>
      </c>
      <c r="B1103" t="s">
        <v>9</v>
      </c>
      <c r="C1103" t="s">
        <v>14</v>
      </c>
      <c r="D1103" s="3">
        <v>45225</v>
      </c>
      <c r="E1103" s="2">
        <v>6311</v>
      </c>
    </row>
    <row r="1104" spans="1:5" x14ac:dyDescent="0.3">
      <c r="A1104" t="s">
        <v>31</v>
      </c>
      <c r="B1104" t="s">
        <v>21</v>
      </c>
      <c r="C1104" t="s">
        <v>23</v>
      </c>
      <c r="D1104" s="3">
        <v>45225</v>
      </c>
      <c r="E1104" s="2">
        <v>3342</v>
      </c>
    </row>
    <row r="1105" spans="1:5" x14ac:dyDescent="0.3">
      <c r="A1105" t="s">
        <v>31</v>
      </c>
      <c r="B1105" t="s">
        <v>6</v>
      </c>
      <c r="C1105" t="s">
        <v>7</v>
      </c>
      <c r="D1105" s="3">
        <v>45225</v>
      </c>
      <c r="E1105" s="2">
        <v>9611</v>
      </c>
    </row>
    <row r="1106" spans="1:5" x14ac:dyDescent="0.3">
      <c r="A1106" t="s">
        <v>22</v>
      </c>
      <c r="B1106" t="s">
        <v>11</v>
      </c>
      <c r="C1106" t="s">
        <v>28</v>
      </c>
      <c r="D1106" s="3">
        <v>45225</v>
      </c>
      <c r="E1106" s="2">
        <v>6775</v>
      </c>
    </row>
    <row r="1107" spans="1:5" x14ac:dyDescent="0.3">
      <c r="A1107" t="s">
        <v>15</v>
      </c>
      <c r="B1107" t="s">
        <v>6</v>
      </c>
      <c r="C1107" t="s">
        <v>17</v>
      </c>
      <c r="D1107" s="3">
        <v>45225</v>
      </c>
      <c r="E1107" s="2">
        <v>2432</v>
      </c>
    </row>
    <row r="1108" spans="1:5" x14ac:dyDescent="0.3">
      <c r="A1108" t="s">
        <v>26</v>
      </c>
      <c r="B1108" t="s">
        <v>11</v>
      </c>
      <c r="C1108" t="s">
        <v>17</v>
      </c>
      <c r="D1108" s="3">
        <v>45225</v>
      </c>
      <c r="E1108" s="2">
        <v>4149</v>
      </c>
    </row>
    <row r="1109" spans="1:5" x14ac:dyDescent="0.3">
      <c r="A1109" t="s">
        <v>31</v>
      </c>
      <c r="B1109" t="s">
        <v>21</v>
      </c>
      <c r="C1109" t="s">
        <v>17</v>
      </c>
      <c r="D1109" s="3">
        <v>45225</v>
      </c>
      <c r="E1109" s="2">
        <v>9661</v>
      </c>
    </row>
    <row r="1110" spans="1:5" x14ac:dyDescent="0.3">
      <c r="A1110" t="s">
        <v>31</v>
      </c>
      <c r="B1110" t="s">
        <v>11</v>
      </c>
      <c r="C1110" t="s">
        <v>17</v>
      </c>
      <c r="D1110" s="3">
        <v>45225</v>
      </c>
      <c r="E1110" s="2">
        <v>3381</v>
      </c>
    </row>
    <row r="1111" spans="1:5" x14ac:dyDescent="0.3">
      <c r="A1111" t="s">
        <v>8</v>
      </c>
      <c r="B1111" t="s">
        <v>9</v>
      </c>
      <c r="C1111" t="s">
        <v>14</v>
      </c>
      <c r="D1111" s="3">
        <v>45226</v>
      </c>
      <c r="E1111" s="2">
        <v>2479</v>
      </c>
    </row>
    <row r="1112" spans="1:5" x14ac:dyDescent="0.3">
      <c r="A1112" t="s">
        <v>32</v>
      </c>
      <c r="B1112" t="s">
        <v>16</v>
      </c>
      <c r="C1112" t="s">
        <v>19</v>
      </c>
      <c r="D1112" s="3">
        <v>45227</v>
      </c>
      <c r="E1112" s="2">
        <v>13494</v>
      </c>
    </row>
    <row r="1113" spans="1:5" x14ac:dyDescent="0.3">
      <c r="A1113" t="s">
        <v>18</v>
      </c>
      <c r="B1113" t="s">
        <v>21</v>
      </c>
      <c r="C1113" t="s">
        <v>28</v>
      </c>
      <c r="D1113" s="3">
        <v>45227</v>
      </c>
      <c r="E1113" s="2">
        <v>13834</v>
      </c>
    </row>
    <row r="1114" spans="1:5" x14ac:dyDescent="0.3">
      <c r="A1114" t="s">
        <v>20</v>
      </c>
      <c r="B1114" t="s">
        <v>21</v>
      </c>
      <c r="C1114" t="s">
        <v>14</v>
      </c>
      <c r="D1114" s="3">
        <v>45228</v>
      </c>
      <c r="E1114" s="2">
        <v>2174</v>
      </c>
    </row>
    <row r="1115" spans="1:5" x14ac:dyDescent="0.3">
      <c r="A1115" t="s">
        <v>22</v>
      </c>
      <c r="B1115" t="s">
        <v>13</v>
      </c>
      <c r="C1115" t="s">
        <v>19</v>
      </c>
      <c r="D1115" s="3">
        <v>45228</v>
      </c>
      <c r="E1115" s="2">
        <v>2204</v>
      </c>
    </row>
    <row r="1116" spans="1:5" x14ac:dyDescent="0.3">
      <c r="A1116" t="s">
        <v>8</v>
      </c>
      <c r="B1116" t="s">
        <v>6</v>
      </c>
      <c r="C1116" t="s">
        <v>23</v>
      </c>
      <c r="D1116" s="3">
        <v>45228</v>
      </c>
      <c r="E1116" s="2">
        <v>12065</v>
      </c>
    </row>
    <row r="1117" spans="1:5" x14ac:dyDescent="0.3">
      <c r="A1117" t="s">
        <v>15</v>
      </c>
      <c r="B1117" t="s">
        <v>16</v>
      </c>
      <c r="C1117" t="s">
        <v>23</v>
      </c>
      <c r="D1117" s="3">
        <v>45228</v>
      </c>
      <c r="E1117" s="2">
        <v>6056</v>
      </c>
    </row>
    <row r="1118" spans="1:5" x14ac:dyDescent="0.3">
      <c r="A1118" t="s">
        <v>20</v>
      </c>
      <c r="B1118" t="s">
        <v>21</v>
      </c>
      <c r="C1118" t="s">
        <v>25</v>
      </c>
      <c r="D1118" s="3">
        <v>45228</v>
      </c>
      <c r="E1118" s="2">
        <v>13815</v>
      </c>
    </row>
    <row r="1119" spans="1:5" x14ac:dyDescent="0.3">
      <c r="A1119" t="s">
        <v>29</v>
      </c>
      <c r="B1119" t="s">
        <v>21</v>
      </c>
      <c r="C1119" t="s">
        <v>17</v>
      </c>
      <c r="D1119" s="3">
        <v>45228</v>
      </c>
      <c r="E1119" s="2">
        <v>8436</v>
      </c>
    </row>
    <row r="1120" spans="1:5" x14ac:dyDescent="0.3">
      <c r="A1120" t="s">
        <v>29</v>
      </c>
      <c r="B1120" t="s">
        <v>21</v>
      </c>
      <c r="C1120" t="s">
        <v>14</v>
      </c>
      <c r="D1120" s="3">
        <v>45229</v>
      </c>
      <c r="E1120" s="2">
        <v>10251</v>
      </c>
    </row>
    <row r="1121" spans="1:5" x14ac:dyDescent="0.3">
      <c r="A1121" t="s">
        <v>5</v>
      </c>
      <c r="B1121" t="s">
        <v>11</v>
      </c>
      <c r="C1121" t="s">
        <v>25</v>
      </c>
      <c r="D1121" s="3">
        <v>45229</v>
      </c>
      <c r="E1121" s="2">
        <v>4657</v>
      </c>
    </row>
    <row r="1122" spans="1:5" x14ac:dyDescent="0.3">
      <c r="A1122" t="s">
        <v>31</v>
      </c>
      <c r="B1122" t="s">
        <v>6</v>
      </c>
      <c r="C1122" t="s">
        <v>25</v>
      </c>
      <c r="D1122" s="3">
        <v>45229</v>
      </c>
      <c r="E1122" s="2">
        <v>2864</v>
      </c>
    </row>
    <row r="1123" spans="1:5" x14ac:dyDescent="0.3">
      <c r="A1123" t="s">
        <v>30</v>
      </c>
      <c r="B1123" t="s">
        <v>11</v>
      </c>
      <c r="C1123" t="s">
        <v>7</v>
      </c>
      <c r="D1123" s="3">
        <v>45229</v>
      </c>
      <c r="E1123" s="2">
        <v>10766</v>
      </c>
    </row>
    <row r="1124" spans="1:5" x14ac:dyDescent="0.3">
      <c r="A1124" t="s">
        <v>15</v>
      </c>
      <c r="B1124" t="s">
        <v>13</v>
      </c>
      <c r="C1124" t="s">
        <v>17</v>
      </c>
      <c r="D1124" s="3">
        <v>45229</v>
      </c>
      <c r="E1124" s="2">
        <v>9069</v>
      </c>
    </row>
    <row r="1125" spans="1:5" x14ac:dyDescent="0.3">
      <c r="A1125" t="s">
        <v>26</v>
      </c>
      <c r="B1125" t="s">
        <v>6</v>
      </c>
      <c r="C1125" t="s">
        <v>23</v>
      </c>
      <c r="D1125" s="3">
        <v>45230</v>
      </c>
      <c r="E1125" s="2">
        <v>13248</v>
      </c>
    </row>
    <row r="1126" spans="1:5" x14ac:dyDescent="0.3">
      <c r="A1126" t="s">
        <v>24</v>
      </c>
      <c r="B1126" t="s">
        <v>11</v>
      </c>
      <c r="C1126" t="s">
        <v>7</v>
      </c>
      <c r="D1126" s="3">
        <v>45230</v>
      </c>
      <c r="E1126" s="2">
        <v>6644</v>
      </c>
    </row>
    <row r="1127" spans="1:5" x14ac:dyDescent="0.3">
      <c r="A1127" t="s">
        <v>8</v>
      </c>
      <c r="B1127" t="s">
        <v>16</v>
      </c>
      <c r="C1127" t="s">
        <v>7</v>
      </c>
      <c r="D1127" s="3">
        <v>45230</v>
      </c>
      <c r="E1127" s="2">
        <v>9467</v>
      </c>
    </row>
    <row r="1128" spans="1:5" x14ac:dyDescent="0.3">
      <c r="A1128" t="s">
        <v>24</v>
      </c>
      <c r="B1128" t="s">
        <v>9</v>
      </c>
      <c r="C1128" t="s">
        <v>12</v>
      </c>
      <c r="D1128" s="3">
        <v>45230</v>
      </c>
      <c r="E1128" s="2">
        <v>9707</v>
      </c>
    </row>
    <row r="1129" spans="1:5" x14ac:dyDescent="0.3">
      <c r="A1129" t="s">
        <v>5</v>
      </c>
      <c r="B1129" t="s">
        <v>6</v>
      </c>
      <c r="C1129" t="s">
        <v>23</v>
      </c>
      <c r="D1129" s="3">
        <v>45232</v>
      </c>
      <c r="E1129" s="2">
        <v>11797</v>
      </c>
    </row>
    <row r="1130" spans="1:5" x14ac:dyDescent="0.3">
      <c r="A1130" t="s">
        <v>32</v>
      </c>
      <c r="B1130" t="s">
        <v>9</v>
      </c>
      <c r="C1130" t="s">
        <v>23</v>
      </c>
      <c r="D1130" s="3">
        <v>45232</v>
      </c>
      <c r="E1130" s="2">
        <v>10783</v>
      </c>
    </row>
    <row r="1131" spans="1:5" x14ac:dyDescent="0.3">
      <c r="A1131" t="s">
        <v>27</v>
      </c>
      <c r="B1131" t="s">
        <v>13</v>
      </c>
      <c r="C1131" t="s">
        <v>17</v>
      </c>
      <c r="D1131" s="3">
        <v>45232</v>
      </c>
      <c r="E1131" s="2">
        <v>9898</v>
      </c>
    </row>
    <row r="1132" spans="1:5" x14ac:dyDescent="0.3">
      <c r="A1132" t="s">
        <v>26</v>
      </c>
      <c r="B1132" t="s">
        <v>6</v>
      </c>
      <c r="C1132" t="s">
        <v>17</v>
      </c>
      <c r="D1132" s="3">
        <v>45232</v>
      </c>
      <c r="E1132" s="2">
        <v>11924</v>
      </c>
    </row>
    <row r="1133" spans="1:5" x14ac:dyDescent="0.3">
      <c r="A1133" t="s">
        <v>32</v>
      </c>
      <c r="B1133" t="s">
        <v>16</v>
      </c>
      <c r="C1133" t="s">
        <v>19</v>
      </c>
      <c r="D1133" s="3">
        <v>45233</v>
      </c>
      <c r="E1133" s="2">
        <v>4910</v>
      </c>
    </row>
    <row r="1134" spans="1:5" x14ac:dyDescent="0.3">
      <c r="A1134" t="s">
        <v>26</v>
      </c>
      <c r="B1134" t="s">
        <v>9</v>
      </c>
      <c r="C1134" t="s">
        <v>25</v>
      </c>
      <c r="D1134" s="3">
        <v>45233</v>
      </c>
      <c r="E1134" s="2">
        <v>3021</v>
      </c>
    </row>
    <row r="1135" spans="1:5" x14ac:dyDescent="0.3">
      <c r="A1135" t="s">
        <v>8</v>
      </c>
      <c r="B1135" t="s">
        <v>9</v>
      </c>
      <c r="C1135" t="s">
        <v>7</v>
      </c>
      <c r="D1135" s="3">
        <v>45233</v>
      </c>
      <c r="E1135" s="2">
        <v>11741</v>
      </c>
    </row>
    <row r="1136" spans="1:5" x14ac:dyDescent="0.3">
      <c r="A1136" t="s">
        <v>20</v>
      </c>
      <c r="B1136" t="s">
        <v>16</v>
      </c>
      <c r="C1136" t="s">
        <v>19</v>
      </c>
      <c r="D1136" s="3">
        <v>45234</v>
      </c>
      <c r="E1136" s="2">
        <v>11678</v>
      </c>
    </row>
    <row r="1137" spans="1:5" x14ac:dyDescent="0.3">
      <c r="A1137" t="s">
        <v>24</v>
      </c>
      <c r="B1137" t="s">
        <v>21</v>
      </c>
      <c r="C1137" t="s">
        <v>23</v>
      </c>
      <c r="D1137" s="3">
        <v>45234</v>
      </c>
      <c r="E1137" s="2">
        <v>5258</v>
      </c>
    </row>
    <row r="1138" spans="1:5" x14ac:dyDescent="0.3">
      <c r="A1138" t="s">
        <v>10</v>
      </c>
      <c r="B1138" t="s">
        <v>9</v>
      </c>
      <c r="C1138" t="s">
        <v>23</v>
      </c>
      <c r="D1138" s="3">
        <v>45234</v>
      </c>
      <c r="E1138" s="2">
        <v>11227</v>
      </c>
    </row>
    <row r="1139" spans="1:5" x14ac:dyDescent="0.3">
      <c r="A1139" t="s">
        <v>10</v>
      </c>
      <c r="B1139" t="s">
        <v>16</v>
      </c>
      <c r="C1139" t="s">
        <v>7</v>
      </c>
      <c r="D1139" s="3">
        <v>45234</v>
      </c>
      <c r="E1139" s="2">
        <v>10938</v>
      </c>
    </row>
    <row r="1140" spans="1:5" x14ac:dyDescent="0.3">
      <c r="A1140" t="s">
        <v>5</v>
      </c>
      <c r="B1140" t="s">
        <v>13</v>
      </c>
      <c r="C1140" t="s">
        <v>7</v>
      </c>
      <c r="D1140" s="3">
        <v>45234</v>
      </c>
      <c r="E1140" s="2">
        <v>4247</v>
      </c>
    </row>
    <row r="1141" spans="1:5" x14ac:dyDescent="0.3">
      <c r="A1141" t="s">
        <v>5</v>
      </c>
      <c r="B1141" t="s">
        <v>9</v>
      </c>
      <c r="C1141" t="s">
        <v>17</v>
      </c>
      <c r="D1141" s="3">
        <v>45234</v>
      </c>
      <c r="E1141" s="2">
        <v>7205</v>
      </c>
    </row>
    <row r="1142" spans="1:5" x14ac:dyDescent="0.3">
      <c r="A1142" t="s">
        <v>27</v>
      </c>
      <c r="B1142" t="s">
        <v>9</v>
      </c>
      <c r="C1142" t="s">
        <v>17</v>
      </c>
      <c r="D1142" s="3">
        <v>45235</v>
      </c>
      <c r="E1142" s="2">
        <v>8001</v>
      </c>
    </row>
    <row r="1143" spans="1:5" x14ac:dyDescent="0.3">
      <c r="A1143" t="s">
        <v>15</v>
      </c>
      <c r="B1143" t="s">
        <v>6</v>
      </c>
      <c r="C1143" t="s">
        <v>14</v>
      </c>
      <c r="D1143" s="3">
        <v>45236</v>
      </c>
      <c r="E1143" s="2">
        <v>6801</v>
      </c>
    </row>
    <row r="1144" spans="1:5" x14ac:dyDescent="0.3">
      <c r="A1144" t="s">
        <v>33</v>
      </c>
      <c r="B1144" t="s">
        <v>6</v>
      </c>
      <c r="C1144" t="s">
        <v>14</v>
      </c>
      <c r="D1144" s="3">
        <v>45236</v>
      </c>
      <c r="E1144" s="2">
        <v>9219</v>
      </c>
    </row>
    <row r="1145" spans="1:5" x14ac:dyDescent="0.3">
      <c r="A1145" t="s">
        <v>32</v>
      </c>
      <c r="B1145" t="s">
        <v>13</v>
      </c>
      <c r="C1145" t="s">
        <v>19</v>
      </c>
      <c r="D1145" s="3">
        <v>45236</v>
      </c>
      <c r="E1145" s="2">
        <v>5045</v>
      </c>
    </row>
    <row r="1146" spans="1:5" x14ac:dyDescent="0.3">
      <c r="A1146" t="s">
        <v>22</v>
      </c>
      <c r="B1146" t="s">
        <v>9</v>
      </c>
      <c r="C1146" t="s">
        <v>23</v>
      </c>
      <c r="D1146" s="3">
        <v>45236</v>
      </c>
      <c r="E1146" s="2">
        <v>3531</v>
      </c>
    </row>
    <row r="1147" spans="1:5" x14ac:dyDescent="0.3">
      <c r="A1147" t="s">
        <v>32</v>
      </c>
      <c r="B1147" t="s">
        <v>11</v>
      </c>
      <c r="C1147" t="s">
        <v>25</v>
      </c>
      <c r="D1147" s="3">
        <v>45236</v>
      </c>
      <c r="E1147" s="2">
        <v>8712</v>
      </c>
    </row>
    <row r="1148" spans="1:5" x14ac:dyDescent="0.3">
      <c r="A1148" t="s">
        <v>20</v>
      </c>
      <c r="B1148" t="s">
        <v>9</v>
      </c>
      <c r="C1148" t="s">
        <v>7</v>
      </c>
      <c r="D1148" s="3">
        <v>45236</v>
      </c>
      <c r="E1148" s="2">
        <v>2196</v>
      </c>
    </row>
    <row r="1149" spans="1:5" x14ac:dyDescent="0.3">
      <c r="A1149" t="s">
        <v>26</v>
      </c>
      <c r="B1149" t="s">
        <v>16</v>
      </c>
      <c r="C1149" t="s">
        <v>17</v>
      </c>
      <c r="D1149" s="3">
        <v>45236</v>
      </c>
      <c r="E1149" s="2">
        <v>7860</v>
      </c>
    </row>
    <row r="1150" spans="1:5" x14ac:dyDescent="0.3">
      <c r="A1150" t="s">
        <v>24</v>
      </c>
      <c r="B1150" t="s">
        <v>9</v>
      </c>
      <c r="C1150" t="s">
        <v>17</v>
      </c>
      <c r="D1150" s="3">
        <v>45236</v>
      </c>
      <c r="E1150" s="2">
        <v>8774</v>
      </c>
    </row>
    <row r="1151" spans="1:5" x14ac:dyDescent="0.3">
      <c r="A1151" t="s">
        <v>5</v>
      </c>
      <c r="B1151" t="s">
        <v>11</v>
      </c>
      <c r="C1151" t="s">
        <v>12</v>
      </c>
      <c r="D1151" s="3">
        <v>45236</v>
      </c>
      <c r="E1151" s="2">
        <v>7154</v>
      </c>
    </row>
    <row r="1152" spans="1:5" x14ac:dyDescent="0.3">
      <c r="A1152" t="s">
        <v>5</v>
      </c>
      <c r="B1152" t="s">
        <v>11</v>
      </c>
      <c r="C1152" t="s">
        <v>14</v>
      </c>
      <c r="D1152" s="3">
        <v>45237</v>
      </c>
      <c r="E1152" s="2">
        <v>11906</v>
      </c>
    </row>
    <row r="1153" spans="1:5" x14ac:dyDescent="0.3">
      <c r="A1153" t="s">
        <v>27</v>
      </c>
      <c r="B1153" t="s">
        <v>11</v>
      </c>
      <c r="C1153" t="s">
        <v>17</v>
      </c>
      <c r="D1153" s="3">
        <v>45237</v>
      </c>
      <c r="E1153" s="2">
        <v>8688</v>
      </c>
    </row>
    <row r="1154" spans="1:5" x14ac:dyDescent="0.3">
      <c r="A1154" t="s">
        <v>15</v>
      </c>
      <c r="B1154" t="s">
        <v>16</v>
      </c>
      <c r="C1154" t="s">
        <v>19</v>
      </c>
      <c r="D1154" s="3">
        <v>45238</v>
      </c>
      <c r="E1154" s="2">
        <v>11990</v>
      </c>
    </row>
    <row r="1155" spans="1:5" x14ac:dyDescent="0.3">
      <c r="A1155" t="s">
        <v>8</v>
      </c>
      <c r="B1155" t="s">
        <v>21</v>
      </c>
      <c r="C1155" t="s">
        <v>19</v>
      </c>
      <c r="D1155" s="3">
        <v>45238</v>
      </c>
      <c r="E1155" s="2">
        <v>12074</v>
      </c>
    </row>
    <row r="1156" spans="1:5" x14ac:dyDescent="0.3">
      <c r="A1156" t="s">
        <v>32</v>
      </c>
      <c r="B1156" t="s">
        <v>11</v>
      </c>
      <c r="C1156" t="s">
        <v>17</v>
      </c>
      <c r="D1156" s="3">
        <v>45238</v>
      </c>
      <c r="E1156" s="2">
        <v>8749</v>
      </c>
    </row>
    <row r="1157" spans="1:5" x14ac:dyDescent="0.3">
      <c r="A1157" t="s">
        <v>30</v>
      </c>
      <c r="B1157" t="s">
        <v>11</v>
      </c>
      <c r="C1157" t="s">
        <v>19</v>
      </c>
      <c r="D1157" s="3">
        <v>45239</v>
      </c>
      <c r="E1157" s="2">
        <v>3296</v>
      </c>
    </row>
    <row r="1158" spans="1:5" x14ac:dyDescent="0.3">
      <c r="A1158" t="s">
        <v>22</v>
      </c>
      <c r="B1158" t="s">
        <v>9</v>
      </c>
      <c r="C1158" t="s">
        <v>23</v>
      </c>
      <c r="D1158" s="3">
        <v>45239</v>
      </c>
      <c r="E1158" s="2">
        <v>12664</v>
      </c>
    </row>
    <row r="1159" spans="1:5" x14ac:dyDescent="0.3">
      <c r="A1159" t="s">
        <v>20</v>
      </c>
      <c r="B1159" t="s">
        <v>6</v>
      </c>
      <c r="C1159" t="s">
        <v>7</v>
      </c>
      <c r="D1159" s="3">
        <v>45239</v>
      </c>
      <c r="E1159" s="2">
        <v>2948</v>
      </c>
    </row>
    <row r="1160" spans="1:5" x14ac:dyDescent="0.3">
      <c r="A1160" t="s">
        <v>15</v>
      </c>
      <c r="B1160" t="s">
        <v>6</v>
      </c>
      <c r="C1160" t="s">
        <v>7</v>
      </c>
      <c r="D1160" s="3">
        <v>45239</v>
      </c>
      <c r="E1160" s="2">
        <v>7360</v>
      </c>
    </row>
    <row r="1161" spans="1:5" x14ac:dyDescent="0.3">
      <c r="A1161" t="s">
        <v>20</v>
      </c>
      <c r="B1161" t="s">
        <v>21</v>
      </c>
      <c r="C1161" t="s">
        <v>17</v>
      </c>
      <c r="D1161" s="3">
        <v>45239</v>
      </c>
      <c r="E1161" s="2">
        <v>12019</v>
      </c>
    </row>
    <row r="1162" spans="1:5" x14ac:dyDescent="0.3">
      <c r="A1162" t="s">
        <v>5</v>
      </c>
      <c r="B1162" t="s">
        <v>9</v>
      </c>
      <c r="C1162" t="s">
        <v>19</v>
      </c>
      <c r="D1162" s="3">
        <v>45240</v>
      </c>
      <c r="E1162" s="2">
        <v>12938</v>
      </c>
    </row>
    <row r="1163" spans="1:5" x14ac:dyDescent="0.3">
      <c r="A1163" t="s">
        <v>20</v>
      </c>
      <c r="B1163" t="s">
        <v>11</v>
      </c>
      <c r="C1163" t="s">
        <v>19</v>
      </c>
      <c r="D1163" s="3">
        <v>45241</v>
      </c>
      <c r="E1163" s="2">
        <v>2536</v>
      </c>
    </row>
    <row r="1164" spans="1:5" x14ac:dyDescent="0.3">
      <c r="A1164" t="s">
        <v>15</v>
      </c>
      <c r="B1164" t="s">
        <v>16</v>
      </c>
      <c r="C1164" t="s">
        <v>25</v>
      </c>
      <c r="D1164" s="3">
        <v>45241</v>
      </c>
      <c r="E1164" s="2">
        <v>12016</v>
      </c>
    </row>
    <row r="1165" spans="1:5" x14ac:dyDescent="0.3">
      <c r="A1165" t="s">
        <v>10</v>
      </c>
      <c r="B1165" t="s">
        <v>11</v>
      </c>
      <c r="C1165" t="s">
        <v>28</v>
      </c>
      <c r="D1165" s="3">
        <v>45241</v>
      </c>
      <c r="E1165" s="2">
        <v>13407</v>
      </c>
    </row>
    <row r="1166" spans="1:5" x14ac:dyDescent="0.3">
      <c r="A1166" t="s">
        <v>22</v>
      </c>
      <c r="B1166" t="s">
        <v>11</v>
      </c>
      <c r="C1166" t="s">
        <v>17</v>
      </c>
      <c r="D1166" s="3">
        <v>45241</v>
      </c>
      <c r="E1166" s="2">
        <v>6840</v>
      </c>
    </row>
    <row r="1167" spans="1:5" x14ac:dyDescent="0.3">
      <c r="A1167" t="s">
        <v>31</v>
      </c>
      <c r="B1167" t="s">
        <v>6</v>
      </c>
      <c r="C1167" t="s">
        <v>17</v>
      </c>
      <c r="D1167" s="3">
        <v>45241</v>
      </c>
      <c r="E1167" s="2">
        <v>7080</v>
      </c>
    </row>
    <row r="1168" spans="1:5" x14ac:dyDescent="0.3">
      <c r="A1168" t="s">
        <v>15</v>
      </c>
      <c r="B1168" t="s">
        <v>9</v>
      </c>
      <c r="C1168" t="s">
        <v>17</v>
      </c>
      <c r="D1168" s="3">
        <v>45241</v>
      </c>
      <c r="E1168" s="2">
        <v>1986</v>
      </c>
    </row>
    <row r="1169" spans="1:5" x14ac:dyDescent="0.3">
      <c r="A1169" t="s">
        <v>5</v>
      </c>
      <c r="B1169" t="s">
        <v>16</v>
      </c>
      <c r="C1169" t="s">
        <v>12</v>
      </c>
      <c r="D1169" s="3">
        <v>45241</v>
      </c>
      <c r="E1169" s="2">
        <v>10115</v>
      </c>
    </row>
    <row r="1170" spans="1:5" x14ac:dyDescent="0.3">
      <c r="A1170" t="s">
        <v>26</v>
      </c>
      <c r="B1170" t="s">
        <v>6</v>
      </c>
      <c r="C1170" t="s">
        <v>12</v>
      </c>
      <c r="D1170" s="3">
        <v>45241</v>
      </c>
      <c r="E1170" s="2">
        <v>1115</v>
      </c>
    </row>
    <row r="1171" spans="1:5" x14ac:dyDescent="0.3">
      <c r="A1171" t="s">
        <v>24</v>
      </c>
      <c r="B1171" t="s">
        <v>9</v>
      </c>
      <c r="C1171" t="s">
        <v>25</v>
      </c>
      <c r="D1171" s="3">
        <v>45242</v>
      </c>
      <c r="E1171" s="2">
        <v>13076</v>
      </c>
    </row>
    <row r="1172" spans="1:5" x14ac:dyDescent="0.3">
      <c r="A1172" t="s">
        <v>5</v>
      </c>
      <c r="B1172" t="s">
        <v>6</v>
      </c>
      <c r="C1172" t="s">
        <v>28</v>
      </c>
      <c r="D1172" s="3">
        <v>45242</v>
      </c>
      <c r="E1172" s="2">
        <v>11444</v>
      </c>
    </row>
    <row r="1173" spans="1:5" x14ac:dyDescent="0.3">
      <c r="A1173" t="s">
        <v>27</v>
      </c>
      <c r="B1173" t="s">
        <v>13</v>
      </c>
      <c r="C1173" t="s">
        <v>28</v>
      </c>
      <c r="D1173" s="3">
        <v>45242</v>
      </c>
      <c r="E1173" s="2">
        <v>13625</v>
      </c>
    </row>
    <row r="1174" spans="1:5" x14ac:dyDescent="0.3">
      <c r="A1174" t="s">
        <v>26</v>
      </c>
      <c r="B1174" t="s">
        <v>16</v>
      </c>
      <c r="C1174" t="s">
        <v>28</v>
      </c>
      <c r="D1174" s="3">
        <v>45242</v>
      </c>
      <c r="E1174" s="2">
        <v>5838</v>
      </c>
    </row>
    <row r="1175" spans="1:5" x14ac:dyDescent="0.3">
      <c r="A1175" t="s">
        <v>32</v>
      </c>
      <c r="B1175" t="s">
        <v>16</v>
      </c>
      <c r="C1175" t="s">
        <v>17</v>
      </c>
      <c r="D1175" s="3">
        <v>45242</v>
      </c>
      <c r="E1175" s="2">
        <v>3861</v>
      </c>
    </row>
    <row r="1176" spans="1:5" x14ac:dyDescent="0.3">
      <c r="A1176" t="s">
        <v>18</v>
      </c>
      <c r="B1176" t="s">
        <v>16</v>
      </c>
      <c r="C1176" t="s">
        <v>14</v>
      </c>
      <c r="D1176" s="3">
        <v>45243</v>
      </c>
      <c r="E1176" s="2">
        <v>9374</v>
      </c>
    </row>
    <row r="1177" spans="1:5" x14ac:dyDescent="0.3">
      <c r="A1177" t="s">
        <v>31</v>
      </c>
      <c r="B1177" t="s">
        <v>13</v>
      </c>
      <c r="C1177" t="s">
        <v>19</v>
      </c>
      <c r="D1177" s="3">
        <v>45243</v>
      </c>
      <c r="E1177" s="2">
        <v>1939</v>
      </c>
    </row>
    <row r="1178" spans="1:5" x14ac:dyDescent="0.3">
      <c r="A1178" t="s">
        <v>18</v>
      </c>
      <c r="B1178" t="s">
        <v>11</v>
      </c>
      <c r="C1178" t="s">
        <v>23</v>
      </c>
      <c r="D1178" s="3">
        <v>45243</v>
      </c>
      <c r="E1178" s="2">
        <v>11489</v>
      </c>
    </row>
    <row r="1179" spans="1:5" x14ac:dyDescent="0.3">
      <c r="A1179" t="s">
        <v>31</v>
      </c>
      <c r="B1179" t="s">
        <v>16</v>
      </c>
      <c r="C1179" t="s">
        <v>28</v>
      </c>
      <c r="D1179" s="3">
        <v>45243</v>
      </c>
      <c r="E1179" s="2">
        <v>9254</v>
      </c>
    </row>
    <row r="1180" spans="1:5" x14ac:dyDescent="0.3">
      <c r="A1180" t="s">
        <v>8</v>
      </c>
      <c r="B1180" t="s">
        <v>16</v>
      </c>
      <c r="C1180" t="s">
        <v>14</v>
      </c>
      <c r="D1180" s="3">
        <v>45244</v>
      </c>
      <c r="E1180" s="2">
        <v>5895</v>
      </c>
    </row>
    <row r="1181" spans="1:5" x14ac:dyDescent="0.3">
      <c r="A1181" t="s">
        <v>5</v>
      </c>
      <c r="B1181" t="s">
        <v>13</v>
      </c>
      <c r="C1181" t="s">
        <v>14</v>
      </c>
      <c r="D1181" s="3">
        <v>45244</v>
      </c>
      <c r="E1181" s="2">
        <v>12491</v>
      </c>
    </row>
    <row r="1182" spans="1:5" x14ac:dyDescent="0.3">
      <c r="A1182" t="s">
        <v>24</v>
      </c>
      <c r="B1182" t="s">
        <v>11</v>
      </c>
      <c r="C1182" t="s">
        <v>19</v>
      </c>
      <c r="D1182" s="3">
        <v>45244</v>
      </c>
      <c r="E1182" s="2">
        <v>1297</v>
      </c>
    </row>
    <row r="1183" spans="1:5" x14ac:dyDescent="0.3">
      <c r="A1183" t="s">
        <v>31</v>
      </c>
      <c r="B1183" t="s">
        <v>9</v>
      </c>
      <c r="C1183" t="s">
        <v>23</v>
      </c>
      <c r="D1183" s="3">
        <v>45244</v>
      </c>
      <c r="E1183" s="2">
        <v>3864</v>
      </c>
    </row>
    <row r="1184" spans="1:5" x14ac:dyDescent="0.3">
      <c r="A1184" t="s">
        <v>26</v>
      </c>
      <c r="B1184" t="s">
        <v>11</v>
      </c>
      <c r="C1184" t="s">
        <v>25</v>
      </c>
      <c r="D1184" s="3">
        <v>45244</v>
      </c>
      <c r="E1184" s="2">
        <v>10956</v>
      </c>
    </row>
    <row r="1185" spans="1:5" x14ac:dyDescent="0.3">
      <c r="A1185" t="s">
        <v>20</v>
      </c>
      <c r="B1185" t="s">
        <v>21</v>
      </c>
      <c r="C1185" t="s">
        <v>14</v>
      </c>
      <c r="D1185" s="3">
        <v>45245</v>
      </c>
      <c r="E1185" s="2">
        <v>5104</v>
      </c>
    </row>
    <row r="1186" spans="1:5" x14ac:dyDescent="0.3">
      <c r="A1186" t="s">
        <v>27</v>
      </c>
      <c r="B1186" t="s">
        <v>6</v>
      </c>
      <c r="C1186" t="s">
        <v>7</v>
      </c>
      <c r="D1186" s="3">
        <v>45245</v>
      </c>
      <c r="E1186" s="2">
        <v>10253</v>
      </c>
    </row>
    <row r="1187" spans="1:5" x14ac:dyDescent="0.3">
      <c r="A1187" t="s">
        <v>20</v>
      </c>
      <c r="B1187" t="s">
        <v>21</v>
      </c>
      <c r="C1187" t="s">
        <v>12</v>
      </c>
      <c r="D1187" s="3">
        <v>45245</v>
      </c>
      <c r="E1187" s="2">
        <v>9375</v>
      </c>
    </row>
    <row r="1188" spans="1:5" x14ac:dyDescent="0.3">
      <c r="A1188" t="s">
        <v>22</v>
      </c>
      <c r="B1188" t="s">
        <v>11</v>
      </c>
      <c r="C1188" t="s">
        <v>23</v>
      </c>
      <c r="D1188" s="3">
        <v>45246</v>
      </c>
      <c r="E1188" s="2">
        <v>9237</v>
      </c>
    </row>
    <row r="1189" spans="1:5" x14ac:dyDescent="0.3">
      <c r="A1189" t="s">
        <v>27</v>
      </c>
      <c r="B1189" t="s">
        <v>6</v>
      </c>
      <c r="C1189" t="s">
        <v>28</v>
      </c>
      <c r="D1189" s="3">
        <v>45246</v>
      </c>
      <c r="E1189" s="2">
        <v>4781</v>
      </c>
    </row>
    <row r="1190" spans="1:5" x14ac:dyDescent="0.3">
      <c r="A1190" t="s">
        <v>30</v>
      </c>
      <c r="B1190" t="s">
        <v>16</v>
      </c>
      <c r="C1190" t="s">
        <v>12</v>
      </c>
      <c r="D1190" s="3">
        <v>45246</v>
      </c>
      <c r="E1190" s="2">
        <v>13052</v>
      </c>
    </row>
    <row r="1191" spans="1:5" x14ac:dyDescent="0.3">
      <c r="A1191" t="s">
        <v>22</v>
      </c>
      <c r="B1191" t="s">
        <v>21</v>
      </c>
      <c r="C1191" t="s">
        <v>19</v>
      </c>
      <c r="D1191" s="3">
        <v>45248</v>
      </c>
      <c r="E1191" s="2">
        <v>11333</v>
      </c>
    </row>
    <row r="1192" spans="1:5" x14ac:dyDescent="0.3">
      <c r="A1192" t="s">
        <v>5</v>
      </c>
      <c r="B1192" t="s">
        <v>11</v>
      </c>
      <c r="C1192" t="s">
        <v>23</v>
      </c>
      <c r="D1192" s="3">
        <v>45248</v>
      </c>
      <c r="E1192" s="2">
        <v>7523</v>
      </c>
    </row>
    <row r="1193" spans="1:5" x14ac:dyDescent="0.3">
      <c r="A1193" t="s">
        <v>20</v>
      </c>
      <c r="B1193" t="s">
        <v>16</v>
      </c>
      <c r="C1193" t="s">
        <v>28</v>
      </c>
      <c r="D1193" s="3">
        <v>45248</v>
      </c>
      <c r="E1193" s="2">
        <v>9160</v>
      </c>
    </row>
    <row r="1194" spans="1:5" x14ac:dyDescent="0.3">
      <c r="A1194" t="s">
        <v>24</v>
      </c>
      <c r="B1194" t="s">
        <v>6</v>
      </c>
      <c r="C1194" t="s">
        <v>12</v>
      </c>
      <c r="D1194" s="3">
        <v>45248</v>
      </c>
      <c r="E1194" s="2">
        <v>7994</v>
      </c>
    </row>
    <row r="1195" spans="1:5" x14ac:dyDescent="0.3">
      <c r="A1195" t="s">
        <v>32</v>
      </c>
      <c r="B1195" t="s">
        <v>13</v>
      </c>
      <c r="C1195" t="s">
        <v>12</v>
      </c>
      <c r="D1195" s="3">
        <v>45248</v>
      </c>
      <c r="E1195" s="2">
        <v>5824</v>
      </c>
    </row>
    <row r="1196" spans="1:5" x14ac:dyDescent="0.3">
      <c r="A1196" t="s">
        <v>30</v>
      </c>
      <c r="B1196" t="s">
        <v>21</v>
      </c>
      <c r="C1196" t="s">
        <v>19</v>
      </c>
      <c r="D1196" s="3">
        <v>45249</v>
      </c>
      <c r="E1196" s="2">
        <v>12677</v>
      </c>
    </row>
    <row r="1197" spans="1:5" x14ac:dyDescent="0.3">
      <c r="A1197" t="s">
        <v>10</v>
      </c>
      <c r="B1197" t="s">
        <v>11</v>
      </c>
      <c r="C1197" t="s">
        <v>17</v>
      </c>
      <c r="D1197" s="3">
        <v>45249</v>
      </c>
      <c r="E1197" s="2">
        <v>8193</v>
      </c>
    </row>
    <row r="1198" spans="1:5" x14ac:dyDescent="0.3">
      <c r="A1198" t="s">
        <v>22</v>
      </c>
      <c r="B1198" t="s">
        <v>13</v>
      </c>
      <c r="C1198" t="s">
        <v>17</v>
      </c>
      <c r="D1198" s="3">
        <v>45249</v>
      </c>
      <c r="E1198" s="2">
        <v>2780</v>
      </c>
    </row>
    <row r="1199" spans="1:5" x14ac:dyDescent="0.3">
      <c r="A1199" t="s">
        <v>22</v>
      </c>
      <c r="B1199" t="s">
        <v>11</v>
      </c>
      <c r="C1199" t="s">
        <v>19</v>
      </c>
      <c r="D1199" s="3">
        <v>45250</v>
      </c>
      <c r="E1199" s="2">
        <v>2557</v>
      </c>
    </row>
    <row r="1200" spans="1:5" x14ac:dyDescent="0.3">
      <c r="A1200" t="s">
        <v>30</v>
      </c>
      <c r="B1200" t="s">
        <v>6</v>
      </c>
      <c r="C1200" t="s">
        <v>7</v>
      </c>
      <c r="D1200" s="3">
        <v>45250</v>
      </c>
      <c r="E1200" s="2">
        <v>1121</v>
      </c>
    </row>
    <row r="1201" spans="1:5" x14ac:dyDescent="0.3">
      <c r="A1201" t="s">
        <v>8</v>
      </c>
      <c r="B1201" t="s">
        <v>11</v>
      </c>
      <c r="C1201" t="s">
        <v>28</v>
      </c>
      <c r="D1201" s="3">
        <v>45250</v>
      </c>
      <c r="E1201" s="2">
        <v>4043</v>
      </c>
    </row>
    <row r="1202" spans="1:5" x14ac:dyDescent="0.3">
      <c r="A1202" t="s">
        <v>27</v>
      </c>
      <c r="B1202" t="s">
        <v>16</v>
      </c>
      <c r="C1202" t="s">
        <v>19</v>
      </c>
      <c r="D1202" s="3">
        <v>45251</v>
      </c>
      <c r="E1202" s="2">
        <v>9254</v>
      </c>
    </row>
    <row r="1203" spans="1:5" x14ac:dyDescent="0.3">
      <c r="A1203" t="s">
        <v>30</v>
      </c>
      <c r="B1203" t="s">
        <v>13</v>
      </c>
      <c r="C1203" t="s">
        <v>12</v>
      </c>
      <c r="D1203" s="3">
        <v>45251</v>
      </c>
      <c r="E1203" s="2">
        <v>4687</v>
      </c>
    </row>
    <row r="1204" spans="1:5" x14ac:dyDescent="0.3">
      <c r="A1204" t="s">
        <v>27</v>
      </c>
      <c r="B1204" t="s">
        <v>9</v>
      </c>
      <c r="C1204" t="s">
        <v>14</v>
      </c>
      <c r="D1204" s="3">
        <v>45252</v>
      </c>
      <c r="E1204" s="2">
        <v>13654</v>
      </c>
    </row>
    <row r="1205" spans="1:5" x14ac:dyDescent="0.3">
      <c r="A1205" t="s">
        <v>10</v>
      </c>
      <c r="B1205" t="s">
        <v>11</v>
      </c>
      <c r="C1205" t="s">
        <v>23</v>
      </c>
      <c r="D1205" s="3">
        <v>45252</v>
      </c>
      <c r="E1205" s="2">
        <v>9733</v>
      </c>
    </row>
    <row r="1206" spans="1:5" x14ac:dyDescent="0.3">
      <c r="A1206" t="s">
        <v>27</v>
      </c>
      <c r="B1206" t="s">
        <v>13</v>
      </c>
      <c r="C1206" t="s">
        <v>12</v>
      </c>
      <c r="D1206" s="3">
        <v>45252</v>
      </c>
      <c r="E1206" s="2">
        <v>1280</v>
      </c>
    </row>
    <row r="1207" spans="1:5" x14ac:dyDescent="0.3">
      <c r="A1207" t="s">
        <v>27</v>
      </c>
      <c r="B1207" t="s">
        <v>16</v>
      </c>
      <c r="C1207" t="s">
        <v>14</v>
      </c>
      <c r="D1207" s="3">
        <v>45253</v>
      </c>
      <c r="E1207" s="2">
        <v>8242</v>
      </c>
    </row>
    <row r="1208" spans="1:5" x14ac:dyDescent="0.3">
      <c r="A1208" t="s">
        <v>27</v>
      </c>
      <c r="B1208" t="s">
        <v>6</v>
      </c>
      <c r="C1208" t="s">
        <v>19</v>
      </c>
      <c r="D1208" s="3">
        <v>45253</v>
      </c>
      <c r="E1208" s="2">
        <v>12693</v>
      </c>
    </row>
    <row r="1209" spans="1:5" x14ac:dyDescent="0.3">
      <c r="A1209" t="s">
        <v>29</v>
      </c>
      <c r="B1209" t="s">
        <v>9</v>
      </c>
      <c r="C1209" t="s">
        <v>28</v>
      </c>
      <c r="D1209" s="3">
        <v>45253</v>
      </c>
      <c r="E1209" s="2">
        <v>8537</v>
      </c>
    </row>
    <row r="1210" spans="1:5" x14ac:dyDescent="0.3">
      <c r="A1210" t="s">
        <v>29</v>
      </c>
      <c r="B1210" t="s">
        <v>16</v>
      </c>
      <c r="C1210" t="s">
        <v>17</v>
      </c>
      <c r="D1210" s="3">
        <v>45253</v>
      </c>
      <c r="E1210" s="2">
        <v>10516</v>
      </c>
    </row>
    <row r="1211" spans="1:5" x14ac:dyDescent="0.3">
      <c r="A1211" t="s">
        <v>15</v>
      </c>
      <c r="B1211" t="s">
        <v>6</v>
      </c>
      <c r="C1211" t="s">
        <v>12</v>
      </c>
      <c r="D1211" s="3">
        <v>45253</v>
      </c>
      <c r="E1211" s="2">
        <v>9232</v>
      </c>
    </row>
    <row r="1212" spans="1:5" x14ac:dyDescent="0.3">
      <c r="A1212" t="s">
        <v>30</v>
      </c>
      <c r="B1212" t="s">
        <v>6</v>
      </c>
      <c r="C1212" t="s">
        <v>12</v>
      </c>
      <c r="D1212" s="3">
        <v>45253</v>
      </c>
      <c r="E1212" s="2">
        <v>10390</v>
      </c>
    </row>
    <row r="1213" spans="1:5" x14ac:dyDescent="0.3">
      <c r="A1213" t="s">
        <v>24</v>
      </c>
      <c r="B1213" t="s">
        <v>13</v>
      </c>
      <c r="C1213" t="s">
        <v>23</v>
      </c>
      <c r="D1213" s="3">
        <v>45254</v>
      </c>
      <c r="E1213" s="2">
        <v>11210</v>
      </c>
    </row>
    <row r="1214" spans="1:5" x14ac:dyDescent="0.3">
      <c r="A1214" t="s">
        <v>24</v>
      </c>
      <c r="B1214" t="s">
        <v>13</v>
      </c>
      <c r="C1214" t="s">
        <v>17</v>
      </c>
      <c r="D1214" s="3">
        <v>45254</v>
      </c>
      <c r="E1214" s="2">
        <v>3197</v>
      </c>
    </row>
    <row r="1215" spans="1:5" x14ac:dyDescent="0.3">
      <c r="A1215" t="s">
        <v>27</v>
      </c>
      <c r="B1215" t="s">
        <v>13</v>
      </c>
      <c r="C1215" t="s">
        <v>12</v>
      </c>
      <c r="D1215" s="3">
        <v>45254</v>
      </c>
      <c r="E1215" s="2">
        <v>8893</v>
      </c>
    </row>
    <row r="1216" spans="1:5" x14ac:dyDescent="0.3">
      <c r="A1216" t="s">
        <v>5</v>
      </c>
      <c r="B1216" t="s">
        <v>16</v>
      </c>
      <c r="C1216" t="s">
        <v>12</v>
      </c>
      <c r="D1216" s="3">
        <v>45254</v>
      </c>
      <c r="E1216" s="2">
        <v>10909</v>
      </c>
    </row>
    <row r="1217" spans="1:5" x14ac:dyDescent="0.3">
      <c r="A1217" t="s">
        <v>5</v>
      </c>
      <c r="B1217" t="s">
        <v>21</v>
      </c>
      <c r="C1217" t="s">
        <v>14</v>
      </c>
      <c r="D1217" s="3">
        <v>45255</v>
      </c>
      <c r="E1217" s="2">
        <v>6656</v>
      </c>
    </row>
    <row r="1218" spans="1:5" x14ac:dyDescent="0.3">
      <c r="A1218" t="s">
        <v>20</v>
      </c>
      <c r="B1218" t="s">
        <v>6</v>
      </c>
      <c r="C1218" t="s">
        <v>23</v>
      </c>
      <c r="D1218" s="3">
        <v>45255</v>
      </c>
      <c r="E1218" s="2">
        <v>11098</v>
      </c>
    </row>
    <row r="1219" spans="1:5" x14ac:dyDescent="0.3">
      <c r="A1219" t="s">
        <v>15</v>
      </c>
      <c r="B1219" t="s">
        <v>6</v>
      </c>
      <c r="C1219" t="s">
        <v>23</v>
      </c>
      <c r="D1219" s="3">
        <v>45255</v>
      </c>
      <c r="E1219" s="2">
        <v>13078</v>
      </c>
    </row>
    <row r="1220" spans="1:5" x14ac:dyDescent="0.3">
      <c r="A1220" t="s">
        <v>24</v>
      </c>
      <c r="B1220" t="s">
        <v>11</v>
      </c>
      <c r="C1220" t="s">
        <v>28</v>
      </c>
      <c r="D1220" s="3">
        <v>45255</v>
      </c>
      <c r="E1220" s="2">
        <v>13259</v>
      </c>
    </row>
    <row r="1221" spans="1:5" x14ac:dyDescent="0.3">
      <c r="A1221" t="s">
        <v>26</v>
      </c>
      <c r="B1221" t="s">
        <v>9</v>
      </c>
      <c r="C1221" t="s">
        <v>17</v>
      </c>
      <c r="D1221" s="3">
        <v>45255</v>
      </c>
      <c r="E1221" s="2">
        <v>9952</v>
      </c>
    </row>
    <row r="1222" spans="1:5" x14ac:dyDescent="0.3">
      <c r="A1222" t="s">
        <v>10</v>
      </c>
      <c r="B1222" t="s">
        <v>9</v>
      </c>
      <c r="C1222" t="s">
        <v>23</v>
      </c>
      <c r="D1222" s="3">
        <v>45256</v>
      </c>
      <c r="E1222" s="2">
        <v>5445</v>
      </c>
    </row>
    <row r="1223" spans="1:5" x14ac:dyDescent="0.3">
      <c r="A1223" t="s">
        <v>20</v>
      </c>
      <c r="B1223" t="s">
        <v>6</v>
      </c>
      <c r="C1223" t="s">
        <v>23</v>
      </c>
      <c r="D1223" s="3">
        <v>45256</v>
      </c>
      <c r="E1223" s="2">
        <v>5321</v>
      </c>
    </row>
    <row r="1224" spans="1:5" x14ac:dyDescent="0.3">
      <c r="A1224" t="s">
        <v>31</v>
      </c>
      <c r="B1224" t="s">
        <v>9</v>
      </c>
      <c r="C1224" t="s">
        <v>28</v>
      </c>
      <c r="D1224" s="3">
        <v>45256</v>
      </c>
      <c r="E1224" s="2">
        <v>13630</v>
      </c>
    </row>
    <row r="1225" spans="1:5" x14ac:dyDescent="0.3">
      <c r="A1225" t="s">
        <v>8</v>
      </c>
      <c r="B1225" t="s">
        <v>21</v>
      </c>
      <c r="C1225" t="s">
        <v>14</v>
      </c>
      <c r="D1225" s="3">
        <v>45257</v>
      </c>
      <c r="E1225" s="2">
        <v>5265</v>
      </c>
    </row>
    <row r="1226" spans="1:5" x14ac:dyDescent="0.3">
      <c r="A1226" t="s">
        <v>26</v>
      </c>
      <c r="B1226" t="s">
        <v>11</v>
      </c>
      <c r="C1226" t="s">
        <v>23</v>
      </c>
      <c r="D1226" s="3">
        <v>45257</v>
      </c>
      <c r="E1226" s="2">
        <v>8773</v>
      </c>
    </row>
    <row r="1227" spans="1:5" x14ac:dyDescent="0.3">
      <c r="A1227" t="s">
        <v>10</v>
      </c>
      <c r="B1227" t="s">
        <v>16</v>
      </c>
      <c r="C1227" t="s">
        <v>23</v>
      </c>
      <c r="D1227" s="3">
        <v>45257</v>
      </c>
      <c r="E1227" s="2">
        <v>9724</v>
      </c>
    </row>
    <row r="1228" spans="1:5" x14ac:dyDescent="0.3">
      <c r="A1228" t="s">
        <v>20</v>
      </c>
      <c r="B1228" t="s">
        <v>6</v>
      </c>
      <c r="C1228" t="s">
        <v>17</v>
      </c>
      <c r="D1228" s="3">
        <v>45257</v>
      </c>
      <c r="E1228" s="2">
        <v>12587</v>
      </c>
    </row>
    <row r="1229" spans="1:5" x14ac:dyDescent="0.3">
      <c r="A1229" t="s">
        <v>8</v>
      </c>
      <c r="B1229" t="s">
        <v>6</v>
      </c>
      <c r="C1229" t="s">
        <v>17</v>
      </c>
      <c r="D1229" s="3">
        <v>45257</v>
      </c>
      <c r="E1229" s="2">
        <v>9023</v>
      </c>
    </row>
    <row r="1230" spans="1:5" x14ac:dyDescent="0.3">
      <c r="A1230" t="s">
        <v>32</v>
      </c>
      <c r="B1230" t="s">
        <v>21</v>
      </c>
      <c r="C1230" t="s">
        <v>17</v>
      </c>
      <c r="D1230" s="3">
        <v>45257</v>
      </c>
      <c r="E1230" s="2">
        <v>8453</v>
      </c>
    </row>
    <row r="1231" spans="1:5" x14ac:dyDescent="0.3">
      <c r="A1231" t="s">
        <v>31</v>
      </c>
      <c r="B1231" t="s">
        <v>13</v>
      </c>
      <c r="C1231" t="s">
        <v>12</v>
      </c>
      <c r="D1231" s="3">
        <v>45257</v>
      </c>
      <c r="E1231" s="2">
        <v>4813</v>
      </c>
    </row>
    <row r="1232" spans="1:5" x14ac:dyDescent="0.3">
      <c r="A1232" t="s">
        <v>10</v>
      </c>
      <c r="B1232" t="s">
        <v>6</v>
      </c>
      <c r="C1232" t="s">
        <v>19</v>
      </c>
      <c r="D1232" s="3">
        <v>45258</v>
      </c>
      <c r="E1232" s="2">
        <v>13958</v>
      </c>
    </row>
    <row r="1233" spans="1:5" x14ac:dyDescent="0.3">
      <c r="A1233" t="s">
        <v>33</v>
      </c>
      <c r="B1233" t="s">
        <v>21</v>
      </c>
      <c r="C1233" t="s">
        <v>23</v>
      </c>
      <c r="D1233" s="3">
        <v>45258</v>
      </c>
      <c r="E1233" s="2">
        <v>12277</v>
      </c>
    </row>
    <row r="1234" spans="1:5" x14ac:dyDescent="0.3">
      <c r="A1234" t="s">
        <v>10</v>
      </c>
      <c r="B1234" t="s">
        <v>16</v>
      </c>
      <c r="C1234" t="s">
        <v>19</v>
      </c>
      <c r="D1234" s="3">
        <v>45259</v>
      </c>
      <c r="E1234" s="2">
        <v>6101</v>
      </c>
    </row>
    <row r="1235" spans="1:5" x14ac:dyDescent="0.3">
      <c r="A1235" t="s">
        <v>31</v>
      </c>
      <c r="B1235" t="s">
        <v>11</v>
      </c>
      <c r="C1235" t="s">
        <v>12</v>
      </c>
      <c r="D1235" s="3">
        <v>45259</v>
      </c>
      <c r="E1235" s="2">
        <v>1111</v>
      </c>
    </row>
    <row r="1236" spans="1:5" x14ac:dyDescent="0.3">
      <c r="A1236" t="s">
        <v>5</v>
      </c>
      <c r="B1236" t="s">
        <v>21</v>
      </c>
      <c r="C1236" t="s">
        <v>14</v>
      </c>
      <c r="D1236" s="3">
        <v>45260</v>
      </c>
      <c r="E1236" s="2">
        <v>13451</v>
      </c>
    </row>
    <row r="1237" spans="1:5" x14ac:dyDescent="0.3">
      <c r="A1237" t="s">
        <v>30</v>
      </c>
      <c r="B1237" t="s">
        <v>13</v>
      </c>
      <c r="C1237" t="s">
        <v>14</v>
      </c>
      <c r="D1237" s="3">
        <v>45260</v>
      </c>
      <c r="E1237" s="2">
        <v>8480</v>
      </c>
    </row>
    <row r="1238" spans="1:5" x14ac:dyDescent="0.3">
      <c r="A1238" t="s">
        <v>15</v>
      </c>
      <c r="B1238" t="s">
        <v>9</v>
      </c>
      <c r="C1238" t="s">
        <v>28</v>
      </c>
      <c r="D1238" s="3">
        <v>45260</v>
      </c>
      <c r="E1238" s="2">
        <v>10057</v>
      </c>
    </row>
    <row r="1239" spans="1:5" x14ac:dyDescent="0.3">
      <c r="A1239" t="s">
        <v>29</v>
      </c>
      <c r="B1239" t="s">
        <v>11</v>
      </c>
      <c r="C1239" t="s">
        <v>28</v>
      </c>
      <c r="D1239" s="3">
        <v>45260</v>
      </c>
      <c r="E1239" s="2">
        <v>9605</v>
      </c>
    </row>
    <row r="1240" spans="1:5" x14ac:dyDescent="0.3">
      <c r="A1240" t="s">
        <v>26</v>
      </c>
      <c r="B1240" t="s">
        <v>21</v>
      </c>
      <c r="C1240" t="s">
        <v>17</v>
      </c>
      <c r="D1240" s="3">
        <v>45260</v>
      </c>
      <c r="E1240" s="2">
        <v>3012</v>
      </c>
    </row>
    <row r="1241" spans="1:5" x14ac:dyDescent="0.3">
      <c r="A1241" t="s">
        <v>33</v>
      </c>
      <c r="B1241" t="s">
        <v>13</v>
      </c>
      <c r="C1241" t="s">
        <v>7</v>
      </c>
      <c r="D1241" s="3">
        <v>45261</v>
      </c>
      <c r="E1241" s="2">
        <v>4491</v>
      </c>
    </row>
    <row r="1242" spans="1:5" x14ac:dyDescent="0.3">
      <c r="A1242" t="s">
        <v>5</v>
      </c>
      <c r="B1242" t="s">
        <v>13</v>
      </c>
      <c r="C1242" t="s">
        <v>17</v>
      </c>
      <c r="D1242" s="3">
        <v>45261</v>
      </c>
      <c r="E1242" s="2">
        <v>13852</v>
      </c>
    </row>
    <row r="1243" spans="1:5" x14ac:dyDescent="0.3">
      <c r="A1243" t="s">
        <v>27</v>
      </c>
      <c r="B1243" t="s">
        <v>6</v>
      </c>
      <c r="C1243" t="s">
        <v>14</v>
      </c>
      <c r="D1243" s="3">
        <v>45262</v>
      </c>
      <c r="E1243" s="2">
        <v>13421</v>
      </c>
    </row>
    <row r="1244" spans="1:5" x14ac:dyDescent="0.3">
      <c r="A1244" t="s">
        <v>8</v>
      </c>
      <c r="B1244" t="s">
        <v>21</v>
      </c>
      <c r="C1244" t="s">
        <v>19</v>
      </c>
      <c r="D1244" s="3">
        <v>45262</v>
      </c>
      <c r="E1244" s="2">
        <v>8912</v>
      </c>
    </row>
    <row r="1245" spans="1:5" x14ac:dyDescent="0.3">
      <c r="A1245" t="s">
        <v>20</v>
      </c>
      <c r="B1245" t="s">
        <v>21</v>
      </c>
      <c r="C1245" t="s">
        <v>23</v>
      </c>
      <c r="D1245" s="3">
        <v>45262</v>
      </c>
      <c r="E1245" s="2">
        <v>5599</v>
      </c>
    </row>
    <row r="1246" spans="1:5" x14ac:dyDescent="0.3">
      <c r="A1246" t="s">
        <v>15</v>
      </c>
      <c r="B1246" t="s">
        <v>16</v>
      </c>
      <c r="C1246" t="s">
        <v>23</v>
      </c>
      <c r="D1246" s="3">
        <v>45262</v>
      </c>
      <c r="E1246" s="2">
        <v>11089</v>
      </c>
    </row>
    <row r="1247" spans="1:5" x14ac:dyDescent="0.3">
      <c r="A1247" t="s">
        <v>29</v>
      </c>
      <c r="B1247" t="s">
        <v>21</v>
      </c>
      <c r="C1247" t="s">
        <v>23</v>
      </c>
      <c r="D1247" s="3">
        <v>45262</v>
      </c>
      <c r="E1247" s="2">
        <v>7132</v>
      </c>
    </row>
    <row r="1248" spans="1:5" x14ac:dyDescent="0.3">
      <c r="A1248" t="s">
        <v>18</v>
      </c>
      <c r="B1248" t="s">
        <v>6</v>
      </c>
      <c r="C1248" t="s">
        <v>17</v>
      </c>
      <c r="D1248" s="3">
        <v>45262</v>
      </c>
      <c r="E1248" s="2">
        <v>2270</v>
      </c>
    </row>
    <row r="1249" spans="1:5" x14ac:dyDescent="0.3">
      <c r="A1249" t="s">
        <v>15</v>
      </c>
      <c r="B1249" t="s">
        <v>11</v>
      </c>
      <c r="C1249" t="s">
        <v>12</v>
      </c>
      <c r="D1249" s="3">
        <v>45262</v>
      </c>
      <c r="E1249" s="2">
        <v>11096</v>
      </c>
    </row>
    <row r="1250" spans="1:5" x14ac:dyDescent="0.3">
      <c r="A1250" t="s">
        <v>26</v>
      </c>
      <c r="B1250" t="s">
        <v>21</v>
      </c>
      <c r="C1250" t="s">
        <v>19</v>
      </c>
      <c r="D1250" s="3">
        <v>45263</v>
      </c>
      <c r="E1250" s="2">
        <v>2340</v>
      </c>
    </row>
    <row r="1251" spans="1:5" x14ac:dyDescent="0.3">
      <c r="A1251" t="s">
        <v>8</v>
      </c>
      <c r="B1251" t="s">
        <v>11</v>
      </c>
      <c r="C1251" t="s">
        <v>19</v>
      </c>
      <c r="D1251" s="3">
        <v>45263</v>
      </c>
      <c r="E1251" s="2">
        <v>7115</v>
      </c>
    </row>
    <row r="1252" spans="1:5" x14ac:dyDescent="0.3">
      <c r="A1252" t="s">
        <v>29</v>
      </c>
      <c r="B1252" t="s">
        <v>6</v>
      </c>
      <c r="C1252" t="s">
        <v>19</v>
      </c>
      <c r="D1252" s="3">
        <v>45263</v>
      </c>
      <c r="E1252" s="2">
        <v>11623</v>
      </c>
    </row>
    <row r="1253" spans="1:5" x14ac:dyDescent="0.3">
      <c r="A1253" t="s">
        <v>33</v>
      </c>
      <c r="B1253" t="s">
        <v>13</v>
      </c>
      <c r="C1253" t="s">
        <v>7</v>
      </c>
      <c r="D1253" s="3">
        <v>45263</v>
      </c>
      <c r="E1253" s="2">
        <v>1728</v>
      </c>
    </row>
    <row r="1254" spans="1:5" x14ac:dyDescent="0.3">
      <c r="A1254" t="s">
        <v>15</v>
      </c>
      <c r="B1254" t="s">
        <v>9</v>
      </c>
      <c r="C1254" t="s">
        <v>28</v>
      </c>
      <c r="D1254" s="3">
        <v>45263</v>
      </c>
      <c r="E1254" s="2">
        <v>4568</v>
      </c>
    </row>
    <row r="1255" spans="1:5" x14ac:dyDescent="0.3">
      <c r="A1255" t="s">
        <v>32</v>
      </c>
      <c r="B1255" t="s">
        <v>13</v>
      </c>
      <c r="C1255" t="s">
        <v>23</v>
      </c>
      <c r="D1255" s="3">
        <v>45264</v>
      </c>
      <c r="E1255" s="2">
        <v>6483</v>
      </c>
    </row>
    <row r="1256" spans="1:5" x14ac:dyDescent="0.3">
      <c r="A1256" t="s">
        <v>22</v>
      </c>
      <c r="B1256" t="s">
        <v>13</v>
      </c>
      <c r="C1256" t="s">
        <v>23</v>
      </c>
      <c r="D1256" s="3">
        <v>45264</v>
      </c>
      <c r="E1256" s="2">
        <v>9293</v>
      </c>
    </row>
    <row r="1257" spans="1:5" x14ac:dyDescent="0.3">
      <c r="A1257" t="s">
        <v>32</v>
      </c>
      <c r="B1257" t="s">
        <v>11</v>
      </c>
      <c r="C1257" t="s">
        <v>7</v>
      </c>
      <c r="D1257" s="3">
        <v>45264</v>
      </c>
      <c r="E1257" s="2">
        <v>10430</v>
      </c>
    </row>
    <row r="1258" spans="1:5" x14ac:dyDescent="0.3">
      <c r="A1258" t="s">
        <v>31</v>
      </c>
      <c r="B1258" t="s">
        <v>16</v>
      </c>
      <c r="C1258" t="s">
        <v>28</v>
      </c>
      <c r="D1258" s="3">
        <v>45264</v>
      </c>
      <c r="E1258" s="2">
        <v>1775</v>
      </c>
    </row>
    <row r="1259" spans="1:5" x14ac:dyDescent="0.3">
      <c r="A1259" t="s">
        <v>15</v>
      </c>
      <c r="B1259" t="s">
        <v>6</v>
      </c>
      <c r="C1259" t="s">
        <v>28</v>
      </c>
      <c r="D1259" s="3">
        <v>45264</v>
      </c>
      <c r="E1259" s="2">
        <v>10830</v>
      </c>
    </row>
    <row r="1260" spans="1:5" x14ac:dyDescent="0.3">
      <c r="A1260" t="s">
        <v>31</v>
      </c>
      <c r="B1260" t="s">
        <v>21</v>
      </c>
      <c r="C1260" t="s">
        <v>17</v>
      </c>
      <c r="D1260" s="3">
        <v>45264</v>
      </c>
      <c r="E1260" s="2">
        <v>6906</v>
      </c>
    </row>
    <row r="1261" spans="1:5" x14ac:dyDescent="0.3">
      <c r="A1261" t="s">
        <v>10</v>
      </c>
      <c r="B1261" t="s">
        <v>9</v>
      </c>
      <c r="C1261" t="s">
        <v>14</v>
      </c>
      <c r="D1261" s="3">
        <v>45265</v>
      </c>
      <c r="E1261" s="2">
        <v>11743</v>
      </c>
    </row>
    <row r="1262" spans="1:5" x14ac:dyDescent="0.3">
      <c r="A1262" t="s">
        <v>20</v>
      </c>
      <c r="B1262" t="s">
        <v>13</v>
      </c>
      <c r="C1262" t="s">
        <v>7</v>
      </c>
      <c r="D1262" s="3">
        <v>45265</v>
      </c>
      <c r="E1262" s="2">
        <v>2241</v>
      </c>
    </row>
    <row r="1263" spans="1:5" x14ac:dyDescent="0.3">
      <c r="A1263" t="s">
        <v>29</v>
      </c>
      <c r="B1263" t="s">
        <v>21</v>
      </c>
      <c r="C1263" t="s">
        <v>28</v>
      </c>
      <c r="D1263" s="3">
        <v>45265</v>
      </c>
      <c r="E1263" s="2">
        <v>4921</v>
      </c>
    </row>
    <row r="1264" spans="1:5" x14ac:dyDescent="0.3">
      <c r="A1264" t="s">
        <v>31</v>
      </c>
      <c r="B1264" t="s">
        <v>11</v>
      </c>
      <c r="C1264" t="s">
        <v>23</v>
      </c>
      <c r="D1264" s="3">
        <v>45266</v>
      </c>
      <c r="E1264" s="2">
        <v>10396</v>
      </c>
    </row>
    <row r="1265" spans="1:5" x14ac:dyDescent="0.3">
      <c r="A1265" t="s">
        <v>8</v>
      </c>
      <c r="B1265" t="s">
        <v>21</v>
      </c>
      <c r="C1265" t="s">
        <v>25</v>
      </c>
      <c r="D1265" s="3">
        <v>45266</v>
      </c>
      <c r="E1265" s="2">
        <v>12276</v>
      </c>
    </row>
    <row r="1266" spans="1:5" x14ac:dyDescent="0.3">
      <c r="A1266" t="s">
        <v>26</v>
      </c>
      <c r="B1266" t="s">
        <v>9</v>
      </c>
      <c r="C1266" t="s">
        <v>7</v>
      </c>
      <c r="D1266" s="3">
        <v>45266</v>
      </c>
      <c r="E1266" s="2">
        <v>1826</v>
      </c>
    </row>
    <row r="1267" spans="1:5" x14ac:dyDescent="0.3">
      <c r="A1267" t="s">
        <v>15</v>
      </c>
      <c r="B1267" t="s">
        <v>6</v>
      </c>
      <c r="C1267" t="s">
        <v>28</v>
      </c>
      <c r="D1267" s="3">
        <v>45266</v>
      </c>
      <c r="E1267" s="2">
        <v>4350</v>
      </c>
    </row>
    <row r="1268" spans="1:5" x14ac:dyDescent="0.3">
      <c r="A1268" t="s">
        <v>27</v>
      </c>
      <c r="B1268" t="s">
        <v>11</v>
      </c>
      <c r="C1268" t="s">
        <v>17</v>
      </c>
      <c r="D1268" s="3">
        <v>45266</v>
      </c>
      <c r="E1268" s="2">
        <v>12639</v>
      </c>
    </row>
    <row r="1269" spans="1:5" x14ac:dyDescent="0.3">
      <c r="A1269" t="s">
        <v>27</v>
      </c>
      <c r="B1269" t="s">
        <v>6</v>
      </c>
      <c r="C1269" t="s">
        <v>19</v>
      </c>
      <c r="D1269" s="3">
        <v>45267</v>
      </c>
      <c r="E1269" s="2">
        <v>11131</v>
      </c>
    </row>
    <row r="1270" spans="1:5" x14ac:dyDescent="0.3">
      <c r="A1270" t="s">
        <v>33</v>
      </c>
      <c r="B1270" t="s">
        <v>21</v>
      </c>
      <c r="C1270" t="s">
        <v>23</v>
      </c>
      <c r="D1270" s="3">
        <v>45267</v>
      </c>
      <c r="E1270" s="2">
        <v>11008</v>
      </c>
    </row>
    <row r="1271" spans="1:5" x14ac:dyDescent="0.3">
      <c r="A1271" t="s">
        <v>24</v>
      </c>
      <c r="B1271" t="s">
        <v>21</v>
      </c>
      <c r="C1271" t="s">
        <v>23</v>
      </c>
      <c r="D1271" s="3">
        <v>45267</v>
      </c>
      <c r="E1271" s="2">
        <v>6089</v>
      </c>
    </row>
    <row r="1272" spans="1:5" x14ac:dyDescent="0.3">
      <c r="A1272" t="s">
        <v>26</v>
      </c>
      <c r="B1272" t="s">
        <v>11</v>
      </c>
      <c r="C1272" t="s">
        <v>12</v>
      </c>
      <c r="D1272" s="3">
        <v>45267</v>
      </c>
      <c r="E1272" s="2">
        <v>2743</v>
      </c>
    </row>
    <row r="1273" spans="1:5" x14ac:dyDescent="0.3">
      <c r="A1273" t="s">
        <v>30</v>
      </c>
      <c r="B1273" t="s">
        <v>16</v>
      </c>
      <c r="C1273" t="s">
        <v>12</v>
      </c>
      <c r="D1273" s="3">
        <v>45267</v>
      </c>
      <c r="E1273" s="2">
        <v>2370</v>
      </c>
    </row>
    <row r="1274" spans="1:5" x14ac:dyDescent="0.3">
      <c r="A1274" t="s">
        <v>30</v>
      </c>
      <c r="B1274" t="s">
        <v>13</v>
      </c>
      <c r="C1274" t="s">
        <v>19</v>
      </c>
      <c r="D1274" s="3">
        <v>45268</v>
      </c>
      <c r="E1274" s="2">
        <v>2601</v>
      </c>
    </row>
    <row r="1275" spans="1:5" x14ac:dyDescent="0.3">
      <c r="A1275" t="s">
        <v>33</v>
      </c>
      <c r="B1275" t="s">
        <v>21</v>
      </c>
      <c r="C1275" t="s">
        <v>12</v>
      </c>
      <c r="D1275" s="3">
        <v>45268</v>
      </c>
      <c r="E1275" s="2">
        <v>11804</v>
      </c>
    </row>
    <row r="1276" spans="1:5" x14ac:dyDescent="0.3">
      <c r="A1276" t="s">
        <v>15</v>
      </c>
      <c r="B1276" t="s">
        <v>13</v>
      </c>
      <c r="C1276" t="s">
        <v>19</v>
      </c>
      <c r="D1276" s="3">
        <v>45269</v>
      </c>
      <c r="E1276" s="2">
        <v>1216</v>
      </c>
    </row>
    <row r="1277" spans="1:5" x14ac:dyDescent="0.3">
      <c r="A1277" t="s">
        <v>20</v>
      </c>
      <c r="B1277" t="s">
        <v>13</v>
      </c>
      <c r="C1277" t="s">
        <v>17</v>
      </c>
      <c r="D1277" s="3">
        <v>45269</v>
      </c>
      <c r="E1277" s="2">
        <v>5608</v>
      </c>
    </row>
    <row r="1278" spans="1:5" x14ac:dyDescent="0.3">
      <c r="A1278" t="s">
        <v>20</v>
      </c>
      <c r="B1278" t="s">
        <v>21</v>
      </c>
      <c r="C1278" t="s">
        <v>12</v>
      </c>
      <c r="D1278" s="3">
        <v>45269</v>
      </c>
      <c r="E1278" s="2">
        <v>6588</v>
      </c>
    </row>
    <row r="1279" spans="1:5" x14ac:dyDescent="0.3">
      <c r="A1279" t="s">
        <v>15</v>
      </c>
      <c r="B1279" t="s">
        <v>21</v>
      </c>
      <c r="C1279" t="s">
        <v>12</v>
      </c>
      <c r="D1279" s="3">
        <v>45269</v>
      </c>
      <c r="E1279" s="2">
        <v>8302</v>
      </c>
    </row>
    <row r="1280" spans="1:5" x14ac:dyDescent="0.3">
      <c r="A1280" t="s">
        <v>31</v>
      </c>
      <c r="B1280" t="s">
        <v>11</v>
      </c>
      <c r="C1280" t="s">
        <v>23</v>
      </c>
      <c r="D1280" s="3">
        <v>45270</v>
      </c>
      <c r="E1280" s="2">
        <v>6370</v>
      </c>
    </row>
    <row r="1281" spans="1:5" x14ac:dyDescent="0.3">
      <c r="A1281" t="s">
        <v>18</v>
      </c>
      <c r="B1281" t="s">
        <v>11</v>
      </c>
      <c r="C1281" t="s">
        <v>23</v>
      </c>
      <c r="D1281" s="3">
        <v>45270</v>
      </c>
      <c r="E1281" s="2">
        <v>6782</v>
      </c>
    </row>
    <row r="1282" spans="1:5" x14ac:dyDescent="0.3">
      <c r="A1282" t="s">
        <v>27</v>
      </c>
      <c r="B1282" t="s">
        <v>9</v>
      </c>
      <c r="C1282" t="s">
        <v>25</v>
      </c>
      <c r="D1282" s="3">
        <v>45270</v>
      </c>
      <c r="E1282" s="2">
        <v>8663</v>
      </c>
    </row>
    <row r="1283" spans="1:5" x14ac:dyDescent="0.3">
      <c r="A1283" t="s">
        <v>24</v>
      </c>
      <c r="B1283" t="s">
        <v>16</v>
      </c>
      <c r="C1283" t="s">
        <v>7</v>
      </c>
      <c r="D1283" s="3">
        <v>45270</v>
      </c>
      <c r="E1283" s="2">
        <v>1220</v>
      </c>
    </row>
    <row r="1284" spans="1:5" x14ac:dyDescent="0.3">
      <c r="A1284" t="s">
        <v>27</v>
      </c>
      <c r="B1284" t="s">
        <v>9</v>
      </c>
      <c r="C1284" t="s">
        <v>28</v>
      </c>
      <c r="D1284" s="3">
        <v>45270</v>
      </c>
      <c r="E1284" s="2">
        <v>2941</v>
      </c>
    </row>
    <row r="1285" spans="1:5" x14ac:dyDescent="0.3">
      <c r="A1285" t="s">
        <v>5</v>
      </c>
      <c r="B1285" t="s">
        <v>9</v>
      </c>
      <c r="C1285" t="s">
        <v>17</v>
      </c>
      <c r="D1285" s="3">
        <v>45270</v>
      </c>
      <c r="E1285" s="2">
        <v>3917</v>
      </c>
    </row>
    <row r="1286" spans="1:5" x14ac:dyDescent="0.3">
      <c r="A1286" t="s">
        <v>18</v>
      </c>
      <c r="B1286" t="s">
        <v>9</v>
      </c>
      <c r="C1286" t="s">
        <v>17</v>
      </c>
      <c r="D1286" s="3">
        <v>45270</v>
      </c>
      <c r="E1286" s="2">
        <v>11292</v>
      </c>
    </row>
    <row r="1287" spans="1:5" x14ac:dyDescent="0.3">
      <c r="A1287" t="s">
        <v>27</v>
      </c>
      <c r="B1287" t="s">
        <v>11</v>
      </c>
      <c r="C1287" t="s">
        <v>14</v>
      </c>
      <c r="D1287" s="3">
        <v>45271</v>
      </c>
      <c r="E1287" s="2">
        <v>5197</v>
      </c>
    </row>
    <row r="1288" spans="1:5" x14ac:dyDescent="0.3">
      <c r="A1288" t="s">
        <v>26</v>
      </c>
      <c r="B1288" t="s">
        <v>11</v>
      </c>
      <c r="C1288" t="s">
        <v>25</v>
      </c>
      <c r="D1288" s="3">
        <v>45271</v>
      </c>
      <c r="E1288" s="2">
        <v>10407</v>
      </c>
    </row>
    <row r="1289" spans="1:5" x14ac:dyDescent="0.3">
      <c r="A1289" t="s">
        <v>5</v>
      </c>
      <c r="B1289" t="s">
        <v>21</v>
      </c>
      <c r="C1289" t="s">
        <v>28</v>
      </c>
      <c r="D1289" s="3">
        <v>45271</v>
      </c>
      <c r="E1289" s="2">
        <v>11179</v>
      </c>
    </row>
    <row r="1290" spans="1:5" x14ac:dyDescent="0.3">
      <c r="A1290" t="s">
        <v>18</v>
      </c>
      <c r="B1290" t="s">
        <v>9</v>
      </c>
      <c r="C1290" t="s">
        <v>19</v>
      </c>
      <c r="D1290" s="3">
        <v>45272</v>
      </c>
      <c r="E1290" s="2">
        <v>9285</v>
      </c>
    </row>
    <row r="1291" spans="1:5" x14ac:dyDescent="0.3">
      <c r="A1291" t="s">
        <v>20</v>
      </c>
      <c r="B1291" t="s">
        <v>9</v>
      </c>
      <c r="C1291" t="s">
        <v>28</v>
      </c>
      <c r="D1291" s="3">
        <v>45272</v>
      </c>
      <c r="E1291" s="2">
        <v>3713</v>
      </c>
    </row>
    <row r="1292" spans="1:5" x14ac:dyDescent="0.3">
      <c r="A1292" t="s">
        <v>26</v>
      </c>
      <c r="B1292" t="s">
        <v>6</v>
      </c>
      <c r="C1292" t="s">
        <v>17</v>
      </c>
      <c r="D1292" s="3">
        <v>45272</v>
      </c>
      <c r="E1292" s="2">
        <v>6697</v>
      </c>
    </row>
    <row r="1293" spans="1:5" x14ac:dyDescent="0.3">
      <c r="A1293" t="s">
        <v>31</v>
      </c>
      <c r="B1293" t="s">
        <v>6</v>
      </c>
      <c r="C1293" t="s">
        <v>17</v>
      </c>
      <c r="D1293" s="3">
        <v>45272</v>
      </c>
      <c r="E1293" s="2">
        <v>8886</v>
      </c>
    </row>
    <row r="1294" spans="1:5" x14ac:dyDescent="0.3">
      <c r="A1294" t="s">
        <v>30</v>
      </c>
      <c r="B1294" t="s">
        <v>6</v>
      </c>
      <c r="C1294" t="s">
        <v>12</v>
      </c>
      <c r="D1294" s="3">
        <v>45273</v>
      </c>
      <c r="E1294" s="2">
        <v>5607</v>
      </c>
    </row>
    <row r="1295" spans="1:5" x14ac:dyDescent="0.3">
      <c r="A1295" t="s">
        <v>24</v>
      </c>
      <c r="B1295" t="s">
        <v>6</v>
      </c>
      <c r="C1295" t="s">
        <v>23</v>
      </c>
      <c r="D1295" s="3">
        <v>45274</v>
      </c>
      <c r="E1295" s="2">
        <v>5632</v>
      </c>
    </row>
    <row r="1296" spans="1:5" x14ac:dyDescent="0.3">
      <c r="A1296" t="s">
        <v>29</v>
      </c>
      <c r="B1296" t="s">
        <v>16</v>
      </c>
      <c r="C1296" t="s">
        <v>17</v>
      </c>
      <c r="D1296" s="3">
        <v>45274</v>
      </c>
      <c r="E1296" s="2">
        <v>7358</v>
      </c>
    </row>
    <row r="1297" spans="1:5" x14ac:dyDescent="0.3">
      <c r="A1297" t="s">
        <v>26</v>
      </c>
      <c r="B1297" t="s">
        <v>6</v>
      </c>
      <c r="C1297" t="s">
        <v>12</v>
      </c>
      <c r="D1297" s="3">
        <v>45274</v>
      </c>
      <c r="E1297" s="2">
        <v>8686</v>
      </c>
    </row>
    <row r="1298" spans="1:5" x14ac:dyDescent="0.3">
      <c r="A1298" t="s">
        <v>10</v>
      </c>
      <c r="B1298" t="s">
        <v>6</v>
      </c>
      <c r="C1298" t="s">
        <v>7</v>
      </c>
      <c r="D1298" s="3">
        <v>45275</v>
      </c>
      <c r="E1298" s="2">
        <v>10898</v>
      </c>
    </row>
    <row r="1299" spans="1:5" x14ac:dyDescent="0.3">
      <c r="A1299" t="s">
        <v>27</v>
      </c>
      <c r="B1299" t="s">
        <v>21</v>
      </c>
      <c r="C1299" t="s">
        <v>25</v>
      </c>
      <c r="D1299" s="3">
        <v>45276</v>
      </c>
      <c r="E1299" s="2">
        <v>3717</v>
      </c>
    </row>
    <row r="1300" spans="1:5" x14ac:dyDescent="0.3">
      <c r="A1300" t="s">
        <v>30</v>
      </c>
      <c r="B1300" t="s">
        <v>9</v>
      </c>
      <c r="C1300" t="s">
        <v>23</v>
      </c>
      <c r="D1300" s="3">
        <v>45277</v>
      </c>
      <c r="E1300" s="2">
        <v>5736</v>
      </c>
    </row>
    <row r="1301" spans="1:5" x14ac:dyDescent="0.3">
      <c r="A1301" t="s">
        <v>5</v>
      </c>
      <c r="B1301" t="s">
        <v>11</v>
      </c>
      <c r="C1301" t="s">
        <v>14</v>
      </c>
      <c r="D1301" s="3">
        <v>45278</v>
      </c>
      <c r="E1301" s="2">
        <v>8833</v>
      </c>
    </row>
    <row r="1302" spans="1:5" x14ac:dyDescent="0.3">
      <c r="A1302" t="s">
        <v>26</v>
      </c>
      <c r="B1302" t="s">
        <v>9</v>
      </c>
      <c r="C1302" t="s">
        <v>19</v>
      </c>
      <c r="D1302" s="3">
        <v>45278</v>
      </c>
      <c r="E1302" s="2">
        <v>4877</v>
      </c>
    </row>
    <row r="1303" spans="1:5" x14ac:dyDescent="0.3">
      <c r="A1303" t="s">
        <v>29</v>
      </c>
      <c r="B1303" t="s">
        <v>9</v>
      </c>
      <c r="C1303" t="s">
        <v>19</v>
      </c>
      <c r="D1303" s="3">
        <v>45278</v>
      </c>
      <c r="E1303" s="2">
        <v>11435</v>
      </c>
    </row>
    <row r="1304" spans="1:5" x14ac:dyDescent="0.3">
      <c r="A1304" t="s">
        <v>29</v>
      </c>
      <c r="B1304" t="s">
        <v>13</v>
      </c>
      <c r="C1304" t="s">
        <v>23</v>
      </c>
      <c r="D1304" s="3">
        <v>45278</v>
      </c>
      <c r="E1304" s="2">
        <v>1921</v>
      </c>
    </row>
    <row r="1305" spans="1:5" x14ac:dyDescent="0.3">
      <c r="A1305" t="s">
        <v>22</v>
      </c>
      <c r="B1305" t="s">
        <v>9</v>
      </c>
      <c r="C1305" t="s">
        <v>25</v>
      </c>
      <c r="D1305" s="3">
        <v>45278</v>
      </c>
      <c r="E1305" s="2">
        <v>2583</v>
      </c>
    </row>
    <row r="1306" spans="1:5" x14ac:dyDescent="0.3">
      <c r="A1306" t="s">
        <v>30</v>
      </c>
      <c r="B1306" t="s">
        <v>16</v>
      </c>
      <c r="C1306" t="s">
        <v>28</v>
      </c>
      <c r="D1306" s="3">
        <v>45278</v>
      </c>
      <c r="E1306" s="2">
        <v>8007</v>
      </c>
    </row>
    <row r="1307" spans="1:5" x14ac:dyDescent="0.3">
      <c r="A1307" t="s">
        <v>15</v>
      </c>
      <c r="B1307" t="s">
        <v>9</v>
      </c>
      <c r="C1307" t="s">
        <v>12</v>
      </c>
      <c r="D1307" s="3">
        <v>45278</v>
      </c>
      <c r="E1307" s="2">
        <v>10668</v>
      </c>
    </row>
    <row r="1308" spans="1:5" x14ac:dyDescent="0.3">
      <c r="A1308" t="s">
        <v>24</v>
      </c>
      <c r="B1308" t="s">
        <v>9</v>
      </c>
      <c r="C1308" t="s">
        <v>19</v>
      </c>
      <c r="D1308" s="3">
        <v>45279</v>
      </c>
      <c r="E1308" s="2">
        <v>6287</v>
      </c>
    </row>
    <row r="1309" spans="1:5" x14ac:dyDescent="0.3">
      <c r="A1309" t="s">
        <v>32</v>
      </c>
      <c r="B1309" t="s">
        <v>13</v>
      </c>
      <c r="C1309" t="s">
        <v>23</v>
      </c>
      <c r="D1309" s="3">
        <v>45279</v>
      </c>
      <c r="E1309" s="2">
        <v>2494</v>
      </c>
    </row>
    <row r="1310" spans="1:5" x14ac:dyDescent="0.3">
      <c r="A1310" t="s">
        <v>22</v>
      </c>
      <c r="B1310" t="s">
        <v>9</v>
      </c>
      <c r="C1310" t="s">
        <v>23</v>
      </c>
      <c r="D1310" s="3">
        <v>45279</v>
      </c>
      <c r="E1310" s="2">
        <v>11568</v>
      </c>
    </row>
    <row r="1311" spans="1:5" x14ac:dyDescent="0.3">
      <c r="A1311" t="s">
        <v>15</v>
      </c>
      <c r="B1311" t="s">
        <v>9</v>
      </c>
      <c r="C1311" t="s">
        <v>25</v>
      </c>
      <c r="D1311" s="3">
        <v>45279</v>
      </c>
      <c r="E1311" s="2">
        <v>3952</v>
      </c>
    </row>
    <row r="1312" spans="1:5" x14ac:dyDescent="0.3">
      <c r="A1312" t="s">
        <v>26</v>
      </c>
      <c r="B1312" t="s">
        <v>21</v>
      </c>
      <c r="C1312" t="s">
        <v>28</v>
      </c>
      <c r="D1312" s="3">
        <v>45279</v>
      </c>
      <c r="E1312" s="2">
        <v>9315</v>
      </c>
    </row>
    <row r="1313" spans="1:5" x14ac:dyDescent="0.3">
      <c r="A1313" t="s">
        <v>30</v>
      </c>
      <c r="B1313" t="s">
        <v>6</v>
      </c>
      <c r="C1313" t="s">
        <v>25</v>
      </c>
      <c r="D1313" s="3">
        <v>45280</v>
      </c>
      <c r="E1313" s="2">
        <v>4404</v>
      </c>
    </row>
    <row r="1314" spans="1:5" x14ac:dyDescent="0.3">
      <c r="A1314" t="s">
        <v>26</v>
      </c>
      <c r="B1314" t="s">
        <v>16</v>
      </c>
      <c r="C1314" t="s">
        <v>17</v>
      </c>
      <c r="D1314" s="3">
        <v>45280</v>
      </c>
      <c r="E1314" s="2">
        <v>8299</v>
      </c>
    </row>
    <row r="1315" spans="1:5" x14ac:dyDescent="0.3">
      <c r="A1315" t="s">
        <v>33</v>
      </c>
      <c r="B1315" t="s">
        <v>9</v>
      </c>
      <c r="C1315" t="s">
        <v>14</v>
      </c>
      <c r="D1315" s="3">
        <v>45281</v>
      </c>
      <c r="E1315" s="2">
        <v>9428</v>
      </c>
    </row>
    <row r="1316" spans="1:5" x14ac:dyDescent="0.3">
      <c r="A1316" t="s">
        <v>27</v>
      </c>
      <c r="B1316" t="s">
        <v>16</v>
      </c>
      <c r="C1316" t="s">
        <v>23</v>
      </c>
      <c r="D1316" s="3">
        <v>45281</v>
      </c>
      <c r="E1316" s="2">
        <v>8307</v>
      </c>
    </row>
    <row r="1317" spans="1:5" x14ac:dyDescent="0.3">
      <c r="A1317" t="s">
        <v>22</v>
      </c>
      <c r="B1317" t="s">
        <v>16</v>
      </c>
      <c r="C1317" t="s">
        <v>25</v>
      </c>
      <c r="D1317" s="3">
        <v>45281</v>
      </c>
      <c r="E1317" s="2">
        <v>3600</v>
      </c>
    </row>
    <row r="1318" spans="1:5" x14ac:dyDescent="0.3">
      <c r="A1318" t="s">
        <v>32</v>
      </c>
      <c r="B1318" t="s">
        <v>9</v>
      </c>
      <c r="C1318" t="s">
        <v>25</v>
      </c>
      <c r="D1318" s="3">
        <v>45281</v>
      </c>
      <c r="E1318" s="2">
        <v>4920</v>
      </c>
    </row>
    <row r="1319" spans="1:5" x14ac:dyDescent="0.3">
      <c r="A1319" t="s">
        <v>10</v>
      </c>
      <c r="B1319" t="s">
        <v>21</v>
      </c>
      <c r="C1319" t="s">
        <v>12</v>
      </c>
      <c r="D1319" s="3">
        <v>45281</v>
      </c>
      <c r="E1319" s="2">
        <v>2307</v>
      </c>
    </row>
    <row r="1320" spans="1:5" x14ac:dyDescent="0.3">
      <c r="A1320" t="s">
        <v>30</v>
      </c>
      <c r="B1320" t="s">
        <v>6</v>
      </c>
      <c r="C1320" t="s">
        <v>14</v>
      </c>
      <c r="D1320" s="3">
        <v>45282</v>
      </c>
      <c r="E1320" s="2">
        <v>3872</v>
      </c>
    </row>
    <row r="1321" spans="1:5" x14ac:dyDescent="0.3">
      <c r="A1321" t="s">
        <v>31</v>
      </c>
      <c r="B1321" t="s">
        <v>11</v>
      </c>
      <c r="C1321" t="s">
        <v>25</v>
      </c>
      <c r="D1321" s="3">
        <v>45282</v>
      </c>
      <c r="E1321" s="2">
        <v>3517</v>
      </c>
    </row>
    <row r="1322" spans="1:5" x14ac:dyDescent="0.3">
      <c r="A1322" t="s">
        <v>30</v>
      </c>
      <c r="B1322" t="s">
        <v>13</v>
      </c>
      <c r="C1322" t="s">
        <v>17</v>
      </c>
      <c r="D1322" s="3">
        <v>45282</v>
      </c>
      <c r="E1322" s="2">
        <v>8822</v>
      </c>
    </row>
    <row r="1323" spans="1:5" x14ac:dyDescent="0.3">
      <c r="A1323" t="s">
        <v>18</v>
      </c>
      <c r="B1323" t="s">
        <v>9</v>
      </c>
      <c r="C1323" t="s">
        <v>17</v>
      </c>
      <c r="D1323" s="3">
        <v>45282</v>
      </c>
      <c r="E1323" s="2">
        <v>8590</v>
      </c>
    </row>
    <row r="1324" spans="1:5" x14ac:dyDescent="0.3">
      <c r="A1324" t="s">
        <v>30</v>
      </c>
      <c r="B1324" t="s">
        <v>6</v>
      </c>
      <c r="C1324" t="s">
        <v>23</v>
      </c>
      <c r="D1324" s="3">
        <v>45283</v>
      </c>
      <c r="E1324" s="2">
        <v>7721</v>
      </c>
    </row>
    <row r="1325" spans="1:5" x14ac:dyDescent="0.3">
      <c r="A1325" t="s">
        <v>18</v>
      </c>
      <c r="B1325" t="s">
        <v>21</v>
      </c>
      <c r="C1325" t="s">
        <v>17</v>
      </c>
      <c r="D1325" s="3">
        <v>45283</v>
      </c>
      <c r="E1325" s="2">
        <v>1942</v>
      </c>
    </row>
    <row r="1326" spans="1:5" x14ac:dyDescent="0.3">
      <c r="A1326" t="s">
        <v>31</v>
      </c>
      <c r="B1326" t="s">
        <v>11</v>
      </c>
      <c r="C1326" t="s">
        <v>19</v>
      </c>
      <c r="D1326" s="3">
        <v>45284</v>
      </c>
      <c r="E1326" s="2">
        <v>13008</v>
      </c>
    </row>
    <row r="1327" spans="1:5" x14ac:dyDescent="0.3">
      <c r="A1327" t="s">
        <v>27</v>
      </c>
      <c r="B1327" t="s">
        <v>9</v>
      </c>
      <c r="C1327" t="s">
        <v>23</v>
      </c>
      <c r="D1327" s="3">
        <v>45284</v>
      </c>
      <c r="E1327" s="2">
        <v>2907</v>
      </c>
    </row>
    <row r="1328" spans="1:5" x14ac:dyDescent="0.3">
      <c r="A1328" t="s">
        <v>29</v>
      </c>
      <c r="B1328" t="s">
        <v>9</v>
      </c>
      <c r="C1328" t="s">
        <v>28</v>
      </c>
      <c r="D1328" s="3">
        <v>45284</v>
      </c>
      <c r="E1328" s="2">
        <v>11725</v>
      </c>
    </row>
    <row r="1329" spans="1:5" x14ac:dyDescent="0.3">
      <c r="A1329" t="s">
        <v>24</v>
      </c>
      <c r="B1329" t="s">
        <v>9</v>
      </c>
      <c r="C1329" t="s">
        <v>17</v>
      </c>
      <c r="D1329" s="3">
        <v>45284</v>
      </c>
      <c r="E1329" s="2">
        <v>6801</v>
      </c>
    </row>
    <row r="1330" spans="1:5" x14ac:dyDescent="0.3">
      <c r="A1330" t="s">
        <v>33</v>
      </c>
      <c r="B1330" t="s">
        <v>11</v>
      </c>
      <c r="C1330" t="s">
        <v>17</v>
      </c>
      <c r="D1330" s="3">
        <v>45284</v>
      </c>
      <c r="E1330" s="2">
        <v>10213</v>
      </c>
    </row>
    <row r="1331" spans="1:5" x14ac:dyDescent="0.3">
      <c r="A1331" t="s">
        <v>27</v>
      </c>
      <c r="B1331" t="s">
        <v>11</v>
      </c>
      <c r="C1331" t="s">
        <v>12</v>
      </c>
      <c r="D1331" s="3">
        <v>45284</v>
      </c>
      <c r="E1331" s="2">
        <v>7611</v>
      </c>
    </row>
    <row r="1332" spans="1:5" x14ac:dyDescent="0.3">
      <c r="A1332" t="s">
        <v>5</v>
      </c>
      <c r="B1332" t="s">
        <v>6</v>
      </c>
      <c r="C1332" t="s">
        <v>12</v>
      </c>
      <c r="D1332" s="3">
        <v>45284</v>
      </c>
      <c r="E1332" s="2">
        <v>12255</v>
      </c>
    </row>
    <row r="1333" spans="1:5" x14ac:dyDescent="0.3">
      <c r="A1333" t="s">
        <v>24</v>
      </c>
      <c r="B1333" t="s">
        <v>21</v>
      </c>
      <c r="C1333" t="s">
        <v>14</v>
      </c>
      <c r="D1333" s="3">
        <v>45285</v>
      </c>
      <c r="E1333" s="2">
        <v>8152</v>
      </c>
    </row>
    <row r="1334" spans="1:5" x14ac:dyDescent="0.3">
      <c r="A1334" t="s">
        <v>26</v>
      </c>
      <c r="B1334" t="s">
        <v>6</v>
      </c>
      <c r="C1334" t="s">
        <v>7</v>
      </c>
      <c r="D1334" s="3">
        <v>45285</v>
      </c>
      <c r="E1334" s="2">
        <v>13433</v>
      </c>
    </row>
    <row r="1335" spans="1:5" x14ac:dyDescent="0.3">
      <c r="A1335" t="s">
        <v>30</v>
      </c>
      <c r="B1335" t="s">
        <v>11</v>
      </c>
      <c r="C1335" t="s">
        <v>7</v>
      </c>
      <c r="D1335" s="3">
        <v>45285</v>
      </c>
      <c r="E1335" s="2">
        <v>12288</v>
      </c>
    </row>
    <row r="1336" spans="1:5" x14ac:dyDescent="0.3">
      <c r="A1336" t="s">
        <v>31</v>
      </c>
      <c r="B1336" t="s">
        <v>16</v>
      </c>
      <c r="C1336" t="s">
        <v>28</v>
      </c>
      <c r="D1336" s="3">
        <v>45285</v>
      </c>
      <c r="E1336" s="2">
        <v>5772</v>
      </c>
    </row>
    <row r="1337" spans="1:5" x14ac:dyDescent="0.3">
      <c r="A1337" t="s">
        <v>32</v>
      </c>
      <c r="B1337" t="s">
        <v>9</v>
      </c>
      <c r="C1337" t="s">
        <v>23</v>
      </c>
      <c r="D1337" s="3">
        <v>45286</v>
      </c>
      <c r="E1337" s="2">
        <v>8609</v>
      </c>
    </row>
    <row r="1338" spans="1:5" x14ac:dyDescent="0.3">
      <c r="A1338" t="s">
        <v>18</v>
      </c>
      <c r="B1338" t="s">
        <v>9</v>
      </c>
      <c r="C1338" t="s">
        <v>23</v>
      </c>
      <c r="D1338" s="3">
        <v>45286</v>
      </c>
      <c r="E1338" s="2">
        <v>4952</v>
      </c>
    </row>
    <row r="1339" spans="1:5" x14ac:dyDescent="0.3">
      <c r="A1339" t="s">
        <v>10</v>
      </c>
      <c r="B1339" t="s">
        <v>11</v>
      </c>
      <c r="C1339" t="s">
        <v>25</v>
      </c>
      <c r="D1339" s="3">
        <v>45286</v>
      </c>
      <c r="E1339" s="2">
        <v>9195</v>
      </c>
    </row>
    <row r="1340" spans="1:5" x14ac:dyDescent="0.3">
      <c r="A1340" t="s">
        <v>29</v>
      </c>
      <c r="B1340" t="s">
        <v>6</v>
      </c>
      <c r="C1340" t="s">
        <v>23</v>
      </c>
      <c r="D1340" s="3">
        <v>45287</v>
      </c>
      <c r="E1340" s="2">
        <v>1585</v>
      </c>
    </row>
    <row r="1341" spans="1:5" x14ac:dyDescent="0.3">
      <c r="A1341" t="s">
        <v>18</v>
      </c>
      <c r="B1341" t="s">
        <v>16</v>
      </c>
      <c r="C1341" t="s">
        <v>25</v>
      </c>
      <c r="D1341" s="3">
        <v>45287</v>
      </c>
      <c r="E1341" s="2">
        <v>8863</v>
      </c>
    </row>
    <row r="1342" spans="1:5" x14ac:dyDescent="0.3">
      <c r="A1342" t="s">
        <v>18</v>
      </c>
      <c r="B1342" t="s">
        <v>6</v>
      </c>
      <c r="C1342" t="s">
        <v>25</v>
      </c>
      <c r="D1342" s="3">
        <v>45287</v>
      </c>
      <c r="E1342" s="2">
        <v>4370</v>
      </c>
    </row>
    <row r="1343" spans="1:5" x14ac:dyDescent="0.3">
      <c r="A1343" t="s">
        <v>31</v>
      </c>
      <c r="B1343" t="s">
        <v>11</v>
      </c>
      <c r="C1343" t="s">
        <v>28</v>
      </c>
      <c r="D1343" s="3">
        <v>45287</v>
      </c>
      <c r="E1343" s="2">
        <v>7954</v>
      </c>
    </row>
    <row r="1344" spans="1:5" x14ac:dyDescent="0.3">
      <c r="A1344" t="s">
        <v>29</v>
      </c>
      <c r="B1344" t="s">
        <v>13</v>
      </c>
      <c r="C1344" t="s">
        <v>14</v>
      </c>
      <c r="D1344" s="3">
        <v>45288</v>
      </c>
      <c r="E1344" s="2">
        <v>12974</v>
      </c>
    </row>
    <row r="1345" spans="1:5" x14ac:dyDescent="0.3">
      <c r="A1345" t="s">
        <v>18</v>
      </c>
      <c r="B1345" t="s">
        <v>13</v>
      </c>
      <c r="C1345" t="s">
        <v>19</v>
      </c>
      <c r="D1345" s="3">
        <v>45288</v>
      </c>
      <c r="E1345" s="2">
        <v>5452</v>
      </c>
    </row>
    <row r="1346" spans="1:5" x14ac:dyDescent="0.3">
      <c r="A1346" t="s">
        <v>26</v>
      </c>
      <c r="B1346" t="s">
        <v>21</v>
      </c>
      <c r="C1346" t="s">
        <v>25</v>
      </c>
      <c r="D1346" s="3">
        <v>45288</v>
      </c>
      <c r="E1346" s="2">
        <v>1554</v>
      </c>
    </row>
    <row r="1347" spans="1:5" x14ac:dyDescent="0.3">
      <c r="A1347" t="s">
        <v>18</v>
      </c>
      <c r="B1347" t="s">
        <v>11</v>
      </c>
      <c r="C1347" t="s">
        <v>7</v>
      </c>
      <c r="D1347" s="3">
        <v>45288</v>
      </c>
      <c r="E1347" s="2">
        <v>13613</v>
      </c>
    </row>
    <row r="1348" spans="1:5" x14ac:dyDescent="0.3">
      <c r="A1348" t="s">
        <v>8</v>
      </c>
      <c r="B1348" t="s">
        <v>21</v>
      </c>
      <c r="C1348" t="s">
        <v>14</v>
      </c>
      <c r="D1348" s="3">
        <v>45289</v>
      </c>
      <c r="E1348" s="2">
        <v>10387</v>
      </c>
    </row>
    <row r="1349" spans="1:5" x14ac:dyDescent="0.3">
      <c r="A1349" t="s">
        <v>15</v>
      </c>
      <c r="B1349" t="s">
        <v>13</v>
      </c>
      <c r="C1349" t="s">
        <v>23</v>
      </c>
      <c r="D1349" s="3">
        <v>45289</v>
      </c>
      <c r="E1349" s="2">
        <v>1828</v>
      </c>
    </row>
    <row r="1350" spans="1:5" x14ac:dyDescent="0.3">
      <c r="A1350" t="s">
        <v>27</v>
      </c>
      <c r="B1350" t="s">
        <v>16</v>
      </c>
      <c r="C1350" t="s">
        <v>19</v>
      </c>
      <c r="D1350" s="3">
        <v>45290</v>
      </c>
      <c r="E1350" s="2">
        <v>5544</v>
      </c>
    </row>
    <row r="1351" spans="1:5" x14ac:dyDescent="0.3">
      <c r="A1351" t="s">
        <v>8</v>
      </c>
      <c r="B1351" t="s">
        <v>9</v>
      </c>
      <c r="C1351" t="s">
        <v>19</v>
      </c>
      <c r="D1351" s="3">
        <v>45290</v>
      </c>
      <c r="E1351" s="2">
        <v>9027</v>
      </c>
    </row>
    <row r="1352" spans="1:5" x14ac:dyDescent="0.3">
      <c r="A1352" t="s">
        <v>8</v>
      </c>
      <c r="B1352" t="s">
        <v>6</v>
      </c>
      <c r="C1352" t="s">
        <v>28</v>
      </c>
      <c r="D1352" s="3">
        <v>45290</v>
      </c>
      <c r="E1352" s="2">
        <v>1322</v>
      </c>
    </row>
    <row r="1353" spans="1:5" x14ac:dyDescent="0.3">
      <c r="A1353" t="s">
        <v>24</v>
      </c>
      <c r="B1353" t="s">
        <v>6</v>
      </c>
      <c r="C1353" t="s">
        <v>17</v>
      </c>
      <c r="D1353" s="3">
        <v>45290</v>
      </c>
      <c r="E1353" s="2">
        <v>10220</v>
      </c>
    </row>
    <row r="1354" spans="1:5" x14ac:dyDescent="0.3">
      <c r="A1354" t="s">
        <v>22</v>
      </c>
      <c r="B1354" t="s">
        <v>13</v>
      </c>
      <c r="C1354" t="s">
        <v>14</v>
      </c>
      <c r="D1354" s="3">
        <v>45291</v>
      </c>
      <c r="E1354" s="2">
        <v>1731</v>
      </c>
    </row>
    <row r="1355" spans="1:5" x14ac:dyDescent="0.3">
      <c r="A1355" t="s">
        <v>26</v>
      </c>
      <c r="B1355" t="s">
        <v>13</v>
      </c>
      <c r="C1355" t="s">
        <v>19</v>
      </c>
      <c r="D1355" s="3">
        <v>45291</v>
      </c>
      <c r="E1355" s="2">
        <v>12292</v>
      </c>
    </row>
    <row r="1356" spans="1:5" x14ac:dyDescent="0.3">
      <c r="A1356" t="s">
        <v>30</v>
      </c>
      <c r="B1356" t="s">
        <v>9</v>
      </c>
      <c r="C1356" t="s">
        <v>28</v>
      </c>
      <c r="D1356" s="3">
        <v>45291</v>
      </c>
      <c r="E1356" s="2">
        <v>3571</v>
      </c>
    </row>
    <row r="1357" spans="1:5" x14ac:dyDescent="0.3">
      <c r="A1357" t="s">
        <v>32</v>
      </c>
      <c r="B1357" t="s">
        <v>21</v>
      </c>
      <c r="C1357" t="s">
        <v>25</v>
      </c>
      <c r="D1357" s="3">
        <v>45292</v>
      </c>
      <c r="E1357" s="2">
        <v>2579</v>
      </c>
    </row>
    <row r="1358" spans="1:5" x14ac:dyDescent="0.3">
      <c r="A1358" t="s">
        <v>29</v>
      </c>
      <c r="B1358" t="s">
        <v>6</v>
      </c>
      <c r="C1358" t="s">
        <v>7</v>
      </c>
      <c r="D1358" s="3">
        <v>45292</v>
      </c>
      <c r="E1358" s="2">
        <v>5835</v>
      </c>
    </row>
    <row r="1359" spans="1:5" x14ac:dyDescent="0.3">
      <c r="A1359" t="s">
        <v>33</v>
      </c>
      <c r="B1359" t="s">
        <v>21</v>
      </c>
      <c r="C1359" t="s">
        <v>7</v>
      </c>
      <c r="D1359" s="3">
        <v>45292</v>
      </c>
      <c r="E1359" s="2">
        <v>13704</v>
      </c>
    </row>
    <row r="1360" spans="1:5" x14ac:dyDescent="0.3">
      <c r="A1360" t="s">
        <v>10</v>
      </c>
      <c r="B1360" t="s">
        <v>11</v>
      </c>
      <c r="C1360" t="s">
        <v>19</v>
      </c>
      <c r="D1360" s="3">
        <v>45293</v>
      </c>
      <c r="E1360" s="2">
        <v>1551</v>
      </c>
    </row>
    <row r="1361" spans="1:5" x14ac:dyDescent="0.3">
      <c r="A1361" t="s">
        <v>32</v>
      </c>
      <c r="B1361" t="s">
        <v>16</v>
      </c>
      <c r="C1361" t="s">
        <v>19</v>
      </c>
      <c r="D1361" s="3">
        <v>45293</v>
      </c>
      <c r="E1361" s="2">
        <v>7917</v>
      </c>
    </row>
    <row r="1362" spans="1:5" x14ac:dyDescent="0.3">
      <c r="A1362" t="s">
        <v>20</v>
      </c>
      <c r="B1362" t="s">
        <v>11</v>
      </c>
      <c r="C1362" t="s">
        <v>7</v>
      </c>
      <c r="D1362" s="3">
        <v>45293</v>
      </c>
      <c r="E1362" s="2">
        <v>6777</v>
      </c>
    </row>
    <row r="1363" spans="1:5" x14ac:dyDescent="0.3">
      <c r="A1363" t="s">
        <v>20</v>
      </c>
      <c r="B1363" t="s">
        <v>13</v>
      </c>
      <c r="C1363" t="s">
        <v>7</v>
      </c>
      <c r="D1363" s="3">
        <v>45293</v>
      </c>
      <c r="E1363" s="2">
        <v>4268</v>
      </c>
    </row>
    <row r="1364" spans="1:5" x14ac:dyDescent="0.3">
      <c r="A1364" t="s">
        <v>31</v>
      </c>
      <c r="B1364" t="s">
        <v>16</v>
      </c>
      <c r="C1364" t="s">
        <v>28</v>
      </c>
      <c r="D1364" s="3">
        <v>45293</v>
      </c>
      <c r="E1364" s="2">
        <v>9621</v>
      </c>
    </row>
    <row r="1365" spans="1:5" x14ac:dyDescent="0.3">
      <c r="A1365" t="s">
        <v>5</v>
      </c>
      <c r="B1365" t="s">
        <v>21</v>
      </c>
      <c r="C1365" t="s">
        <v>17</v>
      </c>
      <c r="D1365" s="3">
        <v>45293</v>
      </c>
      <c r="E1365" s="2">
        <v>6022</v>
      </c>
    </row>
    <row r="1366" spans="1:5" x14ac:dyDescent="0.3">
      <c r="A1366" t="s">
        <v>30</v>
      </c>
      <c r="B1366" t="s">
        <v>11</v>
      </c>
      <c r="C1366" t="s">
        <v>17</v>
      </c>
      <c r="D1366" s="3">
        <v>45293</v>
      </c>
      <c r="E1366" s="2">
        <v>3007</v>
      </c>
    </row>
    <row r="1367" spans="1:5" x14ac:dyDescent="0.3">
      <c r="A1367" t="s">
        <v>24</v>
      </c>
      <c r="B1367" t="s">
        <v>11</v>
      </c>
      <c r="C1367" t="s">
        <v>25</v>
      </c>
      <c r="D1367" s="3">
        <v>45294</v>
      </c>
      <c r="E1367" s="2">
        <v>7839</v>
      </c>
    </row>
    <row r="1368" spans="1:5" x14ac:dyDescent="0.3">
      <c r="A1368" t="s">
        <v>26</v>
      </c>
      <c r="B1368" t="s">
        <v>16</v>
      </c>
      <c r="C1368" t="s">
        <v>25</v>
      </c>
      <c r="D1368" s="3">
        <v>45294</v>
      </c>
      <c r="E1368" s="2">
        <v>10560</v>
      </c>
    </row>
    <row r="1369" spans="1:5" x14ac:dyDescent="0.3">
      <c r="A1369" t="s">
        <v>18</v>
      </c>
      <c r="B1369" t="s">
        <v>16</v>
      </c>
      <c r="C1369" t="s">
        <v>12</v>
      </c>
      <c r="D1369" s="3">
        <v>45294</v>
      </c>
      <c r="E1369" s="2">
        <v>13045</v>
      </c>
    </row>
    <row r="1370" spans="1:5" x14ac:dyDescent="0.3">
      <c r="A1370" t="s">
        <v>5</v>
      </c>
      <c r="B1370" t="s">
        <v>13</v>
      </c>
      <c r="C1370" t="s">
        <v>12</v>
      </c>
      <c r="D1370" s="3">
        <v>45294</v>
      </c>
      <c r="E1370" s="2">
        <v>12825</v>
      </c>
    </row>
    <row r="1371" spans="1:5" x14ac:dyDescent="0.3">
      <c r="A1371" t="s">
        <v>27</v>
      </c>
      <c r="B1371" t="s">
        <v>11</v>
      </c>
      <c r="C1371" t="s">
        <v>19</v>
      </c>
      <c r="D1371" s="3">
        <v>45295</v>
      </c>
      <c r="E1371" s="2">
        <v>3890</v>
      </c>
    </row>
    <row r="1372" spans="1:5" x14ac:dyDescent="0.3">
      <c r="A1372" t="s">
        <v>24</v>
      </c>
      <c r="B1372" t="s">
        <v>9</v>
      </c>
      <c r="C1372" t="s">
        <v>25</v>
      </c>
      <c r="D1372" s="3">
        <v>45295</v>
      </c>
      <c r="E1372" s="2">
        <v>7733</v>
      </c>
    </row>
    <row r="1373" spans="1:5" x14ac:dyDescent="0.3">
      <c r="A1373" t="s">
        <v>22</v>
      </c>
      <c r="B1373" t="s">
        <v>9</v>
      </c>
      <c r="C1373" t="s">
        <v>17</v>
      </c>
      <c r="D1373" s="3">
        <v>45295</v>
      </c>
      <c r="E1373" s="2">
        <v>11656</v>
      </c>
    </row>
    <row r="1374" spans="1:5" x14ac:dyDescent="0.3">
      <c r="A1374" t="s">
        <v>27</v>
      </c>
      <c r="B1374" t="s">
        <v>6</v>
      </c>
      <c r="C1374" t="s">
        <v>12</v>
      </c>
      <c r="D1374" s="3">
        <v>45295</v>
      </c>
      <c r="E1374" s="2">
        <v>10029</v>
      </c>
    </row>
    <row r="1375" spans="1:5" x14ac:dyDescent="0.3">
      <c r="A1375" t="s">
        <v>30</v>
      </c>
      <c r="B1375" t="s">
        <v>21</v>
      </c>
      <c r="C1375" t="s">
        <v>12</v>
      </c>
      <c r="D1375" s="3">
        <v>45295</v>
      </c>
      <c r="E1375" s="2">
        <v>9119</v>
      </c>
    </row>
    <row r="1376" spans="1:5" x14ac:dyDescent="0.3">
      <c r="A1376" t="s">
        <v>22</v>
      </c>
      <c r="B1376" t="s">
        <v>6</v>
      </c>
      <c r="C1376" t="s">
        <v>14</v>
      </c>
      <c r="D1376" s="3">
        <v>45296</v>
      </c>
      <c r="E1376" s="2">
        <v>7088</v>
      </c>
    </row>
    <row r="1377" spans="1:5" x14ac:dyDescent="0.3">
      <c r="A1377" t="s">
        <v>30</v>
      </c>
      <c r="B1377" t="s">
        <v>13</v>
      </c>
      <c r="C1377" t="s">
        <v>19</v>
      </c>
      <c r="D1377" s="3">
        <v>45296</v>
      </c>
      <c r="E1377" s="2">
        <v>8370</v>
      </c>
    </row>
    <row r="1378" spans="1:5" x14ac:dyDescent="0.3">
      <c r="A1378" t="s">
        <v>31</v>
      </c>
      <c r="B1378" t="s">
        <v>6</v>
      </c>
      <c r="C1378" t="s">
        <v>19</v>
      </c>
      <c r="D1378" s="3">
        <v>45296</v>
      </c>
      <c r="E1378" s="2">
        <v>3864</v>
      </c>
    </row>
    <row r="1379" spans="1:5" x14ac:dyDescent="0.3">
      <c r="A1379" t="s">
        <v>31</v>
      </c>
      <c r="B1379" t="s">
        <v>11</v>
      </c>
      <c r="C1379" t="s">
        <v>23</v>
      </c>
      <c r="D1379" s="3">
        <v>45296</v>
      </c>
      <c r="E1379" s="2">
        <v>9639</v>
      </c>
    </row>
    <row r="1380" spans="1:5" x14ac:dyDescent="0.3">
      <c r="A1380" t="s">
        <v>5</v>
      </c>
      <c r="B1380" t="s">
        <v>21</v>
      </c>
      <c r="C1380" t="s">
        <v>23</v>
      </c>
      <c r="D1380" s="3">
        <v>45296</v>
      </c>
      <c r="E1380" s="2">
        <v>6490</v>
      </c>
    </row>
    <row r="1381" spans="1:5" x14ac:dyDescent="0.3">
      <c r="A1381" t="s">
        <v>27</v>
      </c>
      <c r="B1381" t="s">
        <v>13</v>
      </c>
      <c r="C1381" t="s">
        <v>7</v>
      </c>
      <c r="D1381" s="3">
        <v>45296</v>
      </c>
      <c r="E1381" s="2">
        <v>7358</v>
      </c>
    </row>
    <row r="1382" spans="1:5" x14ac:dyDescent="0.3">
      <c r="A1382" t="s">
        <v>27</v>
      </c>
      <c r="B1382" t="s">
        <v>6</v>
      </c>
      <c r="C1382" t="s">
        <v>7</v>
      </c>
      <c r="D1382" s="3">
        <v>45296</v>
      </c>
      <c r="E1382" s="2">
        <v>10934</v>
      </c>
    </row>
    <row r="1383" spans="1:5" x14ac:dyDescent="0.3">
      <c r="A1383" t="s">
        <v>31</v>
      </c>
      <c r="B1383" t="s">
        <v>11</v>
      </c>
      <c r="C1383" t="s">
        <v>28</v>
      </c>
      <c r="D1383" s="3">
        <v>45296</v>
      </c>
      <c r="E1383" s="2">
        <v>12356</v>
      </c>
    </row>
    <row r="1384" spans="1:5" x14ac:dyDescent="0.3">
      <c r="A1384" t="s">
        <v>18</v>
      </c>
      <c r="B1384" t="s">
        <v>13</v>
      </c>
      <c r="C1384" t="s">
        <v>25</v>
      </c>
      <c r="D1384" s="3">
        <v>45297</v>
      </c>
      <c r="E1384" s="2">
        <v>4751</v>
      </c>
    </row>
    <row r="1385" spans="1:5" x14ac:dyDescent="0.3">
      <c r="A1385" t="s">
        <v>29</v>
      </c>
      <c r="B1385" t="s">
        <v>16</v>
      </c>
      <c r="C1385" t="s">
        <v>25</v>
      </c>
      <c r="D1385" s="3">
        <v>45297</v>
      </c>
      <c r="E1385" s="2">
        <v>4511</v>
      </c>
    </row>
    <row r="1386" spans="1:5" x14ac:dyDescent="0.3">
      <c r="A1386" t="s">
        <v>20</v>
      </c>
      <c r="B1386" t="s">
        <v>6</v>
      </c>
      <c r="C1386" t="s">
        <v>7</v>
      </c>
      <c r="D1386" s="3">
        <v>45297</v>
      </c>
      <c r="E1386" s="2">
        <v>13876</v>
      </c>
    </row>
    <row r="1387" spans="1:5" x14ac:dyDescent="0.3">
      <c r="A1387" t="s">
        <v>5</v>
      </c>
      <c r="B1387" t="s">
        <v>16</v>
      </c>
      <c r="C1387" t="s">
        <v>28</v>
      </c>
      <c r="D1387" s="3">
        <v>45297</v>
      </c>
      <c r="E1387" s="2">
        <v>6115</v>
      </c>
    </row>
    <row r="1388" spans="1:5" x14ac:dyDescent="0.3">
      <c r="A1388" t="s">
        <v>29</v>
      </c>
      <c r="B1388" t="s">
        <v>16</v>
      </c>
      <c r="C1388" t="s">
        <v>12</v>
      </c>
      <c r="D1388" s="3">
        <v>45297</v>
      </c>
      <c r="E1388" s="2">
        <v>5090</v>
      </c>
    </row>
    <row r="1389" spans="1:5" x14ac:dyDescent="0.3">
      <c r="A1389" t="s">
        <v>8</v>
      </c>
      <c r="B1389" t="s">
        <v>21</v>
      </c>
      <c r="C1389" t="s">
        <v>25</v>
      </c>
      <c r="D1389" s="3">
        <v>45298</v>
      </c>
      <c r="E1389" s="2">
        <v>11007</v>
      </c>
    </row>
    <row r="1390" spans="1:5" x14ac:dyDescent="0.3">
      <c r="A1390" t="s">
        <v>26</v>
      </c>
      <c r="B1390" t="s">
        <v>11</v>
      </c>
      <c r="C1390" t="s">
        <v>7</v>
      </c>
      <c r="D1390" s="3">
        <v>45298</v>
      </c>
      <c r="E1390" s="2">
        <v>7699</v>
      </c>
    </row>
    <row r="1391" spans="1:5" x14ac:dyDescent="0.3">
      <c r="A1391" t="s">
        <v>20</v>
      </c>
      <c r="B1391" t="s">
        <v>13</v>
      </c>
      <c r="C1391" t="s">
        <v>14</v>
      </c>
      <c r="D1391" s="3">
        <v>45299</v>
      </c>
      <c r="E1391" s="2">
        <v>3267</v>
      </c>
    </row>
    <row r="1392" spans="1:5" x14ac:dyDescent="0.3">
      <c r="A1392" t="s">
        <v>10</v>
      </c>
      <c r="B1392" t="s">
        <v>21</v>
      </c>
      <c r="C1392" t="s">
        <v>19</v>
      </c>
      <c r="D1392" s="3">
        <v>45299</v>
      </c>
      <c r="E1392" s="2">
        <v>7424</v>
      </c>
    </row>
    <row r="1393" spans="1:5" x14ac:dyDescent="0.3">
      <c r="A1393" t="s">
        <v>31</v>
      </c>
      <c r="B1393" t="s">
        <v>13</v>
      </c>
      <c r="C1393" t="s">
        <v>23</v>
      </c>
      <c r="D1393" s="3">
        <v>45299</v>
      </c>
      <c r="E1393" s="2">
        <v>2981</v>
      </c>
    </row>
    <row r="1394" spans="1:5" x14ac:dyDescent="0.3">
      <c r="A1394" t="s">
        <v>29</v>
      </c>
      <c r="B1394" t="s">
        <v>11</v>
      </c>
      <c r="C1394" t="s">
        <v>23</v>
      </c>
      <c r="D1394" s="3">
        <v>45299</v>
      </c>
      <c r="E1394" s="2">
        <v>1680</v>
      </c>
    </row>
    <row r="1395" spans="1:5" x14ac:dyDescent="0.3">
      <c r="A1395" t="s">
        <v>5</v>
      </c>
      <c r="B1395" t="s">
        <v>13</v>
      </c>
      <c r="C1395" t="s">
        <v>23</v>
      </c>
      <c r="D1395" s="3">
        <v>45299</v>
      </c>
      <c r="E1395" s="2">
        <v>8234</v>
      </c>
    </row>
    <row r="1396" spans="1:5" x14ac:dyDescent="0.3">
      <c r="A1396" t="s">
        <v>27</v>
      </c>
      <c r="B1396" t="s">
        <v>13</v>
      </c>
      <c r="C1396" t="s">
        <v>25</v>
      </c>
      <c r="D1396" s="3">
        <v>45299</v>
      </c>
      <c r="E1396" s="2">
        <v>10024</v>
      </c>
    </row>
    <row r="1397" spans="1:5" x14ac:dyDescent="0.3">
      <c r="A1397" t="s">
        <v>24</v>
      </c>
      <c r="B1397" t="s">
        <v>21</v>
      </c>
      <c r="C1397" t="s">
        <v>28</v>
      </c>
      <c r="D1397" s="3">
        <v>45299</v>
      </c>
      <c r="E1397" s="2">
        <v>5670</v>
      </c>
    </row>
    <row r="1398" spans="1:5" x14ac:dyDescent="0.3">
      <c r="A1398" t="s">
        <v>26</v>
      </c>
      <c r="B1398" t="s">
        <v>13</v>
      </c>
      <c r="C1398" t="s">
        <v>17</v>
      </c>
      <c r="D1398" s="3">
        <v>45299</v>
      </c>
      <c r="E1398" s="2">
        <v>8151</v>
      </c>
    </row>
    <row r="1399" spans="1:5" x14ac:dyDescent="0.3">
      <c r="A1399" t="s">
        <v>18</v>
      </c>
      <c r="B1399" t="s">
        <v>21</v>
      </c>
      <c r="C1399" t="s">
        <v>14</v>
      </c>
      <c r="D1399" s="3">
        <v>45300</v>
      </c>
      <c r="E1399" s="2">
        <v>9608</v>
      </c>
    </row>
    <row r="1400" spans="1:5" x14ac:dyDescent="0.3">
      <c r="A1400" t="s">
        <v>33</v>
      </c>
      <c r="B1400" t="s">
        <v>11</v>
      </c>
      <c r="C1400" t="s">
        <v>19</v>
      </c>
      <c r="D1400" s="3">
        <v>45300</v>
      </c>
      <c r="E1400" s="2">
        <v>1398</v>
      </c>
    </row>
    <row r="1401" spans="1:5" x14ac:dyDescent="0.3">
      <c r="A1401" t="s">
        <v>15</v>
      </c>
      <c r="B1401" t="s">
        <v>6</v>
      </c>
      <c r="C1401" t="s">
        <v>25</v>
      </c>
      <c r="D1401" s="3">
        <v>45300</v>
      </c>
      <c r="E1401" s="2">
        <v>1975</v>
      </c>
    </row>
    <row r="1402" spans="1:5" x14ac:dyDescent="0.3">
      <c r="A1402" t="s">
        <v>29</v>
      </c>
      <c r="B1402" t="s">
        <v>13</v>
      </c>
      <c r="C1402" t="s">
        <v>25</v>
      </c>
      <c r="D1402" s="3">
        <v>45300</v>
      </c>
      <c r="E1402" s="2">
        <v>9132</v>
      </c>
    </row>
    <row r="1403" spans="1:5" x14ac:dyDescent="0.3">
      <c r="A1403" t="s">
        <v>18</v>
      </c>
      <c r="B1403" t="s">
        <v>13</v>
      </c>
      <c r="C1403" t="s">
        <v>7</v>
      </c>
      <c r="D1403" s="3">
        <v>45300</v>
      </c>
      <c r="E1403" s="2">
        <v>3723</v>
      </c>
    </row>
    <row r="1404" spans="1:5" x14ac:dyDescent="0.3">
      <c r="A1404" t="s">
        <v>5</v>
      </c>
      <c r="B1404" t="s">
        <v>6</v>
      </c>
      <c r="C1404" t="s">
        <v>28</v>
      </c>
      <c r="D1404" s="3">
        <v>45300</v>
      </c>
      <c r="E1404" s="2">
        <v>1243</v>
      </c>
    </row>
    <row r="1405" spans="1:5" x14ac:dyDescent="0.3">
      <c r="A1405" t="s">
        <v>20</v>
      </c>
      <c r="B1405" t="s">
        <v>21</v>
      </c>
      <c r="C1405" t="s">
        <v>25</v>
      </c>
      <c r="D1405" s="3">
        <v>45301</v>
      </c>
      <c r="E1405" s="2">
        <v>11464</v>
      </c>
    </row>
    <row r="1406" spans="1:5" x14ac:dyDescent="0.3">
      <c r="A1406" t="s">
        <v>15</v>
      </c>
      <c r="B1406" t="s">
        <v>6</v>
      </c>
      <c r="C1406" t="s">
        <v>28</v>
      </c>
      <c r="D1406" s="3">
        <v>45301</v>
      </c>
      <c r="E1406" s="2">
        <v>3469</v>
      </c>
    </row>
    <row r="1407" spans="1:5" x14ac:dyDescent="0.3">
      <c r="A1407" t="s">
        <v>29</v>
      </c>
      <c r="B1407" t="s">
        <v>6</v>
      </c>
      <c r="C1407" t="s">
        <v>28</v>
      </c>
      <c r="D1407" s="3">
        <v>45301</v>
      </c>
      <c r="E1407" s="2">
        <v>9136</v>
      </c>
    </row>
    <row r="1408" spans="1:5" x14ac:dyDescent="0.3">
      <c r="A1408" t="s">
        <v>33</v>
      </c>
      <c r="B1408" t="s">
        <v>11</v>
      </c>
      <c r="C1408" t="s">
        <v>14</v>
      </c>
      <c r="D1408" s="3">
        <v>45302</v>
      </c>
      <c r="E1408" s="2">
        <v>11549</v>
      </c>
    </row>
    <row r="1409" spans="1:5" x14ac:dyDescent="0.3">
      <c r="A1409" t="s">
        <v>26</v>
      </c>
      <c r="B1409" t="s">
        <v>16</v>
      </c>
      <c r="C1409" t="s">
        <v>25</v>
      </c>
      <c r="D1409" s="3">
        <v>45302</v>
      </c>
      <c r="E1409" s="2">
        <v>11348</v>
      </c>
    </row>
    <row r="1410" spans="1:5" x14ac:dyDescent="0.3">
      <c r="A1410" t="s">
        <v>27</v>
      </c>
      <c r="B1410" t="s">
        <v>6</v>
      </c>
      <c r="C1410" t="s">
        <v>25</v>
      </c>
      <c r="D1410" s="3">
        <v>45302</v>
      </c>
      <c r="E1410" s="2">
        <v>8021</v>
      </c>
    </row>
    <row r="1411" spans="1:5" x14ac:dyDescent="0.3">
      <c r="A1411" t="s">
        <v>30</v>
      </c>
      <c r="B1411" t="s">
        <v>16</v>
      </c>
      <c r="C1411" t="s">
        <v>7</v>
      </c>
      <c r="D1411" s="3">
        <v>45302</v>
      </c>
      <c r="E1411" s="2">
        <v>9330</v>
      </c>
    </row>
    <row r="1412" spans="1:5" x14ac:dyDescent="0.3">
      <c r="A1412" t="s">
        <v>29</v>
      </c>
      <c r="B1412" t="s">
        <v>6</v>
      </c>
      <c r="C1412" t="s">
        <v>12</v>
      </c>
      <c r="D1412" s="3">
        <v>45302</v>
      </c>
      <c r="E1412" s="2">
        <v>7024</v>
      </c>
    </row>
    <row r="1413" spans="1:5" x14ac:dyDescent="0.3">
      <c r="A1413" t="s">
        <v>5</v>
      </c>
      <c r="B1413" t="s">
        <v>13</v>
      </c>
      <c r="C1413" t="s">
        <v>14</v>
      </c>
      <c r="D1413" s="3">
        <v>45303</v>
      </c>
      <c r="E1413" s="2">
        <v>3790</v>
      </c>
    </row>
    <row r="1414" spans="1:5" x14ac:dyDescent="0.3">
      <c r="A1414" t="s">
        <v>5</v>
      </c>
      <c r="B1414" t="s">
        <v>13</v>
      </c>
      <c r="C1414" t="s">
        <v>14</v>
      </c>
      <c r="D1414" s="3">
        <v>45303</v>
      </c>
      <c r="E1414" s="2">
        <v>12482</v>
      </c>
    </row>
    <row r="1415" spans="1:5" x14ac:dyDescent="0.3">
      <c r="A1415" t="s">
        <v>8</v>
      </c>
      <c r="B1415" t="s">
        <v>13</v>
      </c>
      <c r="C1415" t="s">
        <v>28</v>
      </c>
      <c r="D1415" s="3">
        <v>45303</v>
      </c>
      <c r="E1415" s="2">
        <v>3147</v>
      </c>
    </row>
    <row r="1416" spans="1:5" x14ac:dyDescent="0.3">
      <c r="A1416" t="s">
        <v>10</v>
      </c>
      <c r="B1416" t="s">
        <v>11</v>
      </c>
      <c r="C1416" t="s">
        <v>12</v>
      </c>
      <c r="D1416" s="3">
        <v>45303</v>
      </c>
      <c r="E1416" s="2">
        <v>1280</v>
      </c>
    </row>
    <row r="1417" spans="1:5" x14ac:dyDescent="0.3">
      <c r="A1417" t="s">
        <v>20</v>
      </c>
      <c r="B1417" t="s">
        <v>11</v>
      </c>
      <c r="C1417" t="s">
        <v>12</v>
      </c>
      <c r="D1417" s="3">
        <v>45303</v>
      </c>
      <c r="E1417" s="2">
        <v>2160</v>
      </c>
    </row>
    <row r="1418" spans="1:5" x14ac:dyDescent="0.3">
      <c r="A1418" t="s">
        <v>18</v>
      </c>
      <c r="B1418" t="s">
        <v>9</v>
      </c>
      <c r="C1418" t="s">
        <v>14</v>
      </c>
      <c r="D1418" s="3">
        <v>45304</v>
      </c>
      <c r="E1418" s="2">
        <v>8538</v>
      </c>
    </row>
    <row r="1419" spans="1:5" x14ac:dyDescent="0.3">
      <c r="A1419" t="s">
        <v>29</v>
      </c>
      <c r="B1419" t="s">
        <v>21</v>
      </c>
      <c r="C1419" t="s">
        <v>14</v>
      </c>
      <c r="D1419" s="3">
        <v>45304</v>
      </c>
      <c r="E1419" s="2">
        <v>7712</v>
      </c>
    </row>
    <row r="1420" spans="1:5" x14ac:dyDescent="0.3">
      <c r="A1420" t="s">
        <v>30</v>
      </c>
      <c r="B1420" t="s">
        <v>11</v>
      </c>
      <c r="C1420" t="s">
        <v>17</v>
      </c>
      <c r="D1420" s="3">
        <v>45304</v>
      </c>
      <c r="E1420" s="2">
        <v>2882</v>
      </c>
    </row>
    <row r="1421" spans="1:5" x14ac:dyDescent="0.3">
      <c r="A1421" t="s">
        <v>29</v>
      </c>
      <c r="B1421" t="s">
        <v>6</v>
      </c>
      <c r="C1421" t="s">
        <v>12</v>
      </c>
      <c r="D1421" s="3">
        <v>45304</v>
      </c>
      <c r="E1421" s="2">
        <v>8920</v>
      </c>
    </row>
    <row r="1422" spans="1:5" x14ac:dyDescent="0.3">
      <c r="A1422" t="s">
        <v>22</v>
      </c>
      <c r="B1422" t="s">
        <v>6</v>
      </c>
      <c r="C1422" t="s">
        <v>19</v>
      </c>
      <c r="D1422" s="3">
        <v>45305</v>
      </c>
      <c r="E1422" s="2">
        <v>3757</v>
      </c>
    </row>
    <row r="1423" spans="1:5" x14ac:dyDescent="0.3">
      <c r="A1423" t="s">
        <v>8</v>
      </c>
      <c r="B1423" t="s">
        <v>21</v>
      </c>
      <c r="C1423" t="s">
        <v>23</v>
      </c>
      <c r="D1423" s="3">
        <v>45305</v>
      </c>
      <c r="E1423" s="2">
        <v>13946</v>
      </c>
    </row>
    <row r="1424" spans="1:5" x14ac:dyDescent="0.3">
      <c r="A1424" t="s">
        <v>15</v>
      </c>
      <c r="B1424" t="s">
        <v>21</v>
      </c>
      <c r="C1424" t="s">
        <v>25</v>
      </c>
      <c r="D1424" s="3">
        <v>45305</v>
      </c>
      <c r="E1424" s="2">
        <v>3206</v>
      </c>
    </row>
    <row r="1425" spans="1:5" x14ac:dyDescent="0.3">
      <c r="A1425" t="s">
        <v>24</v>
      </c>
      <c r="B1425" t="s">
        <v>9</v>
      </c>
      <c r="C1425" t="s">
        <v>28</v>
      </c>
      <c r="D1425" s="3">
        <v>45305</v>
      </c>
      <c r="E1425" s="2">
        <v>10245</v>
      </c>
    </row>
    <row r="1426" spans="1:5" x14ac:dyDescent="0.3">
      <c r="A1426" t="s">
        <v>10</v>
      </c>
      <c r="B1426" t="s">
        <v>9</v>
      </c>
      <c r="C1426" t="s">
        <v>17</v>
      </c>
      <c r="D1426" s="3">
        <v>45305</v>
      </c>
      <c r="E1426" s="2">
        <v>8862</v>
      </c>
    </row>
    <row r="1427" spans="1:5" x14ac:dyDescent="0.3">
      <c r="A1427" t="s">
        <v>32</v>
      </c>
      <c r="B1427" t="s">
        <v>13</v>
      </c>
      <c r="C1427" t="s">
        <v>17</v>
      </c>
      <c r="D1427" s="3">
        <v>45305</v>
      </c>
      <c r="E1427" s="2">
        <v>5034</v>
      </c>
    </row>
    <row r="1428" spans="1:5" x14ac:dyDescent="0.3">
      <c r="A1428" t="s">
        <v>8</v>
      </c>
      <c r="B1428" t="s">
        <v>9</v>
      </c>
      <c r="C1428" t="s">
        <v>17</v>
      </c>
      <c r="D1428" s="3">
        <v>45305</v>
      </c>
      <c r="E1428" s="2">
        <v>13921</v>
      </c>
    </row>
    <row r="1429" spans="1:5" x14ac:dyDescent="0.3">
      <c r="A1429" t="s">
        <v>20</v>
      </c>
      <c r="B1429" t="s">
        <v>16</v>
      </c>
      <c r="C1429" t="s">
        <v>14</v>
      </c>
      <c r="D1429" s="3">
        <v>45306</v>
      </c>
      <c r="E1429" s="2">
        <v>11961</v>
      </c>
    </row>
    <row r="1430" spans="1:5" x14ac:dyDescent="0.3">
      <c r="A1430" t="s">
        <v>8</v>
      </c>
      <c r="B1430" t="s">
        <v>11</v>
      </c>
      <c r="C1430" t="s">
        <v>14</v>
      </c>
      <c r="D1430" s="3">
        <v>45306</v>
      </c>
      <c r="E1430" s="2">
        <v>3255</v>
      </c>
    </row>
    <row r="1431" spans="1:5" x14ac:dyDescent="0.3">
      <c r="A1431" t="s">
        <v>22</v>
      </c>
      <c r="B1431" t="s">
        <v>9</v>
      </c>
      <c r="C1431" t="s">
        <v>25</v>
      </c>
      <c r="D1431" s="3">
        <v>45306</v>
      </c>
      <c r="E1431" s="2">
        <v>13991</v>
      </c>
    </row>
    <row r="1432" spans="1:5" x14ac:dyDescent="0.3">
      <c r="A1432" t="s">
        <v>22</v>
      </c>
      <c r="B1432" t="s">
        <v>11</v>
      </c>
      <c r="C1432" t="s">
        <v>17</v>
      </c>
      <c r="D1432" s="3">
        <v>45306</v>
      </c>
      <c r="E1432" s="2">
        <v>12954</v>
      </c>
    </row>
    <row r="1433" spans="1:5" x14ac:dyDescent="0.3">
      <c r="A1433" t="s">
        <v>20</v>
      </c>
      <c r="B1433" t="s">
        <v>21</v>
      </c>
      <c r="C1433" t="s">
        <v>12</v>
      </c>
      <c r="D1433" s="3">
        <v>45306</v>
      </c>
      <c r="E1433" s="2">
        <v>5548</v>
      </c>
    </row>
    <row r="1434" spans="1:5" x14ac:dyDescent="0.3">
      <c r="A1434" t="s">
        <v>27</v>
      </c>
      <c r="B1434" t="s">
        <v>9</v>
      </c>
      <c r="C1434" t="s">
        <v>19</v>
      </c>
      <c r="D1434" s="3">
        <v>45307</v>
      </c>
      <c r="E1434" s="2">
        <v>3338</v>
      </c>
    </row>
    <row r="1435" spans="1:5" x14ac:dyDescent="0.3">
      <c r="A1435" t="s">
        <v>20</v>
      </c>
      <c r="B1435" t="s">
        <v>9</v>
      </c>
      <c r="C1435" t="s">
        <v>23</v>
      </c>
      <c r="D1435" s="3">
        <v>45307</v>
      </c>
      <c r="E1435" s="2">
        <v>8111</v>
      </c>
    </row>
    <row r="1436" spans="1:5" x14ac:dyDescent="0.3">
      <c r="A1436" t="s">
        <v>31</v>
      </c>
      <c r="B1436" t="s">
        <v>21</v>
      </c>
      <c r="C1436" t="s">
        <v>25</v>
      </c>
      <c r="D1436" s="3">
        <v>45307</v>
      </c>
      <c r="E1436" s="2">
        <v>3388</v>
      </c>
    </row>
    <row r="1437" spans="1:5" x14ac:dyDescent="0.3">
      <c r="A1437" t="s">
        <v>22</v>
      </c>
      <c r="B1437" t="s">
        <v>11</v>
      </c>
      <c r="C1437" t="s">
        <v>17</v>
      </c>
      <c r="D1437" s="3">
        <v>45307</v>
      </c>
      <c r="E1437" s="2">
        <v>6031</v>
      </c>
    </row>
    <row r="1438" spans="1:5" x14ac:dyDescent="0.3">
      <c r="A1438" t="s">
        <v>5</v>
      </c>
      <c r="B1438" t="s">
        <v>6</v>
      </c>
      <c r="C1438" t="s">
        <v>17</v>
      </c>
      <c r="D1438" s="3">
        <v>45307</v>
      </c>
      <c r="E1438" s="2">
        <v>7427</v>
      </c>
    </row>
    <row r="1439" spans="1:5" x14ac:dyDescent="0.3">
      <c r="A1439" t="s">
        <v>15</v>
      </c>
      <c r="B1439" t="s">
        <v>6</v>
      </c>
      <c r="C1439" t="s">
        <v>28</v>
      </c>
      <c r="D1439" s="3">
        <v>45308</v>
      </c>
      <c r="E1439" s="2">
        <v>2277</v>
      </c>
    </row>
    <row r="1440" spans="1:5" x14ac:dyDescent="0.3">
      <c r="A1440" t="s">
        <v>5</v>
      </c>
      <c r="B1440" t="s">
        <v>13</v>
      </c>
      <c r="C1440" t="s">
        <v>23</v>
      </c>
      <c r="D1440" s="3">
        <v>45309</v>
      </c>
      <c r="E1440" s="2">
        <v>2711</v>
      </c>
    </row>
    <row r="1441" spans="1:5" x14ac:dyDescent="0.3">
      <c r="A1441" t="s">
        <v>15</v>
      </c>
      <c r="B1441" t="s">
        <v>6</v>
      </c>
      <c r="C1441" t="s">
        <v>25</v>
      </c>
      <c r="D1441" s="3">
        <v>45309</v>
      </c>
      <c r="E1441" s="2">
        <v>7226</v>
      </c>
    </row>
    <row r="1442" spans="1:5" x14ac:dyDescent="0.3">
      <c r="A1442" t="s">
        <v>10</v>
      </c>
      <c r="B1442" t="s">
        <v>16</v>
      </c>
      <c r="C1442" t="s">
        <v>12</v>
      </c>
      <c r="D1442" s="3">
        <v>45309</v>
      </c>
      <c r="E1442" s="2">
        <v>2255</v>
      </c>
    </row>
    <row r="1443" spans="1:5" x14ac:dyDescent="0.3">
      <c r="A1443" t="s">
        <v>8</v>
      </c>
      <c r="B1443" t="s">
        <v>9</v>
      </c>
      <c r="C1443" t="s">
        <v>12</v>
      </c>
      <c r="D1443" s="3">
        <v>45309</v>
      </c>
      <c r="E1443" s="2">
        <v>4056</v>
      </c>
    </row>
    <row r="1444" spans="1:5" x14ac:dyDescent="0.3">
      <c r="A1444" t="s">
        <v>24</v>
      </c>
      <c r="B1444" t="s">
        <v>16</v>
      </c>
      <c r="C1444" t="s">
        <v>12</v>
      </c>
      <c r="D1444" s="3">
        <v>45309</v>
      </c>
      <c r="E1444" s="2">
        <v>7099</v>
      </c>
    </row>
    <row r="1445" spans="1:5" x14ac:dyDescent="0.3">
      <c r="A1445" t="s">
        <v>20</v>
      </c>
      <c r="B1445" t="s">
        <v>21</v>
      </c>
      <c r="C1445" t="s">
        <v>23</v>
      </c>
      <c r="D1445" s="3">
        <v>45310</v>
      </c>
      <c r="E1445" s="2">
        <v>12145</v>
      </c>
    </row>
    <row r="1446" spans="1:5" x14ac:dyDescent="0.3">
      <c r="A1446" t="s">
        <v>26</v>
      </c>
      <c r="B1446" t="s">
        <v>11</v>
      </c>
      <c r="C1446" t="s">
        <v>23</v>
      </c>
      <c r="D1446" s="3">
        <v>45310</v>
      </c>
      <c r="E1446" s="2">
        <v>6408</v>
      </c>
    </row>
    <row r="1447" spans="1:5" x14ac:dyDescent="0.3">
      <c r="A1447" t="s">
        <v>8</v>
      </c>
      <c r="B1447" t="s">
        <v>9</v>
      </c>
      <c r="C1447" t="s">
        <v>25</v>
      </c>
      <c r="D1447" s="3">
        <v>45310</v>
      </c>
      <c r="E1447" s="2">
        <v>11167</v>
      </c>
    </row>
    <row r="1448" spans="1:5" x14ac:dyDescent="0.3">
      <c r="A1448" t="s">
        <v>24</v>
      </c>
      <c r="B1448" t="s">
        <v>11</v>
      </c>
      <c r="C1448" t="s">
        <v>25</v>
      </c>
      <c r="D1448" s="3">
        <v>45311</v>
      </c>
      <c r="E1448" s="2">
        <v>2777</v>
      </c>
    </row>
    <row r="1449" spans="1:5" x14ac:dyDescent="0.3">
      <c r="A1449" t="s">
        <v>33</v>
      </c>
      <c r="B1449" t="s">
        <v>9</v>
      </c>
      <c r="C1449" t="s">
        <v>28</v>
      </c>
      <c r="D1449" s="3">
        <v>45311</v>
      </c>
      <c r="E1449" s="2">
        <v>1195</v>
      </c>
    </row>
    <row r="1450" spans="1:5" x14ac:dyDescent="0.3">
      <c r="A1450" t="s">
        <v>32</v>
      </c>
      <c r="B1450" t="s">
        <v>11</v>
      </c>
      <c r="C1450" t="s">
        <v>12</v>
      </c>
      <c r="D1450" s="3">
        <v>45311</v>
      </c>
      <c r="E1450" s="2">
        <v>10757</v>
      </c>
    </row>
    <row r="1451" spans="1:5" x14ac:dyDescent="0.3">
      <c r="A1451" t="s">
        <v>8</v>
      </c>
      <c r="B1451" t="s">
        <v>6</v>
      </c>
      <c r="C1451" t="s">
        <v>25</v>
      </c>
      <c r="D1451" s="3">
        <v>45312</v>
      </c>
      <c r="E1451" s="2">
        <v>10355</v>
      </c>
    </row>
    <row r="1452" spans="1:5" x14ac:dyDescent="0.3">
      <c r="A1452" t="s">
        <v>32</v>
      </c>
      <c r="B1452" t="s">
        <v>21</v>
      </c>
      <c r="C1452" t="s">
        <v>23</v>
      </c>
      <c r="D1452" s="3">
        <v>45313</v>
      </c>
      <c r="E1452" s="2">
        <v>4063</v>
      </c>
    </row>
    <row r="1453" spans="1:5" x14ac:dyDescent="0.3">
      <c r="A1453" t="s">
        <v>30</v>
      </c>
      <c r="B1453" t="s">
        <v>11</v>
      </c>
      <c r="C1453" t="s">
        <v>23</v>
      </c>
      <c r="D1453" s="3">
        <v>45313</v>
      </c>
      <c r="E1453" s="2">
        <v>6940</v>
      </c>
    </row>
    <row r="1454" spans="1:5" x14ac:dyDescent="0.3">
      <c r="A1454" t="s">
        <v>29</v>
      </c>
      <c r="B1454" t="s">
        <v>9</v>
      </c>
      <c r="C1454" t="s">
        <v>28</v>
      </c>
      <c r="D1454" s="3">
        <v>45313</v>
      </c>
      <c r="E1454" s="2">
        <v>11454</v>
      </c>
    </row>
    <row r="1455" spans="1:5" x14ac:dyDescent="0.3">
      <c r="A1455" t="s">
        <v>8</v>
      </c>
      <c r="B1455" t="s">
        <v>16</v>
      </c>
      <c r="C1455" t="s">
        <v>28</v>
      </c>
      <c r="D1455" s="3">
        <v>45313</v>
      </c>
      <c r="E1455" s="2">
        <v>7770</v>
      </c>
    </row>
    <row r="1456" spans="1:5" x14ac:dyDescent="0.3">
      <c r="A1456" t="s">
        <v>20</v>
      </c>
      <c r="B1456" t="s">
        <v>6</v>
      </c>
      <c r="C1456" t="s">
        <v>12</v>
      </c>
      <c r="D1456" s="3">
        <v>45313</v>
      </c>
      <c r="E1456" s="2">
        <v>12408</v>
      </c>
    </row>
    <row r="1457" spans="1:5" x14ac:dyDescent="0.3">
      <c r="A1457" t="s">
        <v>27</v>
      </c>
      <c r="B1457" t="s">
        <v>9</v>
      </c>
      <c r="C1457" t="s">
        <v>14</v>
      </c>
      <c r="D1457" s="3">
        <v>45314</v>
      </c>
      <c r="E1457" s="2">
        <v>2625</v>
      </c>
    </row>
    <row r="1458" spans="1:5" x14ac:dyDescent="0.3">
      <c r="A1458" t="s">
        <v>32</v>
      </c>
      <c r="B1458" t="s">
        <v>13</v>
      </c>
      <c r="C1458" t="s">
        <v>23</v>
      </c>
      <c r="D1458" s="3">
        <v>45314</v>
      </c>
      <c r="E1458" s="2">
        <v>12674</v>
      </c>
    </row>
    <row r="1459" spans="1:5" x14ac:dyDescent="0.3">
      <c r="A1459" t="s">
        <v>30</v>
      </c>
      <c r="B1459" t="s">
        <v>6</v>
      </c>
      <c r="C1459" t="s">
        <v>23</v>
      </c>
      <c r="D1459" s="3">
        <v>45314</v>
      </c>
      <c r="E1459" s="2">
        <v>11831</v>
      </c>
    </row>
    <row r="1460" spans="1:5" x14ac:dyDescent="0.3">
      <c r="A1460" t="s">
        <v>8</v>
      </c>
      <c r="B1460" t="s">
        <v>6</v>
      </c>
      <c r="C1460" t="s">
        <v>7</v>
      </c>
      <c r="D1460" s="3">
        <v>45314</v>
      </c>
      <c r="E1460" s="2">
        <v>13222</v>
      </c>
    </row>
    <row r="1461" spans="1:5" x14ac:dyDescent="0.3">
      <c r="A1461" t="s">
        <v>15</v>
      </c>
      <c r="B1461" t="s">
        <v>13</v>
      </c>
      <c r="C1461" t="s">
        <v>12</v>
      </c>
      <c r="D1461" s="3">
        <v>45314</v>
      </c>
      <c r="E1461" s="2">
        <v>11437</v>
      </c>
    </row>
    <row r="1462" spans="1:5" x14ac:dyDescent="0.3">
      <c r="A1462" t="s">
        <v>33</v>
      </c>
      <c r="B1462" t="s">
        <v>9</v>
      </c>
      <c r="C1462" t="s">
        <v>14</v>
      </c>
      <c r="D1462" s="3">
        <v>45315</v>
      </c>
      <c r="E1462" s="2">
        <v>11245</v>
      </c>
    </row>
    <row r="1463" spans="1:5" x14ac:dyDescent="0.3">
      <c r="A1463" t="s">
        <v>22</v>
      </c>
      <c r="B1463" t="s">
        <v>21</v>
      </c>
      <c r="C1463" t="s">
        <v>19</v>
      </c>
      <c r="D1463" s="3">
        <v>45315</v>
      </c>
      <c r="E1463" s="2">
        <v>12076</v>
      </c>
    </row>
    <row r="1464" spans="1:5" x14ac:dyDescent="0.3">
      <c r="A1464" t="s">
        <v>10</v>
      </c>
      <c r="B1464" t="s">
        <v>6</v>
      </c>
      <c r="C1464" t="s">
        <v>23</v>
      </c>
      <c r="D1464" s="3">
        <v>45316</v>
      </c>
      <c r="E1464" s="2">
        <v>4966</v>
      </c>
    </row>
    <row r="1465" spans="1:5" x14ac:dyDescent="0.3">
      <c r="A1465" t="s">
        <v>32</v>
      </c>
      <c r="B1465" t="s">
        <v>9</v>
      </c>
      <c r="C1465" t="s">
        <v>25</v>
      </c>
      <c r="D1465" s="3">
        <v>45316</v>
      </c>
      <c r="E1465" s="2">
        <v>9309</v>
      </c>
    </row>
    <row r="1466" spans="1:5" x14ac:dyDescent="0.3">
      <c r="A1466" t="s">
        <v>10</v>
      </c>
      <c r="B1466" t="s">
        <v>6</v>
      </c>
      <c r="C1466" t="s">
        <v>7</v>
      </c>
      <c r="D1466" s="3">
        <v>45316</v>
      </c>
      <c r="E1466" s="2">
        <v>3365</v>
      </c>
    </row>
    <row r="1467" spans="1:5" x14ac:dyDescent="0.3">
      <c r="A1467" t="s">
        <v>22</v>
      </c>
      <c r="B1467" t="s">
        <v>11</v>
      </c>
      <c r="C1467" t="s">
        <v>7</v>
      </c>
      <c r="D1467" s="3">
        <v>45316</v>
      </c>
      <c r="E1467" s="2">
        <v>2847</v>
      </c>
    </row>
    <row r="1468" spans="1:5" x14ac:dyDescent="0.3">
      <c r="A1468" t="s">
        <v>18</v>
      </c>
      <c r="B1468" t="s">
        <v>11</v>
      </c>
      <c r="C1468" t="s">
        <v>17</v>
      </c>
      <c r="D1468" s="3">
        <v>45316</v>
      </c>
      <c r="E1468" s="2">
        <v>10714</v>
      </c>
    </row>
    <row r="1469" spans="1:5" x14ac:dyDescent="0.3">
      <c r="A1469" t="s">
        <v>10</v>
      </c>
      <c r="B1469" t="s">
        <v>16</v>
      </c>
      <c r="C1469" t="s">
        <v>12</v>
      </c>
      <c r="D1469" s="3">
        <v>45316</v>
      </c>
      <c r="E1469" s="2">
        <v>13965</v>
      </c>
    </row>
    <row r="1470" spans="1:5" x14ac:dyDescent="0.3">
      <c r="A1470" t="s">
        <v>33</v>
      </c>
      <c r="B1470" t="s">
        <v>6</v>
      </c>
      <c r="C1470" t="s">
        <v>12</v>
      </c>
      <c r="D1470" s="3">
        <v>45316</v>
      </c>
      <c r="E1470" s="2">
        <v>2841</v>
      </c>
    </row>
    <row r="1471" spans="1:5" x14ac:dyDescent="0.3">
      <c r="A1471" t="s">
        <v>18</v>
      </c>
      <c r="B1471" t="s">
        <v>9</v>
      </c>
      <c r="C1471" t="s">
        <v>14</v>
      </c>
      <c r="D1471" s="3">
        <v>45317</v>
      </c>
      <c r="E1471" s="2">
        <v>9998</v>
      </c>
    </row>
    <row r="1472" spans="1:5" x14ac:dyDescent="0.3">
      <c r="A1472" t="s">
        <v>29</v>
      </c>
      <c r="B1472" t="s">
        <v>13</v>
      </c>
      <c r="C1472" t="s">
        <v>23</v>
      </c>
      <c r="D1472" s="3">
        <v>45317</v>
      </c>
      <c r="E1472" s="2">
        <v>10019</v>
      </c>
    </row>
    <row r="1473" spans="1:5" x14ac:dyDescent="0.3">
      <c r="A1473" t="s">
        <v>8</v>
      </c>
      <c r="B1473" t="s">
        <v>16</v>
      </c>
      <c r="C1473" t="s">
        <v>28</v>
      </c>
      <c r="D1473" s="3">
        <v>45317</v>
      </c>
      <c r="E1473" s="2">
        <v>12072</v>
      </c>
    </row>
    <row r="1474" spans="1:5" x14ac:dyDescent="0.3">
      <c r="A1474" t="s">
        <v>5</v>
      </c>
      <c r="B1474" t="s">
        <v>11</v>
      </c>
      <c r="C1474" t="s">
        <v>17</v>
      </c>
      <c r="D1474" s="3">
        <v>45317</v>
      </c>
      <c r="E1474" s="2">
        <v>6881</v>
      </c>
    </row>
    <row r="1475" spans="1:5" x14ac:dyDescent="0.3">
      <c r="A1475" t="s">
        <v>5</v>
      </c>
      <c r="B1475" t="s">
        <v>21</v>
      </c>
      <c r="C1475" t="s">
        <v>12</v>
      </c>
      <c r="D1475" s="3">
        <v>45317</v>
      </c>
      <c r="E1475" s="2">
        <v>4414</v>
      </c>
    </row>
    <row r="1476" spans="1:5" x14ac:dyDescent="0.3">
      <c r="A1476" t="s">
        <v>8</v>
      </c>
      <c r="B1476" t="s">
        <v>11</v>
      </c>
      <c r="C1476" t="s">
        <v>12</v>
      </c>
      <c r="D1476" s="3">
        <v>45317</v>
      </c>
      <c r="E1476" s="2">
        <v>6083</v>
      </c>
    </row>
    <row r="1477" spans="1:5" x14ac:dyDescent="0.3">
      <c r="A1477" t="s">
        <v>8</v>
      </c>
      <c r="B1477" t="s">
        <v>9</v>
      </c>
      <c r="C1477" t="s">
        <v>23</v>
      </c>
      <c r="D1477" s="3">
        <v>45318</v>
      </c>
      <c r="E1477" s="2">
        <v>5648</v>
      </c>
    </row>
    <row r="1478" spans="1:5" x14ac:dyDescent="0.3">
      <c r="A1478" t="s">
        <v>26</v>
      </c>
      <c r="B1478" t="s">
        <v>6</v>
      </c>
      <c r="C1478" t="s">
        <v>28</v>
      </c>
      <c r="D1478" s="3">
        <v>45318</v>
      </c>
      <c r="E1478" s="2">
        <v>1932</v>
      </c>
    </row>
    <row r="1479" spans="1:5" x14ac:dyDescent="0.3">
      <c r="A1479" t="s">
        <v>29</v>
      </c>
      <c r="B1479" t="s">
        <v>6</v>
      </c>
      <c r="C1479" t="s">
        <v>17</v>
      </c>
      <c r="D1479" s="3">
        <v>45318</v>
      </c>
      <c r="E1479" s="2">
        <v>4466</v>
      </c>
    </row>
    <row r="1480" spans="1:5" x14ac:dyDescent="0.3">
      <c r="A1480" t="s">
        <v>20</v>
      </c>
      <c r="B1480" t="s">
        <v>9</v>
      </c>
      <c r="C1480" t="s">
        <v>19</v>
      </c>
      <c r="D1480" s="3">
        <v>45319</v>
      </c>
      <c r="E1480" s="2">
        <v>8317</v>
      </c>
    </row>
    <row r="1481" spans="1:5" x14ac:dyDescent="0.3">
      <c r="A1481" t="s">
        <v>29</v>
      </c>
      <c r="B1481" t="s">
        <v>13</v>
      </c>
      <c r="C1481" t="s">
        <v>7</v>
      </c>
      <c r="D1481" s="3">
        <v>45319</v>
      </c>
      <c r="E1481" s="2">
        <v>3212</v>
      </c>
    </row>
    <row r="1482" spans="1:5" x14ac:dyDescent="0.3">
      <c r="A1482" t="s">
        <v>15</v>
      </c>
      <c r="B1482" t="s">
        <v>21</v>
      </c>
      <c r="C1482" t="s">
        <v>14</v>
      </c>
      <c r="D1482" s="3">
        <v>45320</v>
      </c>
      <c r="E1482" s="2">
        <v>10664</v>
      </c>
    </row>
    <row r="1483" spans="1:5" x14ac:dyDescent="0.3">
      <c r="A1483" t="s">
        <v>22</v>
      </c>
      <c r="B1483" t="s">
        <v>6</v>
      </c>
      <c r="C1483" t="s">
        <v>23</v>
      </c>
      <c r="D1483" s="3">
        <v>45320</v>
      </c>
      <c r="E1483" s="2">
        <v>12783</v>
      </c>
    </row>
    <row r="1484" spans="1:5" x14ac:dyDescent="0.3">
      <c r="A1484" t="s">
        <v>29</v>
      </c>
      <c r="B1484" t="s">
        <v>13</v>
      </c>
      <c r="C1484" t="s">
        <v>25</v>
      </c>
      <c r="D1484" s="3">
        <v>45320</v>
      </c>
      <c r="E1484" s="2">
        <v>6558</v>
      </c>
    </row>
    <row r="1485" spans="1:5" x14ac:dyDescent="0.3">
      <c r="A1485" t="s">
        <v>5</v>
      </c>
      <c r="B1485" t="s">
        <v>21</v>
      </c>
      <c r="C1485" t="s">
        <v>7</v>
      </c>
      <c r="D1485" s="3">
        <v>45320</v>
      </c>
      <c r="E1485" s="2">
        <v>7410</v>
      </c>
    </row>
    <row r="1486" spans="1:5" x14ac:dyDescent="0.3">
      <c r="A1486" t="s">
        <v>27</v>
      </c>
      <c r="B1486" t="s">
        <v>6</v>
      </c>
      <c r="C1486" t="s">
        <v>12</v>
      </c>
      <c r="D1486" s="3">
        <v>45320</v>
      </c>
      <c r="E1486" s="2">
        <v>13831</v>
      </c>
    </row>
    <row r="1487" spans="1:5" x14ac:dyDescent="0.3">
      <c r="A1487" t="s">
        <v>24</v>
      </c>
      <c r="B1487" t="s">
        <v>13</v>
      </c>
      <c r="C1487" t="s">
        <v>25</v>
      </c>
      <c r="D1487" s="3">
        <v>45321</v>
      </c>
      <c r="E1487" s="2">
        <v>11971</v>
      </c>
    </row>
    <row r="1488" spans="1:5" x14ac:dyDescent="0.3">
      <c r="A1488" t="s">
        <v>24</v>
      </c>
      <c r="B1488" t="s">
        <v>6</v>
      </c>
      <c r="C1488" t="s">
        <v>14</v>
      </c>
      <c r="D1488" s="3">
        <v>45322</v>
      </c>
      <c r="E1488" s="2">
        <v>9373</v>
      </c>
    </row>
    <row r="1489" spans="1:5" x14ac:dyDescent="0.3">
      <c r="A1489" t="s">
        <v>20</v>
      </c>
      <c r="B1489" t="s">
        <v>16</v>
      </c>
      <c r="C1489" t="s">
        <v>14</v>
      </c>
      <c r="D1489" s="3">
        <v>45322</v>
      </c>
      <c r="E1489" s="2">
        <v>13782</v>
      </c>
    </row>
    <row r="1490" spans="1:5" x14ac:dyDescent="0.3">
      <c r="A1490" t="s">
        <v>31</v>
      </c>
      <c r="B1490" t="s">
        <v>21</v>
      </c>
      <c r="C1490" t="s">
        <v>25</v>
      </c>
      <c r="D1490" s="3">
        <v>45322</v>
      </c>
      <c r="E1490" s="2">
        <v>3294</v>
      </c>
    </row>
    <row r="1491" spans="1:5" x14ac:dyDescent="0.3">
      <c r="A1491" t="s">
        <v>18</v>
      </c>
      <c r="B1491" t="s">
        <v>21</v>
      </c>
      <c r="C1491" t="s">
        <v>19</v>
      </c>
      <c r="D1491" s="3">
        <v>45323</v>
      </c>
      <c r="E1491" s="2">
        <v>5975</v>
      </c>
    </row>
    <row r="1492" spans="1:5" x14ac:dyDescent="0.3">
      <c r="A1492" t="s">
        <v>24</v>
      </c>
      <c r="B1492" t="s">
        <v>6</v>
      </c>
      <c r="C1492" t="s">
        <v>19</v>
      </c>
      <c r="D1492" s="3">
        <v>45323</v>
      </c>
      <c r="E1492" s="2">
        <v>9986</v>
      </c>
    </row>
    <row r="1493" spans="1:5" x14ac:dyDescent="0.3">
      <c r="A1493" t="s">
        <v>8</v>
      </c>
      <c r="B1493" t="s">
        <v>21</v>
      </c>
      <c r="C1493" t="s">
        <v>25</v>
      </c>
      <c r="D1493" s="3">
        <v>45323</v>
      </c>
      <c r="E1493" s="2">
        <v>10455</v>
      </c>
    </row>
    <row r="1494" spans="1:5" x14ac:dyDescent="0.3">
      <c r="A1494" t="s">
        <v>24</v>
      </c>
      <c r="B1494" t="s">
        <v>9</v>
      </c>
      <c r="C1494" t="s">
        <v>28</v>
      </c>
      <c r="D1494" s="3">
        <v>45323</v>
      </c>
      <c r="E1494" s="2">
        <v>6110</v>
      </c>
    </row>
    <row r="1495" spans="1:5" x14ac:dyDescent="0.3">
      <c r="A1495" t="s">
        <v>27</v>
      </c>
      <c r="B1495" t="s">
        <v>16</v>
      </c>
      <c r="C1495" t="s">
        <v>12</v>
      </c>
      <c r="D1495" s="3">
        <v>45323</v>
      </c>
      <c r="E1495" s="2">
        <v>12934</v>
      </c>
    </row>
    <row r="1496" spans="1:5" x14ac:dyDescent="0.3">
      <c r="A1496" t="s">
        <v>24</v>
      </c>
      <c r="B1496" t="s">
        <v>21</v>
      </c>
      <c r="C1496" t="s">
        <v>19</v>
      </c>
      <c r="D1496" s="3">
        <v>45324</v>
      </c>
      <c r="E1496" s="2">
        <v>2728</v>
      </c>
    </row>
    <row r="1497" spans="1:5" x14ac:dyDescent="0.3">
      <c r="A1497" t="s">
        <v>32</v>
      </c>
      <c r="B1497" t="s">
        <v>21</v>
      </c>
      <c r="C1497" t="s">
        <v>25</v>
      </c>
      <c r="D1497" s="3">
        <v>45325</v>
      </c>
      <c r="E1497" s="2">
        <v>9183</v>
      </c>
    </row>
    <row r="1498" spans="1:5" x14ac:dyDescent="0.3">
      <c r="A1498" t="s">
        <v>27</v>
      </c>
      <c r="B1498" t="s">
        <v>6</v>
      </c>
      <c r="C1498" t="s">
        <v>28</v>
      </c>
      <c r="D1498" s="3">
        <v>45325</v>
      </c>
      <c r="E1498" s="2">
        <v>3327</v>
      </c>
    </row>
    <row r="1499" spans="1:5" x14ac:dyDescent="0.3">
      <c r="A1499" t="s">
        <v>26</v>
      </c>
      <c r="B1499" t="s">
        <v>11</v>
      </c>
      <c r="C1499" t="s">
        <v>28</v>
      </c>
      <c r="D1499" s="3">
        <v>45325</v>
      </c>
      <c r="E1499" s="2">
        <v>12096</v>
      </c>
    </row>
    <row r="1500" spans="1:5" x14ac:dyDescent="0.3">
      <c r="A1500" t="s">
        <v>30</v>
      </c>
      <c r="B1500" t="s">
        <v>13</v>
      </c>
      <c r="C1500" t="s">
        <v>14</v>
      </c>
      <c r="D1500" s="3">
        <v>45326</v>
      </c>
      <c r="E1500" s="2">
        <v>8289</v>
      </c>
    </row>
    <row r="1501" spans="1:5" x14ac:dyDescent="0.3">
      <c r="A1501" t="s">
        <v>24</v>
      </c>
      <c r="B1501" t="s">
        <v>11</v>
      </c>
      <c r="C1501" t="s">
        <v>23</v>
      </c>
      <c r="D1501" s="3">
        <v>45326</v>
      </c>
      <c r="E1501" s="2">
        <v>12579</v>
      </c>
    </row>
    <row r="1502" spans="1:5" x14ac:dyDescent="0.3">
      <c r="A1502" t="s">
        <v>32</v>
      </c>
      <c r="B1502" t="s">
        <v>6</v>
      </c>
      <c r="C1502" t="s">
        <v>25</v>
      </c>
      <c r="D1502" s="3">
        <v>45326</v>
      </c>
      <c r="E1502" s="2">
        <v>3926</v>
      </c>
    </row>
    <row r="1503" spans="1:5" x14ac:dyDescent="0.3">
      <c r="A1503" t="s">
        <v>10</v>
      </c>
      <c r="B1503" t="s">
        <v>16</v>
      </c>
      <c r="C1503" t="s">
        <v>7</v>
      </c>
      <c r="D1503" s="3">
        <v>45326</v>
      </c>
      <c r="E1503" s="2">
        <v>5313</v>
      </c>
    </row>
    <row r="1504" spans="1:5" x14ac:dyDescent="0.3">
      <c r="A1504" t="s">
        <v>10</v>
      </c>
      <c r="B1504" t="s">
        <v>11</v>
      </c>
      <c r="C1504" t="s">
        <v>28</v>
      </c>
      <c r="D1504" s="3">
        <v>45327</v>
      </c>
      <c r="E1504" s="2">
        <v>1587</v>
      </c>
    </row>
    <row r="1505" spans="1:5" x14ac:dyDescent="0.3">
      <c r="A1505" t="s">
        <v>22</v>
      </c>
      <c r="B1505" t="s">
        <v>6</v>
      </c>
      <c r="C1505" t="s">
        <v>28</v>
      </c>
      <c r="D1505" s="3">
        <v>45327</v>
      </c>
      <c r="E1505" s="2">
        <v>12056</v>
      </c>
    </row>
    <row r="1506" spans="1:5" x14ac:dyDescent="0.3">
      <c r="A1506" t="s">
        <v>5</v>
      </c>
      <c r="B1506" t="s">
        <v>13</v>
      </c>
      <c r="C1506" t="s">
        <v>28</v>
      </c>
      <c r="D1506" s="3">
        <v>45327</v>
      </c>
      <c r="E1506" s="2">
        <v>11892</v>
      </c>
    </row>
    <row r="1507" spans="1:5" x14ac:dyDescent="0.3">
      <c r="A1507" t="s">
        <v>27</v>
      </c>
      <c r="B1507" t="s">
        <v>11</v>
      </c>
      <c r="C1507" t="s">
        <v>17</v>
      </c>
      <c r="D1507" s="3">
        <v>45327</v>
      </c>
      <c r="E1507" s="2">
        <v>10203</v>
      </c>
    </row>
    <row r="1508" spans="1:5" x14ac:dyDescent="0.3">
      <c r="A1508" t="s">
        <v>24</v>
      </c>
      <c r="B1508" t="s">
        <v>13</v>
      </c>
      <c r="C1508" t="s">
        <v>25</v>
      </c>
      <c r="D1508" s="3">
        <v>45328</v>
      </c>
      <c r="E1508" s="2">
        <v>2147</v>
      </c>
    </row>
    <row r="1509" spans="1:5" x14ac:dyDescent="0.3">
      <c r="A1509" t="s">
        <v>27</v>
      </c>
      <c r="B1509" t="s">
        <v>6</v>
      </c>
      <c r="C1509" t="s">
        <v>25</v>
      </c>
      <c r="D1509" s="3">
        <v>45328</v>
      </c>
      <c r="E1509" s="2">
        <v>6607</v>
      </c>
    </row>
    <row r="1510" spans="1:5" x14ac:dyDescent="0.3">
      <c r="A1510" t="s">
        <v>5</v>
      </c>
      <c r="B1510" t="s">
        <v>16</v>
      </c>
      <c r="C1510" t="s">
        <v>7</v>
      </c>
      <c r="D1510" s="3">
        <v>45328</v>
      </c>
      <c r="E1510" s="2">
        <v>7221</v>
      </c>
    </row>
    <row r="1511" spans="1:5" x14ac:dyDescent="0.3">
      <c r="A1511" t="s">
        <v>24</v>
      </c>
      <c r="B1511" t="s">
        <v>6</v>
      </c>
      <c r="C1511" t="s">
        <v>7</v>
      </c>
      <c r="D1511" s="3">
        <v>45328</v>
      </c>
      <c r="E1511" s="2">
        <v>11411</v>
      </c>
    </row>
    <row r="1512" spans="1:5" x14ac:dyDescent="0.3">
      <c r="A1512" t="s">
        <v>20</v>
      </c>
      <c r="B1512" t="s">
        <v>21</v>
      </c>
      <c r="C1512" t="s">
        <v>28</v>
      </c>
      <c r="D1512" s="3">
        <v>45328</v>
      </c>
      <c r="E1512" s="2">
        <v>3169</v>
      </c>
    </row>
    <row r="1513" spans="1:5" x14ac:dyDescent="0.3">
      <c r="A1513" t="s">
        <v>10</v>
      </c>
      <c r="B1513" t="s">
        <v>6</v>
      </c>
      <c r="C1513" t="s">
        <v>17</v>
      </c>
      <c r="D1513" s="3">
        <v>45328</v>
      </c>
      <c r="E1513" s="2">
        <v>2877</v>
      </c>
    </row>
    <row r="1514" spans="1:5" x14ac:dyDescent="0.3">
      <c r="A1514" t="s">
        <v>15</v>
      </c>
      <c r="B1514" t="s">
        <v>13</v>
      </c>
      <c r="C1514" t="s">
        <v>14</v>
      </c>
      <c r="D1514" s="3">
        <v>45329</v>
      </c>
      <c r="E1514" s="2">
        <v>7885</v>
      </c>
    </row>
    <row r="1515" spans="1:5" x14ac:dyDescent="0.3">
      <c r="A1515" t="s">
        <v>10</v>
      </c>
      <c r="B1515" t="s">
        <v>13</v>
      </c>
      <c r="C1515" t="s">
        <v>7</v>
      </c>
      <c r="D1515" s="3">
        <v>45329</v>
      </c>
      <c r="E1515" s="2">
        <v>5604</v>
      </c>
    </row>
    <row r="1516" spans="1:5" x14ac:dyDescent="0.3">
      <c r="A1516" t="s">
        <v>29</v>
      </c>
      <c r="B1516" t="s">
        <v>21</v>
      </c>
      <c r="C1516" t="s">
        <v>28</v>
      </c>
      <c r="D1516" s="3">
        <v>45329</v>
      </c>
      <c r="E1516" s="2">
        <v>2682</v>
      </c>
    </row>
    <row r="1517" spans="1:5" x14ac:dyDescent="0.3">
      <c r="A1517" t="s">
        <v>29</v>
      </c>
      <c r="B1517" t="s">
        <v>6</v>
      </c>
      <c r="C1517" t="s">
        <v>19</v>
      </c>
      <c r="D1517" s="3">
        <v>45330</v>
      </c>
      <c r="E1517" s="2">
        <v>7658</v>
      </c>
    </row>
    <row r="1518" spans="1:5" x14ac:dyDescent="0.3">
      <c r="A1518" t="s">
        <v>31</v>
      </c>
      <c r="B1518" t="s">
        <v>21</v>
      </c>
      <c r="C1518" t="s">
        <v>19</v>
      </c>
      <c r="D1518" s="3">
        <v>45330</v>
      </c>
      <c r="E1518" s="2">
        <v>4406</v>
      </c>
    </row>
    <row r="1519" spans="1:5" x14ac:dyDescent="0.3">
      <c r="A1519" t="s">
        <v>8</v>
      </c>
      <c r="B1519" t="s">
        <v>16</v>
      </c>
      <c r="C1519" t="s">
        <v>7</v>
      </c>
      <c r="D1519" s="3">
        <v>45330</v>
      </c>
      <c r="E1519" s="2">
        <v>2876</v>
      </c>
    </row>
    <row r="1520" spans="1:5" x14ac:dyDescent="0.3">
      <c r="A1520" t="s">
        <v>5</v>
      </c>
      <c r="B1520" t="s">
        <v>6</v>
      </c>
      <c r="C1520" t="s">
        <v>17</v>
      </c>
      <c r="D1520" s="3">
        <v>45330</v>
      </c>
      <c r="E1520" s="2">
        <v>13595</v>
      </c>
    </row>
    <row r="1521" spans="1:5" x14ac:dyDescent="0.3">
      <c r="A1521" t="s">
        <v>33</v>
      </c>
      <c r="B1521" t="s">
        <v>6</v>
      </c>
      <c r="C1521" t="s">
        <v>12</v>
      </c>
      <c r="D1521" s="3">
        <v>45330</v>
      </c>
      <c r="E1521" s="2">
        <v>9175</v>
      </c>
    </row>
    <row r="1522" spans="1:5" x14ac:dyDescent="0.3">
      <c r="A1522" t="s">
        <v>20</v>
      </c>
      <c r="B1522" t="s">
        <v>11</v>
      </c>
      <c r="C1522" t="s">
        <v>14</v>
      </c>
      <c r="D1522" s="3">
        <v>45331</v>
      </c>
      <c r="E1522" s="2">
        <v>1949</v>
      </c>
    </row>
    <row r="1523" spans="1:5" x14ac:dyDescent="0.3">
      <c r="A1523" t="s">
        <v>32</v>
      </c>
      <c r="B1523" t="s">
        <v>6</v>
      </c>
      <c r="C1523" t="s">
        <v>23</v>
      </c>
      <c r="D1523" s="3">
        <v>45331</v>
      </c>
      <c r="E1523" s="2">
        <v>5749</v>
      </c>
    </row>
    <row r="1524" spans="1:5" x14ac:dyDescent="0.3">
      <c r="A1524" t="s">
        <v>20</v>
      </c>
      <c r="B1524" t="s">
        <v>9</v>
      </c>
      <c r="C1524" t="s">
        <v>19</v>
      </c>
      <c r="D1524" s="3">
        <v>45332</v>
      </c>
      <c r="E1524" s="2">
        <v>4813</v>
      </c>
    </row>
    <row r="1525" spans="1:5" x14ac:dyDescent="0.3">
      <c r="A1525" t="s">
        <v>18</v>
      </c>
      <c r="B1525" t="s">
        <v>11</v>
      </c>
      <c r="C1525" t="s">
        <v>23</v>
      </c>
      <c r="D1525" s="3">
        <v>45332</v>
      </c>
      <c r="E1525" s="2">
        <v>7002</v>
      </c>
    </row>
    <row r="1526" spans="1:5" x14ac:dyDescent="0.3">
      <c r="A1526" t="s">
        <v>27</v>
      </c>
      <c r="B1526" t="s">
        <v>16</v>
      </c>
      <c r="C1526" t="s">
        <v>12</v>
      </c>
      <c r="D1526" s="3">
        <v>45332</v>
      </c>
      <c r="E1526" s="2">
        <v>9369</v>
      </c>
    </row>
    <row r="1527" spans="1:5" x14ac:dyDescent="0.3">
      <c r="A1527" t="s">
        <v>30</v>
      </c>
      <c r="B1527" t="s">
        <v>11</v>
      </c>
      <c r="C1527" t="s">
        <v>12</v>
      </c>
      <c r="D1527" s="3">
        <v>45333</v>
      </c>
      <c r="E1527" s="2">
        <v>12616</v>
      </c>
    </row>
    <row r="1528" spans="1:5" x14ac:dyDescent="0.3">
      <c r="A1528" t="s">
        <v>15</v>
      </c>
      <c r="B1528" t="s">
        <v>6</v>
      </c>
      <c r="C1528" t="s">
        <v>19</v>
      </c>
      <c r="D1528" s="3">
        <v>45334</v>
      </c>
      <c r="E1528" s="2">
        <v>6131</v>
      </c>
    </row>
    <row r="1529" spans="1:5" x14ac:dyDescent="0.3">
      <c r="A1529" t="s">
        <v>32</v>
      </c>
      <c r="B1529" t="s">
        <v>16</v>
      </c>
      <c r="C1529" t="s">
        <v>7</v>
      </c>
      <c r="D1529" s="3">
        <v>45334</v>
      </c>
      <c r="E1529" s="2">
        <v>10099</v>
      </c>
    </row>
    <row r="1530" spans="1:5" x14ac:dyDescent="0.3">
      <c r="A1530" t="s">
        <v>5</v>
      </c>
      <c r="B1530" t="s">
        <v>9</v>
      </c>
      <c r="C1530" t="s">
        <v>7</v>
      </c>
      <c r="D1530" s="3">
        <v>45334</v>
      </c>
      <c r="E1530" s="2">
        <v>13731</v>
      </c>
    </row>
    <row r="1531" spans="1:5" x14ac:dyDescent="0.3">
      <c r="A1531" t="s">
        <v>20</v>
      </c>
      <c r="B1531" t="s">
        <v>13</v>
      </c>
      <c r="C1531" t="s">
        <v>14</v>
      </c>
      <c r="D1531" s="3">
        <v>45335</v>
      </c>
      <c r="E1531" s="2">
        <v>9193</v>
      </c>
    </row>
    <row r="1532" spans="1:5" x14ac:dyDescent="0.3">
      <c r="A1532" t="s">
        <v>26</v>
      </c>
      <c r="B1532" t="s">
        <v>13</v>
      </c>
      <c r="C1532" t="s">
        <v>7</v>
      </c>
      <c r="D1532" s="3">
        <v>45335</v>
      </c>
      <c r="E1532" s="2">
        <v>12749</v>
      </c>
    </row>
    <row r="1533" spans="1:5" x14ac:dyDescent="0.3">
      <c r="A1533" t="s">
        <v>26</v>
      </c>
      <c r="B1533" t="s">
        <v>13</v>
      </c>
      <c r="C1533" t="s">
        <v>7</v>
      </c>
      <c r="D1533" s="3">
        <v>45335</v>
      </c>
      <c r="E1533" s="2">
        <v>10153</v>
      </c>
    </row>
    <row r="1534" spans="1:5" x14ac:dyDescent="0.3">
      <c r="A1534" t="s">
        <v>10</v>
      </c>
      <c r="B1534" t="s">
        <v>9</v>
      </c>
      <c r="C1534" t="s">
        <v>17</v>
      </c>
      <c r="D1534" s="3">
        <v>45335</v>
      </c>
      <c r="E1534" s="2">
        <v>8102</v>
      </c>
    </row>
    <row r="1535" spans="1:5" x14ac:dyDescent="0.3">
      <c r="A1535" t="s">
        <v>29</v>
      </c>
      <c r="B1535" t="s">
        <v>13</v>
      </c>
      <c r="C1535" t="s">
        <v>23</v>
      </c>
      <c r="D1535" s="3">
        <v>45336</v>
      </c>
      <c r="E1535" s="2">
        <v>6637</v>
      </c>
    </row>
    <row r="1536" spans="1:5" x14ac:dyDescent="0.3">
      <c r="A1536" t="s">
        <v>20</v>
      </c>
      <c r="B1536" t="s">
        <v>13</v>
      </c>
      <c r="C1536" t="s">
        <v>7</v>
      </c>
      <c r="D1536" s="3">
        <v>45336</v>
      </c>
      <c r="E1536" s="2">
        <v>10681</v>
      </c>
    </row>
    <row r="1537" spans="1:5" x14ac:dyDescent="0.3">
      <c r="A1537" t="s">
        <v>30</v>
      </c>
      <c r="B1537" t="s">
        <v>13</v>
      </c>
      <c r="C1537" t="s">
        <v>28</v>
      </c>
      <c r="D1537" s="3">
        <v>45336</v>
      </c>
      <c r="E1537" s="2">
        <v>3395</v>
      </c>
    </row>
    <row r="1538" spans="1:5" x14ac:dyDescent="0.3">
      <c r="A1538" t="s">
        <v>30</v>
      </c>
      <c r="B1538" t="s">
        <v>21</v>
      </c>
      <c r="C1538" t="s">
        <v>23</v>
      </c>
      <c r="D1538" s="3">
        <v>45337</v>
      </c>
      <c r="E1538" s="2">
        <v>8479</v>
      </c>
    </row>
    <row r="1539" spans="1:5" x14ac:dyDescent="0.3">
      <c r="A1539" t="s">
        <v>10</v>
      </c>
      <c r="B1539" t="s">
        <v>16</v>
      </c>
      <c r="C1539" t="s">
        <v>23</v>
      </c>
      <c r="D1539" s="3">
        <v>45337</v>
      </c>
      <c r="E1539" s="2">
        <v>2616</v>
      </c>
    </row>
    <row r="1540" spans="1:5" x14ac:dyDescent="0.3">
      <c r="A1540" t="s">
        <v>26</v>
      </c>
      <c r="B1540" t="s">
        <v>13</v>
      </c>
      <c r="C1540" t="s">
        <v>7</v>
      </c>
      <c r="D1540" s="3">
        <v>45337</v>
      </c>
      <c r="E1540" s="2">
        <v>4764</v>
      </c>
    </row>
    <row r="1541" spans="1:5" x14ac:dyDescent="0.3">
      <c r="A1541" t="s">
        <v>30</v>
      </c>
      <c r="B1541" t="s">
        <v>6</v>
      </c>
      <c r="C1541" t="s">
        <v>17</v>
      </c>
      <c r="D1541" s="3">
        <v>45337</v>
      </c>
      <c r="E1541" s="2">
        <v>1971</v>
      </c>
    </row>
    <row r="1542" spans="1:5" x14ac:dyDescent="0.3">
      <c r="A1542" t="s">
        <v>29</v>
      </c>
      <c r="B1542" t="s">
        <v>16</v>
      </c>
      <c r="C1542" t="s">
        <v>12</v>
      </c>
      <c r="D1542" s="3">
        <v>45337</v>
      </c>
      <c r="E1542" s="2">
        <v>4954</v>
      </c>
    </row>
    <row r="1543" spans="1:5" x14ac:dyDescent="0.3">
      <c r="A1543" t="s">
        <v>31</v>
      </c>
      <c r="B1543" t="s">
        <v>9</v>
      </c>
      <c r="C1543" t="s">
        <v>23</v>
      </c>
      <c r="D1543" s="3">
        <v>45338</v>
      </c>
      <c r="E1543" s="2">
        <v>10537</v>
      </c>
    </row>
    <row r="1544" spans="1:5" x14ac:dyDescent="0.3">
      <c r="A1544" t="s">
        <v>22</v>
      </c>
      <c r="B1544" t="s">
        <v>11</v>
      </c>
      <c r="C1544" t="s">
        <v>25</v>
      </c>
      <c r="D1544" s="3">
        <v>45338</v>
      </c>
      <c r="E1544" s="2">
        <v>2529</v>
      </c>
    </row>
    <row r="1545" spans="1:5" x14ac:dyDescent="0.3">
      <c r="A1545" t="s">
        <v>15</v>
      </c>
      <c r="B1545" t="s">
        <v>13</v>
      </c>
      <c r="C1545" t="s">
        <v>12</v>
      </c>
      <c r="D1545" s="3">
        <v>45338</v>
      </c>
      <c r="E1545" s="2">
        <v>6971</v>
      </c>
    </row>
    <row r="1546" spans="1:5" x14ac:dyDescent="0.3">
      <c r="A1546" t="s">
        <v>32</v>
      </c>
      <c r="B1546" t="s">
        <v>11</v>
      </c>
      <c r="C1546" t="s">
        <v>19</v>
      </c>
      <c r="D1546" s="3">
        <v>45339</v>
      </c>
      <c r="E1546" s="2">
        <v>10576</v>
      </c>
    </row>
    <row r="1547" spans="1:5" x14ac:dyDescent="0.3">
      <c r="A1547" t="s">
        <v>8</v>
      </c>
      <c r="B1547" t="s">
        <v>21</v>
      </c>
      <c r="C1547" t="s">
        <v>25</v>
      </c>
      <c r="D1547" s="3">
        <v>45339</v>
      </c>
      <c r="E1547" s="2">
        <v>7025</v>
      </c>
    </row>
    <row r="1548" spans="1:5" x14ac:dyDescent="0.3">
      <c r="A1548" t="s">
        <v>31</v>
      </c>
      <c r="B1548" t="s">
        <v>11</v>
      </c>
      <c r="C1548" t="s">
        <v>7</v>
      </c>
      <c r="D1548" s="3">
        <v>45339</v>
      </c>
      <c r="E1548" s="2">
        <v>4890</v>
      </c>
    </row>
    <row r="1549" spans="1:5" x14ac:dyDescent="0.3">
      <c r="A1549" t="s">
        <v>8</v>
      </c>
      <c r="B1549" t="s">
        <v>21</v>
      </c>
      <c r="C1549" t="s">
        <v>7</v>
      </c>
      <c r="D1549" s="3">
        <v>45339</v>
      </c>
      <c r="E1549" s="2">
        <v>2723</v>
      </c>
    </row>
    <row r="1550" spans="1:5" x14ac:dyDescent="0.3">
      <c r="A1550" t="s">
        <v>32</v>
      </c>
      <c r="B1550" t="s">
        <v>11</v>
      </c>
      <c r="C1550" t="s">
        <v>7</v>
      </c>
      <c r="D1550" s="3">
        <v>45340</v>
      </c>
      <c r="E1550" s="2">
        <v>2657</v>
      </c>
    </row>
    <row r="1551" spans="1:5" x14ac:dyDescent="0.3">
      <c r="A1551" t="s">
        <v>33</v>
      </c>
      <c r="B1551" t="s">
        <v>6</v>
      </c>
      <c r="C1551" t="s">
        <v>17</v>
      </c>
      <c r="D1551" s="3">
        <v>45340</v>
      </c>
      <c r="E1551" s="2">
        <v>4189</v>
      </c>
    </row>
    <row r="1552" spans="1:5" x14ac:dyDescent="0.3">
      <c r="A1552" t="s">
        <v>22</v>
      </c>
      <c r="B1552" t="s">
        <v>11</v>
      </c>
      <c r="C1552" t="s">
        <v>12</v>
      </c>
      <c r="D1552" s="3">
        <v>45340</v>
      </c>
      <c r="E1552" s="2">
        <v>9572</v>
      </c>
    </row>
    <row r="1553" spans="1:5" x14ac:dyDescent="0.3">
      <c r="A1553" t="s">
        <v>15</v>
      </c>
      <c r="B1553" t="s">
        <v>21</v>
      </c>
      <c r="C1553" t="s">
        <v>14</v>
      </c>
      <c r="D1553" s="3">
        <v>45341</v>
      </c>
      <c r="E1553" s="2">
        <v>1983</v>
      </c>
    </row>
    <row r="1554" spans="1:5" x14ac:dyDescent="0.3">
      <c r="A1554" t="s">
        <v>10</v>
      </c>
      <c r="B1554" t="s">
        <v>6</v>
      </c>
      <c r="C1554" t="s">
        <v>14</v>
      </c>
      <c r="D1554" s="3">
        <v>45342</v>
      </c>
      <c r="E1554" s="2">
        <v>9789</v>
      </c>
    </row>
    <row r="1555" spans="1:5" x14ac:dyDescent="0.3">
      <c r="A1555" t="s">
        <v>18</v>
      </c>
      <c r="B1555" t="s">
        <v>16</v>
      </c>
      <c r="C1555" t="s">
        <v>25</v>
      </c>
      <c r="D1555" s="3">
        <v>45342</v>
      </c>
      <c r="E1555" s="2">
        <v>3402</v>
      </c>
    </row>
    <row r="1556" spans="1:5" x14ac:dyDescent="0.3">
      <c r="A1556" t="s">
        <v>24</v>
      </c>
      <c r="B1556" t="s">
        <v>16</v>
      </c>
      <c r="C1556" t="s">
        <v>25</v>
      </c>
      <c r="D1556" s="3">
        <v>45342</v>
      </c>
      <c r="E1556" s="2">
        <v>13949</v>
      </c>
    </row>
    <row r="1557" spans="1:5" x14ac:dyDescent="0.3">
      <c r="A1557" t="s">
        <v>32</v>
      </c>
      <c r="B1557" t="s">
        <v>16</v>
      </c>
      <c r="C1557" t="s">
        <v>28</v>
      </c>
      <c r="D1557" s="3">
        <v>45342</v>
      </c>
      <c r="E1557" s="2">
        <v>7850</v>
      </c>
    </row>
    <row r="1558" spans="1:5" x14ac:dyDescent="0.3">
      <c r="A1558" t="s">
        <v>33</v>
      </c>
      <c r="B1558" t="s">
        <v>9</v>
      </c>
      <c r="C1558" t="s">
        <v>14</v>
      </c>
      <c r="D1558" s="3">
        <v>45343</v>
      </c>
      <c r="E1558" s="2">
        <v>11944</v>
      </c>
    </row>
    <row r="1559" spans="1:5" x14ac:dyDescent="0.3">
      <c r="A1559" t="s">
        <v>15</v>
      </c>
      <c r="B1559" t="s">
        <v>9</v>
      </c>
      <c r="C1559" t="s">
        <v>23</v>
      </c>
      <c r="D1559" s="3">
        <v>45343</v>
      </c>
      <c r="E1559" s="2">
        <v>13684</v>
      </c>
    </row>
    <row r="1560" spans="1:5" x14ac:dyDescent="0.3">
      <c r="A1560" t="s">
        <v>5</v>
      </c>
      <c r="B1560" t="s">
        <v>6</v>
      </c>
      <c r="C1560" t="s">
        <v>25</v>
      </c>
      <c r="D1560" s="3">
        <v>45343</v>
      </c>
      <c r="E1560" s="2">
        <v>8437</v>
      </c>
    </row>
    <row r="1561" spans="1:5" x14ac:dyDescent="0.3">
      <c r="A1561" t="s">
        <v>18</v>
      </c>
      <c r="B1561" t="s">
        <v>11</v>
      </c>
      <c r="C1561" t="s">
        <v>25</v>
      </c>
      <c r="D1561" s="3">
        <v>45343</v>
      </c>
      <c r="E1561" s="2">
        <v>6097</v>
      </c>
    </row>
    <row r="1562" spans="1:5" x14ac:dyDescent="0.3">
      <c r="A1562" t="s">
        <v>8</v>
      </c>
      <c r="B1562" t="s">
        <v>16</v>
      </c>
      <c r="C1562" t="s">
        <v>19</v>
      </c>
      <c r="D1562" s="3">
        <v>45344</v>
      </c>
      <c r="E1562" s="2">
        <v>13795</v>
      </c>
    </row>
    <row r="1563" spans="1:5" x14ac:dyDescent="0.3">
      <c r="A1563" t="s">
        <v>30</v>
      </c>
      <c r="B1563" t="s">
        <v>21</v>
      </c>
      <c r="C1563" t="s">
        <v>12</v>
      </c>
      <c r="D1563" s="3">
        <v>45344</v>
      </c>
      <c r="E1563" s="2">
        <v>13388</v>
      </c>
    </row>
    <row r="1564" spans="1:5" x14ac:dyDescent="0.3">
      <c r="A1564" t="s">
        <v>26</v>
      </c>
      <c r="B1564" t="s">
        <v>21</v>
      </c>
      <c r="C1564" t="s">
        <v>23</v>
      </c>
      <c r="D1564" s="3">
        <v>45345</v>
      </c>
      <c r="E1564" s="2">
        <v>12713</v>
      </c>
    </row>
    <row r="1565" spans="1:5" x14ac:dyDescent="0.3">
      <c r="A1565" t="s">
        <v>30</v>
      </c>
      <c r="B1565" t="s">
        <v>21</v>
      </c>
      <c r="C1565" t="s">
        <v>7</v>
      </c>
      <c r="D1565" s="3">
        <v>45345</v>
      </c>
      <c r="E1565" s="2">
        <v>4494</v>
      </c>
    </row>
    <row r="1566" spans="1:5" x14ac:dyDescent="0.3">
      <c r="A1566" t="s">
        <v>15</v>
      </c>
      <c r="B1566" t="s">
        <v>11</v>
      </c>
      <c r="C1566" t="s">
        <v>28</v>
      </c>
      <c r="D1566" s="3">
        <v>45345</v>
      </c>
      <c r="E1566" s="2">
        <v>5359</v>
      </c>
    </row>
    <row r="1567" spans="1:5" x14ac:dyDescent="0.3">
      <c r="A1567" t="s">
        <v>20</v>
      </c>
      <c r="B1567" t="s">
        <v>11</v>
      </c>
      <c r="C1567" t="s">
        <v>23</v>
      </c>
      <c r="D1567" s="3">
        <v>45346</v>
      </c>
      <c r="E1567" s="2">
        <v>7093</v>
      </c>
    </row>
    <row r="1568" spans="1:5" x14ac:dyDescent="0.3">
      <c r="A1568" t="s">
        <v>10</v>
      </c>
      <c r="B1568" t="s">
        <v>16</v>
      </c>
      <c r="C1568" t="s">
        <v>17</v>
      </c>
      <c r="D1568" s="3">
        <v>45346</v>
      </c>
      <c r="E1568" s="2">
        <v>10320</v>
      </c>
    </row>
    <row r="1569" spans="1:5" x14ac:dyDescent="0.3">
      <c r="A1569" t="s">
        <v>15</v>
      </c>
      <c r="B1569" t="s">
        <v>6</v>
      </c>
      <c r="C1569" t="s">
        <v>12</v>
      </c>
      <c r="D1569" s="3">
        <v>45346</v>
      </c>
      <c r="E1569" s="2">
        <v>3379</v>
      </c>
    </row>
    <row r="1570" spans="1:5" x14ac:dyDescent="0.3">
      <c r="A1570" t="s">
        <v>15</v>
      </c>
      <c r="B1570" t="s">
        <v>16</v>
      </c>
      <c r="C1570" t="s">
        <v>14</v>
      </c>
      <c r="D1570" s="3">
        <v>45347</v>
      </c>
      <c r="E1570" s="2">
        <v>6160</v>
      </c>
    </row>
    <row r="1571" spans="1:5" x14ac:dyDescent="0.3">
      <c r="A1571" t="s">
        <v>5</v>
      </c>
      <c r="B1571" t="s">
        <v>6</v>
      </c>
      <c r="C1571" t="s">
        <v>14</v>
      </c>
      <c r="D1571" s="3">
        <v>45347</v>
      </c>
      <c r="E1571" s="2">
        <v>6113</v>
      </c>
    </row>
    <row r="1572" spans="1:5" x14ac:dyDescent="0.3">
      <c r="A1572" t="s">
        <v>10</v>
      </c>
      <c r="B1572" t="s">
        <v>13</v>
      </c>
      <c r="C1572" t="s">
        <v>19</v>
      </c>
      <c r="D1572" s="3">
        <v>45347</v>
      </c>
      <c r="E1572" s="2">
        <v>8374</v>
      </c>
    </row>
    <row r="1573" spans="1:5" x14ac:dyDescent="0.3">
      <c r="A1573" t="s">
        <v>24</v>
      </c>
      <c r="B1573" t="s">
        <v>11</v>
      </c>
      <c r="C1573" t="s">
        <v>19</v>
      </c>
      <c r="D1573" s="3">
        <v>45347</v>
      </c>
      <c r="E1573" s="2">
        <v>8698</v>
      </c>
    </row>
    <row r="1574" spans="1:5" x14ac:dyDescent="0.3">
      <c r="A1574" t="s">
        <v>10</v>
      </c>
      <c r="B1574" t="s">
        <v>13</v>
      </c>
      <c r="C1574" t="s">
        <v>7</v>
      </c>
      <c r="D1574" s="3">
        <v>45347</v>
      </c>
      <c r="E1574" s="2">
        <v>8621</v>
      </c>
    </row>
    <row r="1575" spans="1:5" x14ac:dyDescent="0.3">
      <c r="A1575" t="s">
        <v>5</v>
      </c>
      <c r="B1575" t="s">
        <v>6</v>
      </c>
      <c r="C1575" t="s">
        <v>28</v>
      </c>
      <c r="D1575" s="3">
        <v>45347</v>
      </c>
      <c r="E1575" s="2">
        <v>3829</v>
      </c>
    </row>
    <row r="1576" spans="1:5" x14ac:dyDescent="0.3">
      <c r="A1576" t="s">
        <v>18</v>
      </c>
      <c r="B1576" t="s">
        <v>21</v>
      </c>
      <c r="C1576" t="s">
        <v>7</v>
      </c>
      <c r="D1576" s="3">
        <v>45348</v>
      </c>
      <c r="E1576" s="2">
        <v>9213</v>
      </c>
    </row>
    <row r="1577" spans="1:5" x14ac:dyDescent="0.3">
      <c r="A1577" t="s">
        <v>22</v>
      </c>
      <c r="B1577" t="s">
        <v>21</v>
      </c>
      <c r="C1577" t="s">
        <v>28</v>
      </c>
      <c r="D1577" s="3">
        <v>45348</v>
      </c>
      <c r="E1577" s="2">
        <v>13087</v>
      </c>
    </row>
    <row r="1578" spans="1:5" x14ac:dyDescent="0.3">
      <c r="A1578" t="s">
        <v>30</v>
      </c>
      <c r="B1578" t="s">
        <v>11</v>
      </c>
      <c r="C1578" t="s">
        <v>7</v>
      </c>
      <c r="D1578" s="3">
        <v>45349</v>
      </c>
      <c r="E1578" s="2">
        <v>13373</v>
      </c>
    </row>
    <row r="1579" spans="1:5" x14ac:dyDescent="0.3">
      <c r="A1579" t="s">
        <v>18</v>
      </c>
      <c r="B1579" t="s">
        <v>9</v>
      </c>
      <c r="C1579" t="s">
        <v>17</v>
      </c>
      <c r="D1579" s="3">
        <v>45349</v>
      </c>
      <c r="E1579" s="2">
        <v>11478</v>
      </c>
    </row>
    <row r="1580" spans="1:5" x14ac:dyDescent="0.3">
      <c r="A1580" t="s">
        <v>24</v>
      </c>
      <c r="B1580" t="s">
        <v>11</v>
      </c>
      <c r="C1580" t="s">
        <v>17</v>
      </c>
      <c r="D1580" s="3">
        <v>45350</v>
      </c>
      <c r="E1580" s="2">
        <v>2342</v>
      </c>
    </row>
    <row r="1581" spans="1:5" x14ac:dyDescent="0.3">
      <c r="A1581" t="s">
        <v>15</v>
      </c>
      <c r="B1581" t="s">
        <v>9</v>
      </c>
      <c r="C1581" t="s">
        <v>17</v>
      </c>
      <c r="D1581" s="3">
        <v>45350</v>
      </c>
      <c r="E1581" s="2">
        <v>13705</v>
      </c>
    </row>
    <row r="1582" spans="1:5" x14ac:dyDescent="0.3">
      <c r="A1582" t="s">
        <v>29</v>
      </c>
      <c r="B1582" t="s">
        <v>6</v>
      </c>
      <c r="C1582" t="s">
        <v>23</v>
      </c>
      <c r="D1582" s="3">
        <v>45351</v>
      </c>
      <c r="E1582" s="2">
        <v>3193</v>
      </c>
    </row>
    <row r="1583" spans="1:5" x14ac:dyDescent="0.3">
      <c r="A1583" t="s">
        <v>18</v>
      </c>
      <c r="B1583" t="s">
        <v>11</v>
      </c>
      <c r="C1583" t="s">
        <v>17</v>
      </c>
      <c r="D1583" s="3">
        <v>45351</v>
      </c>
      <c r="E1583" s="2">
        <v>11231</v>
      </c>
    </row>
    <row r="1584" spans="1:5" x14ac:dyDescent="0.3">
      <c r="A1584" t="s">
        <v>15</v>
      </c>
      <c r="B1584" t="s">
        <v>21</v>
      </c>
      <c r="C1584" t="s">
        <v>12</v>
      </c>
      <c r="D1584" s="3">
        <v>45351</v>
      </c>
      <c r="E1584" s="2">
        <v>4742</v>
      </c>
    </row>
    <row r="1585" spans="1:5" x14ac:dyDescent="0.3">
      <c r="A1585" t="s">
        <v>15</v>
      </c>
      <c r="B1585" t="s">
        <v>6</v>
      </c>
      <c r="C1585" t="s">
        <v>19</v>
      </c>
      <c r="D1585" s="3">
        <v>45352</v>
      </c>
      <c r="E1585" s="2">
        <v>11899</v>
      </c>
    </row>
    <row r="1586" spans="1:5" x14ac:dyDescent="0.3">
      <c r="A1586" t="s">
        <v>32</v>
      </c>
      <c r="B1586" t="s">
        <v>13</v>
      </c>
      <c r="C1586" t="s">
        <v>19</v>
      </c>
      <c r="D1586" s="3">
        <v>45352</v>
      </c>
      <c r="E1586" s="2">
        <v>6816</v>
      </c>
    </row>
    <row r="1587" spans="1:5" x14ac:dyDescent="0.3">
      <c r="A1587" t="s">
        <v>20</v>
      </c>
      <c r="B1587" t="s">
        <v>11</v>
      </c>
      <c r="C1587" t="s">
        <v>7</v>
      </c>
      <c r="D1587" s="3">
        <v>45352</v>
      </c>
      <c r="E1587" s="2">
        <v>5292</v>
      </c>
    </row>
    <row r="1588" spans="1:5" x14ac:dyDescent="0.3">
      <c r="A1588" t="s">
        <v>33</v>
      </c>
      <c r="B1588" t="s">
        <v>13</v>
      </c>
      <c r="C1588" t="s">
        <v>7</v>
      </c>
      <c r="D1588" s="3">
        <v>45352</v>
      </c>
      <c r="E1588" s="2">
        <v>7588</v>
      </c>
    </row>
    <row r="1589" spans="1:5" x14ac:dyDescent="0.3">
      <c r="A1589" t="s">
        <v>10</v>
      </c>
      <c r="B1589" t="s">
        <v>21</v>
      </c>
      <c r="C1589" t="s">
        <v>19</v>
      </c>
      <c r="D1589" s="3">
        <v>45353</v>
      </c>
      <c r="E1589" s="2">
        <v>12980</v>
      </c>
    </row>
    <row r="1590" spans="1:5" x14ac:dyDescent="0.3">
      <c r="A1590" t="s">
        <v>20</v>
      </c>
      <c r="B1590" t="s">
        <v>16</v>
      </c>
      <c r="C1590" t="s">
        <v>23</v>
      </c>
      <c r="D1590" s="3">
        <v>45353</v>
      </c>
      <c r="E1590" s="2">
        <v>10521</v>
      </c>
    </row>
    <row r="1591" spans="1:5" x14ac:dyDescent="0.3">
      <c r="A1591" t="s">
        <v>10</v>
      </c>
      <c r="B1591" t="s">
        <v>13</v>
      </c>
      <c r="C1591" t="s">
        <v>23</v>
      </c>
      <c r="D1591" s="3">
        <v>45353</v>
      </c>
      <c r="E1591" s="2">
        <v>12276</v>
      </c>
    </row>
    <row r="1592" spans="1:5" x14ac:dyDescent="0.3">
      <c r="A1592" t="s">
        <v>33</v>
      </c>
      <c r="B1592" t="s">
        <v>13</v>
      </c>
      <c r="C1592" t="s">
        <v>28</v>
      </c>
      <c r="D1592" s="3">
        <v>45353</v>
      </c>
      <c r="E1592" s="2">
        <v>6571</v>
      </c>
    </row>
    <row r="1593" spans="1:5" x14ac:dyDescent="0.3">
      <c r="A1593" t="s">
        <v>31</v>
      </c>
      <c r="B1593" t="s">
        <v>13</v>
      </c>
      <c r="C1593" t="s">
        <v>28</v>
      </c>
      <c r="D1593" s="3">
        <v>45353</v>
      </c>
      <c r="E1593" s="2">
        <v>8818</v>
      </c>
    </row>
    <row r="1594" spans="1:5" x14ac:dyDescent="0.3">
      <c r="A1594" t="s">
        <v>33</v>
      </c>
      <c r="B1594" t="s">
        <v>21</v>
      </c>
      <c r="C1594" t="s">
        <v>23</v>
      </c>
      <c r="D1594" s="3">
        <v>45354</v>
      </c>
      <c r="E1594" s="2">
        <v>4415</v>
      </c>
    </row>
    <row r="1595" spans="1:5" x14ac:dyDescent="0.3">
      <c r="A1595" t="s">
        <v>22</v>
      </c>
      <c r="B1595" t="s">
        <v>6</v>
      </c>
      <c r="C1595" t="s">
        <v>7</v>
      </c>
      <c r="D1595" s="3">
        <v>45354</v>
      </c>
      <c r="E1595" s="2">
        <v>4597</v>
      </c>
    </row>
    <row r="1596" spans="1:5" x14ac:dyDescent="0.3">
      <c r="A1596" t="s">
        <v>33</v>
      </c>
      <c r="B1596" t="s">
        <v>9</v>
      </c>
      <c r="C1596" t="s">
        <v>7</v>
      </c>
      <c r="D1596" s="3">
        <v>45355</v>
      </c>
      <c r="E1596" s="2">
        <v>1475</v>
      </c>
    </row>
    <row r="1597" spans="1:5" x14ac:dyDescent="0.3">
      <c r="A1597" t="s">
        <v>27</v>
      </c>
      <c r="B1597" t="s">
        <v>13</v>
      </c>
      <c r="C1597" t="s">
        <v>28</v>
      </c>
      <c r="D1597" s="3">
        <v>45355</v>
      </c>
      <c r="E1597" s="2">
        <v>13015</v>
      </c>
    </row>
    <row r="1598" spans="1:5" x14ac:dyDescent="0.3">
      <c r="A1598" t="s">
        <v>24</v>
      </c>
      <c r="B1598" t="s">
        <v>21</v>
      </c>
      <c r="C1598" t="s">
        <v>14</v>
      </c>
      <c r="D1598" s="3">
        <v>45356</v>
      </c>
      <c r="E1598" s="2">
        <v>10479</v>
      </c>
    </row>
    <row r="1599" spans="1:5" x14ac:dyDescent="0.3">
      <c r="A1599" t="s">
        <v>30</v>
      </c>
      <c r="B1599" t="s">
        <v>9</v>
      </c>
      <c r="C1599" t="s">
        <v>19</v>
      </c>
      <c r="D1599" s="3">
        <v>45356</v>
      </c>
      <c r="E1599" s="2">
        <v>1918</v>
      </c>
    </row>
    <row r="1600" spans="1:5" x14ac:dyDescent="0.3">
      <c r="A1600" t="s">
        <v>20</v>
      </c>
      <c r="B1600" t="s">
        <v>11</v>
      </c>
      <c r="C1600" t="s">
        <v>23</v>
      </c>
      <c r="D1600" s="3">
        <v>45356</v>
      </c>
      <c r="E1600" s="2">
        <v>8038</v>
      </c>
    </row>
    <row r="1601" spans="1:5" x14ac:dyDescent="0.3">
      <c r="A1601" t="s">
        <v>27</v>
      </c>
      <c r="B1601" t="s">
        <v>13</v>
      </c>
      <c r="C1601" t="s">
        <v>7</v>
      </c>
      <c r="D1601" s="3">
        <v>45356</v>
      </c>
      <c r="E1601" s="2">
        <v>3138</v>
      </c>
    </row>
    <row r="1602" spans="1:5" x14ac:dyDescent="0.3">
      <c r="A1602" t="s">
        <v>27</v>
      </c>
      <c r="B1602" t="s">
        <v>21</v>
      </c>
      <c r="C1602" t="s">
        <v>17</v>
      </c>
      <c r="D1602" s="3">
        <v>45356</v>
      </c>
      <c r="E1602" s="2">
        <v>11824</v>
      </c>
    </row>
    <row r="1603" spans="1:5" x14ac:dyDescent="0.3">
      <c r="A1603" t="s">
        <v>26</v>
      </c>
      <c r="B1603" t="s">
        <v>9</v>
      </c>
      <c r="C1603" t="s">
        <v>12</v>
      </c>
      <c r="D1603" s="3">
        <v>45356</v>
      </c>
      <c r="E1603" s="2">
        <v>10419</v>
      </c>
    </row>
    <row r="1604" spans="1:5" x14ac:dyDescent="0.3">
      <c r="A1604" t="s">
        <v>30</v>
      </c>
      <c r="B1604" t="s">
        <v>11</v>
      </c>
      <c r="C1604" t="s">
        <v>12</v>
      </c>
      <c r="D1604" s="3">
        <v>45356</v>
      </c>
      <c r="E1604" s="2">
        <v>12928</v>
      </c>
    </row>
    <row r="1605" spans="1:5" x14ac:dyDescent="0.3">
      <c r="A1605" t="s">
        <v>10</v>
      </c>
      <c r="B1605" t="s">
        <v>16</v>
      </c>
      <c r="C1605" t="s">
        <v>12</v>
      </c>
      <c r="D1605" s="3">
        <v>45356</v>
      </c>
      <c r="E1605" s="2">
        <v>2649</v>
      </c>
    </row>
    <row r="1606" spans="1:5" x14ac:dyDescent="0.3">
      <c r="A1606" t="s">
        <v>18</v>
      </c>
      <c r="B1606" t="s">
        <v>13</v>
      </c>
      <c r="C1606" t="s">
        <v>25</v>
      </c>
      <c r="D1606" s="3">
        <v>45357</v>
      </c>
      <c r="E1606" s="2">
        <v>9582</v>
      </c>
    </row>
    <row r="1607" spans="1:5" x14ac:dyDescent="0.3">
      <c r="A1607" t="s">
        <v>27</v>
      </c>
      <c r="B1607" t="s">
        <v>13</v>
      </c>
      <c r="C1607" t="s">
        <v>12</v>
      </c>
      <c r="D1607" s="3">
        <v>45357</v>
      </c>
      <c r="E1607" s="2">
        <v>3822</v>
      </c>
    </row>
    <row r="1608" spans="1:5" x14ac:dyDescent="0.3">
      <c r="A1608" t="s">
        <v>30</v>
      </c>
      <c r="B1608" t="s">
        <v>13</v>
      </c>
      <c r="C1608" t="s">
        <v>12</v>
      </c>
      <c r="D1608" s="3">
        <v>45357</v>
      </c>
      <c r="E1608" s="2">
        <v>8646</v>
      </c>
    </row>
    <row r="1609" spans="1:5" x14ac:dyDescent="0.3">
      <c r="A1609" t="s">
        <v>5</v>
      </c>
      <c r="B1609" t="s">
        <v>13</v>
      </c>
      <c r="C1609" t="s">
        <v>23</v>
      </c>
      <c r="D1609" s="3">
        <v>45358</v>
      </c>
      <c r="E1609" s="2">
        <v>11017</v>
      </c>
    </row>
    <row r="1610" spans="1:5" x14ac:dyDescent="0.3">
      <c r="A1610" t="s">
        <v>5</v>
      </c>
      <c r="B1610" t="s">
        <v>11</v>
      </c>
      <c r="C1610" t="s">
        <v>17</v>
      </c>
      <c r="D1610" s="3">
        <v>45358</v>
      </c>
      <c r="E1610" s="2">
        <v>13544</v>
      </c>
    </row>
    <row r="1611" spans="1:5" x14ac:dyDescent="0.3">
      <c r="A1611" t="s">
        <v>26</v>
      </c>
      <c r="B1611" t="s">
        <v>13</v>
      </c>
      <c r="C1611" t="s">
        <v>12</v>
      </c>
      <c r="D1611" s="3">
        <v>45358</v>
      </c>
      <c r="E1611" s="2">
        <v>2985</v>
      </c>
    </row>
    <row r="1612" spans="1:5" x14ac:dyDescent="0.3">
      <c r="A1612" t="s">
        <v>32</v>
      </c>
      <c r="B1612" t="s">
        <v>21</v>
      </c>
      <c r="C1612" t="s">
        <v>14</v>
      </c>
      <c r="D1612" s="3">
        <v>45359</v>
      </c>
      <c r="E1612" s="2">
        <v>3643</v>
      </c>
    </row>
    <row r="1613" spans="1:5" x14ac:dyDescent="0.3">
      <c r="A1613" t="s">
        <v>15</v>
      </c>
      <c r="B1613" t="s">
        <v>13</v>
      </c>
      <c r="C1613" t="s">
        <v>19</v>
      </c>
      <c r="D1613" s="3">
        <v>45359</v>
      </c>
      <c r="E1613" s="2">
        <v>8300</v>
      </c>
    </row>
    <row r="1614" spans="1:5" x14ac:dyDescent="0.3">
      <c r="A1614" t="s">
        <v>5</v>
      </c>
      <c r="B1614" t="s">
        <v>13</v>
      </c>
      <c r="C1614" t="s">
        <v>28</v>
      </c>
      <c r="D1614" s="3">
        <v>45359</v>
      </c>
      <c r="E1614" s="2">
        <v>3330</v>
      </c>
    </row>
    <row r="1615" spans="1:5" x14ac:dyDescent="0.3">
      <c r="A1615" t="s">
        <v>8</v>
      </c>
      <c r="B1615" t="s">
        <v>9</v>
      </c>
      <c r="C1615" t="s">
        <v>17</v>
      </c>
      <c r="D1615" s="3">
        <v>45359</v>
      </c>
      <c r="E1615" s="2">
        <v>8795</v>
      </c>
    </row>
    <row r="1616" spans="1:5" x14ac:dyDescent="0.3">
      <c r="A1616" t="s">
        <v>8</v>
      </c>
      <c r="B1616" t="s">
        <v>9</v>
      </c>
      <c r="C1616" t="s">
        <v>23</v>
      </c>
      <c r="D1616" s="3">
        <v>45360</v>
      </c>
      <c r="E1616" s="2">
        <v>6291</v>
      </c>
    </row>
    <row r="1617" spans="1:5" x14ac:dyDescent="0.3">
      <c r="A1617" t="s">
        <v>33</v>
      </c>
      <c r="B1617" t="s">
        <v>11</v>
      </c>
      <c r="C1617" t="s">
        <v>7</v>
      </c>
      <c r="D1617" s="3">
        <v>45360</v>
      </c>
      <c r="E1617" s="2">
        <v>7613</v>
      </c>
    </row>
    <row r="1618" spans="1:5" x14ac:dyDescent="0.3">
      <c r="A1618" t="s">
        <v>26</v>
      </c>
      <c r="B1618" t="s">
        <v>9</v>
      </c>
      <c r="C1618" t="s">
        <v>17</v>
      </c>
      <c r="D1618" s="3">
        <v>45360</v>
      </c>
      <c r="E1618" s="2">
        <v>4095</v>
      </c>
    </row>
    <row r="1619" spans="1:5" x14ac:dyDescent="0.3">
      <c r="A1619" t="s">
        <v>31</v>
      </c>
      <c r="B1619" t="s">
        <v>11</v>
      </c>
      <c r="C1619" t="s">
        <v>14</v>
      </c>
      <c r="D1619" s="3">
        <v>45361</v>
      </c>
      <c r="E1619" s="2">
        <v>4879</v>
      </c>
    </row>
    <row r="1620" spans="1:5" x14ac:dyDescent="0.3">
      <c r="A1620" t="s">
        <v>29</v>
      </c>
      <c r="B1620" t="s">
        <v>13</v>
      </c>
      <c r="C1620" t="s">
        <v>19</v>
      </c>
      <c r="D1620" s="3">
        <v>45361</v>
      </c>
      <c r="E1620" s="2">
        <v>3238</v>
      </c>
    </row>
    <row r="1621" spans="1:5" x14ac:dyDescent="0.3">
      <c r="A1621" t="s">
        <v>8</v>
      </c>
      <c r="B1621" t="s">
        <v>16</v>
      </c>
      <c r="C1621" t="s">
        <v>17</v>
      </c>
      <c r="D1621" s="3">
        <v>45361</v>
      </c>
      <c r="E1621" s="2">
        <v>8622</v>
      </c>
    </row>
    <row r="1622" spans="1:5" x14ac:dyDescent="0.3">
      <c r="A1622" t="s">
        <v>27</v>
      </c>
      <c r="B1622" t="s">
        <v>9</v>
      </c>
      <c r="C1622" t="s">
        <v>12</v>
      </c>
      <c r="D1622" s="3">
        <v>45361</v>
      </c>
      <c r="E1622" s="2">
        <v>6002</v>
      </c>
    </row>
    <row r="1623" spans="1:5" x14ac:dyDescent="0.3">
      <c r="A1623" t="s">
        <v>8</v>
      </c>
      <c r="B1623" t="s">
        <v>11</v>
      </c>
      <c r="C1623" t="s">
        <v>14</v>
      </c>
      <c r="D1623" s="3">
        <v>45362</v>
      </c>
      <c r="E1623" s="2">
        <v>9347</v>
      </c>
    </row>
    <row r="1624" spans="1:5" x14ac:dyDescent="0.3">
      <c r="A1624" t="s">
        <v>30</v>
      </c>
      <c r="B1624" t="s">
        <v>21</v>
      </c>
      <c r="C1624" t="s">
        <v>25</v>
      </c>
      <c r="D1624" s="3">
        <v>45362</v>
      </c>
      <c r="E1624" s="2">
        <v>7702</v>
      </c>
    </row>
    <row r="1625" spans="1:5" x14ac:dyDescent="0.3">
      <c r="A1625" t="s">
        <v>20</v>
      </c>
      <c r="B1625" t="s">
        <v>16</v>
      </c>
      <c r="C1625" t="s">
        <v>7</v>
      </c>
      <c r="D1625" s="3">
        <v>45362</v>
      </c>
      <c r="E1625" s="2">
        <v>10122</v>
      </c>
    </row>
    <row r="1626" spans="1:5" x14ac:dyDescent="0.3">
      <c r="A1626" t="s">
        <v>31</v>
      </c>
      <c r="B1626" t="s">
        <v>9</v>
      </c>
      <c r="C1626" t="s">
        <v>28</v>
      </c>
      <c r="D1626" s="3">
        <v>45362</v>
      </c>
      <c r="E1626" s="2">
        <v>12077</v>
      </c>
    </row>
    <row r="1627" spans="1:5" x14ac:dyDescent="0.3">
      <c r="A1627" t="s">
        <v>10</v>
      </c>
      <c r="B1627" t="s">
        <v>21</v>
      </c>
      <c r="C1627" t="s">
        <v>17</v>
      </c>
      <c r="D1627" s="3">
        <v>45362</v>
      </c>
      <c r="E1627" s="2">
        <v>5069</v>
      </c>
    </row>
    <row r="1628" spans="1:5" x14ac:dyDescent="0.3">
      <c r="A1628" t="s">
        <v>31</v>
      </c>
      <c r="B1628" t="s">
        <v>16</v>
      </c>
      <c r="C1628" t="s">
        <v>17</v>
      </c>
      <c r="D1628" s="3">
        <v>45362</v>
      </c>
      <c r="E1628" s="2">
        <v>1806</v>
      </c>
    </row>
    <row r="1629" spans="1:5" x14ac:dyDescent="0.3">
      <c r="A1629" t="s">
        <v>33</v>
      </c>
      <c r="B1629" t="s">
        <v>21</v>
      </c>
      <c r="C1629" t="s">
        <v>12</v>
      </c>
      <c r="D1629" s="3">
        <v>45362</v>
      </c>
      <c r="E1629" s="2">
        <v>4467</v>
      </c>
    </row>
    <row r="1630" spans="1:5" x14ac:dyDescent="0.3">
      <c r="A1630" t="s">
        <v>32</v>
      </c>
      <c r="B1630" t="s">
        <v>13</v>
      </c>
      <c r="C1630" t="s">
        <v>12</v>
      </c>
      <c r="D1630" s="3">
        <v>45363</v>
      </c>
      <c r="E1630" s="2">
        <v>4745</v>
      </c>
    </row>
    <row r="1631" spans="1:5" x14ac:dyDescent="0.3">
      <c r="A1631" t="s">
        <v>22</v>
      </c>
      <c r="B1631" t="s">
        <v>13</v>
      </c>
      <c r="C1631" t="s">
        <v>19</v>
      </c>
      <c r="D1631" s="3">
        <v>45364</v>
      </c>
      <c r="E1631" s="2">
        <v>5963</v>
      </c>
    </row>
    <row r="1632" spans="1:5" x14ac:dyDescent="0.3">
      <c r="A1632" t="s">
        <v>31</v>
      </c>
      <c r="B1632" t="s">
        <v>9</v>
      </c>
      <c r="C1632" t="s">
        <v>7</v>
      </c>
      <c r="D1632" s="3">
        <v>45364</v>
      </c>
      <c r="E1632" s="2">
        <v>13272</v>
      </c>
    </row>
    <row r="1633" spans="1:5" x14ac:dyDescent="0.3">
      <c r="A1633" t="s">
        <v>8</v>
      </c>
      <c r="B1633" t="s">
        <v>13</v>
      </c>
      <c r="C1633" t="s">
        <v>14</v>
      </c>
      <c r="D1633" s="3">
        <v>45365</v>
      </c>
      <c r="E1633" s="2">
        <v>10126</v>
      </c>
    </row>
    <row r="1634" spans="1:5" x14ac:dyDescent="0.3">
      <c r="A1634" t="s">
        <v>15</v>
      </c>
      <c r="B1634" t="s">
        <v>6</v>
      </c>
      <c r="C1634" t="s">
        <v>19</v>
      </c>
      <c r="D1634" s="3">
        <v>45365</v>
      </c>
      <c r="E1634" s="2">
        <v>12756</v>
      </c>
    </row>
    <row r="1635" spans="1:5" x14ac:dyDescent="0.3">
      <c r="A1635" t="s">
        <v>29</v>
      </c>
      <c r="B1635" t="s">
        <v>13</v>
      </c>
      <c r="C1635" t="s">
        <v>25</v>
      </c>
      <c r="D1635" s="3">
        <v>45365</v>
      </c>
      <c r="E1635" s="2">
        <v>2512</v>
      </c>
    </row>
    <row r="1636" spans="1:5" x14ac:dyDescent="0.3">
      <c r="A1636" t="s">
        <v>22</v>
      </c>
      <c r="B1636" t="s">
        <v>21</v>
      </c>
      <c r="C1636" t="s">
        <v>7</v>
      </c>
      <c r="D1636" s="3">
        <v>45365</v>
      </c>
      <c r="E1636" s="2">
        <v>2166</v>
      </c>
    </row>
    <row r="1637" spans="1:5" x14ac:dyDescent="0.3">
      <c r="A1637" t="s">
        <v>5</v>
      </c>
      <c r="B1637" t="s">
        <v>21</v>
      </c>
      <c r="C1637" t="s">
        <v>28</v>
      </c>
      <c r="D1637" s="3">
        <v>45365</v>
      </c>
      <c r="E1637" s="2">
        <v>7410</v>
      </c>
    </row>
    <row r="1638" spans="1:5" x14ac:dyDescent="0.3">
      <c r="A1638" t="s">
        <v>22</v>
      </c>
      <c r="B1638" t="s">
        <v>13</v>
      </c>
      <c r="C1638" t="s">
        <v>25</v>
      </c>
      <c r="D1638" s="3">
        <v>45366</v>
      </c>
      <c r="E1638" s="2">
        <v>10341</v>
      </c>
    </row>
    <row r="1639" spans="1:5" x14ac:dyDescent="0.3">
      <c r="A1639" t="s">
        <v>31</v>
      </c>
      <c r="B1639" t="s">
        <v>6</v>
      </c>
      <c r="C1639" t="s">
        <v>28</v>
      </c>
      <c r="D1639" s="3">
        <v>45366</v>
      </c>
      <c r="E1639" s="2">
        <v>13586</v>
      </c>
    </row>
    <row r="1640" spans="1:5" x14ac:dyDescent="0.3">
      <c r="A1640" t="s">
        <v>15</v>
      </c>
      <c r="B1640" t="s">
        <v>13</v>
      </c>
      <c r="C1640" t="s">
        <v>14</v>
      </c>
      <c r="D1640" s="3">
        <v>45367</v>
      </c>
      <c r="E1640" s="2">
        <v>6850</v>
      </c>
    </row>
    <row r="1641" spans="1:5" x14ac:dyDescent="0.3">
      <c r="A1641" t="s">
        <v>10</v>
      </c>
      <c r="B1641" t="s">
        <v>21</v>
      </c>
      <c r="C1641" t="s">
        <v>23</v>
      </c>
      <c r="D1641" s="3">
        <v>45367</v>
      </c>
      <c r="E1641" s="2">
        <v>7381</v>
      </c>
    </row>
    <row r="1642" spans="1:5" x14ac:dyDescent="0.3">
      <c r="A1642" t="s">
        <v>33</v>
      </c>
      <c r="B1642" t="s">
        <v>13</v>
      </c>
      <c r="C1642" t="s">
        <v>23</v>
      </c>
      <c r="D1642" s="3">
        <v>45367</v>
      </c>
      <c r="E1642" s="2">
        <v>7297</v>
      </c>
    </row>
    <row r="1643" spans="1:5" x14ac:dyDescent="0.3">
      <c r="A1643" t="s">
        <v>18</v>
      </c>
      <c r="B1643" t="s">
        <v>13</v>
      </c>
      <c r="C1643" t="s">
        <v>7</v>
      </c>
      <c r="D1643" s="3">
        <v>45367</v>
      </c>
      <c r="E1643" s="2">
        <v>3982</v>
      </c>
    </row>
    <row r="1644" spans="1:5" x14ac:dyDescent="0.3">
      <c r="A1644" t="s">
        <v>10</v>
      </c>
      <c r="B1644" t="s">
        <v>11</v>
      </c>
      <c r="C1644" t="s">
        <v>7</v>
      </c>
      <c r="D1644" s="3">
        <v>45368</v>
      </c>
      <c r="E1644" s="2">
        <v>6880</v>
      </c>
    </row>
    <row r="1645" spans="1:5" x14ac:dyDescent="0.3">
      <c r="A1645" t="s">
        <v>30</v>
      </c>
      <c r="B1645" t="s">
        <v>13</v>
      </c>
      <c r="C1645" t="s">
        <v>17</v>
      </c>
      <c r="D1645" s="3">
        <v>45368</v>
      </c>
      <c r="E1645" s="2">
        <v>9638</v>
      </c>
    </row>
    <row r="1646" spans="1:5" x14ac:dyDescent="0.3">
      <c r="A1646" t="s">
        <v>31</v>
      </c>
      <c r="B1646" t="s">
        <v>6</v>
      </c>
      <c r="C1646" t="s">
        <v>12</v>
      </c>
      <c r="D1646" s="3">
        <v>45368</v>
      </c>
      <c r="E1646" s="2">
        <v>10974</v>
      </c>
    </row>
    <row r="1647" spans="1:5" x14ac:dyDescent="0.3">
      <c r="A1647" t="s">
        <v>30</v>
      </c>
      <c r="B1647" t="s">
        <v>13</v>
      </c>
      <c r="C1647" t="s">
        <v>12</v>
      </c>
      <c r="D1647" s="3">
        <v>45368</v>
      </c>
      <c r="E1647" s="2">
        <v>4186</v>
      </c>
    </row>
    <row r="1648" spans="1:5" x14ac:dyDescent="0.3">
      <c r="A1648" t="s">
        <v>18</v>
      </c>
      <c r="B1648" t="s">
        <v>11</v>
      </c>
      <c r="C1648" t="s">
        <v>25</v>
      </c>
      <c r="D1648" s="3">
        <v>45369</v>
      </c>
      <c r="E1648" s="2">
        <v>12257</v>
      </c>
    </row>
    <row r="1649" spans="1:5" x14ac:dyDescent="0.3">
      <c r="A1649" t="s">
        <v>33</v>
      </c>
      <c r="B1649" t="s">
        <v>6</v>
      </c>
      <c r="C1649" t="s">
        <v>28</v>
      </c>
      <c r="D1649" s="3">
        <v>45369</v>
      </c>
      <c r="E1649" s="2">
        <v>13789</v>
      </c>
    </row>
    <row r="1650" spans="1:5" x14ac:dyDescent="0.3">
      <c r="A1650" t="s">
        <v>20</v>
      </c>
      <c r="B1650" t="s">
        <v>9</v>
      </c>
      <c r="C1650" t="s">
        <v>19</v>
      </c>
      <c r="D1650" s="3">
        <v>45370</v>
      </c>
      <c r="E1650" s="2">
        <v>1525</v>
      </c>
    </row>
    <row r="1651" spans="1:5" x14ac:dyDescent="0.3">
      <c r="A1651" t="s">
        <v>10</v>
      </c>
      <c r="B1651" t="s">
        <v>21</v>
      </c>
      <c r="C1651" t="s">
        <v>23</v>
      </c>
      <c r="D1651" s="3">
        <v>45370</v>
      </c>
      <c r="E1651" s="2">
        <v>9081</v>
      </c>
    </row>
    <row r="1652" spans="1:5" x14ac:dyDescent="0.3">
      <c r="A1652" t="s">
        <v>32</v>
      </c>
      <c r="B1652" t="s">
        <v>21</v>
      </c>
      <c r="C1652" t="s">
        <v>7</v>
      </c>
      <c r="D1652" s="3">
        <v>45370</v>
      </c>
      <c r="E1652" s="2">
        <v>9720</v>
      </c>
    </row>
    <row r="1653" spans="1:5" x14ac:dyDescent="0.3">
      <c r="A1653" t="s">
        <v>24</v>
      </c>
      <c r="B1653" t="s">
        <v>21</v>
      </c>
      <c r="C1653" t="s">
        <v>25</v>
      </c>
      <c r="D1653" s="3">
        <v>45371</v>
      </c>
      <c r="E1653" s="2">
        <v>11179</v>
      </c>
    </row>
    <row r="1654" spans="1:5" x14ac:dyDescent="0.3">
      <c r="A1654" t="s">
        <v>22</v>
      </c>
      <c r="B1654" t="s">
        <v>21</v>
      </c>
      <c r="C1654" t="s">
        <v>7</v>
      </c>
      <c r="D1654" s="3">
        <v>45371</v>
      </c>
      <c r="E1654" s="2">
        <v>10177</v>
      </c>
    </row>
    <row r="1655" spans="1:5" x14ac:dyDescent="0.3">
      <c r="A1655" t="s">
        <v>26</v>
      </c>
      <c r="B1655" t="s">
        <v>16</v>
      </c>
      <c r="C1655" t="s">
        <v>7</v>
      </c>
      <c r="D1655" s="3">
        <v>45372</v>
      </c>
      <c r="E1655" s="2">
        <v>5668</v>
      </c>
    </row>
    <row r="1656" spans="1:5" x14ac:dyDescent="0.3">
      <c r="A1656" t="s">
        <v>33</v>
      </c>
      <c r="B1656" t="s">
        <v>16</v>
      </c>
      <c r="C1656" t="s">
        <v>7</v>
      </c>
      <c r="D1656" s="3">
        <v>45372</v>
      </c>
      <c r="E1656" s="2">
        <v>1083</v>
      </c>
    </row>
    <row r="1657" spans="1:5" x14ac:dyDescent="0.3">
      <c r="A1657" t="s">
        <v>31</v>
      </c>
      <c r="B1657" t="s">
        <v>11</v>
      </c>
      <c r="C1657" t="s">
        <v>28</v>
      </c>
      <c r="D1657" s="3">
        <v>45372</v>
      </c>
      <c r="E1657" s="2">
        <v>2768</v>
      </c>
    </row>
    <row r="1658" spans="1:5" x14ac:dyDescent="0.3">
      <c r="A1658" t="s">
        <v>30</v>
      </c>
      <c r="B1658" t="s">
        <v>6</v>
      </c>
      <c r="C1658" t="s">
        <v>14</v>
      </c>
      <c r="D1658" s="3">
        <v>45373</v>
      </c>
      <c r="E1658" s="2">
        <v>8295</v>
      </c>
    </row>
    <row r="1659" spans="1:5" x14ac:dyDescent="0.3">
      <c r="A1659" t="s">
        <v>31</v>
      </c>
      <c r="B1659" t="s">
        <v>6</v>
      </c>
      <c r="C1659" t="s">
        <v>25</v>
      </c>
      <c r="D1659" s="3">
        <v>45373</v>
      </c>
      <c r="E1659" s="2">
        <v>5403</v>
      </c>
    </row>
    <row r="1660" spans="1:5" x14ac:dyDescent="0.3">
      <c r="A1660" t="s">
        <v>10</v>
      </c>
      <c r="B1660" t="s">
        <v>16</v>
      </c>
      <c r="C1660" t="s">
        <v>7</v>
      </c>
      <c r="D1660" s="3">
        <v>45373</v>
      </c>
      <c r="E1660" s="2">
        <v>13584</v>
      </c>
    </row>
    <row r="1661" spans="1:5" x14ac:dyDescent="0.3">
      <c r="A1661" t="s">
        <v>22</v>
      </c>
      <c r="B1661" t="s">
        <v>13</v>
      </c>
      <c r="C1661" t="s">
        <v>7</v>
      </c>
      <c r="D1661" s="3">
        <v>45373</v>
      </c>
      <c r="E1661" s="2">
        <v>2364</v>
      </c>
    </row>
    <row r="1662" spans="1:5" x14ac:dyDescent="0.3">
      <c r="A1662" t="s">
        <v>32</v>
      </c>
      <c r="B1662" t="s">
        <v>16</v>
      </c>
      <c r="C1662" t="s">
        <v>7</v>
      </c>
      <c r="D1662" s="3">
        <v>45373</v>
      </c>
      <c r="E1662" s="2">
        <v>13504</v>
      </c>
    </row>
    <row r="1663" spans="1:5" x14ac:dyDescent="0.3">
      <c r="A1663" t="s">
        <v>22</v>
      </c>
      <c r="B1663" t="s">
        <v>16</v>
      </c>
      <c r="C1663" t="s">
        <v>12</v>
      </c>
      <c r="D1663" s="3">
        <v>45373</v>
      </c>
      <c r="E1663" s="2">
        <v>6393</v>
      </c>
    </row>
    <row r="1664" spans="1:5" x14ac:dyDescent="0.3">
      <c r="A1664" t="s">
        <v>27</v>
      </c>
      <c r="B1664" t="s">
        <v>16</v>
      </c>
      <c r="C1664" t="s">
        <v>14</v>
      </c>
      <c r="D1664" s="3">
        <v>45374</v>
      </c>
      <c r="E1664" s="2">
        <v>13988</v>
      </c>
    </row>
    <row r="1665" spans="1:5" x14ac:dyDescent="0.3">
      <c r="A1665" t="s">
        <v>8</v>
      </c>
      <c r="B1665" t="s">
        <v>11</v>
      </c>
      <c r="C1665" t="s">
        <v>19</v>
      </c>
      <c r="D1665" s="3">
        <v>45374</v>
      </c>
      <c r="E1665" s="2">
        <v>10653</v>
      </c>
    </row>
    <row r="1666" spans="1:5" x14ac:dyDescent="0.3">
      <c r="A1666" t="s">
        <v>20</v>
      </c>
      <c r="B1666" t="s">
        <v>16</v>
      </c>
      <c r="C1666" t="s">
        <v>28</v>
      </c>
      <c r="D1666" s="3">
        <v>45374</v>
      </c>
      <c r="E1666" s="2">
        <v>6491</v>
      </c>
    </row>
    <row r="1667" spans="1:5" x14ac:dyDescent="0.3">
      <c r="A1667" t="s">
        <v>8</v>
      </c>
      <c r="B1667" t="s">
        <v>11</v>
      </c>
      <c r="C1667" t="s">
        <v>12</v>
      </c>
      <c r="D1667" s="3">
        <v>45374</v>
      </c>
      <c r="E1667" s="2">
        <v>10818</v>
      </c>
    </row>
    <row r="1668" spans="1:5" x14ac:dyDescent="0.3">
      <c r="A1668" t="s">
        <v>5</v>
      </c>
      <c r="B1668" t="s">
        <v>6</v>
      </c>
      <c r="C1668" t="s">
        <v>7</v>
      </c>
      <c r="D1668" s="3">
        <v>45375</v>
      </c>
      <c r="E1668" s="2">
        <v>2822</v>
      </c>
    </row>
    <row r="1669" spans="1:5" x14ac:dyDescent="0.3">
      <c r="A1669" t="s">
        <v>24</v>
      </c>
      <c r="B1669" t="s">
        <v>9</v>
      </c>
      <c r="C1669" t="s">
        <v>12</v>
      </c>
      <c r="D1669" s="3">
        <v>45375</v>
      </c>
      <c r="E1669" s="2">
        <v>11452</v>
      </c>
    </row>
    <row r="1670" spans="1:5" x14ac:dyDescent="0.3">
      <c r="A1670" t="s">
        <v>10</v>
      </c>
      <c r="B1670" t="s">
        <v>9</v>
      </c>
      <c r="C1670" t="s">
        <v>19</v>
      </c>
      <c r="D1670" s="3">
        <v>45376</v>
      </c>
      <c r="E1670" s="2">
        <v>9241</v>
      </c>
    </row>
    <row r="1671" spans="1:5" x14ac:dyDescent="0.3">
      <c r="A1671" t="s">
        <v>32</v>
      </c>
      <c r="B1671" t="s">
        <v>16</v>
      </c>
      <c r="C1671" t="s">
        <v>7</v>
      </c>
      <c r="D1671" s="3">
        <v>45376</v>
      </c>
      <c r="E1671" s="2">
        <v>4233</v>
      </c>
    </row>
    <row r="1672" spans="1:5" x14ac:dyDescent="0.3">
      <c r="A1672" t="s">
        <v>26</v>
      </c>
      <c r="B1672" t="s">
        <v>16</v>
      </c>
      <c r="C1672" t="s">
        <v>7</v>
      </c>
      <c r="D1672" s="3">
        <v>45376</v>
      </c>
      <c r="E1672" s="2">
        <v>10310</v>
      </c>
    </row>
    <row r="1673" spans="1:5" x14ac:dyDescent="0.3">
      <c r="A1673" t="s">
        <v>20</v>
      </c>
      <c r="B1673" t="s">
        <v>21</v>
      </c>
      <c r="C1673" t="s">
        <v>28</v>
      </c>
      <c r="D1673" s="3">
        <v>45376</v>
      </c>
      <c r="E1673" s="2">
        <v>10665</v>
      </c>
    </row>
    <row r="1674" spans="1:5" x14ac:dyDescent="0.3">
      <c r="A1674" t="s">
        <v>30</v>
      </c>
      <c r="B1674" t="s">
        <v>11</v>
      </c>
      <c r="C1674" t="s">
        <v>17</v>
      </c>
      <c r="D1674" s="3">
        <v>45376</v>
      </c>
      <c r="E1674" s="2">
        <v>12833</v>
      </c>
    </row>
    <row r="1675" spans="1:5" x14ac:dyDescent="0.3">
      <c r="A1675" t="s">
        <v>26</v>
      </c>
      <c r="B1675" t="s">
        <v>11</v>
      </c>
      <c r="C1675" t="s">
        <v>19</v>
      </c>
      <c r="D1675" s="3">
        <v>45377</v>
      </c>
      <c r="E1675" s="2">
        <v>5597</v>
      </c>
    </row>
    <row r="1676" spans="1:5" x14ac:dyDescent="0.3">
      <c r="A1676" t="s">
        <v>29</v>
      </c>
      <c r="B1676" t="s">
        <v>9</v>
      </c>
      <c r="C1676" t="s">
        <v>25</v>
      </c>
      <c r="D1676" s="3">
        <v>45377</v>
      </c>
      <c r="E1676" s="2">
        <v>11365</v>
      </c>
    </row>
    <row r="1677" spans="1:5" x14ac:dyDescent="0.3">
      <c r="A1677" t="s">
        <v>26</v>
      </c>
      <c r="B1677" t="s">
        <v>21</v>
      </c>
      <c r="C1677" t="s">
        <v>25</v>
      </c>
      <c r="D1677" s="3">
        <v>45377</v>
      </c>
      <c r="E1677" s="2">
        <v>2968</v>
      </c>
    </row>
    <row r="1678" spans="1:5" x14ac:dyDescent="0.3">
      <c r="A1678" t="s">
        <v>29</v>
      </c>
      <c r="B1678" t="s">
        <v>21</v>
      </c>
      <c r="C1678" t="s">
        <v>7</v>
      </c>
      <c r="D1678" s="3">
        <v>45377</v>
      </c>
      <c r="E1678" s="2">
        <v>9936</v>
      </c>
    </row>
    <row r="1679" spans="1:5" x14ac:dyDescent="0.3">
      <c r="A1679" t="s">
        <v>26</v>
      </c>
      <c r="B1679" t="s">
        <v>16</v>
      </c>
      <c r="C1679" t="s">
        <v>28</v>
      </c>
      <c r="D1679" s="3">
        <v>45377</v>
      </c>
      <c r="E1679" s="2">
        <v>1563</v>
      </c>
    </row>
    <row r="1680" spans="1:5" x14ac:dyDescent="0.3">
      <c r="A1680" t="s">
        <v>5</v>
      </c>
      <c r="B1680" t="s">
        <v>13</v>
      </c>
      <c r="C1680" t="s">
        <v>17</v>
      </c>
      <c r="D1680" s="3">
        <v>45377</v>
      </c>
      <c r="E1680" s="2">
        <v>9105</v>
      </c>
    </row>
    <row r="1681" spans="1:5" x14ac:dyDescent="0.3">
      <c r="A1681" t="s">
        <v>10</v>
      </c>
      <c r="B1681" t="s">
        <v>13</v>
      </c>
      <c r="C1681" t="s">
        <v>14</v>
      </c>
      <c r="D1681" s="3">
        <v>45378</v>
      </c>
      <c r="E1681" s="2">
        <v>3551</v>
      </c>
    </row>
    <row r="1682" spans="1:5" x14ac:dyDescent="0.3">
      <c r="A1682" t="s">
        <v>8</v>
      </c>
      <c r="B1682" t="s">
        <v>6</v>
      </c>
      <c r="C1682" t="s">
        <v>23</v>
      </c>
      <c r="D1682" s="3">
        <v>45378</v>
      </c>
      <c r="E1682" s="2">
        <v>12153</v>
      </c>
    </row>
    <row r="1683" spans="1:5" x14ac:dyDescent="0.3">
      <c r="A1683" t="s">
        <v>31</v>
      </c>
      <c r="B1683" t="s">
        <v>16</v>
      </c>
      <c r="C1683" t="s">
        <v>25</v>
      </c>
      <c r="D1683" s="3">
        <v>45378</v>
      </c>
      <c r="E1683" s="2">
        <v>6099</v>
      </c>
    </row>
    <row r="1684" spans="1:5" x14ac:dyDescent="0.3">
      <c r="A1684" t="s">
        <v>27</v>
      </c>
      <c r="B1684" t="s">
        <v>16</v>
      </c>
      <c r="C1684" t="s">
        <v>7</v>
      </c>
      <c r="D1684" s="3">
        <v>45378</v>
      </c>
      <c r="E1684" s="2">
        <v>10961</v>
      </c>
    </row>
    <row r="1685" spans="1:5" x14ac:dyDescent="0.3">
      <c r="A1685" t="s">
        <v>31</v>
      </c>
      <c r="B1685" t="s">
        <v>6</v>
      </c>
      <c r="C1685" t="s">
        <v>7</v>
      </c>
      <c r="D1685" s="3">
        <v>45378</v>
      </c>
      <c r="E1685" s="2">
        <v>4103</v>
      </c>
    </row>
    <row r="1686" spans="1:5" x14ac:dyDescent="0.3">
      <c r="A1686" t="s">
        <v>32</v>
      </c>
      <c r="B1686" t="s">
        <v>16</v>
      </c>
      <c r="C1686" t="s">
        <v>28</v>
      </c>
      <c r="D1686" s="3">
        <v>45378</v>
      </c>
      <c r="E1686" s="2">
        <v>13519</v>
      </c>
    </row>
    <row r="1687" spans="1:5" x14ac:dyDescent="0.3">
      <c r="A1687" t="s">
        <v>30</v>
      </c>
      <c r="B1687" t="s">
        <v>9</v>
      </c>
      <c r="C1687" t="s">
        <v>17</v>
      </c>
      <c r="D1687" s="3">
        <v>45378</v>
      </c>
      <c r="E1687" s="2">
        <v>6413</v>
      </c>
    </row>
    <row r="1688" spans="1:5" x14ac:dyDescent="0.3">
      <c r="A1688" t="s">
        <v>31</v>
      </c>
      <c r="B1688" t="s">
        <v>6</v>
      </c>
      <c r="C1688" t="s">
        <v>12</v>
      </c>
      <c r="D1688" s="3">
        <v>45378</v>
      </c>
      <c r="E1688" s="2">
        <v>12709</v>
      </c>
    </row>
    <row r="1689" spans="1:5" x14ac:dyDescent="0.3">
      <c r="A1689" t="s">
        <v>15</v>
      </c>
      <c r="B1689" t="s">
        <v>11</v>
      </c>
      <c r="C1689" t="s">
        <v>12</v>
      </c>
      <c r="D1689" s="3">
        <v>45378</v>
      </c>
      <c r="E1689" s="2">
        <v>1608</v>
      </c>
    </row>
    <row r="1690" spans="1:5" x14ac:dyDescent="0.3">
      <c r="A1690" t="s">
        <v>29</v>
      </c>
      <c r="B1690" t="s">
        <v>13</v>
      </c>
      <c r="C1690" t="s">
        <v>25</v>
      </c>
      <c r="D1690" s="3">
        <v>45379</v>
      </c>
      <c r="E1690" s="2">
        <v>3017</v>
      </c>
    </row>
    <row r="1691" spans="1:5" x14ac:dyDescent="0.3">
      <c r="A1691" t="s">
        <v>18</v>
      </c>
      <c r="B1691" t="s">
        <v>21</v>
      </c>
      <c r="C1691" t="s">
        <v>14</v>
      </c>
      <c r="D1691" s="3">
        <v>45380</v>
      </c>
      <c r="E1691" s="2">
        <v>13211</v>
      </c>
    </row>
    <row r="1692" spans="1:5" x14ac:dyDescent="0.3">
      <c r="A1692" t="s">
        <v>20</v>
      </c>
      <c r="B1692" t="s">
        <v>21</v>
      </c>
      <c r="C1692" t="s">
        <v>14</v>
      </c>
      <c r="D1692" s="3">
        <v>45380</v>
      </c>
      <c r="E1692" s="2">
        <v>13571</v>
      </c>
    </row>
    <row r="1693" spans="1:5" x14ac:dyDescent="0.3">
      <c r="A1693" t="s">
        <v>32</v>
      </c>
      <c r="B1693" t="s">
        <v>6</v>
      </c>
      <c r="C1693" t="s">
        <v>23</v>
      </c>
      <c r="D1693" s="3">
        <v>45380</v>
      </c>
      <c r="E1693" s="2">
        <v>10206</v>
      </c>
    </row>
    <row r="1694" spans="1:5" x14ac:dyDescent="0.3">
      <c r="A1694" t="s">
        <v>10</v>
      </c>
      <c r="B1694" t="s">
        <v>6</v>
      </c>
      <c r="C1694" t="s">
        <v>14</v>
      </c>
      <c r="D1694" s="3">
        <v>45381</v>
      </c>
      <c r="E1694" s="2">
        <v>9518</v>
      </c>
    </row>
    <row r="1695" spans="1:5" x14ac:dyDescent="0.3">
      <c r="A1695" t="s">
        <v>26</v>
      </c>
      <c r="B1695" t="s">
        <v>9</v>
      </c>
      <c r="C1695" t="s">
        <v>14</v>
      </c>
      <c r="D1695" s="3">
        <v>45381</v>
      </c>
      <c r="E1695" s="2">
        <v>1719</v>
      </c>
    </row>
    <row r="1696" spans="1:5" x14ac:dyDescent="0.3">
      <c r="A1696" t="s">
        <v>29</v>
      </c>
      <c r="B1696" t="s">
        <v>11</v>
      </c>
      <c r="C1696" t="s">
        <v>19</v>
      </c>
      <c r="D1696" s="3">
        <v>45381</v>
      </c>
      <c r="E1696" s="2">
        <v>4546</v>
      </c>
    </row>
    <row r="1697" spans="1:5" x14ac:dyDescent="0.3">
      <c r="A1697" t="s">
        <v>18</v>
      </c>
      <c r="B1697" t="s">
        <v>6</v>
      </c>
      <c r="C1697" t="s">
        <v>23</v>
      </c>
      <c r="D1697" s="3">
        <v>45381</v>
      </c>
      <c r="E1697" s="2">
        <v>6701</v>
      </c>
    </row>
    <row r="1698" spans="1:5" x14ac:dyDescent="0.3">
      <c r="A1698" t="s">
        <v>29</v>
      </c>
      <c r="B1698" t="s">
        <v>13</v>
      </c>
      <c r="C1698" t="s">
        <v>25</v>
      </c>
      <c r="D1698" s="3">
        <v>45381</v>
      </c>
      <c r="E1698" s="2">
        <v>3554</v>
      </c>
    </row>
    <row r="1699" spans="1:5" x14ac:dyDescent="0.3">
      <c r="A1699" t="s">
        <v>24</v>
      </c>
      <c r="B1699" t="s">
        <v>11</v>
      </c>
      <c r="C1699" t="s">
        <v>28</v>
      </c>
      <c r="D1699" s="3">
        <v>45381</v>
      </c>
      <c r="E1699" s="2">
        <v>2608</v>
      </c>
    </row>
    <row r="1700" spans="1:5" x14ac:dyDescent="0.3">
      <c r="A1700" t="s">
        <v>5</v>
      </c>
      <c r="B1700" t="s">
        <v>6</v>
      </c>
      <c r="C1700" t="s">
        <v>17</v>
      </c>
      <c r="D1700" s="3">
        <v>45381</v>
      </c>
      <c r="E1700" s="2">
        <v>6458</v>
      </c>
    </row>
    <row r="1701" spans="1:5" x14ac:dyDescent="0.3">
      <c r="A1701" t="s">
        <v>20</v>
      </c>
      <c r="B1701" t="s">
        <v>9</v>
      </c>
      <c r="C1701" t="s">
        <v>17</v>
      </c>
      <c r="D1701" s="3">
        <v>45381</v>
      </c>
      <c r="E1701" s="2">
        <v>6346</v>
      </c>
    </row>
    <row r="1702" spans="1:5" x14ac:dyDescent="0.3">
      <c r="A1702" t="s">
        <v>15</v>
      </c>
      <c r="B1702" t="s">
        <v>13</v>
      </c>
      <c r="C1702" t="s">
        <v>19</v>
      </c>
      <c r="D1702" s="3">
        <v>45382</v>
      </c>
      <c r="E1702" s="2">
        <v>5830</v>
      </c>
    </row>
    <row r="1703" spans="1:5" x14ac:dyDescent="0.3">
      <c r="A1703" t="s">
        <v>30</v>
      </c>
      <c r="B1703" t="s">
        <v>13</v>
      </c>
      <c r="C1703" t="s">
        <v>19</v>
      </c>
      <c r="D1703" s="3">
        <v>45382</v>
      </c>
      <c r="E1703" s="2">
        <v>3564</v>
      </c>
    </row>
    <row r="1704" spans="1:5" x14ac:dyDescent="0.3">
      <c r="A1704" t="s">
        <v>5</v>
      </c>
      <c r="B1704" t="s">
        <v>9</v>
      </c>
      <c r="C1704" t="s">
        <v>25</v>
      </c>
      <c r="D1704" s="3">
        <v>45382</v>
      </c>
      <c r="E1704" s="2">
        <v>12829</v>
      </c>
    </row>
    <row r="1705" spans="1:5" x14ac:dyDescent="0.3">
      <c r="A1705" t="s">
        <v>27</v>
      </c>
      <c r="B1705" t="s">
        <v>16</v>
      </c>
      <c r="C1705" t="s">
        <v>12</v>
      </c>
      <c r="D1705" s="3">
        <v>45382</v>
      </c>
      <c r="E1705" s="2">
        <v>7486</v>
      </c>
    </row>
    <row r="1706" spans="1:5" x14ac:dyDescent="0.3">
      <c r="A1706" t="s">
        <v>24</v>
      </c>
      <c r="B1706" t="s">
        <v>13</v>
      </c>
      <c r="C1706" t="s">
        <v>14</v>
      </c>
      <c r="D1706" s="3">
        <v>45383</v>
      </c>
      <c r="E1706" s="2">
        <v>10353</v>
      </c>
    </row>
    <row r="1707" spans="1:5" x14ac:dyDescent="0.3">
      <c r="A1707" t="s">
        <v>33</v>
      </c>
      <c r="B1707" t="s">
        <v>9</v>
      </c>
      <c r="C1707" t="s">
        <v>23</v>
      </c>
      <c r="D1707" s="3">
        <v>45383</v>
      </c>
      <c r="E1707" s="2">
        <v>9490</v>
      </c>
    </row>
    <row r="1708" spans="1:5" x14ac:dyDescent="0.3">
      <c r="A1708" t="s">
        <v>27</v>
      </c>
      <c r="B1708" t="s">
        <v>6</v>
      </c>
      <c r="C1708" t="s">
        <v>7</v>
      </c>
      <c r="D1708" s="3">
        <v>45383</v>
      </c>
      <c r="E1708" s="2">
        <v>13280</v>
      </c>
    </row>
    <row r="1709" spans="1:5" x14ac:dyDescent="0.3">
      <c r="A1709" t="s">
        <v>32</v>
      </c>
      <c r="B1709" t="s">
        <v>11</v>
      </c>
      <c r="C1709" t="s">
        <v>12</v>
      </c>
      <c r="D1709" s="3">
        <v>45383</v>
      </c>
      <c r="E1709" s="2">
        <v>6086</v>
      </c>
    </row>
    <row r="1710" spans="1:5" x14ac:dyDescent="0.3">
      <c r="A1710" t="s">
        <v>29</v>
      </c>
      <c r="B1710" t="s">
        <v>9</v>
      </c>
      <c r="C1710" t="s">
        <v>14</v>
      </c>
      <c r="D1710" s="3">
        <v>45384</v>
      </c>
      <c r="E1710" s="2">
        <v>3725</v>
      </c>
    </row>
    <row r="1711" spans="1:5" x14ac:dyDescent="0.3">
      <c r="A1711" t="s">
        <v>10</v>
      </c>
      <c r="B1711" t="s">
        <v>13</v>
      </c>
      <c r="C1711" t="s">
        <v>19</v>
      </c>
      <c r="D1711" s="3">
        <v>45384</v>
      </c>
      <c r="E1711" s="2">
        <v>13831</v>
      </c>
    </row>
    <row r="1712" spans="1:5" x14ac:dyDescent="0.3">
      <c r="A1712" t="s">
        <v>27</v>
      </c>
      <c r="B1712" t="s">
        <v>9</v>
      </c>
      <c r="C1712" t="s">
        <v>23</v>
      </c>
      <c r="D1712" s="3">
        <v>45384</v>
      </c>
      <c r="E1712" s="2">
        <v>1818</v>
      </c>
    </row>
    <row r="1713" spans="1:5" x14ac:dyDescent="0.3">
      <c r="A1713" t="s">
        <v>27</v>
      </c>
      <c r="B1713" t="s">
        <v>11</v>
      </c>
      <c r="C1713" t="s">
        <v>23</v>
      </c>
      <c r="D1713" s="3">
        <v>45384</v>
      </c>
      <c r="E1713" s="2">
        <v>12810</v>
      </c>
    </row>
    <row r="1714" spans="1:5" x14ac:dyDescent="0.3">
      <c r="A1714" t="s">
        <v>18</v>
      </c>
      <c r="B1714" t="s">
        <v>16</v>
      </c>
      <c r="C1714" t="s">
        <v>12</v>
      </c>
      <c r="D1714" s="3">
        <v>45384</v>
      </c>
      <c r="E1714" s="2">
        <v>6448</v>
      </c>
    </row>
    <row r="1715" spans="1:5" x14ac:dyDescent="0.3">
      <c r="A1715" t="s">
        <v>22</v>
      </c>
      <c r="B1715" t="s">
        <v>11</v>
      </c>
      <c r="C1715" t="s">
        <v>28</v>
      </c>
      <c r="D1715" s="3">
        <v>45385</v>
      </c>
      <c r="E1715" s="2">
        <v>4095</v>
      </c>
    </row>
    <row r="1716" spans="1:5" x14ac:dyDescent="0.3">
      <c r="A1716" t="s">
        <v>20</v>
      </c>
      <c r="B1716" t="s">
        <v>13</v>
      </c>
      <c r="C1716" t="s">
        <v>17</v>
      </c>
      <c r="D1716" s="3">
        <v>45385</v>
      </c>
      <c r="E1716" s="2">
        <v>10192</v>
      </c>
    </row>
    <row r="1717" spans="1:5" x14ac:dyDescent="0.3">
      <c r="A1717" t="s">
        <v>22</v>
      </c>
      <c r="B1717" t="s">
        <v>11</v>
      </c>
      <c r="C1717" t="s">
        <v>14</v>
      </c>
      <c r="D1717" s="3">
        <v>45386</v>
      </c>
      <c r="E1717" s="2">
        <v>13770</v>
      </c>
    </row>
    <row r="1718" spans="1:5" x14ac:dyDescent="0.3">
      <c r="A1718" t="s">
        <v>20</v>
      </c>
      <c r="B1718" t="s">
        <v>6</v>
      </c>
      <c r="C1718" t="s">
        <v>14</v>
      </c>
      <c r="D1718" s="3">
        <v>45386</v>
      </c>
      <c r="E1718" s="2">
        <v>1227</v>
      </c>
    </row>
    <row r="1719" spans="1:5" x14ac:dyDescent="0.3">
      <c r="A1719" t="s">
        <v>15</v>
      </c>
      <c r="B1719" t="s">
        <v>6</v>
      </c>
      <c r="C1719" t="s">
        <v>23</v>
      </c>
      <c r="D1719" s="3">
        <v>45386</v>
      </c>
      <c r="E1719" s="2">
        <v>11510</v>
      </c>
    </row>
    <row r="1720" spans="1:5" x14ac:dyDescent="0.3">
      <c r="A1720" t="s">
        <v>10</v>
      </c>
      <c r="B1720" t="s">
        <v>11</v>
      </c>
      <c r="C1720" t="s">
        <v>28</v>
      </c>
      <c r="D1720" s="3">
        <v>45387</v>
      </c>
      <c r="E1720" s="2">
        <v>4597</v>
      </c>
    </row>
    <row r="1721" spans="1:5" x14ac:dyDescent="0.3">
      <c r="A1721" t="s">
        <v>20</v>
      </c>
      <c r="B1721" t="s">
        <v>11</v>
      </c>
      <c r="C1721" t="s">
        <v>17</v>
      </c>
      <c r="D1721" s="3">
        <v>45387</v>
      </c>
      <c r="E1721" s="2">
        <v>12135</v>
      </c>
    </row>
    <row r="1722" spans="1:5" x14ac:dyDescent="0.3">
      <c r="A1722" t="s">
        <v>33</v>
      </c>
      <c r="B1722" t="s">
        <v>6</v>
      </c>
      <c r="C1722" t="s">
        <v>14</v>
      </c>
      <c r="D1722" s="3">
        <v>45388</v>
      </c>
      <c r="E1722" s="2">
        <v>12206</v>
      </c>
    </row>
    <row r="1723" spans="1:5" x14ac:dyDescent="0.3">
      <c r="A1723" t="s">
        <v>30</v>
      </c>
      <c r="B1723" t="s">
        <v>9</v>
      </c>
      <c r="C1723" t="s">
        <v>17</v>
      </c>
      <c r="D1723" s="3">
        <v>45388</v>
      </c>
      <c r="E1723" s="2">
        <v>8026</v>
      </c>
    </row>
    <row r="1724" spans="1:5" x14ac:dyDescent="0.3">
      <c r="A1724" t="s">
        <v>32</v>
      </c>
      <c r="B1724" t="s">
        <v>16</v>
      </c>
      <c r="C1724" t="s">
        <v>14</v>
      </c>
      <c r="D1724" s="3">
        <v>45389</v>
      </c>
      <c r="E1724" s="2">
        <v>12117</v>
      </c>
    </row>
    <row r="1725" spans="1:5" x14ac:dyDescent="0.3">
      <c r="A1725" t="s">
        <v>15</v>
      </c>
      <c r="B1725" t="s">
        <v>11</v>
      </c>
      <c r="C1725" t="s">
        <v>19</v>
      </c>
      <c r="D1725" s="3">
        <v>45389</v>
      </c>
      <c r="E1725" s="2">
        <v>5887</v>
      </c>
    </row>
    <row r="1726" spans="1:5" x14ac:dyDescent="0.3">
      <c r="A1726" t="s">
        <v>20</v>
      </c>
      <c r="B1726" t="s">
        <v>16</v>
      </c>
      <c r="C1726" t="s">
        <v>23</v>
      </c>
      <c r="D1726" s="3">
        <v>45389</v>
      </c>
      <c r="E1726" s="2">
        <v>6771</v>
      </c>
    </row>
    <row r="1727" spans="1:5" x14ac:dyDescent="0.3">
      <c r="A1727" t="s">
        <v>18</v>
      </c>
      <c r="B1727" t="s">
        <v>13</v>
      </c>
      <c r="C1727" t="s">
        <v>23</v>
      </c>
      <c r="D1727" s="3">
        <v>45390</v>
      </c>
      <c r="E1727" s="2">
        <v>8631</v>
      </c>
    </row>
    <row r="1728" spans="1:5" x14ac:dyDescent="0.3">
      <c r="A1728" t="s">
        <v>29</v>
      </c>
      <c r="B1728" t="s">
        <v>21</v>
      </c>
      <c r="C1728" t="s">
        <v>23</v>
      </c>
      <c r="D1728" s="3">
        <v>45391</v>
      </c>
      <c r="E1728" s="2">
        <v>1243</v>
      </c>
    </row>
    <row r="1729" spans="1:5" x14ac:dyDescent="0.3">
      <c r="A1729" t="s">
        <v>31</v>
      </c>
      <c r="B1729" t="s">
        <v>11</v>
      </c>
      <c r="C1729" t="s">
        <v>7</v>
      </c>
      <c r="D1729" s="3">
        <v>45391</v>
      </c>
      <c r="E1729" s="2">
        <v>2024</v>
      </c>
    </row>
    <row r="1730" spans="1:5" x14ac:dyDescent="0.3">
      <c r="A1730" t="s">
        <v>33</v>
      </c>
      <c r="B1730" t="s">
        <v>13</v>
      </c>
      <c r="C1730" t="s">
        <v>17</v>
      </c>
      <c r="D1730" s="3">
        <v>45391</v>
      </c>
      <c r="E1730" s="2">
        <v>6171</v>
      </c>
    </row>
    <row r="1731" spans="1:5" x14ac:dyDescent="0.3">
      <c r="A1731" t="s">
        <v>32</v>
      </c>
      <c r="B1731" t="s">
        <v>9</v>
      </c>
      <c r="C1731" t="s">
        <v>17</v>
      </c>
      <c r="D1731" s="3">
        <v>45391</v>
      </c>
      <c r="E1731" s="2">
        <v>13726</v>
      </c>
    </row>
    <row r="1732" spans="1:5" x14ac:dyDescent="0.3">
      <c r="A1732" t="s">
        <v>5</v>
      </c>
      <c r="B1732" t="s">
        <v>13</v>
      </c>
      <c r="C1732" t="s">
        <v>12</v>
      </c>
      <c r="D1732" s="3">
        <v>45391</v>
      </c>
      <c r="E1732" s="2">
        <v>11483</v>
      </c>
    </row>
    <row r="1733" spans="1:5" x14ac:dyDescent="0.3">
      <c r="A1733" t="s">
        <v>15</v>
      </c>
      <c r="B1733" t="s">
        <v>9</v>
      </c>
      <c r="C1733" t="s">
        <v>14</v>
      </c>
      <c r="D1733" s="3">
        <v>45392</v>
      </c>
      <c r="E1733" s="2">
        <v>4957</v>
      </c>
    </row>
    <row r="1734" spans="1:5" x14ac:dyDescent="0.3">
      <c r="A1734" t="s">
        <v>32</v>
      </c>
      <c r="B1734" t="s">
        <v>13</v>
      </c>
      <c r="C1734" t="s">
        <v>14</v>
      </c>
      <c r="D1734" s="3">
        <v>45392</v>
      </c>
      <c r="E1734" s="2">
        <v>4848</v>
      </c>
    </row>
    <row r="1735" spans="1:5" x14ac:dyDescent="0.3">
      <c r="A1735" t="s">
        <v>8</v>
      </c>
      <c r="B1735" t="s">
        <v>16</v>
      </c>
      <c r="C1735" t="s">
        <v>25</v>
      </c>
      <c r="D1735" s="3">
        <v>45392</v>
      </c>
      <c r="E1735" s="2">
        <v>2558</v>
      </c>
    </row>
    <row r="1736" spans="1:5" x14ac:dyDescent="0.3">
      <c r="A1736" t="s">
        <v>32</v>
      </c>
      <c r="B1736" t="s">
        <v>16</v>
      </c>
      <c r="C1736" t="s">
        <v>7</v>
      </c>
      <c r="D1736" s="3">
        <v>45392</v>
      </c>
      <c r="E1736" s="2">
        <v>1997</v>
      </c>
    </row>
    <row r="1737" spans="1:5" x14ac:dyDescent="0.3">
      <c r="A1737" t="s">
        <v>29</v>
      </c>
      <c r="B1737" t="s">
        <v>9</v>
      </c>
      <c r="C1737" t="s">
        <v>7</v>
      </c>
      <c r="D1737" s="3">
        <v>45392</v>
      </c>
      <c r="E1737" s="2">
        <v>5202</v>
      </c>
    </row>
    <row r="1738" spans="1:5" x14ac:dyDescent="0.3">
      <c r="A1738" t="s">
        <v>22</v>
      </c>
      <c r="B1738" t="s">
        <v>6</v>
      </c>
      <c r="C1738" t="s">
        <v>7</v>
      </c>
      <c r="D1738" s="3">
        <v>45394</v>
      </c>
      <c r="E1738" s="2">
        <v>13569</v>
      </c>
    </row>
    <row r="1739" spans="1:5" x14ac:dyDescent="0.3">
      <c r="A1739" t="s">
        <v>32</v>
      </c>
      <c r="B1739" t="s">
        <v>13</v>
      </c>
      <c r="C1739" t="s">
        <v>14</v>
      </c>
      <c r="D1739" s="3">
        <v>45395</v>
      </c>
      <c r="E1739" s="2">
        <v>6724</v>
      </c>
    </row>
    <row r="1740" spans="1:5" x14ac:dyDescent="0.3">
      <c r="A1740" t="s">
        <v>30</v>
      </c>
      <c r="B1740" t="s">
        <v>21</v>
      </c>
      <c r="C1740" t="s">
        <v>14</v>
      </c>
      <c r="D1740" s="3">
        <v>45395</v>
      </c>
      <c r="E1740" s="2">
        <v>5776</v>
      </c>
    </row>
    <row r="1741" spans="1:5" x14ac:dyDescent="0.3">
      <c r="A1741" t="s">
        <v>15</v>
      </c>
      <c r="B1741" t="s">
        <v>9</v>
      </c>
      <c r="C1741" t="s">
        <v>17</v>
      </c>
      <c r="D1741" s="3">
        <v>45395</v>
      </c>
      <c r="E1741" s="2">
        <v>7603</v>
      </c>
    </row>
    <row r="1742" spans="1:5" x14ac:dyDescent="0.3">
      <c r="A1742" t="s">
        <v>5</v>
      </c>
      <c r="B1742" t="s">
        <v>21</v>
      </c>
      <c r="C1742" t="s">
        <v>17</v>
      </c>
      <c r="D1742" s="3">
        <v>45395</v>
      </c>
      <c r="E1742" s="2">
        <v>10090</v>
      </c>
    </row>
    <row r="1743" spans="1:5" x14ac:dyDescent="0.3">
      <c r="A1743" t="s">
        <v>26</v>
      </c>
      <c r="B1743" t="s">
        <v>11</v>
      </c>
      <c r="C1743" t="s">
        <v>12</v>
      </c>
      <c r="D1743" s="3">
        <v>45395</v>
      </c>
      <c r="E1743" s="2">
        <v>10331</v>
      </c>
    </row>
    <row r="1744" spans="1:5" x14ac:dyDescent="0.3">
      <c r="A1744" t="s">
        <v>15</v>
      </c>
      <c r="B1744" t="s">
        <v>6</v>
      </c>
      <c r="C1744" t="s">
        <v>12</v>
      </c>
      <c r="D1744" s="3">
        <v>45395</v>
      </c>
      <c r="E1744" s="2">
        <v>4162</v>
      </c>
    </row>
    <row r="1745" spans="1:5" x14ac:dyDescent="0.3">
      <c r="A1745" t="s">
        <v>10</v>
      </c>
      <c r="B1745" t="s">
        <v>9</v>
      </c>
      <c r="C1745" t="s">
        <v>12</v>
      </c>
      <c r="D1745" s="3">
        <v>45395</v>
      </c>
      <c r="E1745" s="2">
        <v>9291</v>
      </c>
    </row>
    <row r="1746" spans="1:5" x14ac:dyDescent="0.3">
      <c r="A1746" t="s">
        <v>30</v>
      </c>
      <c r="B1746" t="s">
        <v>11</v>
      </c>
      <c r="C1746" t="s">
        <v>7</v>
      </c>
      <c r="D1746" s="3">
        <v>45396</v>
      </c>
      <c r="E1746" s="2">
        <v>3854</v>
      </c>
    </row>
    <row r="1747" spans="1:5" x14ac:dyDescent="0.3">
      <c r="A1747" t="s">
        <v>30</v>
      </c>
      <c r="B1747" t="s">
        <v>21</v>
      </c>
      <c r="C1747" t="s">
        <v>14</v>
      </c>
      <c r="D1747" s="3">
        <v>45397</v>
      </c>
      <c r="E1747" s="2">
        <v>13015</v>
      </c>
    </row>
    <row r="1748" spans="1:5" x14ac:dyDescent="0.3">
      <c r="A1748" t="s">
        <v>8</v>
      </c>
      <c r="B1748" t="s">
        <v>16</v>
      </c>
      <c r="C1748" t="s">
        <v>23</v>
      </c>
      <c r="D1748" s="3">
        <v>45397</v>
      </c>
      <c r="E1748" s="2">
        <v>9488</v>
      </c>
    </row>
    <row r="1749" spans="1:5" x14ac:dyDescent="0.3">
      <c r="A1749" t="s">
        <v>15</v>
      </c>
      <c r="B1749" t="s">
        <v>21</v>
      </c>
      <c r="C1749" t="s">
        <v>25</v>
      </c>
      <c r="D1749" s="3">
        <v>45397</v>
      </c>
      <c r="E1749" s="2">
        <v>11106</v>
      </c>
    </row>
    <row r="1750" spans="1:5" x14ac:dyDescent="0.3">
      <c r="A1750" t="s">
        <v>15</v>
      </c>
      <c r="B1750" t="s">
        <v>6</v>
      </c>
      <c r="C1750" t="s">
        <v>25</v>
      </c>
      <c r="D1750" s="3">
        <v>45397</v>
      </c>
      <c r="E1750" s="2">
        <v>8399</v>
      </c>
    </row>
    <row r="1751" spans="1:5" x14ac:dyDescent="0.3">
      <c r="A1751" t="s">
        <v>29</v>
      </c>
      <c r="B1751" t="s">
        <v>11</v>
      </c>
      <c r="C1751" t="s">
        <v>7</v>
      </c>
      <c r="D1751" s="3">
        <v>45397</v>
      </c>
      <c r="E1751" s="2">
        <v>13679</v>
      </c>
    </row>
    <row r="1752" spans="1:5" x14ac:dyDescent="0.3">
      <c r="A1752" t="s">
        <v>32</v>
      </c>
      <c r="B1752" t="s">
        <v>13</v>
      </c>
      <c r="C1752" t="s">
        <v>17</v>
      </c>
      <c r="D1752" s="3">
        <v>45397</v>
      </c>
      <c r="E1752" s="2">
        <v>8287</v>
      </c>
    </row>
    <row r="1753" spans="1:5" x14ac:dyDescent="0.3">
      <c r="A1753" t="s">
        <v>20</v>
      </c>
      <c r="B1753" t="s">
        <v>13</v>
      </c>
      <c r="C1753" t="s">
        <v>14</v>
      </c>
      <c r="D1753" s="3">
        <v>45398</v>
      </c>
      <c r="E1753" s="2">
        <v>13288</v>
      </c>
    </row>
    <row r="1754" spans="1:5" x14ac:dyDescent="0.3">
      <c r="A1754" t="s">
        <v>20</v>
      </c>
      <c r="B1754" t="s">
        <v>6</v>
      </c>
      <c r="C1754" t="s">
        <v>14</v>
      </c>
      <c r="D1754" s="3">
        <v>45398</v>
      </c>
      <c r="E1754" s="2">
        <v>4748</v>
      </c>
    </row>
    <row r="1755" spans="1:5" x14ac:dyDescent="0.3">
      <c r="A1755" t="s">
        <v>24</v>
      </c>
      <c r="B1755" t="s">
        <v>13</v>
      </c>
      <c r="C1755" t="s">
        <v>19</v>
      </c>
      <c r="D1755" s="3">
        <v>45398</v>
      </c>
      <c r="E1755" s="2">
        <v>10676</v>
      </c>
    </row>
    <row r="1756" spans="1:5" x14ac:dyDescent="0.3">
      <c r="A1756" t="s">
        <v>5</v>
      </c>
      <c r="B1756" t="s">
        <v>16</v>
      </c>
      <c r="C1756" t="s">
        <v>19</v>
      </c>
      <c r="D1756" s="3">
        <v>45398</v>
      </c>
      <c r="E1756" s="2">
        <v>3704</v>
      </c>
    </row>
    <row r="1757" spans="1:5" x14ac:dyDescent="0.3">
      <c r="A1757" t="s">
        <v>20</v>
      </c>
      <c r="B1757" t="s">
        <v>21</v>
      </c>
      <c r="C1757" t="s">
        <v>7</v>
      </c>
      <c r="D1757" s="3">
        <v>45398</v>
      </c>
      <c r="E1757" s="2">
        <v>12071</v>
      </c>
    </row>
    <row r="1758" spans="1:5" x14ac:dyDescent="0.3">
      <c r="A1758" t="s">
        <v>10</v>
      </c>
      <c r="B1758" t="s">
        <v>9</v>
      </c>
      <c r="C1758" t="s">
        <v>7</v>
      </c>
      <c r="D1758" s="3">
        <v>45398</v>
      </c>
      <c r="E1758" s="2">
        <v>1559</v>
      </c>
    </row>
    <row r="1759" spans="1:5" x14ac:dyDescent="0.3">
      <c r="A1759" t="s">
        <v>32</v>
      </c>
      <c r="B1759" t="s">
        <v>9</v>
      </c>
      <c r="C1759" t="s">
        <v>28</v>
      </c>
      <c r="D1759" s="3">
        <v>45398</v>
      </c>
      <c r="E1759" s="2">
        <v>10990</v>
      </c>
    </row>
    <row r="1760" spans="1:5" x14ac:dyDescent="0.3">
      <c r="A1760" t="s">
        <v>30</v>
      </c>
      <c r="B1760" t="s">
        <v>6</v>
      </c>
      <c r="C1760" t="s">
        <v>12</v>
      </c>
      <c r="D1760" s="3">
        <v>45398</v>
      </c>
      <c r="E1760" s="2">
        <v>6473</v>
      </c>
    </row>
    <row r="1761" spans="1:5" x14ac:dyDescent="0.3">
      <c r="A1761" t="s">
        <v>22</v>
      </c>
      <c r="B1761" t="s">
        <v>9</v>
      </c>
      <c r="C1761" t="s">
        <v>19</v>
      </c>
      <c r="D1761" s="3">
        <v>45399</v>
      </c>
      <c r="E1761" s="2">
        <v>12268</v>
      </c>
    </row>
    <row r="1762" spans="1:5" x14ac:dyDescent="0.3">
      <c r="A1762" t="s">
        <v>24</v>
      </c>
      <c r="B1762" t="s">
        <v>16</v>
      </c>
      <c r="C1762" t="s">
        <v>25</v>
      </c>
      <c r="D1762" s="3">
        <v>45399</v>
      </c>
      <c r="E1762" s="2">
        <v>5476</v>
      </c>
    </row>
    <row r="1763" spans="1:5" x14ac:dyDescent="0.3">
      <c r="A1763" t="s">
        <v>15</v>
      </c>
      <c r="B1763" t="s">
        <v>13</v>
      </c>
      <c r="C1763" t="s">
        <v>25</v>
      </c>
      <c r="D1763" s="3">
        <v>45399</v>
      </c>
      <c r="E1763" s="2">
        <v>12298</v>
      </c>
    </row>
    <row r="1764" spans="1:5" x14ac:dyDescent="0.3">
      <c r="A1764" t="s">
        <v>32</v>
      </c>
      <c r="B1764" t="s">
        <v>13</v>
      </c>
      <c r="C1764" t="s">
        <v>17</v>
      </c>
      <c r="D1764" s="3">
        <v>45399</v>
      </c>
      <c r="E1764" s="2">
        <v>11155</v>
      </c>
    </row>
    <row r="1765" spans="1:5" x14ac:dyDescent="0.3">
      <c r="A1765" t="s">
        <v>30</v>
      </c>
      <c r="B1765" t="s">
        <v>9</v>
      </c>
      <c r="C1765" t="s">
        <v>14</v>
      </c>
      <c r="D1765" s="3">
        <v>45400</v>
      </c>
      <c r="E1765" s="2">
        <v>8112</v>
      </c>
    </row>
    <row r="1766" spans="1:5" x14ac:dyDescent="0.3">
      <c r="A1766" t="s">
        <v>24</v>
      </c>
      <c r="B1766" t="s">
        <v>21</v>
      </c>
      <c r="C1766" t="s">
        <v>19</v>
      </c>
      <c r="D1766" s="3">
        <v>45400</v>
      </c>
      <c r="E1766" s="2">
        <v>5521</v>
      </c>
    </row>
    <row r="1767" spans="1:5" x14ac:dyDescent="0.3">
      <c r="A1767" t="s">
        <v>22</v>
      </c>
      <c r="B1767" t="s">
        <v>6</v>
      </c>
      <c r="C1767" t="s">
        <v>23</v>
      </c>
      <c r="D1767" s="3">
        <v>45400</v>
      </c>
      <c r="E1767" s="2">
        <v>6329</v>
      </c>
    </row>
    <row r="1768" spans="1:5" x14ac:dyDescent="0.3">
      <c r="A1768" t="s">
        <v>8</v>
      </c>
      <c r="B1768" t="s">
        <v>21</v>
      </c>
      <c r="C1768" t="s">
        <v>14</v>
      </c>
      <c r="D1768" s="3">
        <v>45401</v>
      </c>
      <c r="E1768" s="2">
        <v>8099</v>
      </c>
    </row>
    <row r="1769" spans="1:5" x14ac:dyDescent="0.3">
      <c r="A1769" t="s">
        <v>29</v>
      </c>
      <c r="B1769" t="s">
        <v>6</v>
      </c>
      <c r="C1769" t="s">
        <v>23</v>
      </c>
      <c r="D1769" s="3">
        <v>45401</v>
      </c>
      <c r="E1769" s="2">
        <v>9458</v>
      </c>
    </row>
    <row r="1770" spans="1:5" x14ac:dyDescent="0.3">
      <c r="A1770" t="s">
        <v>29</v>
      </c>
      <c r="B1770" t="s">
        <v>13</v>
      </c>
      <c r="C1770" t="s">
        <v>7</v>
      </c>
      <c r="D1770" s="3">
        <v>45401</v>
      </c>
      <c r="E1770" s="2">
        <v>3218</v>
      </c>
    </row>
    <row r="1771" spans="1:5" x14ac:dyDescent="0.3">
      <c r="A1771" t="s">
        <v>10</v>
      </c>
      <c r="B1771" t="s">
        <v>21</v>
      </c>
      <c r="C1771" t="s">
        <v>14</v>
      </c>
      <c r="D1771" s="3">
        <v>45402</v>
      </c>
      <c r="E1771" s="2">
        <v>10590</v>
      </c>
    </row>
    <row r="1772" spans="1:5" x14ac:dyDescent="0.3">
      <c r="A1772" t="s">
        <v>18</v>
      </c>
      <c r="B1772" t="s">
        <v>11</v>
      </c>
      <c r="C1772" t="s">
        <v>7</v>
      </c>
      <c r="D1772" s="3">
        <v>45402</v>
      </c>
      <c r="E1772" s="2">
        <v>7078</v>
      </c>
    </row>
    <row r="1773" spans="1:5" x14ac:dyDescent="0.3">
      <c r="A1773" t="s">
        <v>10</v>
      </c>
      <c r="B1773" t="s">
        <v>13</v>
      </c>
      <c r="C1773" t="s">
        <v>17</v>
      </c>
      <c r="D1773" s="3">
        <v>45402</v>
      </c>
      <c r="E1773" s="2">
        <v>2316</v>
      </c>
    </row>
    <row r="1774" spans="1:5" x14ac:dyDescent="0.3">
      <c r="A1774" t="s">
        <v>5</v>
      </c>
      <c r="B1774" t="s">
        <v>6</v>
      </c>
      <c r="C1774" t="s">
        <v>7</v>
      </c>
      <c r="D1774" s="3">
        <v>45403</v>
      </c>
      <c r="E1774" s="2">
        <v>2576</v>
      </c>
    </row>
    <row r="1775" spans="1:5" x14ac:dyDescent="0.3">
      <c r="A1775" t="s">
        <v>15</v>
      </c>
      <c r="B1775" t="s">
        <v>6</v>
      </c>
      <c r="C1775" t="s">
        <v>7</v>
      </c>
      <c r="D1775" s="3">
        <v>45403</v>
      </c>
      <c r="E1775" s="2">
        <v>4290</v>
      </c>
    </row>
    <row r="1776" spans="1:5" x14ac:dyDescent="0.3">
      <c r="A1776" t="s">
        <v>5</v>
      </c>
      <c r="B1776" t="s">
        <v>13</v>
      </c>
      <c r="C1776" t="s">
        <v>12</v>
      </c>
      <c r="D1776" s="3">
        <v>45403</v>
      </c>
      <c r="E1776" s="2">
        <v>1840</v>
      </c>
    </row>
    <row r="1777" spans="1:5" x14ac:dyDescent="0.3">
      <c r="A1777" t="s">
        <v>26</v>
      </c>
      <c r="B1777" t="s">
        <v>6</v>
      </c>
      <c r="C1777" t="s">
        <v>12</v>
      </c>
      <c r="D1777" s="3">
        <v>45403</v>
      </c>
      <c r="E1777" s="2">
        <v>2680</v>
      </c>
    </row>
    <row r="1778" spans="1:5" x14ac:dyDescent="0.3">
      <c r="A1778" t="s">
        <v>8</v>
      </c>
      <c r="B1778" t="s">
        <v>21</v>
      </c>
      <c r="C1778" t="s">
        <v>19</v>
      </c>
      <c r="D1778" s="3">
        <v>45404</v>
      </c>
      <c r="E1778" s="2">
        <v>1304</v>
      </c>
    </row>
    <row r="1779" spans="1:5" x14ac:dyDescent="0.3">
      <c r="A1779" t="s">
        <v>18</v>
      </c>
      <c r="B1779" t="s">
        <v>13</v>
      </c>
      <c r="C1779" t="s">
        <v>23</v>
      </c>
      <c r="D1779" s="3">
        <v>45404</v>
      </c>
      <c r="E1779" s="2">
        <v>7290</v>
      </c>
    </row>
    <row r="1780" spans="1:5" x14ac:dyDescent="0.3">
      <c r="A1780" t="s">
        <v>8</v>
      </c>
      <c r="B1780" t="s">
        <v>11</v>
      </c>
      <c r="C1780" t="s">
        <v>23</v>
      </c>
      <c r="D1780" s="3">
        <v>45404</v>
      </c>
      <c r="E1780" s="2">
        <v>11987</v>
      </c>
    </row>
    <row r="1781" spans="1:5" x14ac:dyDescent="0.3">
      <c r="A1781" t="s">
        <v>30</v>
      </c>
      <c r="B1781" t="s">
        <v>9</v>
      </c>
      <c r="C1781" t="s">
        <v>17</v>
      </c>
      <c r="D1781" s="3">
        <v>45404</v>
      </c>
      <c r="E1781" s="2">
        <v>5423</v>
      </c>
    </row>
    <row r="1782" spans="1:5" x14ac:dyDescent="0.3">
      <c r="A1782" t="s">
        <v>24</v>
      </c>
      <c r="B1782" t="s">
        <v>16</v>
      </c>
      <c r="C1782" t="s">
        <v>25</v>
      </c>
      <c r="D1782" s="3">
        <v>45405</v>
      </c>
      <c r="E1782" s="2">
        <v>11458</v>
      </c>
    </row>
    <row r="1783" spans="1:5" x14ac:dyDescent="0.3">
      <c r="A1783" t="s">
        <v>18</v>
      </c>
      <c r="B1783" t="s">
        <v>21</v>
      </c>
      <c r="C1783" t="s">
        <v>17</v>
      </c>
      <c r="D1783" s="3">
        <v>45405</v>
      </c>
      <c r="E1783" s="2">
        <v>5783</v>
      </c>
    </row>
    <row r="1784" spans="1:5" x14ac:dyDescent="0.3">
      <c r="A1784" t="s">
        <v>24</v>
      </c>
      <c r="B1784" t="s">
        <v>13</v>
      </c>
      <c r="C1784" t="s">
        <v>12</v>
      </c>
      <c r="D1784" s="3">
        <v>45405</v>
      </c>
      <c r="E1784" s="2">
        <v>10242</v>
      </c>
    </row>
    <row r="1785" spans="1:5" x14ac:dyDescent="0.3">
      <c r="A1785" t="s">
        <v>31</v>
      </c>
      <c r="B1785" t="s">
        <v>21</v>
      </c>
      <c r="C1785" t="s">
        <v>23</v>
      </c>
      <c r="D1785" s="3">
        <v>45406</v>
      </c>
      <c r="E1785" s="2">
        <v>9822</v>
      </c>
    </row>
    <row r="1786" spans="1:5" x14ac:dyDescent="0.3">
      <c r="A1786" t="s">
        <v>24</v>
      </c>
      <c r="B1786" t="s">
        <v>16</v>
      </c>
      <c r="C1786" t="s">
        <v>25</v>
      </c>
      <c r="D1786" s="3">
        <v>45406</v>
      </c>
      <c r="E1786" s="2">
        <v>4757</v>
      </c>
    </row>
    <row r="1787" spans="1:5" x14ac:dyDescent="0.3">
      <c r="A1787" t="s">
        <v>5</v>
      </c>
      <c r="B1787" t="s">
        <v>16</v>
      </c>
      <c r="C1787" t="s">
        <v>28</v>
      </c>
      <c r="D1787" s="3">
        <v>45406</v>
      </c>
      <c r="E1787" s="2">
        <v>9593</v>
      </c>
    </row>
    <row r="1788" spans="1:5" x14ac:dyDescent="0.3">
      <c r="A1788" t="s">
        <v>15</v>
      </c>
      <c r="B1788" t="s">
        <v>21</v>
      </c>
      <c r="C1788" t="s">
        <v>28</v>
      </c>
      <c r="D1788" s="3">
        <v>45406</v>
      </c>
      <c r="E1788" s="2">
        <v>9551</v>
      </c>
    </row>
    <row r="1789" spans="1:5" x14ac:dyDescent="0.3">
      <c r="A1789" t="s">
        <v>20</v>
      </c>
      <c r="B1789" t="s">
        <v>9</v>
      </c>
      <c r="C1789" t="s">
        <v>17</v>
      </c>
      <c r="D1789" s="3">
        <v>45406</v>
      </c>
      <c r="E1789" s="2">
        <v>12529</v>
      </c>
    </row>
    <row r="1790" spans="1:5" x14ac:dyDescent="0.3">
      <c r="A1790" t="s">
        <v>5</v>
      </c>
      <c r="B1790" t="s">
        <v>9</v>
      </c>
      <c r="C1790" t="s">
        <v>12</v>
      </c>
      <c r="D1790" s="3">
        <v>45406</v>
      </c>
      <c r="E1790" s="2">
        <v>4815</v>
      </c>
    </row>
    <row r="1791" spans="1:5" x14ac:dyDescent="0.3">
      <c r="A1791" t="s">
        <v>20</v>
      </c>
      <c r="B1791" t="s">
        <v>9</v>
      </c>
      <c r="C1791" t="s">
        <v>19</v>
      </c>
      <c r="D1791" s="3">
        <v>45407</v>
      </c>
      <c r="E1791" s="2">
        <v>12990</v>
      </c>
    </row>
    <row r="1792" spans="1:5" x14ac:dyDescent="0.3">
      <c r="A1792" t="s">
        <v>27</v>
      </c>
      <c r="B1792" t="s">
        <v>11</v>
      </c>
      <c r="C1792" t="s">
        <v>19</v>
      </c>
      <c r="D1792" s="3">
        <v>45407</v>
      </c>
      <c r="E1792" s="2">
        <v>1599</v>
      </c>
    </row>
    <row r="1793" spans="1:5" x14ac:dyDescent="0.3">
      <c r="A1793" t="s">
        <v>33</v>
      </c>
      <c r="B1793" t="s">
        <v>11</v>
      </c>
      <c r="C1793" t="s">
        <v>7</v>
      </c>
      <c r="D1793" s="3">
        <v>45407</v>
      </c>
      <c r="E1793" s="2">
        <v>5330</v>
      </c>
    </row>
    <row r="1794" spans="1:5" x14ac:dyDescent="0.3">
      <c r="A1794" t="s">
        <v>22</v>
      </c>
      <c r="B1794" t="s">
        <v>13</v>
      </c>
      <c r="C1794" t="s">
        <v>19</v>
      </c>
      <c r="D1794" s="3">
        <v>45408</v>
      </c>
      <c r="E1794" s="2">
        <v>1019</v>
      </c>
    </row>
    <row r="1795" spans="1:5" x14ac:dyDescent="0.3">
      <c r="A1795" t="s">
        <v>29</v>
      </c>
      <c r="B1795" t="s">
        <v>21</v>
      </c>
      <c r="C1795" t="s">
        <v>25</v>
      </c>
      <c r="D1795" s="3">
        <v>45408</v>
      </c>
      <c r="E1795" s="2">
        <v>1544</v>
      </c>
    </row>
    <row r="1796" spans="1:5" x14ac:dyDescent="0.3">
      <c r="A1796" t="s">
        <v>32</v>
      </c>
      <c r="B1796" t="s">
        <v>9</v>
      </c>
      <c r="C1796" t="s">
        <v>25</v>
      </c>
      <c r="D1796" s="3">
        <v>45408</v>
      </c>
      <c r="E1796" s="2">
        <v>4039</v>
      </c>
    </row>
    <row r="1797" spans="1:5" x14ac:dyDescent="0.3">
      <c r="A1797" t="s">
        <v>32</v>
      </c>
      <c r="B1797" t="s">
        <v>9</v>
      </c>
      <c r="C1797" t="s">
        <v>7</v>
      </c>
      <c r="D1797" s="3">
        <v>45408</v>
      </c>
      <c r="E1797" s="2">
        <v>3262</v>
      </c>
    </row>
    <row r="1798" spans="1:5" x14ac:dyDescent="0.3">
      <c r="A1798" t="s">
        <v>5</v>
      </c>
      <c r="B1798" t="s">
        <v>9</v>
      </c>
      <c r="C1798" t="s">
        <v>28</v>
      </c>
      <c r="D1798" s="3">
        <v>45408</v>
      </c>
      <c r="E1798" s="2">
        <v>12910</v>
      </c>
    </row>
    <row r="1799" spans="1:5" x14ac:dyDescent="0.3">
      <c r="A1799" t="s">
        <v>26</v>
      </c>
      <c r="B1799" t="s">
        <v>11</v>
      </c>
      <c r="C1799" t="s">
        <v>7</v>
      </c>
      <c r="D1799" s="3">
        <v>45409</v>
      </c>
      <c r="E1799" s="2">
        <v>9117</v>
      </c>
    </row>
    <row r="1800" spans="1:5" x14ac:dyDescent="0.3">
      <c r="A1800" t="s">
        <v>32</v>
      </c>
      <c r="B1800" t="s">
        <v>16</v>
      </c>
      <c r="C1800" t="s">
        <v>14</v>
      </c>
      <c r="D1800" s="3">
        <v>45410</v>
      </c>
      <c r="E1800" s="2">
        <v>1071</v>
      </c>
    </row>
    <row r="1801" spans="1:5" x14ac:dyDescent="0.3">
      <c r="A1801" t="s">
        <v>33</v>
      </c>
      <c r="B1801" t="s">
        <v>16</v>
      </c>
      <c r="C1801" t="s">
        <v>7</v>
      </c>
      <c r="D1801" s="3">
        <v>45410</v>
      </c>
      <c r="E1801" s="2">
        <v>6934</v>
      </c>
    </row>
    <row r="1802" spans="1:5" x14ac:dyDescent="0.3">
      <c r="A1802" t="s">
        <v>5</v>
      </c>
      <c r="B1802" t="s">
        <v>11</v>
      </c>
      <c r="C1802" t="s">
        <v>28</v>
      </c>
      <c r="D1802" s="3">
        <v>45410</v>
      </c>
      <c r="E1802" s="2">
        <v>8492</v>
      </c>
    </row>
    <row r="1803" spans="1:5" x14ac:dyDescent="0.3">
      <c r="A1803" t="s">
        <v>26</v>
      </c>
      <c r="B1803" t="s">
        <v>6</v>
      </c>
      <c r="C1803" t="s">
        <v>28</v>
      </c>
      <c r="D1803" s="3">
        <v>45410</v>
      </c>
      <c r="E1803" s="2">
        <v>11304</v>
      </c>
    </row>
    <row r="1804" spans="1:5" x14ac:dyDescent="0.3">
      <c r="A1804" t="s">
        <v>10</v>
      </c>
      <c r="B1804" t="s">
        <v>6</v>
      </c>
      <c r="C1804" t="s">
        <v>12</v>
      </c>
      <c r="D1804" s="3">
        <v>45410</v>
      </c>
      <c r="E1804" s="2">
        <v>8322</v>
      </c>
    </row>
    <row r="1805" spans="1:5" x14ac:dyDescent="0.3">
      <c r="A1805" t="s">
        <v>29</v>
      </c>
      <c r="B1805" t="s">
        <v>9</v>
      </c>
      <c r="C1805" t="s">
        <v>7</v>
      </c>
      <c r="D1805" s="3">
        <v>45411</v>
      </c>
      <c r="E1805" s="2">
        <v>6048</v>
      </c>
    </row>
    <row r="1806" spans="1:5" x14ac:dyDescent="0.3">
      <c r="A1806" t="s">
        <v>27</v>
      </c>
      <c r="B1806" t="s">
        <v>21</v>
      </c>
      <c r="C1806" t="s">
        <v>7</v>
      </c>
      <c r="D1806" s="3">
        <v>45411</v>
      </c>
      <c r="E1806" s="2">
        <v>1447</v>
      </c>
    </row>
    <row r="1807" spans="1:5" x14ac:dyDescent="0.3">
      <c r="A1807" t="s">
        <v>8</v>
      </c>
      <c r="B1807" t="s">
        <v>16</v>
      </c>
      <c r="C1807" t="s">
        <v>17</v>
      </c>
      <c r="D1807" s="3">
        <v>45411</v>
      </c>
      <c r="E1807" s="2">
        <v>3429</v>
      </c>
    </row>
    <row r="1808" spans="1:5" x14ac:dyDescent="0.3">
      <c r="A1808" t="s">
        <v>26</v>
      </c>
      <c r="B1808" t="s">
        <v>13</v>
      </c>
      <c r="C1808" t="s">
        <v>12</v>
      </c>
      <c r="D1808" s="3">
        <v>45411</v>
      </c>
      <c r="E1808" s="2">
        <v>4019</v>
      </c>
    </row>
    <row r="1809" spans="1:5" x14ac:dyDescent="0.3">
      <c r="A1809" t="s">
        <v>30</v>
      </c>
      <c r="B1809" t="s">
        <v>6</v>
      </c>
      <c r="C1809" t="s">
        <v>14</v>
      </c>
      <c r="D1809" s="3">
        <v>45412</v>
      </c>
      <c r="E1809" s="2">
        <v>12077</v>
      </c>
    </row>
    <row r="1810" spans="1:5" x14ac:dyDescent="0.3">
      <c r="A1810" t="s">
        <v>20</v>
      </c>
      <c r="B1810" t="s">
        <v>13</v>
      </c>
      <c r="C1810" t="s">
        <v>19</v>
      </c>
      <c r="D1810" s="3">
        <v>45412</v>
      </c>
      <c r="E1810" s="2">
        <v>1910</v>
      </c>
    </row>
    <row r="1811" spans="1:5" x14ac:dyDescent="0.3">
      <c r="A1811" t="s">
        <v>5</v>
      </c>
      <c r="B1811" t="s">
        <v>9</v>
      </c>
      <c r="C1811" t="s">
        <v>19</v>
      </c>
      <c r="D1811" s="3">
        <v>45412</v>
      </c>
      <c r="E1811" s="2">
        <v>10483</v>
      </c>
    </row>
    <row r="1812" spans="1:5" x14ac:dyDescent="0.3">
      <c r="A1812" t="s">
        <v>29</v>
      </c>
      <c r="B1812" t="s">
        <v>9</v>
      </c>
      <c r="C1812" t="s">
        <v>23</v>
      </c>
      <c r="D1812" s="3">
        <v>45412</v>
      </c>
      <c r="E1812" s="2">
        <v>8421</v>
      </c>
    </row>
    <row r="1813" spans="1:5" x14ac:dyDescent="0.3">
      <c r="A1813" t="s">
        <v>22</v>
      </c>
      <c r="B1813" t="s">
        <v>6</v>
      </c>
      <c r="C1813" t="s">
        <v>25</v>
      </c>
      <c r="D1813" s="3">
        <v>45412</v>
      </c>
      <c r="E1813" s="2">
        <v>12688</v>
      </c>
    </row>
    <row r="1814" spans="1:5" x14ac:dyDescent="0.3">
      <c r="A1814" t="s">
        <v>32</v>
      </c>
      <c r="B1814" t="s">
        <v>13</v>
      </c>
      <c r="C1814" t="s">
        <v>7</v>
      </c>
      <c r="D1814" s="3">
        <v>45412</v>
      </c>
      <c r="E1814" s="2">
        <v>9994</v>
      </c>
    </row>
    <row r="1815" spans="1:5" x14ac:dyDescent="0.3">
      <c r="A1815" t="s">
        <v>26</v>
      </c>
      <c r="B1815" t="s">
        <v>11</v>
      </c>
      <c r="C1815" t="s">
        <v>17</v>
      </c>
      <c r="D1815" s="3">
        <v>45412</v>
      </c>
      <c r="E1815" s="2">
        <v>4251</v>
      </c>
    </row>
    <row r="1816" spans="1:5" x14ac:dyDescent="0.3">
      <c r="A1816" t="s">
        <v>5</v>
      </c>
      <c r="B1816" t="s">
        <v>11</v>
      </c>
      <c r="C1816" t="s">
        <v>17</v>
      </c>
      <c r="D1816" s="3">
        <v>45412</v>
      </c>
      <c r="E1816" s="2">
        <v>1915</v>
      </c>
    </row>
    <row r="1817" spans="1:5" x14ac:dyDescent="0.3">
      <c r="A1817" t="s">
        <v>32</v>
      </c>
      <c r="B1817" t="s">
        <v>11</v>
      </c>
      <c r="C1817" t="s">
        <v>12</v>
      </c>
      <c r="D1817" s="3">
        <v>45412</v>
      </c>
      <c r="E1817" s="2">
        <v>8668</v>
      </c>
    </row>
    <row r="1818" spans="1:5" x14ac:dyDescent="0.3">
      <c r="A1818" t="s">
        <v>5</v>
      </c>
      <c r="B1818" t="s">
        <v>16</v>
      </c>
      <c r="C1818" t="s">
        <v>25</v>
      </c>
      <c r="D1818" s="3">
        <v>45413</v>
      </c>
      <c r="E1818" s="2">
        <v>9581</v>
      </c>
    </row>
    <row r="1819" spans="1:5" x14ac:dyDescent="0.3">
      <c r="A1819" t="s">
        <v>27</v>
      </c>
      <c r="B1819" t="s">
        <v>13</v>
      </c>
      <c r="C1819" t="s">
        <v>28</v>
      </c>
      <c r="D1819" s="3">
        <v>45413</v>
      </c>
      <c r="E1819" s="2">
        <v>5461</v>
      </c>
    </row>
    <row r="1820" spans="1:5" x14ac:dyDescent="0.3">
      <c r="A1820" t="s">
        <v>27</v>
      </c>
      <c r="B1820" t="s">
        <v>11</v>
      </c>
      <c r="C1820" t="s">
        <v>12</v>
      </c>
      <c r="D1820" s="3">
        <v>45413</v>
      </c>
      <c r="E1820" s="2">
        <v>11387</v>
      </c>
    </row>
    <row r="1821" spans="1:5" x14ac:dyDescent="0.3">
      <c r="A1821" t="s">
        <v>5</v>
      </c>
      <c r="B1821" t="s">
        <v>21</v>
      </c>
      <c r="C1821" t="s">
        <v>19</v>
      </c>
      <c r="D1821" s="3">
        <v>45414</v>
      </c>
      <c r="E1821" s="2">
        <v>7146</v>
      </c>
    </row>
    <row r="1822" spans="1:5" x14ac:dyDescent="0.3">
      <c r="A1822" t="s">
        <v>27</v>
      </c>
      <c r="B1822" t="s">
        <v>6</v>
      </c>
      <c r="C1822" t="s">
        <v>28</v>
      </c>
      <c r="D1822" s="3">
        <v>45414</v>
      </c>
      <c r="E1822" s="2">
        <v>5450</v>
      </c>
    </row>
    <row r="1823" spans="1:5" x14ac:dyDescent="0.3">
      <c r="A1823" t="s">
        <v>22</v>
      </c>
      <c r="B1823" t="s">
        <v>21</v>
      </c>
      <c r="C1823" t="s">
        <v>17</v>
      </c>
      <c r="D1823" s="3">
        <v>45414</v>
      </c>
      <c r="E1823" s="2">
        <v>3883</v>
      </c>
    </row>
    <row r="1824" spans="1:5" x14ac:dyDescent="0.3">
      <c r="A1824" t="s">
        <v>31</v>
      </c>
      <c r="B1824" t="s">
        <v>21</v>
      </c>
      <c r="C1824" t="s">
        <v>17</v>
      </c>
      <c r="D1824" s="3">
        <v>45414</v>
      </c>
      <c r="E1824" s="2">
        <v>10514</v>
      </c>
    </row>
    <row r="1825" spans="1:5" x14ac:dyDescent="0.3">
      <c r="A1825" t="s">
        <v>20</v>
      </c>
      <c r="B1825" t="s">
        <v>13</v>
      </c>
      <c r="C1825" t="s">
        <v>19</v>
      </c>
      <c r="D1825" s="3">
        <v>45415</v>
      </c>
      <c r="E1825" s="2">
        <v>13622</v>
      </c>
    </row>
    <row r="1826" spans="1:5" x14ac:dyDescent="0.3">
      <c r="A1826" t="s">
        <v>29</v>
      </c>
      <c r="B1826" t="s">
        <v>16</v>
      </c>
      <c r="C1826" t="s">
        <v>19</v>
      </c>
      <c r="D1826" s="3">
        <v>45415</v>
      </c>
      <c r="E1826" s="2">
        <v>10661</v>
      </c>
    </row>
    <row r="1827" spans="1:5" x14ac:dyDescent="0.3">
      <c r="A1827" t="s">
        <v>31</v>
      </c>
      <c r="B1827" t="s">
        <v>9</v>
      </c>
      <c r="C1827" t="s">
        <v>19</v>
      </c>
      <c r="D1827" s="3">
        <v>45415</v>
      </c>
      <c r="E1827" s="2">
        <v>10651</v>
      </c>
    </row>
    <row r="1828" spans="1:5" x14ac:dyDescent="0.3">
      <c r="A1828" t="s">
        <v>8</v>
      </c>
      <c r="B1828" t="s">
        <v>13</v>
      </c>
      <c r="C1828" t="s">
        <v>19</v>
      </c>
      <c r="D1828" s="3">
        <v>45415</v>
      </c>
      <c r="E1828" s="2">
        <v>7292</v>
      </c>
    </row>
    <row r="1829" spans="1:5" x14ac:dyDescent="0.3">
      <c r="A1829" t="s">
        <v>26</v>
      </c>
      <c r="B1829" t="s">
        <v>9</v>
      </c>
      <c r="C1829" t="s">
        <v>23</v>
      </c>
      <c r="D1829" s="3">
        <v>45415</v>
      </c>
      <c r="E1829" s="2">
        <v>9777</v>
      </c>
    </row>
    <row r="1830" spans="1:5" x14ac:dyDescent="0.3">
      <c r="A1830" t="s">
        <v>29</v>
      </c>
      <c r="B1830" t="s">
        <v>21</v>
      </c>
      <c r="C1830" t="s">
        <v>23</v>
      </c>
      <c r="D1830" s="3">
        <v>45415</v>
      </c>
      <c r="E1830" s="2">
        <v>11297</v>
      </c>
    </row>
    <row r="1831" spans="1:5" x14ac:dyDescent="0.3">
      <c r="A1831" t="s">
        <v>10</v>
      </c>
      <c r="B1831" t="s">
        <v>16</v>
      </c>
      <c r="C1831" t="s">
        <v>25</v>
      </c>
      <c r="D1831" s="3">
        <v>45415</v>
      </c>
      <c r="E1831" s="2">
        <v>5184</v>
      </c>
    </row>
    <row r="1832" spans="1:5" x14ac:dyDescent="0.3">
      <c r="A1832" t="s">
        <v>30</v>
      </c>
      <c r="B1832" t="s">
        <v>21</v>
      </c>
      <c r="C1832" t="s">
        <v>7</v>
      </c>
      <c r="D1832" s="3">
        <v>45415</v>
      </c>
      <c r="E1832" s="2">
        <v>10156</v>
      </c>
    </row>
    <row r="1833" spans="1:5" x14ac:dyDescent="0.3">
      <c r="A1833" t="s">
        <v>22</v>
      </c>
      <c r="B1833" t="s">
        <v>11</v>
      </c>
      <c r="C1833" t="s">
        <v>7</v>
      </c>
      <c r="D1833" s="3">
        <v>45415</v>
      </c>
      <c r="E1833" s="2">
        <v>4194</v>
      </c>
    </row>
    <row r="1834" spans="1:5" x14ac:dyDescent="0.3">
      <c r="A1834" t="s">
        <v>32</v>
      </c>
      <c r="B1834" t="s">
        <v>11</v>
      </c>
      <c r="C1834" t="s">
        <v>17</v>
      </c>
      <c r="D1834" s="3">
        <v>45415</v>
      </c>
      <c r="E1834" s="2">
        <v>3717</v>
      </c>
    </row>
    <row r="1835" spans="1:5" x14ac:dyDescent="0.3">
      <c r="A1835" t="s">
        <v>22</v>
      </c>
      <c r="B1835" t="s">
        <v>11</v>
      </c>
      <c r="C1835" t="s">
        <v>12</v>
      </c>
      <c r="D1835" s="3">
        <v>45415</v>
      </c>
      <c r="E1835" s="2">
        <v>4446</v>
      </c>
    </row>
    <row r="1836" spans="1:5" x14ac:dyDescent="0.3">
      <c r="A1836" t="s">
        <v>8</v>
      </c>
      <c r="B1836" t="s">
        <v>6</v>
      </c>
      <c r="C1836" t="s">
        <v>19</v>
      </c>
      <c r="D1836" s="3">
        <v>45416</v>
      </c>
      <c r="E1836" s="2">
        <v>11986</v>
      </c>
    </row>
    <row r="1837" spans="1:5" x14ac:dyDescent="0.3">
      <c r="A1837" t="s">
        <v>26</v>
      </c>
      <c r="B1837" t="s">
        <v>6</v>
      </c>
      <c r="C1837" t="s">
        <v>23</v>
      </c>
      <c r="D1837" s="3">
        <v>45416</v>
      </c>
      <c r="E1837" s="2">
        <v>5315</v>
      </c>
    </row>
    <row r="1838" spans="1:5" x14ac:dyDescent="0.3">
      <c r="A1838" t="s">
        <v>22</v>
      </c>
      <c r="B1838" t="s">
        <v>16</v>
      </c>
      <c r="C1838" t="s">
        <v>23</v>
      </c>
      <c r="D1838" s="3">
        <v>45416</v>
      </c>
      <c r="E1838" s="2">
        <v>6167</v>
      </c>
    </row>
    <row r="1839" spans="1:5" x14ac:dyDescent="0.3">
      <c r="A1839" t="s">
        <v>22</v>
      </c>
      <c r="B1839" t="s">
        <v>13</v>
      </c>
      <c r="C1839" t="s">
        <v>7</v>
      </c>
      <c r="D1839" s="3">
        <v>45416</v>
      </c>
      <c r="E1839" s="2">
        <v>2946</v>
      </c>
    </row>
    <row r="1840" spans="1:5" x14ac:dyDescent="0.3">
      <c r="A1840" t="s">
        <v>5</v>
      </c>
      <c r="B1840" t="s">
        <v>13</v>
      </c>
      <c r="C1840" t="s">
        <v>28</v>
      </c>
      <c r="D1840" s="3">
        <v>45416</v>
      </c>
      <c r="E1840" s="2">
        <v>9363</v>
      </c>
    </row>
    <row r="1841" spans="1:5" x14ac:dyDescent="0.3">
      <c r="A1841" t="s">
        <v>20</v>
      </c>
      <c r="B1841" t="s">
        <v>16</v>
      </c>
      <c r="C1841" t="s">
        <v>19</v>
      </c>
      <c r="D1841" s="3">
        <v>45417</v>
      </c>
      <c r="E1841" s="2">
        <v>10562</v>
      </c>
    </row>
    <row r="1842" spans="1:5" x14ac:dyDescent="0.3">
      <c r="A1842" t="s">
        <v>33</v>
      </c>
      <c r="B1842" t="s">
        <v>16</v>
      </c>
      <c r="C1842" t="s">
        <v>19</v>
      </c>
      <c r="D1842" s="3">
        <v>45417</v>
      </c>
      <c r="E1842" s="2">
        <v>8078</v>
      </c>
    </row>
    <row r="1843" spans="1:5" x14ac:dyDescent="0.3">
      <c r="A1843" t="s">
        <v>22</v>
      </c>
      <c r="B1843" t="s">
        <v>21</v>
      </c>
      <c r="C1843" t="s">
        <v>17</v>
      </c>
      <c r="D1843" s="3">
        <v>45417</v>
      </c>
      <c r="E1843" s="2">
        <v>9795</v>
      </c>
    </row>
    <row r="1844" spans="1:5" x14ac:dyDescent="0.3">
      <c r="A1844" t="s">
        <v>27</v>
      </c>
      <c r="B1844" t="s">
        <v>6</v>
      </c>
      <c r="C1844" t="s">
        <v>12</v>
      </c>
      <c r="D1844" s="3">
        <v>45417</v>
      </c>
      <c r="E1844" s="2">
        <v>10317</v>
      </c>
    </row>
    <row r="1845" spans="1:5" x14ac:dyDescent="0.3">
      <c r="A1845" t="s">
        <v>15</v>
      </c>
      <c r="B1845" t="s">
        <v>6</v>
      </c>
      <c r="C1845" t="s">
        <v>19</v>
      </c>
      <c r="D1845" s="3">
        <v>45418</v>
      </c>
      <c r="E1845" s="2">
        <v>4645</v>
      </c>
    </row>
    <row r="1846" spans="1:5" x14ac:dyDescent="0.3">
      <c r="A1846" t="s">
        <v>29</v>
      </c>
      <c r="B1846" t="s">
        <v>6</v>
      </c>
      <c r="C1846" t="s">
        <v>25</v>
      </c>
      <c r="D1846" s="3">
        <v>45418</v>
      </c>
      <c r="E1846" s="2">
        <v>6029</v>
      </c>
    </row>
    <row r="1847" spans="1:5" x14ac:dyDescent="0.3">
      <c r="A1847" t="s">
        <v>18</v>
      </c>
      <c r="B1847" t="s">
        <v>11</v>
      </c>
      <c r="C1847" t="s">
        <v>28</v>
      </c>
      <c r="D1847" s="3">
        <v>45418</v>
      </c>
      <c r="E1847" s="2">
        <v>3987</v>
      </c>
    </row>
    <row r="1848" spans="1:5" x14ac:dyDescent="0.3">
      <c r="A1848" t="s">
        <v>29</v>
      </c>
      <c r="B1848" t="s">
        <v>9</v>
      </c>
      <c r="C1848" t="s">
        <v>14</v>
      </c>
      <c r="D1848" s="3">
        <v>45419</v>
      </c>
      <c r="E1848" s="2">
        <v>2820</v>
      </c>
    </row>
    <row r="1849" spans="1:5" x14ac:dyDescent="0.3">
      <c r="A1849" t="s">
        <v>32</v>
      </c>
      <c r="B1849" t="s">
        <v>16</v>
      </c>
      <c r="C1849" t="s">
        <v>14</v>
      </c>
      <c r="D1849" s="3">
        <v>45419</v>
      </c>
      <c r="E1849" s="2">
        <v>4278</v>
      </c>
    </row>
    <row r="1850" spans="1:5" x14ac:dyDescent="0.3">
      <c r="A1850" t="s">
        <v>27</v>
      </c>
      <c r="B1850" t="s">
        <v>11</v>
      </c>
      <c r="C1850" t="s">
        <v>25</v>
      </c>
      <c r="D1850" s="3">
        <v>45419</v>
      </c>
      <c r="E1850" s="2">
        <v>6954</v>
      </c>
    </row>
    <row r="1851" spans="1:5" x14ac:dyDescent="0.3">
      <c r="A1851" t="s">
        <v>27</v>
      </c>
      <c r="B1851" t="s">
        <v>21</v>
      </c>
      <c r="C1851" t="s">
        <v>17</v>
      </c>
      <c r="D1851" s="3">
        <v>45419</v>
      </c>
      <c r="E1851" s="2">
        <v>10298</v>
      </c>
    </row>
    <row r="1852" spans="1:5" x14ac:dyDescent="0.3">
      <c r="A1852" t="s">
        <v>26</v>
      </c>
      <c r="B1852" t="s">
        <v>9</v>
      </c>
      <c r="C1852" t="s">
        <v>12</v>
      </c>
      <c r="D1852" s="3">
        <v>45419</v>
      </c>
      <c r="E1852" s="2">
        <v>12929</v>
      </c>
    </row>
    <row r="1853" spans="1:5" x14ac:dyDescent="0.3">
      <c r="A1853" t="s">
        <v>31</v>
      </c>
      <c r="B1853" t="s">
        <v>9</v>
      </c>
      <c r="C1853" t="s">
        <v>12</v>
      </c>
      <c r="D1853" s="3">
        <v>45419</v>
      </c>
      <c r="E1853" s="2">
        <v>11037</v>
      </c>
    </row>
    <row r="1854" spans="1:5" x14ac:dyDescent="0.3">
      <c r="A1854" t="s">
        <v>33</v>
      </c>
      <c r="B1854" t="s">
        <v>13</v>
      </c>
      <c r="C1854" t="s">
        <v>28</v>
      </c>
      <c r="D1854" s="3">
        <v>45420</v>
      </c>
      <c r="E1854" s="2">
        <v>1326</v>
      </c>
    </row>
    <row r="1855" spans="1:5" x14ac:dyDescent="0.3">
      <c r="A1855" t="s">
        <v>8</v>
      </c>
      <c r="B1855" t="s">
        <v>11</v>
      </c>
      <c r="C1855" t="s">
        <v>17</v>
      </c>
      <c r="D1855" s="3">
        <v>45421</v>
      </c>
      <c r="E1855" s="2">
        <v>8105</v>
      </c>
    </row>
    <row r="1856" spans="1:5" x14ac:dyDescent="0.3">
      <c r="A1856" t="s">
        <v>10</v>
      </c>
      <c r="B1856" t="s">
        <v>9</v>
      </c>
      <c r="C1856" t="s">
        <v>12</v>
      </c>
      <c r="D1856" s="3">
        <v>45421</v>
      </c>
      <c r="E1856" s="2">
        <v>9548</v>
      </c>
    </row>
    <row r="1857" spans="1:5" x14ac:dyDescent="0.3">
      <c r="A1857" t="s">
        <v>18</v>
      </c>
      <c r="B1857" t="s">
        <v>11</v>
      </c>
      <c r="C1857" t="s">
        <v>19</v>
      </c>
      <c r="D1857" s="3">
        <v>45422</v>
      </c>
      <c r="E1857" s="2">
        <v>5586</v>
      </c>
    </row>
    <row r="1858" spans="1:5" x14ac:dyDescent="0.3">
      <c r="A1858" t="s">
        <v>24</v>
      </c>
      <c r="B1858" t="s">
        <v>6</v>
      </c>
      <c r="C1858" t="s">
        <v>25</v>
      </c>
      <c r="D1858" s="3">
        <v>45422</v>
      </c>
      <c r="E1858" s="2">
        <v>3614</v>
      </c>
    </row>
    <row r="1859" spans="1:5" x14ac:dyDescent="0.3">
      <c r="A1859" t="s">
        <v>29</v>
      </c>
      <c r="B1859" t="s">
        <v>9</v>
      </c>
      <c r="C1859" t="s">
        <v>25</v>
      </c>
      <c r="D1859" s="3">
        <v>45422</v>
      </c>
      <c r="E1859" s="2">
        <v>6041</v>
      </c>
    </row>
    <row r="1860" spans="1:5" x14ac:dyDescent="0.3">
      <c r="A1860" t="s">
        <v>31</v>
      </c>
      <c r="B1860" t="s">
        <v>9</v>
      </c>
      <c r="C1860" t="s">
        <v>7</v>
      </c>
      <c r="D1860" s="3">
        <v>45422</v>
      </c>
      <c r="E1860" s="2">
        <v>2222</v>
      </c>
    </row>
    <row r="1861" spans="1:5" x14ac:dyDescent="0.3">
      <c r="A1861" t="s">
        <v>30</v>
      </c>
      <c r="B1861" t="s">
        <v>13</v>
      </c>
      <c r="C1861" t="s">
        <v>7</v>
      </c>
      <c r="D1861" s="3">
        <v>45422</v>
      </c>
      <c r="E1861" s="2">
        <v>4528</v>
      </c>
    </row>
    <row r="1862" spans="1:5" x14ac:dyDescent="0.3">
      <c r="A1862" t="s">
        <v>27</v>
      </c>
      <c r="B1862" t="s">
        <v>21</v>
      </c>
      <c r="C1862" t="s">
        <v>12</v>
      </c>
      <c r="D1862" s="3">
        <v>45422</v>
      </c>
      <c r="E1862" s="2">
        <v>6935</v>
      </c>
    </row>
    <row r="1863" spans="1:5" x14ac:dyDescent="0.3">
      <c r="A1863" t="s">
        <v>24</v>
      </c>
      <c r="B1863" t="s">
        <v>21</v>
      </c>
      <c r="C1863" t="s">
        <v>23</v>
      </c>
      <c r="D1863" s="3">
        <v>45423</v>
      </c>
      <c r="E1863" s="2">
        <v>6559</v>
      </c>
    </row>
    <row r="1864" spans="1:5" x14ac:dyDescent="0.3">
      <c r="A1864" t="s">
        <v>15</v>
      </c>
      <c r="B1864" t="s">
        <v>21</v>
      </c>
      <c r="C1864" t="s">
        <v>25</v>
      </c>
      <c r="D1864" s="3">
        <v>45423</v>
      </c>
      <c r="E1864" s="2">
        <v>13463</v>
      </c>
    </row>
    <row r="1865" spans="1:5" x14ac:dyDescent="0.3">
      <c r="A1865" t="s">
        <v>24</v>
      </c>
      <c r="B1865" t="s">
        <v>6</v>
      </c>
      <c r="C1865" t="s">
        <v>7</v>
      </c>
      <c r="D1865" s="3">
        <v>45423</v>
      </c>
      <c r="E1865" s="2">
        <v>9935</v>
      </c>
    </row>
    <row r="1866" spans="1:5" x14ac:dyDescent="0.3">
      <c r="A1866" t="s">
        <v>30</v>
      </c>
      <c r="B1866" t="s">
        <v>16</v>
      </c>
      <c r="C1866" t="s">
        <v>28</v>
      </c>
      <c r="D1866" s="3">
        <v>45423</v>
      </c>
      <c r="E1866" s="2">
        <v>2419</v>
      </c>
    </row>
    <row r="1867" spans="1:5" x14ac:dyDescent="0.3">
      <c r="A1867" t="s">
        <v>33</v>
      </c>
      <c r="B1867" t="s">
        <v>6</v>
      </c>
      <c r="C1867" t="s">
        <v>14</v>
      </c>
      <c r="D1867" s="3">
        <v>45424</v>
      </c>
      <c r="E1867" s="2">
        <v>9391</v>
      </c>
    </row>
    <row r="1868" spans="1:5" x14ac:dyDescent="0.3">
      <c r="A1868" t="s">
        <v>30</v>
      </c>
      <c r="B1868" t="s">
        <v>6</v>
      </c>
      <c r="C1868" t="s">
        <v>25</v>
      </c>
      <c r="D1868" s="3">
        <v>45424</v>
      </c>
      <c r="E1868" s="2">
        <v>11271</v>
      </c>
    </row>
    <row r="1869" spans="1:5" x14ac:dyDescent="0.3">
      <c r="A1869" t="s">
        <v>10</v>
      </c>
      <c r="B1869" t="s">
        <v>11</v>
      </c>
      <c r="C1869" t="s">
        <v>25</v>
      </c>
      <c r="D1869" s="3">
        <v>45424</v>
      </c>
      <c r="E1869" s="2">
        <v>10228</v>
      </c>
    </row>
    <row r="1870" spans="1:5" x14ac:dyDescent="0.3">
      <c r="A1870" t="s">
        <v>5</v>
      </c>
      <c r="B1870" t="s">
        <v>11</v>
      </c>
      <c r="C1870" t="s">
        <v>14</v>
      </c>
      <c r="D1870" s="3">
        <v>45425</v>
      </c>
      <c r="E1870" s="2">
        <v>6429</v>
      </c>
    </row>
    <row r="1871" spans="1:5" x14ac:dyDescent="0.3">
      <c r="A1871" t="s">
        <v>26</v>
      </c>
      <c r="B1871" t="s">
        <v>13</v>
      </c>
      <c r="C1871" t="s">
        <v>14</v>
      </c>
      <c r="D1871" s="3">
        <v>45425</v>
      </c>
      <c r="E1871" s="2">
        <v>2937</v>
      </c>
    </row>
    <row r="1872" spans="1:5" x14ac:dyDescent="0.3">
      <c r="A1872" t="s">
        <v>15</v>
      </c>
      <c r="B1872" t="s">
        <v>11</v>
      </c>
      <c r="C1872" t="s">
        <v>17</v>
      </c>
      <c r="D1872" s="3">
        <v>45425</v>
      </c>
      <c r="E1872" s="2">
        <v>10337</v>
      </c>
    </row>
    <row r="1873" spans="1:5" x14ac:dyDescent="0.3">
      <c r="A1873" t="s">
        <v>32</v>
      </c>
      <c r="B1873" t="s">
        <v>9</v>
      </c>
      <c r="C1873" t="s">
        <v>12</v>
      </c>
      <c r="D1873" s="3">
        <v>45425</v>
      </c>
      <c r="E1873" s="2">
        <v>9711</v>
      </c>
    </row>
    <row r="1874" spans="1:5" x14ac:dyDescent="0.3">
      <c r="A1874" t="s">
        <v>32</v>
      </c>
      <c r="B1874" t="s">
        <v>16</v>
      </c>
      <c r="C1874" t="s">
        <v>14</v>
      </c>
      <c r="D1874" s="3">
        <v>45426</v>
      </c>
      <c r="E1874" s="2">
        <v>12492</v>
      </c>
    </row>
    <row r="1875" spans="1:5" x14ac:dyDescent="0.3">
      <c r="A1875" t="s">
        <v>31</v>
      </c>
      <c r="B1875" t="s">
        <v>16</v>
      </c>
      <c r="C1875" t="s">
        <v>17</v>
      </c>
      <c r="D1875" s="3">
        <v>45426</v>
      </c>
      <c r="E1875" s="2">
        <v>2073</v>
      </c>
    </row>
    <row r="1876" spans="1:5" x14ac:dyDescent="0.3">
      <c r="A1876" t="s">
        <v>26</v>
      </c>
      <c r="B1876" t="s">
        <v>21</v>
      </c>
      <c r="C1876" t="s">
        <v>17</v>
      </c>
      <c r="D1876" s="3">
        <v>45426</v>
      </c>
      <c r="E1876" s="2">
        <v>6292</v>
      </c>
    </row>
    <row r="1877" spans="1:5" x14ac:dyDescent="0.3">
      <c r="A1877" t="s">
        <v>8</v>
      </c>
      <c r="B1877" t="s">
        <v>13</v>
      </c>
      <c r="C1877" t="s">
        <v>14</v>
      </c>
      <c r="D1877" s="3">
        <v>45427</v>
      </c>
      <c r="E1877" s="2">
        <v>10120</v>
      </c>
    </row>
    <row r="1878" spans="1:5" x14ac:dyDescent="0.3">
      <c r="A1878" t="s">
        <v>26</v>
      </c>
      <c r="B1878" t="s">
        <v>21</v>
      </c>
      <c r="C1878" t="s">
        <v>25</v>
      </c>
      <c r="D1878" s="3">
        <v>45427</v>
      </c>
      <c r="E1878" s="2">
        <v>3432</v>
      </c>
    </row>
    <row r="1879" spans="1:5" x14ac:dyDescent="0.3">
      <c r="A1879" t="s">
        <v>24</v>
      </c>
      <c r="B1879" t="s">
        <v>6</v>
      </c>
      <c r="C1879" t="s">
        <v>28</v>
      </c>
      <c r="D1879" s="3">
        <v>45427</v>
      </c>
      <c r="E1879" s="2">
        <v>8263</v>
      </c>
    </row>
    <row r="1880" spans="1:5" x14ac:dyDescent="0.3">
      <c r="A1880" t="s">
        <v>29</v>
      </c>
      <c r="B1880" t="s">
        <v>13</v>
      </c>
      <c r="C1880" t="s">
        <v>17</v>
      </c>
      <c r="D1880" s="3">
        <v>45427</v>
      </c>
      <c r="E1880" s="2">
        <v>6957</v>
      </c>
    </row>
    <row r="1881" spans="1:5" x14ac:dyDescent="0.3">
      <c r="A1881" t="s">
        <v>27</v>
      </c>
      <c r="B1881" t="s">
        <v>13</v>
      </c>
      <c r="C1881" t="s">
        <v>12</v>
      </c>
      <c r="D1881" s="3">
        <v>45427</v>
      </c>
      <c r="E1881" s="2">
        <v>4633</v>
      </c>
    </row>
    <row r="1882" spans="1:5" x14ac:dyDescent="0.3">
      <c r="A1882" t="s">
        <v>18</v>
      </c>
      <c r="B1882" t="s">
        <v>21</v>
      </c>
      <c r="C1882" t="s">
        <v>12</v>
      </c>
      <c r="D1882" s="3">
        <v>45427</v>
      </c>
      <c r="E1882" s="2">
        <v>1416</v>
      </c>
    </row>
    <row r="1883" spans="1:5" x14ac:dyDescent="0.3">
      <c r="A1883" t="s">
        <v>8</v>
      </c>
      <c r="B1883" t="s">
        <v>11</v>
      </c>
      <c r="C1883" t="s">
        <v>14</v>
      </c>
      <c r="D1883" s="3">
        <v>45428</v>
      </c>
      <c r="E1883" s="2">
        <v>7643</v>
      </c>
    </row>
    <row r="1884" spans="1:5" x14ac:dyDescent="0.3">
      <c r="A1884" t="s">
        <v>24</v>
      </c>
      <c r="B1884" t="s">
        <v>11</v>
      </c>
      <c r="C1884" t="s">
        <v>25</v>
      </c>
      <c r="D1884" s="3">
        <v>45428</v>
      </c>
      <c r="E1884" s="2">
        <v>3124</v>
      </c>
    </row>
    <row r="1885" spans="1:5" x14ac:dyDescent="0.3">
      <c r="A1885" t="s">
        <v>20</v>
      </c>
      <c r="B1885" t="s">
        <v>9</v>
      </c>
      <c r="C1885" t="s">
        <v>25</v>
      </c>
      <c r="D1885" s="3">
        <v>45428</v>
      </c>
      <c r="E1885" s="2">
        <v>13589</v>
      </c>
    </row>
    <row r="1886" spans="1:5" x14ac:dyDescent="0.3">
      <c r="A1886" t="s">
        <v>30</v>
      </c>
      <c r="B1886" t="s">
        <v>13</v>
      </c>
      <c r="C1886" t="s">
        <v>7</v>
      </c>
      <c r="D1886" s="3">
        <v>45428</v>
      </c>
      <c r="E1886" s="2">
        <v>1906</v>
      </c>
    </row>
    <row r="1887" spans="1:5" x14ac:dyDescent="0.3">
      <c r="A1887" t="s">
        <v>27</v>
      </c>
      <c r="B1887" t="s">
        <v>16</v>
      </c>
      <c r="C1887" t="s">
        <v>28</v>
      </c>
      <c r="D1887" s="3">
        <v>45428</v>
      </c>
      <c r="E1887" s="2">
        <v>11539</v>
      </c>
    </row>
    <row r="1888" spans="1:5" x14ac:dyDescent="0.3">
      <c r="A1888" t="s">
        <v>29</v>
      </c>
      <c r="B1888" t="s">
        <v>11</v>
      </c>
      <c r="C1888" t="s">
        <v>19</v>
      </c>
      <c r="D1888" s="3">
        <v>45429</v>
      </c>
      <c r="E1888" s="2">
        <v>3899</v>
      </c>
    </row>
    <row r="1889" spans="1:5" x14ac:dyDescent="0.3">
      <c r="A1889" t="s">
        <v>18</v>
      </c>
      <c r="B1889" t="s">
        <v>13</v>
      </c>
      <c r="C1889" t="s">
        <v>25</v>
      </c>
      <c r="D1889" s="3">
        <v>45429</v>
      </c>
      <c r="E1889" s="2">
        <v>11868</v>
      </c>
    </row>
    <row r="1890" spans="1:5" x14ac:dyDescent="0.3">
      <c r="A1890" t="s">
        <v>5</v>
      </c>
      <c r="B1890" t="s">
        <v>11</v>
      </c>
      <c r="C1890" t="s">
        <v>25</v>
      </c>
      <c r="D1890" s="3">
        <v>45429</v>
      </c>
      <c r="E1890" s="2">
        <v>11275</v>
      </c>
    </row>
    <row r="1891" spans="1:5" x14ac:dyDescent="0.3">
      <c r="A1891" t="s">
        <v>31</v>
      </c>
      <c r="B1891" t="s">
        <v>11</v>
      </c>
      <c r="C1891" t="s">
        <v>7</v>
      </c>
      <c r="D1891" s="3">
        <v>45429</v>
      </c>
      <c r="E1891" s="2">
        <v>6432</v>
      </c>
    </row>
    <row r="1892" spans="1:5" x14ac:dyDescent="0.3">
      <c r="A1892" t="s">
        <v>27</v>
      </c>
      <c r="B1892" t="s">
        <v>9</v>
      </c>
      <c r="C1892" t="s">
        <v>12</v>
      </c>
      <c r="D1892" s="3">
        <v>45429</v>
      </c>
      <c r="E1892" s="2">
        <v>12096</v>
      </c>
    </row>
    <row r="1893" spans="1:5" x14ac:dyDescent="0.3">
      <c r="A1893" t="s">
        <v>31</v>
      </c>
      <c r="B1893" t="s">
        <v>9</v>
      </c>
      <c r="C1893" t="s">
        <v>12</v>
      </c>
      <c r="D1893" s="3">
        <v>45429</v>
      </c>
      <c r="E1893" s="2">
        <v>11158</v>
      </c>
    </row>
    <row r="1894" spans="1:5" x14ac:dyDescent="0.3">
      <c r="A1894" t="s">
        <v>26</v>
      </c>
      <c r="B1894" t="s">
        <v>6</v>
      </c>
      <c r="C1894" t="s">
        <v>14</v>
      </c>
      <c r="D1894" s="3">
        <v>45430</v>
      </c>
      <c r="E1894" s="2">
        <v>13347</v>
      </c>
    </row>
    <row r="1895" spans="1:5" x14ac:dyDescent="0.3">
      <c r="A1895" t="s">
        <v>31</v>
      </c>
      <c r="B1895" t="s">
        <v>13</v>
      </c>
      <c r="C1895" t="s">
        <v>14</v>
      </c>
      <c r="D1895" s="3">
        <v>45430</v>
      </c>
      <c r="E1895" s="2">
        <v>13620</v>
      </c>
    </row>
    <row r="1896" spans="1:5" x14ac:dyDescent="0.3">
      <c r="A1896" t="s">
        <v>20</v>
      </c>
      <c r="B1896" t="s">
        <v>9</v>
      </c>
      <c r="C1896" t="s">
        <v>7</v>
      </c>
      <c r="D1896" s="3">
        <v>45430</v>
      </c>
      <c r="E1896" s="2">
        <v>1336</v>
      </c>
    </row>
    <row r="1897" spans="1:5" x14ac:dyDescent="0.3">
      <c r="A1897" t="s">
        <v>24</v>
      </c>
      <c r="B1897" t="s">
        <v>21</v>
      </c>
      <c r="C1897" t="s">
        <v>28</v>
      </c>
      <c r="D1897" s="3">
        <v>45430</v>
      </c>
      <c r="E1897" s="2">
        <v>8714</v>
      </c>
    </row>
    <row r="1898" spans="1:5" x14ac:dyDescent="0.3">
      <c r="A1898" t="s">
        <v>10</v>
      </c>
      <c r="B1898" t="s">
        <v>6</v>
      </c>
      <c r="C1898" t="s">
        <v>12</v>
      </c>
      <c r="D1898" s="3">
        <v>45430</v>
      </c>
      <c r="E1898" s="2">
        <v>11644</v>
      </c>
    </row>
    <row r="1899" spans="1:5" x14ac:dyDescent="0.3">
      <c r="A1899" t="s">
        <v>33</v>
      </c>
      <c r="B1899" t="s">
        <v>6</v>
      </c>
      <c r="C1899" t="s">
        <v>25</v>
      </c>
      <c r="D1899" s="3">
        <v>45431</v>
      </c>
      <c r="E1899" s="2">
        <v>1945</v>
      </c>
    </row>
    <row r="1900" spans="1:5" x14ac:dyDescent="0.3">
      <c r="A1900" t="s">
        <v>5</v>
      </c>
      <c r="B1900" t="s">
        <v>16</v>
      </c>
      <c r="C1900" t="s">
        <v>25</v>
      </c>
      <c r="D1900" s="3">
        <v>45431</v>
      </c>
      <c r="E1900" s="2">
        <v>10083</v>
      </c>
    </row>
    <row r="1901" spans="1:5" x14ac:dyDescent="0.3">
      <c r="A1901" t="s">
        <v>8</v>
      </c>
      <c r="B1901" t="s">
        <v>6</v>
      </c>
      <c r="C1901" t="s">
        <v>25</v>
      </c>
      <c r="D1901" s="3">
        <v>45431</v>
      </c>
      <c r="E1901" s="2">
        <v>6253</v>
      </c>
    </row>
    <row r="1902" spans="1:5" x14ac:dyDescent="0.3">
      <c r="A1902" t="s">
        <v>10</v>
      </c>
      <c r="B1902" t="s">
        <v>11</v>
      </c>
      <c r="C1902" t="s">
        <v>28</v>
      </c>
      <c r="D1902" s="3">
        <v>45431</v>
      </c>
      <c r="E1902" s="2">
        <v>9203</v>
      </c>
    </row>
    <row r="1903" spans="1:5" x14ac:dyDescent="0.3">
      <c r="A1903" t="s">
        <v>18</v>
      </c>
      <c r="B1903" t="s">
        <v>21</v>
      </c>
      <c r="C1903" t="s">
        <v>23</v>
      </c>
      <c r="D1903" s="3">
        <v>45432</v>
      </c>
      <c r="E1903" s="2">
        <v>9374</v>
      </c>
    </row>
    <row r="1904" spans="1:5" x14ac:dyDescent="0.3">
      <c r="A1904" t="s">
        <v>15</v>
      </c>
      <c r="B1904" t="s">
        <v>13</v>
      </c>
      <c r="C1904" t="s">
        <v>7</v>
      </c>
      <c r="D1904" s="3">
        <v>45432</v>
      </c>
      <c r="E1904" s="2">
        <v>12512</v>
      </c>
    </row>
    <row r="1905" spans="1:5" x14ac:dyDescent="0.3">
      <c r="A1905" t="s">
        <v>20</v>
      </c>
      <c r="B1905" t="s">
        <v>9</v>
      </c>
      <c r="C1905" t="s">
        <v>28</v>
      </c>
      <c r="D1905" s="3">
        <v>45432</v>
      </c>
      <c r="E1905" s="2">
        <v>7171</v>
      </c>
    </row>
    <row r="1906" spans="1:5" x14ac:dyDescent="0.3">
      <c r="A1906" t="s">
        <v>32</v>
      </c>
      <c r="B1906" t="s">
        <v>13</v>
      </c>
      <c r="C1906" t="s">
        <v>14</v>
      </c>
      <c r="D1906" s="3">
        <v>45433</v>
      </c>
      <c r="E1906" s="2">
        <v>5912</v>
      </c>
    </row>
    <row r="1907" spans="1:5" x14ac:dyDescent="0.3">
      <c r="A1907" t="s">
        <v>31</v>
      </c>
      <c r="B1907" t="s">
        <v>21</v>
      </c>
      <c r="C1907" t="s">
        <v>25</v>
      </c>
      <c r="D1907" s="3">
        <v>45433</v>
      </c>
      <c r="E1907" s="2">
        <v>12196</v>
      </c>
    </row>
    <row r="1908" spans="1:5" x14ac:dyDescent="0.3">
      <c r="A1908" t="s">
        <v>22</v>
      </c>
      <c r="B1908" t="s">
        <v>13</v>
      </c>
      <c r="C1908" t="s">
        <v>25</v>
      </c>
      <c r="D1908" s="3">
        <v>45433</v>
      </c>
      <c r="E1908" s="2">
        <v>9687</v>
      </c>
    </row>
    <row r="1909" spans="1:5" x14ac:dyDescent="0.3">
      <c r="A1909" t="s">
        <v>30</v>
      </c>
      <c r="B1909" t="s">
        <v>21</v>
      </c>
      <c r="C1909" t="s">
        <v>17</v>
      </c>
      <c r="D1909" s="3">
        <v>45433</v>
      </c>
      <c r="E1909" s="2">
        <v>5132</v>
      </c>
    </row>
    <row r="1910" spans="1:5" x14ac:dyDescent="0.3">
      <c r="A1910" t="s">
        <v>30</v>
      </c>
      <c r="B1910" t="s">
        <v>13</v>
      </c>
      <c r="C1910" t="s">
        <v>12</v>
      </c>
      <c r="D1910" s="3">
        <v>45433</v>
      </c>
      <c r="E1910" s="2">
        <v>6822</v>
      </c>
    </row>
    <row r="1911" spans="1:5" x14ac:dyDescent="0.3">
      <c r="A1911" t="s">
        <v>22</v>
      </c>
      <c r="B1911" t="s">
        <v>16</v>
      </c>
      <c r="C1911" t="s">
        <v>14</v>
      </c>
      <c r="D1911" s="3">
        <v>45434</v>
      </c>
      <c r="E1911" s="2">
        <v>10299</v>
      </c>
    </row>
    <row r="1912" spans="1:5" x14ac:dyDescent="0.3">
      <c r="A1912" t="s">
        <v>24</v>
      </c>
      <c r="B1912" t="s">
        <v>11</v>
      </c>
      <c r="C1912" t="s">
        <v>19</v>
      </c>
      <c r="D1912" s="3">
        <v>45434</v>
      </c>
      <c r="E1912" s="2">
        <v>3005</v>
      </c>
    </row>
    <row r="1913" spans="1:5" x14ac:dyDescent="0.3">
      <c r="A1913" t="s">
        <v>15</v>
      </c>
      <c r="B1913" t="s">
        <v>21</v>
      </c>
      <c r="C1913" t="s">
        <v>25</v>
      </c>
      <c r="D1913" s="3">
        <v>45434</v>
      </c>
      <c r="E1913" s="2">
        <v>9243</v>
      </c>
    </row>
    <row r="1914" spans="1:5" x14ac:dyDescent="0.3">
      <c r="A1914" t="s">
        <v>10</v>
      </c>
      <c r="B1914" t="s">
        <v>21</v>
      </c>
      <c r="C1914" t="s">
        <v>23</v>
      </c>
      <c r="D1914" s="3">
        <v>45435</v>
      </c>
      <c r="E1914" s="2">
        <v>7939</v>
      </c>
    </row>
    <row r="1915" spans="1:5" x14ac:dyDescent="0.3">
      <c r="A1915" t="s">
        <v>8</v>
      </c>
      <c r="B1915" t="s">
        <v>11</v>
      </c>
      <c r="C1915" t="s">
        <v>25</v>
      </c>
      <c r="D1915" s="3">
        <v>45435</v>
      </c>
      <c r="E1915" s="2">
        <v>7368</v>
      </c>
    </row>
    <row r="1916" spans="1:5" x14ac:dyDescent="0.3">
      <c r="A1916" t="s">
        <v>27</v>
      </c>
      <c r="B1916" t="s">
        <v>21</v>
      </c>
      <c r="C1916" t="s">
        <v>17</v>
      </c>
      <c r="D1916" s="3">
        <v>45435</v>
      </c>
      <c r="E1916" s="2">
        <v>4717</v>
      </c>
    </row>
    <row r="1917" spans="1:5" x14ac:dyDescent="0.3">
      <c r="A1917" t="s">
        <v>29</v>
      </c>
      <c r="B1917" t="s">
        <v>6</v>
      </c>
      <c r="C1917" t="s">
        <v>12</v>
      </c>
      <c r="D1917" s="3">
        <v>45435</v>
      </c>
      <c r="E1917" s="2">
        <v>3754</v>
      </c>
    </row>
    <row r="1918" spans="1:5" x14ac:dyDescent="0.3">
      <c r="A1918" t="s">
        <v>10</v>
      </c>
      <c r="B1918" t="s">
        <v>9</v>
      </c>
      <c r="C1918" t="s">
        <v>25</v>
      </c>
      <c r="D1918" s="3">
        <v>45436</v>
      </c>
      <c r="E1918" s="2">
        <v>1982</v>
      </c>
    </row>
    <row r="1919" spans="1:5" x14ac:dyDescent="0.3">
      <c r="A1919" t="s">
        <v>24</v>
      </c>
      <c r="B1919" t="s">
        <v>13</v>
      </c>
      <c r="C1919" t="s">
        <v>28</v>
      </c>
      <c r="D1919" s="3">
        <v>45436</v>
      </c>
      <c r="E1919" s="2">
        <v>4099</v>
      </c>
    </row>
    <row r="1920" spans="1:5" x14ac:dyDescent="0.3">
      <c r="A1920" t="s">
        <v>18</v>
      </c>
      <c r="B1920" t="s">
        <v>6</v>
      </c>
      <c r="C1920" t="s">
        <v>12</v>
      </c>
      <c r="D1920" s="3">
        <v>45436</v>
      </c>
      <c r="E1920" s="2">
        <v>11744</v>
      </c>
    </row>
    <row r="1921" spans="1:5" x14ac:dyDescent="0.3">
      <c r="A1921" t="s">
        <v>32</v>
      </c>
      <c r="B1921" t="s">
        <v>11</v>
      </c>
      <c r="C1921" t="s">
        <v>23</v>
      </c>
      <c r="D1921" s="3">
        <v>45438</v>
      </c>
      <c r="E1921" s="2">
        <v>5880</v>
      </c>
    </row>
    <row r="1922" spans="1:5" x14ac:dyDescent="0.3">
      <c r="A1922" t="s">
        <v>15</v>
      </c>
      <c r="B1922" t="s">
        <v>11</v>
      </c>
      <c r="C1922" t="s">
        <v>25</v>
      </c>
      <c r="D1922" s="3">
        <v>45438</v>
      </c>
      <c r="E1922" s="2">
        <v>2611</v>
      </c>
    </row>
    <row r="1923" spans="1:5" x14ac:dyDescent="0.3">
      <c r="A1923" t="s">
        <v>32</v>
      </c>
      <c r="B1923" t="s">
        <v>6</v>
      </c>
      <c r="C1923" t="s">
        <v>7</v>
      </c>
      <c r="D1923" s="3">
        <v>45438</v>
      </c>
      <c r="E1923" s="2">
        <v>8001</v>
      </c>
    </row>
    <row r="1924" spans="1:5" x14ac:dyDescent="0.3">
      <c r="A1924" t="s">
        <v>18</v>
      </c>
      <c r="B1924" t="s">
        <v>6</v>
      </c>
      <c r="C1924" t="s">
        <v>7</v>
      </c>
      <c r="D1924" s="3">
        <v>45438</v>
      </c>
      <c r="E1924" s="2">
        <v>12886</v>
      </c>
    </row>
    <row r="1925" spans="1:5" x14ac:dyDescent="0.3">
      <c r="A1925" t="s">
        <v>29</v>
      </c>
      <c r="B1925" t="s">
        <v>9</v>
      </c>
      <c r="C1925" t="s">
        <v>28</v>
      </c>
      <c r="D1925" s="3">
        <v>45438</v>
      </c>
      <c r="E1925" s="2">
        <v>11979</v>
      </c>
    </row>
    <row r="1926" spans="1:5" x14ac:dyDescent="0.3">
      <c r="A1926" t="s">
        <v>24</v>
      </c>
      <c r="B1926" t="s">
        <v>11</v>
      </c>
      <c r="C1926" t="s">
        <v>17</v>
      </c>
      <c r="D1926" s="3">
        <v>45438</v>
      </c>
      <c r="E1926" s="2">
        <v>7820</v>
      </c>
    </row>
    <row r="1927" spans="1:5" x14ac:dyDescent="0.3">
      <c r="A1927" t="s">
        <v>18</v>
      </c>
      <c r="B1927" t="s">
        <v>21</v>
      </c>
      <c r="C1927" t="s">
        <v>7</v>
      </c>
      <c r="D1927" s="3">
        <v>45439</v>
      </c>
      <c r="E1927" s="2">
        <v>11843</v>
      </c>
    </row>
    <row r="1928" spans="1:5" x14ac:dyDescent="0.3">
      <c r="A1928" t="s">
        <v>27</v>
      </c>
      <c r="B1928" t="s">
        <v>16</v>
      </c>
      <c r="C1928" t="s">
        <v>12</v>
      </c>
      <c r="D1928" s="3">
        <v>45439</v>
      </c>
      <c r="E1928" s="2">
        <v>1314</v>
      </c>
    </row>
    <row r="1929" spans="1:5" x14ac:dyDescent="0.3">
      <c r="A1929" t="s">
        <v>22</v>
      </c>
      <c r="B1929" t="s">
        <v>11</v>
      </c>
      <c r="C1929" t="s">
        <v>12</v>
      </c>
      <c r="D1929" s="3">
        <v>45439</v>
      </c>
      <c r="E1929" s="2">
        <v>5215</v>
      </c>
    </row>
    <row r="1930" spans="1:5" x14ac:dyDescent="0.3">
      <c r="A1930" t="s">
        <v>20</v>
      </c>
      <c r="B1930" t="s">
        <v>16</v>
      </c>
      <c r="C1930" t="s">
        <v>12</v>
      </c>
      <c r="D1930" s="3">
        <v>45439</v>
      </c>
      <c r="E1930" s="2">
        <v>10546</v>
      </c>
    </row>
    <row r="1931" spans="1:5" x14ac:dyDescent="0.3">
      <c r="A1931" t="s">
        <v>10</v>
      </c>
      <c r="B1931" t="s">
        <v>9</v>
      </c>
      <c r="C1931" t="s">
        <v>14</v>
      </c>
      <c r="D1931" s="3">
        <v>45440</v>
      </c>
      <c r="E1931" s="2">
        <v>5396</v>
      </c>
    </row>
    <row r="1932" spans="1:5" x14ac:dyDescent="0.3">
      <c r="A1932" t="s">
        <v>10</v>
      </c>
      <c r="B1932" t="s">
        <v>13</v>
      </c>
      <c r="C1932" t="s">
        <v>14</v>
      </c>
      <c r="D1932" s="3">
        <v>45440</v>
      </c>
      <c r="E1932" s="2">
        <v>2644</v>
      </c>
    </row>
    <row r="1933" spans="1:5" x14ac:dyDescent="0.3">
      <c r="A1933" t="s">
        <v>15</v>
      </c>
      <c r="B1933" t="s">
        <v>21</v>
      </c>
      <c r="C1933" t="s">
        <v>23</v>
      </c>
      <c r="D1933" s="3">
        <v>45440</v>
      </c>
      <c r="E1933" s="2">
        <v>6753</v>
      </c>
    </row>
    <row r="1934" spans="1:5" x14ac:dyDescent="0.3">
      <c r="A1934" t="s">
        <v>15</v>
      </c>
      <c r="B1934" t="s">
        <v>21</v>
      </c>
      <c r="C1934" t="s">
        <v>25</v>
      </c>
      <c r="D1934" s="3">
        <v>45440</v>
      </c>
      <c r="E1934" s="2">
        <v>7715</v>
      </c>
    </row>
    <row r="1935" spans="1:5" x14ac:dyDescent="0.3">
      <c r="A1935" t="s">
        <v>8</v>
      </c>
      <c r="B1935" t="s">
        <v>13</v>
      </c>
      <c r="C1935" t="s">
        <v>17</v>
      </c>
      <c r="D1935" s="3">
        <v>45440</v>
      </c>
      <c r="E1935" s="2">
        <v>4215</v>
      </c>
    </row>
    <row r="1936" spans="1:5" x14ac:dyDescent="0.3">
      <c r="A1936" t="s">
        <v>31</v>
      </c>
      <c r="B1936" t="s">
        <v>21</v>
      </c>
      <c r="C1936" t="s">
        <v>17</v>
      </c>
      <c r="D1936" s="3">
        <v>45441</v>
      </c>
      <c r="E1936" s="2">
        <v>3917</v>
      </c>
    </row>
    <row r="1937" spans="1:5" x14ac:dyDescent="0.3">
      <c r="A1937" t="s">
        <v>27</v>
      </c>
      <c r="B1937" t="s">
        <v>21</v>
      </c>
      <c r="C1937" t="s">
        <v>17</v>
      </c>
      <c r="D1937" s="3">
        <v>45441</v>
      </c>
      <c r="E1937" s="2">
        <v>7210</v>
      </c>
    </row>
    <row r="1938" spans="1:5" x14ac:dyDescent="0.3">
      <c r="A1938" t="s">
        <v>26</v>
      </c>
      <c r="B1938" t="s">
        <v>11</v>
      </c>
      <c r="C1938" t="s">
        <v>14</v>
      </c>
      <c r="D1938" s="3">
        <v>45442</v>
      </c>
      <c r="E1938" s="2">
        <v>7627</v>
      </c>
    </row>
    <row r="1939" spans="1:5" x14ac:dyDescent="0.3">
      <c r="A1939" t="s">
        <v>30</v>
      </c>
      <c r="B1939" t="s">
        <v>16</v>
      </c>
      <c r="C1939" t="s">
        <v>25</v>
      </c>
      <c r="D1939" s="3">
        <v>45442</v>
      </c>
      <c r="E1939" s="2">
        <v>3026</v>
      </c>
    </row>
    <row r="1940" spans="1:5" x14ac:dyDescent="0.3">
      <c r="A1940" t="s">
        <v>31</v>
      </c>
      <c r="B1940" t="s">
        <v>21</v>
      </c>
      <c r="C1940" t="s">
        <v>7</v>
      </c>
      <c r="D1940" s="3">
        <v>45442</v>
      </c>
      <c r="E1940" s="2">
        <v>8365</v>
      </c>
    </row>
    <row r="1941" spans="1:5" x14ac:dyDescent="0.3">
      <c r="A1941" t="s">
        <v>10</v>
      </c>
      <c r="B1941" t="s">
        <v>6</v>
      </c>
      <c r="C1941" t="s">
        <v>12</v>
      </c>
      <c r="D1941" s="3">
        <v>45442</v>
      </c>
      <c r="E1941" s="2">
        <v>4665</v>
      </c>
    </row>
    <row r="1942" spans="1:5" x14ac:dyDescent="0.3">
      <c r="A1942" t="s">
        <v>22</v>
      </c>
      <c r="B1942" t="s">
        <v>6</v>
      </c>
      <c r="C1942" t="s">
        <v>12</v>
      </c>
      <c r="D1942" s="3">
        <v>45442</v>
      </c>
      <c r="E1942" s="2">
        <v>13527</v>
      </c>
    </row>
    <row r="1943" spans="1:5" x14ac:dyDescent="0.3">
      <c r="A1943" t="s">
        <v>24</v>
      </c>
      <c r="B1943" t="s">
        <v>21</v>
      </c>
      <c r="C1943" t="s">
        <v>28</v>
      </c>
      <c r="D1943" s="3">
        <v>45443</v>
      </c>
      <c r="E1943" s="2">
        <v>10778</v>
      </c>
    </row>
    <row r="1944" spans="1:5" x14ac:dyDescent="0.3">
      <c r="A1944" t="s">
        <v>29</v>
      </c>
      <c r="B1944" t="s">
        <v>16</v>
      </c>
      <c r="C1944" t="s">
        <v>28</v>
      </c>
      <c r="D1944" s="3">
        <v>45443</v>
      </c>
      <c r="E1944" s="2">
        <v>10527</v>
      </c>
    </row>
    <row r="1945" spans="1:5" x14ac:dyDescent="0.3">
      <c r="A1945" t="s">
        <v>30</v>
      </c>
      <c r="B1945" t="s">
        <v>9</v>
      </c>
      <c r="C1945" t="s">
        <v>12</v>
      </c>
      <c r="D1945" s="3">
        <v>45443</v>
      </c>
      <c r="E1945" s="2">
        <v>8126</v>
      </c>
    </row>
    <row r="1946" spans="1:5" x14ac:dyDescent="0.3">
      <c r="A1946" t="s">
        <v>31</v>
      </c>
      <c r="B1946" t="s">
        <v>9</v>
      </c>
      <c r="C1946" t="s">
        <v>19</v>
      </c>
      <c r="D1946" s="3">
        <v>45444</v>
      </c>
      <c r="E1946" s="2">
        <v>2214</v>
      </c>
    </row>
    <row r="1947" spans="1:5" x14ac:dyDescent="0.3">
      <c r="A1947" t="s">
        <v>10</v>
      </c>
      <c r="B1947" t="s">
        <v>11</v>
      </c>
      <c r="C1947" t="s">
        <v>25</v>
      </c>
      <c r="D1947" s="3">
        <v>45444</v>
      </c>
      <c r="E1947" s="2">
        <v>9570</v>
      </c>
    </row>
    <row r="1948" spans="1:5" x14ac:dyDescent="0.3">
      <c r="A1948" t="s">
        <v>10</v>
      </c>
      <c r="B1948" t="s">
        <v>16</v>
      </c>
      <c r="C1948" t="s">
        <v>7</v>
      </c>
      <c r="D1948" s="3">
        <v>45444</v>
      </c>
      <c r="E1948" s="2">
        <v>1249</v>
      </c>
    </row>
    <row r="1949" spans="1:5" x14ac:dyDescent="0.3">
      <c r="A1949" t="s">
        <v>15</v>
      </c>
      <c r="B1949" t="s">
        <v>13</v>
      </c>
      <c r="C1949" t="s">
        <v>12</v>
      </c>
      <c r="D1949" s="3">
        <v>45444</v>
      </c>
      <c r="E1949" s="2">
        <v>13609</v>
      </c>
    </row>
    <row r="1950" spans="1:5" x14ac:dyDescent="0.3">
      <c r="A1950" t="s">
        <v>26</v>
      </c>
      <c r="B1950" t="s">
        <v>6</v>
      </c>
      <c r="C1950" t="s">
        <v>14</v>
      </c>
      <c r="D1950" s="3">
        <v>45445</v>
      </c>
      <c r="E1950" s="2">
        <v>10218</v>
      </c>
    </row>
    <row r="1951" spans="1:5" x14ac:dyDescent="0.3">
      <c r="A1951" t="s">
        <v>18</v>
      </c>
      <c r="B1951" t="s">
        <v>6</v>
      </c>
      <c r="C1951" t="s">
        <v>14</v>
      </c>
      <c r="D1951" s="3">
        <v>45445</v>
      </c>
      <c r="E1951" s="2">
        <v>12725</v>
      </c>
    </row>
    <row r="1952" spans="1:5" x14ac:dyDescent="0.3">
      <c r="A1952" t="s">
        <v>18</v>
      </c>
      <c r="B1952" t="s">
        <v>21</v>
      </c>
      <c r="C1952" t="s">
        <v>23</v>
      </c>
      <c r="D1952" s="3">
        <v>45445</v>
      </c>
      <c r="E1952" s="2">
        <v>10473</v>
      </c>
    </row>
    <row r="1953" spans="1:5" x14ac:dyDescent="0.3">
      <c r="A1953" t="s">
        <v>24</v>
      </c>
      <c r="B1953" t="s">
        <v>21</v>
      </c>
      <c r="C1953" t="s">
        <v>25</v>
      </c>
      <c r="D1953" s="3">
        <v>45445</v>
      </c>
      <c r="E1953" s="2">
        <v>7508</v>
      </c>
    </row>
    <row r="1954" spans="1:5" x14ac:dyDescent="0.3">
      <c r="A1954" t="s">
        <v>30</v>
      </c>
      <c r="B1954" t="s">
        <v>16</v>
      </c>
      <c r="C1954" t="s">
        <v>17</v>
      </c>
      <c r="D1954" s="3">
        <v>45445</v>
      </c>
      <c r="E1954" s="2">
        <v>10216</v>
      </c>
    </row>
    <row r="1955" spans="1:5" x14ac:dyDescent="0.3">
      <c r="A1955" t="s">
        <v>30</v>
      </c>
      <c r="B1955" t="s">
        <v>9</v>
      </c>
      <c r="C1955" t="s">
        <v>12</v>
      </c>
      <c r="D1955" s="3">
        <v>45445</v>
      </c>
      <c r="E1955" s="2">
        <v>4837</v>
      </c>
    </row>
    <row r="1956" spans="1:5" x14ac:dyDescent="0.3">
      <c r="A1956" t="s">
        <v>18</v>
      </c>
      <c r="B1956" t="s">
        <v>6</v>
      </c>
      <c r="C1956" t="s">
        <v>25</v>
      </c>
      <c r="D1956" s="3">
        <v>45446</v>
      </c>
      <c r="E1956" s="2">
        <v>1575</v>
      </c>
    </row>
    <row r="1957" spans="1:5" x14ac:dyDescent="0.3">
      <c r="A1957" t="s">
        <v>10</v>
      </c>
      <c r="B1957" t="s">
        <v>21</v>
      </c>
      <c r="C1957" t="s">
        <v>7</v>
      </c>
      <c r="D1957" s="3">
        <v>45446</v>
      </c>
      <c r="E1957" s="2">
        <v>10483</v>
      </c>
    </row>
    <row r="1958" spans="1:5" x14ac:dyDescent="0.3">
      <c r="A1958" t="s">
        <v>5</v>
      </c>
      <c r="B1958" t="s">
        <v>11</v>
      </c>
      <c r="C1958" t="s">
        <v>7</v>
      </c>
      <c r="D1958" s="3">
        <v>45446</v>
      </c>
      <c r="E1958" s="2">
        <v>6632</v>
      </c>
    </row>
    <row r="1959" spans="1:5" x14ac:dyDescent="0.3">
      <c r="A1959" t="s">
        <v>29</v>
      </c>
      <c r="B1959" t="s">
        <v>11</v>
      </c>
      <c r="C1959" t="s">
        <v>17</v>
      </c>
      <c r="D1959" s="3">
        <v>45446</v>
      </c>
      <c r="E1959" s="2">
        <v>9091</v>
      </c>
    </row>
    <row r="1960" spans="1:5" x14ac:dyDescent="0.3">
      <c r="A1960" t="s">
        <v>27</v>
      </c>
      <c r="B1960" t="s">
        <v>21</v>
      </c>
      <c r="C1960" t="s">
        <v>17</v>
      </c>
      <c r="D1960" s="3">
        <v>45446</v>
      </c>
      <c r="E1960" s="2">
        <v>9798</v>
      </c>
    </row>
    <row r="1961" spans="1:5" x14ac:dyDescent="0.3">
      <c r="A1961" t="s">
        <v>8</v>
      </c>
      <c r="B1961" t="s">
        <v>11</v>
      </c>
      <c r="C1961" t="s">
        <v>17</v>
      </c>
      <c r="D1961" s="3">
        <v>45446</v>
      </c>
      <c r="E1961" s="2">
        <v>10776</v>
      </c>
    </row>
    <row r="1962" spans="1:5" x14ac:dyDescent="0.3">
      <c r="A1962" t="s">
        <v>8</v>
      </c>
      <c r="B1962" t="s">
        <v>13</v>
      </c>
      <c r="C1962" t="s">
        <v>17</v>
      </c>
      <c r="D1962" s="3">
        <v>45446</v>
      </c>
      <c r="E1962" s="2">
        <v>1835</v>
      </c>
    </row>
    <row r="1963" spans="1:5" x14ac:dyDescent="0.3">
      <c r="A1963" t="s">
        <v>30</v>
      </c>
      <c r="B1963" t="s">
        <v>13</v>
      </c>
      <c r="C1963" t="s">
        <v>14</v>
      </c>
      <c r="D1963" s="3">
        <v>45447</v>
      </c>
      <c r="E1963" s="2">
        <v>10299</v>
      </c>
    </row>
    <row r="1964" spans="1:5" x14ac:dyDescent="0.3">
      <c r="A1964" t="s">
        <v>30</v>
      </c>
      <c r="B1964" t="s">
        <v>16</v>
      </c>
      <c r="C1964" t="s">
        <v>14</v>
      </c>
      <c r="D1964" s="3">
        <v>45447</v>
      </c>
      <c r="E1964" s="2">
        <v>9339</v>
      </c>
    </row>
    <row r="1965" spans="1:5" x14ac:dyDescent="0.3">
      <c r="A1965" t="s">
        <v>30</v>
      </c>
      <c r="B1965" t="s">
        <v>21</v>
      </c>
      <c r="C1965" t="s">
        <v>7</v>
      </c>
      <c r="D1965" s="3">
        <v>45447</v>
      </c>
      <c r="E1965" s="2">
        <v>4032</v>
      </c>
    </row>
    <row r="1966" spans="1:5" x14ac:dyDescent="0.3">
      <c r="A1966" t="s">
        <v>24</v>
      </c>
      <c r="B1966" t="s">
        <v>21</v>
      </c>
      <c r="C1966" t="s">
        <v>19</v>
      </c>
      <c r="D1966" s="3">
        <v>45448</v>
      </c>
      <c r="E1966" s="2">
        <v>2585</v>
      </c>
    </row>
    <row r="1967" spans="1:5" x14ac:dyDescent="0.3">
      <c r="A1967" t="s">
        <v>15</v>
      </c>
      <c r="B1967" t="s">
        <v>13</v>
      </c>
      <c r="C1967" t="s">
        <v>19</v>
      </c>
      <c r="D1967" s="3">
        <v>45448</v>
      </c>
      <c r="E1967" s="2">
        <v>10462</v>
      </c>
    </row>
    <row r="1968" spans="1:5" x14ac:dyDescent="0.3">
      <c r="A1968" t="s">
        <v>5</v>
      </c>
      <c r="B1968" t="s">
        <v>9</v>
      </c>
      <c r="C1968" t="s">
        <v>23</v>
      </c>
      <c r="D1968" s="3">
        <v>45449</v>
      </c>
      <c r="E1968" s="2">
        <v>7964</v>
      </c>
    </row>
    <row r="1969" spans="1:5" x14ac:dyDescent="0.3">
      <c r="A1969" t="s">
        <v>33</v>
      </c>
      <c r="B1969" t="s">
        <v>13</v>
      </c>
      <c r="C1969" t="s">
        <v>23</v>
      </c>
      <c r="D1969" s="3">
        <v>45449</v>
      </c>
      <c r="E1969" s="2">
        <v>2530</v>
      </c>
    </row>
    <row r="1970" spans="1:5" x14ac:dyDescent="0.3">
      <c r="A1970" t="s">
        <v>15</v>
      </c>
      <c r="B1970" t="s">
        <v>9</v>
      </c>
      <c r="C1970" t="s">
        <v>25</v>
      </c>
      <c r="D1970" s="3">
        <v>45449</v>
      </c>
      <c r="E1970" s="2">
        <v>4703</v>
      </c>
    </row>
    <row r="1971" spans="1:5" x14ac:dyDescent="0.3">
      <c r="A1971" t="s">
        <v>32</v>
      </c>
      <c r="B1971" t="s">
        <v>16</v>
      </c>
      <c r="C1971" t="s">
        <v>28</v>
      </c>
      <c r="D1971" s="3">
        <v>45449</v>
      </c>
      <c r="E1971" s="2">
        <v>1009</v>
      </c>
    </row>
    <row r="1972" spans="1:5" x14ac:dyDescent="0.3">
      <c r="A1972" t="s">
        <v>8</v>
      </c>
      <c r="B1972" t="s">
        <v>21</v>
      </c>
      <c r="C1972" t="s">
        <v>28</v>
      </c>
      <c r="D1972" s="3">
        <v>45449</v>
      </c>
      <c r="E1972" s="2">
        <v>10466</v>
      </c>
    </row>
    <row r="1973" spans="1:5" x14ac:dyDescent="0.3">
      <c r="A1973" t="s">
        <v>29</v>
      </c>
      <c r="B1973" t="s">
        <v>13</v>
      </c>
      <c r="C1973" t="s">
        <v>12</v>
      </c>
      <c r="D1973" s="3">
        <v>45449</v>
      </c>
      <c r="E1973" s="2">
        <v>9934</v>
      </c>
    </row>
    <row r="1974" spans="1:5" x14ac:dyDescent="0.3">
      <c r="A1974" t="s">
        <v>10</v>
      </c>
      <c r="B1974" t="s">
        <v>21</v>
      </c>
      <c r="C1974" t="s">
        <v>23</v>
      </c>
      <c r="D1974" s="3">
        <v>45450</v>
      </c>
      <c r="E1974" s="2">
        <v>10647</v>
      </c>
    </row>
    <row r="1975" spans="1:5" x14ac:dyDescent="0.3">
      <c r="A1975" t="s">
        <v>18</v>
      </c>
      <c r="B1975" t="s">
        <v>11</v>
      </c>
      <c r="C1975" t="s">
        <v>12</v>
      </c>
      <c r="D1975" s="3">
        <v>45450</v>
      </c>
      <c r="E1975" s="2">
        <v>11109</v>
      </c>
    </row>
    <row r="1976" spans="1:5" x14ac:dyDescent="0.3">
      <c r="A1976" t="s">
        <v>26</v>
      </c>
      <c r="B1976" t="s">
        <v>16</v>
      </c>
      <c r="C1976" t="s">
        <v>14</v>
      </c>
      <c r="D1976" s="3">
        <v>45451</v>
      </c>
      <c r="E1976" s="2">
        <v>6757</v>
      </c>
    </row>
    <row r="1977" spans="1:5" x14ac:dyDescent="0.3">
      <c r="A1977" t="s">
        <v>18</v>
      </c>
      <c r="B1977" t="s">
        <v>6</v>
      </c>
      <c r="C1977" t="s">
        <v>14</v>
      </c>
      <c r="D1977" s="3">
        <v>45451</v>
      </c>
      <c r="E1977" s="2">
        <v>6708</v>
      </c>
    </row>
    <row r="1978" spans="1:5" x14ac:dyDescent="0.3">
      <c r="A1978" t="s">
        <v>22</v>
      </c>
      <c r="B1978" t="s">
        <v>13</v>
      </c>
      <c r="C1978" t="s">
        <v>28</v>
      </c>
      <c r="D1978" s="3">
        <v>45451</v>
      </c>
      <c r="E1978" s="2">
        <v>8064</v>
      </c>
    </row>
    <row r="1979" spans="1:5" x14ac:dyDescent="0.3">
      <c r="A1979" t="s">
        <v>15</v>
      </c>
      <c r="B1979" t="s">
        <v>9</v>
      </c>
      <c r="C1979" t="s">
        <v>28</v>
      </c>
      <c r="D1979" s="3">
        <v>45451</v>
      </c>
      <c r="E1979" s="2">
        <v>7134</v>
      </c>
    </row>
    <row r="1980" spans="1:5" x14ac:dyDescent="0.3">
      <c r="A1980" t="s">
        <v>20</v>
      </c>
      <c r="B1980" t="s">
        <v>21</v>
      </c>
      <c r="C1980" t="s">
        <v>17</v>
      </c>
      <c r="D1980" s="3">
        <v>45451</v>
      </c>
      <c r="E1980" s="2">
        <v>13135</v>
      </c>
    </row>
    <row r="1981" spans="1:5" x14ac:dyDescent="0.3">
      <c r="A1981" t="s">
        <v>5</v>
      </c>
      <c r="B1981" t="s">
        <v>21</v>
      </c>
      <c r="C1981" t="s">
        <v>14</v>
      </c>
      <c r="D1981" s="3">
        <v>45452</v>
      </c>
      <c r="E1981" s="2">
        <v>3454</v>
      </c>
    </row>
    <row r="1982" spans="1:5" x14ac:dyDescent="0.3">
      <c r="A1982" t="s">
        <v>33</v>
      </c>
      <c r="B1982" t="s">
        <v>16</v>
      </c>
      <c r="C1982" t="s">
        <v>19</v>
      </c>
      <c r="D1982" s="3">
        <v>45452</v>
      </c>
      <c r="E1982" s="2">
        <v>9356</v>
      </c>
    </row>
    <row r="1983" spans="1:5" x14ac:dyDescent="0.3">
      <c r="A1983" t="s">
        <v>26</v>
      </c>
      <c r="B1983" t="s">
        <v>11</v>
      </c>
      <c r="C1983" t="s">
        <v>23</v>
      </c>
      <c r="D1983" s="3">
        <v>45452</v>
      </c>
      <c r="E1983" s="2">
        <v>13000</v>
      </c>
    </row>
    <row r="1984" spans="1:5" x14ac:dyDescent="0.3">
      <c r="A1984" t="s">
        <v>15</v>
      </c>
      <c r="B1984" t="s">
        <v>11</v>
      </c>
      <c r="C1984" t="s">
        <v>25</v>
      </c>
      <c r="D1984" s="3">
        <v>45452</v>
      </c>
      <c r="E1984" s="2">
        <v>11890</v>
      </c>
    </row>
    <row r="1985" spans="1:5" x14ac:dyDescent="0.3">
      <c r="A1985" t="s">
        <v>10</v>
      </c>
      <c r="B1985" t="s">
        <v>6</v>
      </c>
      <c r="C1985" t="s">
        <v>25</v>
      </c>
      <c r="D1985" s="3">
        <v>45452</v>
      </c>
      <c r="E1985" s="2">
        <v>11845</v>
      </c>
    </row>
    <row r="1986" spans="1:5" x14ac:dyDescent="0.3">
      <c r="A1986" t="s">
        <v>31</v>
      </c>
      <c r="B1986" t="s">
        <v>11</v>
      </c>
      <c r="C1986" t="s">
        <v>7</v>
      </c>
      <c r="D1986" s="3">
        <v>45452</v>
      </c>
      <c r="E1986" s="2">
        <v>4437</v>
      </c>
    </row>
    <row r="1987" spans="1:5" x14ac:dyDescent="0.3">
      <c r="A1987" t="s">
        <v>29</v>
      </c>
      <c r="B1987" t="s">
        <v>9</v>
      </c>
      <c r="C1987" t="s">
        <v>17</v>
      </c>
      <c r="D1987" s="3">
        <v>45452</v>
      </c>
      <c r="E1987" s="2">
        <v>2584</v>
      </c>
    </row>
    <row r="1988" spans="1:5" x14ac:dyDescent="0.3">
      <c r="A1988" t="s">
        <v>27</v>
      </c>
      <c r="B1988" t="s">
        <v>16</v>
      </c>
      <c r="C1988" t="s">
        <v>12</v>
      </c>
      <c r="D1988" s="3">
        <v>45452</v>
      </c>
      <c r="E1988" s="2">
        <v>8220</v>
      </c>
    </row>
    <row r="1989" spans="1:5" x14ac:dyDescent="0.3">
      <c r="A1989" t="s">
        <v>31</v>
      </c>
      <c r="B1989" t="s">
        <v>11</v>
      </c>
      <c r="C1989" t="s">
        <v>14</v>
      </c>
      <c r="D1989" s="3">
        <v>45453</v>
      </c>
      <c r="E1989" s="2">
        <v>5737</v>
      </c>
    </row>
    <row r="1990" spans="1:5" x14ac:dyDescent="0.3">
      <c r="A1990" t="s">
        <v>8</v>
      </c>
      <c r="B1990" t="s">
        <v>13</v>
      </c>
      <c r="C1990" t="s">
        <v>25</v>
      </c>
      <c r="D1990" s="3">
        <v>45453</v>
      </c>
      <c r="E1990" s="2">
        <v>4059</v>
      </c>
    </row>
    <row r="1991" spans="1:5" x14ac:dyDescent="0.3">
      <c r="A1991" t="s">
        <v>22</v>
      </c>
      <c r="B1991" t="s">
        <v>6</v>
      </c>
      <c r="C1991" t="s">
        <v>7</v>
      </c>
      <c r="D1991" s="3">
        <v>45453</v>
      </c>
      <c r="E1991" s="2">
        <v>10423</v>
      </c>
    </row>
    <row r="1992" spans="1:5" x14ac:dyDescent="0.3">
      <c r="A1992" t="s">
        <v>15</v>
      </c>
      <c r="B1992" t="s">
        <v>21</v>
      </c>
      <c r="C1992" t="s">
        <v>28</v>
      </c>
      <c r="D1992" s="3">
        <v>45453</v>
      </c>
      <c r="E1992" s="2">
        <v>13938</v>
      </c>
    </row>
    <row r="1993" spans="1:5" x14ac:dyDescent="0.3">
      <c r="A1993" t="s">
        <v>32</v>
      </c>
      <c r="B1993" t="s">
        <v>16</v>
      </c>
      <c r="C1993" t="s">
        <v>28</v>
      </c>
      <c r="D1993" s="3">
        <v>45453</v>
      </c>
      <c r="E1993" s="2">
        <v>13013</v>
      </c>
    </row>
    <row r="1994" spans="1:5" x14ac:dyDescent="0.3">
      <c r="A1994" t="s">
        <v>20</v>
      </c>
      <c r="B1994" t="s">
        <v>13</v>
      </c>
      <c r="C1994" t="s">
        <v>17</v>
      </c>
      <c r="D1994" s="3">
        <v>45453</v>
      </c>
      <c r="E1994" s="2">
        <v>11520</v>
      </c>
    </row>
    <row r="1995" spans="1:5" x14ac:dyDescent="0.3">
      <c r="A1995" t="s">
        <v>20</v>
      </c>
      <c r="B1995" t="s">
        <v>11</v>
      </c>
      <c r="C1995" t="s">
        <v>14</v>
      </c>
      <c r="D1995" s="3">
        <v>45454</v>
      </c>
      <c r="E1995" s="2">
        <v>2647</v>
      </c>
    </row>
    <row r="1996" spans="1:5" x14ac:dyDescent="0.3">
      <c r="A1996" t="s">
        <v>18</v>
      </c>
      <c r="B1996" t="s">
        <v>6</v>
      </c>
      <c r="C1996" t="s">
        <v>14</v>
      </c>
      <c r="D1996" s="3">
        <v>45454</v>
      </c>
      <c r="E1996" s="2">
        <v>5134</v>
      </c>
    </row>
    <row r="1997" spans="1:5" x14ac:dyDescent="0.3">
      <c r="A1997" t="s">
        <v>10</v>
      </c>
      <c r="B1997" t="s">
        <v>11</v>
      </c>
      <c r="C1997" t="s">
        <v>19</v>
      </c>
      <c r="D1997" s="3">
        <v>45454</v>
      </c>
      <c r="E1997" s="2">
        <v>8794</v>
      </c>
    </row>
    <row r="1998" spans="1:5" x14ac:dyDescent="0.3">
      <c r="A1998" t="s">
        <v>18</v>
      </c>
      <c r="B1998" t="s">
        <v>9</v>
      </c>
      <c r="C1998" t="s">
        <v>19</v>
      </c>
      <c r="D1998" s="3">
        <v>45454</v>
      </c>
      <c r="E1998" s="2">
        <v>9390</v>
      </c>
    </row>
    <row r="1999" spans="1:5" x14ac:dyDescent="0.3">
      <c r="A1999" t="s">
        <v>22</v>
      </c>
      <c r="B1999" t="s">
        <v>11</v>
      </c>
      <c r="C1999" t="s">
        <v>23</v>
      </c>
      <c r="D1999" s="3">
        <v>45454</v>
      </c>
      <c r="E1999" s="2">
        <v>12487</v>
      </c>
    </row>
    <row r="2000" spans="1:5" x14ac:dyDescent="0.3">
      <c r="A2000" t="s">
        <v>20</v>
      </c>
      <c r="B2000" t="s">
        <v>13</v>
      </c>
      <c r="C2000" t="s">
        <v>25</v>
      </c>
      <c r="D2000" s="3">
        <v>45454</v>
      </c>
      <c r="E2000" s="2">
        <v>5607</v>
      </c>
    </row>
    <row r="2001" spans="1:5" x14ac:dyDescent="0.3">
      <c r="A2001" t="s">
        <v>33</v>
      </c>
      <c r="B2001" t="s">
        <v>13</v>
      </c>
      <c r="C2001" t="s">
        <v>28</v>
      </c>
      <c r="D2001" s="3">
        <v>45454</v>
      </c>
      <c r="E2001" s="2">
        <v>10819</v>
      </c>
    </row>
    <row r="2002" spans="1:5" x14ac:dyDescent="0.3">
      <c r="A2002" t="s">
        <v>32</v>
      </c>
      <c r="B2002" t="s">
        <v>6</v>
      </c>
      <c r="C2002" t="s">
        <v>17</v>
      </c>
      <c r="D2002" s="3">
        <v>45454</v>
      </c>
      <c r="E2002" s="2">
        <v>4966</v>
      </c>
    </row>
    <row r="2003" spans="1:5" x14ac:dyDescent="0.3">
      <c r="A2003" t="s">
        <v>18</v>
      </c>
      <c r="B2003" t="s">
        <v>16</v>
      </c>
      <c r="C2003" t="s">
        <v>7</v>
      </c>
      <c r="D2003" s="3">
        <v>45456</v>
      </c>
      <c r="E2003" s="2">
        <v>9420</v>
      </c>
    </row>
    <row r="2004" spans="1:5" x14ac:dyDescent="0.3">
      <c r="A2004" t="s">
        <v>8</v>
      </c>
      <c r="B2004" t="s">
        <v>9</v>
      </c>
      <c r="C2004" t="s">
        <v>14</v>
      </c>
      <c r="D2004" s="3">
        <v>45457</v>
      </c>
      <c r="E2004" s="2">
        <v>2790</v>
      </c>
    </row>
    <row r="2005" spans="1:5" x14ac:dyDescent="0.3">
      <c r="A2005" t="s">
        <v>15</v>
      </c>
      <c r="B2005" t="s">
        <v>9</v>
      </c>
      <c r="C2005" t="s">
        <v>25</v>
      </c>
      <c r="D2005" s="3">
        <v>45457</v>
      </c>
      <c r="E2005" s="2">
        <v>2707</v>
      </c>
    </row>
    <row r="2006" spans="1:5" x14ac:dyDescent="0.3">
      <c r="A2006" t="s">
        <v>20</v>
      </c>
      <c r="B2006" t="s">
        <v>13</v>
      </c>
      <c r="C2006" t="s">
        <v>17</v>
      </c>
      <c r="D2006" s="3">
        <v>45457</v>
      </c>
      <c r="E2006" s="2">
        <v>13085</v>
      </c>
    </row>
    <row r="2007" spans="1:5" x14ac:dyDescent="0.3">
      <c r="A2007" t="s">
        <v>22</v>
      </c>
      <c r="B2007" t="s">
        <v>16</v>
      </c>
      <c r="C2007" t="s">
        <v>14</v>
      </c>
      <c r="D2007" s="3">
        <v>45458</v>
      </c>
      <c r="E2007" s="2">
        <v>2350</v>
      </c>
    </row>
    <row r="2008" spans="1:5" x14ac:dyDescent="0.3">
      <c r="A2008" t="s">
        <v>15</v>
      </c>
      <c r="B2008" t="s">
        <v>6</v>
      </c>
      <c r="C2008" t="s">
        <v>19</v>
      </c>
      <c r="D2008" s="3">
        <v>45458</v>
      </c>
      <c r="E2008" s="2">
        <v>7518</v>
      </c>
    </row>
    <row r="2009" spans="1:5" x14ac:dyDescent="0.3">
      <c r="A2009" t="s">
        <v>33</v>
      </c>
      <c r="B2009" t="s">
        <v>6</v>
      </c>
      <c r="C2009" t="s">
        <v>28</v>
      </c>
      <c r="D2009" s="3">
        <v>45458</v>
      </c>
      <c r="E2009" s="2">
        <v>11240</v>
      </c>
    </row>
    <row r="2010" spans="1:5" x14ac:dyDescent="0.3">
      <c r="A2010" t="s">
        <v>27</v>
      </c>
      <c r="B2010" t="s">
        <v>13</v>
      </c>
      <c r="C2010" t="s">
        <v>17</v>
      </c>
      <c r="D2010" s="3">
        <v>45458</v>
      </c>
      <c r="E2010" s="2">
        <v>3435</v>
      </c>
    </row>
    <row r="2011" spans="1:5" x14ac:dyDescent="0.3">
      <c r="A2011" t="s">
        <v>15</v>
      </c>
      <c r="B2011" t="s">
        <v>6</v>
      </c>
      <c r="C2011" t="s">
        <v>17</v>
      </c>
      <c r="D2011" s="3">
        <v>45458</v>
      </c>
      <c r="E2011" s="2">
        <v>8903</v>
      </c>
    </row>
    <row r="2012" spans="1:5" x14ac:dyDescent="0.3">
      <c r="A2012" t="s">
        <v>33</v>
      </c>
      <c r="B2012" t="s">
        <v>16</v>
      </c>
      <c r="C2012" t="s">
        <v>14</v>
      </c>
      <c r="D2012" s="3">
        <v>45459</v>
      </c>
      <c r="E2012" s="2">
        <v>3052</v>
      </c>
    </row>
    <row r="2013" spans="1:5" x14ac:dyDescent="0.3">
      <c r="A2013" t="s">
        <v>31</v>
      </c>
      <c r="B2013" t="s">
        <v>6</v>
      </c>
      <c r="C2013" t="s">
        <v>23</v>
      </c>
      <c r="D2013" s="3">
        <v>45459</v>
      </c>
      <c r="E2013" s="2">
        <v>9751</v>
      </c>
    </row>
    <row r="2014" spans="1:5" x14ac:dyDescent="0.3">
      <c r="A2014" t="s">
        <v>8</v>
      </c>
      <c r="B2014" t="s">
        <v>9</v>
      </c>
      <c r="C2014" t="s">
        <v>25</v>
      </c>
      <c r="D2014" s="3">
        <v>45459</v>
      </c>
      <c r="E2014" s="2">
        <v>12210</v>
      </c>
    </row>
    <row r="2015" spans="1:5" x14ac:dyDescent="0.3">
      <c r="A2015" t="s">
        <v>26</v>
      </c>
      <c r="B2015" t="s">
        <v>11</v>
      </c>
      <c r="C2015" t="s">
        <v>7</v>
      </c>
      <c r="D2015" s="3">
        <v>45459</v>
      </c>
      <c r="E2015" s="2">
        <v>1248</v>
      </c>
    </row>
    <row r="2016" spans="1:5" x14ac:dyDescent="0.3">
      <c r="A2016" t="s">
        <v>29</v>
      </c>
      <c r="B2016" t="s">
        <v>9</v>
      </c>
      <c r="C2016" t="s">
        <v>17</v>
      </c>
      <c r="D2016" s="3">
        <v>45459</v>
      </c>
      <c r="E2016" s="2">
        <v>9746</v>
      </c>
    </row>
    <row r="2017" spans="1:5" x14ac:dyDescent="0.3">
      <c r="A2017" t="s">
        <v>30</v>
      </c>
      <c r="B2017" t="s">
        <v>9</v>
      </c>
      <c r="C2017" t="s">
        <v>17</v>
      </c>
      <c r="D2017" s="3">
        <v>45459</v>
      </c>
      <c r="E2017" s="2">
        <v>13192</v>
      </c>
    </row>
    <row r="2018" spans="1:5" x14ac:dyDescent="0.3">
      <c r="A2018" t="s">
        <v>32</v>
      </c>
      <c r="B2018" t="s">
        <v>16</v>
      </c>
      <c r="C2018" t="s">
        <v>17</v>
      </c>
      <c r="D2018" s="3">
        <v>45459</v>
      </c>
      <c r="E2018" s="2">
        <v>7220</v>
      </c>
    </row>
    <row r="2019" spans="1:5" x14ac:dyDescent="0.3">
      <c r="A2019" t="s">
        <v>29</v>
      </c>
      <c r="B2019" t="s">
        <v>13</v>
      </c>
      <c r="C2019" t="s">
        <v>17</v>
      </c>
      <c r="D2019" s="3">
        <v>45459</v>
      </c>
      <c r="E2019" s="2">
        <v>4076</v>
      </c>
    </row>
    <row r="2020" spans="1:5" x14ac:dyDescent="0.3">
      <c r="A2020" t="s">
        <v>31</v>
      </c>
      <c r="B2020" t="s">
        <v>9</v>
      </c>
      <c r="C2020" t="s">
        <v>14</v>
      </c>
      <c r="D2020" s="3">
        <v>45460</v>
      </c>
      <c r="E2020" s="2">
        <v>9923</v>
      </c>
    </row>
    <row r="2021" spans="1:5" x14ac:dyDescent="0.3">
      <c r="A2021" t="s">
        <v>32</v>
      </c>
      <c r="B2021" t="s">
        <v>6</v>
      </c>
      <c r="C2021" t="s">
        <v>19</v>
      </c>
      <c r="D2021" s="3">
        <v>45460</v>
      </c>
      <c r="E2021" s="2">
        <v>8033</v>
      </c>
    </row>
    <row r="2022" spans="1:5" x14ac:dyDescent="0.3">
      <c r="A2022" t="s">
        <v>27</v>
      </c>
      <c r="B2022" t="s">
        <v>16</v>
      </c>
      <c r="C2022" t="s">
        <v>25</v>
      </c>
      <c r="D2022" s="3">
        <v>45460</v>
      </c>
      <c r="E2022" s="2">
        <v>6953</v>
      </c>
    </row>
    <row r="2023" spans="1:5" x14ac:dyDescent="0.3">
      <c r="A2023" t="s">
        <v>31</v>
      </c>
      <c r="B2023" t="s">
        <v>9</v>
      </c>
      <c r="C2023" t="s">
        <v>17</v>
      </c>
      <c r="D2023" s="3">
        <v>45460</v>
      </c>
      <c r="E2023" s="2">
        <v>10540</v>
      </c>
    </row>
    <row r="2024" spans="1:5" x14ac:dyDescent="0.3">
      <c r="A2024" t="s">
        <v>22</v>
      </c>
      <c r="B2024" t="s">
        <v>21</v>
      </c>
      <c r="C2024" t="s">
        <v>14</v>
      </c>
      <c r="D2024" s="3">
        <v>45461</v>
      </c>
      <c r="E2024" s="2">
        <v>2621</v>
      </c>
    </row>
    <row r="2025" spans="1:5" x14ac:dyDescent="0.3">
      <c r="A2025" t="s">
        <v>29</v>
      </c>
      <c r="B2025" t="s">
        <v>9</v>
      </c>
      <c r="C2025" t="s">
        <v>19</v>
      </c>
      <c r="D2025" s="3">
        <v>45461</v>
      </c>
      <c r="E2025" s="2">
        <v>3080</v>
      </c>
    </row>
    <row r="2026" spans="1:5" x14ac:dyDescent="0.3">
      <c r="A2026" t="s">
        <v>31</v>
      </c>
      <c r="B2026" t="s">
        <v>9</v>
      </c>
      <c r="C2026" t="s">
        <v>25</v>
      </c>
      <c r="D2026" s="3">
        <v>45461</v>
      </c>
      <c r="E2026" s="2">
        <v>4534</v>
      </c>
    </row>
    <row r="2027" spans="1:5" x14ac:dyDescent="0.3">
      <c r="A2027" t="s">
        <v>22</v>
      </c>
      <c r="B2027" t="s">
        <v>6</v>
      </c>
      <c r="C2027" t="s">
        <v>7</v>
      </c>
      <c r="D2027" s="3">
        <v>45461</v>
      </c>
      <c r="E2027" s="2">
        <v>12582</v>
      </c>
    </row>
    <row r="2028" spans="1:5" x14ac:dyDescent="0.3">
      <c r="A2028" t="s">
        <v>18</v>
      </c>
      <c r="B2028" t="s">
        <v>11</v>
      </c>
      <c r="C2028" t="s">
        <v>28</v>
      </c>
      <c r="D2028" s="3">
        <v>45461</v>
      </c>
      <c r="E2028" s="2">
        <v>1955</v>
      </c>
    </row>
    <row r="2029" spans="1:5" x14ac:dyDescent="0.3">
      <c r="A2029" t="s">
        <v>24</v>
      </c>
      <c r="B2029" t="s">
        <v>21</v>
      </c>
      <c r="C2029" t="s">
        <v>28</v>
      </c>
      <c r="D2029" s="3">
        <v>45461</v>
      </c>
      <c r="E2029" s="2">
        <v>6944</v>
      </c>
    </row>
    <row r="2030" spans="1:5" x14ac:dyDescent="0.3">
      <c r="A2030" t="s">
        <v>29</v>
      </c>
      <c r="B2030" t="s">
        <v>16</v>
      </c>
      <c r="C2030" t="s">
        <v>12</v>
      </c>
      <c r="D2030" s="3">
        <v>45461</v>
      </c>
      <c r="E2030" s="2">
        <v>13974</v>
      </c>
    </row>
    <row r="2031" spans="1:5" x14ac:dyDescent="0.3">
      <c r="A2031" t="s">
        <v>31</v>
      </c>
      <c r="B2031" t="s">
        <v>9</v>
      </c>
      <c r="C2031" t="s">
        <v>19</v>
      </c>
      <c r="D2031" s="3">
        <v>45462</v>
      </c>
      <c r="E2031" s="2">
        <v>10840</v>
      </c>
    </row>
    <row r="2032" spans="1:5" x14ac:dyDescent="0.3">
      <c r="A2032" t="s">
        <v>22</v>
      </c>
      <c r="B2032" t="s">
        <v>21</v>
      </c>
      <c r="C2032" t="s">
        <v>23</v>
      </c>
      <c r="D2032" s="3">
        <v>45462</v>
      </c>
      <c r="E2032" s="2">
        <v>5527</v>
      </c>
    </row>
    <row r="2033" spans="1:5" x14ac:dyDescent="0.3">
      <c r="A2033" t="s">
        <v>8</v>
      </c>
      <c r="B2033" t="s">
        <v>16</v>
      </c>
      <c r="C2033" t="s">
        <v>28</v>
      </c>
      <c r="D2033" s="3">
        <v>45462</v>
      </c>
      <c r="E2033" s="2">
        <v>1247</v>
      </c>
    </row>
    <row r="2034" spans="1:5" x14ac:dyDescent="0.3">
      <c r="A2034" t="s">
        <v>20</v>
      </c>
      <c r="B2034" t="s">
        <v>9</v>
      </c>
      <c r="C2034" t="s">
        <v>28</v>
      </c>
      <c r="D2034" s="3">
        <v>45462</v>
      </c>
      <c r="E2034" s="2">
        <v>10374</v>
      </c>
    </row>
    <row r="2035" spans="1:5" x14ac:dyDescent="0.3">
      <c r="A2035" t="s">
        <v>20</v>
      </c>
      <c r="B2035" t="s">
        <v>13</v>
      </c>
      <c r="C2035" t="s">
        <v>28</v>
      </c>
      <c r="D2035" s="3">
        <v>45462</v>
      </c>
      <c r="E2035" s="2">
        <v>11212</v>
      </c>
    </row>
    <row r="2036" spans="1:5" x14ac:dyDescent="0.3">
      <c r="A2036" t="s">
        <v>32</v>
      </c>
      <c r="B2036" t="s">
        <v>6</v>
      </c>
      <c r="C2036" t="s">
        <v>17</v>
      </c>
      <c r="D2036" s="3">
        <v>45462</v>
      </c>
      <c r="E2036" s="2">
        <v>7463</v>
      </c>
    </row>
    <row r="2037" spans="1:5" x14ac:dyDescent="0.3">
      <c r="A2037" t="s">
        <v>31</v>
      </c>
      <c r="B2037" t="s">
        <v>13</v>
      </c>
      <c r="C2037" t="s">
        <v>12</v>
      </c>
      <c r="D2037" s="3">
        <v>45462</v>
      </c>
      <c r="E2037" s="2">
        <v>5733</v>
      </c>
    </row>
    <row r="2038" spans="1:5" x14ac:dyDescent="0.3">
      <c r="A2038" t="s">
        <v>29</v>
      </c>
      <c r="B2038" t="s">
        <v>13</v>
      </c>
      <c r="C2038" t="s">
        <v>23</v>
      </c>
      <c r="D2038" s="3">
        <v>45463</v>
      </c>
      <c r="E2038" s="2">
        <v>9001</v>
      </c>
    </row>
    <row r="2039" spans="1:5" x14ac:dyDescent="0.3">
      <c r="A2039" t="s">
        <v>18</v>
      </c>
      <c r="B2039" t="s">
        <v>21</v>
      </c>
      <c r="C2039" t="s">
        <v>25</v>
      </c>
      <c r="D2039" s="3">
        <v>45463</v>
      </c>
      <c r="E2039" s="2">
        <v>10371</v>
      </c>
    </row>
    <row r="2040" spans="1:5" x14ac:dyDescent="0.3">
      <c r="A2040" t="s">
        <v>18</v>
      </c>
      <c r="B2040" t="s">
        <v>21</v>
      </c>
      <c r="C2040" t="s">
        <v>19</v>
      </c>
      <c r="D2040" s="3">
        <v>45464</v>
      </c>
      <c r="E2040" s="2">
        <v>1690</v>
      </c>
    </row>
    <row r="2041" spans="1:5" x14ac:dyDescent="0.3">
      <c r="A2041" t="s">
        <v>18</v>
      </c>
      <c r="B2041" t="s">
        <v>13</v>
      </c>
      <c r="C2041" t="s">
        <v>25</v>
      </c>
      <c r="D2041" s="3">
        <v>45464</v>
      </c>
      <c r="E2041" s="2">
        <v>10374</v>
      </c>
    </row>
    <row r="2042" spans="1:5" x14ac:dyDescent="0.3">
      <c r="A2042" t="s">
        <v>31</v>
      </c>
      <c r="B2042" t="s">
        <v>21</v>
      </c>
      <c r="C2042" t="s">
        <v>17</v>
      </c>
      <c r="D2042" s="3">
        <v>45464</v>
      </c>
      <c r="E2042" s="2">
        <v>12204</v>
      </c>
    </row>
    <row r="2043" spans="1:5" x14ac:dyDescent="0.3">
      <c r="A2043" t="s">
        <v>26</v>
      </c>
      <c r="B2043" t="s">
        <v>21</v>
      </c>
      <c r="C2043" t="s">
        <v>23</v>
      </c>
      <c r="D2043" s="3">
        <v>45465</v>
      </c>
      <c r="E2043" s="2">
        <v>6877</v>
      </c>
    </row>
    <row r="2044" spans="1:5" x14ac:dyDescent="0.3">
      <c r="A2044" t="s">
        <v>31</v>
      </c>
      <c r="B2044" t="s">
        <v>13</v>
      </c>
      <c r="C2044" t="s">
        <v>28</v>
      </c>
      <c r="D2044" s="3">
        <v>45465</v>
      </c>
      <c r="E2044" s="2">
        <v>12436</v>
      </c>
    </row>
    <row r="2045" spans="1:5" x14ac:dyDescent="0.3">
      <c r="A2045" t="s">
        <v>20</v>
      </c>
      <c r="B2045" t="s">
        <v>21</v>
      </c>
      <c r="C2045" t="s">
        <v>17</v>
      </c>
      <c r="D2045" s="3">
        <v>45465</v>
      </c>
      <c r="E2045" s="2">
        <v>8395</v>
      </c>
    </row>
    <row r="2046" spans="1:5" x14ac:dyDescent="0.3">
      <c r="A2046" t="s">
        <v>33</v>
      </c>
      <c r="B2046" t="s">
        <v>13</v>
      </c>
      <c r="C2046" t="s">
        <v>12</v>
      </c>
      <c r="D2046" s="3">
        <v>45465</v>
      </c>
      <c r="E2046" s="2">
        <v>1656</v>
      </c>
    </row>
    <row r="2047" spans="1:5" x14ac:dyDescent="0.3">
      <c r="A2047" t="s">
        <v>31</v>
      </c>
      <c r="B2047" t="s">
        <v>16</v>
      </c>
      <c r="C2047" t="s">
        <v>14</v>
      </c>
      <c r="D2047" s="3">
        <v>45466</v>
      </c>
      <c r="E2047" s="2">
        <v>7724</v>
      </c>
    </row>
    <row r="2048" spans="1:5" x14ac:dyDescent="0.3">
      <c r="A2048" t="s">
        <v>32</v>
      </c>
      <c r="B2048" t="s">
        <v>6</v>
      </c>
      <c r="C2048" t="s">
        <v>19</v>
      </c>
      <c r="D2048" s="3">
        <v>45466</v>
      </c>
      <c r="E2048" s="2">
        <v>8777</v>
      </c>
    </row>
    <row r="2049" spans="1:5" x14ac:dyDescent="0.3">
      <c r="A2049" t="s">
        <v>27</v>
      </c>
      <c r="B2049" t="s">
        <v>9</v>
      </c>
      <c r="C2049" t="s">
        <v>17</v>
      </c>
      <c r="D2049" s="3">
        <v>45466</v>
      </c>
      <c r="E2049" s="2">
        <v>10554</v>
      </c>
    </row>
    <row r="2050" spans="1:5" x14ac:dyDescent="0.3">
      <c r="A2050" t="s">
        <v>29</v>
      </c>
      <c r="B2050" t="s">
        <v>6</v>
      </c>
      <c r="C2050" t="s">
        <v>23</v>
      </c>
      <c r="D2050" s="3">
        <v>45467</v>
      </c>
      <c r="E2050" s="2">
        <v>10279</v>
      </c>
    </row>
    <row r="2051" spans="1:5" x14ac:dyDescent="0.3">
      <c r="A2051" t="s">
        <v>33</v>
      </c>
      <c r="B2051" t="s">
        <v>21</v>
      </c>
      <c r="C2051" t="s">
        <v>25</v>
      </c>
      <c r="D2051" s="3">
        <v>45467</v>
      </c>
      <c r="E2051" s="2">
        <v>2140</v>
      </c>
    </row>
    <row r="2052" spans="1:5" x14ac:dyDescent="0.3">
      <c r="A2052" t="s">
        <v>15</v>
      </c>
      <c r="B2052" t="s">
        <v>11</v>
      </c>
      <c r="C2052" t="s">
        <v>7</v>
      </c>
      <c r="D2052" s="3">
        <v>45467</v>
      </c>
      <c r="E2052" s="2">
        <v>13912</v>
      </c>
    </row>
    <row r="2053" spans="1:5" x14ac:dyDescent="0.3">
      <c r="A2053" t="s">
        <v>22</v>
      </c>
      <c r="B2053" t="s">
        <v>9</v>
      </c>
      <c r="C2053" t="s">
        <v>12</v>
      </c>
      <c r="D2053" s="3">
        <v>45467</v>
      </c>
      <c r="E2053" s="2">
        <v>12360</v>
      </c>
    </row>
    <row r="2054" spans="1:5" x14ac:dyDescent="0.3">
      <c r="A2054" t="s">
        <v>30</v>
      </c>
      <c r="B2054" t="s">
        <v>13</v>
      </c>
      <c r="C2054" t="s">
        <v>12</v>
      </c>
      <c r="D2054" s="3">
        <v>45468</v>
      </c>
      <c r="E2054" s="2">
        <v>4676</v>
      </c>
    </row>
    <row r="2055" spans="1:5" x14ac:dyDescent="0.3">
      <c r="A2055" t="s">
        <v>27</v>
      </c>
      <c r="B2055" t="s">
        <v>6</v>
      </c>
      <c r="C2055" t="s">
        <v>14</v>
      </c>
      <c r="D2055" s="3">
        <v>45469</v>
      </c>
      <c r="E2055" s="2">
        <v>6603</v>
      </c>
    </row>
    <row r="2056" spans="1:5" x14ac:dyDescent="0.3">
      <c r="A2056" t="s">
        <v>18</v>
      </c>
      <c r="B2056" t="s">
        <v>21</v>
      </c>
      <c r="C2056" t="s">
        <v>19</v>
      </c>
      <c r="D2056" s="3">
        <v>45469</v>
      </c>
      <c r="E2056" s="2">
        <v>11519</v>
      </c>
    </row>
    <row r="2057" spans="1:5" x14ac:dyDescent="0.3">
      <c r="A2057" t="s">
        <v>22</v>
      </c>
      <c r="B2057" t="s">
        <v>9</v>
      </c>
      <c r="C2057" t="s">
        <v>25</v>
      </c>
      <c r="D2057" s="3">
        <v>45469</v>
      </c>
      <c r="E2057" s="2">
        <v>13236</v>
      </c>
    </row>
    <row r="2058" spans="1:5" x14ac:dyDescent="0.3">
      <c r="A2058" t="s">
        <v>30</v>
      </c>
      <c r="B2058" t="s">
        <v>21</v>
      </c>
      <c r="C2058" t="s">
        <v>17</v>
      </c>
      <c r="D2058" s="3">
        <v>45469</v>
      </c>
      <c r="E2058" s="2">
        <v>9587</v>
      </c>
    </row>
    <row r="2059" spans="1:5" x14ac:dyDescent="0.3">
      <c r="A2059" t="s">
        <v>20</v>
      </c>
      <c r="B2059" t="s">
        <v>9</v>
      </c>
      <c r="C2059" t="s">
        <v>14</v>
      </c>
      <c r="D2059" s="3">
        <v>45470</v>
      </c>
      <c r="E2059" s="2">
        <v>10767</v>
      </c>
    </row>
    <row r="2060" spans="1:5" x14ac:dyDescent="0.3">
      <c r="A2060" t="s">
        <v>29</v>
      </c>
      <c r="B2060" t="s">
        <v>9</v>
      </c>
      <c r="C2060" t="s">
        <v>19</v>
      </c>
      <c r="D2060" s="3">
        <v>45470</v>
      </c>
      <c r="E2060" s="2">
        <v>3582</v>
      </c>
    </row>
    <row r="2061" spans="1:5" x14ac:dyDescent="0.3">
      <c r="A2061" t="s">
        <v>22</v>
      </c>
      <c r="B2061" t="s">
        <v>21</v>
      </c>
      <c r="C2061" t="s">
        <v>7</v>
      </c>
      <c r="D2061" s="3">
        <v>45470</v>
      </c>
      <c r="E2061" s="2">
        <v>5485</v>
      </c>
    </row>
    <row r="2062" spans="1:5" x14ac:dyDescent="0.3">
      <c r="A2062" t="s">
        <v>29</v>
      </c>
      <c r="B2062" t="s">
        <v>9</v>
      </c>
      <c r="C2062" t="s">
        <v>28</v>
      </c>
      <c r="D2062" s="3">
        <v>45470</v>
      </c>
      <c r="E2062" s="2">
        <v>12903</v>
      </c>
    </row>
    <row r="2063" spans="1:5" x14ac:dyDescent="0.3">
      <c r="A2063" t="s">
        <v>15</v>
      </c>
      <c r="B2063" t="s">
        <v>6</v>
      </c>
      <c r="C2063" t="s">
        <v>28</v>
      </c>
      <c r="D2063" s="3">
        <v>45470</v>
      </c>
      <c r="E2063" s="2">
        <v>5116</v>
      </c>
    </row>
    <row r="2064" spans="1:5" x14ac:dyDescent="0.3">
      <c r="A2064" t="s">
        <v>10</v>
      </c>
      <c r="B2064" t="s">
        <v>6</v>
      </c>
      <c r="C2064" t="s">
        <v>12</v>
      </c>
      <c r="D2064" s="3">
        <v>45470</v>
      </c>
      <c r="E2064" s="2">
        <v>3079</v>
      </c>
    </row>
    <row r="2065" spans="1:5" x14ac:dyDescent="0.3">
      <c r="A2065" t="s">
        <v>22</v>
      </c>
      <c r="B2065" t="s">
        <v>16</v>
      </c>
      <c r="C2065" t="s">
        <v>14</v>
      </c>
      <c r="D2065" s="3">
        <v>45471</v>
      </c>
      <c r="E2065" s="2">
        <v>2218</v>
      </c>
    </row>
    <row r="2066" spans="1:5" x14ac:dyDescent="0.3">
      <c r="A2066" t="s">
        <v>18</v>
      </c>
      <c r="B2066" t="s">
        <v>16</v>
      </c>
      <c r="C2066" t="s">
        <v>23</v>
      </c>
      <c r="D2066" s="3">
        <v>45471</v>
      </c>
      <c r="E2066" s="2">
        <v>6608</v>
      </c>
    </row>
    <row r="2067" spans="1:5" x14ac:dyDescent="0.3">
      <c r="A2067" t="s">
        <v>32</v>
      </c>
      <c r="B2067" t="s">
        <v>11</v>
      </c>
      <c r="C2067" t="s">
        <v>23</v>
      </c>
      <c r="D2067" s="3">
        <v>45471</v>
      </c>
      <c r="E2067" s="2">
        <v>11365</v>
      </c>
    </row>
    <row r="2068" spans="1:5" x14ac:dyDescent="0.3">
      <c r="A2068" t="s">
        <v>31</v>
      </c>
      <c r="B2068" t="s">
        <v>13</v>
      </c>
      <c r="C2068" t="s">
        <v>7</v>
      </c>
      <c r="D2068" s="3">
        <v>45471</v>
      </c>
      <c r="E2068" s="2">
        <v>8604</v>
      </c>
    </row>
    <row r="2069" spans="1:5" x14ac:dyDescent="0.3">
      <c r="A2069" t="s">
        <v>26</v>
      </c>
      <c r="B2069" t="s">
        <v>6</v>
      </c>
      <c r="C2069" t="s">
        <v>28</v>
      </c>
      <c r="D2069" s="3">
        <v>45471</v>
      </c>
      <c r="E2069" s="2">
        <v>8969</v>
      </c>
    </row>
    <row r="2070" spans="1:5" x14ac:dyDescent="0.3">
      <c r="A2070" t="s">
        <v>15</v>
      </c>
      <c r="B2070" t="s">
        <v>6</v>
      </c>
      <c r="C2070" t="s">
        <v>28</v>
      </c>
      <c r="D2070" s="3">
        <v>45471</v>
      </c>
      <c r="E2070" s="2">
        <v>12725</v>
      </c>
    </row>
    <row r="2071" spans="1:5" x14ac:dyDescent="0.3">
      <c r="A2071" t="s">
        <v>32</v>
      </c>
      <c r="B2071" t="s">
        <v>21</v>
      </c>
      <c r="C2071" t="s">
        <v>17</v>
      </c>
      <c r="D2071" s="3">
        <v>45471</v>
      </c>
      <c r="E2071" s="2">
        <v>5702</v>
      </c>
    </row>
    <row r="2072" spans="1:5" x14ac:dyDescent="0.3">
      <c r="A2072" t="s">
        <v>29</v>
      </c>
      <c r="B2072" t="s">
        <v>11</v>
      </c>
      <c r="C2072" t="s">
        <v>12</v>
      </c>
      <c r="D2072" s="3">
        <v>45471</v>
      </c>
      <c r="E2072" s="2">
        <v>1064</v>
      </c>
    </row>
    <row r="2073" spans="1:5" x14ac:dyDescent="0.3">
      <c r="A2073" t="s">
        <v>31</v>
      </c>
      <c r="B2073" t="s">
        <v>9</v>
      </c>
      <c r="C2073" t="s">
        <v>14</v>
      </c>
      <c r="D2073" s="3">
        <v>45472</v>
      </c>
      <c r="E2073" s="2">
        <v>3644</v>
      </c>
    </row>
    <row r="2074" spans="1:5" x14ac:dyDescent="0.3">
      <c r="A2074" t="s">
        <v>26</v>
      </c>
      <c r="B2074" t="s">
        <v>6</v>
      </c>
      <c r="C2074" t="s">
        <v>7</v>
      </c>
      <c r="D2074" s="3">
        <v>45472</v>
      </c>
      <c r="E2074" s="2">
        <v>7790</v>
      </c>
    </row>
    <row r="2075" spans="1:5" x14ac:dyDescent="0.3">
      <c r="A2075" t="s">
        <v>31</v>
      </c>
      <c r="B2075" t="s">
        <v>9</v>
      </c>
      <c r="C2075" t="s">
        <v>7</v>
      </c>
      <c r="D2075" s="3">
        <v>45472</v>
      </c>
      <c r="E2075" s="2">
        <v>13693</v>
      </c>
    </row>
    <row r="2076" spans="1:5" x14ac:dyDescent="0.3">
      <c r="A2076" t="s">
        <v>32</v>
      </c>
      <c r="B2076" t="s">
        <v>16</v>
      </c>
      <c r="C2076" t="s">
        <v>14</v>
      </c>
      <c r="D2076" s="3">
        <v>45473</v>
      </c>
      <c r="E2076" s="2">
        <v>9740</v>
      </c>
    </row>
    <row r="2077" spans="1:5" x14ac:dyDescent="0.3">
      <c r="A2077" t="s">
        <v>8</v>
      </c>
      <c r="B2077" t="s">
        <v>11</v>
      </c>
      <c r="C2077" t="s">
        <v>19</v>
      </c>
      <c r="D2077" s="3">
        <v>45473</v>
      </c>
      <c r="E2077" s="2">
        <v>9350</v>
      </c>
    </row>
    <row r="2078" spans="1:5" x14ac:dyDescent="0.3">
      <c r="A2078" t="s">
        <v>24</v>
      </c>
      <c r="B2078" t="s">
        <v>13</v>
      </c>
      <c r="C2078" t="s">
        <v>25</v>
      </c>
      <c r="D2078" s="3">
        <v>45473</v>
      </c>
      <c r="E2078" s="2">
        <v>4132</v>
      </c>
    </row>
    <row r="2079" spans="1:5" x14ac:dyDescent="0.3">
      <c r="A2079" t="s">
        <v>8</v>
      </c>
      <c r="B2079" t="s">
        <v>16</v>
      </c>
      <c r="C2079" t="s">
        <v>17</v>
      </c>
      <c r="D2079" s="3">
        <v>45473</v>
      </c>
      <c r="E2079" s="2">
        <v>9591</v>
      </c>
    </row>
    <row r="2080" spans="1:5" x14ac:dyDescent="0.3">
      <c r="A2080" t="s">
        <v>31</v>
      </c>
      <c r="B2080" t="s">
        <v>21</v>
      </c>
      <c r="C2080" t="s">
        <v>17</v>
      </c>
      <c r="D2080" s="3">
        <v>45473</v>
      </c>
      <c r="E2080" s="2">
        <v>7821</v>
      </c>
    </row>
    <row r="2081" spans="1:5" x14ac:dyDescent="0.3">
      <c r="A2081" t="s">
        <v>8</v>
      </c>
      <c r="B2081" t="s">
        <v>6</v>
      </c>
      <c r="C2081" t="s">
        <v>12</v>
      </c>
      <c r="D2081" s="3">
        <v>45473</v>
      </c>
      <c r="E2081" s="2">
        <v>9698</v>
      </c>
    </row>
    <row r="2082" spans="1:5" x14ac:dyDescent="0.3">
      <c r="A2082" t="s">
        <v>8</v>
      </c>
      <c r="B2082" t="s">
        <v>16</v>
      </c>
      <c r="C2082" t="s">
        <v>14</v>
      </c>
      <c r="D2082" s="3">
        <v>45474</v>
      </c>
      <c r="E2082" s="2">
        <v>11823</v>
      </c>
    </row>
    <row r="2083" spans="1:5" x14ac:dyDescent="0.3">
      <c r="A2083" t="s">
        <v>5</v>
      </c>
      <c r="B2083" t="s">
        <v>6</v>
      </c>
      <c r="C2083" t="s">
        <v>14</v>
      </c>
      <c r="D2083" s="3">
        <v>45474</v>
      </c>
      <c r="E2083" s="2">
        <v>10289</v>
      </c>
    </row>
    <row r="2084" spans="1:5" x14ac:dyDescent="0.3">
      <c r="A2084" t="s">
        <v>5</v>
      </c>
      <c r="B2084" t="s">
        <v>9</v>
      </c>
      <c r="C2084" t="s">
        <v>19</v>
      </c>
      <c r="D2084" s="3">
        <v>45474</v>
      </c>
      <c r="E2084" s="2">
        <v>4337</v>
      </c>
    </row>
    <row r="2085" spans="1:5" x14ac:dyDescent="0.3">
      <c r="A2085" t="s">
        <v>15</v>
      </c>
      <c r="B2085" t="s">
        <v>16</v>
      </c>
      <c r="C2085" t="s">
        <v>7</v>
      </c>
      <c r="D2085" s="3">
        <v>45474</v>
      </c>
      <c r="E2085" s="2">
        <v>2011</v>
      </c>
    </row>
    <row r="2086" spans="1:5" x14ac:dyDescent="0.3">
      <c r="A2086" t="s">
        <v>26</v>
      </c>
      <c r="B2086" t="s">
        <v>21</v>
      </c>
      <c r="C2086" t="s">
        <v>7</v>
      </c>
      <c r="D2086" s="3">
        <v>45474</v>
      </c>
      <c r="E2086" s="2">
        <v>5405</v>
      </c>
    </row>
    <row r="2087" spans="1:5" x14ac:dyDescent="0.3">
      <c r="A2087" t="s">
        <v>27</v>
      </c>
      <c r="B2087" t="s">
        <v>21</v>
      </c>
      <c r="C2087" t="s">
        <v>7</v>
      </c>
      <c r="D2087" s="3">
        <v>45474</v>
      </c>
      <c r="E2087" s="2">
        <v>10727</v>
      </c>
    </row>
    <row r="2088" spans="1:5" x14ac:dyDescent="0.3">
      <c r="A2088" t="s">
        <v>31</v>
      </c>
      <c r="B2088" t="s">
        <v>13</v>
      </c>
      <c r="C2088" t="s">
        <v>28</v>
      </c>
      <c r="D2088" s="3">
        <v>45474</v>
      </c>
      <c r="E2088" s="2">
        <v>1469</v>
      </c>
    </row>
    <row r="2089" spans="1:5" x14ac:dyDescent="0.3">
      <c r="A2089" t="s">
        <v>20</v>
      </c>
      <c r="B2089" t="s">
        <v>16</v>
      </c>
      <c r="C2089" t="s">
        <v>17</v>
      </c>
      <c r="D2089" s="3">
        <v>45474</v>
      </c>
      <c r="E2089" s="2">
        <v>11444</v>
      </c>
    </row>
    <row r="2090" spans="1:5" x14ac:dyDescent="0.3">
      <c r="A2090" t="s">
        <v>31</v>
      </c>
      <c r="B2090" t="s">
        <v>21</v>
      </c>
      <c r="C2090" t="s">
        <v>17</v>
      </c>
      <c r="D2090" s="3">
        <v>45474</v>
      </c>
      <c r="E2090" s="2">
        <v>3101</v>
      </c>
    </row>
    <row r="2091" spans="1:5" x14ac:dyDescent="0.3">
      <c r="A2091" t="s">
        <v>18</v>
      </c>
      <c r="B2091" t="s">
        <v>13</v>
      </c>
      <c r="C2091" t="s">
        <v>12</v>
      </c>
      <c r="D2091" s="3">
        <v>45474</v>
      </c>
      <c r="E2091" s="2">
        <v>1771</v>
      </c>
    </row>
    <row r="2092" spans="1:5" x14ac:dyDescent="0.3">
      <c r="A2092" t="s">
        <v>20</v>
      </c>
      <c r="B2092" t="s">
        <v>6</v>
      </c>
      <c r="C2092" t="s">
        <v>19</v>
      </c>
      <c r="D2092" s="3">
        <v>45475</v>
      </c>
      <c r="E2092" s="2">
        <v>7437</v>
      </c>
    </row>
    <row r="2093" spans="1:5" x14ac:dyDescent="0.3">
      <c r="A2093" t="s">
        <v>18</v>
      </c>
      <c r="B2093" t="s">
        <v>11</v>
      </c>
      <c r="C2093" t="s">
        <v>17</v>
      </c>
      <c r="D2093" s="3">
        <v>45475</v>
      </c>
      <c r="E2093" s="2">
        <v>10196</v>
      </c>
    </row>
    <row r="2094" spans="1:5" x14ac:dyDescent="0.3">
      <c r="A2094" t="s">
        <v>26</v>
      </c>
      <c r="B2094" t="s">
        <v>21</v>
      </c>
      <c r="C2094" t="s">
        <v>17</v>
      </c>
      <c r="D2094" s="3">
        <v>45475</v>
      </c>
      <c r="E2094" s="2">
        <v>3516</v>
      </c>
    </row>
    <row r="2095" spans="1:5" x14ac:dyDescent="0.3">
      <c r="A2095" t="s">
        <v>18</v>
      </c>
      <c r="B2095" t="s">
        <v>21</v>
      </c>
      <c r="C2095" t="s">
        <v>12</v>
      </c>
      <c r="D2095" s="3">
        <v>45475</v>
      </c>
      <c r="E2095" s="2">
        <v>12615</v>
      </c>
    </row>
    <row r="2096" spans="1:5" x14ac:dyDescent="0.3">
      <c r="A2096" t="s">
        <v>33</v>
      </c>
      <c r="B2096" t="s">
        <v>21</v>
      </c>
      <c r="C2096" t="s">
        <v>19</v>
      </c>
      <c r="D2096" s="3">
        <v>45476</v>
      </c>
      <c r="E2096" s="2">
        <v>12750</v>
      </c>
    </row>
    <row r="2097" spans="1:5" x14ac:dyDescent="0.3">
      <c r="A2097" t="s">
        <v>5</v>
      </c>
      <c r="B2097" t="s">
        <v>11</v>
      </c>
      <c r="C2097" t="s">
        <v>7</v>
      </c>
      <c r="D2097" s="3">
        <v>45476</v>
      </c>
      <c r="E2097" s="2">
        <v>2238</v>
      </c>
    </row>
    <row r="2098" spans="1:5" x14ac:dyDescent="0.3">
      <c r="A2098" t="s">
        <v>18</v>
      </c>
      <c r="B2098" t="s">
        <v>21</v>
      </c>
      <c r="C2098" t="s">
        <v>7</v>
      </c>
      <c r="D2098" s="3">
        <v>45477</v>
      </c>
      <c r="E2098" s="2">
        <v>1657</v>
      </c>
    </row>
    <row r="2099" spans="1:5" x14ac:dyDescent="0.3">
      <c r="A2099" t="s">
        <v>33</v>
      </c>
      <c r="B2099" t="s">
        <v>21</v>
      </c>
      <c r="C2099" t="s">
        <v>12</v>
      </c>
      <c r="D2099" s="3">
        <v>45477</v>
      </c>
      <c r="E2099" s="2">
        <v>9886</v>
      </c>
    </row>
    <row r="2100" spans="1:5" x14ac:dyDescent="0.3">
      <c r="A2100" t="s">
        <v>32</v>
      </c>
      <c r="B2100" t="s">
        <v>13</v>
      </c>
      <c r="C2100" t="s">
        <v>7</v>
      </c>
      <c r="D2100" s="3">
        <v>45478</v>
      </c>
      <c r="E2100" s="2">
        <v>1384</v>
      </c>
    </row>
    <row r="2101" spans="1:5" x14ac:dyDescent="0.3">
      <c r="A2101" t="s">
        <v>29</v>
      </c>
      <c r="B2101" t="s">
        <v>13</v>
      </c>
      <c r="C2101" t="s">
        <v>19</v>
      </c>
      <c r="D2101" s="3">
        <v>45479</v>
      </c>
      <c r="E2101" s="2">
        <v>4222</v>
      </c>
    </row>
    <row r="2102" spans="1:5" x14ac:dyDescent="0.3">
      <c r="A2102" t="s">
        <v>33</v>
      </c>
      <c r="B2102" t="s">
        <v>6</v>
      </c>
      <c r="C2102" t="s">
        <v>14</v>
      </c>
      <c r="D2102" s="3">
        <v>45480</v>
      </c>
      <c r="E2102" s="2">
        <v>13377</v>
      </c>
    </row>
    <row r="2103" spans="1:5" x14ac:dyDescent="0.3">
      <c r="A2103" t="s">
        <v>32</v>
      </c>
      <c r="B2103" t="s">
        <v>9</v>
      </c>
      <c r="C2103" t="s">
        <v>14</v>
      </c>
      <c r="D2103" s="3">
        <v>45480</v>
      </c>
      <c r="E2103" s="2">
        <v>5627</v>
      </c>
    </row>
    <row r="2104" spans="1:5" x14ac:dyDescent="0.3">
      <c r="A2104" t="s">
        <v>18</v>
      </c>
      <c r="B2104" t="s">
        <v>11</v>
      </c>
      <c r="C2104" t="s">
        <v>23</v>
      </c>
      <c r="D2104" s="3">
        <v>45480</v>
      </c>
      <c r="E2104" s="2">
        <v>7566</v>
      </c>
    </row>
    <row r="2105" spans="1:5" x14ac:dyDescent="0.3">
      <c r="A2105" t="s">
        <v>24</v>
      </c>
      <c r="B2105" t="s">
        <v>11</v>
      </c>
      <c r="C2105" t="s">
        <v>12</v>
      </c>
      <c r="D2105" s="3">
        <v>45480</v>
      </c>
      <c r="E2105" s="2">
        <v>12382</v>
      </c>
    </row>
    <row r="2106" spans="1:5" x14ac:dyDescent="0.3">
      <c r="A2106" t="s">
        <v>18</v>
      </c>
      <c r="B2106" t="s">
        <v>11</v>
      </c>
      <c r="C2106" t="s">
        <v>19</v>
      </c>
      <c r="D2106" s="3">
        <v>45481</v>
      </c>
      <c r="E2106" s="2">
        <v>8268</v>
      </c>
    </row>
    <row r="2107" spans="1:5" x14ac:dyDescent="0.3">
      <c r="A2107" t="s">
        <v>22</v>
      </c>
      <c r="B2107" t="s">
        <v>16</v>
      </c>
      <c r="C2107" t="s">
        <v>28</v>
      </c>
      <c r="D2107" s="3">
        <v>45481</v>
      </c>
      <c r="E2107" s="2">
        <v>5738</v>
      </c>
    </row>
    <row r="2108" spans="1:5" x14ac:dyDescent="0.3">
      <c r="A2108" t="s">
        <v>20</v>
      </c>
      <c r="B2108" t="s">
        <v>11</v>
      </c>
      <c r="C2108" t="s">
        <v>28</v>
      </c>
      <c r="D2108" s="3">
        <v>45481</v>
      </c>
      <c r="E2108" s="2">
        <v>13377</v>
      </c>
    </row>
    <row r="2109" spans="1:5" x14ac:dyDescent="0.3">
      <c r="A2109" t="s">
        <v>10</v>
      </c>
      <c r="B2109" t="s">
        <v>11</v>
      </c>
      <c r="C2109" t="s">
        <v>12</v>
      </c>
      <c r="D2109" s="3">
        <v>45481</v>
      </c>
      <c r="E2109" s="2">
        <v>4267</v>
      </c>
    </row>
    <row r="2110" spans="1:5" x14ac:dyDescent="0.3">
      <c r="A2110" t="s">
        <v>10</v>
      </c>
      <c r="B2110" t="s">
        <v>21</v>
      </c>
      <c r="C2110" t="s">
        <v>12</v>
      </c>
      <c r="D2110" s="3">
        <v>45481</v>
      </c>
      <c r="E2110" s="2">
        <v>5254</v>
      </c>
    </row>
    <row r="2111" spans="1:5" x14ac:dyDescent="0.3">
      <c r="A2111" t="s">
        <v>27</v>
      </c>
      <c r="B2111" t="s">
        <v>11</v>
      </c>
      <c r="C2111" t="s">
        <v>14</v>
      </c>
      <c r="D2111" s="3">
        <v>45482</v>
      </c>
      <c r="E2111" s="2">
        <v>9051</v>
      </c>
    </row>
    <row r="2112" spans="1:5" x14ac:dyDescent="0.3">
      <c r="A2112" t="s">
        <v>18</v>
      </c>
      <c r="B2112" t="s">
        <v>13</v>
      </c>
      <c r="C2112" t="s">
        <v>14</v>
      </c>
      <c r="D2112" s="3">
        <v>45482</v>
      </c>
      <c r="E2112" s="2">
        <v>12311</v>
      </c>
    </row>
    <row r="2113" spans="1:5" x14ac:dyDescent="0.3">
      <c r="A2113" t="s">
        <v>24</v>
      </c>
      <c r="B2113" t="s">
        <v>9</v>
      </c>
      <c r="C2113" t="s">
        <v>19</v>
      </c>
      <c r="D2113" s="3">
        <v>45482</v>
      </c>
      <c r="E2113" s="2">
        <v>6230</v>
      </c>
    </row>
    <row r="2114" spans="1:5" x14ac:dyDescent="0.3">
      <c r="A2114" t="s">
        <v>29</v>
      </c>
      <c r="B2114" t="s">
        <v>13</v>
      </c>
      <c r="C2114" t="s">
        <v>25</v>
      </c>
      <c r="D2114" s="3">
        <v>45482</v>
      </c>
      <c r="E2114" s="2">
        <v>7264</v>
      </c>
    </row>
    <row r="2115" spans="1:5" x14ac:dyDescent="0.3">
      <c r="A2115" t="s">
        <v>18</v>
      </c>
      <c r="B2115" t="s">
        <v>21</v>
      </c>
      <c r="C2115" t="s">
        <v>25</v>
      </c>
      <c r="D2115" s="3">
        <v>45482</v>
      </c>
      <c r="E2115" s="2">
        <v>10849</v>
      </c>
    </row>
    <row r="2116" spans="1:5" x14ac:dyDescent="0.3">
      <c r="A2116" t="s">
        <v>30</v>
      </c>
      <c r="B2116" t="s">
        <v>9</v>
      </c>
      <c r="C2116" t="s">
        <v>7</v>
      </c>
      <c r="D2116" s="3">
        <v>45482</v>
      </c>
      <c r="E2116" s="2">
        <v>13471</v>
      </c>
    </row>
    <row r="2117" spans="1:5" x14ac:dyDescent="0.3">
      <c r="A2117" t="s">
        <v>8</v>
      </c>
      <c r="B2117" t="s">
        <v>13</v>
      </c>
      <c r="C2117" t="s">
        <v>12</v>
      </c>
      <c r="D2117" s="3">
        <v>45482</v>
      </c>
      <c r="E2117" s="2">
        <v>5089</v>
      </c>
    </row>
    <row r="2118" spans="1:5" x14ac:dyDescent="0.3">
      <c r="A2118" t="s">
        <v>29</v>
      </c>
      <c r="B2118" t="s">
        <v>6</v>
      </c>
      <c r="C2118" t="s">
        <v>7</v>
      </c>
      <c r="D2118" s="3">
        <v>45483</v>
      </c>
      <c r="E2118" s="2">
        <v>4856</v>
      </c>
    </row>
    <row r="2119" spans="1:5" x14ac:dyDescent="0.3">
      <c r="A2119" t="s">
        <v>20</v>
      </c>
      <c r="B2119" t="s">
        <v>16</v>
      </c>
      <c r="C2119" t="s">
        <v>7</v>
      </c>
      <c r="D2119" s="3">
        <v>45483</v>
      </c>
      <c r="E2119" s="2">
        <v>13645</v>
      </c>
    </row>
    <row r="2120" spans="1:5" x14ac:dyDescent="0.3">
      <c r="A2120" t="s">
        <v>26</v>
      </c>
      <c r="B2120" t="s">
        <v>9</v>
      </c>
      <c r="C2120" t="s">
        <v>28</v>
      </c>
      <c r="D2120" s="3">
        <v>45483</v>
      </c>
      <c r="E2120" s="2">
        <v>5454</v>
      </c>
    </row>
    <row r="2121" spans="1:5" x14ac:dyDescent="0.3">
      <c r="A2121" t="s">
        <v>30</v>
      </c>
      <c r="B2121" t="s">
        <v>6</v>
      </c>
      <c r="C2121" t="s">
        <v>17</v>
      </c>
      <c r="D2121" s="3">
        <v>45483</v>
      </c>
      <c r="E2121" s="2">
        <v>3690</v>
      </c>
    </row>
    <row r="2122" spans="1:5" x14ac:dyDescent="0.3">
      <c r="A2122" t="s">
        <v>29</v>
      </c>
      <c r="B2122" t="s">
        <v>21</v>
      </c>
      <c r="C2122" t="s">
        <v>17</v>
      </c>
      <c r="D2122" s="3">
        <v>45483</v>
      </c>
      <c r="E2122" s="2">
        <v>10538</v>
      </c>
    </row>
    <row r="2123" spans="1:5" x14ac:dyDescent="0.3">
      <c r="A2123" t="s">
        <v>8</v>
      </c>
      <c r="B2123" t="s">
        <v>21</v>
      </c>
      <c r="C2123" t="s">
        <v>12</v>
      </c>
      <c r="D2123" s="3">
        <v>45483</v>
      </c>
      <c r="E2123" s="2">
        <v>13394</v>
      </c>
    </row>
    <row r="2124" spans="1:5" x14ac:dyDescent="0.3">
      <c r="A2124" t="s">
        <v>27</v>
      </c>
      <c r="B2124" t="s">
        <v>16</v>
      </c>
      <c r="C2124" t="s">
        <v>19</v>
      </c>
      <c r="D2124" s="3">
        <v>45484</v>
      </c>
      <c r="E2124" s="2">
        <v>7625</v>
      </c>
    </row>
    <row r="2125" spans="1:5" x14ac:dyDescent="0.3">
      <c r="A2125" t="s">
        <v>10</v>
      </c>
      <c r="B2125" t="s">
        <v>9</v>
      </c>
      <c r="C2125" t="s">
        <v>7</v>
      </c>
      <c r="D2125" s="3">
        <v>45484</v>
      </c>
      <c r="E2125" s="2">
        <v>1784</v>
      </c>
    </row>
    <row r="2126" spans="1:5" x14ac:dyDescent="0.3">
      <c r="A2126" t="s">
        <v>20</v>
      </c>
      <c r="B2126" t="s">
        <v>11</v>
      </c>
      <c r="C2126" t="s">
        <v>28</v>
      </c>
      <c r="D2126" s="3">
        <v>45484</v>
      </c>
      <c r="E2126" s="2">
        <v>10518</v>
      </c>
    </row>
    <row r="2127" spans="1:5" x14ac:dyDescent="0.3">
      <c r="A2127" t="s">
        <v>20</v>
      </c>
      <c r="B2127" t="s">
        <v>6</v>
      </c>
      <c r="C2127" t="s">
        <v>19</v>
      </c>
      <c r="D2127" s="3">
        <v>45485</v>
      </c>
      <c r="E2127" s="2">
        <v>3971</v>
      </c>
    </row>
    <row r="2128" spans="1:5" x14ac:dyDescent="0.3">
      <c r="A2128" t="s">
        <v>8</v>
      </c>
      <c r="B2128" t="s">
        <v>16</v>
      </c>
      <c r="C2128" t="s">
        <v>25</v>
      </c>
      <c r="D2128" s="3">
        <v>45485</v>
      </c>
      <c r="E2128" s="2">
        <v>3049</v>
      </c>
    </row>
    <row r="2129" spans="1:5" x14ac:dyDescent="0.3">
      <c r="A2129" t="s">
        <v>10</v>
      </c>
      <c r="B2129" t="s">
        <v>6</v>
      </c>
      <c r="C2129" t="s">
        <v>28</v>
      </c>
      <c r="D2129" s="3">
        <v>45485</v>
      </c>
      <c r="E2129" s="2">
        <v>11592</v>
      </c>
    </row>
    <row r="2130" spans="1:5" x14ac:dyDescent="0.3">
      <c r="A2130" t="s">
        <v>20</v>
      </c>
      <c r="B2130" t="s">
        <v>11</v>
      </c>
      <c r="C2130" t="s">
        <v>12</v>
      </c>
      <c r="D2130" s="3">
        <v>45485</v>
      </c>
      <c r="E2130" s="2">
        <v>1358</v>
      </c>
    </row>
    <row r="2131" spans="1:5" x14ac:dyDescent="0.3">
      <c r="A2131" t="s">
        <v>26</v>
      </c>
      <c r="B2131" t="s">
        <v>11</v>
      </c>
      <c r="C2131" t="s">
        <v>23</v>
      </c>
      <c r="D2131" s="3">
        <v>45486</v>
      </c>
      <c r="E2131" s="2">
        <v>11092</v>
      </c>
    </row>
    <row r="2132" spans="1:5" x14ac:dyDescent="0.3">
      <c r="A2132" t="s">
        <v>26</v>
      </c>
      <c r="B2132" t="s">
        <v>13</v>
      </c>
      <c r="C2132" t="s">
        <v>28</v>
      </c>
      <c r="D2132" s="3">
        <v>45486</v>
      </c>
      <c r="E2132" s="2">
        <v>5178</v>
      </c>
    </row>
    <row r="2133" spans="1:5" x14ac:dyDescent="0.3">
      <c r="A2133" t="s">
        <v>5</v>
      </c>
      <c r="B2133" t="s">
        <v>6</v>
      </c>
      <c r="C2133" t="s">
        <v>23</v>
      </c>
      <c r="D2133" s="3">
        <v>45487</v>
      </c>
      <c r="E2133" s="2">
        <v>8893</v>
      </c>
    </row>
    <row r="2134" spans="1:5" x14ac:dyDescent="0.3">
      <c r="A2134" t="s">
        <v>26</v>
      </c>
      <c r="B2134" t="s">
        <v>11</v>
      </c>
      <c r="C2134" t="s">
        <v>7</v>
      </c>
      <c r="D2134" s="3">
        <v>45487</v>
      </c>
      <c r="E2134" s="2">
        <v>9900</v>
      </c>
    </row>
    <row r="2135" spans="1:5" x14ac:dyDescent="0.3">
      <c r="A2135" t="s">
        <v>30</v>
      </c>
      <c r="B2135" t="s">
        <v>21</v>
      </c>
      <c r="C2135" t="s">
        <v>28</v>
      </c>
      <c r="D2135" s="3">
        <v>45487</v>
      </c>
      <c r="E2135" s="2">
        <v>2537</v>
      </c>
    </row>
    <row r="2136" spans="1:5" x14ac:dyDescent="0.3">
      <c r="A2136" t="s">
        <v>15</v>
      </c>
      <c r="B2136" t="s">
        <v>13</v>
      </c>
      <c r="C2136" t="s">
        <v>17</v>
      </c>
      <c r="D2136" s="3">
        <v>45487</v>
      </c>
      <c r="E2136" s="2">
        <v>7564</v>
      </c>
    </row>
    <row r="2137" spans="1:5" x14ac:dyDescent="0.3">
      <c r="A2137" t="s">
        <v>29</v>
      </c>
      <c r="B2137" t="s">
        <v>9</v>
      </c>
      <c r="C2137" t="s">
        <v>12</v>
      </c>
      <c r="D2137" s="3">
        <v>45487</v>
      </c>
      <c r="E2137" s="2">
        <v>8240</v>
      </c>
    </row>
    <row r="2138" spans="1:5" x14ac:dyDescent="0.3">
      <c r="A2138" t="s">
        <v>29</v>
      </c>
      <c r="B2138" t="s">
        <v>21</v>
      </c>
      <c r="C2138" t="s">
        <v>19</v>
      </c>
      <c r="D2138" s="3">
        <v>45488</v>
      </c>
      <c r="E2138" s="2">
        <v>1490</v>
      </c>
    </row>
    <row r="2139" spans="1:5" x14ac:dyDescent="0.3">
      <c r="A2139" t="s">
        <v>5</v>
      </c>
      <c r="B2139" t="s">
        <v>16</v>
      </c>
      <c r="C2139" t="s">
        <v>23</v>
      </c>
      <c r="D2139" s="3">
        <v>45488</v>
      </c>
      <c r="E2139" s="2">
        <v>4942</v>
      </c>
    </row>
    <row r="2140" spans="1:5" x14ac:dyDescent="0.3">
      <c r="A2140" t="s">
        <v>32</v>
      </c>
      <c r="B2140" t="s">
        <v>11</v>
      </c>
      <c r="C2140" t="s">
        <v>25</v>
      </c>
      <c r="D2140" s="3">
        <v>45488</v>
      </c>
      <c r="E2140" s="2">
        <v>1534</v>
      </c>
    </row>
    <row r="2141" spans="1:5" x14ac:dyDescent="0.3">
      <c r="A2141" t="s">
        <v>8</v>
      </c>
      <c r="B2141" t="s">
        <v>6</v>
      </c>
      <c r="C2141" t="s">
        <v>7</v>
      </c>
      <c r="D2141" s="3">
        <v>45488</v>
      </c>
      <c r="E2141" s="2">
        <v>11712</v>
      </c>
    </row>
    <row r="2142" spans="1:5" x14ac:dyDescent="0.3">
      <c r="A2142" t="s">
        <v>5</v>
      </c>
      <c r="B2142" t="s">
        <v>6</v>
      </c>
      <c r="C2142" t="s">
        <v>7</v>
      </c>
      <c r="D2142" s="3">
        <v>45488</v>
      </c>
      <c r="E2142" s="2">
        <v>8363</v>
      </c>
    </row>
    <row r="2143" spans="1:5" x14ac:dyDescent="0.3">
      <c r="A2143" t="s">
        <v>20</v>
      </c>
      <c r="B2143" t="s">
        <v>11</v>
      </c>
      <c r="C2143" t="s">
        <v>14</v>
      </c>
      <c r="D2143" s="3">
        <v>45489</v>
      </c>
      <c r="E2143" s="2">
        <v>3691</v>
      </c>
    </row>
    <row r="2144" spans="1:5" x14ac:dyDescent="0.3">
      <c r="A2144" t="s">
        <v>32</v>
      </c>
      <c r="B2144" t="s">
        <v>21</v>
      </c>
      <c r="C2144" t="s">
        <v>17</v>
      </c>
      <c r="D2144" s="3">
        <v>45489</v>
      </c>
      <c r="E2144" s="2">
        <v>13738</v>
      </c>
    </row>
    <row r="2145" spans="1:5" x14ac:dyDescent="0.3">
      <c r="A2145" t="s">
        <v>30</v>
      </c>
      <c r="B2145" t="s">
        <v>16</v>
      </c>
      <c r="C2145" t="s">
        <v>14</v>
      </c>
      <c r="D2145" s="3">
        <v>45490</v>
      </c>
      <c r="E2145" s="2">
        <v>3973</v>
      </c>
    </row>
    <row r="2146" spans="1:5" x14ac:dyDescent="0.3">
      <c r="A2146" t="s">
        <v>18</v>
      </c>
      <c r="B2146" t="s">
        <v>6</v>
      </c>
      <c r="C2146" t="s">
        <v>23</v>
      </c>
      <c r="D2146" s="3">
        <v>45491</v>
      </c>
      <c r="E2146" s="2">
        <v>10922</v>
      </c>
    </row>
    <row r="2147" spans="1:5" x14ac:dyDescent="0.3">
      <c r="A2147" t="s">
        <v>8</v>
      </c>
      <c r="B2147" t="s">
        <v>6</v>
      </c>
      <c r="C2147" t="s">
        <v>25</v>
      </c>
      <c r="D2147" s="3">
        <v>45491</v>
      </c>
      <c r="E2147" s="2">
        <v>3551</v>
      </c>
    </row>
    <row r="2148" spans="1:5" x14ac:dyDescent="0.3">
      <c r="A2148" t="s">
        <v>30</v>
      </c>
      <c r="B2148" t="s">
        <v>13</v>
      </c>
      <c r="C2148" t="s">
        <v>28</v>
      </c>
      <c r="D2148" s="3">
        <v>45491</v>
      </c>
      <c r="E2148" s="2">
        <v>13946</v>
      </c>
    </row>
    <row r="2149" spans="1:5" x14ac:dyDescent="0.3">
      <c r="A2149" t="s">
        <v>30</v>
      </c>
      <c r="B2149" t="s">
        <v>21</v>
      </c>
      <c r="C2149" t="s">
        <v>28</v>
      </c>
      <c r="D2149" s="3">
        <v>45491</v>
      </c>
      <c r="E2149" s="2">
        <v>2550</v>
      </c>
    </row>
    <row r="2150" spans="1:5" x14ac:dyDescent="0.3">
      <c r="A2150" t="s">
        <v>15</v>
      </c>
      <c r="B2150" t="s">
        <v>9</v>
      </c>
      <c r="C2150" t="s">
        <v>25</v>
      </c>
      <c r="D2150" s="3">
        <v>45492</v>
      </c>
      <c r="E2150" s="2">
        <v>8572</v>
      </c>
    </row>
    <row r="2151" spans="1:5" x14ac:dyDescent="0.3">
      <c r="A2151" t="s">
        <v>24</v>
      </c>
      <c r="B2151" t="s">
        <v>21</v>
      </c>
      <c r="C2151" t="s">
        <v>12</v>
      </c>
      <c r="D2151" s="3">
        <v>45492</v>
      </c>
      <c r="E2151" s="2">
        <v>6287</v>
      </c>
    </row>
    <row r="2152" spans="1:5" x14ac:dyDescent="0.3">
      <c r="A2152" t="s">
        <v>5</v>
      </c>
      <c r="B2152" t="s">
        <v>16</v>
      </c>
      <c r="C2152" t="s">
        <v>23</v>
      </c>
      <c r="D2152" s="3">
        <v>45493</v>
      </c>
      <c r="E2152" s="2">
        <v>10543</v>
      </c>
    </row>
    <row r="2153" spans="1:5" x14ac:dyDescent="0.3">
      <c r="A2153" t="s">
        <v>33</v>
      </c>
      <c r="B2153" t="s">
        <v>13</v>
      </c>
      <c r="C2153" t="s">
        <v>7</v>
      </c>
      <c r="D2153" s="3">
        <v>45493</v>
      </c>
      <c r="E2153" s="2">
        <v>7740</v>
      </c>
    </row>
    <row r="2154" spans="1:5" x14ac:dyDescent="0.3">
      <c r="A2154" t="s">
        <v>29</v>
      </c>
      <c r="B2154" t="s">
        <v>11</v>
      </c>
      <c r="C2154" t="s">
        <v>14</v>
      </c>
      <c r="D2154" s="3">
        <v>45494</v>
      </c>
      <c r="E2154" s="2">
        <v>1714</v>
      </c>
    </row>
    <row r="2155" spans="1:5" x14ac:dyDescent="0.3">
      <c r="A2155" t="s">
        <v>32</v>
      </c>
      <c r="B2155" t="s">
        <v>16</v>
      </c>
      <c r="C2155" t="s">
        <v>23</v>
      </c>
      <c r="D2155" s="3">
        <v>45494</v>
      </c>
      <c r="E2155" s="2">
        <v>6041</v>
      </c>
    </row>
    <row r="2156" spans="1:5" x14ac:dyDescent="0.3">
      <c r="A2156" t="s">
        <v>27</v>
      </c>
      <c r="B2156" t="s">
        <v>11</v>
      </c>
      <c r="C2156" t="s">
        <v>23</v>
      </c>
      <c r="D2156" s="3">
        <v>45494</v>
      </c>
      <c r="E2156" s="2">
        <v>1838</v>
      </c>
    </row>
    <row r="2157" spans="1:5" x14ac:dyDescent="0.3">
      <c r="A2157" t="s">
        <v>26</v>
      </c>
      <c r="B2157" t="s">
        <v>21</v>
      </c>
      <c r="C2157" t="s">
        <v>25</v>
      </c>
      <c r="D2157" s="3">
        <v>45494</v>
      </c>
      <c r="E2157" s="2">
        <v>9641</v>
      </c>
    </row>
    <row r="2158" spans="1:5" x14ac:dyDescent="0.3">
      <c r="A2158" t="s">
        <v>8</v>
      </c>
      <c r="B2158" t="s">
        <v>6</v>
      </c>
      <c r="C2158" t="s">
        <v>28</v>
      </c>
      <c r="D2158" s="3">
        <v>45494</v>
      </c>
      <c r="E2158" s="2">
        <v>3833</v>
      </c>
    </row>
    <row r="2159" spans="1:5" x14ac:dyDescent="0.3">
      <c r="A2159" t="s">
        <v>32</v>
      </c>
      <c r="B2159" t="s">
        <v>16</v>
      </c>
      <c r="C2159" t="s">
        <v>17</v>
      </c>
      <c r="D2159" s="3">
        <v>45494</v>
      </c>
      <c r="E2159" s="2">
        <v>11764</v>
      </c>
    </row>
    <row r="2160" spans="1:5" x14ac:dyDescent="0.3">
      <c r="A2160" t="s">
        <v>10</v>
      </c>
      <c r="B2160" t="s">
        <v>9</v>
      </c>
      <c r="C2160" t="s">
        <v>12</v>
      </c>
      <c r="D2160" s="3">
        <v>45494</v>
      </c>
      <c r="E2160" s="2">
        <v>11688</v>
      </c>
    </row>
    <row r="2161" spans="1:5" x14ac:dyDescent="0.3">
      <c r="A2161" t="s">
        <v>15</v>
      </c>
      <c r="B2161" t="s">
        <v>16</v>
      </c>
      <c r="C2161" t="s">
        <v>12</v>
      </c>
      <c r="D2161" s="3">
        <v>45496</v>
      </c>
      <c r="E2161" s="2">
        <v>7956</v>
      </c>
    </row>
    <row r="2162" spans="1:5" x14ac:dyDescent="0.3">
      <c r="A2162" t="s">
        <v>5</v>
      </c>
      <c r="B2162" t="s">
        <v>6</v>
      </c>
      <c r="C2162" t="s">
        <v>19</v>
      </c>
      <c r="D2162" s="3">
        <v>45497</v>
      </c>
      <c r="E2162" s="2">
        <v>12712</v>
      </c>
    </row>
    <row r="2163" spans="1:5" x14ac:dyDescent="0.3">
      <c r="A2163" t="s">
        <v>24</v>
      </c>
      <c r="B2163" t="s">
        <v>13</v>
      </c>
      <c r="C2163" t="s">
        <v>25</v>
      </c>
      <c r="D2163" s="3">
        <v>45497</v>
      </c>
      <c r="E2163" s="2">
        <v>1092</v>
      </c>
    </row>
    <row r="2164" spans="1:5" x14ac:dyDescent="0.3">
      <c r="A2164" t="s">
        <v>15</v>
      </c>
      <c r="B2164" t="s">
        <v>9</v>
      </c>
      <c r="C2164" t="s">
        <v>7</v>
      </c>
      <c r="D2164" s="3">
        <v>45497</v>
      </c>
      <c r="E2164" s="2">
        <v>4387</v>
      </c>
    </row>
    <row r="2165" spans="1:5" x14ac:dyDescent="0.3">
      <c r="A2165" t="s">
        <v>20</v>
      </c>
      <c r="B2165" t="s">
        <v>11</v>
      </c>
      <c r="C2165" t="s">
        <v>7</v>
      </c>
      <c r="D2165" s="3">
        <v>45497</v>
      </c>
      <c r="E2165" s="2">
        <v>3444</v>
      </c>
    </row>
    <row r="2166" spans="1:5" x14ac:dyDescent="0.3">
      <c r="A2166" t="s">
        <v>22</v>
      </c>
      <c r="B2166" t="s">
        <v>21</v>
      </c>
      <c r="C2166" t="s">
        <v>28</v>
      </c>
      <c r="D2166" s="3">
        <v>45497</v>
      </c>
      <c r="E2166" s="2">
        <v>4800</v>
      </c>
    </row>
    <row r="2167" spans="1:5" x14ac:dyDescent="0.3">
      <c r="A2167" t="s">
        <v>26</v>
      </c>
      <c r="B2167" t="s">
        <v>6</v>
      </c>
      <c r="C2167" t="s">
        <v>17</v>
      </c>
      <c r="D2167" s="3">
        <v>45497</v>
      </c>
      <c r="E2167" s="2">
        <v>9477</v>
      </c>
    </row>
    <row r="2168" spans="1:5" x14ac:dyDescent="0.3">
      <c r="A2168" t="s">
        <v>20</v>
      </c>
      <c r="B2168" t="s">
        <v>9</v>
      </c>
      <c r="C2168" t="s">
        <v>17</v>
      </c>
      <c r="D2168" s="3">
        <v>45497</v>
      </c>
      <c r="E2168" s="2">
        <v>10556</v>
      </c>
    </row>
    <row r="2169" spans="1:5" x14ac:dyDescent="0.3">
      <c r="A2169" t="s">
        <v>22</v>
      </c>
      <c r="B2169" t="s">
        <v>21</v>
      </c>
      <c r="C2169" t="s">
        <v>19</v>
      </c>
      <c r="D2169" s="3">
        <v>45498</v>
      </c>
      <c r="E2169" s="2">
        <v>8174</v>
      </c>
    </row>
    <row r="2170" spans="1:5" x14ac:dyDescent="0.3">
      <c r="A2170" t="s">
        <v>18</v>
      </c>
      <c r="B2170" t="s">
        <v>16</v>
      </c>
      <c r="C2170" t="s">
        <v>19</v>
      </c>
      <c r="D2170" s="3">
        <v>45498</v>
      </c>
      <c r="E2170" s="2">
        <v>10887</v>
      </c>
    </row>
    <row r="2171" spans="1:5" x14ac:dyDescent="0.3">
      <c r="A2171" t="s">
        <v>20</v>
      </c>
      <c r="B2171" t="s">
        <v>16</v>
      </c>
      <c r="C2171" t="s">
        <v>23</v>
      </c>
      <c r="D2171" s="3">
        <v>45498</v>
      </c>
      <c r="E2171" s="2">
        <v>3877</v>
      </c>
    </row>
    <row r="2172" spans="1:5" x14ac:dyDescent="0.3">
      <c r="A2172" t="s">
        <v>30</v>
      </c>
      <c r="B2172" t="s">
        <v>21</v>
      </c>
      <c r="C2172" t="s">
        <v>25</v>
      </c>
      <c r="D2172" s="3">
        <v>45498</v>
      </c>
      <c r="E2172" s="2">
        <v>9395</v>
      </c>
    </row>
    <row r="2173" spans="1:5" x14ac:dyDescent="0.3">
      <c r="A2173" t="s">
        <v>33</v>
      </c>
      <c r="B2173" t="s">
        <v>6</v>
      </c>
      <c r="C2173" t="s">
        <v>25</v>
      </c>
      <c r="D2173" s="3">
        <v>45499</v>
      </c>
      <c r="E2173" s="2">
        <v>5764</v>
      </c>
    </row>
    <row r="2174" spans="1:5" x14ac:dyDescent="0.3">
      <c r="A2174" t="s">
        <v>31</v>
      </c>
      <c r="B2174" t="s">
        <v>11</v>
      </c>
      <c r="C2174" t="s">
        <v>7</v>
      </c>
      <c r="D2174" s="3">
        <v>45499</v>
      </c>
      <c r="E2174" s="2">
        <v>1823</v>
      </c>
    </row>
    <row r="2175" spans="1:5" x14ac:dyDescent="0.3">
      <c r="A2175" t="s">
        <v>26</v>
      </c>
      <c r="B2175" t="s">
        <v>21</v>
      </c>
      <c r="C2175" t="s">
        <v>17</v>
      </c>
      <c r="D2175" s="3">
        <v>45499</v>
      </c>
      <c r="E2175" s="2">
        <v>10416</v>
      </c>
    </row>
    <row r="2176" spans="1:5" x14ac:dyDescent="0.3">
      <c r="A2176" t="s">
        <v>24</v>
      </c>
      <c r="B2176" t="s">
        <v>21</v>
      </c>
      <c r="C2176" t="s">
        <v>7</v>
      </c>
      <c r="D2176" s="3">
        <v>45500</v>
      </c>
      <c r="E2176" s="2">
        <v>9735</v>
      </c>
    </row>
    <row r="2177" spans="1:5" x14ac:dyDescent="0.3">
      <c r="A2177" t="s">
        <v>32</v>
      </c>
      <c r="B2177" t="s">
        <v>6</v>
      </c>
      <c r="C2177" t="s">
        <v>19</v>
      </c>
      <c r="D2177" s="3">
        <v>45501</v>
      </c>
      <c r="E2177" s="2">
        <v>11936</v>
      </c>
    </row>
    <row r="2178" spans="1:5" x14ac:dyDescent="0.3">
      <c r="A2178" t="s">
        <v>10</v>
      </c>
      <c r="B2178" t="s">
        <v>16</v>
      </c>
      <c r="C2178" t="s">
        <v>19</v>
      </c>
      <c r="D2178" s="3">
        <v>45501</v>
      </c>
      <c r="E2178" s="2">
        <v>4829</v>
      </c>
    </row>
    <row r="2179" spans="1:5" x14ac:dyDescent="0.3">
      <c r="A2179" t="s">
        <v>15</v>
      </c>
      <c r="B2179" t="s">
        <v>13</v>
      </c>
      <c r="C2179" t="s">
        <v>12</v>
      </c>
      <c r="D2179" s="3">
        <v>45502</v>
      </c>
      <c r="E2179" s="2">
        <v>2125</v>
      </c>
    </row>
    <row r="2180" spans="1:5" x14ac:dyDescent="0.3">
      <c r="A2180" t="s">
        <v>20</v>
      </c>
      <c r="B2180" t="s">
        <v>21</v>
      </c>
      <c r="C2180" t="s">
        <v>14</v>
      </c>
      <c r="D2180" s="3">
        <v>45503</v>
      </c>
      <c r="E2180" s="2">
        <v>11750</v>
      </c>
    </row>
    <row r="2181" spans="1:5" x14ac:dyDescent="0.3">
      <c r="A2181" t="s">
        <v>5</v>
      </c>
      <c r="B2181" t="s">
        <v>9</v>
      </c>
      <c r="C2181" t="s">
        <v>28</v>
      </c>
      <c r="D2181" s="3">
        <v>45503</v>
      </c>
      <c r="E2181" s="2">
        <v>10961</v>
      </c>
    </row>
    <row r="2182" spans="1:5" x14ac:dyDescent="0.3">
      <c r="A2182" t="s">
        <v>8</v>
      </c>
      <c r="B2182" t="s">
        <v>13</v>
      </c>
      <c r="C2182" t="s">
        <v>17</v>
      </c>
      <c r="D2182" s="3">
        <v>45503</v>
      </c>
      <c r="E2182" s="2">
        <v>5183</v>
      </c>
    </row>
    <row r="2183" spans="1:5" x14ac:dyDescent="0.3">
      <c r="A2183" t="s">
        <v>10</v>
      </c>
      <c r="B2183" t="s">
        <v>13</v>
      </c>
      <c r="C2183" t="s">
        <v>12</v>
      </c>
      <c r="D2183" s="3">
        <v>45503</v>
      </c>
      <c r="E2183" s="2">
        <v>11449</v>
      </c>
    </row>
    <row r="2184" spans="1:5" x14ac:dyDescent="0.3">
      <c r="A2184" t="s">
        <v>5</v>
      </c>
      <c r="B2184" t="s">
        <v>11</v>
      </c>
      <c r="C2184" t="s">
        <v>14</v>
      </c>
      <c r="D2184" s="3">
        <v>45504</v>
      </c>
      <c r="E2184" s="2">
        <v>13180</v>
      </c>
    </row>
    <row r="2185" spans="1:5" x14ac:dyDescent="0.3">
      <c r="A2185" t="s">
        <v>33</v>
      </c>
      <c r="B2185" t="s">
        <v>6</v>
      </c>
      <c r="C2185" t="s">
        <v>19</v>
      </c>
      <c r="D2185" s="3">
        <v>45504</v>
      </c>
      <c r="E2185" s="2">
        <v>12333</v>
      </c>
    </row>
    <row r="2186" spans="1:5" x14ac:dyDescent="0.3">
      <c r="A2186" t="s">
        <v>22</v>
      </c>
      <c r="B2186" t="s">
        <v>21</v>
      </c>
      <c r="C2186" t="s">
        <v>17</v>
      </c>
      <c r="D2186" s="3">
        <v>45504</v>
      </c>
      <c r="E2186" s="2">
        <v>5328</v>
      </c>
    </row>
    <row r="2187" spans="1:5" x14ac:dyDescent="0.3">
      <c r="A2187" t="s">
        <v>8</v>
      </c>
      <c r="B2187" t="s">
        <v>6</v>
      </c>
      <c r="C2187" t="s">
        <v>7</v>
      </c>
      <c r="D2187" s="3">
        <v>45505</v>
      </c>
      <c r="E2187" s="2">
        <v>13611</v>
      </c>
    </row>
    <row r="2188" spans="1:5" x14ac:dyDescent="0.3">
      <c r="A2188" t="s">
        <v>18</v>
      </c>
      <c r="B2188" t="s">
        <v>11</v>
      </c>
      <c r="C2188" t="s">
        <v>23</v>
      </c>
      <c r="D2188" s="3">
        <v>45506</v>
      </c>
      <c r="E2188" s="2">
        <v>10549</v>
      </c>
    </row>
    <row r="2189" spans="1:5" x14ac:dyDescent="0.3">
      <c r="A2189" t="s">
        <v>18</v>
      </c>
      <c r="B2189" t="s">
        <v>6</v>
      </c>
      <c r="C2189" t="s">
        <v>28</v>
      </c>
      <c r="D2189" s="3">
        <v>45506</v>
      </c>
      <c r="E2189" s="2">
        <v>1502</v>
      </c>
    </row>
    <row r="2190" spans="1:5" x14ac:dyDescent="0.3">
      <c r="A2190" t="s">
        <v>10</v>
      </c>
      <c r="B2190" t="s">
        <v>16</v>
      </c>
      <c r="C2190" t="s">
        <v>12</v>
      </c>
      <c r="D2190" s="3">
        <v>45506</v>
      </c>
      <c r="E2190" s="2">
        <v>6523</v>
      </c>
    </row>
    <row r="2191" spans="1:5" x14ac:dyDescent="0.3">
      <c r="A2191" t="s">
        <v>32</v>
      </c>
      <c r="B2191" t="s">
        <v>16</v>
      </c>
      <c r="C2191" t="s">
        <v>14</v>
      </c>
      <c r="D2191" s="3">
        <v>45507</v>
      </c>
      <c r="E2191" s="2">
        <v>6767</v>
      </c>
    </row>
    <row r="2192" spans="1:5" x14ac:dyDescent="0.3">
      <c r="A2192" t="s">
        <v>15</v>
      </c>
      <c r="B2192" t="s">
        <v>13</v>
      </c>
      <c r="C2192" t="s">
        <v>23</v>
      </c>
      <c r="D2192" s="3">
        <v>45507</v>
      </c>
      <c r="E2192" s="2">
        <v>3721</v>
      </c>
    </row>
    <row r="2193" spans="1:5" x14ac:dyDescent="0.3">
      <c r="A2193" t="s">
        <v>8</v>
      </c>
      <c r="B2193" t="s">
        <v>21</v>
      </c>
      <c r="C2193" t="s">
        <v>25</v>
      </c>
      <c r="D2193" s="3">
        <v>45507</v>
      </c>
      <c r="E2193" s="2">
        <v>6142</v>
      </c>
    </row>
    <row r="2194" spans="1:5" x14ac:dyDescent="0.3">
      <c r="A2194" t="s">
        <v>20</v>
      </c>
      <c r="B2194" t="s">
        <v>21</v>
      </c>
      <c r="C2194" t="s">
        <v>7</v>
      </c>
      <c r="D2194" s="3">
        <v>45507</v>
      </c>
      <c r="E2194" s="2">
        <v>2173</v>
      </c>
    </row>
    <row r="2195" spans="1:5" x14ac:dyDescent="0.3">
      <c r="A2195" t="s">
        <v>5</v>
      </c>
      <c r="B2195" t="s">
        <v>6</v>
      </c>
      <c r="C2195" t="s">
        <v>12</v>
      </c>
      <c r="D2195" s="3">
        <v>45507</v>
      </c>
      <c r="E2195" s="2">
        <v>12253</v>
      </c>
    </row>
    <row r="2196" spans="1:5" x14ac:dyDescent="0.3">
      <c r="A2196" t="s">
        <v>27</v>
      </c>
      <c r="B2196" t="s">
        <v>9</v>
      </c>
      <c r="C2196" t="s">
        <v>19</v>
      </c>
      <c r="D2196" s="3">
        <v>45508</v>
      </c>
      <c r="E2196" s="2">
        <v>12943</v>
      </c>
    </row>
    <row r="2197" spans="1:5" x14ac:dyDescent="0.3">
      <c r="A2197" t="s">
        <v>22</v>
      </c>
      <c r="B2197" t="s">
        <v>9</v>
      </c>
      <c r="C2197" t="s">
        <v>17</v>
      </c>
      <c r="D2197" s="3">
        <v>45508</v>
      </c>
      <c r="E2197" s="2">
        <v>5895</v>
      </c>
    </row>
    <row r="2198" spans="1:5" x14ac:dyDescent="0.3">
      <c r="A2198" t="s">
        <v>27</v>
      </c>
      <c r="B2198" t="s">
        <v>6</v>
      </c>
      <c r="C2198" t="s">
        <v>19</v>
      </c>
      <c r="D2198" s="3">
        <v>45509</v>
      </c>
      <c r="E2198" s="2">
        <v>1199</v>
      </c>
    </row>
    <row r="2199" spans="1:5" x14ac:dyDescent="0.3">
      <c r="A2199" t="s">
        <v>27</v>
      </c>
      <c r="B2199" t="s">
        <v>9</v>
      </c>
      <c r="C2199" t="s">
        <v>28</v>
      </c>
      <c r="D2199" s="3">
        <v>45509</v>
      </c>
      <c r="E2199" s="2">
        <v>7740</v>
      </c>
    </row>
    <row r="2200" spans="1:5" x14ac:dyDescent="0.3">
      <c r="A2200" t="s">
        <v>32</v>
      </c>
      <c r="B2200" t="s">
        <v>9</v>
      </c>
      <c r="C2200" t="s">
        <v>12</v>
      </c>
      <c r="D2200" s="3">
        <v>45509</v>
      </c>
      <c r="E2200" s="2">
        <v>3674</v>
      </c>
    </row>
    <row r="2201" spans="1:5" x14ac:dyDescent="0.3">
      <c r="A2201" t="s">
        <v>26</v>
      </c>
      <c r="B2201" t="s">
        <v>6</v>
      </c>
      <c r="C2201" t="s">
        <v>14</v>
      </c>
      <c r="D2201" s="3">
        <v>45510</v>
      </c>
      <c r="E2201" s="2">
        <v>2252</v>
      </c>
    </row>
    <row r="2202" spans="1:5" x14ac:dyDescent="0.3">
      <c r="A2202" t="s">
        <v>24</v>
      </c>
      <c r="B2202" t="s">
        <v>13</v>
      </c>
      <c r="C2202" t="s">
        <v>19</v>
      </c>
      <c r="D2202" s="3">
        <v>45510</v>
      </c>
      <c r="E2202" s="2">
        <v>12693</v>
      </c>
    </row>
    <row r="2203" spans="1:5" x14ac:dyDescent="0.3">
      <c r="A2203" t="s">
        <v>10</v>
      </c>
      <c r="B2203" t="s">
        <v>6</v>
      </c>
      <c r="C2203" t="s">
        <v>19</v>
      </c>
      <c r="D2203" s="3">
        <v>45510</v>
      </c>
      <c r="E2203" s="2">
        <v>5281</v>
      </c>
    </row>
    <row r="2204" spans="1:5" x14ac:dyDescent="0.3">
      <c r="A2204" t="s">
        <v>22</v>
      </c>
      <c r="B2204" t="s">
        <v>13</v>
      </c>
      <c r="C2204" t="s">
        <v>25</v>
      </c>
      <c r="D2204" s="3">
        <v>45510</v>
      </c>
      <c r="E2204" s="2">
        <v>13257</v>
      </c>
    </row>
    <row r="2205" spans="1:5" x14ac:dyDescent="0.3">
      <c r="A2205" t="s">
        <v>29</v>
      </c>
      <c r="B2205" t="s">
        <v>11</v>
      </c>
      <c r="C2205" t="s">
        <v>14</v>
      </c>
      <c r="D2205" s="3">
        <v>45511</v>
      </c>
      <c r="E2205" s="2">
        <v>1511</v>
      </c>
    </row>
    <row r="2206" spans="1:5" x14ac:dyDescent="0.3">
      <c r="A2206" t="s">
        <v>10</v>
      </c>
      <c r="B2206" t="s">
        <v>13</v>
      </c>
      <c r="C2206" t="s">
        <v>23</v>
      </c>
      <c r="D2206" s="3">
        <v>45511</v>
      </c>
      <c r="E2206" s="2">
        <v>12705</v>
      </c>
    </row>
    <row r="2207" spans="1:5" x14ac:dyDescent="0.3">
      <c r="A2207" t="s">
        <v>27</v>
      </c>
      <c r="B2207" t="s">
        <v>16</v>
      </c>
      <c r="C2207" t="s">
        <v>17</v>
      </c>
      <c r="D2207" s="3">
        <v>45511</v>
      </c>
      <c r="E2207" s="2">
        <v>12509</v>
      </c>
    </row>
    <row r="2208" spans="1:5" x14ac:dyDescent="0.3">
      <c r="A2208" t="s">
        <v>27</v>
      </c>
      <c r="B2208" t="s">
        <v>6</v>
      </c>
      <c r="C2208" t="s">
        <v>12</v>
      </c>
      <c r="D2208" s="3">
        <v>45511</v>
      </c>
      <c r="E2208" s="2">
        <v>13247</v>
      </c>
    </row>
    <row r="2209" spans="1:5" x14ac:dyDescent="0.3">
      <c r="A2209" t="s">
        <v>33</v>
      </c>
      <c r="B2209" t="s">
        <v>6</v>
      </c>
      <c r="C2209" t="s">
        <v>23</v>
      </c>
      <c r="D2209" s="3">
        <v>45512</v>
      </c>
      <c r="E2209" s="2">
        <v>8454</v>
      </c>
    </row>
    <row r="2210" spans="1:5" x14ac:dyDescent="0.3">
      <c r="A2210" t="s">
        <v>18</v>
      </c>
      <c r="B2210" t="s">
        <v>21</v>
      </c>
      <c r="C2210" t="s">
        <v>25</v>
      </c>
      <c r="D2210" s="3">
        <v>45512</v>
      </c>
      <c r="E2210" s="2">
        <v>13045</v>
      </c>
    </row>
    <row r="2211" spans="1:5" x14ac:dyDescent="0.3">
      <c r="A2211" t="s">
        <v>24</v>
      </c>
      <c r="B2211" t="s">
        <v>16</v>
      </c>
      <c r="C2211" t="s">
        <v>7</v>
      </c>
      <c r="D2211" s="3">
        <v>45512</v>
      </c>
      <c r="E2211" s="2">
        <v>1667</v>
      </c>
    </row>
    <row r="2212" spans="1:5" x14ac:dyDescent="0.3">
      <c r="A2212" t="s">
        <v>32</v>
      </c>
      <c r="B2212" t="s">
        <v>9</v>
      </c>
      <c r="C2212" t="s">
        <v>28</v>
      </c>
      <c r="D2212" s="3">
        <v>45512</v>
      </c>
      <c r="E2212" s="2">
        <v>7630</v>
      </c>
    </row>
    <row r="2213" spans="1:5" x14ac:dyDescent="0.3">
      <c r="A2213" t="s">
        <v>30</v>
      </c>
      <c r="B2213" t="s">
        <v>9</v>
      </c>
      <c r="C2213" t="s">
        <v>23</v>
      </c>
      <c r="D2213" s="3">
        <v>45513</v>
      </c>
      <c r="E2213" s="2">
        <v>8302</v>
      </c>
    </row>
    <row r="2214" spans="1:5" x14ac:dyDescent="0.3">
      <c r="A2214" t="s">
        <v>31</v>
      </c>
      <c r="B2214" t="s">
        <v>21</v>
      </c>
      <c r="C2214" t="s">
        <v>12</v>
      </c>
      <c r="D2214" s="3">
        <v>45513</v>
      </c>
      <c r="E2214" s="2">
        <v>11157</v>
      </c>
    </row>
    <row r="2215" spans="1:5" x14ac:dyDescent="0.3">
      <c r="A2215" t="s">
        <v>30</v>
      </c>
      <c r="B2215" t="s">
        <v>11</v>
      </c>
      <c r="C2215" t="s">
        <v>23</v>
      </c>
      <c r="D2215" s="3">
        <v>45514</v>
      </c>
      <c r="E2215" s="2">
        <v>11728</v>
      </c>
    </row>
    <row r="2216" spans="1:5" x14ac:dyDescent="0.3">
      <c r="A2216" t="s">
        <v>5</v>
      </c>
      <c r="B2216" t="s">
        <v>9</v>
      </c>
      <c r="C2216" t="s">
        <v>25</v>
      </c>
      <c r="D2216" s="3">
        <v>45514</v>
      </c>
      <c r="E2216" s="2">
        <v>11689</v>
      </c>
    </row>
    <row r="2217" spans="1:5" x14ac:dyDescent="0.3">
      <c r="A2217" t="s">
        <v>22</v>
      </c>
      <c r="B2217" t="s">
        <v>13</v>
      </c>
      <c r="C2217" t="s">
        <v>28</v>
      </c>
      <c r="D2217" s="3">
        <v>45514</v>
      </c>
      <c r="E2217" s="2">
        <v>13229</v>
      </c>
    </row>
    <row r="2218" spans="1:5" x14ac:dyDescent="0.3">
      <c r="A2218" t="s">
        <v>27</v>
      </c>
      <c r="B2218" t="s">
        <v>9</v>
      </c>
      <c r="C2218" t="s">
        <v>14</v>
      </c>
      <c r="D2218" s="3">
        <v>45515</v>
      </c>
      <c r="E2218" s="2">
        <v>9292</v>
      </c>
    </row>
    <row r="2219" spans="1:5" x14ac:dyDescent="0.3">
      <c r="A2219" t="s">
        <v>27</v>
      </c>
      <c r="B2219" t="s">
        <v>6</v>
      </c>
      <c r="C2219" t="s">
        <v>12</v>
      </c>
      <c r="D2219" s="3">
        <v>45515</v>
      </c>
      <c r="E2219" s="2">
        <v>10397</v>
      </c>
    </row>
    <row r="2220" spans="1:5" x14ac:dyDescent="0.3">
      <c r="A2220" t="s">
        <v>5</v>
      </c>
      <c r="B2220" t="s">
        <v>6</v>
      </c>
      <c r="C2220" t="s">
        <v>25</v>
      </c>
      <c r="D2220" s="3">
        <v>45516</v>
      </c>
      <c r="E2220" s="2">
        <v>8074</v>
      </c>
    </row>
    <row r="2221" spans="1:5" x14ac:dyDescent="0.3">
      <c r="A2221" t="s">
        <v>18</v>
      </c>
      <c r="B2221" t="s">
        <v>13</v>
      </c>
      <c r="C2221" t="s">
        <v>25</v>
      </c>
      <c r="D2221" s="3">
        <v>45516</v>
      </c>
      <c r="E2221" s="2">
        <v>5031</v>
      </c>
    </row>
    <row r="2222" spans="1:5" x14ac:dyDescent="0.3">
      <c r="A2222" t="s">
        <v>5</v>
      </c>
      <c r="B2222" t="s">
        <v>11</v>
      </c>
      <c r="C2222" t="s">
        <v>17</v>
      </c>
      <c r="D2222" s="3">
        <v>45516</v>
      </c>
      <c r="E2222" s="2">
        <v>13319</v>
      </c>
    </row>
    <row r="2223" spans="1:5" x14ac:dyDescent="0.3">
      <c r="A2223" t="s">
        <v>20</v>
      </c>
      <c r="B2223" t="s">
        <v>11</v>
      </c>
      <c r="C2223" t="s">
        <v>12</v>
      </c>
      <c r="D2223" s="3">
        <v>45516</v>
      </c>
      <c r="E2223" s="2">
        <v>6174</v>
      </c>
    </row>
    <row r="2224" spans="1:5" x14ac:dyDescent="0.3">
      <c r="A2224" t="s">
        <v>22</v>
      </c>
      <c r="B2224" t="s">
        <v>21</v>
      </c>
      <c r="C2224" t="s">
        <v>19</v>
      </c>
      <c r="D2224" s="3">
        <v>45517</v>
      </c>
      <c r="E2224" s="2">
        <v>12134</v>
      </c>
    </row>
    <row r="2225" spans="1:5" x14ac:dyDescent="0.3">
      <c r="A2225" t="s">
        <v>22</v>
      </c>
      <c r="B2225" t="s">
        <v>9</v>
      </c>
      <c r="C2225" t="s">
        <v>23</v>
      </c>
      <c r="D2225" s="3">
        <v>45517</v>
      </c>
      <c r="E2225" s="2">
        <v>3610</v>
      </c>
    </row>
    <row r="2226" spans="1:5" x14ac:dyDescent="0.3">
      <c r="A2226" t="s">
        <v>20</v>
      </c>
      <c r="B2226" t="s">
        <v>13</v>
      </c>
      <c r="C2226" t="s">
        <v>7</v>
      </c>
      <c r="D2226" s="3">
        <v>45517</v>
      </c>
      <c r="E2226" s="2">
        <v>3613</v>
      </c>
    </row>
    <row r="2227" spans="1:5" x14ac:dyDescent="0.3">
      <c r="A2227" t="s">
        <v>10</v>
      </c>
      <c r="B2227" t="s">
        <v>21</v>
      </c>
      <c r="C2227" t="s">
        <v>17</v>
      </c>
      <c r="D2227" s="3">
        <v>45517</v>
      </c>
      <c r="E2227" s="2">
        <v>6200</v>
      </c>
    </row>
    <row r="2228" spans="1:5" x14ac:dyDescent="0.3">
      <c r="A2228" t="s">
        <v>8</v>
      </c>
      <c r="B2228" t="s">
        <v>6</v>
      </c>
      <c r="C2228" t="s">
        <v>12</v>
      </c>
      <c r="D2228" s="3">
        <v>45517</v>
      </c>
      <c r="E2228" s="2">
        <v>6651</v>
      </c>
    </row>
    <row r="2229" spans="1:5" x14ac:dyDescent="0.3">
      <c r="A2229" t="s">
        <v>10</v>
      </c>
      <c r="B2229" t="s">
        <v>9</v>
      </c>
      <c r="C2229" t="s">
        <v>14</v>
      </c>
      <c r="D2229" s="3">
        <v>45518</v>
      </c>
      <c r="E2229" s="2">
        <v>5824</v>
      </c>
    </row>
    <row r="2230" spans="1:5" x14ac:dyDescent="0.3">
      <c r="A2230" t="s">
        <v>22</v>
      </c>
      <c r="B2230" t="s">
        <v>11</v>
      </c>
      <c r="C2230" t="s">
        <v>19</v>
      </c>
      <c r="D2230" s="3">
        <v>45518</v>
      </c>
      <c r="E2230" s="2">
        <v>8293</v>
      </c>
    </row>
    <row r="2231" spans="1:5" x14ac:dyDescent="0.3">
      <c r="A2231" t="s">
        <v>26</v>
      </c>
      <c r="B2231" t="s">
        <v>9</v>
      </c>
      <c r="C2231" t="s">
        <v>28</v>
      </c>
      <c r="D2231" s="3">
        <v>45518</v>
      </c>
      <c r="E2231" s="2">
        <v>1733</v>
      </c>
    </row>
    <row r="2232" spans="1:5" x14ac:dyDescent="0.3">
      <c r="A2232" t="s">
        <v>27</v>
      </c>
      <c r="B2232" t="s">
        <v>6</v>
      </c>
      <c r="C2232" t="s">
        <v>17</v>
      </c>
      <c r="D2232" s="3">
        <v>45518</v>
      </c>
      <c r="E2232" s="2">
        <v>1275</v>
      </c>
    </row>
    <row r="2233" spans="1:5" x14ac:dyDescent="0.3">
      <c r="A2233" t="s">
        <v>24</v>
      </c>
      <c r="B2233" t="s">
        <v>13</v>
      </c>
      <c r="C2233" t="s">
        <v>12</v>
      </c>
      <c r="D2233" s="3">
        <v>45518</v>
      </c>
      <c r="E2233" s="2">
        <v>12659</v>
      </c>
    </row>
    <row r="2234" spans="1:5" x14ac:dyDescent="0.3">
      <c r="A2234" t="s">
        <v>10</v>
      </c>
      <c r="B2234" t="s">
        <v>13</v>
      </c>
      <c r="C2234" t="s">
        <v>14</v>
      </c>
      <c r="D2234" s="3">
        <v>45519</v>
      </c>
      <c r="E2234" s="2">
        <v>3016</v>
      </c>
    </row>
    <row r="2235" spans="1:5" x14ac:dyDescent="0.3">
      <c r="A2235" t="s">
        <v>27</v>
      </c>
      <c r="B2235" t="s">
        <v>6</v>
      </c>
      <c r="C2235" t="s">
        <v>19</v>
      </c>
      <c r="D2235" s="3">
        <v>45519</v>
      </c>
      <c r="E2235" s="2">
        <v>8392</v>
      </c>
    </row>
    <row r="2236" spans="1:5" x14ac:dyDescent="0.3">
      <c r="A2236" t="s">
        <v>24</v>
      </c>
      <c r="B2236" t="s">
        <v>6</v>
      </c>
      <c r="C2236" t="s">
        <v>23</v>
      </c>
      <c r="D2236" s="3">
        <v>45519</v>
      </c>
      <c r="E2236" s="2">
        <v>8365</v>
      </c>
    </row>
    <row r="2237" spans="1:5" x14ac:dyDescent="0.3">
      <c r="A2237" t="s">
        <v>22</v>
      </c>
      <c r="B2237" t="s">
        <v>11</v>
      </c>
      <c r="C2237" t="s">
        <v>23</v>
      </c>
      <c r="D2237" s="3">
        <v>45519</v>
      </c>
      <c r="E2237" s="2">
        <v>7283</v>
      </c>
    </row>
    <row r="2238" spans="1:5" x14ac:dyDescent="0.3">
      <c r="A2238" t="s">
        <v>24</v>
      </c>
      <c r="B2238" t="s">
        <v>11</v>
      </c>
      <c r="C2238" t="s">
        <v>25</v>
      </c>
      <c r="D2238" s="3">
        <v>45519</v>
      </c>
      <c r="E2238" s="2">
        <v>5728</v>
      </c>
    </row>
    <row r="2239" spans="1:5" x14ac:dyDescent="0.3">
      <c r="A2239" t="s">
        <v>33</v>
      </c>
      <c r="B2239" t="s">
        <v>13</v>
      </c>
      <c r="C2239" t="s">
        <v>7</v>
      </c>
      <c r="D2239" s="3">
        <v>45519</v>
      </c>
      <c r="E2239" s="2">
        <v>4380</v>
      </c>
    </row>
    <row r="2240" spans="1:5" x14ac:dyDescent="0.3">
      <c r="A2240" t="s">
        <v>10</v>
      </c>
      <c r="B2240" t="s">
        <v>16</v>
      </c>
      <c r="C2240" t="s">
        <v>14</v>
      </c>
      <c r="D2240" s="3">
        <v>45520</v>
      </c>
      <c r="E2240" s="2">
        <v>13636</v>
      </c>
    </row>
    <row r="2241" spans="1:5" x14ac:dyDescent="0.3">
      <c r="A2241" t="s">
        <v>32</v>
      </c>
      <c r="B2241" t="s">
        <v>13</v>
      </c>
      <c r="C2241" t="s">
        <v>23</v>
      </c>
      <c r="D2241" s="3">
        <v>45520</v>
      </c>
      <c r="E2241" s="2">
        <v>12088</v>
      </c>
    </row>
    <row r="2242" spans="1:5" x14ac:dyDescent="0.3">
      <c r="A2242" t="s">
        <v>27</v>
      </c>
      <c r="B2242" t="s">
        <v>11</v>
      </c>
      <c r="C2242" t="s">
        <v>17</v>
      </c>
      <c r="D2242" s="3">
        <v>45520</v>
      </c>
      <c r="E2242" s="2">
        <v>1969</v>
      </c>
    </row>
    <row r="2243" spans="1:5" x14ac:dyDescent="0.3">
      <c r="A2243" t="s">
        <v>32</v>
      </c>
      <c r="B2243" t="s">
        <v>6</v>
      </c>
      <c r="C2243" t="s">
        <v>17</v>
      </c>
      <c r="D2243" s="3">
        <v>45520</v>
      </c>
      <c r="E2243" s="2">
        <v>11155</v>
      </c>
    </row>
    <row r="2244" spans="1:5" x14ac:dyDescent="0.3">
      <c r="A2244" t="s">
        <v>32</v>
      </c>
      <c r="B2244" t="s">
        <v>9</v>
      </c>
      <c r="C2244" t="s">
        <v>14</v>
      </c>
      <c r="D2244" s="3">
        <v>45521</v>
      </c>
      <c r="E2244" s="2">
        <v>5106</v>
      </c>
    </row>
    <row r="2245" spans="1:5" x14ac:dyDescent="0.3">
      <c r="A2245" t="s">
        <v>33</v>
      </c>
      <c r="B2245" t="s">
        <v>21</v>
      </c>
      <c r="C2245" t="s">
        <v>23</v>
      </c>
      <c r="D2245" s="3">
        <v>45521</v>
      </c>
      <c r="E2245" s="2">
        <v>6454</v>
      </c>
    </row>
    <row r="2246" spans="1:5" x14ac:dyDescent="0.3">
      <c r="A2246" t="s">
        <v>15</v>
      </c>
      <c r="B2246" t="s">
        <v>9</v>
      </c>
      <c r="C2246" t="s">
        <v>12</v>
      </c>
      <c r="D2246" s="3">
        <v>45521</v>
      </c>
      <c r="E2246" s="2">
        <v>1616</v>
      </c>
    </row>
    <row r="2247" spans="1:5" x14ac:dyDescent="0.3">
      <c r="A2247" t="s">
        <v>24</v>
      </c>
      <c r="B2247" t="s">
        <v>11</v>
      </c>
      <c r="C2247" t="s">
        <v>14</v>
      </c>
      <c r="D2247" s="3">
        <v>45522</v>
      </c>
      <c r="E2247" s="2">
        <v>8643</v>
      </c>
    </row>
    <row r="2248" spans="1:5" x14ac:dyDescent="0.3">
      <c r="A2248" t="s">
        <v>33</v>
      </c>
      <c r="B2248" t="s">
        <v>16</v>
      </c>
      <c r="C2248" t="s">
        <v>19</v>
      </c>
      <c r="D2248" s="3">
        <v>45523</v>
      </c>
      <c r="E2248" s="2">
        <v>11582</v>
      </c>
    </row>
    <row r="2249" spans="1:5" x14ac:dyDescent="0.3">
      <c r="A2249" t="s">
        <v>10</v>
      </c>
      <c r="B2249" t="s">
        <v>6</v>
      </c>
      <c r="C2249" t="s">
        <v>19</v>
      </c>
      <c r="D2249" s="3">
        <v>45523</v>
      </c>
      <c r="E2249" s="2">
        <v>7467</v>
      </c>
    </row>
    <row r="2250" spans="1:5" x14ac:dyDescent="0.3">
      <c r="A2250" t="s">
        <v>31</v>
      </c>
      <c r="B2250" t="s">
        <v>9</v>
      </c>
      <c r="C2250" t="s">
        <v>23</v>
      </c>
      <c r="D2250" s="3">
        <v>45523</v>
      </c>
      <c r="E2250" s="2">
        <v>10522</v>
      </c>
    </row>
    <row r="2251" spans="1:5" x14ac:dyDescent="0.3">
      <c r="A2251" t="s">
        <v>8</v>
      </c>
      <c r="B2251" t="s">
        <v>21</v>
      </c>
      <c r="C2251" t="s">
        <v>25</v>
      </c>
      <c r="D2251" s="3">
        <v>45523</v>
      </c>
      <c r="E2251" s="2">
        <v>9654</v>
      </c>
    </row>
    <row r="2252" spans="1:5" x14ac:dyDescent="0.3">
      <c r="A2252" t="s">
        <v>31</v>
      </c>
      <c r="B2252" t="s">
        <v>9</v>
      </c>
      <c r="C2252" t="s">
        <v>28</v>
      </c>
      <c r="D2252" s="3">
        <v>45523</v>
      </c>
      <c r="E2252" s="2">
        <v>2588</v>
      </c>
    </row>
    <row r="2253" spans="1:5" x14ac:dyDescent="0.3">
      <c r="A2253" t="s">
        <v>18</v>
      </c>
      <c r="B2253" t="s">
        <v>6</v>
      </c>
      <c r="C2253" t="s">
        <v>14</v>
      </c>
      <c r="D2253" s="3">
        <v>45524</v>
      </c>
      <c r="E2253" s="2">
        <v>12334</v>
      </c>
    </row>
    <row r="2254" spans="1:5" x14ac:dyDescent="0.3">
      <c r="A2254" t="s">
        <v>27</v>
      </c>
      <c r="B2254" t="s">
        <v>13</v>
      </c>
      <c r="C2254" t="s">
        <v>19</v>
      </c>
      <c r="D2254" s="3">
        <v>45524</v>
      </c>
      <c r="E2254" s="2">
        <v>2212</v>
      </c>
    </row>
    <row r="2255" spans="1:5" x14ac:dyDescent="0.3">
      <c r="A2255" t="s">
        <v>22</v>
      </c>
      <c r="B2255" t="s">
        <v>21</v>
      </c>
      <c r="C2255" t="s">
        <v>25</v>
      </c>
      <c r="D2255" s="3">
        <v>45524</v>
      </c>
      <c r="E2255" s="2">
        <v>5970</v>
      </c>
    </row>
    <row r="2256" spans="1:5" x14ac:dyDescent="0.3">
      <c r="A2256" t="s">
        <v>8</v>
      </c>
      <c r="B2256" t="s">
        <v>11</v>
      </c>
      <c r="C2256" t="s">
        <v>28</v>
      </c>
      <c r="D2256" s="3">
        <v>45524</v>
      </c>
      <c r="E2256" s="2">
        <v>13183</v>
      </c>
    </row>
    <row r="2257" spans="1:5" x14ac:dyDescent="0.3">
      <c r="A2257" t="s">
        <v>18</v>
      </c>
      <c r="B2257" t="s">
        <v>16</v>
      </c>
      <c r="C2257" t="s">
        <v>19</v>
      </c>
      <c r="D2257" s="3">
        <v>45525</v>
      </c>
      <c r="E2257" s="2">
        <v>7852</v>
      </c>
    </row>
    <row r="2258" spans="1:5" x14ac:dyDescent="0.3">
      <c r="A2258" t="s">
        <v>10</v>
      </c>
      <c r="B2258" t="s">
        <v>13</v>
      </c>
      <c r="C2258" t="s">
        <v>23</v>
      </c>
      <c r="D2258" s="3">
        <v>45525</v>
      </c>
      <c r="E2258" s="2">
        <v>9228</v>
      </c>
    </row>
    <row r="2259" spans="1:5" x14ac:dyDescent="0.3">
      <c r="A2259" t="s">
        <v>24</v>
      </c>
      <c r="B2259" t="s">
        <v>11</v>
      </c>
      <c r="C2259" t="s">
        <v>7</v>
      </c>
      <c r="D2259" s="3">
        <v>45525</v>
      </c>
      <c r="E2259" s="2">
        <v>2983</v>
      </c>
    </row>
    <row r="2260" spans="1:5" x14ac:dyDescent="0.3">
      <c r="A2260" t="s">
        <v>31</v>
      </c>
      <c r="B2260" t="s">
        <v>13</v>
      </c>
      <c r="C2260" t="s">
        <v>7</v>
      </c>
      <c r="D2260" s="3">
        <v>45525</v>
      </c>
      <c r="E2260" s="2">
        <v>9902</v>
      </c>
    </row>
    <row r="2261" spans="1:5" x14ac:dyDescent="0.3">
      <c r="A2261" t="s">
        <v>8</v>
      </c>
      <c r="B2261" t="s">
        <v>9</v>
      </c>
      <c r="C2261" t="s">
        <v>7</v>
      </c>
      <c r="D2261" s="3">
        <v>45525</v>
      </c>
      <c r="E2261" s="2">
        <v>5082</v>
      </c>
    </row>
    <row r="2262" spans="1:5" x14ac:dyDescent="0.3">
      <c r="A2262" t="s">
        <v>29</v>
      </c>
      <c r="B2262" t="s">
        <v>6</v>
      </c>
      <c r="C2262" t="s">
        <v>28</v>
      </c>
      <c r="D2262" s="3">
        <v>45525</v>
      </c>
      <c r="E2262" s="2">
        <v>10068</v>
      </c>
    </row>
    <row r="2263" spans="1:5" x14ac:dyDescent="0.3">
      <c r="A2263" t="s">
        <v>10</v>
      </c>
      <c r="B2263" t="s">
        <v>6</v>
      </c>
      <c r="C2263" t="s">
        <v>28</v>
      </c>
      <c r="D2263" s="3">
        <v>45525</v>
      </c>
      <c r="E2263" s="2">
        <v>7116</v>
      </c>
    </row>
    <row r="2264" spans="1:5" x14ac:dyDescent="0.3">
      <c r="A2264" t="s">
        <v>8</v>
      </c>
      <c r="B2264" t="s">
        <v>11</v>
      </c>
      <c r="C2264" t="s">
        <v>17</v>
      </c>
      <c r="D2264" s="3">
        <v>45525</v>
      </c>
      <c r="E2264" s="2">
        <v>6199</v>
      </c>
    </row>
    <row r="2265" spans="1:5" x14ac:dyDescent="0.3">
      <c r="A2265" t="s">
        <v>8</v>
      </c>
      <c r="B2265" t="s">
        <v>21</v>
      </c>
      <c r="C2265" t="s">
        <v>23</v>
      </c>
      <c r="D2265" s="3">
        <v>45526</v>
      </c>
      <c r="E2265" s="2">
        <v>9282</v>
      </c>
    </row>
    <row r="2266" spans="1:5" x14ac:dyDescent="0.3">
      <c r="A2266" t="s">
        <v>20</v>
      </c>
      <c r="B2266" t="s">
        <v>9</v>
      </c>
      <c r="C2266" t="s">
        <v>7</v>
      </c>
      <c r="D2266" s="3">
        <v>45526</v>
      </c>
      <c r="E2266" s="2">
        <v>9051</v>
      </c>
    </row>
    <row r="2267" spans="1:5" x14ac:dyDescent="0.3">
      <c r="A2267" t="s">
        <v>27</v>
      </c>
      <c r="B2267" t="s">
        <v>16</v>
      </c>
      <c r="C2267" t="s">
        <v>17</v>
      </c>
      <c r="D2267" s="3">
        <v>45526</v>
      </c>
      <c r="E2267" s="2">
        <v>8858</v>
      </c>
    </row>
    <row r="2268" spans="1:5" x14ac:dyDescent="0.3">
      <c r="A2268" t="s">
        <v>27</v>
      </c>
      <c r="B2268" t="s">
        <v>13</v>
      </c>
      <c r="C2268" t="s">
        <v>17</v>
      </c>
      <c r="D2268" s="3">
        <v>45526</v>
      </c>
      <c r="E2268" s="2">
        <v>4622</v>
      </c>
    </row>
    <row r="2269" spans="1:5" x14ac:dyDescent="0.3">
      <c r="A2269" t="s">
        <v>5</v>
      </c>
      <c r="B2269" t="s">
        <v>9</v>
      </c>
      <c r="C2269" t="s">
        <v>7</v>
      </c>
      <c r="D2269" s="3">
        <v>45527</v>
      </c>
      <c r="E2269" s="2">
        <v>10229</v>
      </c>
    </row>
    <row r="2270" spans="1:5" x14ac:dyDescent="0.3">
      <c r="A2270" t="s">
        <v>30</v>
      </c>
      <c r="B2270" t="s">
        <v>9</v>
      </c>
      <c r="C2270" t="s">
        <v>17</v>
      </c>
      <c r="D2270" s="3">
        <v>45527</v>
      </c>
      <c r="E2270" s="2">
        <v>3828</v>
      </c>
    </row>
    <row r="2271" spans="1:5" x14ac:dyDescent="0.3">
      <c r="A2271" t="s">
        <v>32</v>
      </c>
      <c r="B2271" t="s">
        <v>9</v>
      </c>
      <c r="C2271" t="s">
        <v>12</v>
      </c>
      <c r="D2271" s="3">
        <v>45527</v>
      </c>
      <c r="E2271" s="2">
        <v>8859</v>
      </c>
    </row>
    <row r="2272" spans="1:5" x14ac:dyDescent="0.3">
      <c r="A2272" t="s">
        <v>10</v>
      </c>
      <c r="B2272" t="s">
        <v>13</v>
      </c>
      <c r="C2272" t="s">
        <v>14</v>
      </c>
      <c r="D2272" s="3">
        <v>45528</v>
      </c>
      <c r="E2272" s="2">
        <v>4272</v>
      </c>
    </row>
    <row r="2273" spans="1:5" x14ac:dyDescent="0.3">
      <c r="A2273" t="s">
        <v>22</v>
      </c>
      <c r="B2273" t="s">
        <v>11</v>
      </c>
      <c r="C2273" t="s">
        <v>23</v>
      </c>
      <c r="D2273" s="3">
        <v>45528</v>
      </c>
      <c r="E2273" s="2">
        <v>11359</v>
      </c>
    </row>
    <row r="2274" spans="1:5" x14ac:dyDescent="0.3">
      <c r="A2274" t="s">
        <v>31</v>
      </c>
      <c r="B2274" t="s">
        <v>13</v>
      </c>
      <c r="C2274" t="s">
        <v>25</v>
      </c>
      <c r="D2274" s="3">
        <v>45528</v>
      </c>
      <c r="E2274" s="2">
        <v>9999</v>
      </c>
    </row>
    <row r="2275" spans="1:5" x14ac:dyDescent="0.3">
      <c r="A2275" t="s">
        <v>32</v>
      </c>
      <c r="B2275" t="s">
        <v>6</v>
      </c>
      <c r="C2275" t="s">
        <v>7</v>
      </c>
      <c r="D2275" s="3">
        <v>45528</v>
      </c>
      <c r="E2275" s="2">
        <v>10237</v>
      </c>
    </row>
    <row r="2276" spans="1:5" x14ac:dyDescent="0.3">
      <c r="A2276" t="s">
        <v>31</v>
      </c>
      <c r="B2276" t="s">
        <v>13</v>
      </c>
      <c r="C2276" t="s">
        <v>28</v>
      </c>
      <c r="D2276" s="3">
        <v>45528</v>
      </c>
      <c r="E2276" s="2">
        <v>6255</v>
      </c>
    </row>
    <row r="2277" spans="1:5" x14ac:dyDescent="0.3">
      <c r="A2277" t="s">
        <v>26</v>
      </c>
      <c r="B2277" t="s">
        <v>11</v>
      </c>
      <c r="C2277" t="s">
        <v>28</v>
      </c>
      <c r="D2277" s="3">
        <v>45528</v>
      </c>
      <c r="E2277" s="2">
        <v>6664</v>
      </c>
    </row>
    <row r="2278" spans="1:5" x14ac:dyDescent="0.3">
      <c r="A2278" t="s">
        <v>26</v>
      </c>
      <c r="B2278" t="s">
        <v>9</v>
      </c>
      <c r="C2278" t="s">
        <v>17</v>
      </c>
      <c r="D2278" s="3">
        <v>45528</v>
      </c>
      <c r="E2278" s="2">
        <v>8541</v>
      </c>
    </row>
    <row r="2279" spans="1:5" x14ac:dyDescent="0.3">
      <c r="A2279" t="s">
        <v>27</v>
      </c>
      <c r="B2279" t="s">
        <v>9</v>
      </c>
      <c r="C2279" t="s">
        <v>14</v>
      </c>
      <c r="D2279" s="3">
        <v>45529</v>
      </c>
      <c r="E2279" s="2">
        <v>4410</v>
      </c>
    </row>
    <row r="2280" spans="1:5" x14ac:dyDescent="0.3">
      <c r="A2280" t="s">
        <v>24</v>
      </c>
      <c r="B2280" t="s">
        <v>21</v>
      </c>
      <c r="C2280" t="s">
        <v>23</v>
      </c>
      <c r="D2280" s="3">
        <v>45529</v>
      </c>
      <c r="E2280" s="2">
        <v>7357</v>
      </c>
    </row>
    <row r="2281" spans="1:5" x14ac:dyDescent="0.3">
      <c r="A2281" t="s">
        <v>15</v>
      </c>
      <c r="B2281" t="s">
        <v>16</v>
      </c>
      <c r="C2281" t="s">
        <v>25</v>
      </c>
      <c r="D2281" s="3">
        <v>45529</v>
      </c>
      <c r="E2281" s="2">
        <v>11397</v>
      </c>
    </row>
    <row r="2282" spans="1:5" x14ac:dyDescent="0.3">
      <c r="A2282" t="s">
        <v>27</v>
      </c>
      <c r="B2282" t="s">
        <v>9</v>
      </c>
      <c r="C2282" t="s">
        <v>7</v>
      </c>
      <c r="D2282" s="3">
        <v>45529</v>
      </c>
      <c r="E2282" s="2">
        <v>13415</v>
      </c>
    </row>
    <row r="2283" spans="1:5" x14ac:dyDescent="0.3">
      <c r="A2283" t="s">
        <v>30</v>
      </c>
      <c r="B2283" t="s">
        <v>16</v>
      </c>
      <c r="C2283" t="s">
        <v>28</v>
      </c>
      <c r="D2283" s="3">
        <v>45529</v>
      </c>
      <c r="E2283" s="2">
        <v>13782</v>
      </c>
    </row>
    <row r="2284" spans="1:5" x14ac:dyDescent="0.3">
      <c r="A2284" t="s">
        <v>22</v>
      </c>
      <c r="B2284" t="s">
        <v>11</v>
      </c>
      <c r="C2284" t="s">
        <v>17</v>
      </c>
      <c r="D2284" s="3">
        <v>45529</v>
      </c>
      <c r="E2284" s="2">
        <v>3701</v>
      </c>
    </row>
    <row r="2285" spans="1:5" x14ac:dyDescent="0.3">
      <c r="A2285" t="s">
        <v>18</v>
      </c>
      <c r="B2285" t="s">
        <v>13</v>
      </c>
      <c r="C2285" t="s">
        <v>12</v>
      </c>
      <c r="D2285" s="3">
        <v>45529</v>
      </c>
      <c r="E2285" s="2">
        <v>5454</v>
      </c>
    </row>
    <row r="2286" spans="1:5" x14ac:dyDescent="0.3">
      <c r="A2286" t="s">
        <v>31</v>
      </c>
      <c r="B2286" t="s">
        <v>16</v>
      </c>
      <c r="C2286" t="s">
        <v>12</v>
      </c>
      <c r="D2286" s="3">
        <v>45530</v>
      </c>
      <c r="E2286" s="2">
        <v>4732</v>
      </c>
    </row>
    <row r="2287" spans="1:5" x14ac:dyDescent="0.3">
      <c r="A2287" t="s">
        <v>33</v>
      </c>
      <c r="B2287" t="s">
        <v>6</v>
      </c>
      <c r="C2287" t="s">
        <v>12</v>
      </c>
      <c r="D2287" s="3">
        <v>45530</v>
      </c>
      <c r="E2287" s="2">
        <v>2895</v>
      </c>
    </row>
    <row r="2288" spans="1:5" x14ac:dyDescent="0.3">
      <c r="A2288" t="s">
        <v>15</v>
      </c>
      <c r="B2288" t="s">
        <v>9</v>
      </c>
      <c r="C2288" t="s">
        <v>17</v>
      </c>
      <c r="D2288" s="3">
        <v>45531</v>
      </c>
      <c r="E2288" s="2">
        <v>8244</v>
      </c>
    </row>
    <row r="2289" spans="1:5" x14ac:dyDescent="0.3">
      <c r="A2289" t="s">
        <v>10</v>
      </c>
      <c r="B2289" t="s">
        <v>6</v>
      </c>
      <c r="C2289" t="s">
        <v>19</v>
      </c>
      <c r="D2289" s="3">
        <v>45532</v>
      </c>
      <c r="E2289" s="2">
        <v>11560</v>
      </c>
    </row>
    <row r="2290" spans="1:5" x14ac:dyDescent="0.3">
      <c r="A2290" t="s">
        <v>8</v>
      </c>
      <c r="B2290" t="s">
        <v>9</v>
      </c>
      <c r="C2290" t="s">
        <v>7</v>
      </c>
      <c r="D2290" s="3">
        <v>45532</v>
      </c>
      <c r="E2290" s="2">
        <v>1809</v>
      </c>
    </row>
    <row r="2291" spans="1:5" x14ac:dyDescent="0.3">
      <c r="A2291" t="s">
        <v>5</v>
      </c>
      <c r="B2291" t="s">
        <v>13</v>
      </c>
      <c r="C2291" t="s">
        <v>17</v>
      </c>
      <c r="D2291" s="3">
        <v>45532</v>
      </c>
      <c r="E2291" s="2">
        <v>13886</v>
      </c>
    </row>
    <row r="2292" spans="1:5" x14ac:dyDescent="0.3">
      <c r="A2292" t="s">
        <v>27</v>
      </c>
      <c r="B2292" t="s">
        <v>13</v>
      </c>
      <c r="C2292" t="s">
        <v>17</v>
      </c>
      <c r="D2292" s="3">
        <v>45532</v>
      </c>
      <c r="E2292" s="2">
        <v>11077</v>
      </c>
    </row>
    <row r="2293" spans="1:5" x14ac:dyDescent="0.3">
      <c r="A2293" t="s">
        <v>31</v>
      </c>
      <c r="B2293" t="s">
        <v>6</v>
      </c>
      <c r="C2293" t="s">
        <v>12</v>
      </c>
      <c r="D2293" s="3">
        <v>45532</v>
      </c>
      <c r="E2293" s="2">
        <v>3322</v>
      </c>
    </row>
    <row r="2294" spans="1:5" x14ac:dyDescent="0.3">
      <c r="A2294" t="s">
        <v>31</v>
      </c>
      <c r="B2294" t="s">
        <v>6</v>
      </c>
      <c r="C2294" t="s">
        <v>12</v>
      </c>
      <c r="D2294" s="3">
        <v>45532</v>
      </c>
      <c r="E2294" s="2">
        <v>12371</v>
      </c>
    </row>
    <row r="2295" spans="1:5" x14ac:dyDescent="0.3">
      <c r="A2295" t="s">
        <v>27</v>
      </c>
      <c r="B2295" t="s">
        <v>16</v>
      </c>
      <c r="C2295" t="s">
        <v>7</v>
      </c>
      <c r="D2295" s="3">
        <v>45533</v>
      </c>
      <c r="E2295" s="2">
        <v>3030</v>
      </c>
    </row>
    <row r="2296" spans="1:5" x14ac:dyDescent="0.3">
      <c r="A2296" t="s">
        <v>15</v>
      </c>
      <c r="B2296" t="s">
        <v>9</v>
      </c>
      <c r="C2296" t="s">
        <v>7</v>
      </c>
      <c r="D2296" s="3">
        <v>45533</v>
      </c>
      <c r="E2296" s="2">
        <v>1999</v>
      </c>
    </row>
    <row r="2297" spans="1:5" x14ac:dyDescent="0.3">
      <c r="A2297" t="s">
        <v>32</v>
      </c>
      <c r="B2297" t="s">
        <v>21</v>
      </c>
      <c r="C2297" t="s">
        <v>28</v>
      </c>
      <c r="D2297" s="3">
        <v>45533</v>
      </c>
      <c r="E2297" s="2">
        <v>8216</v>
      </c>
    </row>
    <row r="2298" spans="1:5" x14ac:dyDescent="0.3">
      <c r="A2298" t="s">
        <v>5</v>
      </c>
      <c r="B2298" t="s">
        <v>13</v>
      </c>
      <c r="C2298" t="s">
        <v>17</v>
      </c>
      <c r="D2298" s="3">
        <v>45533</v>
      </c>
      <c r="E2298" s="2">
        <v>6045</v>
      </c>
    </row>
    <row r="2299" spans="1:5" x14ac:dyDescent="0.3">
      <c r="A2299" t="s">
        <v>18</v>
      </c>
      <c r="B2299" t="s">
        <v>6</v>
      </c>
      <c r="C2299" t="s">
        <v>25</v>
      </c>
      <c r="D2299" s="3">
        <v>45534</v>
      </c>
      <c r="E2299" s="2">
        <v>1974</v>
      </c>
    </row>
    <row r="2300" spans="1:5" x14ac:dyDescent="0.3">
      <c r="A2300" t="s">
        <v>5</v>
      </c>
      <c r="B2300" t="s">
        <v>9</v>
      </c>
      <c r="C2300" t="s">
        <v>28</v>
      </c>
      <c r="D2300" s="3">
        <v>45535</v>
      </c>
      <c r="E2300" s="2">
        <v>6362</v>
      </c>
    </row>
    <row r="2301" spans="1:5" x14ac:dyDescent="0.3">
      <c r="A2301" t="s">
        <v>18</v>
      </c>
      <c r="B2301" t="s">
        <v>11</v>
      </c>
      <c r="C2301" t="s">
        <v>12</v>
      </c>
      <c r="D2301" s="3">
        <v>45535</v>
      </c>
      <c r="E2301" s="2">
        <v>7275</v>
      </c>
    </row>
    <row r="2302" spans="1:5" x14ac:dyDescent="0.3">
      <c r="A2302" t="s">
        <v>27</v>
      </c>
      <c r="B2302" t="s">
        <v>13</v>
      </c>
      <c r="C2302" t="s">
        <v>14</v>
      </c>
      <c r="D2302" s="3">
        <v>45536</v>
      </c>
      <c r="E2302" s="2">
        <v>2725</v>
      </c>
    </row>
    <row r="2303" spans="1:5" x14ac:dyDescent="0.3">
      <c r="A2303" t="s">
        <v>29</v>
      </c>
      <c r="B2303" t="s">
        <v>13</v>
      </c>
      <c r="C2303" t="s">
        <v>14</v>
      </c>
      <c r="D2303" s="3">
        <v>45536</v>
      </c>
      <c r="E2303" s="2">
        <v>7817</v>
      </c>
    </row>
    <row r="2304" spans="1:5" x14ac:dyDescent="0.3">
      <c r="A2304" t="s">
        <v>8</v>
      </c>
      <c r="B2304" t="s">
        <v>16</v>
      </c>
      <c r="C2304" t="s">
        <v>19</v>
      </c>
      <c r="D2304" s="3">
        <v>45536</v>
      </c>
      <c r="E2304" s="2">
        <v>10749</v>
      </c>
    </row>
    <row r="2305" spans="1:5" x14ac:dyDescent="0.3">
      <c r="A2305" t="s">
        <v>26</v>
      </c>
      <c r="B2305" t="s">
        <v>16</v>
      </c>
      <c r="C2305" t="s">
        <v>25</v>
      </c>
      <c r="D2305" s="3">
        <v>45536</v>
      </c>
      <c r="E2305" s="2">
        <v>3218</v>
      </c>
    </row>
    <row r="2306" spans="1:5" x14ac:dyDescent="0.3">
      <c r="A2306" t="s">
        <v>29</v>
      </c>
      <c r="B2306" t="s">
        <v>21</v>
      </c>
      <c r="C2306" t="s">
        <v>12</v>
      </c>
      <c r="D2306" s="3">
        <v>45536</v>
      </c>
      <c r="E2306" s="2">
        <v>11259</v>
      </c>
    </row>
    <row r="2307" spans="1:5" x14ac:dyDescent="0.3">
      <c r="A2307" t="s">
        <v>31</v>
      </c>
      <c r="B2307" t="s">
        <v>13</v>
      </c>
      <c r="C2307" t="s">
        <v>14</v>
      </c>
      <c r="D2307" s="3">
        <v>45537</v>
      </c>
      <c r="E2307" s="2">
        <v>12271</v>
      </c>
    </row>
    <row r="2308" spans="1:5" x14ac:dyDescent="0.3">
      <c r="A2308" t="s">
        <v>22</v>
      </c>
      <c r="B2308" t="s">
        <v>13</v>
      </c>
      <c r="C2308" t="s">
        <v>14</v>
      </c>
      <c r="D2308" s="3">
        <v>45537</v>
      </c>
      <c r="E2308" s="2">
        <v>9495</v>
      </c>
    </row>
    <row r="2309" spans="1:5" x14ac:dyDescent="0.3">
      <c r="A2309" t="s">
        <v>33</v>
      </c>
      <c r="B2309" t="s">
        <v>9</v>
      </c>
      <c r="C2309" t="s">
        <v>25</v>
      </c>
      <c r="D2309" s="3">
        <v>45537</v>
      </c>
      <c r="E2309" s="2">
        <v>2314</v>
      </c>
    </row>
    <row r="2310" spans="1:5" x14ac:dyDescent="0.3">
      <c r="A2310" t="s">
        <v>30</v>
      </c>
      <c r="B2310" t="s">
        <v>16</v>
      </c>
      <c r="C2310" t="s">
        <v>17</v>
      </c>
      <c r="D2310" s="3">
        <v>45537</v>
      </c>
      <c r="E2310" s="2">
        <v>13308</v>
      </c>
    </row>
    <row r="2311" spans="1:5" x14ac:dyDescent="0.3">
      <c r="A2311" t="s">
        <v>8</v>
      </c>
      <c r="B2311" t="s">
        <v>6</v>
      </c>
      <c r="C2311" t="s">
        <v>12</v>
      </c>
      <c r="D2311" s="3">
        <v>45537</v>
      </c>
      <c r="E2311" s="2">
        <v>2474</v>
      </c>
    </row>
    <row r="2312" spans="1:5" x14ac:dyDescent="0.3">
      <c r="A2312" t="s">
        <v>8</v>
      </c>
      <c r="B2312" t="s">
        <v>11</v>
      </c>
      <c r="C2312" t="s">
        <v>14</v>
      </c>
      <c r="D2312" s="3">
        <v>45538</v>
      </c>
      <c r="E2312" s="2">
        <v>8218</v>
      </c>
    </row>
    <row r="2313" spans="1:5" x14ac:dyDescent="0.3">
      <c r="A2313" t="s">
        <v>32</v>
      </c>
      <c r="B2313" t="s">
        <v>13</v>
      </c>
      <c r="C2313" t="s">
        <v>23</v>
      </c>
      <c r="D2313" s="3">
        <v>45538</v>
      </c>
      <c r="E2313" s="2">
        <v>1410</v>
      </c>
    </row>
    <row r="2314" spans="1:5" x14ac:dyDescent="0.3">
      <c r="A2314" t="s">
        <v>18</v>
      </c>
      <c r="B2314" t="s">
        <v>6</v>
      </c>
      <c r="C2314" t="s">
        <v>7</v>
      </c>
      <c r="D2314" s="3">
        <v>45538</v>
      </c>
      <c r="E2314" s="2">
        <v>4999</v>
      </c>
    </row>
    <row r="2315" spans="1:5" x14ac:dyDescent="0.3">
      <c r="A2315" t="s">
        <v>32</v>
      </c>
      <c r="B2315" t="s">
        <v>13</v>
      </c>
      <c r="C2315" t="s">
        <v>28</v>
      </c>
      <c r="D2315" s="3">
        <v>45538</v>
      </c>
      <c r="E2315" s="2">
        <v>4057</v>
      </c>
    </row>
    <row r="2316" spans="1:5" x14ac:dyDescent="0.3">
      <c r="A2316" t="s">
        <v>15</v>
      </c>
      <c r="B2316" t="s">
        <v>13</v>
      </c>
      <c r="C2316" t="s">
        <v>25</v>
      </c>
      <c r="D2316" s="3">
        <v>45539</v>
      </c>
      <c r="E2316" s="2">
        <v>1416</v>
      </c>
    </row>
    <row r="2317" spans="1:5" x14ac:dyDescent="0.3">
      <c r="A2317" t="s">
        <v>8</v>
      </c>
      <c r="B2317" t="s">
        <v>21</v>
      </c>
      <c r="C2317" t="s">
        <v>14</v>
      </c>
      <c r="D2317" s="3">
        <v>45540</v>
      </c>
      <c r="E2317" s="2">
        <v>12083</v>
      </c>
    </row>
    <row r="2318" spans="1:5" x14ac:dyDescent="0.3">
      <c r="A2318" t="s">
        <v>29</v>
      </c>
      <c r="B2318" t="s">
        <v>11</v>
      </c>
      <c r="C2318" t="s">
        <v>19</v>
      </c>
      <c r="D2318" s="3">
        <v>45540</v>
      </c>
      <c r="E2318" s="2">
        <v>7883</v>
      </c>
    </row>
    <row r="2319" spans="1:5" x14ac:dyDescent="0.3">
      <c r="A2319" t="s">
        <v>10</v>
      </c>
      <c r="B2319" t="s">
        <v>6</v>
      </c>
      <c r="C2319" t="s">
        <v>12</v>
      </c>
      <c r="D2319" s="3">
        <v>45540</v>
      </c>
      <c r="E2319" s="2">
        <v>10376</v>
      </c>
    </row>
    <row r="2320" spans="1:5" x14ac:dyDescent="0.3">
      <c r="A2320" t="s">
        <v>8</v>
      </c>
      <c r="B2320" t="s">
        <v>11</v>
      </c>
      <c r="C2320" t="s">
        <v>12</v>
      </c>
      <c r="D2320" s="3">
        <v>45540</v>
      </c>
      <c r="E2320" s="2">
        <v>8729</v>
      </c>
    </row>
    <row r="2321" spans="1:5" x14ac:dyDescent="0.3">
      <c r="A2321" t="s">
        <v>32</v>
      </c>
      <c r="B2321" t="s">
        <v>21</v>
      </c>
      <c r="C2321" t="s">
        <v>23</v>
      </c>
      <c r="D2321" s="3">
        <v>45541</v>
      </c>
      <c r="E2321" s="2">
        <v>6213</v>
      </c>
    </row>
    <row r="2322" spans="1:5" x14ac:dyDescent="0.3">
      <c r="A2322" t="s">
        <v>26</v>
      </c>
      <c r="B2322" t="s">
        <v>6</v>
      </c>
      <c r="C2322" t="s">
        <v>28</v>
      </c>
      <c r="D2322" s="3">
        <v>45541</v>
      </c>
      <c r="E2322" s="2">
        <v>5104</v>
      </c>
    </row>
    <row r="2323" spans="1:5" x14ac:dyDescent="0.3">
      <c r="A2323" t="s">
        <v>10</v>
      </c>
      <c r="B2323" t="s">
        <v>9</v>
      </c>
      <c r="C2323" t="s">
        <v>28</v>
      </c>
      <c r="D2323" s="3">
        <v>45541</v>
      </c>
      <c r="E2323" s="2">
        <v>3173</v>
      </c>
    </row>
    <row r="2324" spans="1:5" x14ac:dyDescent="0.3">
      <c r="A2324" t="s">
        <v>27</v>
      </c>
      <c r="B2324" t="s">
        <v>9</v>
      </c>
      <c r="C2324" t="s">
        <v>17</v>
      </c>
      <c r="D2324" s="3">
        <v>45541</v>
      </c>
      <c r="E2324" s="2">
        <v>6405</v>
      </c>
    </row>
    <row r="2325" spans="1:5" x14ac:dyDescent="0.3">
      <c r="A2325" t="s">
        <v>20</v>
      </c>
      <c r="B2325" t="s">
        <v>16</v>
      </c>
      <c r="C2325" t="s">
        <v>14</v>
      </c>
      <c r="D2325" s="3">
        <v>45542</v>
      </c>
      <c r="E2325" s="2">
        <v>9536</v>
      </c>
    </row>
    <row r="2326" spans="1:5" x14ac:dyDescent="0.3">
      <c r="A2326" t="s">
        <v>10</v>
      </c>
      <c r="B2326" t="s">
        <v>9</v>
      </c>
      <c r="C2326" t="s">
        <v>19</v>
      </c>
      <c r="D2326" s="3">
        <v>45542</v>
      </c>
      <c r="E2326" s="2">
        <v>7869</v>
      </c>
    </row>
    <row r="2327" spans="1:5" x14ac:dyDescent="0.3">
      <c r="A2327" t="s">
        <v>15</v>
      </c>
      <c r="B2327" t="s">
        <v>11</v>
      </c>
      <c r="C2327" t="s">
        <v>25</v>
      </c>
      <c r="D2327" s="3">
        <v>45542</v>
      </c>
      <c r="E2327" s="2">
        <v>8219</v>
      </c>
    </row>
    <row r="2328" spans="1:5" x14ac:dyDescent="0.3">
      <c r="A2328" t="s">
        <v>29</v>
      </c>
      <c r="B2328" t="s">
        <v>13</v>
      </c>
      <c r="C2328" t="s">
        <v>25</v>
      </c>
      <c r="D2328" s="3">
        <v>45542</v>
      </c>
      <c r="E2328" s="2">
        <v>13605</v>
      </c>
    </row>
    <row r="2329" spans="1:5" x14ac:dyDescent="0.3">
      <c r="A2329" t="s">
        <v>8</v>
      </c>
      <c r="B2329" t="s">
        <v>21</v>
      </c>
      <c r="C2329" t="s">
        <v>7</v>
      </c>
      <c r="D2329" s="3">
        <v>45542</v>
      </c>
      <c r="E2329" s="2">
        <v>7361</v>
      </c>
    </row>
    <row r="2330" spans="1:5" x14ac:dyDescent="0.3">
      <c r="A2330" t="s">
        <v>29</v>
      </c>
      <c r="B2330" t="s">
        <v>21</v>
      </c>
      <c r="C2330" t="s">
        <v>28</v>
      </c>
      <c r="D2330" s="3">
        <v>45542</v>
      </c>
      <c r="E2330" s="2">
        <v>5566</v>
      </c>
    </row>
    <row r="2331" spans="1:5" x14ac:dyDescent="0.3">
      <c r="A2331" t="s">
        <v>22</v>
      </c>
      <c r="B2331" t="s">
        <v>16</v>
      </c>
      <c r="C2331" t="s">
        <v>17</v>
      </c>
      <c r="D2331" s="3">
        <v>45542</v>
      </c>
      <c r="E2331" s="2">
        <v>8810</v>
      </c>
    </row>
    <row r="2332" spans="1:5" x14ac:dyDescent="0.3">
      <c r="A2332" t="s">
        <v>32</v>
      </c>
      <c r="B2332" t="s">
        <v>9</v>
      </c>
      <c r="C2332" t="s">
        <v>23</v>
      </c>
      <c r="D2332" s="3">
        <v>45543</v>
      </c>
      <c r="E2332" s="2">
        <v>3775</v>
      </c>
    </row>
    <row r="2333" spans="1:5" x14ac:dyDescent="0.3">
      <c r="A2333" t="s">
        <v>33</v>
      </c>
      <c r="B2333" t="s">
        <v>21</v>
      </c>
      <c r="C2333" t="s">
        <v>7</v>
      </c>
      <c r="D2333" s="3">
        <v>45543</v>
      </c>
      <c r="E2333" s="2">
        <v>13347</v>
      </c>
    </row>
    <row r="2334" spans="1:5" x14ac:dyDescent="0.3">
      <c r="A2334" t="s">
        <v>29</v>
      </c>
      <c r="B2334" t="s">
        <v>9</v>
      </c>
      <c r="C2334" t="s">
        <v>28</v>
      </c>
      <c r="D2334" s="3">
        <v>45543</v>
      </c>
      <c r="E2334" s="2">
        <v>6113</v>
      </c>
    </row>
    <row r="2335" spans="1:5" x14ac:dyDescent="0.3">
      <c r="A2335" t="s">
        <v>31</v>
      </c>
      <c r="B2335" t="s">
        <v>16</v>
      </c>
      <c r="C2335" t="s">
        <v>19</v>
      </c>
      <c r="D2335" s="3">
        <v>45544</v>
      </c>
      <c r="E2335" s="2">
        <v>10795</v>
      </c>
    </row>
    <row r="2336" spans="1:5" x14ac:dyDescent="0.3">
      <c r="A2336" t="s">
        <v>32</v>
      </c>
      <c r="B2336" t="s">
        <v>9</v>
      </c>
      <c r="C2336" t="s">
        <v>19</v>
      </c>
      <c r="D2336" s="3">
        <v>45544</v>
      </c>
      <c r="E2336" s="2">
        <v>4258</v>
      </c>
    </row>
    <row r="2337" spans="1:5" x14ac:dyDescent="0.3">
      <c r="A2337" t="s">
        <v>29</v>
      </c>
      <c r="B2337" t="s">
        <v>6</v>
      </c>
      <c r="C2337" t="s">
        <v>25</v>
      </c>
      <c r="D2337" s="3">
        <v>45544</v>
      </c>
      <c r="E2337" s="2">
        <v>9132</v>
      </c>
    </row>
    <row r="2338" spans="1:5" x14ac:dyDescent="0.3">
      <c r="A2338" t="s">
        <v>5</v>
      </c>
      <c r="B2338" t="s">
        <v>6</v>
      </c>
      <c r="C2338" t="s">
        <v>17</v>
      </c>
      <c r="D2338" s="3">
        <v>45544</v>
      </c>
      <c r="E2338" s="2">
        <v>11289</v>
      </c>
    </row>
    <row r="2339" spans="1:5" x14ac:dyDescent="0.3">
      <c r="A2339" t="s">
        <v>31</v>
      </c>
      <c r="B2339" t="s">
        <v>13</v>
      </c>
      <c r="C2339" t="s">
        <v>12</v>
      </c>
      <c r="D2339" s="3">
        <v>45544</v>
      </c>
      <c r="E2339" s="2">
        <v>10318</v>
      </c>
    </row>
    <row r="2340" spans="1:5" x14ac:dyDescent="0.3">
      <c r="A2340" t="s">
        <v>8</v>
      </c>
      <c r="B2340" t="s">
        <v>9</v>
      </c>
      <c r="C2340" t="s">
        <v>19</v>
      </c>
      <c r="D2340" s="3">
        <v>45545</v>
      </c>
      <c r="E2340" s="2">
        <v>10946</v>
      </c>
    </row>
    <row r="2341" spans="1:5" x14ac:dyDescent="0.3">
      <c r="A2341" t="s">
        <v>27</v>
      </c>
      <c r="B2341" t="s">
        <v>21</v>
      </c>
      <c r="C2341" t="s">
        <v>25</v>
      </c>
      <c r="D2341" s="3">
        <v>45545</v>
      </c>
      <c r="E2341" s="2">
        <v>2231</v>
      </c>
    </row>
    <row r="2342" spans="1:5" x14ac:dyDescent="0.3">
      <c r="A2342" t="s">
        <v>8</v>
      </c>
      <c r="B2342" t="s">
        <v>9</v>
      </c>
      <c r="C2342" t="s">
        <v>25</v>
      </c>
      <c r="D2342" s="3">
        <v>45545</v>
      </c>
      <c r="E2342" s="2">
        <v>10150</v>
      </c>
    </row>
    <row r="2343" spans="1:5" x14ac:dyDescent="0.3">
      <c r="A2343" t="s">
        <v>26</v>
      </c>
      <c r="B2343" t="s">
        <v>13</v>
      </c>
      <c r="C2343" t="s">
        <v>19</v>
      </c>
      <c r="D2343" s="3">
        <v>45546</v>
      </c>
      <c r="E2343" s="2">
        <v>13027</v>
      </c>
    </row>
    <row r="2344" spans="1:5" x14ac:dyDescent="0.3">
      <c r="A2344" t="s">
        <v>5</v>
      </c>
      <c r="B2344" t="s">
        <v>9</v>
      </c>
      <c r="C2344" t="s">
        <v>19</v>
      </c>
      <c r="D2344" s="3">
        <v>45546</v>
      </c>
      <c r="E2344" s="2">
        <v>9338</v>
      </c>
    </row>
    <row r="2345" spans="1:5" x14ac:dyDescent="0.3">
      <c r="A2345" t="s">
        <v>24</v>
      </c>
      <c r="B2345" t="s">
        <v>6</v>
      </c>
      <c r="C2345" t="s">
        <v>19</v>
      </c>
      <c r="D2345" s="3">
        <v>45546</v>
      </c>
      <c r="E2345" s="2">
        <v>7685</v>
      </c>
    </row>
    <row r="2346" spans="1:5" x14ac:dyDescent="0.3">
      <c r="A2346" t="s">
        <v>5</v>
      </c>
      <c r="B2346" t="s">
        <v>16</v>
      </c>
      <c r="C2346" t="s">
        <v>28</v>
      </c>
      <c r="D2346" s="3">
        <v>45546</v>
      </c>
      <c r="E2346" s="2">
        <v>3339</v>
      </c>
    </row>
    <row r="2347" spans="1:5" x14ac:dyDescent="0.3">
      <c r="A2347" t="s">
        <v>24</v>
      </c>
      <c r="B2347" t="s">
        <v>16</v>
      </c>
      <c r="C2347" t="s">
        <v>17</v>
      </c>
      <c r="D2347" s="3">
        <v>45546</v>
      </c>
      <c r="E2347" s="2">
        <v>4610</v>
      </c>
    </row>
    <row r="2348" spans="1:5" x14ac:dyDescent="0.3">
      <c r="A2348" t="s">
        <v>5</v>
      </c>
      <c r="B2348" t="s">
        <v>16</v>
      </c>
      <c r="C2348" t="s">
        <v>14</v>
      </c>
      <c r="D2348" s="3">
        <v>45547</v>
      </c>
      <c r="E2348" s="2">
        <v>11031</v>
      </c>
    </row>
    <row r="2349" spans="1:5" x14ac:dyDescent="0.3">
      <c r="A2349" t="s">
        <v>10</v>
      </c>
      <c r="B2349" t="s">
        <v>6</v>
      </c>
      <c r="C2349" t="s">
        <v>25</v>
      </c>
      <c r="D2349" s="3">
        <v>45547</v>
      </c>
      <c r="E2349" s="2">
        <v>8585</v>
      </c>
    </row>
    <row r="2350" spans="1:5" x14ac:dyDescent="0.3">
      <c r="A2350" t="s">
        <v>32</v>
      </c>
      <c r="B2350" t="s">
        <v>13</v>
      </c>
      <c r="C2350" t="s">
        <v>7</v>
      </c>
      <c r="D2350" s="3">
        <v>45547</v>
      </c>
      <c r="E2350" s="2">
        <v>6897</v>
      </c>
    </row>
    <row r="2351" spans="1:5" x14ac:dyDescent="0.3">
      <c r="A2351" t="s">
        <v>5</v>
      </c>
      <c r="B2351" t="s">
        <v>9</v>
      </c>
      <c r="C2351" t="s">
        <v>17</v>
      </c>
      <c r="D2351" s="3">
        <v>45547</v>
      </c>
      <c r="E2351" s="2">
        <v>4553</v>
      </c>
    </row>
    <row r="2352" spans="1:5" x14ac:dyDescent="0.3">
      <c r="A2352" t="s">
        <v>29</v>
      </c>
      <c r="B2352" t="s">
        <v>6</v>
      </c>
      <c r="C2352" t="s">
        <v>14</v>
      </c>
      <c r="D2352" s="3">
        <v>45548</v>
      </c>
      <c r="E2352" s="2">
        <v>10090</v>
      </c>
    </row>
    <row r="2353" spans="1:5" x14ac:dyDescent="0.3">
      <c r="A2353" t="s">
        <v>20</v>
      </c>
      <c r="B2353" t="s">
        <v>13</v>
      </c>
      <c r="C2353" t="s">
        <v>19</v>
      </c>
      <c r="D2353" s="3">
        <v>45548</v>
      </c>
      <c r="E2353" s="2">
        <v>9609</v>
      </c>
    </row>
    <row r="2354" spans="1:5" x14ac:dyDescent="0.3">
      <c r="A2354" t="s">
        <v>26</v>
      </c>
      <c r="B2354" t="s">
        <v>21</v>
      </c>
      <c r="C2354" t="s">
        <v>7</v>
      </c>
      <c r="D2354" s="3">
        <v>45548</v>
      </c>
      <c r="E2354" s="2">
        <v>3523</v>
      </c>
    </row>
    <row r="2355" spans="1:5" x14ac:dyDescent="0.3">
      <c r="A2355" t="s">
        <v>26</v>
      </c>
      <c r="B2355" t="s">
        <v>11</v>
      </c>
      <c r="C2355" t="s">
        <v>7</v>
      </c>
      <c r="D2355" s="3">
        <v>45548</v>
      </c>
      <c r="E2355" s="2">
        <v>1664</v>
      </c>
    </row>
    <row r="2356" spans="1:5" x14ac:dyDescent="0.3">
      <c r="A2356" t="s">
        <v>30</v>
      </c>
      <c r="B2356" t="s">
        <v>21</v>
      </c>
      <c r="C2356" t="s">
        <v>17</v>
      </c>
      <c r="D2356" s="3">
        <v>45548</v>
      </c>
      <c r="E2356" s="2">
        <v>1887</v>
      </c>
    </row>
    <row r="2357" spans="1:5" x14ac:dyDescent="0.3">
      <c r="A2357" t="s">
        <v>24</v>
      </c>
      <c r="B2357" t="s">
        <v>21</v>
      </c>
      <c r="C2357" t="s">
        <v>12</v>
      </c>
      <c r="D2357" s="3">
        <v>45548</v>
      </c>
      <c r="E2357" s="2">
        <v>9118</v>
      </c>
    </row>
    <row r="2358" spans="1:5" x14ac:dyDescent="0.3">
      <c r="A2358" t="s">
        <v>24</v>
      </c>
      <c r="B2358" t="s">
        <v>13</v>
      </c>
      <c r="C2358" t="s">
        <v>14</v>
      </c>
      <c r="D2358" s="3">
        <v>45549</v>
      </c>
      <c r="E2358" s="2">
        <v>11810</v>
      </c>
    </row>
    <row r="2359" spans="1:5" x14ac:dyDescent="0.3">
      <c r="A2359" t="s">
        <v>18</v>
      </c>
      <c r="B2359" t="s">
        <v>16</v>
      </c>
      <c r="C2359" t="s">
        <v>14</v>
      </c>
      <c r="D2359" s="3">
        <v>45549</v>
      </c>
      <c r="E2359" s="2">
        <v>7486</v>
      </c>
    </row>
    <row r="2360" spans="1:5" x14ac:dyDescent="0.3">
      <c r="A2360" t="s">
        <v>5</v>
      </c>
      <c r="B2360" t="s">
        <v>11</v>
      </c>
      <c r="C2360" t="s">
        <v>19</v>
      </c>
      <c r="D2360" s="3">
        <v>45549</v>
      </c>
      <c r="E2360" s="2">
        <v>12682</v>
      </c>
    </row>
    <row r="2361" spans="1:5" x14ac:dyDescent="0.3">
      <c r="A2361" t="s">
        <v>15</v>
      </c>
      <c r="B2361" t="s">
        <v>16</v>
      </c>
      <c r="C2361" t="s">
        <v>25</v>
      </c>
      <c r="D2361" s="3">
        <v>45549</v>
      </c>
      <c r="E2361" s="2">
        <v>13765</v>
      </c>
    </row>
    <row r="2362" spans="1:5" x14ac:dyDescent="0.3">
      <c r="A2362" t="s">
        <v>22</v>
      </c>
      <c r="B2362" t="s">
        <v>21</v>
      </c>
      <c r="C2362" t="s">
        <v>28</v>
      </c>
      <c r="D2362" s="3">
        <v>45549</v>
      </c>
      <c r="E2362" s="2">
        <v>2910</v>
      </c>
    </row>
    <row r="2363" spans="1:5" x14ac:dyDescent="0.3">
      <c r="A2363" t="s">
        <v>8</v>
      </c>
      <c r="B2363" t="s">
        <v>21</v>
      </c>
      <c r="C2363" t="s">
        <v>17</v>
      </c>
      <c r="D2363" s="3">
        <v>45550</v>
      </c>
      <c r="E2363" s="2">
        <v>9564</v>
      </c>
    </row>
    <row r="2364" spans="1:5" x14ac:dyDescent="0.3">
      <c r="A2364" t="s">
        <v>8</v>
      </c>
      <c r="B2364" t="s">
        <v>6</v>
      </c>
      <c r="C2364" t="s">
        <v>19</v>
      </c>
      <c r="D2364" s="3">
        <v>45552</v>
      </c>
      <c r="E2364" s="2">
        <v>13904</v>
      </c>
    </row>
    <row r="2365" spans="1:5" x14ac:dyDescent="0.3">
      <c r="A2365" t="s">
        <v>27</v>
      </c>
      <c r="B2365" t="s">
        <v>13</v>
      </c>
      <c r="C2365" t="s">
        <v>23</v>
      </c>
      <c r="D2365" s="3">
        <v>45552</v>
      </c>
      <c r="E2365" s="2">
        <v>12771</v>
      </c>
    </row>
    <row r="2366" spans="1:5" x14ac:dyDescent="0.3">
      <c r="A2366" t="s">
        <v>31</v>
      </c>
      <c r="B2366" t="s">
        <v>21</v>
      </c>
      <c r="C2366" t="s">
        <v>7</v>
      </c>
      <c r="D2366" s="3">
        <v>45552</v>
      </c>
      <c r="E2366" s="2">
        <v>2790</v>
      </c>
    </row>
    <row r="2367" spans="1:5" x14ac:dyDescent="0.3">
      <c r="A2367" t="s">
        <v>24</v>
      </c>
      <c r="B2367" t="s">
        <v>6</v>
      </c>
      <c r="C2367" t="s">
        <v>14</v>
      </c>
      <c r="D2367" s="3">
        <v>45553</v>
      </c>
      <c r="E2367" s="2">
        <v>12889</v>
      </c>
    </row>
    <row r="2368" spans="1:5" x14ac:dyDescent="0.3">
      <c r="A2368" t="s">
        <v>26</v>
      </c>
      <c r="B2368" t="s">
        <v>21</v>
      </c>
      <c r="C2368" t="s">
        <v>14</v>
      </c>
      <c r="D2368" s="3">
        <v>45553</v>
      </c>
      <c r="E2368" s="2">
        <v>10817</v>
      </c>
    </row>
    <row r="2369" spans="1:5" x14ac:dyDescent="0.3">
      <c r="A2369" t="s">
        <v>15</v>
      </c>
      <c r="B2369" t="s">
        <v>21</v>
      </c>
      <c r="C2369" t="s">
        <v>23</v>
      </c>
      <c r="D2369" s="3">
        <v>45553</v>
      </c>
      <c r="E2369" s="2">
        <v>9008</v>
      </c>
    </row>
    <row r="2370" spans="1:5" x14ac:dyDescent="0.3">
      <c r="A2370" t="s">
        <v>26</v>
      </c>
      <c r="B2370" t="s">
        <v>16</v>
      </c>
      <c r="C2370" t="s">
        <v>25</v>
      </c>
      <c r="D2370" s="3">
        <v>45553</v>
      </c>
      <c r="E2370" s="2">
        <v>7068</v>
      </c>
    </row>
    <row r="2371" spans="1:5" x14ac:dyDescent="0.3">
      <c r="A2371" t="s">
        <v>29</v>
      </c>
      <c r="B2371" t="s">
        <v>21</v>
      </c>
      <c r="C2371" t="s">
        <v>12</v>
      </c>
      <c r="D2371" s="3">
        <v>45554</v>
      </c>
      <c r="E2371" s="2">
        <v>1071</v>
      </c>
    </row>
    <row r="2372" spans="1:5" x14ac:dyDescent="0.3">
      <c r="A2372" t="s">
        <v>10</v>
      </c>
      <c r="B2372" t="s">
        <v>6</v>
      </c>
      <c r="C2372" t="s">
        <v>14</v>
      </c>
      <c r="D2372" s="3">
        <v>45555</v>
      </c>
      <c r="E2372" s="2">
        <v>12711</v>
      </c>
    </row>
    <row r="2373" spans="1:5" x14ac:dyDescent="0.3">
      <c r="A2373" t="s">
        <v>5</v>
      </c>
      <c r="B2373" t="s">
        <v>11</v>
      </c>
      <c r="C2373" t="s">
        <v>14</v>
      </c>
      <c r="D2373" s="3">
        <v>45555</v>
      </c>
      <c r="E2373" s="2">
        <v>1355</v>
      </c>
    </row>
    <row r="2374" spans="1:5" x14ac:dyDescent="0.3">
      <c r="A2374" t="s">
        <v>27</v>
      </c>
      <c r="B2374" t="s">
        <v>11</v>
      </c>
      <c r="C2374" t="s">
        <v>19</v>
      </c>
      <c r="D2374" s="3">
        <v>45555</v>
      </c>
      <c r="E2374" s="2">
        <v>13331</v>
      </c>
    </row>
    <row r="2375" spans="1:5" x14ac:dyDescent="0.3">
      <c r="A2375" t="s">
        <v>32</v>
      </c>
      <c r="B2375" t="s">
        <v>9</v>
      </c>
      <c r="C2375" t="s">
        <v>23</v>
      </c>
      <c r="D2375" s="3">
        <v>45555</v>
      </c>
      <c r="E2375" s="2">
        <v>2290</v>
      </c>
    </row>
    <row r="2376" spans="1:5" x14ac:dyDescent="0.3">
      <c r="A2376" t="s">
        <v>33</v>
      </c>
      <c r="B2376" t="s">
        <v>6</v>
      </c>
      <c r="C2376" t="s">
        <v>7</v>
      </c>
      <c r="D2376" s="3">
        <v>45555</v>
      </c>
      <c r="E2376" s="2">
        <v>2435</v>
      </c>
    </row>
    <row r="2377" spans="1:5" x14ac:dyDescent="0.3">
      <c r="A2377" t="s">
        <v>26</v>
      </c>
      <c r="B2377" t="s">
        <v>13</v>
      </c>
      <c r="C2377" t="s">
        <v>28</v>
      </c>
      <c r="D2377" s="3">
        <v>45555</v>
      </c>
      <c r="E2377" s="2">
        <v>7851</v>
      </c>
    </row>
    <row r="2378" spans="1:5" x14ac:dyDescent="0.3">
      <c r="A2378" t="s">
        <v>22</v>
      </c>
      <c r="B2378" t="s">
        <v>21</v>
      </c>
      <c r="C2378" t="s">
        <v>17</v>
      </c>
      <c r="D2378" s="3">
        <v>45555</v>
      </c>
      <c r="E2378" s="2">
        <v>1908</v>
      </c>
    </row>
    <row r="2379" spans="1:5" x14ac:dyDescent="0.3">
      <c r="A2379" t="s">
        <v>27</v>
      </c>
      <c r="B2379" t="s">
        <v>16</v>
      </c>
      <c r="C2379" t="s">
        <v>14</v>
      </c>
      <c r="D2379" s="3">
        <v>45556</v>
      </c>
      <c r="E2379" s="2">
        <v>1491</v>
      </c>
    </row>
    <row r="2380" spans="1:5" x14ac:dyDescent="0.3">
      <c r="A2380" t="s">
        <v>33</v>
      </c>
      <c r="B2380" t="s">
        <v>21</v>
      </c>
      <c r="C2380" t="s">
        <v>19</v>
      </c>
      <c r="D2380" s="3">
        <v>45557</v>
      </c>
      <c r="E2380" s="2">
        <v>6992</v>
      </c>
    </row>
    <row r="2381" spans="1:5" x14ac:dyDescent="0.3">
      <c r="A2381" t="s">
        <v>18</v>
      </c>
      <c r="B2381" t="s">
        <v>6</v>
      </c>
      <c r="C2381" t="s">
        <v>25</v>
      </c>
      <c r="D2381" s="3">
        <v>45557</v>
      </c>
      <c r="E2381" s="2">
        <v>8254</v>
      </c>
    </row>
    <row r="2382" spans="1:5" x14ac:dyDescent="0.3">
      <c r="A2382" t="s">
        <v>15</v>
      </c>
      <c r="B2382" t="s">
        <v>21</v>
      </c>
      <c r="C2382" t="s">
        <v>28</v>
      </c>
      <c r="D2382" s="3">
        <v>45557</v>
      </c>
      <c r="E2382" s="2">
        <v>2307</v>
      </c>
    </row>
    <row r="2383" spans="1:5" x14ac:dyDescent="0.3">
      <c r="A2383" t="s">
        <v>8</v>
      </c>
      <c r="B2383" t="s">
        <v>21</v>
      </c>
      <c r="C2383" t="s">
        <v>25</v>
      </c>
      <c r="D2383" s="3">
        <v>45558</v>
      </c>
      <c r="E2383" s="2">
        <v>12342</v>
      </c>
    </row>
    <row r="2384" spans="1:5" x14ac:dyDescent="0.3">
      <c r="A2384" t="s">
        <v>22</v>
      </c>
      <c r="B2384" t="s">
        <v>11</v>
      </c>
      <c r="C2384" t="s">
        <v>17</v>
      </c>
      <c r="D2384" s="3">
        <v>45558</v>
      </c>
      <c r="E2384" s="2">
        <v>5801</v>
      </c>
    </row>
    <row r="2385" spans="1:5" x14ac:dyDescent="0.3">
      <c r="A2385" t="s">
        <v>18</v>
      </c>
      <c r="B2385" t="s">
        <v>11</v>
      </c>
      <c r="C2385" t="s">
        <v>12</v>
      </c>
      <c r="D2385" s="3">
        <v>45558</v>
      </c>
      <c r="E2385" s="2">
        <v>13582</v>
      </c>
    </row>
    <row r="2386" spans="1:5" x14ac:dyDescent="0.3">
      <c r="A2386" t="s">
        <v>22</v>
      </c>
      <c r="B2386" t="s">
        <v>9</v>
      </c>
      <c r="C2386" t="s">
        <v>12</v>
      </c>
      <c r="D2386" s="3">
        <v>45558</v>
      </c>
      <c r="E2386" s="2">
        <v>12074</v>
      </c>
    </row>
    <row r="2387" spans="1:5" x14ac:dyDescent="0.3">
      <c r="A2387" t="s">
        <v>31</v>
      </c>
      <c r="B2387" t="s">
        <v>21</v>
      </c>
      <c r="C2387" t="s">
        <v>25</v>
      </c>
      <c r="D2387" s="3">
        <v>45559</v>
      </c>
      <c r="E2387" s="2">
        <v>9462</v>
      </c>
    </row>
    <row r="2388" spans="1:5" x14ac:dyDescent="0.3">
      <c r="A2388" t="s">
        <v>24</v>
      </c>
      <c r="B2388" t="s">
        <v>21</v>
      </c>
      <c r="C2388" t="s">
        <v>25</v>
      </c>
      <c r="D2388" s="3">
        <v>45559</v>
      </c>
      <c r="E2388" s="2">
        <v>9988</v>
      </c>
    </row>
    <row r="2389" spans="1:5" x14ac:dyDescent="0.3">
      <c r="A2389" t="s">
        <v>32</v>
      </c>
      <c r="B2389" t="s">
        <v>13</v>
      </c>
      <c r="C2389" t="s">
        <v>28</v>
      </c>
      <c r="D2389" s="3">
        <v>45559</v>
      </c>
      <c r="E2389" s="2">
        <v>13597</v>
      </c>
    </row>
    <row r="2390" spans="1:5" x14ac:dyDescent="0.3">
      <c r="A2390" t="s">
        <v>26</v>
      </c>
      <c r="B2390" t="s">
        <v>11</v>
      </c>
      <c r="C2390" t="s">
        <v>28</v>
      </c>
      <c r="D2390" s="3">
        <v>45559</v>
      </c>
      <c r="E2390" s="2">
        <v>3976</v>
      </c>
    </row>
    <row r="2391" spans="1:5" x14ac:dyDescent="0.3">
      <c r="A2391" t="s">
        <v>22</v>
      </c>
      <c r="B2391" t="s">
        <v>13</v>
      </c>
      <c r="C2391" t="s">
        <v>23</v>
      </c>
      <c r="D2391" s="3">
        <v>45560</v>
      </c>
      <c r="E2391" s="2">
        <v>3229</v>
      </c>
    </row>
    <row r="2392" spans="1:5" x14ac:dyDescent="0.3">
      <c r="A2392" t="s">
        <v>26</v>
      </c>
      <c r="B2392" t="s">
        <v>16</v>
      </c>
      <c r="C2392" t="s">
        <v>7</v>
      </c>
      <c r="D2392" s="3">
        <v>45560</v>
      </c>
      <c r="E2392" s="2">
        <v>12782</v>
      </c>
    </row>
    <row r="2393" spans="1:5" x14ac:dyDescent="0.3">
      <c r="A2393" t="s">
        <v>20</v>
      </c>
      <c r="B2393" t="s">
        <v>13</v>
      </c>
      <c r="C2393" t="s">
        <v>14</v>
      </c>
      <c r="D2393" s="3">
        <v>45561</v>
      </c>
      <c r="E2393" s="2">
        <v>12102</v>
      </c>
    </row>
    <row r="2394" spans="1:5" x14ac:dyDescent="0.3">
      <c r="A2394" t="s">
        <v>26</v>
      </c>
      <c r="B2394" t="s">
        <v>16</v>
      </c>
      <c r="C2394" t="s">
        <v>19</v>
      </c>
      <c r="D2394" s="3">
        <v>45561</v>
      </c>
      <c r="E2394" s="2">
        <v>7677</v>
      </c>
    </row>
    <row r="2395" spans="1:5" x14ac:dyDescent="0.3">
      <c r="A2395" t="s">
        <v>20</v>
      </c>
      <c r="B2395" t="s">
        <v>13</v>
      </c>
      <c r="C2395" t="s">
        <v>25</v>
      </c>
      <c r="D2395" s="3">
        <v>45561</v>
      </c>
      <c r="E2395" s="2">
        <v>9356</v>
      </c>
    </row>
    <row r="2396" spans="1:5" x14ac:dyDescent="0.3">
      <c r="A2396" t="s">
        <v>18</v>
      </c>
      <c r="B2396" t="s">
        <v>21</v>
      </c>
      <c r="C2396" t="s">
        <v>23</v>
      </c>
      <c r="D2396" s="3">
        <v>45562</v>
      </c>
      <c r="E2396" s="2">
        <v>2039</v>
      </c>
    </row>
    <row r="2397" spans="1:5" x14ac:dyDescent="0.3">
      <c r="A2397" t="s">
        <v>8</v>
      </c>
      <c r="B2397" t="s">
        <v>13</v>
      </c>
      <c r="C2397" t="s">
        <v>7</v>
      </c>
      <c r="D2397" s="3">
        <v>45562</v>
      </c>
      <c r="E2397" s="2">
        <v>3979</v>
      </c>
    </row>
    <row r="2398" spans="1:5" x14ac:dyDescent="0.3">
      <c r="A2398" t="s">
        <v>30</v>
      </c>
      <c r="B2398" t="s">
        <v>11</v>
      </c>
      <c r="C2398" t="s">
        <v>17</v>
      </c>
      <c r="D2398" s="3">
        <v>45562</v>
      </c>
      <c r="E2398" s="2">
        <v>4822</v>
      </c>
    </row>
    <row r="2399" spans="1:5" x14ac:dyDescent="0.3">
      <c r="A2399" t="s">
        <v>24</v>
      </c>
      <c r="B2399" t="s">
        <v>21</v>
      </c>
      <c r="C2399" t="s">
        <v>14</v>
      </c>
      <c r="D2399" s="3">
        <v>45563</v>
      </c>
      <c r="E2399" s="2">
        <v>13903</v>
      </c>
    </row>
    <row r="2400" spans="1:5" x14ac:dyDescent="0.3">
      <c r="A2400" t="s">
        <v>18</v>
      </c>
      <c r="B2400" t="s">
        <v>16</v>
      </c>
      <c r="C2400" t="s">
        <v>19</v>
      </c>
      <c r="D2400" s="3">
        <v>45563</v>
      </c>
      <c r="E2400" s="2">
        <v>11353</v>
      </c>
    </row>
    <row r="2401" spans="1:5" x14ac:dyDescent="0.3">
      <c r="A2401" t="s">
        <v>8</v>
      </c>
      <c r="B2401" t="s">
        <v>11</v>
      </c>
      <c r="C2401" t="s">
        <v>12</v>
      </c>
      <c r="D2401" s="3">
        <v>45563</v>
      </c>
      <c r="E2401" s="2">
        <v>11862</v>
      </c>
    </row>
    <row r="2402" spans="1:5" x14ac:dyDescent="0.3">
      <c r="A2402" t="s">
        <v>24</v>
      </c>
      <c r="B2402" t="s">
        <v>9</v>
      </c>
      <c r="C2402" t="s">
        <v>14</v>
      </c>
      <c r="D2402" s="3">
        <v>45564</v>
      </c>
      <c r="E2402" s="2">
        <v>10626</v>
      </c>
    </row>
    <row r="2403" spans="1:5" x14ac:dyDescent="0.3">
      <c r="A2403" t="s">
        <v>15</v>
      </c>
      <c r="B2403" t="s">
        <v>13</v>
      </c>
      <c r="C2403" t="s">
        <v>25</v>
      </c>
      <c r="D2403" s="3">
        <v>45564</v>
      </c>
      <c r="E2403" s="2">
        <v>11331</v>
      </c>
    </row>
    <row r="2404" spans="1:5" x14ac:dyDescent="0.3">
      <c r="A2404" t="s">
        <v>10</v>
      </c>
      <c r="B2404" t="s">
        <v>13</v>
      </c>
      <c r="C2404" t="s">
        <v>28</v>
      </c>
      <c r="D2404" s="3">
        <v>45564</v>
      </c>
      <c r="E2404" s="2">
        <v>6623</v>
      </c>
    </row>
    <row r="2405" spans="1:5" x14ac:dyDescent="0.3">
      <c r="A2405" t="s">
        <v>5</v>
      </c>
      <c r="B2405" t="s">
        <v>11</v>
      </c>
      <c r="C2405" t="s">
        <v>28</v>
      </c>
      <c r="D2405" s="3">
        <v>45564</v>
      </c>
      <c r="E2405" s="2">
        <v>7079</v>
      </c>
    </row>
    <row r="2406" spans="1:5" x14ac:dyDescent="0.3">
      <c r="A2406" t="s">
        <v>5</v>
      </c>
      <c r="B2406" t="s">
        <v>16</v>
      </c>
      <c r="C2406" t="s">
        <v>12</v>
      </c>
      <c r="D2406" s="3">
        <v>45564</v>
      </c>
      <c r="E2406" s="2">
        <v>5750</v>
      </c>
    </row>
    <row r="2407" spans="1:5" x14ac:dyDescent="0.3">
      <c r="A2407" t="s">
        <v>26</v>
      </c>
      <c r="B2407" t="s">
        <v>11</v>
      </c>
      <c r="C2407" t="s">
        <v>25</v>
      </c>
      <c r="D2407" s="3">
        <v>45565</v>
      </c>
      <c r="E2407" s="2">
        <v>8212</v>
      </c>
    </row>
    <row r="2408" spans="1:5" x14ac:dyDescent="0.3">
      <c r="A2408" t="s">
        <v>22</v>
      </c>
      <c r="B2408" t="s">
        <v>21</v>
      </c>
      <c r="C2408" t="s">
        <v>7</v>
      </c>
      <c r="D2408" s="3">
        <v>45565</v>
      </c>
      <c r="E2408" s="2">
        <v>11015</v>
      </c>
    </row>
    <row r="2409" spans="1:5" x14ac:dyDescent="0.3">
      <c r="A2409" t="s">
        <v>30</v>
      </c>
      <c r="B2409" t="s">
        <v>9</v>
      </c>
      <c r="C2409" t="s">
        <v>14</v>
      </c>
      <c r="D2409" s="3">
        <v>45566</v>
      </c>
      <c r="E2409" s="2">
        <v>8184</v>
      </c>
    </row>
    <row r="2410" spans="1:5" x14ac:dyDescent="0.3">
      <c r="A2410" t="s">
        <v>22</v>
      </c>
      <c r="B2410" t="s">
        <v>16</v>
      </c>
      <c r="C2410" t="s">
        <v>14</v>
      </c>
      <c r="D2410" s="3">
        <v>45567</v>
      </c>
      <c r="E2410" s="2">
        <v>7662</v>
      </c>
    </row>
    <row r="2411" spans="1:5" x14ac:dyDescent="0.3">
      <c r="A2411" t="s">
        <v>27</v>
      </c>
      <c r="B2411" t="s">
        <v>6</v>
      </c>
      <c r="C2411" t="s">
        <v>14</v>
      </c>
      <c r="D2411" s="3">
        <v>45567</v>
      </c>
      <c r="E2411" s="2">
        <v>1049</v>
      </c>
    </row>
    <row r="2412" spans="1:5" x14ac:dyDescent="0.3">
      <c r="A2412" t="s">
        <v>31</v>
      </c>
      <c r="B2412" t="s">
        <v>9</v>
      </c>
      <c r="C2412" t="s">
        <v>19</v>
      </c>
      <c r="D2412" s="3">
        <v>45567</v>
      </c>
      <c r="E2412" s="2">
        <v>2535</v>
      </c>
    </row>
    <row r="2413" spans="1:5" x14ac:dyDescent="0.3">
      <c r="A2413" t="s">
        <v>31</v>
      </c>
      <c r="B2413" t="s">
        <v>9</v>
      </c>
      <c r="C2413" t="s">
        <v>12</v>
      </c>
      <c r="D2413" s="3">
        <v>45567</v>
      </c>
      <c r="E2413" s="2">
        <v>6612</v>
      </c>
    </row>
    <row r="2414" spans="1:5" x14ac:dyDescent="0.3">
      <c r="A2414" t="s">
        <v>31</v>
      </c>
      <c r="B2414" t="s">
        <v>11</v>
      </c>
      <c r="C2414" t="s">
        <v>14</v>
      </c>
      <c r="D2414" s="3">
        <v>45568</v>
      </c>
      <c r="E2414" s="2">
        <v>9237</v>
      </c>
    </row>
    <row r="2415" spans="1:5" x14ac:dyDescent="0.3">
      <c r="A2415" t="s">
        <v>8</v>
      </c>
      <c r="B2415" t="s">
        <v>16</v>
      </c>
      <c r="C2415" t="s">
        <v>19</v>
      </c>
      <c r="D2415" s="3">
        <v>45568</v>
      </c>
      <c r="E2415" s="2">
        <v>5936</v>
      </c>
    </row>
    <row r="2416" spans="1:5" x14ac:dyDescent="0.3">
      <c r="A2416" t="s">
        <v>8</v>
      </c>
      <c r="B2416" t="s">
        <v>21</v>
      </c>
      <c r="C2416" t="s">
        <v>23</v>
      </c>
      <c r="D2416" s="3">
        <v>45568</v>
      </c>
      <c r="E2416" s="2">
        <v>1665</v>
      </c>
    </row>
    <row r="2417" spans="1:5" x14ac:dyDescent="0.3">
      <c r="A2417" t="s">
        <v>31</v>
      </c>
      <c r="B2417" t="s">
        <v>6</v>
      </c>
      <c r="C2417" t="s">
        <v>17</v>
      </c>
      <c r="D2417" s="3">
        <v>45569</v>
      </c>
      <c r="E2417" s="2">
        <v>1693</v>
      </c>
    </row>
    <row r="2418" spans="1:5" x14ac:dyDescent="0.3">
      <c r="A2418" t="s">
        <v>27</v>
      </c>
      <c r="B2418" t="s">
        <v>9</v>
      </c>
      <c r="C2418" t="s">
        <v>14</v>
      </c>
      <c r="D2418" s="3">
        <v>45570</v>
      </c>
      <c r="E2418" s="2">
        <v>3947</v>
      </c>
    </row>
    <row r="2419" spans="1:5" x14ac:dyDescent="0.3">
      <c r="A2419" t="s">
        <v>30</v>
      </c>
      <c r="B2419" t="s">
        <v>9</v>
      </c>
      <c r="C2419" t="s">
        <v>14</v>
      </c>
      <c r="D2419" s="3">
        <v>45570</v>
      </c>
      <c r="E2419" s="2">
        <v>1214</v>
      </c>
    </row>
    <row r="2420" spans="1:5" x14ac:dyDescent="0.3">
      <c r="A2420" t="s">
        <v>15</v>
      </c>
      <c r="B2420" t="s">
        <v>21</v>
      </c>
      <c r="C2420" t="s">
        <v>19</v>
      </c>
      <c r="D2420" s="3">
        <v>45570</v>
      </c>
      <c r="E2420" s="2">
        <v>6116</v>
      </c>
    </row>
    <row r="2421" spans="1:5" x14ac:dyDescent="0.3">
      <c r="A2421" t="s">
        <v>20</v>
      </c>
      <c r="B2421" t="s">
        <v>13</v>
      </c>
      <c r="C2421" t="s">
        <v>23</v>
      </c>
      <c r="D2421" s="3">
        <v>45570</v>
      </c>
      <c r="E2421" s="2">
        <v>5465</v>
      </c>
    </row>
    <row r="2422" spans="1:5" x14ac:dyDescent="0.3">
      <c r="A2422" t="s">
        <v>5</v>
      </c>
      <c r="B2422" t="s">
        <v>11</v>
      </c>
      <c r="C2422" t="s">
        <v>25</v>
      </c>
      <c r="D2422" s="3">
        <v>45570</v>
      </c>
      <c r="E2422" s="2">
        <v>5502</v>
      </c>
    </row>
    <row r="2423" spans="1:5" x14ac:dyDescent="0.3">
      <c r="A2423" t="s">
        <v>26</v>
      </c>
      <c r="B2423" t="s">
        <v>11</v>
      </c>
      <c r="C2423" t="s">
        <v>25</v>
      </c>
      <c r="D2423" s="3">
        <v>45570</v>
      </c>
      <c r="E2423" s="2">
        <v>1565</v>
      </c>
    </row>
    <row r="2424" spans="1:5" x14ac:dyDescent="0.3">
      <c r="A2424" t="s">
        <v>5</v>
      </c>
      <c r="B2424" t="s">
        <v>13</v>
      </c>
      <c r="C2424" t="s">
        <v>7</v>
      </c>
      <c r="D2424" s="3">
        <v>45570</v>
      </c>
      <c r="E2424" s="2">
        <v>8759</v>
      </c>
    </row>
    <row r="2425" spans="1:5" x14ac:dyDescent="0.3">
      <c r="A2425" t="s">
        <v>32</v>
      </c>
      <c r="B2425" t="s">
        <v>21</v>
      </c>
      <c r="C2425" t="s">
        <v>19</v>
      </c>
      <c r="D2425" s="3">
        <v>45571</v>
      </c>
      <c r="E2425" s="2">
        <v>8381</v>
      </c>
    </row>
    <row r="2426" spans="1:5" x14ac:dyDescent="0.3">
      <c r="A2426" t="s">
        <v>27</v>
      </c>
      <c r="B2426" t="s">
        <v>9</v>
      </c>
      <c r="C2426" t="s">
        <v>25</v>
      </c>
      <c r="D2426" s="3">
        <v>45571</v>
      </c>
      <c r="E2426" s="2">
        <v>7801</v>
      </c>
    </row>
    <row r="2427" spans="1:5" x14ac:dyDescent="0.3">
      <c r="A2427" t="s">
        <v>33</v>
      </c>
      <c r="B2427" t="s">
        <v>16</v>
      </c>
      <c r="C2427" t="s">
        <v>12</v>
      </c>
      <c r="D2427" s="3">
        <v>45571</v>
      </c>
      <c r="E2427" s="2">
        <v>4210</v>
      </c>
    </row>
    <row r="2428" spans="1:5" x14ac:dyDescent="0.3">
      <c r="A2428" t="s">
        <v>24</v>
      </c>
      <c r="B2428" t="s">
        <v>21</v>
      </c>
      <c r="C2428" t="s">
        <v>12</v>
      </c>
      <c r="D2428" s="3">
        <v>45571</v>
      </c>
      <c r="E2428" s="2">
        <v>4298</v>
      </c>
    </row>
    <row r="2429" spans="1:5" x14ac:dyDescent="0.3">
      <c r="A2429" t="s">
        <v>31</v>
      </c>
      <c r="B2429" t="s">
        <v>11</v>
      </c>
      <c r="C2429" t="s">
        <v>12</v>
      </c>
      <c r="D2429" s="3">
        <v>45571</v>
      </c>
      <c r="E2429" s="2">
        <v>5363</v>
      </c>
    </row>
    <row r="2430" spans="1:5" x14ac:dyDescent="0.3">
      <c r="A2430" t="s">
        <v>5</v>
      </c>
      <c r="B2430" t="s">
        <v>9</v>
      </c>
      <c r="C2430" t="s">
        <v>23</v>
      </c>
      <c r="D2430" s="3">
        <v>45572</v>
      </c>
      <c r="E2430" s="2">
        <v>12247</v>
      </c>
    </row>
    <row r="2431" spans="1:5" x14ac:dyDescent="0.3">
      <c r="A2431" t="s">
        <v>26</v>
      </c>
      <c r="B2431" t="s">
        <v>21</v>
      </c>
      <c r="C2431" t="s">
        <v>23</v>
      </c>
      <c r="D2431" s="3">
        <v>45572</v>
      </c>
      <c r="E2431" s="2">
        <v>11416</v>
      </c>
    </row>
    <row r="2432" spans="1:5" x14ac:dyDescent="0.3">
      <c r="A2432" t="s">
        <v>32</v>
      </c>
      <c r="B2432" t="s">
        <v>21</v>
      </c>
      <c r="C2432" t="s">
        <v>28</v>
      </c>
      <c r="D2432" s="3">
        <v>45572</v>
      </c>
      <c r="E2432" s="2">
        <v>4574</v>
      </c>
    </row>
    <row r="2433" spans="1:5" x14ac:dyDescent="0.3">
      <c r="A2433" t="s">
        <v>15</v>
      </c>
      <c r="B2433" t="s">
        <v>13</v>
      </c>
      <c r="C2433" t="s">
        <v>7</v>
      </c>
      <c r="D2433" s="3">
        <v>45573</v>
      </c>
      <c r="E2433" s="2">
        <v>5359</v>
      </c>
    </row>
    <row r="2434" spans="1:5" x14ac:dyDescent="0.3">
      <c r="A2434" t="s">
        <v>22</v>
      </c>
      <c r="B2434" t="s">
        <v>9</v>
      </c>
      <c r="C2434" t="s">
        <v>7</v>
      </c>
      <c r="D2434" s="3">
        <v>45574</v>
      </c>
      <c r="E2434" s="2">
        <v>8562</v>
      </c>
    </row>
    <row r="2435" spans="1:5" x14ac:dyDescent="0.3">
      <c r="A2435" t="s">
        <v>15</v>
      </c>
      <c r="B2435" t="s">
        <v>16</v>
      </c>
      <c r="C2435" t="s">
        <v>12</v>
      </c>
      <c r="D2435" s="3">
        <v>45574</v>
      </c>
      <c r="E2435" s="2">
        <v>6927</v>
      </c>
    </row>
    <row r="2436" spans="1:5" x14ac:dyDescent="0.3">
      <c r="A2436" t="s">
        <v>5</v>
      </c>
      <c r="B2436" t="s">
        <v>11</v>
      </c>
      <c r="C2436" t="s">
        <v>14</v>
      </c>
      <c r="D2436" s="3">
        <v>45575</v>
      </c>
      <c r="E2436" s="2">
        <v>1436</v>
      </c>
    </row>
    <row r="2437" spans="1:5" x14ac:dyDescent="0.3">
      <c r="A2437" t="s">
        <v>33</v>
      </c>
      <c r="B2437" t="s">
        <v>13</v>
      </c>
      <c r="C2437" t="s">
        <v>7</v>
      </c>
      <c r="D2437" s="3">
        <v>45575</v>
      </c>
      <c r="E2437" s="2">
        <v>11837</v>
      </c>
    </row>
    <row r="2438" spans="1:5" x14ac:dyDescent="0.3">
      <c r="A2438" t="s">
        <v>10</v>
      </c>
      <c r="B2438" t="s">
        <v>13</v>
      </c>
      <c r="C2438" t="s">
        <v>17</v>
      </c>
      <c r="D2438" s="3">
        <v>45575</v>
      </c>
      <c r="E2438" s="2">
        <v>3058</v>
      </c>
    </row>
    <row r="2439" spans="1:5" x14ac:dyDescent="0.3">
      <c r="A2439" t="s">
        <v>22</v>
      </c>
      <c r="B2439" t="s">
        <v>6</v>
      </c>
      <c r="C2439" t="s">
        <v>12</v>
      </c>
      <c r="D2439" s="3">
        <v>45575</v>
      </c>
      <c r="E2439" s="2">
        <v>5820</v>
      </c>
    </row>
    <row r="2440" spans="1:5" x14ac:dyDescent="0.3">
      <c r="A2440" t="s">
        <v>29</v>
      </c>
      <c r="B2440" t="s">
        <v>6</v>
      </c>
      <c r="C2440" t="s">
        <v>23</v>
      </c>
      <c r="D2440" s="3">
        <v>45576</v>
      </c>
      <c r="E2440" s="2">
        <v>2545</v>
      </c>
    </row>
    <row r="2441" spans="1:5" x14ac:dyDescent="0.3">
      <c r="A2441" t="s">
        <v>8</v>
      </c>
      <c r="B2441" t="s">
        <v>21</v>
      </c>
      <c r="C2441" t="s">
        <v>25</v>
      </c>
      <c r="D2441" s="3">
        <v>45576</v>
      </c>
      <c r="E2441" s="2">
        <v>2805</v>
      </c>
    </row>
    <row r="2442" spans="1:5" x14ac:dyDescent="0.3">
      <c r="A2442" t="s">
        <v>10</v>
      </c>
      <c r="B2442" t="s">
        <v>9</v>
      </c>
      <c r="C2442" t="s">
        <v>25</v>
      </c>
      <c r="D2442" s="3">
        <v>45576</v>
      </c>
      <c r="E2442" s="2">
        <v>7890</v>
      </c>
    </row>
    <row r="2443" spans="1:5" x14ac:dyDescent="0.3">
      <c r="A2443" t="s">
        <v>33</v>
      </c>
      <c r="B2443" t="s">
        <v>13</v>
      </c>
      <c r="C2443" t="s">
        <v>25</v>
      </c>
      <c r="D2443" s="3">
        <v>45576</v>
      </c>
      <c r="E2443" s="2">
        <v>11349</v>
      </c>
    </row>
    <row r="2444" spans="1:5" x14ac:dyDescent="0.3">
      <c r="A2444" t="s">
        <v>10</v>
      </c>
      <c r="B2444" t="s">
        <v>6</v>
      </c>
      <c r="C2444" t="s">
        <v>7</v>
      </c>
      <c r="D2444" s="3">
        <v>45576</v>
      </c>
      <c r="E2444" s="2">
        <v>13633</v>
      </c>
    </row>
    <row r="2445" spans="1:5" x14ac:dyDescent="0.3">
      <c r="A2445" t="s">
        <v>15</v>
      </c>
      <c r="B2445" t="s">
        <v>16</v>
      </c>
      <c r="C2445" t="s">
        <v>7</v>
      </c>
      <c r="D2445" s="3">
        <v>45576</v>
      </c>
      <c r="E2445" s="2">
        <v>6132</v>
      </c>
    </row>
    <row r="2446" spans="1:5" x14ac:dyDescent="0.3">
      <c r="A2446" t="s">
        <v>32</v>
      </c>
      <c r="B2446" t="s">
        <v>21</v>
      </c>
      <c r="C2446" t="s">
        <v>17</v>
      </c>
      <c r="D2446" s="3">
        <v>45576</v>
      </c>
      <c r="E2446" s="2">
        <v>13013</v>
      </c>
    </row>
    <row r="2447" spans="1:5" x14ac:dyDescent="0.3">
      <c r="A2447" t="s">
        <v>32</v>
      </c>
      <c r="B2447" t="s">
        <v>21</v>
      </c>
      <c r="C2447" t="s">
        <v>12</v>
      </c>
      <c r="D2447" s="3">
        <v>45576</v>
      </c>
      <c r="E2447" s="2">
        <v>8225</v>
      </c>
    </row>
    <row r="2448" spans="1:5" x14ac:dyDescent="0.3">
      <c r="A2448" t="s">
        <v>26</v>
      </c>
      <c r="B2448" t="s">
        <v>9</v>
      </c>
      <c r="C2448" t="s">
        <v>7</v>
      </c>
      <c r="D2448" s="3">
        <v>45577</v>
      </c>
      <c r="E2448" s="2">
        <v>12515</v>
      </c>
    </row>
    <row r="2449" spans="1:5" x14ac:dyDescent="0.3">
      <c r="A2449" t="s">
        <v>33</v>
      </c>
      <c r="B2449" t="s">
        <v>16</v>
      </c>
      <c r="C2449" t="s">
        <v>7</v>
      </c>
      <c r="D2449" s="3">
        <v>45577</v>
      </c>
      <c r="E2449" s="2">
        <v>5252</v>
      </c>
    </row>
    <row r="2450" spans="1:5" x14ac:dyDescent="0.3">
      <c r="A2450" t="s">
        <v>20</v>
      </c>
      <c r="B2450" t="s">
        <v>16</v>
      </c>
      <c r="C2450" t="s">
        <v>28</v>
      </c>
      <c r="D2450" s="3">
        <v>45577</v>
      </c>
      <c r="E2450" s="2">
        <v>6155</v>
      </c>
    </row>
    <row r="2451" spans="1:5" x14ac:dyDescent="0.3">
      <c r="A2451" t="s">
        <v>31</v>
      </c>
      <c r="B2451" t="s">
        <v>16</v>
      </c>
      <c r="C2451" t="s">
        <v>7</v>
      </c>
      <c r="D2451" s="3">
        <v>45578</v>
      </c>
      <c r="E2451" s="2">
        <v>10489</v>
      </c>
    </row>
    <row r="2452" spans="1:5" x14ac:dyDescent="0.3">
      <c r="A2452" t="s">
        <v>10</v>
      </c>
      <c r="B2452" t="s">
        <v>11</v>
      </c>
      <c r="C2452" t="s">
        <v>7</v>
      </c>
      <c r="D2452" s="3">
        <v>45578</v>
      </c>
      <c r="E2452" s="2">
        <v>8820</v>
      </c>
    </row>
    <row r="2453" spans="1:5" x14ac:dyDescent="0.3">
      <c r="A2453" t="s">
        <v>20</v>
      </c>
      <c r="B2453" t="s">
        <v>11</v>
      </c>
      <c r="C2453" t="s">
        <v>7</v>
      </c>
      <c r="D2453" s="3">
        <v>45578</v>
      </c>
      <c r="E2453" s="2">
        <v>1851</v>
      </c>
    </row>
    <row r="2454" spans="1:5" x14ac:dyDescent="0.3">
      <c r="A2454" t="s">
        <v>29</v>
      </c>
      <c r="B2454" t="s">
        <v>21</v>
      </c>
      <c r="C2454" t="s">
        <v>12</v>
      </c>
      <c r="D2454" s="3">
        <v>45578</v>
      </c>
      <c r="E2454" s="2">
        <v>10997</v>
      </c>
    </row>
    <row r="2455" spans="1:5" x14ac:dyDescent="0.3">
      <c r="A2455" t="s">
        <v>26</v>
      </c>
      <c r="B2455" t="s">
        <v>6</v>
      </c>
      <c r="C2455" t="s">
        <v>12</v>
      </c>
      <c r="D2455" s="3">
        <v>45578</v>
      </c>
      <c r="E2455" s="2">
        <v>3778</v>
      </c>
    </row>
    <row r="2456" spans="1:5" x14ac:dyDescent="0.3">
      <c r="A2456" t="s">
        <v>24</v>
      </c>
      <c r="B2456" t="s">
        <v>6</v>
      </c>
      <c r="C2456" t="s">
        <v>19</v>
      </c>
      <c r="D2456" s="3">
        <v>45579</v>
      </c>
      <c r="E2456" s="2">
        <v>7027</v>
      </c>
    </row>
    <row r="2457" spans="1:5" x14ac:dyDescent="0.3">
      <c r="A2457" t="s">
        <v>26</v>
      </c>
      <c r="B2457" t="s">
        <v>9</v>
      </c>
      <c r="C2457" t="s">
        <v>19</v>
      </c>
      <c r="D2457" s="3">
        <v>45579</v>
      </c>
      <c r="E2457" s="2">
        <v>7886</v>
      </c>
    </row>
    <row r="2458" spans="1:5" x14ac:dyDescent="0.3">
      <c r="A2458" t="s">
        <v>30</v>
      </c>
      <c r="B2458" t="s">
        <v>13</v>
      </c>
      <c r="C2458" t="s">
        <v>23</v>
      </c>
      <c r="D2458" s="3">
        <v>45579</v>
      </c>
      <c r="E2458" s="2">
        <v>5608</v>
      </c>
    </row>
    <row r="2459" spans="1:5" x14ac:dyDescent="0.3">
      <c r="A2459" t="s">
        <v>33</v>
      </c>
      <c r="B2459" t="s">
        <v>13</v>
      </c>
      <c r="C2459" t="s">
        <v>12</v>
      </c>
      <c r="D2459" s="3">
        <v>45579</v>
      </c>
      <c r="E2459" s="2">
        <v>12698</v>
      </c>
    </row>
    <row r="2460" spans="1:5" x14ac:dyDescent="0.3">
      <c r="A2460" t="s">
        <v>8</v>
      </c>
      <c r="B2460" t="s">
        <v>9</v>
      </c>
      <c r="C2460" t="s">
        <v>14</v>
      </c>
      <c r="D2460" s="3">
        <v>45580</v>
      </c>
      <c r="E2460" s="2">
        <v>8620</v>
      </c>
    </row>
    <row r="2461" spans="1:5" x14ac:dyDescent="0.3">
      <c r="A2461" t="s">
        <v>32</v>
      </c>
      <c r="B2461" t="s">
        <v>6</v>
      </c>
      <c r="C2461" t="s">
        <v>25</v>
      </c>
      <c r="D2461" s="3">
        <v>45580</v>
      </c>
      <c r="E2461" s="2">
        <v>10906</v>
      </c>
    </row>
    <row r="2462" spans="1:5" x14ac:dyDescent="0.3">
      <c r="A2462" t="s">
        <v>24</v>
      </c>
      <c r="B2462" t="s">
        <v>9</v>
      </c>
      <c r="C2462" t="s">
        <v>7</v>
      </c>
      <c r="D2462" s="3">
        <v>45580</v>
      </c>
      <c r="E2462" s="2">
        <v>12488</v>
      </c>
    </row>
    <row r="2463" spans="1:5" x14ac:dyDescent="0.3">
      <c r="A2463" t="s">
        <v>18</v>
      </c>
      <c r="B2463" t="s">
        <v>21</v>
      </c>
      <c r="C2463" t="s">
        <v>7</v>
      </c>
      <c r="D2463" s="3">
        <v>45580</v>
      </c>
      <c r="E2463" s="2">
        <v>11565</v>
      </c>
    </row>
    <row r="2464" spans="1:5" x14ac:dyDescent="0.3">
      <c r="A2464" t="s">
        <v>10</v>
      </c>
      <c r="B2464" t="s">
        <v>9</v>
      </c>
      <c r="C2464" t="s">
        <v>28</v>
      </c>
      <c r="D2464" s="3">
        <v>45580</v>
      </c>
      <c r="E2464" s="2">
        <v>8526</v>
      </c>
    </row>
    <row r="2465" spans="1:5" x14ac:dyDescent="0.3">
      <c r="A2465" t="s">
        <v>29</v>
      </c>
      <c r="B2465" t="s">
        <v>11</v>
      </c>
      <c r="C2465" t="s">
        <v>23</v>
      </c>
      <c r="D2465" s="3">
        <v>45581</v>
      </c>
      <c r="E2465" s="2">
        <v>4064</v>
      </c>
    </row>
    <row r="2466" spans="1:5" x14ac:dyDescent="0.3">
      <c r="A2466" t="s">
        <v>15</v>
      </c>
      <c r="B2466" t="s">
        <v>9</v>
      </c>
      <c r="C2466" t="s">
        <v>25</v>
      </c>
      <c r="D2466" s="3">
        <v>45581</v>
      </c>
      <c r="E2466" s="2">
        <v>7873</v>
      </c>
    </row>
    <row r="2467" spans="1:5" x14ac:dyDescent="0.3">
      <c r="A2467" t="s">
        <v>24</v>
      </c>
      <c r="B2467" t="s">
        <v>21</v>
      </c>
      <c r="C2467" t="s">
        <v>25</v>
      </c>
      <c r="D2467" s="3">
        <v>45582</v>
      </c>
      <c r="E2467" s="2">
        <v>3848</v>
      </c>
    </row>
    <row r="2468" spans="1:5" x14ac:dyDescent="0.3">
      <c r="A2468" t="s">
        <v>20</v>
      </c>
      <c r="B2468" t="s">
        <v>11</v>
      </c>
      <c r="C2468" t="s">
        <v>14</v>
      </c>
      <c r="D2468" s="3">
        <v>45583</v>
      </c>
      <c r="E2468" s="2">
        <v>12681</v>
      </c>
    </row>
    <row r="2469" spans="1:5" x14ac:dyDescent="0.3">
      <c r="A2469" t="s">
        <v>26</v>
      </c>
      <c r="B2469" t="s">
        <v>9</v>
      </c>
      <c r="C2469" t="s">
        <v>19</v>
      </c>
      <c r="D2469" s="3">
        <v>45583</v>
      </c>
      <c r="E2469" s="2">
        <v>3428</v>
      </c>
    </row>
    <row r="2470" spans="1:5" x14ac:dyDescent="0.3">
      <c r="A2470" t="s">
        <v>29</v>
      </c>
      <c r="B2470" t="s">
        <v>13</v>
      </c>
      <c r="C2470" t="s">
        <v>25</v>
      </c>
      <c r="D2470" s="3">
        <v>45583</v>
      </c>
      <c r="E2470" s="2">
        <v>8840</v>
      </c>
    </row>
    <row r="2471" spans="1:5" x14ac:dyDescent="0.3">
      <c r="A2471" t="s">
        <v>8</v>
      </c>
      <c r="B2471" t="s">
        <v>9</v>
      </c>
      <c r="C2471" t="s">
        <v>17</v>
      </c>
      <c r="D2471" s="3">
        <v>45583</v>
      </c>
      <c r="E2471" s="2">
        <v>3579</v>
      </c>
    </row>
    <row r="2472" spans="1:5" x14ac:dyDescent="0.3">
      <c r="A2472" t="s">
        <v>8</v>
      </c>
      <c r="B2472" t="s">
        <v>13</v>
      </c>
      <c r="C2472" t="s">
        <v>19</v>
      </c>
      <c r="D2472" s="3">
        <v>45584</v>
      </c>
      <c r="E2472" s="2">
        <v>13298</v>
      </c>
    </row>
    <row r="2473" spans="1:5" x14ac:dyDescent="0.3">
      <c r="A2473" t="s">
        <v>5</v>
      </c>
      <c r="B2473" t="s">
        <v>13</v>
      </c>
      <c r="C2473" t="s">
        <v>19</v>
      </c>
      <c r="D2473" s="3">
        <v>45584</v>
      </c>
      <c r="E2473" s="2">
        <v>5679</v>
      </c>
    </row>
    <row r="2474" spans="1:5" x14ac:dyDescent="0.3">
      <c r="A2474" t="s">
        <v>24</v>
      </c>
      <c r="B2474" t="s">
        <v>16</v>
      </c>
      <c r="C2474" t="s">
        <v>23</v>
      </c>
      <c r="D2474" s="3">
        <v>45584</v>
      </c>
      <c r="E2474" s="2">
        <v>4269</v>
      </c>
    </row>
    <row r="2475" spans="1:5" x14ac:dyDescent="0.3">
      <c r="A2475" t="s">
        <v>5</v>
      </c>
      <c r="B2475" t="s">
        <v>6</v>
      </c>
      <c r="C2475" t="s">
        <v>23</v>
      </c>
      <c r="D2475" s="3">
        <v>45584</v>
      </c>
      <c r="E2475" s="2">
        <v>9769</v>
      </c>
    </row>
    <row r="2476" spans="1:5" x14ac:dyDescent="0.3">
      <c r="A2476" t="s">
        <v>30</v>
      </c>
      <c r="B2476" t="s">
        <v>13</v>
      </c>
      <c r="C2476" t="s">
        <v>25</v>
      </c>
      <c r="D2476" s="3">
        <v>45584</v>
      </c>
      <c r="E2476" s="2">
        <v>1891</v>
      </c>
    </row>
    <row r="2477" spans="1:5" x14ac:dyDescent="0.3">
      <c r="A2477" t="s">
        <v>10</v>
      </c>
      <c r="B2477" t="s">
        <v>13</v>
      </c>
      <c r="C2477" t="s">
        <v>28</v>
      </c>
      <c r="D2477" s="3">
        <v>45584</v>
      </c>
      <c r="E2477" s="2">
        <v>4947</v>
      </c>
    </row>
    <row r="2478" spans="1:5" x14ac:dyDescent="0.3">
      <c r="A2478" t="s">
        <v>24</v>
      </c>
      <c r="B2478" t="s">
        <v>16</v>
      </c>
      <c r="C2478" t="s">
        <v>17</v>
      </c>
      <c r="D2478" s="3">
        <v>45584</v>
      </c>
      <c r="E2478" s="2">
        <v>1669</v>
      </c>
    </row>
    <row r="2479" spans="1:5" x14ac:dyDescent="0.3">
      <c r="A2479" t="s">
        <v>29</v>
      </c>
      <c r="B2479" t="s">
        <v>13</v>
      </c>
      <c r="C2479" t="s">
        <v>12</v>
      </c>
      <c r="D2479" s="3">
        <v>45584</v>
      </c>
      <c r="E2479" s="2">
        <v>6795</v>
      </c>
    </row>
    <row r="2480" spans="1:5" x14ac:dyDescent="0.3">
      <c r="A2480" t="s">
        <v>18</v>
      </c>
      <c r="B2480" t="s">
        <v>6</v>
      </c>
      <c r="C2480" t="s">
        <v>19</v>
      </c>
      <c r="D2480" s="3">
        <v>45585</v>
      </c>
      <c r="E2480" s="2">
        <v>6502</v>
      </c>
    </row>
    <row r="2481" spans="1:5" x14ac:dyDescent="0.3">
      <c r="A2481" t="s">
        <v>5</v>
      </c>
      <c r="B2481" t="s">
        <v>13</v>
      </c>
      <c r="C2481" t="s">
        <v>7</v>
      </c>
      <c r="D2481" s="3">
        <v>45585</v>
      </c>
      <c r="E2481" s="2">
        <v>2214</v>
      </c>
    </row>
    <row r="2482" spans="1:5" x14ac:dyDescent="0.3">
      <c r="A2482" t="s">
        <v>32</v>
      </c>
      <c r="B2482" t="s">
        <v>16</v>
      </c>
      <c r="C2482" t="s">
        <v>23</v>
      </c>
      <c r="D2482" s="3">
        <v>45586</v>
      </c>
      <c r="E2482" s="2">
        <v>9074</v>
      </c>
    </row>
    <row r="2483" spans="1:5" x14ac:dyDescent="0.3">
      <c r="A2483" t="s">
        <v>20</v>
      </c>
      <c r="B2483" t="s">
        <v>9</v>
      </c>
      <c r="C2483" t="s">
        <v>25</v>
      </c>
      <c r="D2483" s="3">
        <v>45586</v>
      </c>
      <c r="E2483" s="2">
        <v>13604</v>
      </c>
    </row>
    <row r="2484" spans="1:5" x14ac:dyDescent="0.3">
      <c r="A2484" t="s">
        <v>22</v>
      </c>
      <c r="B2484" t="s">
        <v>6</v>
      </c>
      <c r="C2484" t="s">
        <v>17</v>
      </c>
      <c r="D2484" s="3">
        <v>45586</v>
      </c>
      <c r="E2484" s="2">
        <v>6081</v>
      </c>
    </row>
    <row r="2485" spans="1:5" x14ac:dyDescent="0.3">
      <c r="A2485" t="s">
        <v>29</v>
      </c>
      <c r="B2485" t="s">
        <v>16</v>
      </c>
      <c r="C2485" t="s">
        <v>14</v>
      </c>
      <c r="D2485" s="3">
        <v>45587</v>
      </c>
      <c r="E2485" s="2">
        <v>11890</v>
      </c>
    </row>
    <row r="2486" spans="1:5" x14ac:dyDescent="0.3">
      <c r="A2486" t="s">
        <v>30</v>
      </c>
      <c r="B2486" t="s">
        <v>13</v>
      </c>
      <c r="C2486" t="s">
        <v>14</v>
      </c>
      <c r="D2486" s="3">
        <v>45587</v>
      </c>
      <c r="E2486" s="2">
        <v>1487</v>
      </c>
    </row>
    <row r="2487" spans="1:5" x14ac:dyDescent="0.3">
      <c r="A2487" t="s">
        <v>30</v>
      </c>
      <c r="B2487" t="s">
        <v>9</v>
      </c>
      <c r="C2487" t="s">
        <v>23</v>
      </c>
      <c r="D2487" s="3">
        <v>45587</v>
      </c>
      <c r="E2487" s="2">
        <v>1472</v>
      </c>
    </row>
    <row r="2488" spans="1:5" x14ac:dyDescent="0.3">
      <c r="A2488" t="s">
        <v>18</v>
      </c>
      <c r="B2488" t="s">
        <v>9</v>
      </c>
      <c r="C2488" t="s">
        <v>23</v>
      </c>
      <c r="D2488" s="3">
        <v>45587</v>
      </c>
      <c r="E2488" s="2">
        <v>3066</v>
      </c>
    </row>
    <row r="2489" spans="1:5" x14ac:dyDescent="0.3">
      <c r="A2489" t="s">
        <v>30</v>
      </c>
      <c r="B2489" t="s">
        <v>6</v>
      </c>
      <c r="C2489" t="s">
        <v>25</v>
      </c>
      <c r="D2489" s="3">
        <v>45587</v>
      </c>
      <c r="E2489" s="2">
        <v>3080</v>
      </c>
    </row>
    <row r="2490" spans="1:5" x14ac:dyDescent="0.3">
      <c r="A2490" t="s">
        <v>18</v>
      </c>
      <c r="B2490" t="s">
        <v>11</v>
      </c>
      <c r="C2490" t="s">
        <v>28</v>
      </c>
      <c r="D2490" s="3">
        <v>45587</v>
      </c>
      <c r="E2490" s="2">
        <v>8332</v>
      </c>
    </row>
    <row r="2491" spans="1:5" x14ac:dyDescent="0.3">
      <c r="A2491" t="s">
        <v>30</v>
      </c>
      <c r="B2491" t="s">
        <v>6</v>
      </c>
      <c r="C2491" t="s">
        <v>17</v>
      </c>
      <c r="D2491" s="3">
        <v>45587</v>
      </c>
      <c r="E2491" s="2">
        <v>11946</v>
      </c>
    </row>
    <row r="2492" spans="1:5" x14ac:dyDescent="0.3">
      <c r="A2492" t="s">
        <v>33</v>
      </c>
      <c r="B2492" t="s">
        <v>21</v>
      </c>
      <c r="C2492" t="s">
        <v>19</v>
      </c>
      <c r="D2492" s="3">
        <v>45588</v>
      </c>
      <c r="E2492" s="2">
        <v>9202</v>
      </c>
    </row>
    <row r="2493" spans="1:5" x14ac:dyDescent="0.3">
      <c r="A2493" t="s">
        <v>32</v>
      </c>
      <c r="B2493" t="s">
        <v>6</v>
      </c>
      <c r="C2493" t="s">
        <v>25</v>
      </c>
      <c r="D2493" s="3">
        <v>45588</v>
      </c>
      <c r="E2493" s="2">
        <v>6048</v>
      </c>
    </row>
    <row r="2494" spans="1:5" x14ac:dyDescent="0.3">
      <c r="A2494" t="s">
        <v>24</v>
      </c>
      <c r="B2494" t="s">
        <v>11</v>
      </c>
      <c r="C2494" t="s">
        <v>7</v>
      </c>
      <c r="D2494" s="3">
        <v>45588</v>
      </c>
      <c r="E2494" s="2">
        <v>11739</v>
      </c>
    </row>
    <row r="2495" spans="1:5" x14ac:dyDescent="0.3">
      <c r="A2495" t="s">
        <v>26</v>
      </c>
      <c r="B2495" t="s">
        <v>21</v>
      </c>
      <c r="C2495" t="s">
        <v>12</v>
      </c>
      <c r="D2495" s="3">
        <v>45588</v>
      </c>
      <c r="E2495" s="2">
        <v>9610</v>
      </c>
    </row>
    <row r="2496" spans="1:5" x14ac:dyDescent="0.3">
      <c r="A2496" t="s">
        <v>30</v>
      </c>
      <c r="B2496" t="s">
        <v>21</v>
      </c>
      <c r="C2496" t="s">
        <v>19</v>
      </c>
      <c r="D2496" s="3">
        <v>45589</v>
      </c>
      <c r="E2496" s="2">
        <v>9115</v>
      </c>
    </row>
    <row r="2497" spans="1:5" x14ac:dyDescent="0.3">
      <c r="A2497" t="s">
        <v>30</v>
      </c>
      <c r="B2497" t="s">
        <v>11</v>
      </c>
      <c r="C2497" t="s">
        <v>23</v>
      </c>
      <c r="D2497" s="3">
        <v>45589</v>
      </c>
      <c r="E2497" s="2">
        <v>8948</v>
      </c>
    </row>
    <row r="2498" spans="1:5" x14ac:dyDescent="0.3">
      <c r="A2498" t="s">
        <v>33</v>
      </c>
      <c r="B2498" t="s">
        <v>11</v>
      </c>
      <c r="C2498" t="s">
        <v>25</v>
      </c>
      <c r="D2498" s="3">
        <v>45589</v>
      </c>
      <c r="E2498" s="2">
        <v>12996</v>
      </c>
    </row>
    <row r="2499" spans="1:5" x14ac:dyDescent="0.3">
      <c r="A2499" t="s">
        <v>30</v>
      </c>
      <c r="B2499" t="s">
        <v>21</v>
      </c>
      <c r="C2499" t="s">
        <v>25</v>
      </c>
      <c r="D2499" s="3">
        <v>45589</v>
      </c>
      <c r="E2499" s="2">
        <v>7816</v>
      </c>
    </row>
    <row r="2500" spans="1:5" x14ac:dyDescent="0.3">
      <c r="A2500" t="s">
        <v>32</v>
      </c>
      <c r="B2500" t="s">
        <v>9</v>
      </c>
      <c r="C2500" t="s">
        <v>14</v>
      </c>
      <c r="D2500" s="3">
        <v>45590</v>
      </c>
      <c r="E2500" s="2">
        <v>1162</v>
      </c>
    </row>
    <row r="2501" spans="1:5" x14ac:dyDescent="0.3">
      <c r="A2501" t="s">
        <v>5</v>
      </c>
      <c r="B2501" t="s">
        <v>9</v>
      </c>
      <c r="C2501" t="s">
        <v>19</v>
      </c>
      <c r="D2501" s="3">
        <v>45591</v>
      </c>
      <c r="E2501" s="2">
        <v>2400</v>
      </c>
    </row>
    <row r="2502" spans="1:5" x14ac:dyDescent="0.3">
      <c r="A2502" t="s">
        <v>32</v>
      </c>
      <c r="B2502" t="s">
        <v>16</v>
      </c>
      <c r="C2502" t="s">
        <v>7</v>
      </c>
      <c r="D2502" s="3">
        <v>45591</v>
      </c>
      <c r="E2502" s="2">
        <v>9755</v>
      </c>
    </row>
    <row r="2503" spans="1:5" x14ac:dyDescent="0.3">
      <c r="A2503" t="s">
        <v>22</v>
      </c>
      <c r="B2503" t="s">
        <v>16</v>
      </c>
      <c r="C2503" t="s">
        <v>28</v>
      </c>
      <c r="D2503" s="3">
        <v>45591</v>
      </c>
      <c r="E2503" s="2">
        <v>2389</v>
      </c>
    </row>
    <row r="2504" spans="1:5" x14ac:dyDescent="0.3">
      <c r="A2504" t="s">
        <v>18</v>
      </c>
      <c r="B2504" t="s">
        <v>6</v>
      </c>
      <c r="C2504" t="s">
        <v>17</v>
      </c>
      <c r="D2504" s="3">
        <v>45592</v>
      </c>
      <c r="E2504" s="2">
        <v>5676</v>
      </c>
    </row>
    <row r="2505" spans="1:5" x14ac:dyDescent="0.3">
      <c r="A2505" t="s">
        <v>33</v>
      </c>
      <c r="B2505" t="s">
        <v>13</v>
      </c>
      <c r="C2505" t="s">
        <v>14</v>
      </c>
      <c r="D2505" s="3">
        <v>45593</v>
      </c>
      <c r="E2505" s="2">
        <v>1016</v>
      </c>
    </row>
    <row r="2506" spans="1:5" x14ac:dyDescent="0.3">
      <c r="A2506" t="s">
        <v>5</v>
      </c>
      <c r="B2506" t="s">
        <v>21</v>
      </c>
      <c r="C2506" t="s">
        <v>23</v>
      </c>
      <c r="D2506" s="3">
        <v>45593</v>
      </c>
      <c r="E2506" s="2">
        <v>5172</v>
      </c>
    </row>
    <row r="2507" spans="1:5" x14ac:dyDescent="0.3">
      <c r="A2507" t="s">
        <v>27</v>
      </c>
      <c r="B2507" t="s">
        <v>6</v>
      </c>
      <c r="C2507" t="s">
        <v>23</v>
      </c>
      <c r="D2507" s="3">
        <v>45593</v>
      </c>
      <c r="E2507" s="2">
        <v>7946</v>
      </c>
    </row>
    <row r="2508" spans="1:5" x14ac:dyDescent="0.3">
      <c r="A2508" t="s">
        <v>15</v>
      </c>
      <c r="B2508" t="s">
        <v>16</v>
      </c>
      <c r="C2508" t="s">
        <v>25</v>
      </c>
      <c r="D2508" s="3">
        <v>45593</v>
      </c>
      <c r="E2508" s="2">
        <v>2896</v>
      </c>
    </row>
    <row r="2509" spans="1:5" x14ac:dyDescent="0.3">
      <c r="A2509" t="s">
        <v>29</v>
      </c>
      <c r="B2509" t="s">
        <v>13</v>
      </c>
      <c r="C2509" t="s">
        <v>17</v>
      </c>
      <c r="D2509" s="3">
        <v>45593</v>
      </c>
      <c r="E2509" s="2">
        <v>10857</v>
      </c>
    </row>
    <row r="2510" spans="1:5" x14ac:dyDescent="0.3">
      <c r="A2510" t="s">
        <v>24</v>
      </c>
      <c r="B2510" t="s">
        <v>11</v>
      </c>
      <c r="C2510" t="s">
        <v>14</v>
      </c>
      <c r="D2510" s="3">
        <v>45594</v>
      </c>
      <c r="E2510" s="2">
        <v>5363</v>
      </c>
    </row>
    <row r="2511" spans="1:5" x14ac:dyDescent="0.3">
      <c r="A2511" t="s">
        <v>30</v>
      </c>
      <c r="B2511" t="s">
        <v>6</v>
      </c>
      <c r="C2511" t="s">
        <v>17</v>
      </c>
      <c r="D2511" s="3">
        <v>45594</v>
      </c>
      <c r="E2511" s="2">
        <v>13729</v>
      </c>
    </row>
    <row r="2512" spans="1:5" x14ac:dyDescent="0.3">
      <c r="A2512" t="s">
        <v>29</v>
      </c>
      <c r="B2512" t="s">
        <v>21</v>
      </c>
      <c r="C2512" t="s">
        <v>23</v>
      </c>
      <c r="D2512" s="3">
        <v>45595</v>
      </c>
      <c r="E2512" s="2">
        <v>12067</v>
      </c>
    </row>
    <row r="2513" spans="1:5" x14ac:dyDescent="0.3">
      <c r="A2513" t="s">
        <v>29</v>
      </c>
      <c r="B2513" t="s">
        <v>21</v>
      </c>
      <c r="C2513" t="s">
        <v>17</v>
      </c>
      <c r="D2513" s="3">
        <v>45595</v>
      </c>
      <c r="E2513" s="2">
        <v>13449</v>
      </c>
    </row>
    <row r="2514" spans="1:5" x14ac:dyDescent="0.3">
      <c r="A2514" t="s">
        <v>32</v>
      </c>
      <c r="B2514" t="s">
        <v>13</v>
      </c>
      <c r="C2514" t="s">
        <v>28</v>
      </c>
      <c r="D2514" s="3">
        <v>45596</v>
      </c>
      <c r="E2514" s="2">
        <v>12048</v>
      </c>
    </row>
    <row r="2515" spans="1:5" x14ac:dyDescent="0.3">
      <c r="A2515" t="s">
        <v>32</v>
      </c>
      <c r="B2515" t="s">
        <v>9</v>
      </c>
      <c r="C2515" t="s">
        <v>14</v>
      </c>
      <c r="D2515" s="3">
        <v>45597</v>
      </c>
      <c r="E2515" s="2">
        <v>2943</v>
      </c>
    </row>
    <row r="2516" spans="1:5" x14ac:dyDescent="0.3">
      <c r="A2516" t="s">
        <v>18</v>
      </c>
      <c r="B2516" t="s">
        <v>21</v>
      </c>
      <c r="C2516" t="s">
        <v>14</v>
      </c>
      <c r="D2516" s="3">
        <v>45597</v>
      </c>
      <c r="E2516" s="2">
        <v>11881</v>
      </c>
    </row>
    <row r="2517" spans="1:5" x14ac:dyDescent="0.3">
      <c r="A2517" t="s">
        <v>29</v>
      </c>
      <c r="B2517" t="s">
        <v>11</v>
      </c>
      <c r="C2517" t="s">
        <v>25</v>
      </c>
      <c r="D2517" s="3">
        <v>45597</v>
      </c>
      <c r="E2517" s="2">
        <v>6498</v>
      </c>
    </row>
    <row r="2518" spans="1:5" x14ac:dyDescent="0.3">
      <c r="A2518" t="s">
        <v>33</v>
      </c>
      <c r="B2518" t="s">
        <v>9</v>
      </c>
      <c r="C2518" t="s">
        <v>25</v>
      </c>
      <c r="D2518" s="3">
        <v>45597</v>
      </c>
      <c r="E2518" s="2">
        <v>3023</v>
      </c>
    </row>
    <row r="2519" spans="1:5" x14ac:dyDescent="0.3">
      <c r="A2519" t="s">
        <v>22</v>
      </c>
      <c r="B2519" t="s">
        <v>16</v>
      </c>
      <c r="C2519" t="s">
        <v>28</v>
      </c>
      <c r="D2519" s="3">
        <v>45597</v>
      </c>
      <c r="E2519" s="2">
        <v>7726</v>
      </c>
    </row>
    <row r="2520" spans="1:5" x14ac:dyDescent="0.3">
      <c r="A2520" t="s">
        <v>30</v>
      </c>
      <c r="B2520" t="s">
        <v>11</v>
      </c>
      <c r="C2520" t="s">
        <v>17</v>
      </c>
      <c r="D2520" s="3">
        <v>45597</v>
      </c>
      <c r="E2520" s="2">
        <v>9900</v>
      </c>
    </row>
    <row r="2521" spans="1:5" x14ac:dyDescent="0.3">
      <c r="A2521" t="s">
        <v>22</v>
      </c>
      <c r="B2521" t="s">
        <v>9</v>
      </c>
      <c r="C2521" t="s">
        <v>19</v>
      </c>
      <c r="D2521" s="3">
        <v>45598</v>
      </c>
      <c r="E2521" s="2">
        <v>12252</v>
      </c>
    </row>
    <row r="2522" spans="1:5" x14ac:dyDescent="0.3">
      <c r="A2522" t="s">
        <v>33</v>
      </c>
      <c r="B2522" t="s">
        <v>13</v>
      </c>
      <c r="C2522" t="s">
        <v>23</v>
      </c>
      <c r="D2522" s="3">
        <v>45598</v>
      </c>
      <c r="E2522" s="2">
        <v>6931</v>
      </c>
    </row>
    <row r="2523" spans="1:5" x14ac:dyDescent="0.3">
      <c r="A2523" t="s">
        <v>31</v>
      </c>
      <c r="B2523" t="s">
        <v>6</v>
      </c>
      <c r="C2523" t="s">
        <v>25</v>
      </c>
      <c r="D2523" s="3">
        <v>45598</v>
      </c>
      <c r="E2523" s="2">
        <v>2033</v>
      </c>
    </row>
    <row r="2524" spans="1:5" x14ac:dyDescent="0.3">
      <c r="A2524" t="s">
        <v>33</v>
      </c>
      <c r="B2524" t="s">
        <v>9</v>
      </c>
      <c r="C2524" t="s">
        <v>7</v>
      </c>
      <c r="D2524" s="3">
        <v>45598</v>
      </c>
      <c r="E2524" s="2">
        <v>1423</v>
      </c>
    </row>
    <row r="2525" spans="1:5" x14ac:dyDescent="0.3">
      <c r="A2525" t="s">
        <v>10</v>
      </c>
      <c r="B2525" t="s">
        <v>13</v>
      </c>
      <c r="C2525" t="s">
        <v>7</v>
      </c>
      <c r="D2525" s="3">
        <v>45598</v>
      </c>
      <c r="E2525" s="2">
        <v>1216</v>
      </c>
    </row>
    <row r="2526" spans="1:5" x14ac:dyDescent="0.3">
      <c r="A2526" t="s">
        <v>22</v>
      </c>
      <c r="B2526" t="s">
        <v>16</v>
      </c>
      <c r="C2526" t="s">
        <v>23</v>
      </c>
      <c r="D2526" s="3">
        <v>45599</v>
      </c>
      <c r="E2526" s="2">
        <v>12274</v>
      </c>
    </row>
    <row r="2527" spans="1:5" x14ac:dyDescent="0.3">
      <c r="A2527" t="s">
        <v>27</v>
      </c>
      <c r="B2527" t="s">
        <v>6</v>
      </c>
      <c r="C2527" t="s">
        <v>25</v>
      </c>
      <c r="D2527" s="3">
        <v>45599</v>
      </c>
      <c r="E2527" s="2">
        <v>6354</v>
      </c>
    </row>
    <row r="2528" spans="1:5" x14ac:dyDescent="0.3">
      <c r="A2528" t="s">
        <v>30</v>
      </c>
      <c r="B2528" t="s">
        <v>16</v>
      </c>
      <c r="C2528" t="s">
        <v>7</v>
      </c>
      <c r="D2528" s="3">
        <v>45599</v>
      </c>
      <c r="E2528" s="2">
        <v>6483</v>
      </c>
    </row>
    <row r="2529" spans="1:5" x14ac:dyDescent="0.3">
      <c r="A2529" t="s">
        <v>24</v>
      </c>
      <c r="B2529" t="s">
        <v>9</v>
      </c>
      <c r="C2529" t="s">
        <v>12</v>
      </c>
      <c r="D2529" s="3">
        <v>45599</v>
      </c>
      <c r="E2529" s="2">
        <v>6692</v>
      </c>
    </row>
    <row r="2530" spans="1:5" x14ac:dyDescent="0.3">
      <c r="A2530" t="s">
        <v>26</v>
      </c>
      <c r="B2530" t="s">
        <v>11</v>
      </c>
      <c r="C2530" t="s">
        <v>14</v>
      </c>
      <c r="D2530" s="3">
        <v>45600</v>
      </c>
      <c r="E2530" s="2">
        <v>12761</v>
      </c>
    </row>
    <row r="2531" spans="1:5" x14ac:dyDescent="0.3">
      <c r="A2531" t="s">
        <v>29</v>
      </c>
      <c r="B2531" t="s">
        <v>21</v>
      </c>
      <c r="C2531" t="s">
        <v>14</v>
      </c>
      <c r="D2531" s="3">
        <v>45600</v>
      </c>
      <c r="E2531" s="2">
        <v>7486</v>
      </c>
    </row>
    <row r="2532" spans="1:5" x14ac:dyDescent="0.3">
      <c r="A2532" t="s">
        <v>33</v>
      </c>
      <c r="B2532" t="s">
        <v>21</v>
      </c>
      <c r="C2532" t="s">
        <v>23</v>
      </c>
      <c r="D2532" s="3">
        <v>45600</v>
      </c>
      <c r="E2532" s="2">
        <v>11502</v>
      </c>
    </row>
    <row r="2533" spans="1:5" x14ac:dyDescent="0.3">
      <c r="A2533" t="s">
        <v>31</v>
      </c>
      <c r="B2533" t="s">
        <v>16</v>
      </c>
      <c r="C2533" t="s">
        <v>25</v>
      </c>
      <c r="D2533" s="3">
        <v>45600</v>
      </c>
      <c r="E2533" s="2">
        <v>3101</v>
      </c>
    </row>
    <row r="2534" spans="1:5" x14ac:dyDescent="0.3">
      <c r="A2534" t="s">
        <v>32</v>
      </c>
      <c r="B2534" t="s">
        <v>9</v>
      </c>
      <c r="C2534" t="s">
        <v>17</v>
      </c>
      <c r="D2534" s="3">
        <v>45600</v>
      </c>
      <c r="E2534" s="2">
        <v>7704</v>
      </c>
    </row>
    <row r="2535" spans="1:5" x14ac:dyDescent="0.3">
      <c r="A2535" t="s">
        <v>27</v>
      </c>
      <c r="B2535" t="s">
        <v>21</v>
      </c>
      <c r="C2535" t="s">
        <v>14</v>
      </c>
      <c r="D2535" s="3">
        <v>45601</v>
      </c>
      <c r="E2535" s="2">
        <v>10374</v>
      </c>
    </row>
    <row r="2536" spans="1:5" x14ac:dyDescent="0.3">
      <c r="A2536" t="s">
        <v>31</v>
      </c>
      <c r="B2536" t="s">
        <v>13</v>
      </c>
      <c r="C2536" t="s">
        <v>25</v>
      </c>
      <c r="D2536" s="3">
        <v>45601</v>
      </c>
      <c r="E2536" s="2">
        <v>9397</v>
      </c>
    </row>
    <row r="2537" spans="1:5" x14ac:dyDescent="0.3">
      <c r="A2537" t="s">
        <v>24</v>
      </c>
      <c r="B2537" t="s">
        <v>13</v>
      </c>
      <c r="C2537" t="s">
        <v>7</v>
      </c>
      <c r="D2537" s="3">
        <v>45601</v>
      </c>
      <c r="E2537" s="2">
        <v>8154</v>
      </c>
    </row>
    <row r="2538" spans="1:5" x14ac:dyDescent="0.3">
      <c r="A2538" t="s">
        <v>33</v>
      </c>
      <c r="B2538" t="s">
        <v>13</v>
      </c>
      <c r="C2538" t="s">
        <v>17</v>
      </c>
      <c r="D2538" s="3">
        <v>45601</v>
      </c>
      <c r="E2538" s="2">
        <v>4576</v>
      </c>
    </row>
    <row r="2539" spans="1:5" x14ac:dyDescent="0.3">
      <c r="A2539" t="s">
        <v>24</v>
      </c>
      <c r="B2539" t="s">
        <v>13</v>
      </c>
      <c r="C2539" t="s">
        <v>19</v>
      </c>
      <c r="D2539" s="3">
        <v>45602</v>
      </c>
      <c r="E2539" s="2">
        <v>7181</v>
      </c>
    </row>
    <row r="2540" spans="1:5" x14ac:dyDescent="0.3">
      <c r="A2540" t="s">
        <v>5</v>
      </c>
      <c r="B2540" t="s">
        <v>13</v>
      </c>
      <c r="C2540" t="s">
        <v>25</v>
      </c>
      <c r="D2540" s="3">
        <v>45602</v>
      </c>
      <c r="E2540" s="2">
        <v>6196</v>
      </c>
    </row>
    <row r="2541" spans="1:5" x14ac:dyDescent="0.3">
      <c r="A2541" t="s">
        <v>33</v>
      </c>
      <c r="B2541" t="s">
        <v>9</v>
      </c>
      <c r="C2541" t="s">
        <v>12</v>
      </c>
      <c r="D2541" s="3">
        <v>45602</v>
      </c>
      <c r="E2541" s="2">
        <v>4658</v>
      </c>
    </row>
    <row r="2542" spans="1:5" x14ac:dyDescent="0.3">
      <c r="A2542" t="s">
        <v>10</v>
      </c>
      <c r="B2542" t="s">
        <v>6</v>
      </c>
      <c r="C2542" t="s">
        <v>23</v>
      </c>
      <c r="D2542" s="3">
        <v>45603</v>
      </c>
      <c r="E2542" s="2">
        <v>2410</v>
      </c>
    </row>
    <row r="2543" spans="1:5" x14ac:dyDescent="0.3">
      <c r="A2543" t="s">
        <v>22</v>
      </c>
      <c r="B2543" t="s">
        <v>6</v>
      </c>
      <c r="C2543" t="s">
        <v>25</v>
      </c>
      <c r="D2543" s="3">
        <v>45603</v>
      </c>
      <c r="E2543" s="2">
        <v>4711</v>
      </c>
    </row>
    <row r="2544" spans="1:5" x14ac:dyDescent="0.3">
      <c r="A2544" t="s">
        <v>10</v>
      </c>
      <c r="B2544" t="s">
        <v>11</v>
      </c>
      <c r="C2544" t="s">
        <v>7</v>
      </c>
      <c r="D2544" s="3">
        <v>45603</v>
      </c>
      <c r="E2544" s="2">
        <v>10340</v>
      </c>
    </row>
    <row r="2545" spans="1:5" x14ac:dyDescent="0.3">
      <c r="A2545" t="s">
        <v>24</v>
      </c>
      <c r="B2545" t="s">
        <v>11</v>
      </c>
      <c r="C2545" t="s">
        <v>17</v>
      </c>
      <c r="D2545" s="3">
        <v>45603</v>
      </c>
      <c r="E2545" s="2">
        <v>11792</v>
      </c>
    </row>
    <row r="2546" spans="1:5" x14ac:dyDescent="0.3">
      <c r="A2546" t="s">
        <v>5</v>
      </c>
      <c r="B2546" t="s">
        <v>6</v>
      </c>
      <c r="C2546" t="s">
        <v>17</v>
      </c>
      <c r="D2546" s="3">
        <v>45603</v>
      </c>
      <c r="E2546" s="2">
        <v>3253</v>
      </c>
    </row>
    <row r="2547" spans="1:5" x14ac:dyDescent="0.3">
      <c r="A2547" t="s">
        <v>8</v>
      </c>
      <c r="B2547" t="s">
        <v>11</v>
      </c>
      <c r="C2547" t="s">
        <v>12</v>
      </c>
      <c r="D2547" s="3">
        <v>45603</v>
      </c>
      <c r="E2547" s="2">
        <v>4032</v>
      </c>
    </row>
    <row r="2548" spans="1:5" x14ac:dyDescent="0.3">
      <c r="A2548" t="s">
        <v>30</v>
      </c>
      <c r="B2548" t="s">
        <v>21</v>
      </c>
      <c r="C2548" t="s">
        <v>14</v>
      </c>
      <c r="D2548" s="3">
        <v>45604</v>
      </c>
      <c r="E2548" s="2">
        <v>13815</v>
      </c>
    </row>
    <row r="2549" spans="1:5" x14ac:dyDescent="0.3">
      <c r="A2549" t="s">
        <v>27</v>
      </c>
      <c r="B2549" t="s">
        <v>13</v>
      </c>
      <c r="C2549" t="s">
        <v>14</v>
      </c>
      <c r="D2549" s="3">
        <v>45604</v>
      </c>
      <c r="E2549" s="2">
        <v>13291</v>
      </c>
    </row>
    <row r="2550" spans="1:5" x14ac:dyDescent="0.3">
      <c r="A2550" t="s">
        <v>32</v>
      </c>
      <c r="B2550" t="s">
        <v>16</v>
      </c>
      <c r="C2550" t="s">
        <v>25</v>
      </c>
      <c r="D2550" s="3">
        <v>45604</v>
      </c>
      <c r="E2550" s="2">
        <v>4219</v>
      </c>
    </row>
    <row r="2551" spans="1:5" x14ac:dyDescent="0.3">
      <c r="A2551" t="s">
        <v>32</v>
      </c>
      <c r="B2551" t="s">
        <v>9</v>
      </c>
      <c r="C2551" t="s">
        <v>28</v>
      </c>
      <c r="D2551" s="3">
        <v>45604</v>
      </c>
      <c r="E2551" s="2">
        <v>9553</v>
      </c>
    </row>
    <row r="2552" spans="1:5" x14ac:dyDescent="0.3">
      <c r="A2552" t="s">
        <v>33</v>
      </c>
      <c r="B2552" t="s">
        <v>11</v>
      </c>
      <c r="C2552" t="s">
        <v>23</v>
      </c>
      <c r="D2552" s="3">
        <v>45605</v>
      </c>
      <c r="E2552" s="2">
        <v>1730</v>
      </c>
    </row>
    <row r="2553" spans="1:5" x14ac:dyDescent="0.3">
      <c r="A2553" t="s">
        <v>32</v>
      </c>
      <c r="B2553" t="s">
        <v>11</v>
      </c>
      <c r="C2553" t="s">
        <v>12</v>
      </c>
      <c r="D2553" s="3">
        <v>45605</v>
      </c>
      <c r="E2553" s="2">
        <v>4116</v>
      </c>
    </row>
    <row r="2554" spans="1:5" x14ac:dyDescent="0.3">
      <c r="A2554" t="s">
        <v>27</v>
      </c>
      <c r="B2554" t="s">
        <v>13</v>
      </c>
      <c r="C2554" t="s">
        <v>12</v>
      </c>
      <c r="D2554" s="3">
        <v>45605</v>
      </c>
      <c r="E2554" s="2">
        <v>11439</v>
      </c>
    </row>
    <row r="2555" spans="1:5" x14ac:dyDescent="0.3">
      <c r="A2555" t="s">
        <v>15</v>
      </c>
      <c r="B2555" t="s">
        <v>21</v>
      </c>
      <c r="C2555" t="s">
        <v>25</v>
      </c>
      <c r="D2555" s="3">
        <v>45606</v>
      </c>
      <c r="E2555" s="2">
        <v>8932</v>
      </c>
    </row>
    <row r="2556" spans="1:5" x14ac:dyDescent="0.3">
      <c r="A2556" t="s">
        <v>33</v>
      </c>
      <c r="B2556" t="s">
        <v>6</v>
      </c>
      <c r="C2556" t="s">
        <v>25</v>
      </c>
      <c r="D2556" s="3">
        <v>45606</v>
      </c>
      <c r="E2556" s="2">
        <v>13990</v>
      </c>
    </row>
    <row r="2557" spans="1:5" x14ac:dyDescent="0.3">
      <c r="A2557" t="s">
        <v>32</v>
      </c>
      <c r="B2557" t="s">
        <v>13</v>
      </c>
      <c r="C2557" t="s">
        <v>25</v>
      </c>
      <c r="D2557" s="3">
        <v>45606</v>
      </c>
      <c r="E2557" s="2">
        <v>7531</v>
      </c>
    </row>
    <row r="2558" spans="1:5" x14ac:dyDescent="0.3">
      <c r="A2558" t="s">
        <v>32</v>
      </c>
      <c r="B2558" t="s">
        <v>9</v>
      </c>
      <c r="C2558" t="s">
        <v>28</v>
      </c>
      <c r="D2558" s="3">
        <v>45606</v>
      </c>
      <c r="E2558" s="2">
        <v>11144</v>
      </c>
    </row>
    <row r="2559" spans="1:5" x14ac:dyDescent="0.3">
      <c r="A2559" t="s">
        <v>20</v>
      </c>
      <c r="B2559" t="s">
        <v>16</v>
      </c>
      <c r="C2559" t="s">
        <v>17</v>
      </c>
      <c r="D2559" s="3">
        <v>45606</v>
      </c>
      <c r="E2559" s="2">
        <v>2477</v>
      </c>
    </row>
    <row r="2560" spans="1:5" x14ac:dyDescent="0.3">
      <c r="A2560" t="s">
        <v>32</v>
      </c>
      <c r="B2560" t="s">
        <v>6</v>
      </c>
      <c r="C2560" t="s">
        <v>14</v>
      </c>
      <c r="D2560" s="3">
        <v>45607</v>
      </c>
      <c r="E2560" s="2">
        <v>1419</v>
      </c>
    </row>
    <row r="2561" spans="1:5" x14ac:dyDescent="0.3">
      <c r="A2561" t="s">
        <v>26</v>
      </c>
      <c r="B2561" t="s">
        <v>13</v>
      </c>
      <c r="C2561" t="s">
        <v>19</v>
      </c>
      <c r="D2561" s="3">
        <v>45607</v>
      </c>
      <c r="E2561" s="2">
        <v>1541</v>
      </c>
    </row>
    <row r="2562" spans="1:5" x14ac:dyDescent="0.3">
      <c r="A2562" t="s">
        <v>26</v>
      </c>
      <c r="B2562" t="s">
        <v>16</v>
      </c>
      <c r="C2562" t="s">
        <v>28</v>
      </c>
      <c r="D2562" s="3">
        <v>45607</v>
      </c>
      <c r="E2562" s="2">
        <v>2564</v>
      </c>
    </row>
    <row r="2563" spans="1:5" x14ac:dyDescent="0.3">
      <c r="A2563" t="s">
        <v>26</v>
      </c>
      <c r="B2563" t="s">
        <v>9</v>
      </c>
      <c r="C2563" t="s">
        <v>12</v>
      </c>
      <c r="D2563" s="3">
        <v>45607</v>
      </c>
      <c r="E2563" s="2">
        <v>5310</v>
      </c>
    </row>
    <row r="2564" spans="1:5" x14ac:dyDescent="0.3">
      <c r="A2564" t="s">
        <v>5</v>
      </c>
      <c r="B2564" t="s">
        <v>21</v>
      </c>
      <c r="C2564" t="s">
        <v>12</v>
      </c>
      <c r="D2564" s="3">
        <v>45607</v>
      </c>
      <c r="E2564" s="2">
        <v>11169</v>
      </c>
    </row>
    <row r="2565" spans="1:5" x14ac:dyDescent="0.3">
      <c r="A2565" t="s">
        <v>22</v>
      </c>
      <c r="B2565" t="s">
        <v>11</v>
      </c>
      <c r="C2565" t="s">
        <v>12</v>
      </c>
      <c r="D2565" s="3">
        <v>45607</v>
      </c>
      <c r="E2565" s="2">
        <v>7830</v>
      </c>
    </row>
    <row r="2566" spans="1:5" x14ac:dyDescent="0.3">
      <c r="A2566" t="s">
        <v>33</v>
      </c>
      <c r="B2566" t="s">
        <v>9</v>
      </c>
      <c r="C2566" t="s">
        <v>19</v>
      </c>
      <c r="D2566" s="3">
        <v>45608</v>
      </c>
      <c r="E2566" s="2">
        <v>11690</v>
      </c>
    </row>
    <row r="2567" spans="1:5" x14ac:dyDescent="0.3">
      <c r="A2567" t="s">
        <v>29</v>
      </c>
      <c r="B2567" t="s">
        <v>6</v>
      </c>
      <c r="C2567" t="s">
        <v>25</v>
      </c>
      <c r="D2567" s="3">
        <v>45608</v>
      </c>
      <c r="E2567" s="2">
        <v>4666</v>
      </c>
    </row>
    <row r="2568" spans="1:5" x14ac:dyDescent="0.3">
      <c r="A2568" t="s">
        <v>20</v>
      </c>
      <c r="B2568" t="s">
        <v>9</v>
      </c>
      <c r="C2568" t="s">
        <v>7</v>
      </c>
      <c r="D2568" s="3">
        <v>45608</v>
      </c>
      <c r="E2568" s="2">
        <v>8380</v>
      </c>
    </row>
    <row r="2569" spans="1:5" x14ac:dyDescent="0.3">
      <c r="A2569" t="s">
        <v>26</v>
      </c>
      <c r="B2569" t="s">
        <v>21</v>
      </c>
      <c r="C2569" t="s">
        <v>23</v>
      </c>
      <c r="D2569" s="3">
        <v>45609</v>
      </c>
      <c r="E2569" s="2">
        <v>10544</v>
      </c>
    </row>
    <row r="2570" spans="1:5" x14ac:dyDescent="0.3">
      <c r="A2570" t="s">
        <v>24</v>
      </c>
      <c r="B2570" t="s">
        <v>13</v>
      </c>
      <c r="C2570" t="s">
        <v>28</v>
      </c>
      <c r="D2570" s="3">
        <v>45609</v>
      </c>
      <c r="E2570" s="2">
        <v>3510</v>
      </c>
    </row>
    <row r="2571" spans="1:5" x14ac:dyDescent="0.3">
      <c r="A2571" t="s">
        <v>5</v>
      </c>
      <c r="B2571" t="s">
        <v>6</v>
      </c>
      <c r="C2571" t="s">
        <v>17</v>
      </c>
      <c r="D2571" s="3">
        <v>45609</v>
      </c>
      <c r="E2571" s="2">
        <v>11744</v>
      </c>
    </row>
    <row r="2572" spans="1:5" x14ac:dyDescent="0.3">
      <c r="A2572" t="s">
        <v>29</v>
      </c>
      <c r="B2572" t="s">
        <v>6</v>
      </c>
      <c r="C2572" t="s">
        <v>14</v>
      </c>
      <c r="D2572" s="3">
        <v>45610</v>
      </c>
      <c r="E2572" s="2">
        <v>11865</v>
      </c>
    </row>
    <row r="2573" spans="1:5" x14ac:dyDescent="0.3">
      <c r="A2573" t="s">
        <v>31</v>
      </c>
      <c r="B2573" t="s">
        <v>6</v>
      </c>
      <c r="C2573" t="s">
        <v>23</v>
      </c>
      <c r="D2573" s="3">
        <v>45610</v>
      </c>
      <c r="E2573" s="2">
        <v>3110</v>
      </c>
    </row>
    <row r="2574" spans="1:5" x14ac:dyDescent="0.3">
      <c r="A2574" t="s">
        <v>27</v>
      </c>
      <c r="B2574" t="s">
        <v>9</v>
      </c>
      <c r="C2574" t="s">
        <v>7</v>
      </c>
      <c r="D2574" s="3">
        <v>45610</v>
      </c>
      <c r="E2574" s="2">
        <v>1714</v>
      </c>
    </row>
    <row r="2575" spans="1:5" x14ac:dyDescent="0.3">
      <c r="A2575" t="s">
        <v>31</v>
      </c>
      <c r="B2575" t="s">
        <v>21</v>
      </c>
      <c r="C2575" t="s">
        <v>28</v>
      </c>
      <c r="D2575" s="3">
        <v>45610</v>
      </c>
      <c r="E2575" s="2">
        <v>4715</v>
      </c>
    </row>
    <row r="2576" spans="1:5" x14ac:dyDescent="0.3">
      <c r="A2576" t="s">
        <v>22</v>
      </c>
      <c r="B2576" t="s">
        <v>9</v>
      </c>
      <c r="C2576" t="s">
        <v>28</v>
      </c>
      <c r="D2576" s="3">
        <v>45610</v>
      </c>
      <c r="E2576" s="2">
        <v>8845</v>
      </c>
    </row>
    <row r="2577" spans="1:5" x14ac:dyDescent="0.3">
      <c r="A2577" t="s">
        <v>33</v>
      </c>
      <c r="B2577" t="s">
        <v>11</v>
      </c>
      <c r="C2577" t="s">
        <v>17</v>
      </c>
      <c r="D2577" s="3">
        <v>45610</v>
      </c>
      <c r="E2577" s="2">
        <v>8567</v>
      </c>
    </row>
    <row r="2578" spans="1:5" x14ac:dyDescent="0.3">
      <c r="A2578" t="s">
        <v>15</v>
      </c>
      <c r="B2578" t="s">
        <v>9</v>
      </c>
      <c r="C2578" t="s">
        <v>12</v>
      </c>
      <c r="D2578" s="3">
        <v>45610</v>
      </c>
      <c r="E2578" s="2">
        <v>2907</v>
      </c>
    </row>
    <row r="2579" spans="1:5" x14ac:dyDescent="0.3">
      <c r="A2579" t="s">
        <v>20</v>
      </c>
      <c r="B2579" t="s">
        <v>16</v>
      </c>
      <c r="C2579" t="s">
        <v>23</v>
      </c>
      <c r="D2579" s="3">
        <v>45611</v>
      </c>
      <c r="E2579" s="2">
        <v>3736</v>
      </c>
    </row>
    <row r="2580" spans="1:5" x14ac:dyDescent="0.3">
      <c r="A2580" t="s">
        <v>5</v>
      </c>
      <c r="B2580" t="s">
        <v>13</v>
      </c>
      <c r="C2580" t="s">
        <v>25</v>
      </c>
      <c r="D2580" s="3">
        <v>45611</v>
      </c>
      <c r="E2580" s="2">
        <v>7002</v>
      </c>
    </row>
    <row r="2581" spans="1:5" x14ac:dyDescent="0.3">
      <c r="A2581" t="s">
        <v>15</v>
      </c>
      <c r="B2581" t="s">
        <v>11</v>
      </c>
      <c r="C2581" t="s">
        <v>25</v>
      </c>
      <c r="D2581" s="3">
        <v>45611</v>
      </c>
      <c r="E2581" s="2">
        <v>11617</v>
      </c>
    </row>
    <row r="2582" spans="1:5" x14ac:dyDescent="0.3">
      <c r="A2582" t="s">
        <v>8</v>
      </c>
      <c r="B2582" t="s">
        <v>9</v>
      </c>
      <c r="C2582" t="s">
        <v>17</v>
      </c>
      <c r="D2582" s="3">
        <v>45611</v>
      </c>
      <c r="E2582" s="2">
        <v>11826</v>
      </c>
    </row>
    <row r="2583" spans="1:5" x14ac:dyDescent="0.3">
      <c r="A2583" t="s">
        <v>10</v>
      </c>
      <c r="B2583" t="s">
        <v>11</v>
      </c>
      <c r="C2583" t="s">
        <v>12</v>
      </c>
      <c r="D2583" s="3">
        <v>45611</v>
      </c>
      <c r="E2583" s="2">
        <v>9739</v>
      </c>
    </row>
    <row r="2584" spans="1:5" x14ac:dyDescent="0.3">
      <c r="A2584" t="s">
        <v>32</v>
      </c>
      <c r="B2584" t="s">
        <v>21</v>
      </c>
      <c r="C2584" t="s">
        <v>19</v>
      </c>
      <c r="D2584" s="3">
        <v>45612</v>
      </c>
      <c r="E2584" s="2">
        <v>7966</v>
      </c>
    </row>
    <row r="2585" spans="1:5" x14ac:dyDescent="0.3">
      <c r="A2585" t="s">
        <v>10</v>
      </c>
      <c r="B2585" t="s">
        <v>9</v>
      </c>
      <c r="C2585" t="s">
        <v>23</v>
      </c>
      <c r="D2585" s="3">
        <v>45612</v>
      </c>
      <c r="E2585" s="2">
        <v>8501</v>
      </c>
    </row>
    <row r="2586" spans="1:5" x14ac:dyDescent="0.3">
      <c r="A2586" t="s">
        <v>33</v>
      </c>
      <c r="B2586" t="s">
        <v>16</v>
      </c>
      <c r="C2586" t="s">
        <v>19</v>
      </c>
      <c r="D2586" s="3">
        <v>45613</v>
      </c>
      <c r="E2586" s="2">
        <v>2084</v>
      </c>
    </row>
    <row r="2587" spans="1:5" x14ac:dyDescent="0.3">
      <c r="A2587" t="s">
        <v>20</v>
      </c>
      <c r="B2587" t="s">
        <v>16</v>
      </c>
      <c r="C2587" t="s">
        <v>19</v>
      </c>
      <c r="D2587" s="3">
        <v>45613</v>
      </c>
      <c r="E2587" s="2">
        <v>6057</v>
      </c>
    </row>
    <row r="2588" spans="1:5" x14ac:dyDescent="0.3">
      <c r="A2588" t="s">
        <v>30</v>
      </c>
      <c r="B2588" t="s">
        <v>11</v>
      </c>
      <c r="C2588" t="s">
        <v>23</v>
      </c>
      <c r="D2588" s="3">
        <v>45613</v>
      </c>
      <c r="E2588" s="2">
        <v>1274</v>
      </c>
    </row>
    <row r="2589" spans="1:5" x14ac:dyDescent="0.3">
      <c r="A2589" t="s">
        <v>30</v>
      </c>
      <c r="B2589" t="s">
        <v>6</v>
      </c>
      <c r="C2589" t="s">
        <v>7</v>
      </c>
      <c r="D2589" s="3">
        <v>45613</v>
      </c>
      <c r="E2589" s="2">
        <v>5609</v>
      </c>
    </row>
    <row r="2590" spans="1:5" x14ac:dyDescent="0.3">
      <c r="A2590" t="s">
        <v>32</v>
      </c>
      <c r="B2590" t="s">
        <v>11</v>
      </c>
      <c r="C2590" t="s">
        <v>7</v>
      </c>
      <c r="D2590" s="3">
        <v>45613</v>
      </c>
      <c r="E2590" s="2">
        <v>3071</v>
      </c>
    </row>
    <row r="2591" spans="1:5" x14ac:dyDescent="0.3">
      <c r="A2591" t="s">
        <v>30</v>
      </c>
      <c r="B2591" t="s">
        <v>16</v>
      </c>
      <c r="C2591" t="s">
        <v>12</v>
      </c>
      <c r="D2591" s="3">
        <v>45613</v>
      </c>
      <c r="E2591" s="2">
        <v>3564</v>
      </c>
    </row>
    <row r="2592" spans="1:5" x14ac:dyDescent="0.3">
      <c r="A2592" t="s">
        <v>24</v>
      </c>
      <c r="B2592" t="s">
        <v>16</v>
      </c>
      <c r="C2592" t="s">
        <v>28</v>
      </c>
      <c r="D2592" s="3">
        <v>45614</v>
      </c>
      <c r="E2592" s="2">
        <v>5415</v>
      </c>
    </row>
    <row r="2593" spans="1:5" x14ac:dyDescent="0.3">
      <c r="A2593" t="s">
        <v>26</v>
      </c>
      <c r="B2593" t="s">
        <v>9</v>
      </c>
      <c r="C2593" t="s">
        <v>17</v>
      </c>
      <c r="D2593" s="3">
        <v>45614</v>
      </c>
      <c r="E2593" s="2">
        <v>1731</v>
      </c>
    </row>
    <row r="2594" spans="1:5" x14ac:dyDescent="0.3">
      <c r="A2594" t="s">
        <v>18</v>
      </c>
      <c r="B2594" t="s">
        <v>13</v>
      </c>
      <c r="C2594" t="s">
        <v>14</v>
      </c>
      <c r="D2594" s="3">
        <v>45615</v>
      </c>
      <c r="E2594" s="2">
        <v>6373</v>
      </c>
    </row>
    <row r="2595" spans="1:5" x14ac:dyDescent="0.3">
      <c r="A2595" t="s">
        <v>18</v>
      </c>
      <c r="B2595" t="s">
        <v>6</v>
      </c>
      <c r="C2595" t="s">
        <v>14</v>
      </c>
      <c r="D2595" s="3">
        <v>45616</v>
      </c>
      <c r="E2595" s="2">
        <v>13523</v>
      </c>
    </row>
    <row r="2596" spans="1:5" x14ac:dyDescent="0.3">
      <c r="A2596" t="s">
        <v>8</v>
      </c>
      <c r="B2596" t="s">
        <v>6</v>
      </c>
      <c r="C2596" t="s">
        <v>14</v>
      </c>
      <c r="D2596" s="3">
        <v>45616</v>
      </c>
      <c r="E2596" s="2">
        <v>6442</v>
      </c>
    </row>
    <row r="2597" spans="1:5" x14ac:dyDescent="0.3">
      <c r="A2597" t="s">
        <v>27</v>
      </c>
      <c r="B2597" t="s">
        <v>9</v>
      </c>
      <c r="C2597" t="s">
        <v>7</v>
      </c>
      <c r="D2597" s="3">
        <v>45616</v>
      </c>
      <c r="E2597" s="2">
        <v>8256</v>
      </c>
    </row>
    <row r="2598" spans="1:5" x14ac:dyDescent="0.3">
      <c r="A2598" t="s">
        <v>31</v>
      </c>
      <c r="B2598" t="s">
        <v>6</v>
      </c>
      <c r="C2598" t="s">
        <v>12</v>
      </c>
      <c r="D2598" s="3">
        <v>45616</v>
      </c>
      <c r="E2598" s="2">
        <v>9045</v>
      </c>
    </row>
    <row r="2599" spans="1:5" x14ac:dyDescent="0.3">
      <c r="A2599" t="s">
        <v>18</v>
      </c>
      <c r="B2599" t="s">
        <v>16</v>
      </c>
      <c r="C2599" t="s">
        <v>19</v>
      </c>
      <c r="D2599" s="3">
        <v>45617</v>
      </c>
      <c r="E2599" s="2">
        <v>4689</v>
      </c>
    </row>
    <row r="2600" spans="1:5" x14ac:dyDescent="0.3">
      <c r="A2600" t="s">
        <v>22</v>
      </c>
      <c r="B2600" t="s">
        <v>13</v>
      </c>
      <c r="C2600" t="s">
        <v>23</v>
      </c>
      <c r="D2600" s="3">
        <v>45617</v>
      </c>
      <c r="E2600" s="2">
        <v>12009</v>
      </c>
    </row>
    <row r="2601" spans="1:5" x14ac:dyDescent="0.3">
      <c r="A2601" t="s">
        <v>27</v>
      </c>
      <c r="B2601" t="s">
        <v>11</v>
      </c>
      <c r="C2601" t="s">
        <v>23</v>
      </c>
      <c r="D2601" s="3">
        <v>45617</v>
      </c>
      <c r="E2601" s="2">
        <v>13211</v>
      </c>
    </row>
    <row r="2602" spans="1:5" x14ac:dyDescent="0.3">
      <c r="A2602" t="s">
        <v>31</v>
      </c>
      <c r="B2602" t="s">
        <v>13</v>
      </c>
      <c r="C2602" t="s">
        <v>28</v>
      </c>
      <c r="D2602" s="3">
        <v>45617</v>
      </c>
      <c r="E2602" s="2">
        <v>2282</v>
      </c>
    </row>
    <row r="2603" spans="1:5" x14ac:dyDescent="0.3">
      <c r="A2603" t="s">
        <v>8</v>
      </c>
      <c r="B2603" t="s">
        <v>11</v>
      </c>
      <c r="C2603" t="s">
        <v>17</v>
      </c>
      <c r="D2603" s="3">
        <v>45617</v>
      </c>
      <c r="E2603" s="2">
        <v>11855</v>
      </c>
    </row>
    <row r="2604" spans="1:5" x14ac:dyDescent="0.3">
      <c r="A2604" t="s">
        <v>27</v>
      </c>
      <c r="B2604" t="s">
        <v>13</v>
      </c>
      <c r="C2604" t="s">
        <v>12</v>
      </c>
      <c r="D2604" s="3">
        <v>45617</v>
      </c>
      <c r="E2604" s="2">
        <v>2645</v>
      </c>
    </row>
    <row r="2605" spans="1:5" x14ac:dyDescent="0.3">
      <c r="A2605" t="s">
        <v>10</v>
      </c>
      <c r="B2605" t="s">
        <v>9</v>
      </c>
      <c r="C2605" t="s">
        <v>19</v>
      </c>
      <c r="D2605" s="3">
        <v>45618</v>
      </c>
      <c r="E2605" s="2">
        <v>1007</v>
      </c>
    </row>
    <row r="2606" spans="1:5" x14ac:dyDescent="0.3">
      <c r="A2606" t="s">
        <v>18</v>
      </c>
      <c r="B2606" t="s">
        <v>21</v>
      </c>
      <c r="C2606" t="s">
        <v>25</v>
      </c>
      <c r="D2606" s="3">
        <v>45618</v>
      </c>
      <c r="E2606" s="2">
        <v>10328</v>
      </c>
    </row>
    <row r="2607" spans="1:5" x14ac:dyDescent="0.3">
      <c r="A2607" t="s">
        <v>18</v>
      </c>
      <c r="B2607" t="s">
        <v>13</v>
      </c>
      <c r="C2607" t="s">
        <v>7</v>
      </c>
      <c r="D2607" s="3">
        <v>45618</v>
      </c>
      <c r="E2607" s="2">
        <v>5474</v>
      </c>
    </row>
    <row r="2608" spans="1:5" x14ac:dyDescent="0.3">
      <c r="A2608" t="s">
        <v>26</v>
      </c>
      <c r="B2608" t="s">
        <v>16</v>
      </c>
      <c r="C2608" t="s">
        <v>28</v>
      </c>
      <c r="D2608" s="3">
        <v>45619</v>
      </c>
      <c r="E2608" s="2">
        <v>5413</v>
      </c>
    </row>
    <row r="2609" spans="1:5" x14ac:dyDescent="0.3">
      <c r="A2609" t="s">
        <v>8</v>
      </c>
      <c r="B2609" t="s">
        <v>9</v>
      </c>
      <c r="C2609" t="s">
        <v>12</v>
      </c>
      <c r="D2609" s="3">
        <v>45619</v>
      </c>
      <c r="E2609" s="2">
        <v>10497</v>
      </c>
    </row>
    <row r="2610" spans="1:5" x14ac:dyDescent="0.3">
      <c r="A2610" t="s">
        <v>32</v>
      </c>
      <c r="B2610" t="s">
        <v>11</v>
      </c>
      <c r="C2610" t="s">
        <v>12</v>
      </c>
      <c r="D2610" s="3">
        <v>45619</v>
      </c>
      <c r="E2610" s="2">
        <v>1579</v>
      </c>
    </row>
    <row r="2611" spans="1:5" x14ac:dyDescent="0.3">
      <c r="A2611" t="s">
        <v>32</v>
      </c>
      <c r="B2611" t="s">
        <v>6</v>
      </c>
      <c r="C2611" t="s">
        <v>14</v>
      </c>
      <c r="D2611" s="3">
        <v>45620</v>
      </c>
      <c r="E2611" s="2">
        <v>11621</v>
      </c>
    </row>
    <row r="2612" spans="1:5" x14ac:dyDescent="0.3">
      <c r="A2612" t="s">
        <v>15</v>
      </c>
      <c r="B2612" t="s">
        <v>6</v>
      </c>
      <c r="C2612" t="s">
        <v>23</v>
      </c>
      <c r="D2612" s="3">
        <v>45620</v>
      </c>
      <c r="E2612" s="2">
        <v>3768</v>
      </c>
    </row>
    <row r="2613" spans="1:5" x14ac:dyDescent="0.3">
      <c r="A2613" t="s">
        <v>29</v>
      </c>
      <c r="B2613" t="s">
        <v>11</v>
      </c>
      <c r="C2613" t="s">
        <v>17</v>
      </c>
      <c r="D2613" s="3">
        <v>45620</v>
      </c>
      <c r="E2613" s="2">
        <v>5627</v>
      </c>
    </row>
    <row r="2614" spans="1:5" x14ac:dyDescent="0.3">
      <c r="A2614" t="s">
        <v>22</v>
      </c>
      <c r="B2614" t="s">
        <v>21</v>
      </c>
      <c r="C2614" t="s">
        <v>19</v>
      </c>
      <c r="D2614" s="3">
        <v>45621</v>
      </c>
      <c r="E2614" s="2">
        <v>13324</v>
      </c>
    </row>
    <row r="2615" spans="1:5" x14ac:dyDescent="0.3">
      <c r="A2615" t="s">
        <v>31</v>
      </c>
      <c r="B2615" t="s">
        <v>16</v>
      </c>
      <c r="C2615" t="s">
        <v>19</v>
      </c>
      <c r="D2615" s="3">
        <v>45621</v>
      </c>
      <c r="E2615" s="2">
        <v>4162</v>
      </c>
    </row>
    <row r="2616" spans="1:5" x14ac:dyDescent="0.3">
      <c r="A2616" t="s">
        <v>5</v>
      </c>
      <c r="B2616" t="s">
        <v>21</v>
      </c>
      <c r="C2616" t="s">
        <v>23</v>
      </c>
      <c r="D2616" s="3">
        <v>45621</v>
      </c>
      <c r="E2616" s="2">
        <v>5928</v>
      </c>
    </row>
    <row r="2617" spans="1:5" x14ac:dyDescent="0.3">
      <c r="A2617" t="s">
        <v>18</v>
      </c>
      <c r="B2617" t="s">
        <v>9</v>
      </c>
      <c r="C2617" t="s">
        <v>7</v>
      </c>
      <c r="D2617" s="3">
        <v>45621</v>
      </c>
      <c r="E2617" s="2">
        <v>9513</v>
      </c>
    </row>
    <row r="2618" spans="1:5" x14ac:dyDescent="0.3">
      <c r="A2618" t="s">
        <v>5</v>
      </c>
      <c r="B2618" t="s">
        <v>13</v>
      </c>
      <c r="C2618" t="s">
        <v>7</v>
      </c>
      <c r="D2618" s="3">
        <v>45621</v>
      </c>
      <c r="E2618" s="2">
        <v>4725</v>
      </c>
    </row>
    <row r="2619" spans="1:5" x14ac:dyDescent="0.3">
      <c r="A2619" t="s">
        <v>30</v>
      </c>
      <c r="B2619" t="s">
        <v>16</v>
      </c>
      <c r="C2619" t="s">
        <v>7</v>
      </c>
      <c r="D2619" s="3">
        <v>45621</v>
      </c>
      <c r="E2619" s="2">
        <v>5279</v>
      </c>
    </row>
    <row r="2620" spans="1:5" x14ac:dyDescent="0.3">
      <c r="A2620" t="s">
        <v>22</v>
      </c>
      <c r="B2620" t="s">
        <v>11</v>
      </c>
      <c r="C2620" t="s">
        <v>12</v>
      </c>
      <c r="D2620" s="3">
        <v>45621</v>
      </c>
      <c r="E2620" s="2">
        <v>13624</v>
      </c>
    </row>
    <row r="2621" spans="1:5" x14ac:dyDescent="0.3">
      <c r="A2621" t="s">
        <v>31</v>
      </c>
      <c r="B2621" t="s">
        <v>9</v>
      </c>
      <c r="C2621" t="s">
        <v>28</v>
      </c>
      <c r="D2621" s="3">
        <v>45622</v>
      </c>
      <c r="E2621" s="2">
        <v>9019</v>
      </c>
    </row>
    <row r="2622" spans="1:5" x14ac:dyDescent="0.3">
      <c r="A2622" t="s">
        <v>32</v>
      </c>
      <c r="B2622" t="s">
        <v>6</v>
      </c>
      <c r="C2622" t="s">
        <v>17</v>
      </c>
      <c r="D2622" s="3">
        <v>45622</v>
      </c>
      <c r="E2622" s="2">
        <v>4996</v>
      </c>
    </row>
    <row r="2623" spans="1:5" x14ac:dyDescent="0.3">
      <c r="A2623" t="s">
        <v>31</v>
      </c>
      <c r="B2623" t="s">
        <v>6</v>
      </c>
      <c r="C2623" t="s">
        <v>14</v>
      </c>
      <c r="D2623" s="3">
        <v>45623</v>
      </c>
      <c r="E2623" s="2">
        <v>13309</v>
      </c>
    </row>
    <row r="2624" spans="1:5" x14ac:dyDescent="0.3">
      <c r="A2624" t="s">
        <v>30</v>
      </c>
      <c r="B2624" t="s">
        <v>9</v>
      </c>
      <c r="C2624" t="s">
        <v>17</v>
      </c>
      <c r="D2624" s="3">
        <v>45623</v>
      </c>
      <c r="E2624" s="2">
        <v>2274</v>
      </c>
    </row>
    <row r="2625" spans="1:5" x14ac:dyDescent="0.3">
      <c r="A2625" t="s">
        <v>33</v>
      </c>
      <c r="B2625" t="s">
        <v>6</v>
      </c>
      <c r="C2625" t="s">
        <v>14</v>
      </c>
      <c r="D2625" s="3">
        <v>45624</v>
      </c>
      <c r="E2625" s="2">
        <v>6086</v>
      </c>
    </row>
    <row r="2626" spans="1:5" x14ac:dyDescent="0.3">
      <c r="A2626" t="s">
        <v>27</v>
      </c>
      <c r="B2626" t="s">
        <v>16</v>
      </c>
      <c r="C2626" t="s">
        <v>14</v>
      </c>
      <c r="D2626" s="3">
        <v>45624</v>
      </c>
      <c r="E2626" s="2">
        <v>1524</v>
      </c>
    </row>
    <row r="2627" spans="1:5" x14ac:dyDescent="0.3">
      <c r="A2627" t="s">
        <v>5</v>
      </c>
      <c r="B2627" t="s">
        <v>16</v>
      </c>
      <c r="C2627" t="s">
        <v>19</v>
      </c>
      <c r="D2627" s="3">
        <v>45624</v>
      </c>
      <c r="E2627" s="2">
        <v>3404</v>
      </c>
    </row>
    <row r="2628" spans="1:5" x14ac:dyDescent="0.3">
      <c r="A2628" t="s">
        <v>26</v>
      </c>
      <c r="B2628" t="s">
        <v>9</v>
      </c>
      <c r="C2628" t="s">
        <v>19</v>
      </c>
      <c r="D2628" s="3">
        <v>45624</v>
      </c>
      <c r="E2628" s="2">
        <v>13157</v>
      </c>
    </row>
    <row r="2629" spans="1:5" x14ac:dyDescent="0.3">
      <c r="A2629" t="s">
        <v>32</v>
      </c>
      <c r="B2629" t="s">
        <v>11</v>
      </c>
      <c r="C2629" t="s">
        <v>7</v>
      </c>
      <c r="D2629" s="3">
        <v>45624</v>
      </c>
      <c r="E2629" s="2">
        <v>12882</v>
      </c>
    </row>
    <row r="2630" spans="1:5" x14ac:dyDescent="0.3">
      <c r="A2630" t="s">
        <v>30</v>
      </c>
      <c r="B2630" t="s">
        <v>11</v>
      </c>
      <c r="C2630" t="s">
        <v>7</v>
      </c>
      <c r="D2630" s="3">
        <v>45624</v>
      </c>
      <c r="E2630" s="2">
        <v>5482</v>
      </c>
    </row>
    <row r="2631" spans="1:5" x14ac:dyDescent="0.3">
      <c r="A2631" t="s">
        <v>30</v>
      </c>
      <c r="B2631" t="s">
        <v>11</v>
      </c>
      <c r="C2631" t="s">
        <v>28</v>
      </c>
      <c r="D2631" s="3">
        <v>45624</v>
      </c>
      <c r="E2631" s="2">
        <v>10011</v>
      </c>
    </row>
    <row r="2632" spans="1:5" x14ac:dyDescent="0.3">
      <c r="A2632" t="s">
        <v>30</v>
      </c>
      <c r="B2632" t="s">
        <v>21</v>
      </c>
      <c r="C2632" t="s">
        <v>23</v>
      </c>
      <c r="D2632" s="3">
        <v>45626</v>
      </c>
      <c r="E2632" s="2">
        <v>8918</v>
      </c>
    </row>
    <row r="2633" spans="1:5" x14ac:dyDescent="0.3">
      <c r="A2633" t="s">
        <v>18</v>
      </c>
      <c r="B2633" t="s">
        <v>21</v>
      </c>
      <c r="C2633" t="s">
        <v>7</v>
      </c>
      <c r="D2633" s="3">
        <v>45626</v>
      </c>
      <c r="E2633" s="2">
        <v>4964</v>
      </c>
    </row>
    <row r="2634" spans="1:5" x14ac:dyDescent="0.3">
      <c r="A2634" t="s">
        <v>10</v>
      </c>
      <c r="B2634" t="s">
        <v>16</v>
      </c>
      <c r="C2634" t="s">
        <v>7</v>
      </c>
      <c r="D2634" s="3">
        <v>45627</v>
      </c>
      <c r="E2634" s="2">
        <v>8821</v>
      </c>
    </row>
    <row r="2635" spans="1:5" x14ac:dyDescent="0.3">
      <c r="A2635" t="s">
        <v>26</v>
      </c>
      <c r="B2635" t="s">
        <v>21</v>
      </c>
      <c r="C2635" t="s">
        <v>28</v>
      </c>
      <c r="D2635" s="3">
        <v>45627</v>
      </c>
      <c r="E2635" s="2">
        <v>8721</v>
      </c>
    </row>
    <row r="2636" spans="1:5" x14ac:dyDescent="0.3">
      <c r="A2636" t="s">
        <v>20</v>
      </c>
      <c r="B2636" t="s">
        <v>21</v>
      </c>
      <c r="C2636" t="s">
        <v>14</v>
      </c>
      <c r="D2636" s="3">
        <v>45628</v>
      </c>
      <c r="E2636" s="2">
        <v>9216</v>
      </c>
    </row>
    <row r="2637" spans="1:5" x14ac:dyDescent="0.3">
      <c r="A2637" t="s">
        <v>30</v>
      </c>
      <c r="B2637" t="s">
        <v>21</v>
      </c>
      <c r="C2637" t="s">
        <v>19</v>
      </c>
      <c r="D2637" s="3">
        <v>45628</v>
      </c>
      <c r="E2637" s="2">
        <v>8519</v>
      </c>
    </row>
    <row r="2638" spans="1:5" x14ac:dyDescent="0.3">
      <c r="A2638" t="s">
        <v>29</v>
      </c>
      <c r="B2638" t="s">
        <v>6</v>
      </c>
      <c r="C2638" t="s">
        <v>23</v>
      </c>
      <c r="D2638" s="3">
        <v>45628</v>
      </c>
      <c r="E2638" s="2">
        <v>1832</v>
      </c>
    </row>
    <row r="2639" spans="1:5" x14ac:dyDescent="0.3">
      <c r="A2639" t="s">
        <v>5</v>
      </c>
      <c r="B2639" t="s">
        <v>6</v>
      </c>
      <c r="C2639" t="s">
        <v>23</v>
      </c>
      <c r="D2639" s="3">
        <v>45628</v>
      </c>
      <c r="E2639" s="2">
        <v>8811</v>
      </c>
    </row>
    <row r="2640" spans="1:5" x14ac:dyDescent="0.3">
      <c r="A2640" t="s">
        <v>20</v>
      </c>
      <c r="B2640" t="s">
        <v>16</v>
      </c>
      <c r="C2640" t="s">
        <v>7</v>
      </c>
      <c r="D2640" s="3">
        <v>45628</v>
      </c>
      <c r="E2640" s="2">
        <v>11655</v>
      </c>
    </row>
    <row r="2641" spans="1:5" x14ac:dyDescent="0.3">
      <c r="A2641" t="s">
        <v>18</v>
      </c>
      <c r="B2641" t="s">
        <v>6</v>
      </c>
      <c r="C2641" t="s">
        <v>12</v>
      </c>
      <c r="D2641" s="3">
        <v>45628</v>
      </c>
      <c r="E2641" s="2">
        <v>12418</v>
      </c>
    </row>
    <row r="2642" spans="1:5" x14ac:dyDescent="0.3">
      <c r="A2642" t="s">
        <v>8</v>
      </c>
      <c r="B2642" t="s">
        <v>11</v>
      </c>
      <c r="C2642" t="s">
        <v>25</v>
      </c>
      <c r="D2642" s="3">
        <v>45629</v>
      </c>
      <c r="E2642" s="2">
        <v>5539</v>
      </c>
    </row>
    <row r="2643" spans="1:5" x14ac:dyDescent="0.3">
      <c r="A2643" t="s">
        <v>31</v>
      </c>
      <c r="B2643" t="s">
        <v>13</v>
      </c>
      <c r="C2643" t="s">
        <v>25</v>
      </c>
      <c r="D2643" s="3">
        <v>45630</v>
      </c>
      <c r="E2643" s="2">
        <v>11313</v>
      </c>
    </row>
    <row r="2644" spans="1:5" x14ac:dyDescent="0.3">
      <c r="A2644" t="s">
        <v>24</v>
      </c>
      <c r="B2644" t="s">
        <v>6</v>
      </c>
      <c r="C2644" t="s">
        <v>25</v>
      </c>
      <c r="D2644" s="3">
        <v>45630</v>
      </c>
      <c r="E2644" s="2">
        <v>2154</v>
      </c>
    </row>
    <row r="2645" spans="1:5" x14ac:dyDescent="0.3">
      <c r="A2645" t="s">
        <v>31</v>
      </c>
      <c r="B2645" t="s">
        <v>6</v>
      </c>
      <c r="C2645" t="s">
        <v>7</v>
      </c>
      <c r="D2645" s="3">
        <v>45630</v>
      </c>
      <c r="E2645" s="2">
        <v>4599</v>
      </c>
    </row>
    <row r="2646" spans="1:5" x14ac:dyDescent="0.3">
      <c r="A2646" t="s">
        <v>31</v>
      </c>
      <c r="B2646" t="s">
        <v>16</v>
      </c>
      <c r="C2646" t="s">
        <v>7</v>
      </c>
      <c r="D2646" s="3">
        <v>45630</v>
      </c>
      <c r="E2646" s="2">
        <v>5260</v>
      </c>
    </row>
    <row r="2647" spans="1:5" x14ac:dyDescent="0.3">
      <c r="A2647" t="s">
        <v>26</v>
      </c>
      <c r="B2647" t="s">
        <v>9</v>
      </c>
      <c r="C2647" t="s">
        <v>28</v>
      </c>
      <c r="D2647" s="3">
        <v>45630</v>
      </c>
      <c r="E2647" s="2">
        <v>4654</v>
      </c>
    </row>
    <row r="2648" spans="1:5" x14ac:dyDescent="0.3">
      <c r="A2648" t="s">
        <v>18</v>
      </c>
      <c r="B2648" t="s">
        <v>9</v>
      </c>
      <c r="C2648" t="s">
        <v>12</v>
      </c>
      <c r="D2648" s="3">
        <v>45630</v>
      </c>
      <c r="E2648" s="2">
        <v>2209</v>
      </c>
    </row>
    <row r="2649" spans="1:5" x14ac:dyDescent="0.3">
      <c r="A2649" t="s">
        <v>20</v>
      </c>
      <c r="B2649" t="s">
        <v>11</v>
      </c>
      <c r="C2649" t="s">
        <v>14</v>
      </c>
      <c r="D2649" s="3">
        <v>45631</v>
      </c>
      <c r="E2649" s="2">
        <v>6305</v>
      </c>
    </row>
    <row r="2650" spans="1:5" x14ac:dyDescent="0.3">
      <c r="A2650" t="s">
        <v>30</v>
      </c>
      <c r="B2650" t="s">
        <v>16</v>
      </c>
      <c r="C2650" t="s">
        <v>17</v>
      </c>
      <c r="D2650" s="3">
        <v>45631</v>
      </c>
      <c r="E2650" s="2">
        <v>11702</v>
      </c>
    </row>
    <row r="2651" spans="1:5" x14ac:dyDescent="0.3">
      <c r="A2651" t="s">
        <v>24</v>
      </c>
      <c r="B2651" t="s">
        <v>13</v>
      </c>
      <c r="C2651" t="s">
        <v>12</v>
      </c>
      <c r="D2651" s="3">
        <v>45631</v>
      </c>
      <c r="E2651" s="2">
        <v>8976</v>
      </c>
    </row>
    <row r="2652" spans="1:5" x14ac:dyDescent="0.3">
      <c r="A2652" t="s">
        <v>8</v>
      </c>
      <c r="B2652" t="s">
        <v>13</v>
      </c>
      <c r="C2652" t="s">
        <v>28</v>
      </c>
      <c r="D2652" s="3">
        <v>45632</v>
      </c>
      <c r="E2652" s="2">
        <v>10198</v>
      </c>
    </row>
    <row r="2653" spans="1:5" x14ac:dyDescent="0.3">
      <c r="A2653" t="s">
        <v>26</v>
      </c>
      <c r="B2653" t="s">
        <v>16</v>
      </c>
      <c r="C2653" t="s">
        <v>17</v>
      </c>
      <c r="D2653" s="3">
        <v>45632</v>
      </c>
      <c r="E2653" s="2">
        <v>5727</v>
      </c>
    </row>
    <row r="2654" spans="1:5" x14ac:dyDescent="0.3">
      <c r="A2654" t="s">
        <v>24</v>
      </c>
      <c r="B2654" t="s">
        <v>13</v>
      </c>
      <c r="C2654" t="s">
        <v>7</v>
      </c>
      <c r="D2654" s="3">
        <v>45633</v>
      </c>
      <c r="E2654" s="2">
        <v>8400</v>
      </c>
    </row>
    <row r="2655" spans="1:5" x14ac:dyDescent="0.3">
      <c r="A2655" t="s">
        <v>26</v>
      </c>
      <c r="B2655" t="s">
        <v>9</v>
      </c>
      <c r="C2655" t="s">
        <v>28</v>
      </c>
      <c r="D2655" s="3">
        <v>45633</v>
      </c>
      <c r="E2655" s="2">
        <v>6415</v>
      </c>
    </row>
    <row r="2656" spans="1:5" x14ac:dyDescent="0.3">
      <c r="A2656" t="s">
        <v>5</v>
      </c>
      <c r="B2656" t="s">
        <v>9</v>
      </c>
      <c r="C2656" t="s">
        <v>17</v>
      </c>
      <c r="D2656" s="3">
        <v>45633</v>
      </c>
      <c r="E2656" s="2">
        <v>8560</v>
      </c>
    </row>
    <row r="2657" spans="1:5" x14ac:dyDescent="0.3">
      <c r="A2657" t="s">
        <v>27</v>
      </c>
      <c r="B2657" t="s">
        <v>16</v>
      </c>
      <c r="C2657" t="s">
        <v>25</v>
      </c>
      <c r="D2657" s="3">
        <v>45634</v>
      </c>
      <c r="E2657" s="2">
        <v>7340</v>
      </c>
    </row>
    <row r="2658" spans="1:5" x14ac:dyDescent="0.3">
      <c r="A2658" t="s">
        <v>31</v>
      </c>
      <c r="B2658" t="s">
        <v>6</v>
      </c>
      <c r="C2658" t="s">
        <v>7</v>
      </c>
      <c r="D2658" s="3">
        <v>45634</v>
      </c>
      <c r="E2658" s="2">
        <v>12914</v>
      </c>
    </row>
    <row r="2659" spans="1:5" x14ac:dyDescent="0.3">
      <c r="A2659" t="s">
        <v>10</v>
      </c>
      <c r="B2659" t="s">
        <v>9</v>
      </c>
      <c r="C2659" t="s">
        <v>23</v>
      </c>
      <c r="D2659" s="3">
        <v>45635</v>
      </c>
      <c r="E2659" s="2">
        <v>2895</v>
      </c>
    </row>
    <row r="2660" spans="1:5" x14ac:dyDescent="0.3">
      <c r="A2660" t="s">
        <v>18</v>
      </c>
      <c r="B2660" t="s">
        <v>21</v>
      </c>
      <c r="C2660" t="s">
        <v>7</v>
      </c>
      <c r="D2660" s="3">
        <v>45635</v>
      </c>
      <c r="E2660" s="2">
        <v>9500</v>
      </c>
    </row>
    <row r="2661" spans="1:5" x14ac:dyDescent="0.3">
      <c r="A2661" t="s">
        <v>24</v>
      </c>
      <c r="B2661" t="s">
        <v>9</v>
      </c>
      <c r="C2661" t="s">
        <v>17</v>
      </c>
      <c r="D2661" s="3">
        <v>45635</v>
      </c>
      <c r="E2661" s="2">
        <v>13929</v>
      </c>
    </row>
    <row r="2662" spans="1:5" x14ac:dyDescent="0.3">
      <c r="A2662" t="s">
        <v>27</v>
      </c>
      <c r="B2662" t="s">
        <v>16</v>
      </c>
      <c r="C2662" t="s">
        <v>19</v>
      </c>
      <c r="D2662" s="3">
        <v>45636</v>
      </c>
      <c r="E2662" s="2">
        <v>10043</v>
      </c>
    </row>
    <row r="2663" spans="1:5" x14ac:dyDescent="0.3">
      <c r="A2663" t="s">
        <v>22</v>
      </c>
      <c r="B2663" t="s">
        <v>13</v>
      </c>
      <c r="C2663" t="s">
        <v>23</v>
      </c>
      <c r="D2663" s="3">
        <v>45636</v>
      </c>
      <c r="E2663" s="2">
        <v>9831</v>
      </c>
    </row>
    <row r="2664" spans="1:5" x14ac:dyDescent="0.3">
      <c r="A2664" t="s">
        <v>26</v>
      </c>
      <c r="B2664" t="s">
        <v>11</v>
      </c>
      <c r="C2664" t="s">
        <v>25</v>
      </c>
      <c r="D2664" s="3">
        <v>45636</v>
      </c>
      <c r="E2664" s="2">
        <v>12601</v>
      </c>
    </row>
    <row r="2665" spans="1:5" x14ac:dyDescent="0.3">
      <c r="A2665" t="s">
        <v>8</v>
      </c>
      <c r="B2665" t="s">
        <v>21</v>
      </c>
      <c r="C2665" t="s">
        <v>7</v>
      </c>
      <c r="D2665" s="3">
        <v>45636</v>
      </c>
      <c r="E2665" s="2">
        <v>3115</v>
      </c>
    </row>
    <row r="2666" spans="1:5" x14ac:dyDescent="0.3">
      <c r="A2666" t="s">
        <v>26</v>
      </c>
      <c r="B2666" t="s">
        <v>11</v>
      </c>
      <c r="C2666" t="s">
        <v>14</v>
      </c>
      <c r="D2666" s="3">
        <v>45637</v>
      </c>
      <c r="E2666" s="2">
        <v>8844</v>
      </c>
    </row>
    <row r="2667" spans="1:5" x14ac:dyDescent="0.3">
      <c r="A2667" t="s">
        <v>29</v>
      </c>
      <c r="B2667" t="s">
        <v>11</v>
      </c>
      <c r="C2667" t="s">
        <v>23</v>
      </c>
      <c r="D2667" s="3">
        <v>45637</v>
      </c>
      <c r="E2667" s="2">
        <v>13361</v>
      </c>
    </row>
    <row r="2668" spans="1:5" x14ac:dyDescent="0.3">
      <c r="A2668" t="s">
        <v>32</v>
      </c>
      <c r="B2668" t="s">
        <v>9</v>
      </c>
      <c r="C2668" t="s">
        <v>28</v>
      </c>
      <c r="D2668" s="3">
        <v>45637</v>
      </c>
      <c r="E2668" s="2">
        <v>5333</v>
      </c>
    </row>
    <row r="2669" spans="1:5" x14ac:dyDescent="0.3">
      <c r="A2669" t="s">
        <v>8</v>
      </c>
      <c r="B2669" t="s">
        <v>11</v>
      </c>
      <c r="C2669" t="s">
        <v>12</v>
      </c>
      <c r="D2669" s="3">
        <v>45637</v>
      </c>
      <c r="E2669" s="2">
        <v>7292</v>
      </c>
    </row>
    <row r="2670" spans="1:5" x14ac:dyDescent="0.3">
      <c r="A2670" t="s">
        <v>5</v>
      </c>
      <c r="B2670" t="s">
        <v>6</v>
      </c>
      <c r="C2670" t="s">
        <v>12</v>
      </c>
      <c r="D2670" s="3">
        <v>45637</v>
      </c>
      <c r="E2670" s="2">
        <v>5955</v>
      </c>
    </row>
    <row r="2671" spans="1:5" x14ac:dyDescent="0.3">
      <c r="A2671" t="s">
        <v>30</v>
      </c>
      <c r="B2671" t="s">
        <v>13</v>
      </c>
      <c r="C2671" t="s">
        <v>19</v>
      </c>
      <c r="D2671" s="3">
        <v>45638</v>
      </c>
      <c r="E2671" s="2">
        <v>4421</v>
      </c>
    </row>
    <row r="2672" spans="1:5" x14ac:dyDescent="0.3">
      <c r="A2672" t="s">
        <v>27</v>
      </c>
      <c r="B2672" t="s">
        <v>9</v>
      </c>
      <c r="C2672" t="s">
        <v>23</v>
      </c>
      <c r="D2672" s="3">
        <v>45638</v>
      </c>
      <c r="E2672" s="2">
        <v>5785</v>
      </c>
    </row>
    <row r="2673" spans="1:5" x14ac:dyDescent="0.3">
      <c r="A2673" t="s">
        <v>29</v>
      </c>
      <c r="B2673" t="s">
        <v>16</v>
      </c>
      <c r="C2673" t="s">
        <v>17</v>
      </c>
      <c r="D2673" s="3">
        <v>45638</v>
      </c>
      <c r="E2673" s="2">
        <v>7831</v>
      </c>
    </row>
    <row r="2674" spans="1:5" x14ac:dyDescent="0.3">
      <c r="A2674" t="s">
        <v>27</v>
      </c>
      <c r="B2674" t="s">
        <v>6</v>
      </c>
      <c r="C2674" t="s">
        <v>12</v>
      </c>
      <c r="D2674" s="3">
        <v>45638</v>
      </c>
      <c r="E2674" s="2">
        <v>12629</v>
      </c>
    </row>
    <row r="2675" spans="1:5" x14ac:dyDescent="0.3">
      <c r="A2675" t="s">
        <v>32</v>
      </c>
      <c r="B2675" t="s">
        <v>11</v>
      </c>
      <c r="C2675" t="s">
        <v>14</v>
      </c>
      <c r="D2675" s="3">
        <v>45639</v>
      </c>
      <c r="E2675" s="2">
        <v>13918</v>
      </c>
    </row>
    <row r="2676" spans="1:5" x14ac:dyDescent="0.3">
      <c r="A2676" t="s">
        <v>29</v>
      </c>
      <c r="B2676" t="s">
        <v>6</v>
      </c>
      <c r="C2676" t="s">
        <v>7</v>
      </c>
      <c r="D2676" s="3">
        <v>45639</v>
      </c>
      <c r="E2676" s="2">
        <v>1167</v>
      </c>
    </row>
    <row r="2677" spans="1:5" x14ac:dyDescent="0.3">
      <c r="A2677" t="s">
        <v>22</v>
      </c>
      <c r="B2677" t="s">
        <v>21</v>
      </c>
      <c r="C2677" t="s">
        <v>17</v>
      </c>
      <c r="D2677" s="3">
        <v>45639</v>
      </c>
      <c r="E2677" s="2">
        <v>3878</v>
      </c>
    </row>
    <row r="2678" spans="1:5" x14ac:dyDescent="0.3">
      <c r="A2678" t="s">
        <v>27</v>
      </c>
      <c r="B2678" t="s">
        <v>9</v>
      </c>
      <c r="C2678" t="s">
        <v>17</v>
      </c>
      <c r="D2678" s="3">
        <v>45639</v>
      </c>
      <c r="E2678" s="2">
        <v>7696</v>
      </c>
    </row>
    <row r="2679" spans="1:5" x14ac:dyDescent="0.3">
      <c r="A2679" t="s">
        <v>24</v>
      </c>
      <c r="B2679" t="s">
        <v>6</v>
      </c>
      <c r="C2679" t="s">
        <v>12</v>
      </c>
      <c r="D2679" s="3">
        <v>45639</v>
      </c>
      <c r="E2679" s="2">
        <v>3763</v>
      </c>
    </row>
    <row r="2680" spans="1:5" x14ac:dyDescent="0.3">
      <c r="A2680" t="s">
        <v>5</v>
      </c>
      <c r="B2680" t="s">
        <v>9</v>
      </c>
      <c r="C2680" t="s">
        <v>19</v>
      </c>
      <c r="D2680" s="3">
        <v>45640</v>
      </c>
      <c r="E2680" s="2">
        <v>10059</v>
      </c>
    </row>
    <row r="2681" spans="1:5" x14ac:dyDescent="0.3">
      <c r="A2681" t="s">
        <v>30</v>
      </c>
      <c r="B2681" t="s">
        <v>6</v>
      </c>
      <c r="C2681" t="s">
        <v>19</v>
      </c>
      <c r="D2681" s="3">
        <v>45640</v>
      </c>
      <c r="E2681" s="2">
        <v>13304</v>
      </c>
    </row>
    <row r="2682" spans="1:5" x14ac:dyDescent="0.3">
      <c r="A2682" t="s">
        <v>29</v>
      </c>
      <c r="B2682" t="s">
        <v>16</v>
      </c>
      <c r="C2682" t="s">
        <v>28</v>
      </c>
      <c r="D2682" s="3">
        <v>45640</v>
      </c>
      <c r="E2682" s="2">
        <v>2571</v>
      </c>
    </row>
    <row r="2683" spans="1:5" x14ac:dyDescent="0.3">
      <c r="A2683" t="s">
        <v>20</v>
      </c>
      <c r="B2683" t="s">
        <v>11</v>
      </c>
      <c r="C2683" t="s">
        <v>17</v>
      </c>
      <c r="D2683" s="3">
        <v>45640</v>
      </c>
      <c r="E2683" s="2">
        <v>8532</v>
      </c>
    </row>
    <row r="2684" spans="1:5" x14ac:dyDescent="0.3">
      <c r="A2684" t="s">
        <v>26</v>
      </c>
      <c r="B2684" t="s">
        <v>9</v>
      </c>
      <c r="C2684" t="s">
        <v>17</v>
      </c>
      <c r="D2684" s="3">
        <v>45640</v>
      </c>
      <c r="E2684" s="2">
        <v>4675</v>
      </c>
    </row>
    <row r="2685" spans="1:5" x14ac:dyDescent="0.3">
      <c r="A2685" t="s">
        <v>15</v>
      </c>
      <c r="B2685" t="s">
        <v>16</v>
      </c>
      <c r="C2685" t="s">
        <v>17</v>
      </c>
      <c r="D2685" s="3">
        <v>45640</v>
      </c>
      <c r="E2685" s="2">
        <v>8322</v>
      </c>
    </row>
    <row r="2686" spans="1:5" x14ac:dyDescent="0.3">
      <c r="A2686" t="s">
        <v>8</v>
      </c>
      <c r="B2686" t="s">
        <v>21</v>
      </c>
      <c r="C2686" t="s">
        <v>23</v>
      </c>
      <c r="D2686" s="3">
        <v>45641</v>
      </c>
      <c r="E2686" s="2">
        <v>1537</v>
      </c>
    </row>
    <row r="2687" spans="1:5" x14ac:dyDescent="0.3">
      <c r="A2687" t="s">
        <v>10</v>
      </c>
      <c r="B2687" t="s">
        <v>9</v>
      </c>
      <c r="C2687" t="s">
        <v>7</v>
      </c>
      <c r="D2687" s="3">
        <v>45641</v>
      </c>
      <c r="E2687" s="2">
        <v>13227</v>
      </c>
    </row>
    <row r="2688" spans="1:5" x14ac:dyDescent="0.3">
      <c r="A2688" t="s">
        <v>15</v>
      </c>
      <c r="B2688" t="s">
        <v>6</v>
      </c>
      <c r="C2688" t="s">
        <v>17</v>
      </c>
      <c r="D2688" s="3">
        <v>45641</v>
      </c>
      <c r="E2688" s="2">
        <v>5643</v>
      </c>
    </row>
    <row r="2689" spans="1:5" x14ac:dyDescent="0.3">
      <c r="A2689" t="s">
        <v>24</v>
      </c>
      <c r="B2689" t="s">
        <v>11</v>
      </c>
      <c r="C2689" t="s">
        <v>28</v>
      </c>
      <c r="D2689" s="3">
        <v>45642</v>
      </c>
      <c r="E2689" s="2">
        <v>1365</v>
      </c>
    </row>
    <row r="2690" spans="1:5" x14ac:dyDescent="0.3">
      <c r="A2690" t="s">
        <v>8</v>
      </c>
      <c r="B2690" t="s">
        <v>21</v>
      </c>
      <c r="C2690" t="s">
        <v>17</v>
      </c>
      <c r="D2690" s="3">
        <v>45642</v>
      </c>
      <c r="E2690" s="2">
        <v>3580</v>
      </c>
    </row>
    <row r="2691" spans="1:5" x14ac:dyDescent="0.3">
      <c r="A2691" t="s">
        <v>22</v>
      </c>
      <c r="B2691" t="s">
        <v>13</v>
      </c>
      <c r="C2691" t="s">
        <v>23</v>
      </c>
      <c r="D2691" s="3">
        <v>45643</v>
      </c>
      <c r="E2691" s="2">
        <v>8041</v>
      </c>
    </row>
    <row r="2692" spans="1:5" x14ac:dyDescent="0.3">
      <c r="A2692" t="s">
        <v>33</v>
      </c>
      <c r="B2692" t="s">
        <v>16</v>
      </c>
      <c r="C2692" t="s">
        <v>28</v>
      </c>
      <c r="D2692" s="3">
        <v>45643</v>
      </c>
      <c r="E2692" s="2">
        <v>3441</v>
      </c>
    </row>
    <row r="2693" spans="1:5" x14ac:dyDescent="0.3">
      <c r="A2693" t="s">
        <v>30</v>
      </c>
      <c r="B2693" t="s">
        <v>9</v>
      </c>
      <c r="C2693" t="s">
        <v>12</v>
      </c>
      <c r="D2693" s="3">
        <v>45643</v>
      </c>
      <c r="E2693" s="2">
        <v>4824</v>
      </c>
    </row>
    <row r="2694" spans="1:5" x14ac:dyDescent="0.3">
      <c r="A2694" t="s">
        <v>8</v>
      </c>
      <c r="B2694" t="s">
        <v>21</v>
      </c>
      <c r="C2694" t="s">
        <v>12</v>
      </c>
      <c r="D2694" s="3">
        <v>45643</v>
      </c>
      <c r="E2694" s="2">
        <v>2183</v>
      </c>
    </row>
    <row r="2695" spans="1:5" x14ac:dyDescent="0.3">
      <c r="A2695" t="s">
        <v>15</v>
      </c>
      <c r="B2695" t="s">
        <v>21</v>
      </c>
      <c r="C2695" t="s">
        <v>23</v>
      </c>
      <c r="D2695" s="3">
        <v>45644</v>
      </c>
      <c r="E2695" s="2">
        <v>7666</v>
      </c>
    </row>
    <row r="2696" spans="1:5" x14ac:dyDescent="0.3">
      <c r="A2696" t="s">
        <v>8</v>
      </c>
      <c r="B2696" t="s">
        <v>9</v>
      </c>
      <c r="C2696" t="s">
        <v>25</v>
      </c>
      <c r="D2696" s="3">
        <v>45644</v>
      </c>
      <c r="E2696" s="2">
        <v>5375</v>
      </c>
    </row>
    <row r="2697" spans="1:5" x14ac:dyDescent="0.3">
      <c r="A2697" t="s">
        <v>26</v>
      </c>
      <c r="B2697" t="s">
        <v>9</v>
      </c>
      <c r="C2697" t="s">
        <v>12</v>
      </c>
      <c r="D2697" s="3">
        <v>45644</v>
      </c>
      <c r="E2697" s="2">
        <v>13849</v>
      </c>
    </row>
    <row r="2698" spans="1:5" x14ac:dyDescent="0.3">
      <c r="A2698" t="s">
        <v>10</v>
      </c>
      <c r="B2698" t="s">
        <v>9</v>
      </c>
      <c r="C2698" t="s">
        <v>14</v>
      </c>
      <c r="D2698" s="3">
        <v>45645</v>
      </c>
      <c r="E2698" s="2">
        <v>4211</v>
      </c>
    </row>
    <row r="2699" spans="1:5" x14ac:dyDescent="0.3">
      <c r="A2699" t="s">
        <v>31</v>
      </c>
      <c r="B2699" t="s">
        <v>16</v>
      </c>
      <c r="C2699" t="s">
        <v>14</v>
      </c>
      <c r="D2699" s="3">
        <v>45645</v>
      </c>
      <c r="E2699" s="2">
        <v>3087</v>
      </c>
    </row>
    <row r="2700" spans="1:5" x14ac:dyDescent="0.3">
      <c r="A2700" t="s">
        <v>10</v>
      </c>
      <c r="B2700" t="s">
        <v>16</v>
      </c>
      <c r="C2700" t="s">
        <v>23</v>
      </c>
      <c r="D2700" s="3">
        <v>45645</v>
      </c>
      <c r="E2700" s="2">
        <v>11304</v>
      </c>
    </row>
    <row r="2701" spans="1:5" x14ac:dyDescent="0.3">
      <c r="A2701" t="s">
        <v>15</v>
      </c>
      <c r="B2701" t="s">
        <v>9</v>
      </c>
      <c r="C2701" t="s">
        <v>23</v>
      </c>
      <c r="D2701" s="3">
        <v>45645</v>
      </c>
      <c r="E2701" s="2">
        <v>1077</v>
      </c>
    </row>
    <row r="2702" spans="1:5" x14ac:dyDescent="0.3">
      <c r="A2702" t="s">
        <v>29</v>
      </c>
      <c r="B2702" t="s">
        <v>16</v>
      </c>
      <c r="C2702" t="s">
        <v>7</v>
      </c>
      <c r="D2702" s="3">
        <v>45646</v>
      </c>
      <c r="E2702" s="2">
        <v>9909</v>
      </c>
    </row>
    <row r="2703" spans="1:5" x14ac:dyDescent="0.3">
      <c r="A2703" t="s">
        <v>10</v>
      </c>
      <c r="B2703" t="s">
        <v>13</v>
      </c>
      <c r="C2703" t="s">
        <v>25</v>
      </c>
      <c r="D2703" s="3">
        <v>45647</v>
      </c>
      <c r="E2703" s="2">
        <v>3910</v>
      </c>
    </row>
    <row r="2704" spans="1:5" x14ac:dyDescent="0.3">
      <c r="A2704" t="s">
        <v>29</v>
      </c>
      <c r="B2704" t="s">
        <v>11</v>
      </c>
      <c r="C2704" t="s">
        <v>12</v>
      </c>
      <c r="D2704" s="3">
        <v>45647</v>
      </c>
      <c r="E2704" s="2">
        <v>12732</v>
      </c>
    </row>
    <row r="2705" spans="1:5" x14ac:dyDescent="0.3">
      <c r="A2705" t="s">
        <v>26</v>
      </c>
      <c r="B2705" t="s">
        <v>11</v>
      </c>
      <c r="C2705" t="s">
        <v>19</v>
      </c>
      <c r="D2705" s="3">
        <v>45648</v>
      </c>
      <c r="E2705" s="2">
        <v>4204</v>
      </c>
    </row>
    <row r="2706" spans="1:5" x14ac:dyDescent="0.3">
      <c r="A2706" t="s">
        <v>33</v>
      </c>
      <c r="B2706" t="s">
        <v>9</v>
      </c>
      <c r="C2706" t="s">
        <v>7</v>
      </c>
      <c r="D2706" s="3">
        <v>45648</v>
      </c>
      <c r="E2706" s="2">
        <v>7900</v>
      </c>
    </row>
    <row r="2707" spans="1:5" x14ac:dyDescent="0.3">
      <c r="A2707" t="s">
        <v>31</v>
      </c>
      <c r="B2707" t="s">
        <v>16</v>
      </c>
      <c r="C2707" t="s">
        <v>28</v>
      </c>
      <c r="D2707" s="3">
        <v>45648</v>
      </c>
      <c r="E2707" s="2">
        <v>11864</v>
      </c>
    </row>
    <row r="2708" spans="1:5" x14ac:dyDescent="0.3">
      <c r="A2708" t="s">
        <v>8</v>
      </c>
      <c r="B2708" t="s">
        <v>13</v>
      </c>
      <c r="C2708" t="s">
        <v>12</v>
      </c>
      <c r="D2708" s="3">
        <v>45648</v>
      </c>
      <c r="E2708" s="2">
        <v>6101</v>
      </c>
    </row>
    <row r="2709" spans="1:5" x14ac:dyDescent="0.3">
      <c r="A2709" t="s">
        <v>32</v>
      </c>
      <c r="B2709" t="s">
        <v>13</v>
      </c>
      <c r="C2709" t="s">
        <v>14</v>
      </c>
      <c r="D2709" s="3">
        <v>45649</v>
      </c>
      <c r="E2709" s="2">
        <v>3450</v>
      </c>
    </row>
    <row r="2710" spans="1:5" x14ac:dyDescent="0.3">
      <c r="A2710" t="s">
        <v>31</v>
      </c>
      <c r="B2710" t="s">
        <v>11</v>
      </c>
      <c r="C2710" t="s">
        <v>17</v>
      </c>
      <c r="D2710" s="3">
        <v>45649</v>
      </c>
      <c r="E2710" s="2">
        <v>4712</v>
      </c>
    </row>
    <row r="2711" spans="1:5" x14ac:dyDescent="0.3">
      <c r="A2711" t="s">
        <v>20</v>
      </c>
      <c r="B2711" t="s">
        <v>9</v>
      </c>
      <c r="C2711" t="s">
        <v>7</v>
      </c>
      <c r="D2711" s="3">
        <v>45650</v>
      </c>
      <c r="E2711" s="2">
        <v>6868</v>
      </c>
    </row>
    <row r="2712" spans="1:5" x14ac:dyDescent="0.3">
      <c r="A2712" t="s">
        <v>22</v>
      </c>
      <c r="B2712" t="s">
        <v>9</v>
      </c>
      <c r="C2712" t="s">
        <v>17</v>
      </c>
      <c r="D2712" s="3">
        <v>45650</v>
      </c>
      <c r="E2712" s="2">
        <v>4894</v>
      </c>
    </row>
    <row r="2713" spans="1:5" x14ac:dyDescent="0.3">
      <c r="A2713" t="s">
        <v>10</v>
      </c>
      <c r="B2713" t="s">
        <v>9</v>
      </c>
      <c r="C2713" t="s">
        <v>25</v>
      </c>
      <c r="D2713" s="3">
        <v>45651</v>
      </c>
      <c r="E2713" s="2">
        <v>7068</v>
      </c>
    </row>
    <row r="2714" spans="1:5" x14ac:dyDescent="0.3">
      <c r="A2714" t="s">
        <v>8</v>
      </c>
      <c r="B2714" t="s">
        <v>16</v>
      </c>
      <c r="C2714" t="s">
        <v>28</v>
      </c>
      <c r="D2714" s="3">
        <v>45651</v>
      </c>
      <c r="E2714" s="2">
        <v>1726</v>
      </c>
    </row>
    <row r="2715" spans="1:5" x14ac:dyDescent="0.3">
      <c r="A2715" t="s">
        <v>10</v>
      </c>
      <c r="B2715" t="s">
        <v>13</v>
      </c>
      <c r="C2715" t="s">
        <v>28</v>
      </c>
      <c r="D2715" s="3">
        <v>45651</v>
      </c>
      <c r="E2715" s="2">
        <v>11515</v>
      </c>
    </row>
    <row r="2716" spans="1:5" x14ac:dyDescent="0.3">
      <c r="A2716" t="s">
        <v>30</v>
      </c>
      <c r="B2716" t="s">
        <v>11</v>
      </c>
      <c r="C2716" t="s">
        <v>17</v>
      </c>
      <c r="D2716" s="3">
        <v>45651</v>
      </c>
      <c r="E2716" s="2">
        <v>10863</v>
      </c>
    </row>
    <row r="2717" spans="1:5" x14ac:dyDescent="0.3">
      <c r="A2717" t="s">
        <v>26</v>
      </c>
      <c r="B2717" t="s">
        <v>16</v>
      </c>
      <c r="C2717" t="s">
        <v>17</v>
      </c>
      <c r="D2717" s="3">
        <v>45651</v>
      </c>
      <c r="E2717" s="2">
        <v>2554</v>
      </c>
    </row>
    <row r="2718" spans="1:5" x14ac:dyDescent="0.3">
      <c r="A2718" t="s">
        <v>30</v>
      </c>
      <c r="B2718" t="s">
        <v>11</v>
      </c>
      <c r="C2718" t="s">
        <v>17</v>
      </c>
      <c r="D2718" s="3">
        <v>45651</v>
      </c>
      <c r="E2718" s="2">
        <v>3815</v>
      </c>
    </row>
    <row r="2719" spans="1:5" x14ac:dyDescent="0.3">
      <c r="A2719" t="s">
        <v>10</v>
      </c>
      <c r="B2719" t="s">
        <v>21</v>
      </c>
      <c r="C2719" t="s">
        <v>19</v>
      </c>
      <c r="D2719" s="3">
        <v>45652</v>
      </c>
      <c r="E2719" s="2">
        <v>2063</v>
      </c>
    </row>
    <row r="2720" spans="1:5" x14ac:dyDescent="0.3">
      <c r="A2720" t="s">
        <v>20</v>
      </c>
      <c r="B2720" t="s">
        <v>21</v>
      </c>
      <c r="C2720" t="s">
        <v>23</v>
      </c>
      <c r="D2720" s="3">
        <v>45653</v>
      </c>
      <c r="E2720" s="2">
        <v>7509</v>
      </c>
    </row>
    <row r="2721" spans="1:5" x14ac:dyDescent="0.3">
      <c r="A2721" t="s">
        <v>32</v>
      </c>
      <c r="B2721" t="s">
        <v>11</v>
      </c>
      <c r="C2721" t="s">
        <v>7</v>
      </c>
      <c r="D2721" s="3">
        <v>45653</v>
      </c>
      <c r="E2721" s="2">
        <v>9839</v>
      </c>
    </row>
    <row r="2722" spans="1:5" x14ac:dyDescent="0.3">
      <c r="A2722" t="s">
        <v>32</v>
      </c>
      <c r="B2722" t="s">
        <v>6</v>
      </c>
      <c r="C2722" t="s">
        <v>12</v>
      </c>
      <c r="D2722" s="3">
        <v>45653</v>
      </c>
      <c r="E2722" s="2">
        <v>10182</v>
      </c>
    </row>
    <row r="2723" spans="1:5" x14ac:dyDescent="0.3">
      <c r="A2723" t="s">
        <v>15</v>
      </c>
      <c r="B2723" t="s">
        <v>13</v>
      </c>
      <c r="C2723" t="s">
        <v>12</v>
      </c>
      <c r="D2723" s="3">
        <v>45653</v>
      </c>
      <c r="E2723" s="2">
        <v>6347</v>
      </c>
    </row>
    <row r="2724" spans="1:5" x14ac:dyDescent="0.3">
      <c r="A2724" t="s">
        <v>15</v>
      </c>
      <c r="B2724" t="s">
        <v>11</v>
      </c>
      <c r="C2724" t="s">
        <v>23</v>
      </c>
      <c r="D2724" s="3">
        <v>45655</v>
      </c>
      <c r="E2724" s="2">
        <v>1321</v>
      </c>
    </row>
    <row r="2725" spans="1:5" x14ac:dyDescent="0.3">
      <c r="A2725" t="s">
        <v>33</v>
      </c>
      <c r="B2725" t="s">
        <v>16</v>
      </c>
      <c r="C2725" t="s">
        <v>25</v>
      </c>
      <c r="D2725" s="3">
        <v>45655</v>
      </c>
      <c r="E2725" s="2">
        <v>1294</v>
      </c>
    </row>
    <row r="2726" spans="1:5" x14ac:dyDescent="0.3">
      <c r="A2726" t="s">
        <v>15</v>
      </c>
      <c r="B2726" t="s">
        <v>6</v>
      </c>
      <c r="C2726" t="s">
        <v>25</v>
      </c>
      <c r="D2726" s="3">
        <v>45655</v>
      </c>
      <c r="E2726" s="2">
        <v>1506</v>
      </c>
    </row>
    <row r="2727" spans="1:5" x14ac:dyDescent="0.3">
      <c r="A2727" t="s">
        <v>29</v>
      </c>
      <c r="B2727" t="s">
        <v>21</v>
      </c>
      <c r="C2727" t="s">
        <v>7</v>
      </c>
      <c r="D2727" s="3">
        <v>45655</v>
      </c>
      <c r="E2727" s="2">
        <v>3993</v>
      </c>
    </row>
    <row r="2728" spans="1:5" x14ac:dyDescent="0.3">
      <c r="A2728" t="s">
        <v>29</v>
      </c>
      <c r="B2728" t="s">
        <v>11</v>
      </c>
      <c r="C2728" t="s">
        <v>7</v>
      </c>
      <c r="D2728" s="3">
        <v>45655</v>
      </c>
      <c r="E2728" s="2">
        <v>13558</v>
      </c>
    </row>
    <row r="2729" spans="1:5" x14ac:dyDescent="0.3">
      <c r="A2729" t="s">
        <v>20</v>
      </c>
      <c r="B2729" t="s">
        <v>13</v>
      </c>
      <c r="C2729" t="s">
        <v>28</v>
      </c>
      <c r="D2729" s="3">
        <v>45655</v>
      </c>
      <c r="E2729" s="2">
        <v>7905</v>
      </c>
    </row>
    <row r="2730" spans="1:5" x14ac:dyDescent="0.3">
      <c r="A2730" t="s">
        <v>30</v>
      </c>
      <c r="B2730" t="s">
        <v>9</v>
      </c>
      <c r="C2730" t="s">
        <v>12</v>
      </c>
      <c r="D2730" s="3">
        <v>45655</v>
      </c>
      <c r="E2730" s="2">
        <v>12449</v>
      </c>
    </row>
    <row r="2731" spans="1:5" x14ac:dyDescent="0.3">
      <c r="A2731" t="s">
        <v>5</v>
      </c>
      <c r="B2731" t="s">
        <v>13</v>
      </c>
      <c r="C2731" t="s">
        <v>19</v>
      </c>
      <c r="D2731" s="3">
        <v>45656</v>
      </c>
      <c r="E2731" s="2">
        <v>7540</v>
      </c>
    </row>
    <row r="2732" spans="1:5" x14ac:dyDescent="0.3">
      <c r="A2732" t="s">
        <v>20</v>
      </c>
      <c r="B2732" t="s">
        <v>13</v>
      </c>
      <c r="C2732" t="s">
        <v>7</v>
      </c>
      <c r="D2732" s="3">
        <v>45656</v>
      </c>
      <c r="E2732" s="2">
        <v>10403</v>
      </c>
    </row>
    <row r="2733" spans="1:5" x14ac:dyDescent="0.3">
      <c r="A2733" t="s">
        <v>31</v>
      </c>
      <c r="B2733" t="s">
        <v>9</v>
      </c>
      <c r="C2733" t="s">
        <v>19</v>
      </c>
      <c r="D2733" s="3">
        <v>45657</v>
      </c>
      <c r="E2733" s="2">
        <v>11357</v>
      </c>
    </row>
    <row r="2734" spans="1:5" x14ac:dyDescent="0.3">
      <c r="A2734" t="s">
        <v>26</v>
      </c>
      <c r="B2734" t="s">
        <v>9</v>
      </c>
      <c r="C2734" t="s">
        <v>23</v>
      </c>
      <c r="D2734" s="3">
        <v>45657</v>
      </c>
      <c r="E2734" s="2">
        <v>4880</v>
      </c>
    </row>
    <row r="2735" spans="1:5" x14ac:dyDescent="0.3">
      <c r="A2735" t="s">
        <v>20</v>
      </c>
      <c r="B2735" t="s">
        <v>6</v>
      </c>
      <c r="C2735" t="s">
        <v>23</v>
      </c>
      <c r="D2735" s="3">
        <v>45657</v>
      </c>
      <c r="E2735" s="2">
        <v>4958</v>
      </c>
    </row>
    <row r="2736" spans="1:5" x14ac:dyDescent="0.3">
      <c r="A2736" t="s">
        <v>20</v>
      </c>
      <c r="B2736" t="s">
        <v>6</v>
      </c>
      <c r="C2736" t="s">
        <v>23</v>
      </c>
      <c r="D2736" s="3">
        <v>45657</v>
      </c>
      <c r="E2736" s="2">
        <v>7664</v>
      </c>
    </row>
    <row r="2737" spans="1:5" x14ac:dyDescent="0.3">
      <c r="A2737" t="s">
        <v>26</v>
      </c>
      <c r="B2737" t="s">
        <v>9</v>
      </c>
      <c r="C2737" t="s">
        <v>23</v>
      </c>
      <c r="D2737" s="3">
        <v>45657</v>
      </c>
      <c r="E2737" s="2">
        <v>7599</v>
      </c>
    </row>
    <row r="2738" spans="1:5" x14ac:dyDescent="0.3">
      <c r="A2738" t="s">
        <v>29</v>
      </c>
      <c r="B2738" t="s">
        <v>6</v>
      </c>
      <c r="C2738" t="s">
        <v>25</v>
      </c>
      <c r="D2738" s="3">
        <v>45657</v>
      </c>
      <c r="E2738" s="2">
        <v>11021</v>
      </c>
    </row>
    <row r="2739" spans="1:5" x14ac:dyDescent="0.3">
      <c r="A2739" t="s">
        <v>24</v>
      </c>
      <c r="B2739" t="s">
        <v>21</v>
      </c>
      <c r="C2739" t="s">
        <v>25</v>
      </c>
      <c r="D2739" s="3">
        <v>45657</v>
      </c>
      <c r="E2739" s="2">
        <v>11536</v>
      </c>
    </row>
  </sheetData>
  <sortState xmlns:xlrd2="http://schemas.microsoft.com/office/spreadsheetml/2017/richdata2" ref="A2:E2739">
    <sortCondition ref="D2:D2739"/>
    <sortCondition ref="C2:C2739"/>
  </sortState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D89FB9-A3DB-4AF7-AFAD-921054B3D456}">
  <dimension ref="A1:M717"/>
  <sheetViews>
    <sheetView workbookViewId="0">
      <selection activeCell="F1" sqref="F1"/>
    </sheetView>
  </sheetViews>
  <sheetFormatPr defaultRowHeight="14.4" x14ac:dyDescent="0.3"/>
  <cols>
    <col min="2" max="2" width="10.5546875" style="3" bestFit="1" customWidth="1"/>
    <col min="3" max="3" width="12.109375" style="4" bestFit="1" customWidth="1"/>
    <col min="4" max="4" width="8.88671875" style="11"/>
    <col min="5" max="5" width="10.21875" bestFit="1" customWidth="1"/>
    <col min="6" max="6" width="20.6640625" bestFit="1" customWidth="1"/>
    <col min="11" max="11" width="12" bestFit="1" customWidth="1"/>
  </cols>
  <sheetData>
    <row r="1" spans="1:10" x14ac:dyDescent="0.3">
      <c r="A1" t="s">
        <v>48</v>
      </c>
      <c r="B1" s="3" t="s">
        <v>3</v>
      </c>
      <c r="C1" s="4" t="s">
        <v>41</v>
      </c>
      <c r="D1" s="11" t="s">
        <v>42</v>
      </c>
      <c r="E1" t="s">
        <v>43</v>
      </c>
    </row>
    <row r="2" spans="1:10" x14ac:dyDescent="0.3">
      <c r="A2">
        <f>YEAR(B2)</f>
        <v>2023</v>
      </c>
      <c r="B2" s="3" cm="1">
        <f t="array" ref="B2:B717">_xlfn.UNIQUE(Product_Sales!D2:D2739)</f>
        <v>44927</v>
      </c>
      <c r="C2" s="4">
        <f>SUMIF(Table1[Date],Daily_Totals!B2,Table1[Amount])</f>
        <v>34308</v>
      </c>
      <c r="D2" s="11">
        <f>MONTH(B2)</f>
        <v>1</v>
      </c>
      <c r="E2" s="12">
        <f>D2</f>
        <v>1</v>
      </c>
      <c r="J2" s="10"/>
    </row>
    <row r="3" spans="1:10" x14ac:dyDescent="0.3">
      <c r="A3">
        <f t="shared" ref="A3:A66" si="0">YEAR(B3)</f>
        <v>2023</v>
      </c>
      <c r="B3" s="3">
        <v>44928</v>
      </c>
      <c r="C3" s="4">
        <f>SUMIF(Table1[Date],Daily_Totals!B3,Table1[Amount])</f>
        <v>12694</v>
      </c>
      <c r="D3" s="11">
        <f t="shared" ref="D3:D66" si="1">MONTH(B3)</f>
        <v>1</v>
      </c>
      <c r="E3" s="12">
        <f t="shared" ref="E3:E66" si="2">D3</f>
        <v>1</v>
      </c>
    </row>
    <row r="4" spans="1:10" x14ac:dyDescent="0.3">
      <c r="A4">
        <f t="shared" si="0"/>
        <v>2023</v>
      </c>
      <c r="B4" s="3">
        <v>44929</v>
      </c>
      <c r="C4" s="4">
        <f>SUMIF(Table1[Date],Daily_Totals!B4,Table1[Amount])</f>
        <v>8442</v>
      </c>
      <c r="D4" s="11">
        <f t="shared" si="1"/>
        <v>1</v>
      </c>
      <c r="E4" s="12">
        <f t="shared" si="2"/>
        <v>1</v>
      </c>
    </row>
    <row r="5" spans="1:10" x14ac:dyDescent="0.3">
      <c r="A5">
        <f t="shared" si="0"/>
        <v>2023</v>
      </c>
      <c r="B5" s="3">
        <v>44930</v>
      </c>
      <c r="C5" s="4">
        <f>SUMIF(Table1[Date],Daily_Totals!B5,Table1[Amount])</f>
        <v>38081</v>
      </c>
      <c r="D5" s="11">
        <f t="shared" si="1"/>
        <v>1</v>
      </c>
      <c r="E5" s="12">
        <f t="shared" si="2"/>
        <v>1</v>
      </c>
    </row>
    <row r="6" spans="1:10" x14ac:dyDescent="0.3">
      <c r="A6">
        <f t="shared" si="0"/>
        <v>2023</v>
      </c>
      <c r="B6" s="3">
        <v>44931</v>
      </c>
      <c r="C6" s="4">
        <f>SUMIF(Table1[Date],Daily_Totals!B6,Table1[Amount])</f>
        <v>43389</v>
      </c>
      <c r="D6" s="11">
        <f t="shared" si="1"/>
        <v>1</v>
      </c>
      <c r="E6" s="12">
        <f t="shared" si="2"/>
        <v>1</v>
      </c>
    </row>
    <row r="7" spans="1:10" x14ac:dyDescent="0.3">
      <c r="A7">
        <f t="shared" si="0"/>
        <v>2023</v>
      </c>
      <c r="B7" s="3">
        <v>44932</v>
      </c>
      <c r="C7" s="4">
        <f>SUMIF(Table1[Date],Daily_Totals!B7,Table1[Amount])</f>
        <v>38458</v>
      </c>
      <c r="D7" s="11">
        <f t="shared" si="1"/>
        <v>1</v>
      </c>
      <c r="E7" s="12">
        <f t="shared" si="2"/>
        <v>1</v>
      </c>
    </row>
    <row r="8" spans="1:10" x14ac:dyDescent="0.3">
      <c r="A8">
        <f t="shared" si="0"/>
        <v>2023</v>
      </c>
      <c r="B8" s="3">
        <v>44933</v>
      </c>
      <c r="C8" s="4">
        <f>SUMIF(Table1[Date],Daily_Totals!B8,Table1[Amount])</f>
        <v>42895</v>
      </c>
      <c r="D8" s="11">
        <f t="shared" si="1"/>
        <v>1</v>
      </c>
      <c r="E8" s="12">
        <f t="shared" si="2"/>
        <v>1</v>
      </c>
    </row>
    <row r="9" spans="1:10" x14ac:dyDescent="0.3">
      <c r="A9">
        <f t="shared" si="0"/>
        <v>2023</v>
      </c>
      <c r="B9" s="3">
        <v>44934</v>
      </c>
      <c r="C9" s="4">
        <f>SUMIF(Table1[Date],Daily_Totals!B9,Table1[Amount])</f>
        <v>49430</v>
      </c>
      <c r="D9" s="11">
        <f t="shared" si="1"/>
        <v>1</v>
      </c>
      <c r="E9" s="12">
        <f t="shared" si="2"/>
        <v>1</v>
      </c>
    </row>
    <row r="10" spans="1:10" x14ac:dyDescent="0.3">
      <c r="A10">
        <f t="shared" si="0"/>
        <v>2023</v>
      </c>
      <c r="B10" s="3">
        <v>44935</v>
      </c>
      <c r="C10" s="4">
        <f>SUMIF(Table1[Date],Daily_Totals!B10,Table1[Amount])</f>
        <v>12008</v>
      </c>
      <c r="D10" s="11">
        <f t="shared" si="1"/>
        <v>1</v>
      </c>
      <c r="E10" s="12">
        <f t="shared" si="2"/>
        <v>1</v>
      </c>
    </row>
    <row r="11" spans="1:10" x14ac:dyDescent="0.3">
      <c r="A11">
        <f t="shared" si="0"/>
        <v>2023</v>
      </c>
      <c r="B11" s="3">
        <v>44936</v>
      </c>
      <c r="C11" s="4">
        <f>SUMIF(Table1[Date],Daily_Totals!B11,Table1[Amount])</f>
        <v>13562</v>
      </c>
      <c r="D11" s="11">
        <f t="shared" si="1"/>
        <v>1</v>
      </c>
      <c r="E11" s="12">
        <f t="shared" si="2"/>
        <v>1</v>
      </c>
    </row>
    <row r="12" spans="1:10" x14ac:dyDescent="0.3">
      <c r="A12">
        <f t="shared" si="0"/>
        <v>2023</v>
      </c>
      <c r="B12" s="3">
        <v>44937</v>
      </c>
      <c r="C12" s="4">
        <f>SUMIF(Table1[Date],Daily_Totals!B12,Table1[Amount])</f>
        <v>23842</v>
      </c>
      <c r="D12" s="11">
        <f t="shared" si="1"/>
        <v>1</v>
      </c>
      <c r="E12" s="12">
        <f t="shared" si="2"/>
        <v>1</v>
      </c>
    </row>
    <row r="13" spans="1:10" x14ac:dyDescent="0.3">
      <c r="A13">
        <f t="shared" si="0"/>
        <v>2023</v>
      </c>
      <c r="B13" s="3">
        <v>44938</v>
      </c>
      <c r="C13" s="4">
        <f>SUMIF(Table1[Date],Daily_Totals!B13,Table1[Amount])</f>
        <v>19747</v>
      </c>
      <c r="D13" s="11">
        <f t="shared" si="1"/>
        <v>1</v>
      </c>
      <c r="E13" s="12">
        <f t="shared" si="2"/>
        <v>1</v>
      </c>
    </row>
    <row r="14" spans="1:10" x14ac:dyDescent="0.3">
      <c r="A14">
        <f t="shared" si="0"/>
        <v>2023</v>
      </c>
      <c r="B14" s="3">
        <v>44939</v>
      </c>
      <c r="C14" s="4">
        <f>SUMIF(Table1[Date],Daily_Totals!B14,Table1[Amount])</f>
        <v>16098</v>
      </c>
      <c r="D14" s="11">
        <f t="shared" si="1"/>
        <v>1</v>
      </c>
      <c r="E14" s="12">
        <f t="shared" si="2"/>
        <v>1</v>
      </c>
    </row>
    <row r="15" spans="1:10" x14ac:dyDescent="0.3">
      <c r="A15">
        <f t="shared" si="0"/>
        <v>2023</v>
      </c>
      <c r="B15" s="3">
        <v>44940</v>
      </c>
      <c r="C15" s="4">
        <f>SUMIF(Table1[Date],Daily_Totals!B15,Table1[Amount])</f>
        <v>22469</v>
      </c>
      <c r="D15" s="11">
        <f t="shared" si="1"/>
        <v>1</v>
      </c>
      <c r="E15" s="12">
        <f t="shared" si="2"/>
        <v>1</v>
      </c>
    </row>
    <row r="16" spans="1:10" x14ac:dyDescent="0.3">
      <c r="A16">
        <f t="shared" si="0"/>
        <v>2023</v>
      </c>
      <c r="B16" s="3">
        <v>44941</v>
      </c>
      <c r="C16" s="4">
        <f>SUMIF(Table1[Date],Daily_Totals!B16,Table1[Amount])</f>
        <v>42354</v>
      </c>
      <c r="D16" s="11">
        <f t="shared" si="1"/>
        <v>1</v>
      </c>
      <c r="E16" s="12">
        <f t="shared" si="2"/>
        <v>1</v>
      </c>
    </row>
    <row r="17" spans="1:13" x14ac:dyDescent="0.3">
      <c r="A17">
        <f t="shared" si="0"/>
        <v>2023</v>
      </c>
      <c r="B17" s="3">
        <v>44942</v>
      </c>
      <c r="C17" s="4">
        <f>SUMIF(Table1[Date],Daily_Totals!B17,Table1[Amount])</f>
        <v>36536</v>
      </c>
      <c r="D17" s="11">
        <f t="shared" si="1"/>
        <v>1</v>
      </c>
      <c r="E17" s="12">
        <f t="shared" si="2"/>
        <v>1</v>
      </c>
    </row>
    <row r="18" spans="1:13" x14ac:dyDescent="0.3">
      <c r="A18">
        <f t="shared" si="0"/>
        <v>2023</v>
      </c>
      <c r="B18" s="3">
        <v>44943</v>
      </c>
      <c r="C18" s="4">
        <f>SUMIF(Table1[Date],Daily_Totals!B18,Table1[Amount])</f>
        <v>22593</v>
      </c>
      <c r="D18" s="11">
        <f t="shared" si="1"/>
        <v>1</v>
      </c>
      <c r="E18" s="12">
        <f t="shared" si="2"/>
        <v>1</v>
      </c>
    </row>
    <row r="19" spans="1:13" x14ac:dyDescent="0.3">
      <c r="A19">
        <f t="shared" si="0"/>
        <v>2023</v>
      </c>
      <c r="B19" s="3">
        <v>44944</v>
      </c>
      <c r="C19" s="4">
        <f>SUMIF(Table1[Date],Daily_Totals!B19,Table1[Amount])</f>
        <v>25447</v>
      </c>
      <c r="D19" s="11">
        <f t="shared" si="1"/>
        <v>1</v>
      </c>
      <c r="E19" s="12">
        <f t="shared" si="2"/>
        <v>1</v>
      </c>
    </row>
    <row r="20" spans="1:13" x14ac:dyDescent="0.3">
      <c r="A20">
        <f t="shared" si="0"/>
        <v>2023</v>
      </c>
      <c r="B20" s="3">
        <v>44945</v>
      </c>
      <c r="C20" s="4">
        <f>SUMIF(Table1[Date],Daily_Totals!B20,Table1[Amount])</f>
        <v>47885</v>
      </c>
      <c r="D20" s="11">
        <f t="shared" si="1"/>
        <v>1</v>
      </c>
      <c r="E20" s="12">
        <f t="shared" si="2"/>
        <v>1</v>
      </c>
    </row>
    <row r="21" spans="1:13" x14ac:dyDescent="0.3">
      <c r="A21">
        <f t="shared" si="0"/>
        <v>2023</v>
      </c>
      <c r="B21" s="3">
        <v>44946</v>
      </c>
      <c r="C21" s="4">
        <f>SUMIF(Table1[Date],Daily_Totals!B21,Table1[Amount])</f>
        <v>18196</v>
      </c>
      <c r="D21" s="11">
        <f t="shared" si="1"/>
        <v>1</v>
      </c>
      <c r="E21" s="12">
        <f t="shared" si="2"/>
        <v>1</v>
      </c>
    </row>
    <row r="22" spans="1:13" x14ac:dyDescent="0.3">
      <c r="A22">
        <f t="shared" si="0"/>
        <v>2023</v>
      </c>
      <c r="B22" s="3">
        <v>44947</v>
      </c>
      <c r="C22" s="4">
        <f>SUMIF(Table1[Date],Daily_Totals!B22,Table1[Amount])</f>
        <v>63257</v>
      </c>
      <c r="D22" s="11">
        <f t="shared" si="1"/>
        <v>1</v>
      </c>
      <c r="E22" s="12">
        <f t="shared" si="2"/>
        <v>1</v>
      </c>
    </row>
    <row r="23" spans="1:13" x14ac:dyDescent="0.3">
      <c r="A23">
        <f t="shared" si="0"/>
        <v>2023</v>
      </c>
      <c r="B23" s="3">
        <v>44948</v>
      </c>
      <c r="C23" s="4">
        <f>SUMIF(Table1[Date],Daily_Totals!B23,Table1[Amount])</f>
        <v>51432</v>
      </c>
      <c r="D23" s="11">
        <f t="shared" si="1"/>
        <v>1</v>
      </c>
      <c r="E23" s="12">
        <f t="shared" si="2"/>
        <v>1</v>
      </c>
    </row>
    <row r="24" spans="1:13" x14ac:dyDescent="0.3">
      <c r="A24">
        <f t="shared" si="0"/>
        <v>2023</v>
      </c>
      <c r="B24" s="3">
        <v>44949</v>
      </c>
      <c r="C24" s="4">
        <f>SUMIF(Table1[Date],Daily_Totals!B24,Table1[Amount])</f>
        <v>13635</v>
      </c>
      <c r="D24" s="11">
        <f t="shared" si="1"/>
        <v>1</v>
      </c>
      <c r="E24" s="12">
        <f t="shared" si="2"/>
        <v>1</v>
      </c>
    </row>
    <row r="25" spans="1:13" x14ac:dyDescent="0.3">
      <c r="A25">
        <f t="shared" si="0"/>
        <v>2023</v>
      </c>
      <c r="B25" s="3">
        <v>44950</v>
      </c>
      <c r="C25" s="4">
        <f>SUMIF(Table1[Date],Daily_Totals!B25,Table1[Amount])</f>
        <v>29539</v>
      </c>
      <c r="D25" s="11">
        <f t="shared" si="1"/>
        <v>1</v>
      </c>
      <c r="E25" s="12">
        <f t="shared" si="2"/>
        <v>1</v>
      </c>
    </row>
    <row r="26" spans="1:13" x14ac:dyDescent="0.3">
      <c r="A26">
        <f t="shared" si="0"/>
        <v>2023</v>
      </c>
      <c r="B26" s="3">
        <v>44951</v>
      </c>
      <c r="C26" s="4">
        <f>SUMIF(Table1[Date],Daily_Totals!B26,Table1[Amount])</f>
        <v>41515</v>
      </c>
      <c r="D26" s="11">
        <f t="shared" si="1"/>
        <v>1</v>
      </c>
      <c r="E26" s="12">
        <f t="shared" si="2"/>
        <v>1</v>
      </c>
    </row>
    <row r="27" spans="1:13" x14ac:dyDescent="0.3">
      <c r="A27">
        <f t="shared" si="0"/>
        <v>2023</v>
      </c>
      <c r="B27" s="3">
        <v>44952</v>
      </c>
      <c r="C27" s="4">
        <f>SUMIF(Table1[Date],Daily_Totals!B27,Table1[Amount])</f>
        <v>16789</v>
      </c>
      <c r="D27" s="11">
        <f t="shared" si="1"/>
        <v>1</v>
      </c>
      <c r="E27" s="12">
        <f t="shared" si="2"/>
        <v>1</v>
      </c>
    </row>
    <row r="28" spans="1:13" x14ac:dyDescent="0.3">
      <c r="A28">
        <f t="shared" si="0"/>
        <v>2023</v>
      </c>
      <c r="B28" s="3">
        <v>44953</v>
      </c>
      <c r="C28" s="4">
        <f>SUMIF(Table1[Date],Daily_Totals!B28,Table1[Amount])</f>
        <v>24506</v>
      </c>
      <c r="D28" s="11">
        <f t="shared" si="1"/>
        <v>1</v>
      </c>
      <c r="E28" s="12">
        <f t="shared" si="2"/>
        <v>1</v>
      </c>
    </row>
    <row r="29" spans="1:13" x14ac:dyDescent="0.3">
      <c r="A29">
        <f t="shared" si="0"/>
        <v>2023</v>
      </c>
      <c r="B29" s="3">
        <v>44954</v>
      </c>
      <c r="C29" s="4">
        <f>SUMIF(Table1[Date],Daily_Totals!B29,Table1[Amount])</f>
        <v>23584</v>
      </c>
      <c r="D29" s="11">
        <f t="shared" si="1"/>
        <v>1</v>
      </c>
      <c r="E29" s="12">
        <f t="shared" si="2"/>
        <v>1</v>
      </c>
      <c r="I29" t="s">
        <v>34</v>
      </c>
      <c r="K29" t="s">
        <v>35</v>
      </c>
      <c r="L29" t="s">
        <v>40</v>
      </c>
      <c r="M29" t="s">
        <v>36</v>
      </c>
    </row>
    <row r="30" spans="1:13" x14ac:dyDescent="0.3">
      <c r="A30">
        <f t="shared" si="0"/>
        <v>2023</v>
      </c>
      <c r="B30" s="3">
        <v>44955</v>
      </c>
      <c r="C30" s="4">
        <f>SUMIF(Table1[Date],Daily_Totals!B30,Table1[Amount])</f>
        <v>18371</v>
      </c>
      <c r="D30" s="11">
        <f t="shared" si="1"/>
        <v>1</v>
      </c>
      <c r="E30" s="12">
        <f t="shared" si="2"/>
        <v>1</v>
      </c>
      <c r="I30">
        <f>SUM(C2:C32)</f>
        <v>904109</v>
      </c>
      <c r="K30">
        <f>SUM(C33:C60)</f>
        <v>876772</v>
      </c>
      <c r="L30">
        <f>SUM(C61:C91)</f>
        <v>666198</v>
      </c>
      <c r="M30" s="5">
        <f>(K30-I30)/I30</f>
        <v>-3.0236398487350529E-2</v>
      </c>
    </row>
    <row r="31" spans="1:13" x14ac:dyDescent="0.3">
      <c r="A31">
        <f t="shared" si="0"/>
        <v>2023</v>
      </c>
      <c r="B31" s="3">
        <v>44956</v>
      </c>
      <c r="C31" s="4">
        <f>SUMIF(Table1[Date],Daily_Totals!B31,Table1[Amount])</f>
        <v>29797</v>
      </c>
      <c r="D31" s="11">
        <f t="shared" si="1"/>
        <v>1</v>
      </c>
      <c r="E31" s="12">
        <f t="shared" si="2"/>
        <v>1</v>
      </c>
    </row>
    <row r="32" spans="1:13" x14ac:dyDescent="0.3">
      <c r="A32">
        <f t="shared" si="0"/>
        <v>2023</v>
      </c>
      <c r="B32" s="3">
        <v>44957</v>
      </c>
      <c r="C32" s="4">
        <f>SUMIF(Table1[Date],Daily_Totals!B32,Table1[Amount])</f>
        <v>23250</v>
      </c>
      <c r="D32" s="11">
        <f t="shared" si="1"/>
        <v>1</v>
      </c>
      <c r="E32" s="12">
        <f t="shared" si="2"/>
        <v>1</v>
      </c>
      <c r="K32">
        <f>SUM(C92:C121)</f>
        <v>892919</v>
      </c>
    </row>
    <row r="33" spans="1:13" x14ac:dyDescent="0.3">
      <c r="A33">
        <f t="shared" si="0"/>
        <v>2023</v>
      </c>
      <c r="B33" s="3">
        <v>44958</v>
      </c>
      <c r="C33" s="4">
        <f>SUMIF(Table1[Date],Daily_Totals!B33,Table1[Amount])</f>
        <v>24464</v>
      </c>
      <c r="D33" s="11">
        <f t="shared" si="1"/>
        <v>2</v>
      </c>
      <c r="E33" s="12">
        <f t="shared" si="2"/>
        <v>2</v>
      </c>
    </row>
    <row r="34" spans="1:13" x14ac:dyDescent="0.3">
      <c r="A34">
        <f t="shared" si="0"/>
        <v>2023</v>
      </c>
      <c r="B34" s="3">
        <v>44959</v>
      </c>
      <c r="C34" s="4">
        <f>SUMIF(Table1[Date],Daily_Totals!B34,Table1[Amount])</f>
        <v>35409</v>
      </c>
      <c r="D34" s="11">
        <f t="shared" si="1"/>
        <v>2</v>
      </c>
      <c r="E34" s="12">
        <f t="shared" si="2"/>
        <v>2</v>
      </c>
      <c r="K34" s="5">
        <f>(K32-L30)/L30</f>
        <v>0.34032074548407532</v>
      </c>
      <c r="M34" s="5">
        <f>(L30-K30)/K30</f>
        <v>-0.24016962220508867</v>
      </c>
    </row>
    <row r="35" spans="1:13" x14ac:dyDescent="0.3">
      <c r="A35">
        <f t="shared" si="0"/>
        <v>2023</v>
      </c>
      <c r="B35" s="3">
        <v>44960</v>
      </c>
      <c r="C35" s="4">
        <f>SUMIF(Table1[Date],Daily_Totals!B35,Table1[Amount])</f>
        <v>37034</v>
      </c>
      <c r="D35" s="11">
        <f t="shared" si="1"/>
        <v>2</v>
      </c>
      <c r="E35" s="12">
        <f t="shared" si="2"/>
        <v>2</v>
      </c>
    </row>
    <row r="36" spans="1:13" x14ac:dyDescent="0.3">
      <c r="A36">
        <f t="shared" si="0"/>
        <v>2023</v>
      </c>
      <c r="B36" s="3">
        <v>44961</v>
      </c>
      <c r="C36" s="4">
        <f>SUMIF(Table1[Date],Daily_Totals!B36,Table1[Amount])</f>
        <v>81006</v>
      </c>
      <c r="D36" s="11">
        <f t="shared" si="1"/>
        <v>2</v>
      </c>
      <c r="E36" s="12">
        <f t="shared" si="2"/>
        <v>2</v>
      </c>
      <c r="K36" s="6">
        <f>AVERAGE(K34+M34+M30)</f>
        <v>6.9914724791636115E-2</v>
      </c>
    </row>
    <row r="37" spans="1:13" x14ac:dyDescent="0.3">
      <c r="A37">
        <f t="shared" si="0"/>
        <v>2023</v>
      </c>
      <c r="B37" s="3">
        <v>44962</v>
      </c>
      <c r="C37" s="4">
        <f>SUMIF(Table1[Date],Daily_Totals!B37,Table1[Amount])</f>
        <v>39919</v>
      </c>
      <c r="D37" s="11">
        <f t="shared" si="1"/>
        <v>2</v>
      </c>
      <c r="E37" s="12">
        <f t="shared" si="2"/>
        <v>2</v>
      </c>
    </row>
    <row r="38" spans="1:13" x14ac:dyDescent="0.3">
      <c r="A38">
        <f t="shared" si="0"/>
        <v>2023</v>
      </c>
      <c r="B38" s="3">
        <v>44963</v>
      </c>
      <c r="C38" s="4">
        <f>SUMIF(Table1[Date],Daily_Totals!B38,Table1[Amount])</f>
        <v>13923</v>
      </c>
      <c r="D38" s="11">
        <f t="shared" si="1"/>
        <v>2</v>
      </c>
      <c r="E38" s="12">
        <f t="shared" si="2"/>
        <v>2</v>
      </c>
    </row>
    <row r="39" spans="1:13" x14ac:dyDescent="0.3">
      <c r="A39">
        <f t="shared" si="0"/>
        <v>2023</v>
      </c>
      <c r="B39" s="3">
        <v>44964</v>
      </c>
      <c r="C39" s="4">
        <f>SUMIF(Table1[Date],Daily_Totals!B39,Table1[Amount])</f>
        <v>39991</v>
      </c>
      <c r="D39" s="11">
        <f t="shared" si="1"/>
        <v>2</v>
      </c>
      <c r="E39" s="12">
        <f t="shared" si="2"/>
        <v>2</v>
      </c>
    </row>
    <row r="40" spans="1:13" x14ac:dyDescent="0.3">
      <c r="A40">
        <f t="shared" si="0"/>
        <v>2023</v>
      </c>
      <c r="B40" s="3">
        <v>44965</v>
      </c>
      <c r="C40" s="4">
        <f>SUMIF(Table1[Date],Daily_Totals!B40,Table1[Amount])</f>
        <v>69473</v>
      </c>
      <c r="D40" s="11">
        <f t="shared" si="1"/>
        <v>2</v>
      </c>
      <c r="E40" s="12">
        <f t="shared" si="2"/>
        <v>2</v>
      </c>
    </row>
    <row r="41" spans="1:13" x14ac:dyDescent="0.3">
      <c r="A41">
        <f t="shared" si="0"/>
        <v>2023</v>
      </c>
      <c r="B41" s="3">
        <v>44966</v>
      </c>
      <c r="C41" s="4">
        <f>SUMIF(Table1[Date],Daily_Totals!B41,Table1[Amount])</f>
        <v>18074</v>
      </c>
      <c r="D41" s="11">
        <f t="shared" si="1"/>
        <v>2</v>
      </c>
      <c r="E41" s="12">
        <f t="shared" si="2"/>
        <v>2</v>
      </c>
    </row>
    <row r="42" spans="1:13" x14ac:dyDescent="0.3">
      <c r="A42">
        <f t="shared" si="0"/>
        <v>2023</v>
      </c>
      <c r="B42" s="3">
        <v>44967</v>
      </c>
      <c r="C42" s="4">
        <f>SUMIF(Table1[Date],Daily_Totals!B42,Table1[Amount])</f>
        <v>24087</v>
      </c>
      <c r="D42" s="11">
        <f t="shared" si="1"/>
        <v>2</v>
      </c>
      <c r="E42" s="12">
        <f t="shared" si="2"/>
        <v>2</v>
      </c>
    </row>
    <row r="43" spans="1:13" x14ac:dyDescent="0.3">
      <c r="A43">
        <f t="shared" si="0"/>
        <v>2023</v>
      </c>
      <c r="B43" s="3">
        <v>44968</v>
      </c>
      <c r="C43" s="4">
        <f>SUMIF(Table1[Date],Daily_Totals!B43,Table1[Amount])</f>
        <v>36489</v>
      </c>
      <c r="D43" s="11">
        <f t="shared" si="1"/>
        <v>2</v>
      </c>
      <c r="E43" s="12">
        <f t="shared" si="2"/>
        <v>2</v>
      </c>
    </row>
    <row r="44" spans="1:13" x14ac:dyDescent="0.3">
      <c r="A44">
        <f t="shared" si="0"/>
        <v>2023</v>
      </c>
      <c r="B44" s="3">
        <v>44969</v>
      </c>
      <c r="C44" s="4">
        <f>SUMIF(Table1[Date],Daily_Totals!B44,Table1[Amount])</f>
        <v>33102</v>
      </c>
      <c r="D44" s="11">
        <f t="shared" si="1"/>
        <v>2</v>
      </c>
      <c r="E44" s="12">
        <f t="shared" si="2"/>
        <v>2</v>
      </c>
    </row>
    <row r="45" spans="1:13" x14ac:dyDescent="0.3">
      <c r="A45">
        <f t="shared" si="0"/>
        <v>2023</v>
      </c>
      <c r="B45" s="3">
        <v>44970</v>
      </c>
      <c r="C45" s="4">
        <f>SUMIF(Table1[Date],Daily_Totals!B45,Table1[Amount])</f>
        <v>44459</v>
      </c>
      <c r="D45" s="11">
        <f t="shared" si="1"/>
        <v>2</v>
      </c>
      <c r="E45" s="12">
        <f t="shared" si="2"/>
        <v>2</v>
      </c>
    </row>
    <row r="46" spans="1:13" x14ac:dyDescent="0.3">
      <c r="A46">
        <f t="shared" si="0"/>
        <v>2023</v>
      </c>
      <c r="B46" s="3">
        <v>44971</v>
      </c>
      <c r="C46" s="4">
        <f>SUMIF(Table1[Date],Daily_Totals!B46,Table1[Amount])</f>
        <v>23470</v>
      </c>
      <c r="D46" s="11">
        <f t="shared" si="1"/>
        <v>2</v>
      </c>
      <c r="E46" s="12">
        <f t="shared" si="2"/>
        <v>2</v>
      </c>
    </row>
    <row r="47" spans="1:13" x14ac:dyDescent="0.3">
      <c r="A47">
        <f t="shared" si="0"/>
        <v>2023</v>
      </c>
      <c r="B47" s="3">
        <v>44972</v>
      </c>
      <c r="C47" s="4">
        <f>SUMIF(Table1[Date],Daily_Totals!B47,Table1[Amount])</f>
        <v>24654</v>
      </c>
      <c r="D47" s="11">
        <f t="shared" si="1"/>
        <v>2</v>
      </c>
      <c r="E47" s="12">
        <f t="shared" si="2"/>
        <v>2</v>
      </c>
    </row>
    <row r="48" spans="1:13" x14ac:dyDescent="0.3">
      <c r="A48">
        <f t="shared" si="0"/>
        <v>2023</v>
      </c>
      <c r="B48" s="3">
        <v>44973</v>
      </c>
      <c r="C48" s="4">
        <f>SUMIF(Table1[Date],Daily_Totals!B48,Table1[Amount])</f>
        <v>37035</v>
      </c>
      <c r="D48" s="11">
        <f t="shared" si="1"/>
        <v>2</v>
      </c>
      <c r="E48" s="12">
        <f t="shared" si="2"/>
        <v>2</v>
      </c>
    </row>
    <row r="49" spans="1:5" x14ac:dyDescent="0.3">
      <c r="A49">
        <f t="shared" si="0"/>
        <v>2023</v>
      </c>
      <c r="B49" s="3">
        <v>44974</v>
      </c>
      <c r="C49" s="4">
        <f>SUMIF(Table1[Date],Daily_Totals!B49,Table1[Amount])</f>
        <v>14321</v>
      </c>
      <c r="D49" s="11">
        <f t="shared" si="1"/>
        <v>2</v>
      </c>
      <c r="E49" s="12">
        <f t="shared" si="2"/>
        <v>2</v>
      </c>
    </row>
    <row r="50" spans="1:5" x14ac:dyDescent="0.3">
      <c r="A50">
        <f t="shared" si="0"/>
        <v>2023</v>
      </c>
      <c r="B50" s="3">
        <v>44975</v>
      </c>
      <c r="C50" s="4">
        <f>SUMIF(Table1[Date],Daily_Totals!B50,Table1[Amount])</f>
        <v>48970</v>
      </c>
      <c r="D50" s="11">
        <f t="shared" si="1"/>
        <v>2</v>
      </c>
      <c r="E50" s="12">
        <f t="shared" si="2"/>
        <v>2</v>
      </c>
    </row>
    <row r="51" spans="1:5" x14ac:dyDescent="0.3">
      <c r="A51">
        <f t="shared" si="0"/>
        <v>2023</v>
      </c>
      <c r="B51" s="3">
        <v>44976</v>
      </c>
      <c r="C51" s="4">
        <f>SUMIF(Table1[Date],Daily_Totals!B51,Table1[Amount])</f>
        <v>8722</v>
      </c>
      <c r="D51" s="11">
        <f t="shared" si="1"/>
        <v>2</v>
      </c>
      <c r="E51" s="12">
        <f t="shared" si="2"/>
        <v>2</v>
      </c>
    </row>
    <row r="52" spans="1:5" x14ac:dyDescent="0.3">
      <c r="A52">
        <f t="shared" si="0"/>
        <v>2023</v>
      </c>
      <c r="B52" s="3">
        <v>44977</v>
      </c>
      <c r="C52" s="4">
        <f>SUMIF(Table1[Date],Daily_Totals!B52,Table1[Amount])</f>
        <v>29273</v>
      </c>
      <c r="D52" s="11">
        <f t="shared" si="1"/>
        <v>2</v>
      </c>
      <c r="E52" s="12">
        <f t="shared" si="2"/>
        <v>2</v>
      </c>
    </row>
    <row r="53" spans="1:5" x14ac:dyDescent="0.3">
      <c r="A53">
        <f t="shared" si="0"/>
        <v>2023</v>
      </c>
      <c r="B53" s="3">
        <v>44978</v>
      </c>
      <c r="C53" s="4">
        <f>SUMIF(Table1[Date],Daily_Totals!B53,Table1[Amount])</f>
        <v>21260</v>
      </c>
      <c r="D53" s="11">
        <f t="shared" si="1"/>
        <v>2</v>
      </c>
      <c r="E53" s="12">
        <f t="shared" si="2"/>
        <v>2</v>
      </c>
    </row>
    <row r="54" spans="1:5" x14ac:dyDescent="0.3">
      <c r="A54">
        <f t="shared" si="0"/>
        <v>2023</v>
      </c>
      <c r="B54" s="3">
        <v>44979</v>
      </c>
      <c r="C54" s="4">
        <f>SUMIF(Table1[Date],Daily_Totals!B54,Table1[Amount])</f>
        <v>40071</v>
      </c>
      <c r="D54" s="11">
        <f t="shared" si="1"/>
        <v>2</v>
      </c>
      <c r="E54" s="12">
        <f t="shared" si="2"/>
        <v>2</v>
      </c>
    </row>
    <row r="55" spans="1:5" x14ac:dyDescent="0.3">
      <c r="A55">
        <f t="shared" si="0"/>
        <v>2023</v>
      </c>
      <c r="B55" s="3">
        <v>44980</v>
      </c>
      <c r="C55" s="4">
        <f>SUMIF(Table1[Date],Daily_Totals!B55,Table1[Amount])</f>
        <v>13425</v>
      </c>
      <c r="D55" s="11">
        <f t="shared" si="1"/>
        <v>2</v>
      </c>
      <c r="E55" s="12">
        <f t="shared" si="2"/>
        <v>2</v>
      </c>
    </row>
    <row r="56" spans="1:5" x14ac:dyDescent="0.3">
      <c r="A56">
        <f t="shared" si="0"/>
        <v>2023</v>
      </c>
      <c r="B56" s="3">
        <v>44981</v>
      </c>
      <c r="C56" s="4">
        <f>SUMIF(Table1[Date],Daily_Totals!B56,Table1[Amount])</f>
        <v>10058</v>
      </c>
      <c r="D56" s="11">
        <f t="shared" si="1"/>
        <v>2</v>
      </c>
      <c r="E56" s="12">
        <f t="shared" si="2"/>
        <v>2</v>
      </c>
    </row>
    <row r="57" spans="1:5" x14ac:dyDescent="0.3">
      <c r="A57">
        <f t="shared" si="0"/>
        <v>2023</v>
      </c>
      <c r="B57" s="3">
        <v>44982</v>
      </c>
      <c r="C57" s="4">
        <f>SUMIF(Table1[Date],Daily_Totals!B57,Table1[Amount])</f>
        <v>32112</v>
      </c>
      <c r="D57" s="11">
        <f t="shared" si="1"/>
        <v>2</v>
      </c>
      <c r="E57" s="12">
        <f t="shared" si="2"/>
        <v>2</v>
      </c>
    </row>
    <row r="58" spans="1:5" x14ac:dyDescent="0.3">
      <c r="A58">
        <f t="shared" si="0"/>
        <v>2023</v>
      </c>
      <c r="B58" s="3">
        <v>44983</v>
      </c>
      <c r="C58" s="4">
        <f>SUMIF(Table1[Date],Daily_Totals!B58,Table1[Amount])</f>
        <v>43993</v>
      </c>
      <c r="D58" s="11">
        <f t="shared" si="1"/>
        <v>2</v>
      </c>
      <c r="E58" s="12">
        <f t="shared" si="2"/>
        <v>2</v>
      </c>
    </row>
    <row r="59" spans="1:5" x14ac:dyDescent="0.3">
      <c r="A59">
        <f t="shared" si="0"/>
        <v>2023</v>
      </c>
      <c r="B59" s="3">
        <v>44984</v>
      </c>
      <c r="C59" s="4">
        <f>SUMIF(Table1[Date],Daily_Totals!B59,Table1[Amount])</f>
        <v>28068</v>
      </c>
      <c r="D59" s="11">
        <f t="shared" si="1"/>
        <v>2</v>
      </c>
      <c r="E59" s="12">
        <f t="shared" si="2"/>
        <v>2</v>
      </c>
    </row>
    <row r="60" spans="1:5" x14ac:dyDescent="0.3">
      <c r="A60">
        <f t="shared" si="0"/>
        <v>2023</v>
      </c>
      <c r="B60" s="3">
        <v>44985</v>
      </c>
      <c r="C60" s="4">
        <f>SUMIF(Table1[Date],Daily_Totals!B60,Table1[Amount])</f>
        <v>3910</v>
      </c>
      <c r="D60" s="11">
        <f t="shared" si="1"/>
        <v>2</v>
      </c>
      <c r="E60" s="12">
        <f t="shared" si="2"/>
        <v>2</v>
      </c>
    </row>
    <row r="61" spans="1:5" x14ac:dyDescent="0.3">
      <c r="A61">
        <f t="shared" si="0"/>
        <v>2023</v>
      </c>
      <c r="B61" s="3">
        <v>44986</v>
      </c>
      <c r="C61" s="4">
        <f>SUMIF(Table1[Date],Daily_Totals!B61,Table1[Amount])</f>
        <v>53829</v>
      </c>
      <c r="D61" s="11">
        <f t="shared" si="1"/>
        <v>3</v>
      </c>
      <c r="E61" s="12">
        <f t="shared" si="2"/>
        <v>3</v>
      </c>
    </row>
    <row r="62" spans="1:5" x14ac:dyDescent="0.3">
      <c r="A62">
        <f t="shared" si="0"/>
        <v>2023</v>
      </c>
      <c r="B62" s="3">
        <v>44987</v>
      </c>
      <c r="C62" s="4">
        <f>SUMIF(Table1[Date],Daily_Totals!B62,Table1[Amount])</f>
        <v>26201</v>
      </c>
      <c r="D62" s="11">
        <f t="shared" si="1"/>
        <v>3</v>
      </c>
      <c r="E62" s="12">
        <f t="shared" si="2"/>
        <v>3</v>
      </c>
    </row>
    <row r="63" spans="1:5" x14ac:dyDescent="0.3">
      <c r="A63">
        <f t="shared" si="0"/>
        <v>2023</v>
      </c>
      <c r="B63" s="3">
        <v>44988</v>
      </c>
      <c r="C63" s="4">
        <f>SUMIF(Table1[Date],Daily_Totals!B63,Table1[Amount])</f>
        <v>14389</v>
      </c>
      <c r="D63" s="11">
        <f t="shared" si="1"/>
        <v>3</v>
      </c>
      <c r="E63" s="12">
        <f t="shared" si="2"/>
        <v>3</v>
      </c>
    </row>
    <row r="64" spans="1:5" x14ac:dyDescent="0.3">
      <c r="A64">
        <f t="shared" si="0"/>
        <v>2023</v>
      </c>
      <c r="B64" s="3">
        <v>44989</v>
      </c>
      <c r="C64" s="4">
        <f>SUMIF(Table1[Date],Daily_Totals!B64,Table1[Amount])</f>
        <v>15623</v>
      </c>
      <c r="D64" s="11">
        <f t="shared" si="1"/>
        <v>3</v>
      </c>
      <c r="E64" s="12">
        <f t="shared" si="2"/>
        <v>3</v>
      </c>
    </row>
    <row r="65" spans="1:5" x14ac:dyDescent="0.3">
      <c r="A65">
        <f t="shared" si="0"/>
        <v>2023</v>
      </c>
      <c r="B65" s="3">
        <v>44990</v>
      </c>
      <c r="C65" s="4">
        <f>SUMIF(Table1[Date],Daily_Totals!B65,Table1[Amount])</f>
        <v>25822</v>
      </c>
      <c r="D65" s="11">
        <f t="shared" si="1"/>
        <v>3</v>
      </c>
      <c r="E65" s="12">
        <f t="shared" si="2"/>
        <v>3</v>
      </c>
    </row>
    <row r="66" spans="1:5" x14ac:dyDescent="0.3">
      <c r="A66">
        <f t="shared" si="0"/>
        <v>2023</v>
      </c>
      <c r="B66" s="3">
        <v>44991</v>
      </c>
      <c r="C66" s="4">
        <f>SUMIF(Table1[Date],Daily_Totals!B66,Table1[Amount])</f>
        <v>9146</v>
      </c>
      <c r="D66" s="11">
        <f t="shared" si="1"/>
        <v>3</v>
      </c>
      <c r="E66" s="12">
        <f t="shared" si="2"/>
        <v>3</v>
      </c>
    </row>
    <row r="67" spans="1:5" x14ac:dyDescent="0.3">
      <c r="A67">
        <f t="shared" ref="A67:A130" si="3">YEAR(B67)</f>
        <v>2023</v>
      </c>
      <c r="B67" s="3">
        <v>44992</v>
      </c>
      <c r="C67" s="4">
        <f>SUMIF(Table1[Date],Daily_Totals!B67,Table1[Amount])</f>
        <v>29894</v>
      </c>
      <c r="D67" s="11">
        <f t="shared" ref="D67:D130" si="4">MONTH(B67)</f>
        <v>3</v>
      </c>
      <c r="E67" s="12">
        <f t="shared" ref="E67:E130" si="5">D67</f>
        <v>3</v>
      </c>
    </row>
    <row r="68" spans="1:5" x14ac:dyDescent="0.3">
      <c r="A68">
        <f t="shared" si="3"/>
        <v>2023</v>
      </c>
      <c r="B68" s="3">
        <v>44993</v>
      </c>
      <c r="C68" s="4">
        <f>SUMIF(Table1[Date],Daily_Totals!B68,Table1[Amount])</f>
        <v>28871</v>
      </c>
      <c r="D68" s="11">
        <f t="shared" si="4"/>
        <v>3</v>
      </c>
      <c r="E68" s="12">
        <f t="shared" si="5"/>
        <v>3</v>
      </c>
    </row>
    <row r="69" spans="1:5" x14ac:dyDescent="0.3">
      <c r="A69">
        <f t="shared" si="3"/>
        <v>2023</v>
      </c>
      <c r="B69" s="3">
        <v>44994</v>
      </c>
      <c r="C69" s="4">
        <f>SUMIF(Table1[Date],Daily_Totals!B69,Table1[Amount])</f>
        <v>39355</v>
      </c>
      <c r="D69" s="11">
        <f t="shared" si="4"/>
        <v>3</v>
      </c>
      <c r="E69" s="12">
        <f t="shared" si="5"/>
        <v>3</v>
      </c>
    </row>
    <row r="70" spans="1:5" x14ac:dyDescent="0.3">
      <c r="A70">
        <f t="shared" si="3"/>
        <v>2023</v>
      </c>
      <c r="B70" s="3">
        <v>44995</v>
      </c>
      <c r="C70" s="4">
        <f>SUMIF(Table1[Date],Daily_Totals!B70,Table1[Amount])</f>
        <v>5185</v>
      </c>
      <c r="D70" s="11">
        <f t="shared" si="4"/>
        <v>3</v>
      </c>
      <c r="E70" s="12">
        <f t="shared" si="5"/>
        <v>3</v>
      </c>
    </row>
    <row r="71" spans="1:5" x14ac:dyDescent="0.3">
      <c r="A71">
        <f t="shared" si="3"/>
        <v>2023</v>
      </c>
      <c r="B71" s="3">
        <v>44996</v>
      </c>
      <c r="C71" s="4">
        <f>SUMIF(Table1[Date],Daily_Totals!B71,Table1[Amount])</f>
        <v>30968</v>
      </c>
      <c r="D71" s="11">
        <f t="shared" si="4"/>
        <v>3</v>
      </c>
      <c r="E71" s="12">
        <f t="shared" si="5"/>
        <v>3</v>
      </c>
    </row>
    <row r="72" spans="1:5" x14ac:dyDescent="0.3">
      <c r="A72">
        <f t="shared" si="3"/>
        <v>2023</v>
      </c>
      <c r="B72" s="3">
        <v>44997</v>
      </c>
      <c r="C72" s="4">
        <f>SUMIF(Table1[Date],Daily_Totals!B72,Table1[Amount])</f>
        <v>41613</v>
      </c>
      <c r="D72" s="11">
        <f t="shared" si="4"/>
        <v>3</v>
      </c>
      <c r="E72" s="12">
        <f t="shared" si="5"/>
        <v>3</v>
      </c>
    </row>
    <row r="73" spans="1:5" x14ac:dyDescent="0.3">
      <c r="A73">
        <f t="shared" si="3"/>
        <v>2023</v>
      </c>
      <c r="B73" s="3">
        <v>44998</v>
      </c>
      <c r="C73" s="4">
        <f>SUMIF(Table1[Date],Daily_Totals!B73,Table1[Amount])</f>
        <v>2994</v>
      </c>
      <c r="D73" s="11">
        <f t="shared" si="4"/>
        <v>3</v>
      </c>
      <c r="E73" s="12">
        <f t="shared" si="5"/>
        <v>3</v>
      </c>
    </row>
    <row r="74" spans="1:5" x14ac:dyDescent="0.3">
      <c r="A74">
        <f t="shared" si="3"/>
        <v>2023</v>
      </c>
      <c r="B74" s="3">
        <v>44999</v>
      </c>
      <c r="C74" s="4">
        <f>SUMIF(Table1[Date],Daily_Totals!B74,Table1[Amount])</f>
        <v>26512</v>
      </c>
      <c r="D74" s="11">
        <f t="shared" si="4"/>
        <v>3</v>
      </c>
      <c r="E74" s="12">
        <f t="shared" si="5"/>
        <v>3</v>
      </c>
    </row>
    <row r="75" spans="1:5" x14ac:dyDescent="0.3">
      <c r="A75">
        <f t="shared" si="3"/>
        <v>2023</v>
      </c>
      <c r="B75" s="3">
        <v>45000</v>
      </c>
      <c r="C75" s="4">
        <f>SUMIF(Table1[Date],Daily_Totals!B75,Table1[Amount])</f>
        <v>36020</v>
      </c>
      <c r="D75" s="11">
        <f t="shared" si="4"/>
        <v>3</v>
      </c>
      <c r="E75" s="12">
        <f t="shared" si="5"/>
        <v>3</v>
      </c>
    </row>
    <row r="76" spans="1:5" x14ac:dyDescent="0.3">
      <c r="A76">
        <f t="shared" si="3"/>
        <v>2023</v>
      </c>
      <c r="B76" s="3">
        <v>45001</v>
      </c>
      <c r="C76" s="4">
        <f>SUMIF(Table1[Date],Daily_Totals!B76,Table1[Amount])</f>
        <v>4565</v>
      </c>
      <c r="D76" s="11">
        <f t="shared" si="4"/>
        <v>3</v>
      </c>
      <c r="E76" s="12">
        <f t="shared" si="5"/>
        <v>3</v>
      </c>
    </row>
    <row r="77" spans="1:5" x14ac:dyDescent="0.3">
      <c r="A77">
        <f t="shared" si="3"/>
        <v>2023</v>
      </c>
      <c r="B77" s="3">
        <v>45002</v>
      </c>
      <c r="C77" s="4">
        <f>SUMIF(Table1[Date],Daily_Totals!B77,Table1[Amount])</f>
        <v>4790</v>
      </c>
      <c r="D77" s="11">
        <f t="shared" si="4"/>
        <v>3</v>
      </c>
      <c r="E77" s="12">
        <f t="shared" si="5"/>
        <v>3</v>
      </c>
    </row>
    <row r="78" spans="1:5" x14ac:dyDescent="0.3">
      <c r="A78">
        <f t="shared" si="3"/>
        <v>2023</v>
      </c>
      <c r="B78" s="3">
        <v>45003</v>
      </c>
      <c r="C78" s="4">
        <f>SUMIF(Table1[Date],Daily_Totals!B78,Table1[Amount])</f>
        <v>34635</v>
      </c>
      <c r="D78" s="11">
        <f t="shared" si="4"/>
        <v>3</v>
      </c>
      <c r="E78" s="12">
        <f t="shared" si="5"/>
        <v>3</v>
      </c>
    </row>
    <row r="79" spans="1:5" x14ac:dyDescent="0.3">
      <c r="A79">
        <f t="shared" si="3"/>
        <v>2023</v>
      </c>
      <c r="B79" s="3">
        <v>45004</v>
      </c>
      <c r="C79" s="4">
        <f>SUMIF(Table1[Date],Daily_Totals!B79,Table1[Amount])</f>
        <v>19572</v>
      </c>
      <c r="D79" s="11">
        <f t="shared" si="4"/>
        <v>3</v>
      </c>
      <c r="E79" s="12">
        <f t="shared" si="5"/>
        <v>3</v>
      </c>
    </row>
    <row r="80" spans="1:5" x14ac:dyDescent="0.3">
      <c r="A80">
        <f t="shared" si="3"/>
        <v>2023</v>
      </c>
      <c r="B80" s="3">
        <v>45005</v>
      </c>
      <c r="C80" s="4">
        <f>SUMIF(Table1[Date],Daily_Totals!B80,Table1[Amount])</f>
        <v>6677</v>
      </c>
      <c r="D80" s="11">
        <f t="shared" si="4"/>
        <v>3</v>
      </c>
      <c r="E80" s="12">
        <f t="shared" si="5"/>
        <v>3</v>
      </c>
    </row>
    <row r="81" spans="1:5" x14ac:dyDescent="0.3">
      <c r="A81">
        <f t="shared" si="3"/>
        <v>2023</v>
      </c>
      <c r="B81" s="3">
        <v>45006</v>
      </c>
      <c r="C81" s="4">
        <f>SUMIF(Table1[Date],Daily_Totals!B81,Table1[Amount])</f>
        <v>10399</v>
      </c>
      <c r="D81" s="11">
        <f t="shared" si="4"/>
        <v>3</v>
      </c>
      <c r="E81" s="12">
        <f t="shared" si="5"/>
        <v>3</v>
      </c>
    </row>
    <row r="82" spans="1:5" x14ac:dyDescent="0.3">
      <c r="A82">
        <f t="shared" si="3"/>
        <v>2023</v>
      </c>
      <c r="B82" s="3">
        <v>45007</v>
      </c>
      <c r="C82" s="4">
        <f>SUMIF(Table1[Date],Daily_Totals!B82,Table1[Amount])</f>
        <v>8106</v>
      </c>
      <c r="D82" s="11">
        <f t="shared" si="4"/>
        <v>3</v>
      </c>
      <c r="E82" s="12">
        <f t="shared" si="5"/>
        <v>3</v>
      </c>
    </row>
    <row r="83" spans="1:5" x14ac:dyDescent="0.3">
      <c r="A83">
        <f t="shared" si="3"/>
        <v>2023</v>
      </c>
      <c r="B83" s="3">
        <v>45008</v>
      </c>
      <c r="C83" s="4">
        <f>SUMIF(Table1[Date],Daily_Totals!B83,Table1[Amount])</f>
        <v>16819</v>
      </c>
      <c r="D83" s="11">
        <f t="shared" si="4"/>
        <v>3</v>
      </c>
      <c r="E83" s="12">
        <f t="shared" si="5"/>
        <v>3</v>
      </c>
    </row>
    <row r="84" spans="1:5" x14ac:dyDescent="0.3">
      <c r="A84">
        <f t="shared" si="3"/>
        <v>2023</v>
      </c>
      <c r="B84" s="3">
        <v>45009</v>
      </c>
      <c r="C84" s="4">
        <f>SUMIF(Table1[Date],Daily_Totals!B84,Table1[Amount])</f>
        <v>39280</v>
      </c>
      <c r="D84" s="11">
        <f t="shared" si="4"/>
        <v>3</v>
      </c>
      <c r="E84" s="12">
        <f t="shared" si="5"/>
        <v>3</v>
      </c>
    </row>
    <row r="85" spans="1:5" x14ac:dyDescent="0.3">
      <c r="A85">
        <f t="shared" si="3"/>
        <v>2023</v>
      </c>
      <c r="B85" s="3">
        <v>45010</v>
      </c>
      <c r="C85" s="4">
        <f>SUMIF(Table1[Date],Daily_Totals!B85,Table1[Amount])</f>
        <v>1689</v>
      </c>
      <c r="D85" s="11">
        <f t="shared" si="4"/>
        <v>3</v>
      </c>
      <c r="E85" s="12">
        <f t="shared" si="5"/>
        <v>3</v>
      </c>
    </row>
    <row r="86" spans="1:5" x14ac:dyDescent="0.3">
      <c r="A86">
        <f t="shared" si="3"/>
        <v>2023</v>
      </c>
      <c r="B86" s="3">
        <v>45011</v>
      </c>
      <c r="C86" s="4">
        <f>SUMIF(Table1[Date],Daily_Totals!B86,Table1[Amount])</f>
        <v>6659</v>
      </c>
      <c r="D86" s="11">
        <f t="shared" si="4"/>
        <v>3</v>
      </c>
      <c r="E86" s="12">
        <f t="shared" si="5"/>
        <v>3</v>
      </c>
    </row>
    <row r="87" spans="1:5" x14ac:dyDescent="0.3">
      <c r="A87">
        <f t="shared" si="3"/>
        <v>2023</v>
      </c>
      <c r="B87" s="3">
        <v>45012</v>
      </c>
      <c r="C87" s="4">
        <f>SUMIF(Table1[Date],Daily_Totals!B87,Table1[Amount])</f>
        <v>16542</v>
      </c>
      <c r="D87" s="11">
        <f t="shared" si="4"/>
        <v>3</v>
      </c>
      <c r="E87" s="12">
        <f t="shared" si="5"/>
        <v>3</v>
      </c>
    </row>
    <row r="88" spans="1:5" x14ac:dyDescent="0.3">
      <c r="A88">
        <f t="shared" si="3"/>
        <v>2023</v>
      </c>
      <c r="B88" s="3">
        <v>45013</v>
      </c>
      <c r="C88" s="4">
        <f>SUMIF(Table1[Date],Daily_Totals!B88,Table1[Amount])</f>
        <v>6075</v>
      </c>
      <c r="D88" s="11">
        <f t="shared" si="4"/>
        <v>3</v>
      </c>
      <c r="E88" s="12">
        <f t="shared" si="5"/>
        <v>3</v>
      </c>
    </row>
    <row r="89" spans="1:5" x14ac:dyDescent="0.3">
      <c r="A89">
        <f t="shared" si="3"/>
        <v>2023</v>
      </c>
      <c r="B89" s="3">
        <v>45014</v>
      </c>
      <c r="C89" s="4">
        <f>SUMIF(Table1[Date],Daily_Totals!B89,Table1[Amount])</f>
        <v>10993</v>
      </c>
      <c r="D89" s="11">
        <f t="shared" si="4"/>
        <v>3</v>
      </c>
      <c r="E89" s="12">
        <f t="shared" si="5"/>
        <v>3</v>
      </c>
    </row>
    <row r="90" spans="1:5" x14ac:dyDescent="0.3">
      <c r="A90">
        <f t="shared" si="3"/>
        <v>2023</v>
      </c>
      <c r="B90" s="3">
        <v>45015</v>
      </c>
      <c r="C90" s="4">
        <f>SUMIF(Table1[Date],Daily_Totals!B90,Table1[Amount])</f>
        <v>45225</v>
      </c>
      <c r="D90" s="11">
        <f t="shared" si="4"/>
        <v>3</v>
      </c>
      <c r="E90" s="12">
        <f t="shared" si="5"/>
        <v>3</v>
      </c>
    </row>
    <row r="91" spans="1:5" x14ac:dyDescent="0.3">
      <c r="A91">
        <f t="shared" si="3"/>
        <v>2023</v>
      </c>
      <c r="B91" s="3">
        <v>45016</v>
      </c>
      <c r="C91" s="4">
        <f>SUMIF(Table1[Date],Daily_Totals!B91,Table1[Amount])</f>
        <v>47750</v>
      </c>
      <c r="D91" s="11">
        <f t="shared" si="4"/>
        <v>3</v>
      </c>
      <c r="E91" s="12">
        <f t="shared" si="5"/>
        <v>3</v>
      </c>
    </row>
    <row r="92" spans="1:5" x14ac:dyDescent="0.3">
      <c r="A92">
        <f t="shared" si="3"/>
        <v>2023</v>
      </c>
      <c r="B92" s="3">
        <v>45017</v>
      </c>
      <c r="C92" s="4">
        <f>SUMIF(Table1[Date],Daily_Totals!B92,Table1[Amount])</f>
        <v>45437</v>
      </c>
      <c r="D92" s="11">
        <f t="shared" si="4"/>
        <v>4</v>
      </c>
      <c r="E92" s="12">
        <f t="shared" si="5"/>
        <v>4</v>
      </c>
    </row>
    <row r="93" spans="1:5" x14ac:dyDescent="0.3">
      <c r="A93">
        <f t="shared" si="3"/>
        <v>2023</v>
      </c>
      <c r="B93" s="3">
        <v>45018</v>
      </c>
      <c r="C93" s="4">
        <f>SUMIF(Table1[Date],Daily_Totals!B93,Table1[Amount])</f>
        <v>41928</v>
      </c>
      <c r="D93" s="11">
        <f t="shared" si="4"/>
        <v>4</v>
      </c>
      <c r="E93" s="12">
        <f t="shared" si="5"/>
        <v>4</v>
      </c>
    </row>
    <row r="94" spans="1:5" x14ac:dyDescent="0.3">
      <c r="A94">
        <f t="shared" si="3"/>
        <v>2023</v>
      </c>
      <c r="B94" s="3">
        <v>45019</v>
      </c>
      <c r="C94" s="4">
        <f>SUMIF(Table1[Date],Daily_Totals!B94,Table1[Amount])</f>
        <v>22102</v>
      </c>
      <c r="D94" s="11">
        <f t="shared" si="4"/>
        <v>4</v>
      </c>
      <c r="E94" s="12">
        <f t="shared" si="5"/>
        <v>4</v>
      </c>
    </row>
    <row r="95" spans="1:5" x14ac:dyDescent="0.3">
      <c r="A95">
        <f t="shared" si="3"/>
        <v>2023</v>
      </c>
      <c r="B95" s="3">
        <v>45020</v>
      </c>
      <c r="C95" s="4">
        <f>SUMIF(Table1[Date],Daily_Totals!B95,Table1[Amount])</f>
        <v>22971</v>
      </c>
      <c r="D95" s="11">
        <f t="shared" si="4"/>
        <v>4</v>
      </c>
      <c r="E95" s="12">
        <f t="shared" si="5"/>
        <v>4</v>
      </c>
    </row>
    <row r="96" spans="1:5" x14ac:dyDescent="0.3">
      <c r="A96">
        <f t="shared" si="3"/>
        <v>2023</v>
      </c>
      <c r="B96" s="3">
        <v>45021</v>
      </c>
      <c r="C96" s="4">
        <f>SUMIF(Table1[Date],Daily_Totals!B96,Table1[Amount])</f>
        <v>20560</v>
      </c>
      <c r="D96" s="11">
        <f t="shared" si="4"/>
        <v>4</v>
      </c>
      <c r="E96" s="12">
        <f t="shared" si="5"/>
        <v>4</v>
      </c>
    </row>
    <row r="97" spans="1:5" x14ac:dyDescent="0.3">
      <c r="A97">
        <f t="shared" si="3"/>
        <v>2023</v>
      </c>
      <c r="B97" s="3">
        <v>45022</v>
      </c>
      <c r="C97" s="4">
        <f>SUMIF(Table1[Date],Daily_Totals!B97,Table1[Amount])</f>
        <v>21126</v>
      </c>
      <c r="D97" s="11">
        <f t="shared" si="4"/>
        <v>4</v>
      </c>
      <c r="E97" s="12">
        <f t="shared" si="5"/>
        <v>4</v>
      </c>
    </row>
    <row r="98" spans="1:5" x14ac:dyDescent="0.3">
      <c r="A98">
        <f t="shared" si="3"/>
        <v>2023</v>
      </c>
      <c r="B98" s="3">
        <v>45023</v>
      </c>
      <c r="C98" s="4">
        <f>SUMIF(Table1[Date],Daily_Totals!B98,Table1[Amount])</f>
        <v>28191</v>
      </c>
      <c r="D98" s="11">
        <f t="shared" si="4"/>
        <v>4</v>
      </c>
      <c r="E98" s="12">
        <f t="shared" si="5"/>
        <v>4</v>
      </c>
    </row>
    <row r="99" spans="1:5" x14ac:dyDescent="0.3">
      <c r="A99">
        <f t="shared" si="3"/>
        <v>2023</v>
      </c>
      <c r="B99" s="3">
        <v>45024</v>
      </c>
      <c r="C99" s="4">
        <f>SUMIF(Table1[Date],Daily_Totals!B99,Table1[Amount])</f>
        <v>44256</v>
      </c>
      <c r="D99" s="11">
        <f t="shared" si="4"/>
        <v>4</v>
      </c>
      <c r="E99" s="12">
        <f t="shared" si="5"/>
        <v>4</v>
      </c>
    </row>
    <row r="100" spans="1:5" x14ac:dyDescent="0.3">
      <c r="A100">
        <f t="shared" si="3"/>
        <v>2023</v>
      </c>
      <c r="B100" s="3">
        <v>45025</v>
      </c>
      <c r="C100" s="4">
        <f>SUMIF(Table1[Date],Daily_Totals!B100,Table1[Amount])</f>
        <v>32877</v>
      </c>
      <c r="D100" s="11">
        <f t="shared" si="4"/>
        <v>4</v>
      </c>
      <c r="E100" s="12">
        <f t="shared" si="5"/>
        <v>4</v>
      </c>
    </row>
    <row r="101" spans="1:5" x14ac:dyDescent="0.3">
      <c r="A101">
        <f t="shared" si="3"/>
        <v>2023</v>
      </c>
      <c r="B101" s="3">
        <v>45026</v>
      </c>
      <c r="C101" s="4">
        <f>SUMIF(Table1[Date],Daily_Totals!B101,Table1[Amount])</f>
        <v>33261</v>
      </c>
      <c r="D101" s="11">
        <f t="shared" si="4"/>
        <v>4</v>
      </c>
      <c r="E101" s="12">
        <f t="shared" si="5"/>
        <v>4</v>
      </c>
    </row>
    <row r="102" spans="1:5" x14ac:dyDescent="0.3">
      <c r="A102">
        <f t="shared" si="3"/>
        <v>2023</v>
      </c>
      <c r="B102" s="3">
        <v>45027</v>
      </c>
      <c r="C102" s="4">
        <f>SUMIF(Table1[Date],Daily_Totals!B102,Table1[Amount])</f>
        <v>44334</v>
      </c>
      <c r="D102" s="11">
        <f t="shared" si="4"/>
        <v>4</v>
      </c>
      <c r="E102" s="12">
        <f t="shared" si="5"/>
        <v>4</v>
      </c>
    </row>
    <row r="103" spans="1:5" x14ac:dyDescent="0.3">
      <c r="A103">
        <f t="shared" si="3"/>
        <v>2023</v>
      </c>
      <c r="B103" s="3">
        <v>45028</v>
      </c>
      <c r="C103" s="4">
        <f>SUMIF(Table1[Date],Daily_Totals!B103,Table1[Amount])</f>
        <v>33821</v>
      </c>
      <c r="D103" s="11">
        <f t="shared" si="4"/>
        <v>4</v>
      </c>
      <c r="E103" s="12">
        <f t="shared" si="5"/>
        <v>4</v>
      </c>
    </row>
    <row r="104" spans="1:5" x14ac:dyDescent="0.3">
      <c r="A104">
        <f t="shared" si="3"/>
        <v>2023</v>
      </c>
      <c r="B104" s="3">
        <v>45029</v>
      </c>
      <c r="C104" s="4">
        <f>SUMIF(Table1[Date],Daily_Totals!B104,Table1[Amount])</f>
        <v>46372</v>
      </c>
      <c r="D104" s="11">
        <f t="shared" si="4"/>
        <v>4</v>
      </c>
      <c r="E104" s="12">
        <f t="shared" si="5"/>
        <v>4</v>
      </c>
    </row>
    <row r="105" spans="1:5" x14ac:dyDescent="0.3">
      <c r="A105">
        <f t="shared" si="3"/>
        <v>2023</v>
      </c>
      <c r="B105" s="3">
        <v>45030</v>
      </c>
      <c r="C105" s="4">
        <f>SUMIF(Table1[Date],Daily_Totals!B105,Table1[Amount])</f>
        <v>16100</v>
      </c>
      <c r="D105" s="11">
        <f t="shared" si="4"/>
        <v>4</v>
      </c>
      <c r="E105" s="12">
        <f t="shared" si="5"/>
        <v>4</v>
      </c>
    </row>
    <row r="106" spans="1:5" x14ac:dyDescent="0.3">
      <c r="A106">
        <f t="shared" si="3"/>
        <v>2023</v>
      </c>
      <c r="B106" s="3">
        <v>45031</v>
      </c>
      <c r="C106" s="4">
        <f>SUMIF(Table1[Date],Daily_Totals!B106,Table1[Amount])</f>
        <v>20911</v>
      </c>
      <c r="D106" s="11">
        <f t="shared" si="4"/>
        <v>4</v>
      </c>
      <c r="E106" s="12">
        <f t="shared" si="5"/>
        <v>4</v>
      </c>
    </row>
    <row r="107" spans="1:5" x14ac:dyDescent="0.3">
      <c r="A107">
        <f t="shared" si="3"/>
        <v>2023</v>
      </c>
      <c r="B107" s="3">
        <v>45032</v>
      </c>
      <c r="C107" s="4">
        <f>SUMIF(Table1[Date],Daily_Totals!B107,Table1[Amount])</f>
        <v>20447</v>
      </c>
      <c r="D107" s="11">
        <f t="shared" si="4"/>
        <v>4</v>
      </c>
      <c r="E107" s="12">
        <f t="shared" si="5"/>
        <v>4</v>
      </c>
    </row>
    <row r="108" spans="1:5" x14ac:dyDescent="0.3">
      <c r="A108">
        <f t="shared" si="3"/>
        <v>2023</v>
      </c>
      <c r="B108" s="3">
        <v>45033</v>
      </c>
      <c r="C108" s="4">
        <f>SUMIF(Table1[Date],Daily_Totals!B108,Table1[Amount])</f>
        <v>57804</v>
      </c>
      <c r="D108" s="11">
        <f t="shared" si="4"/>
        <v>4</v>
      </c>
      <c r="E108" s="12">
        <f t="shared" si="5"/>
        <v>4</v>
      </c>
    </row>
    <row r="109" spans="1:5" x14ac:dyDescent="0.3">
      <c r="A109">
        <f t="shared" si="3"/>
        <v>2023</v>
      </c>
      <c r="B109" s="3">
        <v>45034</v>
      </c>
      <c r="C109" s="4">
        <f>SUMIF(Table1[Date],Daily_Totals!B109,Table1[Amount])</f>
        <v>16575</v>
      </c>
      <c r="D109" s="11">
        <f t="shared" si="4"/>
        <v>4</v>
      </c>
      <c r="E109" s="12">
        <f t="shared" si="5"/>
        <v>4</v>
      </c>
    </row>
    <row r="110" spans="1:5" x14ac:dyDescent="0.3">
      <c r="A110">
        <f t="shared" si="3"/>
        <v>2023</v>
      </c>
      <c r="B110" s="3">
        <v>45035</v>
      </c>
      <c r="C110" s="4">
        <f>SUMIF(Table1[Date],Daily_Totals!B110,Table1[Amount])</f>
        <v>14776</v>
      </c>
      <c r="D110" s="11">
        <f t="shared" si="4"/>
        <v>4</v>
      </c>
      <c r="E110" s="12">
        <f t="shared" si="5"/>
        <v>4</v>
      </c>
    </row>
    <row r="111" spans="1:5" x14ac:dyDescent="0.3">
      <c r="A111">
        <f t="shared" si="3"/>
        <v>2023</v>
      </c>
      <c r="B111" s="3">
        <v>45036</v>
      </c>
      <c r="C111" s="4">
        <f>SUMIF(Table1[Date],Daily_Totals!B111,Table1[Amount])</f>
        <v>33758</v>
      </c>
      <c r="D111" s="11">
        <f t="shared" si="4"/>
        <v>4</v>
      </c>
      <c r="E111" s="12">
        <f t="shared" si="5"/>
        <v>4</v>
      </c>
    </row>
    <row r="112" spans="1:5" x14ac:dyDescent="0.3">
      <c r="A112">
        <f t="shared" si="3"/>
        <v>2023</v>
      </c>
      <c r="B112" s="3">
        <v>45037</v>
      </c>
      <c r="C112" s="4">
        <f>SUMIF(Table1[Date],Daily_Totals!B112,Table1[Amount])</f>
        <v>33333</v>
      </c>
      <c r="D112" s="11">
        <f t="shared" si="4"/>
        <v>4</v>
      </c>
      <c r="E112" s="12">
        <f t="shared" si="5"/>
        <v>4</v>
      </c>
    </row>
    <row r="113" spans="1:5" x14ac:dyDescent="0.3">
      <c r="A113">
        <f t="shared" si="3"/>
        <v>2023</v>
      </c>
      <c r="B113" s="3">
        <v>45038</v>
      </c>
      <c r="C113" s="4">
        <f>SUMIF(Table1[Date],Daily_Totals!B113,Table1[Amount])</f>
        <v>7504</v>
      </c>
      <c r="D113" s="11">
        <f t="shared" si="4"/>
        <v>4</v>
      </c>
      <c r="E113" s="12">
        <f t="shared" si="5"/>
        <v>4</v>
      </c>
    </row>
    <row r="114" spans="1:5" x14ac:dyDescent="0.3">
      <c r="A114">
        <f t="shared" si="3"/>
        <v>2023</v>
      </c>
      <c r="B114" s="3">
        <v>45039</v>
      </c>
      <c r="C114" s="4">
        <f>SUMIF(Table1[Date],Daily_Totals!B114,Table1[Amount])</f>
        <v>35197</v>
      </c>
      <c r="D114" s="11">
        <f t="shared" si="4"/>
        <v>4</v>
      </c>
      <c r="E114" s="12">
        <f t="shared" si="5"/>
        <v>4</v>
      </c>
    </row>
    <row r="115" spans="1:5" x14ac:dyDescent="0.3">
      <c r="A115">
        <f t="shared" si="3"/>
        <v>2023</v>
      </c>
      <c r="B115" s="3">
        <v>45040</v>
      </c>
      <c r="C115" s="4">
        <f>SUMIF(Table1[Date],Daily_Totals!B115,Table1[Amount])</f>
        <v>54497</v>
      </c>
      <c r="D115" s="11">
        <f t="shared" si="4"/>
        <v>4</v>
      </c>
      <c r="E115" s="12">
        <f t="shared" si="5"/>
        <v>4</v>
      </c>
    </row>
    <row r="116" spans="1:5" x14ac:dyDescent="0.3">
      <c r="A116">
        <f t="shared" si="3"/>
        <v>2023</v>
      </c>
      <c r="B116" s="3">
        <v>45041</v>
      </c>
      <c r="C116" s="4">
        <f>SUMIF(Table1[Date],Daily_Totals!B116,Table1[Amount])</f>
        <v>11466</v>
      </c>
      <c r="D116" s="11">
        <f t="shared" si="4"/>
        <v>4</v>
      </c>
      <c r="E116" s="12">
        <f t="shared" si="5"/>
        <v>4</v>
      </c>
    </row>
    <row r="117" spans="1:5" x14ac:dyDescent="0.3">
      <c r="A117">
        <f t="shared" si="3"/>
        <v>2023</v>
      </c>
      <c r="B117" s="3">
        <v>45042</v>
      </c>
      <c r="C117" s="4">
        <f>SUMIF(Table1[Date],Daily_Totals!B117,Table1[Amount])</f>
        <v>48089</v>
      </c>
      <c r="D117" s="11">
        <f t="shared" si="4"/>
        <v>4</v>
      </c>
      <c r="E117" s="12">
        <f t="shared" si="5"/>
        <v>4</v>
      </c>
    </row>
    <row r="118" spans="1:5" x14ac:dyDescent="0.3">
      <c r="A118">
        <f t="shared" si="3"/>
        <v>2023</v>
      </c>
      <c r="B118" s="3">
        <v>45043</v>
      </c>
      <c r="C118" s="4">
        <f>SUMIF(Table1[Date],Daily_Totals!B118,Table1[Amount])</f>
        <v>21499</v>
      </c>
      <c r="D118" s="11">
        <f t="shared" si="4"/>
        <v>4</v>
      </c>
      <c r="E118" s="12">
        <f t="shared" si="5"/>
        <v>4</v>
      </c>
    </row>
    <row r="119" spans="1:5" x14ac:dyDescent="0.3">
      <c r="A119">
        <f t="shared" si="3"/>
        <v>2023</v>
      </c>
      <c r="B119" s="3">
        <v>45044</v>
      </c>
      <c r="C119" s="4">
        <f>SUMIF(Table1[Date],Daily_Totals!B119,Table1[Amount])</f>
        <v>11827</v>
      </c>
      <c r="D119" s="11">
        <f t="shared" si="4"/>
        <v>4</v>
      </c>
      <c r="E119" s="12">
        <f t="shared" si="5"/>
        <v>4</v>
      </c>
    </row>
    <row r="120" spans="1:5" x14ac:dyDescent="0.3">
      <c r="A120">
        <f t="shared" si="3"/>
        <v>2023</v>
      </c>
      <c r="B120" s="3">
        <v>45045</v>
      </c>
      <c r="C120" s="4">
        <f>SUMIF(Table1[Date],Daily_Totals!B120,Table1[Amount])</f>
        <v>41130</v>
      </c>
      <c r="D120" s="11">
        <f t="shared" si="4"/>
        <v>4</v>
      </c>
      <c r="E120" s="12">
        <f t="shared" si="5"/>
        <v>4</v>
      </c>
    </row>
    <row r="121" spans="1:5" x14ac:dyDescent="0.3">
      <c r="A121">
        <f t="shared" si="3"/>
        <v>2023</v>
      </c>
      <c r="B121" s="3">
        <v>45046</v>
      </c>
      <c r="C121" s="4">
        <f>SUMIF(Table1[Date],Daily_Totals!B121,Table1[Amount])</f>
        <v>10770</v>
      </c>
      <c r="D121" s="11">
        <f t="shared" si="4"/>
        <v>4</v>
      </c>
      <c r="E121" s="12">
        <f t="shared" si="5"/>
        <v>4</v>
      </c>
    </row>
    <row r="122" spans="1:5" x14ac:dyDescent="0.3">
      <c r="A122">
        <f t="shared" si="3"/>
        <v>2023</v>
      </c>
      <c r="B122" s="3">
        <v>45047</v>
      </c>
      <c r="C122" s="4">
        <f>SUMIF(Table1[Date],Daily_Totals!B122,Table1[Amount])</f>
        <v>14434</v>
      </c>
      <c r="D122" s="11">
        <f t="shared" si="4"/>
        <v>5</v>
      </c>
      <c r="E122" s="12">
        <f t="shared" si="5"/>
        <v>5</v>
      </c>
    </row>
    <row r="123" spans="1:5" x14ac:dyDescent="0.3">
      <c r="A123">
        <f t="shared" si="3"/>
        <v>2023</v>
      </c>
      <c r="B123" s="3">
        <v>45048</v>
      </c>
      <c r="C123" s="4">
        <f>SUMIF(Table1[Date],Daily_Totals!B123,Table1[Amount])</f>
        <v>27243</v>
      </c>
      <c r="D123" s="11">
        <f t="shared" si="4"/>
        <v>5</v>
      </c>
      <c r="E123" s="12">
        <f t="shared" si="5"/>
        <v>5</v>
      </c>
    </row>
    <row r="124" spans="1:5" x14ac:dyDescent="0.3">
      <c r="A124">
        <f t="shared" si="3"/>
        <v>2023</v>
      </c>
      <c r="B124" s="3">
        <v>45049</v>
      </c>
      <c r="C124" s="4">
        <f>SUMIF(Table1[Date],Daily_Totals!B124,Table1[Amount])</f>
        <v>38060</v>
      </c>
      <c r="D124" s="11">
        <f t="shared" si="4"/>
        <v>5</v>
      </c>
      <c r="E124" s="12">
        <f t="shared" si="5"/>
        <v>5</v>
      </c>
    </row>
    <row r="125" spans="1:5" x14ac:dyDescent="0.3">
      <c r="A125">
        <f t="shared" si="3"/>
        <v>2023</v>
      </c>
      <c r="B125" s="3">
        <v>45050</v>
      </c>
      <c r="C125" s="4">
        <f>SUMIF(Table1[Date],Daily_Totals!B125,Table1[Amount])</f>
        <v>61053</v>
      </c>
      <c r="D125" s="11">
        <f t="shared" si="4"/>
        <v>5</v>
      </c>
      <c r="E125" s="12">
        <f t="shared" si="5"/>
        <v>5</v>
      </c>
    </row>
    <row r="126" spans="1:5" x14ac:dyDescent="0.3">
      <c r="A126">
        <f t="shared" si="3"/>
        <v>2023</v>
      </c>
      <c r="B126" s="3">
        <v>45051</v>
      </c>
      <c r="C126" s="4">
        <f>SUMIF(Table1[Date],Daily_Totals!B126,Table1[Amount])</f>
        <v>14614</v>
      </c>
      <c r="D126" s="11">
        <f t="shared" si="4"/>
        <v>5</v>
      </c>
      <c r="E126" s="12">
        <f t="shared" si="5"/>
        <v>5</v>
      </c>
    </row>
    <row r="127" spans="1:5" x14ac:dyDescent="0.3">
      <c r="A127">
        <f t="shared" si="3"/>
        <v>2023</v>
      </c>
      <c r="B127" s="3">
        <v>45052</v>
      </c>
      <c r="C127" s="4">
        <f>SUMIF(Table1[Date],Daily_Totals!B127,Table1[Amount])</f>
        <v>13218</v>
      </c>
      <c r="D127" s="11">
        <f t="shared" si="4"/>
        <v>5</v>
      </c>
      <c r="E127" s="12">
        <f t="shared" si="5"/>
        <v>5</v>
      </c>
    </row>
    <row r="128" spans="1:5" x14ac:dyDescent="0.3">
      <c r="A128">
        <f t="shared" si="3"/>
        <v>2023</v>
      </c>
      <c r="B128" s="3">
        <v>45053</v>
      </c>
      <c r="C128" s="4">
        <f>SUMIF(Table1[Date],Daily_Totals!B128,Table1[Amount])</f>
        <v>13641</v>
      </c>
      <c r="D128" s="11">
        <f t="shared" si="4"/>
        <v>5</v>
      </c>
      <c r="E128" s="12">
        <f t="shared" si="5"/>
        <v>5</v>
      </c>
    </row>
    <row r="129" spans="1:5" x14ac:dyDescent="0.3">
      <c r="A129">
        <f t="shared" si="3"/>
        <v>2023</v>
      </c>
      <c r="B129" s="3">
        <v>45054</v>
      </c>
      <c r="C129" s="4">
        <f>SUMIF(Table1[Date],Daily_Totals!B129,Table1[Amount])</f>
        <v>33177</v>
      </c>
      <c r="D129" s="11">
        <f t="shared" si="4"/>
        <v>5</v>
      </c>
      <c r="E129" s="12">
        <f t="shared" si="5"/>
        <v>5</v>
      </c>
    </row>
    <row r="130" spans="1:5" x14ac:dyDescent="0.3">
      <c r="A130">
        <f t="shared" si="3"/>
        <v>2023</v>
      </c>
      <c r="B130" s="3">
        <v>45055</v>
      </c>
      <c r="C130" s="4">
        <f>SUMIF(Table1[Date],Daily_Totals!B130,Table1[Amount])</f>
        <v>24593</v>
      </c>
      <c r="D130" s="11">
        <f t="shared" si="4"/>
        <v>5</v>
      </c>
      <c r="E130" s="12">
        <f t="shared" si="5"/>
        <v>5</v>
      </c>
    </row>
    <row r="131" spans="1:5" x14ac:dyDescent="0.3">
      <c r="A131">
        <f t="shared" ref="A131:A194" si="6">YEAR(B131)</f>
        <v>2023</v>
      </c>
      <c r="B131" s="3">
        <v>45056</v>
      </c>
      <c r="C131" s="4">
        <f>SUMIF(Table1[Date],Daily_Totals!B131,Table1[Amount])</f>
        <v>31305</v>
      </c>
      <c r="D131" s="11">
        <f t="shared" ref="D131:D194" si="7">MONTH(B131)</f>
        <v>5</v>
      </c>
      <c r="E131" s="12">
        <f t="shared" ref="E131:E194" si="8">D131</f>
        <v>5</v>
      </c>
    </row>
    <row r="132" spans="1:5" x14ac:dyDescent="0.3">
      <c r="A132">
        <f t="shared" si="6"/>
        <v>2023</v>
      </c>
      <c r="B132" s="3">
        <v>45057</v>
      </c>
      <c r="C132" s="4">
        <f>SUMIF(Table1[Date],Daily_Totals!B132,Table1[Amount])</f>
        <v>33049</v>
      </c>
      <c r="D132" s="11">
        <f t="shared" si="7"/>
        <v>5</v>
      </c>
      <c r="E132" s="12">
        <f t="shared" si="8"/>
        <v>5</v>
      </c>
    </row>
    <row r="133" spans="1:5" x14ac:dyDescent="0.3">
      <c r="A133">
        <f t="shared" si="6"/>
        <v>2023</v>
      </c>
      <c r="B133" s="3">
        <v>45058</v>
      </c>
      <c r="C133" s="4">
        <f>SUMIF(Table1[Date],Daily_Totals!B133,Table1[Amount])</f>
        <v>18513</v>
      </c>
      <c r="D133" s="11">
        <f t="shared" si="7"/>
        <v>5</v>
      </c>
      <c r="E133" s="12">
        <f t="shared" si="8"/>
        <v>5</v>
      </c>
    </row>
    <row r="134" spans="1:5" x14ac:dyDescent="0.3">
      <c r="A134">
        <f t="shared" si="6"/>
        <v>2023</v>
      </c>
      <c r="B134" s="3">
        <v>45059</v>
      </c>
      <c r="C134" s="4">
        <f>SUMIF(Table1[Date],Daily_Totals!B134,Table1[Amount])</f>
        <v>30913</v>
      </c>
      <c r="D134" s="11">
        <f t="shared" si="7"/>
        <v>5</v>
      </c>
      <c r="E134" s="12">
        <f t="shared" si="8"/>
        <v>5</v>
      </c>
    </row>
    <row r="135" spans="1:5" x14ac:dyDescent="0.3">
      <c r="A135">
        <f t="shared" si="6"/>
        <v>2023</v>
      </c>
      <c r="B135" s="3">
        <v>45060</v>
      </c>
      <c r="C135" s="4">
        <f>SUMIF(Table1[Date],Daily_Totals!B135,Table1[Amount])</f>
        <v>14010</v>
      </c>
      <c r="D135" s="11">
        <f t="shared" si="7"/>
        <v>5</v>
      </c>
      <c r="E135" s="12">
        <f t="shared" si="8"/>
        <v>5</v>
      </c>
    </row>
    <row r="136" spans="1:5" x14ac:dyDescent="0.3">
      <c r="A136">
        <f t="shared" si="6"/>
        <v>2023</v>
      </c>
      <c r="B136" s="3">
        <v>45061</v>
      </c>
      <c r="C136" s="4">
        <f>SUMIF(Table1[Date],Daily_Totals!B136,Table1[Amount])</f>
        <v>18260</v>
      </c>
      <c r="D136" s="11">
        <f t="shared" si="7"/>
        <v>5</v>
      </c>
      <c r="E136" s="12">
        <f t="shared" si="8"/>
        <v>5</v>
      </c>
    </row>
    <row r="137" spans="1:5" x14ac:dyDescent="0.3">
      <c r="A137">
        <f t="shared" si="6"/>
        <v>2023</v>
      </c>
      <c r="B137" s="3">
        <v>45062</v>
      </c>
      <c r="C137" s="4">
        <f>SUMIF(Table1[Date],Daily_Totals!B137,Table1[Amount])</f>
        <v>26903</v>
      </c>
      <c r="D137" s="11">
        <f t="shared" si="7"/>
        <v>5</v>
      </c>
      <c r="E137" s="12">
        <f t="shared" si="8"/>
        <v>5</v>
      </c>
    </row>
    <row r="138" spans="1:5" x14ac:dyDescent="0.3">
      <c r="A138">
        <f t="shared" si="6"/>
        <v>2023</v>
      </c>
      <c r="B138" s="3">
        <v>45063</v>
      </c>
      <c r="C138" s="4">
        <f>SUMIF(Table1[Date],Daily_Totals!B138,Table1[Amount])</f>
        <v>49906</v>
      </c>
      <c r="D138" s="11">
        <f t="shared" si="7"/>
        <v>5</v>
      </c>
      <c r="E138" s="12">
        <f t="shared" si="8"/>
        <v>5</v>
      </c>
    </row>
    <row r="139" spans="1:5" x14ac:dyDescent="0.3">
      <c r="A139">
        <f t="shared" si="6"/>
        <v>2023</v>
      </c>
      <c r="B139" s="3">
        <v>45064</v>
      </c>
      <c r="C139" s="4">
        <f>SUMIF(Table1[Date],Daily_Totals!B139,Table1[Amount])</f>
        <v>25205</v>
      </c>
      <c r="D139" s="11">
        <f t="shared" si="7"/>
        <v>5</v>
      </c>
      <c r="E139" s="12">
        <f t="shared" si="8"/>
        <v>5</v>
      </c>
    </row>
    <row r="140" spans="1:5" x14ac:dyDescent="0.3">
      <c r="A140">
        <f t="shared" si="6"/>
        <v>2023</v>
      </c>
      <c r="B140" s="3">
        <v>45065</v>
      </c>
      <c r="C140" s="4">
        <f>SUMIF(Table1[Date],Daily_Totals!B140,Table1[Amount])</f>
        <v>2478</v>
      </c>
      <c r="D140" s="11">
        <f t="shared" si="7"/>
        <v>5</v>
      </c>
      <c r="E140" s="12">
        <f t="shared" si="8"/>
        <v>5</v>
      </c>
    </row>
    <row r="141" spans="1:5" x14ac:dyDescent="0.3">
      <c r="A141">
        <f t="shared" si="6"/>
        <v>2023</v>
      </c>
      <c r="B141" s="3">
        <v>45066</v>
      </c>
      <c r="C141" s="4">
        <f>SUMIF(Table1[Date],Daily_Totals!B141,Table1[Amount])</f>
        <v>31848</v>
      </c>
      <c r="D141" s="11">
        <f t="shared" si="7"/>
        <v>5</v>
      </c>
      <c r="E141" s="12">
        <f t="shared" si="8"/>
        <v>5</v>
      </c>
    </row>
    <row r="142" spans="1:5" x14ac:dyDescent="0.3">
      <c r="A142">
        <f t="shared" si="6"/>
        <v>2023</v>
      </c>
      <c r="B142" s="3">
        <v>45067</v>
      </c>
      <c r="C142" s="4">
        <f>SUMIF(Table1[Date],Daily_Totals!B142,Table1[Amount])</f>
        <v>3624</v>
      </c>
      <c r="D142" s="11">
        <f t="shared" si="7"/>
        <v>5</v>
      </c>
      <c r="E142" s="12">
        <f t="shared" si="8"/>
        <v>5</v>
      </c>
    </row>
    <row r="143" spans="1:5" x14ac:dyDescent="0.3">
      <c r="A143">
        <f t="shared" si="6"/>
        <v>2023</v>
      </c>
      <c r="B143" s="3">
        <v>45068</v>
      </c>
      <c r="C143" s="4">
        <f>SUMIF(Table1[Date],Daily_Totals!B143,Table1[Amount])</f>
        <v>7225</v>
      </c>
      <c r="D143" s="11">
        <f t="shared" si="7"/>
        <v>5</v>
      </c>
      <c r="E143" s="12">
        <f t="shared" si="8"/>
        <v>5</v>
      </c>
    </row>
    <row r="144" spans="1:5" x14ac:dyDescent="0.3">
      <c r="A144">
        <f t="shared" si="6"/>
        <v>2023</v>
      </c>
      <c r="B144" s="3">
        <v>45069</v>
      </c>
      <c r="C144" s="4">
        <f>SUMIF(Table1[Date],Daily_Totals!B144,Table1[Amount])</f>
        <v>47133</v>
      </c>
      <c r="D144" s="11">
        <f t="shared" si="7"/>
        <v>5</v>
      </c>
      <c r="E144" s="12">
        <f t="shared" si="8"/>
        <v>5</v>
      </c>
    </row>
    <row r="145" spans="1:5" x14ac:dyDescent="0.3">
      <c r="A145">
        <f t="shared" si="6"/>
        <v>2023</v>
      </c>
      <c r="B145" s="3">
        <v>45070</v>
      </c>
      <c r="C145" s="4">
        <f>SUMIF(Table1[Date],Daily_Totals!B145,Table1[Amount])</f>
        <v>25125</v>
      </c>
      <c r="D145" s="11">
        <f t="shared" si="7"/>
        <v>5</v>
      </c>
      <c r="E145" s="12">
        <f t="shared" si="8"/>
        <v>5</v>
      </c>
    </row>
    <row r="146" spans="1:5" x14ac:dyDescent="0.3">
      <c r="A146">
        <f t="shared" si="6"/>
        <v>2023</v>
      </c>
      <c r="B146" s="3">
        <v>45071</v>
      </c>
      <c r="C146" s="4">
        <f>SUMIF(Table1[Date],Daily_Totals!B146,Table1[Amount])</f>
        <v>1582</v>
      </c>
      <c r="D146" s="11">
        <f t="shared" si="7"/>
        <v>5</v>
      </c>
      <c r="E146" s="12">
        <f t="shared" si="8"/>
        <v>5</v>
      </c>
    </row>
    <row r="147" spans="1:5" x14ac:dyDescent="0.3">
      <c r="A147">
        <f t="shared" si="6"/>
        <v>2023</v>
      </c>
      <c r="B147" s="3">
        <v>45072</v>
      </c>
      <c r="C147" s="4">
        <f>SUMIF(Table1[Date],Daily_Totals!B147,Table1[Amount])</f>
        <v>28056</v>
      </c>
      <c r="D147" s="11">
        <f t="shared" si="7"/>
        <v>5</v>
      </c>
      <c r="E147" s="12">
        <f t="shared" si="8"/>
        <v>5</v>
      </c>
    </row>
    <row r="148" spans="1:5" x14ac:dyDescent="0.3">
      <c r="A148">
        <f t="shared" si="6"/>
        <v>2023</v>
      </c>
      <c r="B148" s="3">
        <v>45073</v>
      </c>
      <c r="C148" s="4">
        <f>SUMIF(Table1[Date],Daily_Totals!B148,Table1[Amount])</f>
        <v>27080</v>
      </c>
      <c r="D148" s="11">
        <f t="shared" si="7"/>
        <v>5</v>
      </c>
      <c r="E148" s="12">
        <f t="shared" si="8"/>
        <v>5</v>
      </c>
    </row>
    <row r="149" spans="1:5" x14ac:dyDescent="0.3">
      <c r="A149">
        <f t="shared" si="6"/>
        <v>2023</v>
      </c>
      <c r="B149" s="3">
        <v>45074</v>
      </c>
      <c r="C149" s="4">
        <f>SUMIF(Table1[Date],Daily_Totals!B149,Table1[Amount])</f>
        <v>43499</v>
      </c>
      <c r="D149" s="11">
        <f t="shared" si="7"/>
        <v>5</v>
      </c>
      <c r="E149" s="12">
        <f t="shared" si="8"/>
        <v>5</v>
      </c>
    </row>
    <row r="150" spans="1:5" x14ac:dyDescent="0.3">
      <c r="A150">
        <f t="shared" si="6"/>
        <v>2023</v>
      </c>
      <c r="B150" s="3">
        <v>45075</v>
      </c>
      <c r="C150" s="4">
        <f>SUMIF(Table1[Date],Daily_Totals!B150,Table1[Amount])</f>
        <v>26327</v>
      </c>
      <c r="D150" s="11">
        <f t="shared" si="7"/>
        <v>5</v>
      </c>
      <c r="E150" s="12">
        <f t="shared" si="8"/>
        <v>5</v>
      </c>
    </row>
    <row r="151" spans="1:5" x14ac:dyDescent="0.3">
      <c r="A151">
        <f t="shared" si="6"/>
        <v>2023</v>
      </c>
      <c r="B151" s="3">
        <v>45076</v>
      </c>
      <c r="C151" s="4">
        <f>SUMIF(Table1[Date],Daily_Totals!B151,Table1[Amount])</f>
        <v>12514</v>
      </c>
      <c r="D151" s="11">
        <f t="shared" si="7"/>
        <v>5</v>
      </c>
      <c r="E151" s="12">
        <f t="shared" si="8"/>
        <v>5</v>
      </c>
    </row>
    <row r="152" spans="1:5" x14ac:dyDescent="0.3">
      <c r="A152">
        <f t="shared" si="6"/>
        <v>2023</v>
      </c>
      <c r="B152" s="3">
        <v>45077</v>
      </c>
      <c r="C152" s="4">
        <f>SUMIF(Table1[Date],Daily_Totals!B152,Table1[Amount])</f>
        <v>48042</v>
      </c>
      <c r="D152" s="11">
        <f t="shared" si="7"/>
        <v>5</v>
      </c>
      <c r="E152" s="12">
        <f t="shared" si="8"/>
        <v>5</v>
      </c>
    </row>
    <row r="153" spans="1:5" x14ac:dyDescent="0.3">
      <c r="A153">
        <f t="shared" si="6"/>
        <v>2023</v>
      </c>
      <c r="B153" s="3">
        <v>45079</v>
      </c>
      <c r="C153" s="4">
        <f>SUMIF(Table1[Date],Daily_Totals!B153,Table1[Amount])</f>
        <v>25060</v>
      </c>
      <c r="D153" s="11">
        <f t="shared" si="7"/>
        <v>6</v>
      </c>
      <c r="E153" s="12">
        <f t="shared" si="8"/>
        <v>6</v>
      </c>
    </row>
    <row r="154" spans="1:5" x14ac:dyDescent="0.3">
      <c r="A154">
        <f t="shared" si="6"/>
        <v>2023</v>
      </c>
      <c r="B154" s="3">
        <v>45080</v>
      </c>
      <c r="C154" s="4">
        <f>SUMIF(Table1[Date],Daily_Totals!B154,Table1[Amount])</f>
        <v>14190</v>
      </c>
      <c r="D154" s="11">
        <f t="shared" si="7"/>
        <v>6</v>
      </c>
      <c r="E154" s="12">
        <f t="shared" si="8"/>
        <v>6</v>
      </c>
    </row>
    <row r="155" spans="1:5" x14ac:dyDescent="0.3">
      <c r="A155">
        <f t="shared" si="6"/>
        <v>2023</v>
      </c>
      <c r="B155" s="3">
        <v>45081</v>
      </c>
      <c r="C155" s="4">
        <f>SUMIF(Table1[Date],Daily_Totals!B155,Table1[Amount])</f>
        <v>58786</v>
      </c>
      <c r="D155" s="11">
        <f t="shared" si="7"/>
        <v>6</v>
      </c>
      <c r="E155" s="12">
        <f t="shared" si="8"/>
        <v>6</v>
      </c>
    </row>
    <row r="156" spans="1:5" x14ac:dyDescent="0.3">
      <c r="A156">
        <f t="shared" si="6"/>
        <v>2023</v>
      </c>
      <c r="B156" s="3">
        <v>45082</v>
      </c>
      <c r="C156" s="4">
        <f>SUMIF(Table1[Date],Daily_Totals!B156,Table1[Amount])</f>
        <v>15695</v>
      </c>
      <c r="D156" s="11">
        <f t="shared" si="7"/>
        <v>6</v>
      </c>
      <c r="E156" s="12">
        <f t="shared" si="8"/>
        <v>6</v>
      </c>
    </row>
    <row r="157" spans="1:5" x14ac:dyDescent="0.3">
      <c r="A157">
        <f t="shared" si="6"/>
        <v>2023</v>
      </c>
      <c r="B157" s="3">
        <v>45083</v>
      </c>
      <c r="C157" s="4">
        <f>SUMIF(Table1[Date],Daily_Totals!B157,Table1[Amount])</f>
        <v>47562</v>
      </c>
      <c r="D157" s="11">
        <f t="shared" si="7"/>
        <v>6</v>
      </c>
      <c r="E157" s="12">
        <f t="shared" si="8"/>
        <v>6</v>
      </c>
    </row>
    <row r="158" spans="1:5" x14ac:dyDescent="0.3">
      <c r="A158">
        <f t="shared" si="6"/>
        <v>2023</v>
      </c>
      <c r="B158" s="3">
        <v>45084</v>
      </c>
      <c r="C158" s="4">
        <f>SUMIF(Table1[Date],Daily_Totals!B158,Table1[Amount])</f>
        <v>14221</v>
      </c>
      <c r="D158" s="11">
        <f t="shared" si="7"/>
        <v>6</v>
      </c>
      <c r="E158" s="12">
        <f t="shared" si="8"/>
        <v>6</v>
      </c>
    </row>
    <row r="159" spans="1:5" x14ac:dyDescent="0.3">
      <c r="A159">
        <f t="shared" si="6"/>
        <v>2023</v>
      </c>
      <c r="B159" s="3">
        <v>45085</v>
      </c>
      <c r="C159" s="4">
        <f>SUMIF(Table1[Date],Daily_Totals!B159,Table1[Amount])</f>
        <v>27506</v>
      </c>
      <c r="D159" s="11">
        <f t="shared" si="7"/>
        <v>6</v>
      </c>
      <c r="E159" s="12">
        <f t="shared" si="8"/>
        <v>6</v>
      </c>
    </row>
    <row r="160" spans="1:5" x14ac:dyDescent="0.3">
      <c r="A160">
        <f t="shared" si="6"/>
        <v>2023</v>
      </c>
      <c r="B160" s="3">
        <v>45086</v>
      </c>
      <c r="C160" s="4">
        <f>SUMIF(Table1[Date],Daily_Totals!B160,Table1[Amount])</f>
        <v>38935</v>
      </c>
      <c r="D160" s="11">
        <f t="shared" si="7"/>
        <v>6</v>
      </c>
      <c r="E160" s="12">
        <f t="shared" si="8"/>
        <v>6</v>
      </c>
    </row>
    <row r="161" spans="1:5" x14ac:dyDescent="0.3">
      <c r="A161">
        <f t="shared" si="6"/>
        <v>2023</v>
      </c>
      <c r="B161" s="3">
        <v>45087</v>
      </c>
      <c r="C161" s="4">
        <f>SUMIF(Table1[Date],Daily_Totals!B161,Table1[Amount])</f>
        <v>22466</v>
      </c>
      <c r="D161" s="11">
        <f t="shared" si="7"/>
        <v>6</v>
      </c>
      <c r="E161" s="12">
        <f t="shared" si="8"/>
        <v>6</v>
      </c>
    </row>
    <row r="162" spans="1:5" x14ac:dyDescent="0.3">
      <c r="A162">
        <f t="shared" si="6"/>
        <v>2023</v>
      </c>
      <c r="B162" s="3">
        <v>45088</v>
      </c>
      <c r="C162" s="4">
        <f>SUMIF(Table1[Date],Daily_Totals!B162,Table1[Amount])</f>
        <v>5701</v>
      </c>
      <c r="D162" s="11">
        <f t="shared" si="7"/>
        <v>6</v>
      </c>
      <c r="E162" s="12">
        <f t="shared" si="8"/>
        <v>6</v>
      </c>
    </row>
    <row r="163" spans="1:5" x14ac:dyDescent="0.3">
      <c r="A163">
        <f t="shared" si="6"/>
        <v>2023</v>
      </c>
      <c r="B163" s="3">
        <v>45089</v>
      </c>
      <c r="C163" s="4">
        <f>SUMIF(Table1[Date],Daily_Totals!B163,Table1[Amount])</f>
        <v>30991</v>
      </c>
      <c r="D163" s="11">
        <f t="shared" si="7"/>
        <v>6</v>
      </c>
      <c r="E163" s="12">
        <f t="shared" si="8"/>
        <v>6</v>
      </c>
    </row>
    <row r="164" spans="1:5" x14ac:dyDescent="0.3">
      <c r="A164">
        <f t="shared" si="6"/>
        <v>2023</v>
      </c>
      <c r="B164" s="3">
        <v>45090</v>
      </c>
      <c r="C164" s="4">
        <f>SUMIF(Table1[Date],Daily_Totals!B164,Table1[Amount])</f>
        <v>10151</v>
      </c>
      <c r="D164" s="11">
        <f t="shared" si="7"/>
        <v>6</v>
      </c>
      <c r="E164" s="12">
        <f t="shared" si="8"/>
        <v>6</v>
      </c>
    </row>
    <row r="165" spans="1:5" x14ac:dyDescent="0.3">
      <c r="A165">
        <f t="shared" si="6"/>
        <v>2023</v>
      </c>
      <c r="B165" s="3">
        <v>45091</v>
      </c>
      <c r="C165" s="4">
        <f>SUMIF(Table1[Date],Daily_Totals!B165,Table1[Amount])</f>
        <v>5704</v>
      </c>
      <c r="D165" s="11">
        <f t="shared" si="7"/>
        <v>6</v>
      </c>
      <c r="E165" s="12">
        <f t="shared" si="8"/>
        <v>6</v>
      </c>
    </row>
    <row r="166" spans="1:5" x14ac:dyDescent="0.3">
      <c r="A166">
        <f t="shared" si="6"/>
        <v>2023</v>
      </c>
      <c r="B166" s="3">
        <v>45092</v>
      </c>
      <c r="C166" s="4">
        <f>SUMIF(Table1[Date],Daily_Totals!B166,Table1[Amount])</f>
        <v>26486</v>
      </c>
      <c r="D166" s="11">
        <f t="shared" si="7"/>
        <v>6</v>
      </c>
      <c r="E166" s="12">
        <f t="shared" si="8"/>
        <v>6</v>
      </c>
    </row>
    <row r="167" spans="1:5" x14ac:dyDescent="0.3">
      <c r="A167">
        <f t="shared" si="6"/>
        <v>2023</v>
      </c>
      <c r="B167" s="3">
        <v>45093</v>
      </c>
      <c r="C167" s="4">
        <f>SUMIF(Table1[Date],Daily_Totals!B167,Table1[Amount])</f>
        <v>35738</v>
      </c>
      <c r="D167" s="11">
        <f t="shared" si="7"/>
        <v>6</v>
      </c>
      <c r="E167" s="12">
        <f t="shared" si="8"/>
        <v>6</v>
      </c>
    </row>
    <row r="168" spans="1:5" x14ac:dyDescent="0.3">
      <c r="A168">
        <f t="shared" si="6"/>
        <v>2023</v>
      </c>
      <c r="B168" s="3">
        <v>45094</v>
      </c>
      <c r="C168" s="4">
        <f>SUMIF(Table1[Date],Daily_Totals!B168,Table1[Amount])</f>
        <v>47213</v>
      </c>
      <c r="D168" s="11">
        <f t="shared" si="7"/>
        <v>6</v>
      </c>
      <c r="E168" s="12">
        <f t="shared" si="8"/>
        <v>6</v>
      </c>
    </row>
    <row r="169" spans="1:5" x14ac:dyDescent="0.3">
      <c r="A169">
        <f t="shared" si="6"/>
        <v>2023</v>
      </c>
      <c r="B169" s="3">
        <v>45095</v>
      </c>
      <c r="C169" s="4">
        <f>SUMIF(Table1[Date],Daily_Totals!B169,Table1[Amount])</f>
        <v>25881</v>
      </c>
      <c r="D169" s="11">
        <f t="shared" si="7"/>
        <v>6</v>
      </c>
      <c r="E169" s="12">
        <f t="shared" si="8"/>
        <v>6</v>
      </c>
    </row>
    <row r="170" spans="1:5" x14ac:dyDescent="0.3">
      <c r="A170">
        <f t="shared" si="6"/>
        <v>2023</v>
      </c>
      <c r="B170" s="3">
        <v>45096</v>
      </c>
      <c r="C170" s="4">
        <f>SUMIF(Table1[Date],Daily_Totals!B170,Table1[Amount])</f>
        <v>46264</v>
      </c>
      <c r="D170" s="11">
        <f t="shared" si="7"/>
        <v>6</v>
      </c>
      <c r="E170" s="12">
        <f t="shared" si="8"/>
        <v>6</v>
      </c>
    </row>
    <row r="171" spans="1:5" x14ac:dyDescent="0.3">
      <c r="A171">
        <f t="shared" si="6"/>
        <v>2023</v>
      </c>
      <c r="B171" s="3">
        <v>45097</v>
      </c>
      <c r="C171" s="4">
        <f>SUMIF(Table1[Date],Daily_Totals!B171,Table1[Amount])</f>
        <v>16087</v>
      </c>
      <c r="D171" s="11">
        <f t="shared" si="7"/>
        <v>6</v>
      </c>
      <c r="E171" s="12">
        <f t="shared" si="8"/>
        <v>6</v>
      </c>
    </row>
    <row r="172" spans="1:5" x14ac:dyDescent="0.3">
      <c r="A172">
        <f t="shared" si="6"/>
        <v>2023</v>
      </c>
      <c r="B172" s="3">
        <v>45098</v>
      </c>
      <c r="C172" s="4">
        <f>SUMIF(Table1[Date],Daily_Totals!B172,Table1[Amount])</f>
        <v>13775</v>
      </c>
      <c r="D172" s="11">
        <f t="shared" si="7"/>
        <v>6</v>
      </c>
      <c r="E172" s="12">
        <f t="shared" si="8"/>
        <v>6</v>
      </c>
    </row>
    <row r="173" spans="1:5" x14ac:dyDescent="0.3">
      <c r="A173">
        <f t="shared" si="6"/>
        <v>2023</v>
      </c>
      <c r="B173" s="3">
        <v>45099</v>
      </c>
      <c r="C173" s="4">
        <f>SUMIF(Table1[Date],Daily_Totals!B173,Table1[Amount])</f>
        <v>11313</v>
      </c>
      <c r="D173" s="11">
        <f t="shared" si="7"/>
        <v>6</v>
      </c>
      <c r="E173" s="12">
        <f t="shared" si="8"/>
        <v>6</v>
      </c>
    </row>
    <row r="174" spans="1:5" x14ac:dyDescent="0.3">
      <c r="A174">
        <f t="shared" si="6"/>
        <v>2023</v>
      </c>
      <c r="B174" s="3">
        <v>45100</v>
      </c>
      <c r="C174" s="4">
        <f>SUMIF(Table1[Date],Daily_Totals!B174,Table1[Amount])</f>
        <v>38029</v>
      </c>
      <c r="D174" s="11">
        <f t="shared" si="7"/>
        <v>6</v>
      </c>
      <c r="E174" s="12">
        <f t="shared" si="8"/>
        <v>6</v>
      </c>
    </row>
    <row r="175" spans="1:5" x14ac:dyDescent="0.3">
      <c r="A175">
        <f t="shared" si="6"/>
        <v>2023</v>
      </c>
      <c r="B175" s="3">
        <v>45101</v>
      </c>
      <c r="C175" s="4">
        <f>SUMIF(Table1[Date],Daily_Totals!B175,Table1[Amount])</f>
        <v>12287</v>
      </c>
      <c r="D175" s="11">
        <f t="shared" si="7"/>
        <v>6</v>
      </c>
      <c r="E175" s="12">
        <f t="shared" si="8"/>
        <v>6</v>
      </c>
    </row>
    <row r="176" spans="1:5" x14ac:dyDescent="0.3">
      <c r="A176">
        <f t="shared" si="6"/>
        <v>2023</v>
      </c>
      <c r="B176" s="3">
        <v>45102</v>
      </c>
      <c r="C176" s="4">
        <f>SUMIF(Table1[Date],Daily_Totals!B176,Table1[Amount])</f>
        <v>34947</v>
      </c>
      <c r="D176" s="11">
        <f t="shared" si="7"/>
        <v>6</v>
      </c>
      <c r="E176" s="12">
        <f t="shared" si="8"/>
        <v>6</v>
      </c>
    </row>
    <row r="177" spans="1:5" x14ac:dyDescent="0.3">
      <c r="A177">
        <f t="shared" si="6"/>
        <v>2023</v>
      </c>
      <c r="B177" s="3">
        <v>45104</v>
      </c>
      <c r="C177" s="4">
        <f>SUMIF(Table1[Date],Daily_Totals!B177,Table1[Amount])</f>
        <v>9240</v>
      </c>
      <c r="D177" s="11">
        <f t="shared" si="7"/>
        <v>6</v>
      </c>
      <c r="E177" s="12">
        <f t="shared" si="8"/>
        <v>6</v>
      </c>
    </row>
    <row r="178" spans="1:5" x14ac:dyDescent="0.3">
      <c r="A178">
        <f t="shared" si="6"/>
        <v>2023</v>
      </c>
      <c r="B178" s="3">
        <v>45105</v>
      </c>
      <c r="C178" s="4">
        <f>SUMIF(Table1[Date],Daily_Totals!B178,Table1[Amount])</f>
        <v>25299</v>
      </c>
      <c r="D178" s="11">
        <f t="shared" si="7"/>
        <v>6</v>
      </c>
      <c r="E178" s="12">
        <f t="shared" si="8"/>
        <v>6</v>
      </c>
    </row>
    <row r="179" spans="1:5" x14ac:dyDescent="0.3">
      <c r="A179">
        <f t="shared" si="6"/>
        <v>2023</v>
      </c>
      <c r="B179" s="3">
        <v>45106</v>
      </c>
      <c r="C179" s="4">
        <f>SUMIF(Table1[Date],Daily_Totals!B179,Table1[Amount])</f>
        <v>51200</v>
      </c>
      <c r="D179" s="11">
        <f t="shared" si="7"/>
        <v>6</v>
      </c>
      <c r="E179" s="12">
        <f t="shared" si="8"/>
        <v>6</v>
      </c>
    </row>
    <row r="180" spans="1:5" x14ac:dyDescent="0.3">
      <c r="A180">
        <f t="shared" si="6"/>
        <v>2023</v>
      </c>
      <c r="B180" s="3">
        <v>45107</v>
      </c>
      <c r="C180" s="4">
        <f>SUMIF(Table1[Date],Daily_Totals!B180,Table1[Amount])</f>
        <v>26886</v>
      </c>
      <c r="D180" s="11">
        <f t="shared" si="7"/>
        <v>6</v>
      </c>
      <c r="E180" s="12">
        <f t="shared" si="8"/>
        <v>6</v>
      </c>
    </row>
    <row r="181" spans="1:5" x14ac:dyDescent="0.3">
      <c r="A181">
        <f t="shared" si="6"/>
        <v>2023</v>
      </c>
      <c r="B181" s="3">
        <v>45108</v>
      </c>
      <c r="C181" s="4">
        <f>SUMIF(Table1[Date],Daily_Totals!B181,Table1[Amount])</f>
        <v>27635</v>
      </c>
      <c r="D181" s="11">
        <f t="shared" si="7"/>
        <v>7</v>
      </c>
      <c r="E181" s="12">
        <f t="shared" si="8"/>
        <v>7</v>
      </c>
    </row>
    <row r="182" spans="1:5" x14ac:dyDescent="0.3">
      <c r="A182">
        <f t="shared" si="6"/>
        <v>2023</v>
      </c>
      <c r="B182" s="3">
        <v>45109</v>
      </c>
      <c r="C182" s="4">
        <f>SUMIF(Table1[Date],Daily_Totals!B182,Table1[Amount])</f>
        <v>18806</v>
      </c>
      <c r="D182" s="11">
        <f t="shared" si="7"/>
        <v>7</v>
      </c>
      <c r="E182" s="12">
        <f t="shared" si="8"/>
        <v>7</v>
      </c>
    </row>
    <row r="183" spans="1:5" x14ac:dyDescent="0.3">
      <c r="A183">
        <f t="shared" si="6"/>
        <v>2023</v>
      </c>
      <c r="B183" s="3">
        <v>45110</v>
      </c>
      <c r="C183" s="4">
        <f>SUMIF(Table1[Date],Daily_Totals!B183,Table1[Amount])</f>
        <v>7014</v>
      </c>
      <c r="D183" s="11">
        <f t="shared" si="7"/>
        <v>7</v>
      </c>
      <c r="E183" s="12">
        <f t="shared" si="8"/>
        <v>7</v>
      </c>
    </row>
    <row r="184" spans="1:5" x14ac:dyDescent="0.3">
      <c r="A184">
        <f t="shared" si="6"/>
        <v>2023</v>
      </c>
      <c r="B184" s="3">
        <v>45111</v>
      </c>
      <c r="C184" s="4">
        <f>SUMIF(Table1[Date],Daily_Totals!B184,Table1[Amount])</f>
        <v>82987</v>
      </c>
      <c r="D184" s="11">
        <f t="shared" si="7"/>
        <v>7</v>
      </c>
      <c r="E184" s="12">
        <f t="shared" si="8"/>
        <v>7</v>
      </c>
    </row>
    <row r="185" spans="1:5" x14ac:dyDescent="0.3">
      <c r="A185">
        <f t="shared" si="6"/>
        <v>2023</v>
      </c>
      <c r="B185" s="3">
        <v>45112</v>
      </c>
      <c r="C185" s="4">
        <f>SUMIF(Table1[Date],Daily_Totals!B185,Table1[Amount])</f>
        <v>45517</v>
      </c>
      <c r="D185" s="11">
        <f t="shared" si="7"/>
        <v>7</v>
      </c>
      <c r="E185" s="12">
        <f t="shared" si="8"/>
        <v>7</v>
      </c>
    </row>
    <row r="186" spans="1:5" x14ac:dyDescent="0.3">
      <c r="A186">
        <f t="shared" si="6"/>
        <v>2023</v>
      </c>
      <c r="B186" s="3">
        <v>45113</v>
      </c>
      <c r="C186" s="4">
        <f>SUMIF(Table1[Date],Daily_Totals!B186,Table1[Amount])</f>
        <v>24209</v>
      </c>
      <c r="D186" s="11">
        <f t="shared" si="7"/>
        <v>7</v>
      </c>
      <c r="E186" s="12">
        <f t="shared" si="8"/>
        <v>7</v>
      </c>
    </row>
    <row r="187" spans="1:5" x14ac:dyDescent="0.3">
      <c r="A187">
        <f t="shared" si="6"/>
        <v>2023</v>
      </c>
      <c r="B187" s="3">
        <v>45115</v>
      </c>
      <c r="C187" s="4">
        <f>SUMIF(Table1[Date],Daily_Totals!B187,Table1[Amount])</f>
        <v>11210</v>
      </c>
      <c r="D187" s="11">
        <f t="shared" si="7"/>
        <v>7</v>
      </c>
      <c r="E187" s="12">
        <f t="shared" si="8"/>
        <v>7</v>
      </c>
    </row>
    <row r="188" spans="1:5" x14ac:dyDescent="0.3">
      <c r="A188">
        <f t="shared" si="6"/>
        <v>2023</v>
      </c>
      <c r="B188" s="3">
        <v>45116</v>
      </c>
      <c r="C188" s="4">
        <f>SUMIF(Table1[Date],Daily_Totals!B188,Table1[Amount])</f>
        <v>15054</v>
      </c>
      <c r="D188" s="11">
        <f t="shared" si="7"/>
        <v>7</v>
      </c>
      <c r="E188" s="12">
        <f t="shared" si="8"/>
        <v>7</v>
      </c>
    </row>
    <row r="189" spans="1:5" x14ac:dyDescent="0.3">
      <c r="A189">
        <f t="shared" si="6"/>
        <v>2023</v>
      </c>
      <c r="B189" s="3">
        <v>45117</v>
      </c>
      <c r="C189" s="4">
        <f>SUMIF(Table1[Date],Daily_Totals!B189,Table1[Amount])</f>
        <v>18320</v>
      </c>
      <c r="D189" s="11">
        <f t="shared" si="7"/>
        <v>7</v>
      </c>
      <c r="E189" s="12">
        <f t="shared" si="8"/>
        <v>7</v>
      </c>
    </row>
    <row r="190" spans="1:5" x14ac:dyDescent="0.3">
      <c r="A190">
        <f t="shared" si="6"/>
        <v>2023</v>
      </c>
      <c r="B190" s="3">
        <v>45118</v>
      </c>
      <c r="C190" s="4">
        <f>SUMIF(Table1[Date],Daily_Totals!B190,Table1[Amount])</f>
        <v>42938</v>
      </c>
      <c r="D190" s="11">
        <f t="shared" si="7"/>
        <v>7</v>
      </c>
      <c r="E190" s="12">
        <f t="shared" si="8"/>
        <v>7</v>
      </c>
    </row>
    <row r="191" spans="1:5" x14ac:dyDescent="0.3">
      <c r="A191">
        <f t="shared" si="6"/>
        <v>2023</v>
      </c>
      <c r="B191" s="3">
        <v>45119</v>
      </c>
      <c r="C191" s="4">
        <f>SUMIF(Table1[Date],Daily_Totals!B191,Table1[Amount])</f>
        <v>13858</v>
      </c>
      <c r="D191" s="11">
        <f t="shared" si="7"/>
        <v>7</v>
      </c>
      <c r="E191" s="12">
        <f t="shared" si="8"/>
        <v>7</v>
      </c>
    </row>
    <row r="192" spans="1:5" x14ac:dyDescent="0.3">
      <c r="A192">
        <f t="shared" si="6"/>
        <v>2023</v>
      </c>
      <c r="B192" s="3">
        <v>45120</v>
      </c>
      <c r="C192" s="4">
        <f>SUMIF(Table1[Date],Daily_Totals!B192,Table1[Amount])</f>
        <v>28078</v>
      </c>
      <c r="D192" s="11">
        <f t="shared" si="7"/>
        <v>7</v>
      </c>
      <c r="E192" s="12">
        <f t="shared" si="8"/>
        <v>7</v>
      </c>
    </row>
    <row r="193" spans="1:5" x14ac:dyDescent="0.3">
      <c r="A193">
        <f t="shared" si="6"/>
        <v>2023</v>
      </c>
      <c r="B193" s="3">
        <v>45121</v>
      </c>
      <c r="C193" s="4">
        <f>SUMIF(Table1[Date],Daily_Totals!B193,Table1[Amount])</f>
        <v>53895</v>
      </c>
      <c r="D193" s="11">
        <f t="shared" si="7"/>
        <v>7</v>
      </c>
      <c r="E193" s="12">
        <f t="shared" si="8"/>
        <v>7</v>
      </c>
    </row>
    <row r="194" spans="1:5" x14ac:dyDescent="0.3">
      <c r="A194">
        <f t="shared" si="6"/>
        <v>2023</v>
      </c>
      <c r="B194" s="3">
        <v>45122</v>
      </c>
      <c r="C194" s="4">
        <f>SUMIF(Table1[Date],Daily_Totals!B194,Table1[Amount])</f>
        <v>33706</v>
      </c>
      <c r="D194" s="11">
        <f t="shared" si="7"/>
        <v>7</v>
      </c>
      <c r="E194" s="12">
        <f t="shared" si="8"/>
        <v>7</v>
      </c>
    </row>
    <row r="195" spans="1:5" x14ac:dyDescent="0.3">
      <c r="A195">
        <f t="shared" ref="A195:A258" si="9">YEAR(B195)</f>
        <v>2023</v>
      </c>
      <c r="B195" s="3">
        <v>45123</v>
      </c>
      <c r="C195" s="4">
        <f>SUMIF(Table1[Date],Daily_Totals!B195,Table1[Amount])</f>
        <v>43525</v>
      </c>
      <c r="D195" s="11">
        <f t="shared" ref="D195:D258" si="10">MONTH(B195)</f>
        <v>7</v>
      </c>
      <c r="E195" s="12">
        <f t="shared" ref="E195:E258" si="11">D195</f>
        <v>7</v>
      </c>
    </row>
    <row r="196" spans="1:5" x14ac:dyDescent="0.3">
      <c r="A196">
        <f t="shared" si="9"/>
        <v>2023</v>
      </c>
      <c r="B196" s="3">
        <v>45124</v>
      </c>
      <c r="C196" s="4">
        <f>SUMIF(Table1[Date],Daily_Totals!B196,Table1[Amount])</f>
        <v>46907</v>
      </c>
      <c r="D196" s="11">
        <f t="shared" si="10"/>
        <v>7</v>
      </c>
      <c r="E196" s="12">
        <f t="shared" si="11"/>
        <v>7</v>
      </c>
    </row>
    <row r="197" spans="1:5" x14ac:dyDescent="0.3">
      <c r="A197">
        <f t="shared" si="9"/>
        <v>2023</v>
      </c>
      <c r="B197" s="3">
        <v>45125</v>
      </c>
      <c r="C197" s="4">
        <f>SUMIF(Table1[Date],Daily_Totals!B197,Table1[Amount])</f>
        <v>36956</v>
      </c>
      <c r="D197" s="11">
        <f t="shared" si="10"/>
        <v>7</v>
      </c>
      <c r="E197" s="12">
        <f t="shared" si="11"/>
        <v>7</v>
      </c>
    </row>
    <row r="198" spans="1:5" x14ac:dyDescent="0.3">
      <c r="A198">
        <f t="shared" si="9"/>
        <v>2023</v>
      </c>
      <c r="B198" s="3">
        <v>45126</v>
      </c>
      <c r="C198" s="4">
        <f>SUMIF(Table1[Date],Daily_Totals!B198,Table1[Amount])</f>
        <v>49489</v>
      </c>
      <c r="D198" s="11">
        <f t="shared" si="10"/>
        <v>7</v>
      </c>
      <c r="E198" s="12">
        <f t="shared" si="11"/>
        <v>7</v>
      </c>
    </row>
    <row r="199" spans="1:5" x14ac:dyDescent="0.3">
      <c r="A199">
        <f t="shared" si="9"/>
        <v>2023</v>
      </c>
      <c r="B199" s="3">
        <v>45127</v>
      </c>
      <c r="C199" s="4">
        <f>SUMIF(Table1[Date],Daily_Totals!B199,Table1[Amount])</f>
        <v>16937</v>
      </c>
      <c r="D199" s="11">
        <f t="shared" si="10"/>
        <v>7</v>
      </c>
      <c r="E199" s="12">
        <f t="shared" si="11"/>
        <v>7</v>
      </c>
    </row>
    <row r="200" spans="1:5" x14ac:dyDescent="0.3">
      <c r="A200">
        <f t="shared" si="9"/>
        <v>2023</v>
      </c>
      <c r="B200" s="3">
        <v>45128</v>
      </c>
      <c r="C200" s="4">
        <f>SUMIF(Table1[Date],Daily_Totals!B200,Table1[Amount])</f>
        <v>71837</v>
      </c>
      <c r="D200" s="11">
        <f t="shared" si="10"/>
        <v>7</v>
      </c>
      <c r="E200" s="12">
        <f t="shared" si="11"/>
        <v>7</v>
      </c>
    </row>
    <row r="201" spans="1:5" x14ac:dyDescent="0.3">
      <c r="A201">
        <f t="shared" si="9"/>
        <v>2023</v>
      </c>
      <c r="B201" s="3">
        <v>45129</v>
      </c>
      <c r="C201" s="4">
        <f>SUMIF(Table1[Date],Daily_Totals!B201,Table1[Amount])</f>
        <v>34088</v>
      </c>
      <c r="D201" s="11">
        <f t="shared" si="10"/>
        <v>7</v>
      </c>
      <c r="E201" s="12">
        <f t="shared" si="11"/>
        <v>7</v>
      </c>
    </row>
    <row r="202" spans="1:5" x14ac:dyDescent="0.3">
      <c r="A202">
        <f t="shared" si="9"/>
        <v>2023</v>
      </c>
      <c r="B202" s="3">
        <v>45130</v>
      </c>
      <c r="C202" s="4">
        <f>SUMIF(Table1[Date],Daily_Totals!B202,Table1[Amount])</f>
        <v>18739</v>
      </c>
      <c r="D202" s="11">
        <f t="shared" si="10"/>
        <v>7</v>
      </c>
      <c r="E202" s="12">
        <f t="shared" si="11"/>
        <v>7</v>
      </c>
    </row>
    <row r="203" spans="1:5" x14ac:dyDescent="0.3">
      <c r="A203">
        <f t="shared" si="9"/>
        <v>2023</v>
      </c>
      <c r="B203" s="3">
        <v>45131</v>
      </c>
      <c r="C203" s="4">
        <f>SUMIF(Table1[Date],Daily_Totals!B203,Table1[Amount])</f>
        <v>15573</v>
      </c>
      <c r="D203" s="11">
        <f t="shared" si="10"/>
        <v>7</v>
      </c>
      <c r="E203" s="12">
        <f t="shared" si="11"/>
        <v>7</v>
      </c>
    </row>
    <row r="204" spans="1:5" x14ac:dyDescent="0.3">
      <c r="A204">
        <f t="shared" si="9"/>
        <v>2023</v>
      </c>
      <c r="B204" s="3">
        <v>45132</v>
      </c>
      <c r="C204" s="4">
        <f>SUMIF(Table1[Date],Daily_Totals!B204,Table1[Amount])</f>
        <v>15085</v>
      </c>
      <c r="D204" s="11">
        <f t="shared" si="10"/>
        <v>7</v>
      </c>
      <c r="E204" s="12">
        <f t="shared" si="11"/>
        <v>7</v>
      </c>
    </row>
    <row r="205" spans="1:5" x14ac:dyDescent="0.3">
      <c r="A205">
        <f t="shared" si="9"/>
        <v>2023</v>
      </c>
      <c r="B205" s="3">
        <v>45133</v>
      </c>
      <c r="C205" s="4">
        <f>SUMIF(Table1[Date],Daily_Totals!B205,Table1[Amount])</f>
        <v>51142</v>
      </c>
      <c r="D205" s="11">
        <f t="shared" si="10"/>
        <v>7</v>
      </c>
      <c r="E205" s="12">
        <f t="shared" si="11"/>
        <v>7</v>
      </c>
    </row>
    <row r="206" spans="1:5" x14ac:dyDescent="0.3">
      <c r="A206">
        <f t="shared" si="9"/>
        <v>2023</v>
      </c>
      <c r="B206" s="3">
        <v>45134</v>
      </c>
      <c r="C206" s="4">
        <f>SUMIF(Table1[Date],Daily_Totals!B206,Table1[Amount])</f>
        <v>27285</v>
      </c>
      <c r="D206" s="11">
        <f t="shared" si="10"/>
        <v>7</v>
      </c>
      <c r="E206" s="12">
        <f t="shared" si="11"/>
        <v>7</v>
      </c>
    </row>
    <row r="207" spans="1:5" x14ac:dyDescent="0.3">
      <c r="A207">
        <f t="shared" si="9"/>
        <v>2023</v>
      </c>
      <c r="B207" s="3">
        <v>45135</v>
      </c>
      <c r="C207" s="4">
        <f>SUMIF(Table1[Date],Daily_Totals!B207,Table1[Amount])</f>
        <v>30096</v>
      </c>
      <c r="D207" s="11">
        <f t="shared" si="10"/>
        <v>7</v>
      </c>
      <c r="E207" s="12">
        <f t="shared" si="11"/>
        <v>7</v>
      </c>
    </row>
    <row r="208" spans="1:5" x14ac:dyDescent="0.3">
      <c r="A208">
        <f t="shared" si="9"/>
        <v>2023</v>
      </c>
      <c r="B208" s="3">
        <v>45136</v>
      </c>
      <c r="C208" s="4">
        <f>SUMIF(Table1[Date],Daily_Totals!B208,Table1[Amount])</f>
        <v>15937</v>
      </c>
      <c r="D208" s="11">
        <f t="shared" si="10"/>
        <v>7</v>
      </c>
      <c r="E208" s="12">
        <f t="shared" si="11"/>
        <v>7</v>
      </c>
    </row>
    <row r="209" spans="1:5" x14ac:dyDescent="0.3">
      <c r="A209">
        <f t="shared" si="9"/>
        <v>2023</v>
      </c>
      <c r="B209" s="3">
        <v>45137</v>
      </c>
      <c r="C209" s="4">
        <f>SUMIF(Table1[Date],Daily_Totals!B209,Table1[Amount])</f>
        <v>32285</v>
      </c>
      <c r="D209" s="11">
        <f t="shared" si="10"/>
        <v>7</v>
      </c>
      <c r="E209" s="12">
        <f t="shared" si="11"/>
        <v>7</v>
      </c>
    </row>
    <row r="210" spans="1:5" x14ac:dyDescent="0.3">
      <c r="A210">
        <f t="shared" si="9"/>
        <v>2023</v>
      </c>
      <c r="B210" s="3">
        <v>45138</v>
      </c>
      <c r="C210" s="4">
        <f>SUMIF(Table1[Date],Daily_Totals!B210,Table1[Amount])</f>
        <v>44359</v>
      </c>
      <c r="D210" s="11">
        <f t="shared" si="10"/>
        <v>7</v>
      </c>
      <c r="E210" s="12">
        <f t="shared" si="11"/>
        <v>7</v>
      </c>
    </row>
    <row r="211" spans="1:5" x14ac:dyDescent="0.3">
      <c r="A211">
        <f t="shared" si="9"/>
        <v>2023</v>
      </c>
      <c r="B211" s="3">
        <v>45139</v>
      </c>
      <c r="C211" s="4">
        <f>SUMIF(Table1[Date],Daily_Totals!B211,Table1[Amount])</f>
        <v>21029</v>
      </c>
      <c r="D211" s="11">
        <f t="shared" si="10"/>
        <v>8</v>
      </c>
      <c r="E211" s="12">
        <f t="shared" si="11"/>
        <v>8</v>
      </c>
    </row>
    <row r="212" spans="1:5" x14ac:dyDescent="0.3">
      <c r="A212">
        <f t="shared" si="9"/>
        <v>2023</v>
      </c>
      <c r="B212" s="3">
        <v>45140</v>
      </c>
      <c r="C212" s="4">
        <f>SUMIF(Table1[Date],Daily_Totals!B212,Table1[Amount])</f>
        <v>32891</v>
      </c>
      <c r="D212" s="11">
        <f t="shared" si="10"/>
        <v>8</v>
      </c>
      <c r="E212" s="12">
        <f t="shared" si="11"/>
        <v>8</v>
      </c>
    </row>
    <row r="213" spans="1:5" x14ac:dyDescent="0.3">
      <c r="A213">
        <f t="shared" si="9"/>
        <v>2023</v>
      </c>
      <c r="B213" s="3">
        <v>45141</v>
      </c>
      <c r="C213" s="4">
        <f>SUMIF(Table1[Date],Daily_Totals!B213,Table1[Amount])</f>
        <v>23162</v>
      </c>
      <c r="D213" s="11">
        <f t="shared" si="10"/>
        <v>8</v>
      </c>
      <c r="E213" s="12">
        <f t="shared" si="11"/>
        <v>8</v>
      </c>
    </row>
    <row r="214" spans="1:5" x14ac:dyDescent="0.3">
      <c r="A214">
        <f t="shared" si="9"/>
        <v>2023</v>
      </c>
      <c r="B214" s="3">
        <v>45142</v>
      </c>
      <c r="C214" s="4">
        <f>SUMIF(Table1[Date],Daily_Totals!B214,Table1[Amount])</f>
        <v>30625</v>
      </c>
      <c r="D214" s="11">
        <f t="shared" si="10"/>
        <v>8</v>
      </c>
      <c r="E214" s="12">
        <f t="shared" si="11"/>
        <v>8</v>
      </c>
    </row>
    <row r="215" spans="1:5" x14ac:dyDescent="0.3">
      <c r="A215">
        <f t="shared" si="9"/>
        <v>2023</v>
      </c>
      <c r="B215" s="3">
        <v>45143</v>
      </c>
      <c r="C215" s="4">
        <f>SUMIF(Table1[Date],Daily_Totals!B215,Table1[Amount])</f>
        <v>22769</v>
      </c>
      <c r="D215" s="11">
        <f t="shared" si="10"/>
        <v>8</v>
      </c>
      <c r="E215" s="12">
        <f t="shared" si="11"/>
        <v>8</v>
      </c>
    </row>
    <row r="216" spans="1:5" x14ac:dyDescent="0.3">
      <c r="A216">
        <f t="shared" si="9"/>
        <v>2023</v>
      </c>
      <c r="B216" s="3">
        <v>45144</v>
      </c>
      <c r="C216" s="4">
        <f>SUMIF(Table1[Date],Daily_Totals!B216,Table1[Amount])</f>
        <v>12307</v>
      </c>
      <c r="D216" s="11">
        <f t="shared" si="10"/>
        <v>8</v>
      </c>
      <c r="E216" s="12">
        <f t="shared" si="11"/>
        <v>8</v>
      </c>
    </row>
    <row r="217" spans="1:5" x14ac:dyDescent="0.3">
      <c r="A217">
        <f t="shared" si="9"/>
        <v>2023</v>
      </c>
      <c r="B217" s="3">
        <v>45145</v>
      </c>
      <c r="C217" s="4">
        <f>SUMIF(Table1[Date],Daily_Totals!B217,Table1[Amount])</f>
        <v>35054</v>
      </c>
      <c r="D217" s="11">
        <f t="shared" si="10"/>
        <v>8</v>
      </c>
      <c r="E217" s="12">
        <f t="shared" si="11"/>
        <v>8</v>
      </c>
    </row>
    <row r="218" spans="1:5" x14ac:dyDescent="0.3">
      <c r="A218">
        <f t="shared" si="9"/>
        <v>2023</v>
      </c>
      <c r="B218" s="3">
        <v>45146</v>
      </c>
      <c r="C218" s="4">
        <f>SUMIF(Table1[Date],Daily_Totals!B218,Table1[Amount])</f>
        <v>46313</v>
      </c>
      <c r="D218" s="11">
        <f t="shared" si="10"/>
        <v>8</v>
      </c>
      <c r="E218" s="12">
        <f t="shared" si="11"/>
        <v>8</v>
      </c>
    </row>
    <row r="219" spans="1:5" x14ac:dyDescent="0.3">
      <c r="A219">
        <f t="shared" si="9"/>
        <v>2023</v>
      </c>
      <c r="B219" s="3">
        <v>45147</v>
      </c>
      <c r="C219" s="4">
        <f>SUMIF(Table1[Date],Daily_Totals!B219,Table1[Amount])</f>
        <v>18009</v>
      </c>
      <c r="D219" s="11">
        <f t="shared" si="10"/>
        <v>8</v>
      </c>
      <c r="E219" s="12">
        <f t="shared" si="11"/>
        <v>8</v>
      </c>
    </row>
    <row r="220" spans="1:5" x14ac:dyDescent="0.3">
      <c r="A220">
        <f t="shared" si="9"/>
        <v>2023</v>
      </c>
      <c r="B220" s="3">
        <v>45148</v>
      </c>
      <c r="C220" s="4">
        <f>SUMIF(Table1[Date],Daily_Totals!B220,Table1[Amount])</f>
        <v>29938</v>
      </c>
      <c r="D220" s="11">
        <f t="shared" si="10"/>
        <v>8</v>
      </c>
      <c r="E220" s="12">
        <f t="shared" si="11"/>
        <v>8</v>
      </c>
    </row>
    <row r="221" spans="1:5" x14ac:dyDescent="0.3">
      <c r="A221">
        <f t="shared" si="9"/>
        <v>2023</v>
      </c>
      <c r="B221" s="3">
        <v>45150</v>
      </c>
      <c r="C221" s="4">
        <f>SUMIF(Table1[Date],Daily_Totals!B221,Table1[Amount])</f>
        <v>9835</v>
      </c>
      <c r="D221" s="11">
        <f t="shared" si="10"/>
        <v>8</v>
      </c>
      <c r="E221" s="12">
        <f t="shared" si="11"/>
        <v>8</v>
      </c>
    </row>
    <row r="222" spans="1:5" x14ac:dyDescent="0.3">
      <c r="A222">
        <f t="shared" si="9"/>
        <v>2023</v>
      </c>
      <c r="B222" s="3">
        <v>45152</v>
      </c>
      <c r="C222" s="4">
        <f>SUMIF(Table1[Date],Daily_Totals!B222,Table1[Amount])</f>
        <v>38257</v>
      </c>
      <c r="D222" s="11">
        <f t="shared" si="10"/>
        <v>8</v>
      </c>
      <c r="E222" s="12">
        <f t="shared" si="11"/>
        <v>8</v>
      </c>
    </row>
    <row r="223" spans="1:5" x14ac:dyDescent="0.3">
      <c r="A223">
        <f t="shared" si="9"/>
        <v>2023</v>
      </c>
      <c r="B223" s="3">
        <v>45153</v>
      </c>
      <c r="C223" s="4">
        <f>SUMIF(Table1[Date],Daily_Totals!B223,Table1[Amount])</f>
        <v>10863</v>
      </c>
      <c r="D223" s="11">
        <f t="shared" si="10"/>
        <v>8</v>
      </c>
      <c r="E223" s="12">
        <f t="shared" si="11"/>
        <v>8</v>
      </c>
    </row>
    <row r="224" spans="1:5" x14ac:dyDescent="0.3">
      <c r="A224">
        <f t="shared" si="9"/>
        <v>2023</v>
      </c>
      <c r="B224" s="3">
        <v>45154</v>
      </c>
      <c r="C224" s="4">
        <f>SUMIF(Table1[Date],Daily_Totals!B224,Table1[Amount])</f>
        <v>29642</v>
      </c>
      <c r="D224" s="11">
        <f t="shared" si="10"/>
        <v>8</v>
      </c>
      <c r="E224" s="12">
        <f t="shared" si="11"/>
        <v>8</v>
      </c>
    </row>
    <row r="225" spans="1:5" x14ac:dyDescent="0.3">
      <c r="A225">
        <f t="shared" si="9"/>
        <v>2023</v>
      </c>
      <c r="B225" s="3">
        <v>45155</v>
      </c>
      <c r="C225" s="4">
        <f>SUMIF(Table1[Date],Daily_Totals!B225,Table1[Amount])</f>
        <v>14625</v>
      </c>
      <c r="D225" s="11">
        <f t="shared" si="10"/>
        <v>8</v>
      </c>
      <c r="E225" s="12">
        <f t="shared" si="11"/>
        <v>8</v>
      </c>
    </row>
    <row r="226" spans="1:5" x14ac:dyDescent="0.3">
      <c r="A226">
        <f t="shared" si="9"/>
        <v>2023</v>
      </c>
      <c r="B226" s="3">
        <v>45156</v>
      </c>
      <c r="C226" s="4">
        <f>SUMIF(Table1[Date],Daily_Totals!B226,Table1[Amount])</f>
        <v>17532</v>
      </c>
      <c r="D226" s="11">
        <f t="shared" si="10"/>
        <v>8</v>
      </c>
      <c r="E226" s="12">
        <f t="shared" si="11"/>
        <v>8</v>
      </c>
    </row>
    <row r="227" spans="1:5" x14ac:dyDescent="0.3">
      <c r="A227">
        <f t="shared" si="9"/>
        <v>2023</v>
      </c>
      <c r="B227" s="3">
        <v>45157</v>
      </c>
      <c r="C227" s="4">
        <f>SUMIF(Table1[Date],Daily_Totals!B227,Table1[Amount])</f>
        <v>39251</v>
      </c>
      <c r="D227" s="11">
        <f t="shared" si="10"/>
        <v>8</v>
      </c>
      <c r="E227" s="12">
        <f t="shared" si="11"/>
        <v>8</v>
      </c>
    </row>
    <row r="228" spans="1:5" x14ac:dyDescent="0.3">
      <c r="A228">
        <f t="shared" si="9"/>
        <v>2023</v>
      </c>
      <c r="B228" s="3">
        <v>45158</v>
      </c>
      <c r="C228" s="4">
        <f>SUMIF(Table1[Date],Daily_Totals!B228,Table1[Amount])</f>
        <v>20214</v>
      </c>
      <c r="D228" s="11">
        <f t="shared" si="10"/>
        <v>8</v>
      </c>
      <c r="E228" s="12">
        <f t="shared" si="11"/>
        <v>8</v>
      </c>
    </row>
    <row r="229" spans="1:5" x14ac:dyDescent="0.3">
      <c r="A229">
        <f t="shared" si="9"/>
        <v>2023</v>
      </c>
      <c r="B229" s="3">
        <v>45159</v>
      </c>
      <c r="C229" s="4">
        <f>SUMIF(Table1[Date],Daily_Totals!B229,Table1[Amount])</f>
        <v>27232</v>
      </c>
      <c r="D229" s="11">
        <f t="shared" si="10"/>
        <v>8</v>
      </c>
      <c r="E229" s="12">
        <f t="shared" si="11"/>
        <v>8</v>
      </c>
    </row>
    <row r="230" spans="1:5" x14ac:dyDescent="0.3">
      <c r="A230">
        <f t="shared" si="9"/>
        <v>2023</v>
      </c>
      <c r="B230" s="3">
        <v>45160</v>
      </c>
      <c r="C230" s="4">
        <f>SUMIF(Table1[Date],Daily_Totals!B230,Table1[Amount])</f>
        <v>24412</v>
      </c>
      <c r="D230" s="11">
        <f t="shared" si="10"/>
        <v>8</v>
      </c>
      <c r="E230" s="12">
        <f t="shared" si="11"/>
        <v>8</v>
      </c>
    </row>
    <row r="231" spans="1:5" x14ac:dyDescent="0.3">
      <c r="A231">
        <f t="shared" si="9"/>
        <v>2023</v>
      </c>
      <c r="B231" s="3">
        <v>45161</v>
      </c>
      <c r="C231" s="4">
        <f>SUMIF(Table1[Date],Daily_Totals!B231,Table1[Amount])</f>
        <v>21287</v>
      </c>
      <c r="D231" s="11">
        <f t="shared" si="10"/>
        <v>8</v>
      </c>
      <c r="E231" s="12">
        <f t="shared" si="11"/>
        <v>8</v>
      </c>
    </row>
    <row r="232" spans="1:5" x14ac:dyDescent="0.3">
      <c r="A232">
        <f t="shared" si="9"/>
        <v>2023</v>
      </c>
      <c r="B232" s="3">
        <v>45162</v>
      </c>
      <c r="C232" s="4">
        <f>SUMIF(Table1[Date],Daily_Totals!B232,Table1[Amount])</f>
        <v>26570</v>
      </c>
      <c r="D232" s="11">
        <f t="shared" si="10"/>
        <v>8</v>
      </c>
      <c r="E232" s="12">
        <f t="shared" si="11"/>
        <v>8</v>
      </c>
    </row>
    <row r="233" spans="1:5" x14ac:dyDescent="0.3">
      <c r="A233">
        <f t="shared" si="9"/>
        <v>2023</v>
      </c>
      <c r="B233" s="3">
        <v>45163</v>
      </c>
      <c r="C233" s="4">
        <f>SUMIF(Table1[Date],Daily_Totals!B233,Table1[Amount])</f>
        <v>38000</v>
      </c>
      <c r="D233" s="11">
        <f t="shared" si="10"/>
        <v>8</v>
      </c>
      <c r="E233" s="12">
        <f t="shared" si="11"/>
        <v>8</v>
      </c>
    </row>
    <row r="234" spans="1:5" x14ac:dyDescent="0.3">
      <c r="A234">
        <f t="shared" si="9"/>
        <v>2023</v>
      </c>
      <c r="B234" s="3">
        <v>45164</v>
      </c>
      <c r="C234" s="4">
        <f>SUMIF(Table1[Date],Daily_Totals!B234,Table1[Amount])</f>
        <v>10520</v>
      </c>
      <c r="D234" s="11">
        <f t="shared" si="10"/>
        <v>8</v>
      </c>
      <c r="E234" s="12">
        <f t="shared" si="11"/>
        <v>8</v>
      </c>
    </row>
    <row r="235" spans="1:5" x14ac:dyDescent="0.3">
      <c r="A235">
        <f t="shared" si="9"/>
        <v>2023</v>
      </c>
      <c r="B235" s="3">
        <v>45165</v>
      </c>
      <c r="C235" s="4">
        <f>SUMIF(Table1[Date],Daily_Totals!B235,Table1[Amount])</f>
        <v>14435</v>
      </c>
      <c r="D235" s="11">
        <f t="shared" si="10"/>
        <v>8</v>
      </c>
      <c r="E235" s="12">
        <f t="shared" si="11"/>
        <v>8</v>
      </c>
    </row>
    <row r="236" spans="1:5" x14ac:dyDescent="0.3">
      <c r="A236">
        <f t="shared" si="9"/>
        <v>2023</v>
      </c>
      <c r="B236" s="3">
        <v>45166</v>
      </c>
      <c r="C236" s="4">
        <f>SUMIF(Table1[Date],Daily_Totals!B236,Table1[Amount])</f>
        <v>51697</v>
      </c>
      <c r="D236" s="11">
        <f t="shared" si="10"/>
        <v>8</v>
      </c>
      <c r="E236" s="12">
        <f t="shared" si="11"/>
        <v>8</v>
      </c>
    </row>
    <row r="237" spans="1:5" x14ac:dyDescent="0.3">
      <c r="A237">
        <f t="shared" si="9"/>
        <v>2023</v>
      </c>
      <c r="B237" s="3">
        <v>45167</v>
      </c>
      <c r="C237" s="4">
        <f>SUMIF(Table1[Date],Daily_Totals!B237,Table1[Amount])</f>
        <v>18954</v>
      </c>
      <c r="D237" s="11">
        <f t="shared" si="10"/>
        <v>8</v>
      </c>
      <c r="E237" s="12">
        <f t="shared" si="11"/>
        <v>8</v>
      </c>
    </row>
    <row r="238" spans="1:5" x14ac:dyDescent="0.3">
      <c r="A238">
        <f t="shared" si="9"/>
        <v>2023</v>
      </c>
      <c r="B238" s="3">
        <v>45168</v>
      </c>
      <c r="C238" s="4">
        <f>SUMIF(Table1[Date],Daily_Totals!B238,Table1[Amount])</f>
        <v>38123</v>
      </c>
      <c r="D238" s="11">
        <f t="shared" si="10"/>
        <v>8</v>
      </c>
      <c r="E238" s="12">
        <f t="shared" si="11"/>
        <v>8</v>
      </c>
    </row>
    <row r="239" spans="1:5" x14ac:dyDescent="0.3">
      <c r="A239">
        <f t="shared" si="9"/>
        <v>2023</v>
      </c>
      <c r="B239" s="3">
        <v>45169</v>
      </c>
      <c r="C239" s="4">
        <f>SUMIF(Table1[Date],Daily_Totals!B239,Table1[Amount])</f>
        <v>14941</v>
      </c>
      <c r="D239" s="11">
        <f t="shared" si="10"/>
        <v>8</v>
      </c>
      <c r="E239" s="12">
        <f t="shared" si="11"/>
        <v>8</v>
      </c>
    </row>
    <row r="240" spans="1:5" x14ac:dyDescent="0.3">
      <c r="A240">
        <f t="shared" si="9"/>
        <v>2023</v>
      </c>
      <c r="B240" s="3">
        <v>45170</v>
      </c>
      <c r="C240" s="4">
        <f>SUMIF(Table1[Date],Daily_Totals!B240,Table1[Amount])</f>
        <v>60627</v>
      </c>
      <c r="D240" s="11">
        <f t="shared" si="10"/>
        <v>9</v>
      </c>
      <c r="E240" s="12">
        <f t="shared" si="11"/>
        <v>9</v>
      </c>
    </row>
    <row r="241" spans="1:5" x14ac:dyDescent="0.3">
      <c r="A241">
        <f t="shared" si="9"/>
        <v>2023</v>
      </c>
      <c r="B241" s="3">
        <v>45171</v>
      </c>
      <c r="C241" s="4">
        <f>SUMIF(Table1[Date],Daily_Totals!B241,Table1[Amount])</f>
        <v>21339</v>
      </c>
      <c r="D241" s="11">
        <f t="shared" si="10"/>
        <v>9</v>
      </c>
      <c r="E241" s="12">
        <f t="shared" si="11"/>
        <v>9</v>
      </c>
    </row>
    <row r="242" spans="1:5" x14ac:dyDescent="0.3">
      <c r="A242">
        <f t="shared" si="9"/>
        <v>2023</v>
      </c>
      <c r="B242" s="3">
        <v>45172</v>
      </c>
      <c r="C242" s="4">
        <f>SUMIF(Table1[Date],Daily_Totals!B242,Table1[Amount])</f>
        <v>43078</v>
      </c>
      <c r="D242" s="11">
        <f t="shared" si="10"/>
        <v>9</v>
      </c>
      <c r="E242" s="12">
        <f t="shared" si="11"/>
        <v>9</v>
      </c>
    </row>
    <row r="243" spans="1:5" x14ac:dyDescent="0.3">
      <c r="A243">
        <f t="shared" si="9"/>
        <v>2023</v>
      </c>
      <c r="B243" s="3">
        <v>45173</v>
      </c>
      <c r="C243" s="4">
        <f>SUMIF(Table1[Date],Daily_Totals!B243,Table1[Amount])</f>
        <v>1402</v>
      </c>
      <c r="D243" s="11">
        <f t="shared" si="10"/>
        <v>9</v>
      </c>
      <c r="E243" s="12">
        <f t="shared" si="11"/>
        <v>9</v>
      </c>
    </row>
    <row r="244" spans="1:5" x14ac:dyDescent="0.3">
      <c r="A244">
        <f t="shared" si="9"/>
        <v>2023</v>
      </c>
      <c r="B244" s="3">
        <v>45174</v>
      </c>
      <c r="C244" s="4">
        <f>SUMIF(Table1[Date],Daily_Totals!B244,Table1[Amount])</f>
        <v>21451</v>
      </c>
      <c r="D244" s="11">
        <f t="shared" si="10"/>
        <v>9</v>
      </c>
      <c r="E244" s="12">
        <f t="shared" si="11"/>
        <v>9</v>
      </c>
    </row>
    <row r="245" spans="1:5" x14ac:dyDescent="0.3">
      <c r="A245">
        <f t="shared" si="9"/>
        <v>2023</v>
      </c>
      <c r="B245" s="3">
        <v>45175</v>
      </c>
      <c r="C245" s="4">
        <f>SUMIF(Table1[Date],Daily_Totals!B245,Table1[Amount])</f>
        <v>7007</v>
      </c>
      <c r="D245" s="11">
        <f t="shared" si="10"/>
        <v>9</v>
      </c>
      <c r="E245" s="12">
        <f t="shared" si="11"/>
        <v>9</v>
      </c>
    </row>
    <row r="246" spans="1:5" x14ac:dyDescent="0.3">
      <c r="A246">
        <f t="shared" si="9"/>
        <v>2023</v>
      </c>
      <c r="B246" s="3">
        <v>45176</v>
      </c>
      <c r="C246" s="4">
        <f>SUMIF(Table1[Date],Daily_Totals!B246,Table1[Amount])</f>
        <v>17711</v>
      </c>
      <c r="D246" s="11">
        <f t="shared" si="10"/>
        <v>9</v>
      </c>
      <c r="E246" s="12">
        <f t="shared" si="11"/>
        <v>9</v>
      </c>
    </row>
    <row r="247" spans="1:5" x14ac:dyDescent="0.3">
      <c r="A247">
        <f t="shared" si="9"/>
        <v>2023</v>
      </c>
      <c r="B247" s="3">
        <v>45177</v>
      </c>
      <c r="C247" s="4">
        <f>SUMIF(Table1[Date],Daily_Totals!B247,Table1[Amount])</f>
        <v>32075</v>
      </c>
      <c r="D247" s="11">
        <f t="shared" si="10"/>
        <v>9</v>
      </c>
      <c r="E247" s="12">
        <f t="shared" si="11"/>
        <v>9</v>
      </c>
    </row>
    <row r="248" spans="1:5" x14ac:dyDescent="0.3">
      <c r="A248">
        <f t="shared" si="9"/>
        <v>2023</v>
      </c>
      <c r="B248" s="3">
        <v>45178</v>
      </c>
      <c r="C248" s="4">
        <f>SUMIF(Table1[Date],Daily_Totals!B248,Table1[Amount])</f>
        <v>7412</v>
      </c>
      <c r="D248" s="11">
        <f t="shared" si="10"/>
        <v>9</v>
      </c>
      <c r="E248" s="12">
        <f t="shared" si="11"/>
        <v>9</v>
      </c>
    </row>
    <row r="249" spans="1:5" x14ac:dyDescent="0.3">
      <c r="A249">
        <f t="shared" si="9"/>
        <v>2023</v>
      </c>
      <c r="B249" s="3">
        <v>45179</v>
      </c>
      <c r="C249" s="4">
        <f>SUMIF(Table1[Date],Daily_Totals!B249,Table1[Amount])</f>
        <v>49078</v>
      </c>
      <c r="D249" s="11">
        <f t="shared" si="10"/>
        <v>9</v>
      </c>
      <c r="E249" s="12">
        <f t="shared" si="11"/>
        <v>9</v>
      </c>
    </row>
    <row r="250" spans="1:5" x14ac:dyDescent="0.3">
      <c r="A250">
        <f t="shared" si="9"/>
        <v>2023</v>
      </c>
      <c r="B250" s="3">
        <v>45180</v>
      </c>
      <c r="C250" s="4">
        <f>SUMIF(Table1[Date],Daily_Totals!B250,Table1[Amount])</f>
        <v>8993</v>
      </c>
      <c r="D250" s="11">
        <f t="shared" si="10"/>
        <v>9</v>
      </c>
      <c r="E250" s="12">
        <f t="shared" si="11"/>
        <v>9</v>
      </c>
    </row>
    <row r="251" spans="1:5" x14ac:dyDescent="0.3">
      <c r="A251">
        <f t="shared" si="9"/>
        <v>2023</v>
      </c>
      <c r="B251" s="3">
        <v>45181</v>
      </c>
      <c r="C251" s="4">
        <f>SUMIF(Table1[Date],Daily_Totals!B251,Table1[Amount])</f>
        <v>17700</v>
      </c>
      <c r="D251" s="11">
        <f t="shared" si="10"/>
        <v>9</v>
      </c>
      <c r="E251" s="12">
        <f t="shared" si="11"/>
        <v>9</v>
      </c>
    </row>
    <row r="252" spans="1:5" x14ac:dyDescent="0.3">
      <c r="A252">
        <f t="shared" si="9"/>
        <v>2023</v>
      </c>
      <c r="B252" s="3">
        <v>45182</v>
      </c>
      <c r="C252" s="4">
        <f>SUMIF(Table1[Date],Daily_Totals!B252,Table1[Amount])</f>
        <v>30303</v>
      </c>
      <c r="D252" s="11">
        <f t="shared" si="10"/>
        <v>9</v>
      </c>
      <c r="E252" s="12">
        <f t="shared" si="11"/>
        <v>9</v>
      </c>
    </row>
    <row r="253" spans="1:5" x14ac:dyDescent="0.3">
      <c r="A253">
        <f t="shared" si="9"/>
        <v>2023</v>
      </c>
      <c r="B253" s="3">
        <v>45183</v>
      </c>
      <c r="C253" s="4">
        <f>SUMIF(Table1[Date],Daily_Totals!B253,Table1[Amount])</f>
        <v>22353</v>
      </c>
      <c r="D253" s="11">
        <f t="shared" si="10"/>
        <v>9</v>
      </c>
      <c r="E253" s="12">
        <f t="shared" si="11"/>
        <v>9</v>
      </c>
    </row>
    <row r="254" spans="1:5" x14ac:dyDescent="0.3">
      <c r="A254">
        <f t="shared" si="9"/>
        <v>2023</v>
      </c>
      <c r="B254" s="3">
        <v>45184</v>
      </c>
      <c r="C254" s="4">
        <f>SUMIF(Table1[Date],Daily_Totals!B254,Table1[Amount])</f>
        <v>14310</v>
      </c>
      <c r="D254" s="11">
        <f t="shared" si="10"/>
        <v>9</v>
      </c>
      <c r="E254" s="12">
        <f t="shared" si="11"/>
        <v>9</v>
      </c>
    </row>
    <row r="255" spans="1:5" x14ac:dyDescent="0.3">
      <c r="A255">
        <f t="shared" si="9"/>
        <v>2023</v>
      </c>
      <c r="B255" s="3">
        <v>45185</v>
      </c>
      <c r="C255" s="4">
        <f>SUMIF(Table1[Date],Daily_Totals!B255,Table1[Amount])</f>
        <v>50694</v>
      </c>
      <c r="D255" s="11">
        <f t="shared" si="10"/>
        <v>9</v>
      </c>
      <c r="E255" s="12">
        <f t="shared" si="11"/>
        <v>9</v>
      </c>
    </row>
    <row r="256" spans="1:5" x14ac:dyDescent="0.3">
      <c r="A256">
        <f t="shared" si="9"/>
        <v>2023</v>
      </c>
      <c r="B256" s="3">
        <v>45186</v>
      </c>
      <c r="C256" s="4">
        <f>SUMIF(Table1[Date],Daily_Totals!B256,Table1[Amount])</f>
        <v>11744</v>
      </c>
      <c r="D256" s="11">
        <f t="shared" si="10"/>
        <v>9</v>
      </c>
      <c r="E256" s="12">
        <f t="shared" si="11"/>
        <v>9</v>
      </c>
    </row>
    <row r="257" spans="1:5" x14ac:dyDescent="0.3">
      <c r="A257">
        <f t="shared" si="9"/>
        <v>2023</v>
      </c>
      <c r="B257" s="3">
        <v>45187</v>
      </c>
      <c r="C257" s="4">
        <f>SUMIF(Table1[Date],Daily_Totals!B257,Table1[Amount])</f>
        <v>21719</v>
      </c>
      <c r="D257" s="11">
        <f t="shared" si="10"/>
        <v>9</v>
      </c>
      <c r="E257" s="12">
        <f t="shared" si="11"/>
        <v>9</v>
      </c>
    </row>
    <row r="258" spans="1:5" x14ac:dyDescent="0.3">
      <c r="A258">
        <f t="shared" si="9"/>
        <v>2023</v>
      </c>
      <c r="B258" s="3">
        <v>45188</v>
      </c>
      <c r="C258" s="4">
        <f>SUMIF(Table1[Date],Daily_Totals!B258,Table1[Amount])</f>
        <v>23809</v>
      </c>
      <c r="D258" s="11">
        <f t="shared" si="10"/>
        <v>9</v>
      </c>
      <c r="E258" s="12">
        <f t="shared" si="11"/>
        <v>9</v>
      </c>
    </row>
    <row r="259" spans="1:5" x14ac:dyDescent="0.3">
      <c r="A259">
        <f t="shared" ref="A259:A322" si="12">YEAR(B259)</f>
        <v>2023</v>
      </c>
      <c r="B259" s="3">
        <v>45189</v>
      </c>
      <c r="C259" s="4">
        <f>SUMIF(Table1[Date],Daily_Totals!B259,Table1[Amount])</f>
        <v>59801</v>
      </c>
      <c r="D259" s="11">
        <f t="shared" ref="D259:D322" si="13">MONTH(B259)</f>
        <v>9</v>
      </c>
      <c r="E259" s="12">
        <f t="shared" ref="E259:E322" si="14">D259</f>
        <v>9</v>
      </c>
    </row>
    <row r="260" spans="1:5" x14ac:dyDescent="0.3">
      <c r="A260">
        <f t="shared" si="12"/>
        <v>2023</v>
      </c>
      <c r="B260" s="3">
        <v>45190</v>
      </c>
      <c r="C260" s="4">
        <f>SUMIF(Table1[Date],Daily_Totals!B260,Table1[Amount])</f>
        <v>27004</v>
      </c>
      <c r="D260" s="11">
        <f t="shared" si="13"/>
        <v>9</v>
      </c>
      <c r="E260" s="12">
        <f t="shared" si="14"/>
        <v>9</v>
      </c>
    </row>
    <row r="261" spans="1:5" x14ac:dyDescent="0.3">
      <c r="A261">
        <f t="shared" si="12"/>
        <v>2023</v>
      </c>
      <c r="B261" s="3">
        <v>45191</v>
      </c>
      <c r="C261" s="4">
        <f>SUMIF(Table1[Date],Daily_Totals!B261,Table1[Amount])</f>
        <v>30867</v>
      </c>
      <c r="D261" s="11">
        <f t="shared" si="13"/>
        <v>9</v>
      </c>
      <c r="E261" s="12">
        <f t="shared" si="14"/>
        <v>9</v>
      </c>
    </row>
    <row r="262" spans="1:5" x14ac:dyDescent="0.3">
      <c r="A262">
        <f t="shared" si="12"/>
        <v>2023</v>
      </c>
      <c r="B262" s="3">
        <v>45192</v>
      </c>
      <c r="C262" s="4">
        <f>SUMIF(Table1[Date],Daily_Totals!B262,Table1[Amount])</f>
        <v>50576</v>
      </c>
      <c r="D262" s="11">
        <f t="shared" si="13"/>
        <v>9</v>
      </c>
      <c r="E262" s="12">
        <f t="shared" si="14"/>
        <v>9</v>
      </c>
    </row>
    <row r="263" spans="1:5" x14ac:dyDescent="0.3">
      <c r="A263">
        <f t="shared" si="12"/>
        <v>2023</v>
      </c>
      <c r="B263" s="3">
        <v>45193</v>
      </c>
      <c r="C263" s="4">
        <f>SUMIF(Table1[Date],Daily_Totals!B263,Table1[Amount])</f>
        <v>10748</v>
      </c>
      <c r="D263" s="11">
        <f t="shared" si="13"/>
        <v>9</v>
      </c>
      <c r="E263" s="12">
        <f t="shared" si="14"/>
        <v>9</v>
      </c>
    </row>
    <row r="264" spans="1:5" x14ac:dyDescent="0.3">
      <c r="A264">
        <f t="shared" si="12"/>
        <v>2023</v>
      </c>
      <c r="B264" s="3">
        <v>45194</v>
      </c>
      <c r="C264" s="4">
        <f>SUMIF(Table1[Date],Daily_Totals!B264,Table1[Amount])</f>
        <v>23107</v>
      </c>
      <c r="D264" s="11">
        <f t="shared" si="13"/>
        <v>9</v>
      </c>
      <c r="E264" s="12">
        <f t="shared" si="14"/>
        <v>9</v>
      </c>
    </row>
    <row r="265" spans="1:5" x14ac:dyDescent="0.3">
      <c r="A265">
        <f t="shared" si="12"/>
        <v>2023</v>
      </c>
      <c r="B265" s="3">
        <v>45195</v>
      </c>
      <c r="C265" s="4">
        <f>SUMIF(Table1[Date],Daily_Totals!B265,Table1[Amount])</f>
        <v>23205</v>
      </c>
      <c r="D265" s="11">
        <f t="shared" si="13"/>
        <v>9</v>
      </c>
      <c r="E265" s="12">
        <f t="shared" si="14"/>
        <v>9</v>
      </c>
    </row>
    <row r="266" spans="1:5" x14ac:dyDescent="0.3">
      <c r="A266">
        <f t="shared" si="12"/>
        <v>2023</v>
      </c>
      <c r="B266" s="3">
        <v>45196</v>
      </c>
      <c r="C266" s="4">
        <f>SUMIF(Table1[Date],Daily_Totals!B266,Table1[Amount])</f>
        <v>11204</v>
      </c>
      <c r="D266" s="11">
        <f t="shared" si="13"/>
        <v>9</v>
      </c>
      <c r="E266" s="12">
        <f t="shared" si="14"/>
        <v>9</v>
      </c>
    </row>
    <row r="267" spans="1:5" x14ac:dyDescent="0.3">
      <c r="A267">
        <f t="shared" si="12"/>
        <v>2023</v>
      </c>
      <c r="B267" s="3">
        <v>45197</v>
      </c>
      <c r="C267" s="4">
        <f>SUMIF(Table1[Date],Daily_Totals!B267,Table1[Amount])</f>
        <v>1363</v>
      </c>
      <c r="D267" s="11">
        <f t="shared" si="13"/>
        <v>9</v>
      </c>
      <c r="E267" s="12">
        <f t="shared" si="14"/>
        <v>9</v>
      </c>
    </row>
    <row r="268" spans="1:5" x14ac:dyDescent="0.3">
      <c r="A268">
        <f t="shared" si="12"/>
        <v>2023</v>
      </c>
      <c r="B268" s="3">
        <v>45198</v>
      </c>
      <c r="C268" s="4">
        <f>SUMIF(Table1[Date],Daily_Totals!B268,Table1[Amount])</f>
        <v>23388</v>
      </c>
      <c r="D268" s="11">
        <f t="shared" si="13"/>
        <v>9</v>
      </c>
      <c r="E268" s="12">
        <f t="shared" si="14"/>
        <v>9</v>
      </c>
    </row>
    <row r="269" spans="1:5" x14ac:dyDescent="0.3">
      <c r="A269">
        <f t="shared" si="12"/>
        <v>2023</v>
      </c>
      <c r="B269" s="3">
        <v>45199</v>
      </c>
      <c r="C269" s="4">
        <f>SUMIF(Table1[Date],Daily_Totals!B269,Table1[Amount])</f>
        <v>79314</v>
      </c>
      <c r="D269" s="11">
        <f t="shared" si="13"/>
        <v>9</v>
      </c>
      <c r="E269" s="12">
        <f t="shared" si="14"/>
        <v>9</v>
      </c>
    </row>
    <row r="270" spans="1:5" x14ac:dyDescent="0.3">
      <c r="A270">
        <f t="shared" si="12"/>
        <v>2023</v>
      </c>
      <c r="B270" s="3">
        <v>45200</v>
      </c>
      <c r="C270" s="4">
        <f>SUMIF(Table1[Date],Daily_Totals!B270,Table1[Amount])</f>
        <v>5163</v>
      </c>
      <c r="D270" s="11">
        <f t="shared" si="13"/>
        <v>10</v>
      </c>
      <c r="E270" s="12">
        <f t="shared" si="14"/>
        <v>10</v>
      </c>
    </row>
    <row r="271" spans="1:5" x14ac:dyDescent="0.3">
      <c r="A271">
        <f t="shared" si="12"/>
        <v>2023</v>
      </c>
      <c r="B271" s="3">
        <v>45202</v>
      </c>
      <c r="C271" s="4">
        <f>SUMIF(Table1[Date],Daily_Totals!B271,Table1[Amount])</f>
        <v>9233</v>
      </c>
      <c r="D271" s="11">
        <f t="shared" si="13"/>
        <v>10</v>
      </c>
      <c r="E271" s="12">
        <f t="shared" si="14"/>
        <v>10</v>
      </c>
    </row>
    <row r="272" spans="1:5" x14ac:dyDescent="0.3">
      <c r="A272">
        <f t="shared" si="12"/>
        <v>2023</v>
      </c>
      <c r="B272" s="3">
        <v>45203</v>
      </c>
      <c r="C272" s="4">
        <f>SUMIF(Table1[Date],Daily_Totals!B272,Table1[Amount])</f>
        <v>45833</v>
      </c>
      <c r="D272" s="11">
        <f t="shared" si="13"/>
        <v>10</v>
      </c>
      <c r="E272" s="12">
        <f t="shared" si="14"/>
        <v>10</v>
      </c>
    </row>
    <row r="273" spans="1:5" x14ac:dyDescent="0.3">
      <c r="A273">
        <f t="shared" si="12"/>
        <v>2023</v>
      </c>
      <c r="B273" s="3">
        <v>45204</v>
      </c>
      <c r="C273" s="4">
        <f>SUMIF(Table1[Date],Daily_Totals!B273,Table1[Amount])</f>
        <v>4201</v>
      </c>
      <c r="D273" s="11">
        <f t="shared" si="13"/>
        <v>10</v>
      </c>
      <c r="E273" s="12">
        <f t="shared" si="14"/>
        <v>10</v>
      </c>
    </row>
    <row r="274" spans="1:5" x14ac:dyDescent="0.3">
      <c r="A274">
        <f t="shared" si="12"/>
        <v>2023</v>
      </c>
      <c r="B274" s="3">
        <v>45205</v>
      </c>
      <c r="C274" s="4">
        <f>SUMIF(Table1[Date],Daily_Totals!B274,Table1[Amount])</f>
        <v>24125</v>
      </c>
      <c r="D274" s="11">
        <f t="shared" si="13"/>
        <v>10</v>
      </c>
      <c r="E274" s="12">
        <f t="shared" si="14"/>
        <v>10</v>
      </c>
    </row>
    <row r="275" spans="1:5" x14ac:dyDescent="0.3">
      <c r="A275">
        <f t="shared" si="12"/>
        <v>2023</v>
      </c>
      <c r="B275" s="3">
        <v>45206</v>
      </c>
      <c r="C275" s="4">
        <f>SUMIF(Table1[Date],Daily_Totals!B275,Table1[Amount])</f>
        <v>17390</v>
      </c>
      <c r="D275" s="11">
        <f t="shared" si="13"/>
        <v>10</v>
      </c>
      <c r="E275" s="12">
        <f t="shared" si="14"/>
        <v>10</v>
      </c>
    </row>
    <row r="276" spans="1:5" x14ac:dyDescent="0.3">
      <c r="A276">
        <f t="shared" si="12"/>
        <v>2023</v>
      </c>
      <c r="B276" s="3">
        <v>45207</v>
      </c>
      <c r="C276" s="4">
        <f>SUMIF(Table1[Date],Daily_Totals!B276,Table1[Amount])</f>
        <v>19827</v>
      </c>
      <c r="D276" s="11">
        <f t="shared" si="13"/>
        <v>10</v>
      </c>
      <c r="E276" s="12">
        <f t="shared" si="14"/>
        <v>10</v>
      </c>
    </row>
    <row r="277" spans="1:5" x14ac:dyDescent="0.3">
      <c r="A277">
        <f t="shared" si="12"/>
        <v>2023</v>
      </c>
      <c r="B277" s="3">
        <v>45208</v>
      </c>
      <c r="C277" s="4">
        <f>SUMIF(Table1[Date],Daily_Totals!B277,Table1[Amount])</f>
        <v>56954</v>
      </c>
      <c r="D277" s="11">
        <f t="shared" si="13"/>
        <v>10</v>
      </c>
      <c r="E277" s="12">
        <f t="shared" si="14"/>
        <v>10</v>
      </c>
    </row>
    <row r="278" spans="1:5" x14ac:dyDescent="0.3">
      <c r="A278">
        <f t="shared" si="12"/>
        <v>2023</v>
      </c>
      <c r="B278" s="3">
        <v>45209</v>
      </c>
      <c r="C278" s="4">
        <f>SUMIF(Table1[Date],Daily_Totals!B278,Table1[Amount])</f>
        <v>29529</v>
      </c>
      <c r="D278" s="11">
        <f t="shared" si="13"/>
        <v>10</v>
      </c>
      <c r="E278" s="12">
        <f t="shared" si="14"/>
        <v>10</v>
      </c>
    </row>
    <row r="279" spans="1:5" x14ac:dyDescent="0.3">
      <c r="A279">
        <f t="shared" si="12"/>
        <v>2023</v>
      </c>
      <c r="B279" s="3">
        <v>45210</v>
      </c>
      <c r="C279" s="4">
        <f>SUMIF(Table1[Date],Daily_Totals!B279,Table1[Amount])</f>
        <v>36348</v>
      </c>
      <c r="D279" s="11">
        <f t="shared" si="13"/>
        <v>10</v>
      </c>
      <c r="E279" s="12">
        <f t="shared" si="14"/>
        <v>10</v>
      </c>
    </row>
    <row r="280" spans="1:5" x14ac:dyDescent="0.3">
      <c r="A280">
        <f t="shared" si="12"/>
        <v>2023</v>
      </c>
      <c r="B280" s="3">
        <v>45211</v>
      </c>
      <c r="C280" s="4">
        <f>SUMIF(Table1[Date],Daily_Totals!B280,Table1[Amount])</f>
        <v>51322</v>
      </c>
      <c r="D280" s="11">
        <f t="shared" si="13"/>
        <v>10</v>
      </c>
      <c r="E280" s="12">
        <f t="shared" si="14"/>
        <v>10</v>
      </c>
    </row>
    <row r="281" spans="1:5" x14ac:dyDescent="0.3">
      <c r="A281">
        <f t="shared" si="12"/>
        <v>2023</v>
      </c>
      <c r="B281" s="3">
        <v>45212</v>
      </c>
      <c r="C281" s="4">
        <f>SUMIF(Table1[Date],Daily_Totals!B281,Table1[Amount])</f>
        <v>20531</v>
      </c>
      <c r="D281" s="11">
        <f t="shared" si="13"/>
        <v>10</v>
      </c>
      <c r="E281" s="12">
        <f t="shared" si="14"/>
        <v>10</v>
      </c>
    </row>
    <row r="282" spans="1:5" x14ac:dyDescent="0.3">
      <c r="A282">
        <f t="shared" si="12"/>
        <v>2023</v>
      </c>
      <c r="B282" s="3">
        <v>45213</v>
      </c>
      <c r="C282" s="4">
        <f>SUMIF(Table1[Date],Daily_Totals!B282,Table1[Amount])</f>
        <v>14138</v>
      </c>
      <c r="D282" s="11">
        <f t="shared" si="13"/>
        <v>10</v>
      </c>
      <c r="E282" s="12">
        <f t="shared" si="14"/>
        <v>10</v>
      </c>
    </row>
    <row r="283" spans="1:5" x14ac:dyDescent="0.3">
      <c r="A283">
        <f t="shared" si="12"/>
        <v>2023</v>
      </c>
      <c r="B283" s="3">
        <v>45214</v>
      </c>
      <c r="C283" s="4">
        <f>SUMIF(Table1[Date],Daily_Totals!B283,Table1[Amount])</f>
        <v>92425</v>
      </c>
      <c r="D283" s="11">
        <f t="shared" si="13"/>
        <v>10</v>
      </c>
      <c r="E283" s="12">
        <f t="shared" si="14"/>
        <v>10</v>
      </c>
    </row>
    <row r="284" spans="1:5" x14ac:dyDescent="0.3">
      <c r="A284">
        <f t="shared" si="12"/>
        <v>2023</v>
      </c>
      <c r="B284" s="3">
        <v>45215</v>
      </c>
      <c r="C284" s="4">
        <f>SUMIF(Table1[Date],Daily_Totals!B284,Table1[Amount])</f>
        <v>42684</v>
      </c>
      <c r="D284" s="11">
        <f t="shared" si="13"/>
        <v>10</v>
      </c>
      <c r="E284" s="12">
        <f t="shared" si="14"/>
        <v>10</v>
      </c>
    </row>
    <row r="285" spans="1:5" x14ac:dyDescent="0.3">
      <c r="A285">
        <f t="shared" si="12"/>
        <v>2023</v>
      </c>
      <c r="B285" s="3">
        <v>45216</v>
      </c>
      <c r="C285" s="4">
        <f>SUMIF(Table1[Date],Daily_Totals!B285,Table1[Amount])</f>
        <v>7124</v>
      </c>
      <c r="D285" s="11">
        <f t="shared" si="13"/>
        <v>10</v>
      </c>
      <c r="E285" s="12">
        <f t="shared" si="14"/>
        <v>10</v>
      </c>
    </row>
    <row r="286" spans="1:5" x14ac:dyDescent="0.3">
      <c r="A286">
        <f t="shared" si="12"/>
        <v>2023</v>
      </c>
      <c r="B286" s="3">
        <v>45217</v>
      </c>
      <c r="C286" s="4">
        <f>SUMIF(Table1[Date],Daily_Totals!B286,Table1[Amount])</f>
        <v>47321</v>
      </c>
      <c r="D286" s="11">
        <f t="shared" si="13"/>
        <v>10</v>
      </c>
      <c r="E286" s="12">
        <f t="shared" si="14"/>
        <v>10</v>
      </c>
    </row>
    <row r="287" spans="1:5" x14ac:dyDescent="0.3">
      <c r="A287">
        <f t="shared" si="12"/>
        <v>2023</v>
      </c>
      <c r="B287" s="3">
        <v>45218</v>
      </c>
      <c r="C287" s="4">
        <f>SUMIF(Table1[Date],Daily_Totals!B287,Table1[Amount])</f>
        <v>10863</v>
      </c>
      <c r="D287" s="11">
        <f t="shared" si="13"/>
        <v>10</v>
      </c>
      <c r="E287" s="12">
        <f t="shared" si="14"/>
        <v>10</v>
      </c>
    </row>
    <row r="288" spans="1:5" x14ac:dyDescent="0.3">
      <c r="A288">
        <f t="shared" si="12"/>
        <v>2023</v>
      </c>
      <c r="B288" s="3">
        <v>45219</v>
      </c>
      <c r="C288" s="4">
        <f>SUMIF(Table1[Date],Daily_Totals!B288,Table1[Amount])</f>
        <v>39738</v>
      </c>
      <c r="D288" s="11">
        <f t="shared" si="13"/>
        <v>10</v>
      </c>
      <c r="E288" s="12">
        <f t="shared" si="14"/>
        <v>10</v>
      </c>
    </row>
    <row r="289" spans="1:5" x14ac:dyDescent="0.3">
      <c r="A289">
        <f t="shared" si="12"/>
        <v>2023</v>
      </c>
      <c r="B289" s="3">
        <v>45220</v>
      </c>
      <c r="C289" s="4">
        <f>SUMIF(Table1[Date],Daily_Totals!B289,Table1[Amount])</f>
        <v>32078</v>
      </c>
      <c r="D289" s="11">
        <f t="shared" si="13"/>
        <v>10</v>
      </c>
      <c r="E289" s="12">
        <f t="shared" si="14"/>
        <v>10</v>
      </c>
    </row>
    <row r="290" spans="1:5" x14ac:dyDescent="0.3">
      <c r="A290">
        <f t="shared" si="12"/>
        <v>2023</v>
      </c>
      <c r="B290" s="3">
        <v>45221</v>
      </c>
      <c r="C290" s="4">
        <f>SUMIF(Table1[Date],Daily_Totals!B290,Table1[Amount])</f>
        <v>7063</v>
      </c>
      <c r="D290" s="11">
        <f t="shared" si="13"/>
        <v>10</v>
      </c>
      <c r="E290" s="12">
        <f t="shared" si="14"/>
        <v>10</v>
      </c>
    </row>
    <row r="291" spans="1:5" x14ac:dyDescent="0.3">
      <c r="A291">
        <f t="shared" si="12"/>
        <v>2023</v>
      </c>
      <c r="B291" s="3">
        <v>45222</v>
      </c>
      <c r="C291" s="4">
        <f>SUMIF(Table1[Date],Daily_Totals!B291,Table1[Amount])</f>
        <v>28464</v>
      </c>
      <c r="D291" s="11">
        <f t="shared" si="13"/>
        <v>10</v>
      </c>
      <c r="E291" s="12">
        <f t="shared" si="14"/>
        <v>10</v>
      </c>
    </row>
    <row r="292" spans="1:5" x14ac:dyDescent="0.3">
      <c r="A292">
        <f t="shared" si="12"/>
        <v>2023</v>
      </c>
      <c r="B292" s="3">
        <v>45223</v>
      </c>
      <c r="C292" s="4">
        <f>SUMIF(Table1[Date],Daily_Totals!B292,Table1[Amount])</f>
        <v>4450</v>
      </c>
      <c r="D292" s="11">
        <f t="shared" si="13"/>
        <v>10</v>
      </c>
      <c r="E292" s="12">
        <f t="shared" si="14"/>
        <v>10</v>
      </c>
    </row>
    <row r="293" spans="1:5" x14ac:dyDescent="0.3">
      <c r="A293">
        <f t="shared" si="12"/>
        <v>2023</v>
      </c>
      <c r="B293" s="3">
        <v>45224</v>
      </c>
      <c r="C293" s="4">
        <f>SUMIF(Table1[Date],Daily_Totals!B293,Table1[Amount])</f>
        <v>3421</v>
      </c>
      <c r="D293" s="11">
        <f t="shared" si="13"/>
        <v>10</v>
      </c>
      <c r="E293" s="12">
        <f t="shared" si="14"/>
        <v>10</v>
      </c>
    </row>
    <row r="294" spans="1:5" x14ac:dyDescent="0.3">
      <c r="A294">
        <f t="shared" si="12"/>
        <v>2023</v>
      </c>
      <c r="B294" s="3">
        <v>45225</v>
      </c>
      <c r="C294" s="4">
        <f>SUMIF(Table1[Date],Daily_Totals!B294,Table1[Amount])</f>
        <v>45662</v>
      </c>
      <c r="D294" s="11">
        <f t="shared" si="13"/>
        <v>10</v>
      </c>
      <c r="E294" s="12">
        <f t="shared" si="14"/>
        <v>10</v>
      </c>
    </row>
    <row r="295" spans="1:5" x14ac:dyDescent="0.3">
      <c r="A295">
        <f t="shared" si="12"/>
        <v>2023</v>
      </c>
      <c r="B295" s="3">
        <v>45226</v>
      </c>
      <c r="C295" s="4">
        <f>SUMIF(Table1[Date],Daily_Totals!B295,Table1[Amount])</f>
        <v>2479</v>
      </c>
      <c r="D295" s="11">
        <f t="shared" si="13"/>
        <v>10</v>
      </c>
      <c r="E295" s="12">
        <f t="shared" si="14"/>
        <v>10</v>
      </c>
    </row>
    <row r="296" spans="1:5" x14ac:dyDescent="0.3">
      <c r="A296">
        <f t="shared" si="12"/>
        <v>2023</v>
      </c>
      <c r="B296" s="3">
        <v>45227</v>
      </c>
      <c r="C296" s="4">
        <f>SUMIF(Table1[Date],Daily_Totals!B296,Table1[Amount])</f>
        <v>27328</v>
      </c>
      <c r="D296" s="11">
        <f t="shared" si="13"/>
        <v>10</v>
      </c>
      <c r="E296" s="12">
        <f t="shared" si="14"/>
        <v>10</v>
      </c>
    </row>
    <row r="297" spans="1:5" x14ac:dyDescent="0.3">
      <c r="A297">
        <f t="shared" si="12"/>
        <v>2023</v>
      </c>
      <c r="B297" s="3">
        <v>45228</v>
      </c>
      <c r="C297" s="4">
        <f>SUMIF(Table1[Date],Daily_Totals!B297,Table1[Amount])</f>
        <v>44750</v>
      </c>
      <c r="D297" s="11">
        <f t="shared" si="13"/>
        <v>10</v>
      </c>
      <c r="E297" s="12">
        <f t="shared" si="14"/>
        <v>10</v>
      </c>
    </row>
    <row r="298" spans="1:5" x14ac:dyDescent="0.3">
      <c r="A298">
        <f t="shared" si="12"/>
        <v>2023</v>
      </c>
      <c r="B298" s="3">
        <v>45229</v>
      </c>
      <c r="C298" s="4">
        <f>SUMIF(Table1[Date],Daily_Totals!B298,Table1[Amount])</f>
        <v>37607</v>
      </c>
      <c r="D298" s="11">
        <f t="shared" si="13"/>
        <v>10</v>
      </c>
      <c r="E298" s="12">
        <f t="shared" si="14"/>
        <v>10</v>
      </c>
    </row>
    <row r="299" spans="1:5" x14ac:dyDescent="0.3">
      <c r="A299">
        <f t="shared" si="12"/>
        <v>2023</v>
      </c>
      <c r="B299" s="3">
        <v>45230</v>
      </c>
      <c r="C299" s="4">
        <f>SUMIF(Table1[Date],Daily_Totals!B299,Table1[Amount])</f>
        <v>39066</v>
      </c>
      <c r="D299" s="11">
        <f t="shared" si="13"/>
        <v>10</v>
      </c>
      <c r="E299" s="12">
        <f t="shared" si="14"/>
        <v>10</v>
      </c>
    </row>
    <row r="300" spans="1:5" x14ac:dyDescent="0.3">
      <c r="A300">
        <f t="shared" si="12"/>
        <v>2023</v>
      </c>
      <c r="B300" s="3">
        <v>45232</v>
      </c>
      <c r="C300" s="4">
        <f>SUMIF(Table1[Date],Daily_Totals!B300,Table1[Amount])</f>
        <v>44402</v>
      </c>
      <c r="D300" s="11">
        <f t="shared" si="13"/>
        <v>11</v>
      </c>
      <c r="E300" s="12">
        <f t="shared" si="14"/>
        <v>11</v>
      </c>
    </row>
    <row r="301" spans="1:5" x14ac:dyDescent="0.3">
      <c r="A301">
        <f t="shared" si="12"/>
        <v>2023</v>
      </c>
      <c r="B301" s="3">
        <v>45233</v>
      </c>
      <c r="C301" s="4">
        <f>SUMIF(Table1[Date],Daily_Totals!B301,Table1[Amount])</f>
        <v>19672</v>
      </c>
      <c r="D301" s="11">
        <f t="shared" si="13"/>
        <v>11</v>
      </c>
      <c r="E301" s="12">
        <f t="shared" si="14"/>
        <v>11</v>
      </c>
    </row>
    <row r="302" spans="1:5" x14ac:dyDescent="0.3">
      <c r="A302">
        <f t="shared" si="12"/>
        <v>2023</v>
      </c>
      <c r="B302" s="3">
        <v>45234</v>
      </c>
      <c r="C302" s="4">
        <f>SUMIF(Table1[Date],Daily_Totals!B302,Table1[Amount])</f>
        <v>50553</v>
      </c>
      <c r="D302" s="11">
        <f t="shared" si="13"/>
        <v>11</v>
      </c>
      <c r="E302" s="12">
        <f t="shared" si="14"/>
        <v>11</v>
      </c>
    </row>
    <row r="303" spans="1:5" x14ac:dyDescent="0.3">
      <c r="A303">
        <f t="shared" si="12"/>
        <v>2023</v>
      </c>
      <c r="B303" s="3">
        <v>45235</v>
      </c>
      <c r="C303" s="4">
        <f>SUMIF(Table1[Date],Daily_Totals!B303,Table1[Amount])</f>
        <v>8001</v>
      </c>
      <c r="D303" s="11">
        <f t="shared" si="13"/>
        <v>11</v>
      </c>
      <c r="E303" s="12">
        <f t="shared" si="14"/>
        <v>11</v>
      </c>
    </row>
    <row r="304" spans="1:5" x14ac:dyDescent="0.3">
      <c r="A304">
        <f t="shared" si="12"/>
        <v>2023</v>
      </c>
      <c r="B304" s="3">
        <v>45236</v>
      </c>
      <c r="C304" s="4">
        <f>SUMIF(Table1[Date],Daily_Totals!B304,Table1[Amount])</f>
        <v>59292</v>
      </c>
      <c r="D304" s="11">
        <f t="shared" si="13"/>
        <v>11</v>
      </c>
      <c r="E304" s="12">
        <f t="shared" si="14"/>
        <v>11</v>
      </c>
    </row>
    <row r="305" spans="1:5" x14ac:dyDescent="0.3">
      <c r="A305">
        <f t="shared" si="12"/>
        <v>2023</v>
      </c>
      <c r="B305" s="3">
        <v>45237</v>
      </c>
      <c r="C305" s="4">
        <f>SUMIF(Table1[Date],Daily_Totals!B305,Table1[Amount])</f>
        <v>20594</v>
      </c>
      <c r="D305" s="11">
        <f t="shared" si="13"/>
        <v>11</v>
      </c>
      <c r="E305" s="12">
        <f t="shared" si="14"/>
        <v>11</v>
      </c>
    </row>
    <row r="306" spans="1:5" x14ac:dyDescent="0.3">
      <c r="A306">
        <f t="shared" si="12"/>
        <v>2023</v>
      </c>
      <c r="B306" s="3">
        <v>45238</v>
      </c>
      <c r="C306" s="4">
        <f>SUMIF(Table1[Date],Daily_Totals!B306,Table1[Amount])</f>
        <v>32813</v>
      </c>
      <c r="D306" s="11">
        <f t="shared" si="13"/>
        <v>11</v>
      </c>
      <c r="E306" s="12">
        <f t="shared" si="14"/>
        <v>11</v>
      </c>
    </row>
    <row r="307" spans="1:5" x14ac:dyDescent="0.3">
      <c r="A307">
        <f t="shared" si="12"/>
        <v>2023</v>
      </c>
      <c r="B307" s="3">
        <v>45239</v>
      </c>
      <c r="C307" s="4">
        <f>SUMIF(Table1[Date],Daily_Totals!B307,Table1[Amount])</f>
        <v>38287</v>
      </c>
      <c r="D307" s="11">
        <f t="shared" si="13"/>
        <v>11</v>
      </c>
      <c r="E307" s="12">
        <f t="shared" si="14"/>
        <v>11</v>
      </c>
    </row>
    <row r="308" spans="1:5" x14ac:dyDescent="0.3">
      <c r="A308">
        <f t="shared" si="12"/>
        <v>2023</v>
      </c>
      <c r="B308" s="3">
        <v>45240</v>
      </c>
      <c r="C308" s="4">
        <f>SUMIF(Table1[Date],Daily_Totals!B308,Table1[Amount])</f>
        <v>12938</v>
      </c>
      <c r="D308" s="11">
        <f t="shared" si="13"/>
        <v>11</v>
      </c>
      <c r="E308" s="12">
        <f t="shared" si="14"/>
        <v>11</v>
      </c>
    </row>
    <row r="309" spans="1:5" x14ac:dyDescent="0.3">
      <c r="A309">
        <f t="shared" si="12"/>
        <v>2023</v>
      </c>
      <c r="B309" s="3">
        <v>45241</v>
      </c>
      <c r="C309" s="4">
        <f>SUMIF(Table1[Date],Daily_Totals!B309,Table1[Amount])</f>
        <v>55095</v>
      </c>
      <c r="D309" s="11">
        <f t="shared" si="13"/>
        <v>11</v>
      </c>
      <c r="E309" s="12">
        <f t="shared" si="14"/>
        <v>11</v>
      </c>
    </row>
    <row r="310" spans="1:5" x14ac:dyDescent="0.3">
      <c r="A310">
        <f t="shared" si="12"/>
        <v>2023</v>
      </c>
      <c r="B310" s="3">
        <v>45242</v>
      </c>
      <c r="C310" s="4">
        <f>SUMIF(Table1[Date],Daily_Totals!B310,Table1[Amount])</f>
        <v>47844</v>
      </c>
      <c r="D310" s="11">
        <f t="shared" si="13"/>
        <v>11</v>
      </c>
      <c r="E310" s="12">
        <f t="shared" si="14"/>
        <v>11</v>
      </c>
    </row>
    <row r="311" spans="1:5" x14ac:dyDescent="0.3">
      <c r="A311">
        <f t="shared" si="12"/>
        <v>2023</v>
      </c>
      <c r="B311" s="3">
        <v>45243</v>
      </c>
      <c r="C311" s="4">
        <f>SUMIF(Table1[Date],Daily_Totals!B311,Table1[Amount])</f>
        <v>32056</v>
      </c>
      <c r="D311" s="11">
        <f t="shared" si="13"/>
        <v>11</v>
      </c>
      <c r="E311" s="12">
        <f t="shared" si="14"/>
        <v>11</v>
      </c>
    </row>
    <row r="312" spans="1:5" x14ac:dyDescent="0.3">
      <c r="A312">
        <f t="shared" si="12"/>
        <v>2023</v>
      </c>
      <c r="B312" s="3">
        <v>45244</v>
      </c>
      <c r="C312" s="4">
        <f>SUMIF(Table1[Date],Daily_Totals!B312,Table1[Amount])</f>
        <v>34503</v>
      </c>
      <c r="D312" s="11">
        <f t="shared" si="13"/>
        <v>11</v>
      </c>
      <c r="E312" s="12">
        <f t="shared" si="14"/>
        <v>11</v>
      </c>
    </row>
    <row r="313" spans="1:5" x14ac:dyDescent="0.3">
      <c r="A313">
        <f t="shared" si="12"/>
        <v>2023</v>
      </c>
      <c r="B313" s="3">
        <v>45245</v>
      </c>
      <c r="C313" s="4">
        <f>SUMIF(Table1[Date],Daily_Totals!B313,Table1[Amount])</f>
        <v>24732</v>
      </c>
      <c r="D313" s="11">
        <f t="shared" si="13"/>
        <v>11</v>
      </c>
      <c r="E313" s="12">
        <f t="shared" si="14"/>
        <v>11</v>
      </c>
    </row>
    <row r="314" spans="1:5" x14ac:dyDescent="0.3">
      <c r="A314">
        <f t="shared" si="12"/>
        <v>2023</v>
      </c>
      <c r="B314" s="3">
        <v>45246</v>
      </c>
      <c r="C314" s="4">
        <f>SUMIF(Table1[Date],Daily_Totals!B314,Table1[Amount])</f>
        <v>27070</v>
      </c>
      <c r="D314" s="11">
        <f t="shared" si="13"/>
        <v>11</v>
      </c>
      <c r="E314" s="12">
        <f t="shared" si="14"/>
        <v>11</v>
      </c>
    </row>
    <row r="315" spans="1:5" x14ac:dyDescent="0.3">
      <c r="A315">
        <f t="shared" si="12"/>
        <v>2023</v>
      </c>
      <c r="B315" s="3">
        <v>45248</v>
      </c>
      <c r="C315" s="4">
        <f>SUMIF(Table1[Date],Daily_Totals!B315,Table1[Amount])</f>
        <v>41834</v>
      </c>
      <c r="D315" s="11">
        <f t="shared" si="13"/>
        <v>11</v>
      </c>
      <c r="E315" s="12">
        <f t="shared" si="14"/>
        <v>11</v>
      </c>
    </row>
    <row r="316" spans="1:5" x14ac:dyDescent="0.3">
      <c r="A316">
        <f t="shared" si="12"/>
        <v>2023</v>
      </c>
      <c r="B316" s="3">
        <v>45249</v>
      </c>
      <c r="C316" s="4">
        <f>SUMIF(Table1[Date],Daily_Totals!B316,Table1[Amount])</f>
        <v>23650</v>
      </c>
      <c r="D316" s="11">
        <f t="shared" si="13"/>
        <v>11</v>
      </c>
      <c r="E316" s="12">
        <f t="shared" si="14"/>
        <v>11</v>
      </c>
    </row>
    <row r="317" spans="1:5" x14ac:dyDescent="0.3">
      <c r="A317">
        <f t="shared" si="12"/>
        <v>2023</v>
      </c>
      <c r="B317" s="3">
        <v>45250</v>
      </c>
      <c r="C317" s="4">
        <f>SUMIF(Table1[Date],Daily_Totals!B317,Table1[Amount])</f>
        <v>7721</v>
      </c>
      <c r="D317" s="11">
        <f t="shared" si="13"/>
        <v>11</v>
      </c>
      <c r="E317" s="12">
        <f t="shared" si="14"/>
        <v>11</v>
      </c>
    </row>
    <row r="318" spans="1:5" x14ac:dyDescent="0.3">
      <c r="A318">
        <f t="shared" si="12"/>
        <v>2023</v>
      </c>
      <c r="B318" s="3">
        <v>45251</v>
      </c>
      <c r="C318" s="4">
        <f>SUMIF(Table1[Date],Daily_Totals!B318,Table1[Amount])</f>
        <v>13941</v>
      </c>
      <c r="D318" s="11">
        <f t="shared" si="13"/>
        <v>11</v>
      </c>
      <c r="E318" s="12">
        <f t="shared" si="14"/>
        <v>11</v>
      </c>
    </row>
    <row r="319" spans="1:5" x14ac:dyDescent="0.3">
      <c r="A319">
        <f t="shared" si="12"/>
        <v>2023</v>
      </c>
      <c r="B319" s="3">
        <v>45252</v>
      </c>
      <c r="C319" s="4">
        <f>SUMIF(Table1[Date],Daily_Totals!B319,Table1[Amount])</f>
        <v>24667</v>
      </c>
      <c r="D319" s="11">
        <f t="shared" si="13"/>
        <v>11</v>
      </c>
      <c r="E319" s="12">
        <f t="shared" si="14"/>
        <v>11</v>
      </c>
    </row>
    <row r="320" spans="1:5" x14ac:dyDescent="0.3">
      <c r="A320">
        <f t="shared" si="12"/>
        <v>2023</v>
      </c>
      <c r="B320" s="3">
        <v>45253</v>
      </c>
      <c r="C320" s="4">
        <f>SUMIF(Table1[Date],Daily_Totals!B320,Table1[Amount])</f>
        <v>59610</v>
      </c>
      <c r="D320" s="11">
        <f t="shared" si="13"/>
        <v>11</v>
      </c>
      <c r="E320" s="12">
        <f t="shared" si="14"/>
        <v>11</v>
      </c>
    </row>
    <row r="321" spans="1:5" x14ac:dyDescent="0.3">
      <c r="A321">
        <f t="shared" si="12"/>
        <v>2023</v>
      </c>
      <c r="B321" s="3">
        <v>45254</v>
      </c>
      <c r="C321" s="4">
        <f>SUMIF(Table1[Date],Daily_Totals!B321,Table1[Amount])</f>
        <v>34209</v>
      </c>
      <c r="D321" s="11">
        <f t="shared" si="13"/>
        <v>11</v>
      </c>
      <c r="E321" s="12">
        <f t="shared" si="14"/>
        <v>11</v>
      </c>
    </row>
    <row r="322" spans="1:5" x14ac:dyDescent="0.3">
      <c r="A322">
        <f t="shared" si="12"/>
        <v>2023</v>
      </c>
      <c r="B322" s="3">
        <v>45255</v>
      </c>
      <c r="C322" s="4">
        <f>SUMIF(Table1[Date],Daily_Totals!B322,Table1[Amount])</f>
        <v>54043</v>
      </c>
      <c r="D322" s="11">
        <f t="shared" si="13"/>
        <v>11</v>
      </c>
      <c r="E322" s="12">
        <f t="shared" si="14"/>
        <v>11</v>
      </c>
    </row>
    <row r="323" spans="1:5" x14ac:dyDescent="0.3">
      <c r="A323">
        <f t="shared" ref="A323:A386" si="15">YEAR(B323)</f>
        <v>2023</v>
      </c>
      <c r="B323" s="3">
        <v>45256</v>
      </c>
      <c r="C323" s="4">
        <f>SUMIF(Table1[Date],Daily_Totals!B323,Table1[Amount])</f>
        <v>24396</v>
      </c>
      <c r="D323" s="11">
        <f t="shared" ref="D323:D386" si="16">MONTH(B323)</f>
        <v>11</v>
      </c>
      <c r="E323" s="12">
        <f t="shared" ref="E323:E358" si="17">D323</f>
        <v>11</v>
      </c>
    </row>
    <row r="324" spans="1:5" x14ac:dyDescent="0.3">
      <c r="A324">
        <f t="shared" si="15"/>
        <v>2023</v>
      </c>
      <c r="B324" s="3">
        <v>45257</v>
      </c>
      <c r="C324" s="4">
        <f>SUMIF(Table1[Date],Daily_Totals!B324,Table1[Amount])</f>
        <v>58638</v>
      </c>
      <c r="D324" s="11">
        <f t="shared" si="16"/>
        <v>11</v>
      </c>
      <c r="E324" s="12">
        <f t="shared" si="17"/>
        <v>11</v>
      </c>
    </row>
    <row r="325" spans="1:5" x14ac:dyDescent="0.3">
      <c r="A325">
        <f t="shared" si="15"/>
        <v>2023</v>
      </c>
      <c r="B325" s="3">
        <v>45258</v>
      </c>
      <c r="C325" s="4">
        <f>SUMIF(Table1[Date],Daily_Totals!B325,Table1[Amount])</f>
        <v>26235</v>
      </c>
      <c r="D325" s="11">
        <f t="shared" si="16"/>
        <v>11</v>
      </c>
      <c r="E325" s="12">
        <f t="shared" si="17"/>
        <v>11</v>
      </c>
    </row>
    <row r="326" spans="1:5" x14ac:dyDescent="0.3">
      <c r="A326">
        <f t="shared" si="15"/>
        <v>2023</v>
      </c>
      <c r="B326" s="3">
        <v>45259</v>
      </c>
      <c r="C326" s="4">
        <f>SUMIF(Table1[Date],Daily_Totals!B326,Table1[Amount])</f>
        <v>7212</v>
      </c>
      <c r="D326" s="11">
        <f t="shared" si="16"/>
        <v>11</v>
      </c>
      <c r="E326" s="12">
        <f t="shared" si="17"/>
        <v>11</v>
      </c>
    </row>
    <row r="327" spans="1:5" x14ac:dyDescent="0.3">
      <c r="A327">
        <f t="shared" si="15"/>
        <v>2023</v>
      </c>
      <c r="B327" s="3">
        <v>45260</v>
      </c>
      <c r="C327" s="4">
        <f>SUMIF(Table1[Date],Daily_Totals!B327,Table1[Amount])</f>
        <v>44605</v>
      </c>
      <c r="D327" s="11">
        <f t="shared" si="16"/>
        <v>11</v>
      </c>
      <c r="E327" s="12">
        <f t="shared" si="17"/>
        <v>11</v>
      </c>
    </row>
    <row r="328" spans="1:5" x14ac:dyDescent="0.3">
      <c r="A328">
        <f t="shared" si="15"/>
        <v>2023</v>
      </c>
      <c r="B328" s="3">
        <v>45261</v>
      </c>
      <c r="C328" s="4">
        <f>SUMIF(Table1[Date],Daily_Totals!B328,Table1[Amount])</f>
        <v>18343</v>
      </c>
      <c r="D328" s="11">
        <f t="shared" si="16"/>
        <v>12</v>
      </c>
      <c r="E328" s="12">
        <f t="shared" si="17"/>
        <v>12</v>
      </c>
    </row>
    <row r="329" spans="1:5" x14ac:dyDescent="0.3">
      <c r="A329">
        <f t="shared" si="15"/>
        <v>2023</v>
      </c>
      <c r="B329" s="3">
        <v>45262</v>
      </c>
      <c r="C329" s="4">
        <f>SUMIF(Table1[Date],Daily_Totals!B329,Table1[Amount])</f>
        <v>59519</v>
      </c>
      <c r="D329" s="11">
        <f t="shared" si="16"/>
        <v>12</v>
      </c>
      <c r="E329" s="12">
        <f t="shared" si="17"/>
        <v>12</v>
      </c>
    </row>
    <row r="330" spans="1:5" x14ac:dyDescent="0.3">
      <c r="A330">
        <f t="shared" si="15"/>
        <v>2023</v>
      </c>
      <c r="B330" s="3">
        <v>45263</v>
      </c>
      <c r="C330" s="4">
        <f>SUMIF(Table1[Date],Daily_Totals!B330,Table1[Amount])</f>
        <v>27374</v>
      </c>
      <c r="D330" s="11">
        <f t="shared" si="16"/>
        <v>12</v>
      </c>
      <c r="E330" s="12">
        <f t="shared" si="17"/>
        <v>12</v>
      </c>
    </row>
    <row r="331" spans="1:5" x14ac:dyDescent="0.3">
      <c r="A331">
        <f t="shared" si="15"/>
        <v>2023</v>
      </c>
      <c r="B331" s="3">
        <v>45264</v>
      </c>
      <c r="C331" s="4">
        <f>SUMIF(Table1[Date],Daily_Totals!B331,Table1[Amount])</f>
        <v>45717</v>
      </c>
      <c r="D331" s="11">
        <f t="shared" si="16"/>
        <v>12</v>
      </c>
      <c r="E331" s="12">
        <f t="shared" si="17"/>
        <v>12</v>
      </c>
    </row>
    <row r="332" spans="1:5" x14ac:dyDescent="0.3">
      <c r="A332">
        <f t="shared" si="15"/>
        <v>2023</v>
      </c>
      <c r="B332" s="3">
        <v>45265</v>
      </c>
      <c r="C332" s="4">
        <f>SUMIF(Table1[Date],Daily_Totals!B332,Table1[Amount])</f>
        <v>18905</v>
      </c>
      <c r="D332" s="11">
        <f t="shared" si="16"/>
        <v>12</v>
      </c>
      <c r="E332" s="12">
        <f t="shared" si="17"/>
        <v>12</v>
      </c>
    </row>
    <row r="333" spans="1:5" x14ac:dyDescent="0.3">
      <c r="A333">
        <f t="shared" si="15"/>
        <v>2023</v>
      </c>
      <c r="B333" s="3">
        <v>45266</v>
      </c>
      <c r="C333" s="4">
        <f>SUMIF(Table1[Date],Daily_Totals!B333,Table1[Amount])</f>
        <v>41487</v>
      </c>
      <c r="D333" s="11">
        <f t="shared" si="16"/>
        <v>12</v>
      </c>
      <c r="E333" s="12">
        <f t="shared" si="17"/>
        <v>12</v>
      </c>
    </row>
    <row r="334" spans="1:5" x14ac:dyDescent="0.3">
      <c r="A334">
        <f t="shared" si="15"/>
        <v>2023</v>
      </c>
      <c r="B334" s="3">
        <v>45267</v>
      </c>
      <c r="C334" s="4">
        <f>SUMIF(Table1[Date],Daily_Totals!B334,Table1[Amount])</f>
        <v>33341</v>
      </c>
      <c r="D334" s="11">
        <f t="shared" si="16"/>
        <v>12</v>
      </c>
      <c r="E334" s="12">
        <f t="shared" si="17"/>
        <v>12</v>
      </c>
    </row>
    <row r="335" spans="1:5" x14ac:dyDescent="0.3">
      <c r="A335">
        <f t="shared" si="15"/>
        <v>2023</v>
      </c>
      <c r="B335" s="3">
        <v>45268</v>
      </c>
      <c r="C335" s="4">
        <f>SUMIF(Table1[Date],Daily_Totals!B335,Table1[Amount])</f>
        <v>14405</v>
      </c>
      <c r="D335" s="11">
        <f t="shared" si="16"/>
        <v>12</v>
      </c>
      <c r="E335" s="12">
        <f t="shared" si="17"/>
        <v>12</v>
      </c>
    </row>
    <row r="336" spans="1:5" x14ac:dyDescent="0.3">
      <c r="A336">
        <f t="shared" si="15"/>
        <v>2023</v>
      </c>
      <c r="B336" s="3">
        <v>45269</v>
      </c>
      <c r="C336" s="4">
        <f>SUMIF(Table1[Date],Daily_Totals!B336,Table1[Amount])</f>
        <v>21714</v>
      </c>
      <c r="D336" s="11">
        <f t="shared" si="16"/>
        <v>12</v>
      </c>
      <c r="E336" s="12">
        <f t="shared" si="17"/>
        <v>12</v>
      </c>
    </row>
    <row r="337" spans="1:5" x14ac:dyDescent="0.3">
      <c r="A337">
        <f t="shared" si="15"/>
        <v>2023</v>
      </c>
      <c r="B337" s="3">
        <v>45270</v>
      </c>
      <c r="C337" s="4">
        <f>SUMIF(Table1[Date],Daily_Totals!B337,Table1[Amount])</f>
        <v>41185</v>
      </c>
      <c r="D337" s="11">
        <f t="shared" si="16"/>
        <v>12</v>
      </c>
      <c r="E337" s="12">
        <f t="shared" si="17"/>
        <v>12</v>
      </c>
    </row>
    <row r="338" spans="1:5" x14ac:dyDescent="0.3">
      <c r="A338">
        <f t="shared" si="15"/>
        <v>2023</v>
      </c>
      <c r="B338" s="3">
        <v>45271</v>
      </c>
      <c r="C338" s="4">
        <f>SUMIF(Table1[Date],Daily_Totals!B338,Table1[Amount])</f>
        <v>26783</v>
      </c>
      <c r="D338" s="11">
        <f t="shared" si="16"/>
        <v>12</v>
      </c>
      <c r="E338" s="12">
        <f t="shared" si="17"/>
        <v>12</v>
      </c>
    </row>
    <row r="339" spans="1:5" x14ac:dyDescent="0.3">
      <c r="A339">
        <f t="shared" si="15"/>
        <v>2023</v>
      </c>
      <c r="B339" s="3">
        <v>45272</v>
      </c>
      <c r="C339" s="4">
        <f>SUMIF(Table1[Date],Daily_Totals!B339,Table1[Amount])</f>
        <v>28581</v>
      </c>
      <c r="D339" s="11">
        <f t="shared" si="16"/>
        <v>12</v>
      </c>
      <c r="E339" s="12">
        <f t="shared" si="17"/>
        <v>12</v>
      </c>
    </row>
    <row r="340" spans="1:5" x14ac:dyDescent="0.3">
      <c r="A340">
        <f t="shared" si="15"/>
        <v>2023</v>
      </c>
      <c r="B340" s="3">
        <v>45273</v>
      </c>
      <c r="C340" s="4">
        <f>SUMIF(Table1[Date],Daily_Totals!B340,Table1[Amount])</f>
        <v>5607</v>
      </c>
      <c r="D340" s="11">
        <f t="shared" si="16"/>
        <v>12</v>
      </c>
      <c r="E340" s="12">
        <f t="shared" si="17"/>
        <v>12</v>
      </c>
    </row>
    <row r="341" spans="1:5" x14ac:dyDescent="0.3">
      <c r="A341">
        <f t="shared" si="15"/>
        <v>2023</v>
      </c>
      <c r="B341" s="3">
        <v>45274</v>
      </c>
      <c r="C341" s="4">
        <f>SUMIF(Table1[Date],Daily_Totals!B341,Table1[Amount])</f>
        <v>21676</v>
      </c>
      <c r="D341" s="11">
        <f t="shared" si="16"/>
        <v>12</v>
      </c>
      <c r="E341" s="12">
        <f t="shared" si="17"/>
        <v>12</v>
      </c>
    </row>
    <row r="342" spans="1:5" x14ac:dyDescent="0.3">
      <c r="A342">
        <f t="shared" si="15"/>
        <v>2023</v>
      </c>
      <c r="B342" s="3">
        <v>45275</v>
      </c>
      <c r="C342" s="4">
        <f>SUMIF(Table1[Date],Daily_Totals!B342,Table1[Amount])</f>
        <v>10898</v>
      </c>
      <c r="D342" s="11">
        <f t="shared" si="16"/>
        <v>12</v>
      </c>
      <c r="E342" s="12">
        <f t="shared" si="17"/>
        <v>12</v>
      </c>
    </row>
    <row r="343" spans="1:5" x14ac:dyDescent="0.3">
      <c r="A343">
        <f t="shared" si="15"/>
        <v>2023</v>
      </c>
      <c r="B343" s="3">
        <v>45276</v>
      </c>
      <c r="C343" s="4">
        <f>SUMIF(Table1[Date],Daily_Totals!B343,Table1[Amount])</f>
        <v>3717</v>
      </c>
      <c r="D343" s="11">
        <f t="shared" si="16"/>
        <v>12</v>
      </c>
      <c r="E343" s="12">
        <f t="shared" si="17"/>
        <v>12</v>
      </c>
    </row>
    <row r="344" spans="1:5" x14ac:dyDescent="0.3">
      <c r="A344">
        <f t="shared" si="15"/>
        <v>2023</v>
      </c>
      <c r="B344" s="3">
        <v>45277</v>
      </c>
      <c r="C344" s="4">
        <f>SUMIF(Table1[Date],Daily_Totals!B344,Table1[Amount])</f>
        <v>5736</v>
      </c>
      <c r="D344" s="11">
        <f t="shared" si="16"/>
        <v>12</v>
      </c>
      <c r="E344" s="12">
        <f t="shared" si="17"/>
        <v>12</v>
      </c>
    </row>
    <row r="345" spans="1:5" x14ac:dyDescent="0.3">
      <c r="A345">
        <f t="shared" si="15"/>
        <v>2023</v>
      </c>
      <c r="B345" s="3">
        <v>45278</v>
      </c>
      <c r="C345" s="4">
        <f>SUMIF(Table1[Date],Daily_Totals!B345,Table1[Amount])</f>
        <v>48324</v>
      </c>
      <c r="D345" s="11">
        <f t="shared" si="16"/>
        <v>12</v>
      </c>
      <c r="E345" s="12">
        <f t="shared" si="17"/>
        <v>12</v>
      </c>
    </row>
    <row r="346" spans="1:5" x14ac:dyDescent="0.3">
      <c r="A346">
        <f t="shared" si="15"/>
        <v>2023</v>
      </c>
      <c r="B346" s="3">
        <v>45279</v>
      </c>
      <c r="C346" s="4">
        <f>SUMIF(Table1[Date],Daily_Totals!B346,Table1[Amount])</f>
        <v>33616</v>
      </c>
      <c r="D346" s="11">
        <f t="shared" si="16"/>
        <v>12</v>
      </c>
      <c r="E346" s="12">
        <f t="shared" si="17"/>
        <v>12</v>
      </c>
    </row>
    <row r="347" spans="1:5" x14ac:dyDescent="0.3">
      <c r="A347">
        <f t="shared" si="15"/>
        <v>2023</v>
      </c>
      <c r="B347" s="3">
        <v>45280</v>
      </c>
      <c r="C347" s="4">
        <f>SUMIF(Table1[Date],Daily_Totals!B347,Table1[Amount])</f>
        <v>12703</v>
      </c>
      <c r="D347" s="11">
        <f t="shared" si="16"/>
        <v>12</v>
      </c>
      <c r="E347" s="12">
        <f t="shared" si="17"/>
        <v>12</v>
      </c>
    </row>
    <row r="348" spans="1:5" x14ac:dyDescent="0.3">
      <c r="A348">
        <f t="shared" si="15"/>
        <v>2023</v>
      </c>
      <c r="B348" s="3">
        <v>45281</v>
      </c>
      <c r="C348" s="4">
        <f>SUMIF(Table1[Date],Daily_Totals!B348,Table1[Amount])</f>
        <v>28562</v>
      </c>
      <c r="D348" s="11">
        <f t="shared" si="16"/>
        <v>12</v>
      </c>
      <c r="E348" s="12">
        <f t="shared" si="17"/>
        <v>12</v>
      </c>
    </row>
    <row r="349" spans="1:5" x14ac:dyDescent="0.3">
      <c r="A349">
        <f t="shared" si="15"/>
        <v>2023</v>
      </c>
      <c r="B349" s="3">
        <v>45282</v>
      </c>
      <c r="C349" s="4">
        <f>SUMIF(Table1[Date],Daily_Totals!B349,Table1[Amount])</f>
        <v>24801</v>
      </c>
      <c r="D349" s="11">
        <f t="shared" si="16"/>
        <v>12</v>
      </c>
      <c r="E349" s="12">
        <f t="shared" si="17"/>
        <v>12</v>
      </c>
    </row>
    <row r="350" spans="1:5" x14ac:dyDescent="0.3">
      <c r="A350">
        <f t="shared" si="15"/>
        <v>2023</v>
      </c>
      <c r="B350" s="3">
        <v>45283</v>
      </c>
      <c r="C350" s="4">
        <f>SUMIF(Table1[Date],Daily_Totals!B350,Table1[Amount])</f>
        <v>9663</v>
      </c>
      <c r="D350" s="11">
        <f t="shared" si="16"/>
        <v>12</v>
      </c>
      <c r="E350" s="12">
        <f t="shared" si="17"/>
        <v>12</v>
      </c>
    </row>
    <row r="351" spans="1:5" x14ac:dyDescent="0.3">
      <c r="A351">
        <f t="shared" si="15"/>
        <v>2023</v>
      </c>
      <c r="B351" s="3">
        <v>45284</v>
      </c>
      <c r="C351" s="4">
        <f>SUMIF(Table1[Date],Daily_Totals!B351,Table1[Amount])</f>
        <v>64520</v>
      </c>
      <c r="D351" s="11">
        <f t="shared" si="16"/>
        <v>12</v>
      </c>
      <c r="E351" s="12">
        <f t="shared" si="17"/>
        <v>12</v>
      </c>
    </row>
    <row r="352" spans="1:5" x14ac:dyDescent="0.3">
      <c r="A352">
        <f t="shared" si="15"/>
        <v>2023</v>
      </c>
      <c r="B352" s="3">
        <v>45285</v>
      </c>
      <c r="C352" s="4">
        <f>SUMIF(Table1[Date],Daily_Totals!B352,Table1[Amount])</f>
        <v>39645</v>
      </c>
      <c r="D352" s="11">
        <f t="shared" si="16"/>
        <v>12</v>
      </c>
      <c r="E352" s="12">
        <f t="shared" si="17"/>
        <v>12</v>
      </c>
    </row>
    <row r="353" spans="1:5" x14ac:dyDescent="0.3">
      <c r="A353">
        <f t="shared" si="15"/>
        <v>2023</v>
      </c>
      <c r="B353" s="3">
        <v>45286</v>
      </c>
      <c r="C353" s="4">
        <f>SUMIF(Table1[Date],Daily_Totals!B353,Table1[Amount])</f>
        <v>22756</v>
      </c>
      <c r="D353" s="11">
        <f t="shared" si="16"/>
        <v>12</v>
      </c>
      <c r="E353" s="12">
        <f t="shared" si="17"/>
        <v>12</v>
      </c>
    </row>
    <row r="354" spans="1:5" x14ac:dyDescent="0.3">
      <c r="A354">
        <f t="shared" si="15"/>
        <v>2023</v>
      </c>
      <c r="B354" s="3">
        <v>45287</v>
      </c>
      <c r="C354" s="4">
        <f>SUMIF(Table1[Date],Daily_Totals!B354,Table1[Amount])</f>
        <v>22772</v>
      </c>
      <c r="D354" s="11">
        <f t="shared" si="16"/>
        <v>12</v>
      </c>
      <c r="E354" s="12">
        <f t="shared" si="17"/>
        <v>12</v>
      </c>
    </row>
    <row r="355" spans="1:5" x14ac:dyDescent="0.3">
      <c r="A355">
        <f t="shared" si="15"/>
        <v>2023</v>
      </c>
      <c r="B355" s="3">
        <v>45288</v>
      </c>
      <c r="C355" s="4">
        <f>SUMIF(Table1[Date],Daily_Totals!B355,Table1[Amount])</f>
        <v>33593</v>
      </c>
      <c r="D355" s="11">
        <f t="shared" si="16"/>
        <v>12</v>
      </c>
      <c r="E355" s="12">
        <f t="shared" si="17"/>
        <v>12</v>
      </c>
    </row>
    <row r="356" spans="1:5" x14ac:dyDescent="0.3">
      <c r="A356">
        <f t="shared" si="15"/>
        <v>2023</v>
      </c>
      <c r="B356" s="3">
        <v>45289</v>
      </c>
      <c r="C356" s="4">
        <f>SUMIF(Table1[Date],Daily_Totals!B356,Table1[Amount])</f>
        <v>12215</v>
      </c>
      <c r="D356" s="11">
        <f t="shared" si="16"/>
        <v>12</v>
      </c>
      <c r="E356" s="12">
        <f t="shared" si="17"/>
        <v>12</v>
      </c>
    </row>
    <row r="357" spans="1:5" x14ac:dyDescent="0.3">
      <c r="A357">
        <f t="shared" si="15"/>
        <v>2023</v>
      </c>
      <c r="B357" s="3">
        <v>45290</v>
      </c>
      <c r="C357" s="4">
        <f>SUMIF(Table1[Date],Daily_Totals!B357,Table1[Amount])</f>
        <v>26113</v>
      </c>
      <c r="D357" s="11">
        <f t="shared" si="16"/>
        <v>12</v>
      </c>
      <c r="E357" s="12">
        <f t="shared" si="17"/>
        <v>12</v>
      </c>
    </row>
    <row r="358" spans="1:5" x14ac:dyDescent="0.3">
      <c r="A358">
        <f t="shared" si="15"/>
        <v>2023</v>
      </c>
      <c r="B358" s="3">
        <v>45291</v>
      </c>
      <c r="C358" s="4">
        <f>SUMIF(Table1[Date],Daily_Totals!B358,Table1[Amount])</f>
        <v>17594</v>
      </c>
      <c r="D358" s="11">
        <f t="shared" si="16"/>
        <v>12</v>
      </c>
      <c r="E358" s="12">
        <f t="shared" si="17"/>
        <v>12</v>
      </c>
    </row>
    <row r="359" spans="1:5" x14ac:dyDescent="0.3">
      <c r="A359">
        <f t="shared" si="15"/>
        <v>2024</v>
      </c>
      <c r="B359" s="3">
        <v>45292</v>
      </c>
      <c r="C359" s="4">
        <f>SUMIF(Table1[Date],Daily_Totals!B359,Table1[Amount])</f>
        <v>22118</v>
      </c>
      <c r="D359" s="11">
        <f t="shared" si="16"/>
        <v>1</v>
      </c>
      <c r="E359" s="12">
        <f>D359+12</f>
        <v>13</v>
      </c>
    </row>
    <row r="360" spans="1:5" x14ac:dyDescent="0.3">
      <c r="A360">
        <f t="shared" si="15"/>
        <v>2024</v>
      </c>
      <c r="B360" s="3">
        <v>45293</v>
      </c>
      <c r="C360" s="4">
        <f>SUMIF(Table1[Date],Daily_Totals!B360,Table1[Amount])</f>
        <v>39163</v>
      </c>
      <c r="D360" s="11">
        <f t="shared" si="16"/>
        <v>1</v>
      </c>
      <c r="E360" s="12">
        <f t="shared" ref="E360:E423" si="18">D360+12</f>
        <v>13</v>
      </c>
    </row>
    <row r="361" spans="1:5" x14ac:dyDescent="0.3">
      <c r="A361">
        <f t="shared" si="15"/>
        <v>2024</v>
      </c>
      <c r="B361" s="3">
        <v>45294</v>
      </c>
      <c r="C361" s="4">
        <f>SUMIF(Table1[Date],Daily_Totals!B361,Table1[Amount])</f>
        <v>44269</v>
      </c>
      <c r="D361" s="11">
        <f t="shared" si="16"/>
        <v>1</v>
      </c>
      <c r="E361" s="12">
        <f t="shared" si="18"/>
        <v>13</v>
      </c>
    </row>
    <row r="362" spans="1:5" x14ac:dyDescent="0.3">
      <c r="A362">
        <f t="shared" si="15"/>
        <v>2024</v>
      </c>
      <c r="B362" s="3">
        <v>45295</v>
      </c>
      <c r="C362" s="4">
        <f>SUMIF(Table1[Date],Daily_Totals!B362,Table1[Amount])</f>
        <v>42427</v>
      </c>
      <c r="D362" s="11">
        <f t="shared" si="16"/>
        <v>1</v>
      </c>
      <c r="E362" s="12">
        <f t="shared" si="18"/>
        <v>13</v>
      </c>
    </row>
    <row r="363" spans="1:5" x14ac:dyDescent="0.3">
      <c r="A363">
        <f t="shared" si="15"/>
        <v>2024</v>
      </c>
      <c r="B363" s="3">
        <v>45296</v>
      </c>
      <c r="C363" s="4">
        <f>SUMIF(Table1[Date],Daily_Totals!B363,Table1[Amount])</f>
        <v>66099</v>
      </c>
      <c r="D363" s="11">
        <f t="shared" si="16"/>
        <v>1</v>
      </c>
      <c r="E363" s="12">
        <f t="shared" si="18"/>
        <v>13</v>
      </c>
    </row>
    <row r="364" spans="1:5" x14ac:dyDescent="0.3">
      <c r="A364">
        <f t="shared" si="15"/>
        <v>2024</v>
      </c>
      <c r="B364" s="3">
        <v>45297</v>
      </c>
      <c r="C364" s="4">
        <f>SUMIF(Table1[Date],Daily_Totals!B364,Table1[Amount])</f>
        <v>34343</v>
      </c>
      <c r="D364" s="11">
        <f t="shared" si="16"/>
        <v>1</v>
      </c>
      <c r="E364" s="12">
        <f t="shared" si="18"/>
        <v>13</v>
      </c>
    </row>
    <row r="365" spans="1:5" x14ac:dyDescent="0.3">
      <c r="A365">
        <f t="shared" si="15"/>
        <v>2024</v>
      </c>
      <c r="B365" s="3">
        <v>45298</v>
      </c>
      <c r="C365" s="4">
        <f>SUMIF(Table1[Date],Daily_Totals!B365,Table1[Amount])</f>
        <v>18706</v>
      </c>
      <c r="D365" s="11">
        <f t="shared" si="16"/>
        <v>1</v>
      </c>
      <c r="E365" s="12">
        <f t="shared" si="18"/>
        <v>13</v>
      </c>
    </row>
    <row r="366" spans="1:5" x14ac:dyDescent="0.3">
      <c r="A366">
        <f t="shared" si="15"/>
        <v>2024</v>
      </c>
      <c r="B366" s="3">
        <v>45299</v>
      </c>
      <c r="C366" s="4">
        <f>SUMIF(Table1[Date],Daily_Totals!B366,Table1[Amount])</f>
        <v>47431</v>
      </c>
      <c r="D366" s="11">
        <f t="shared" si="16"/>
        <v>1</v>
      </c>
      <c r="E366" s="12">
        <f t="shared" si="18"/>
        <v>13</v>
      </c>
    </row>
    <row r="367" spans="1:5" x14ac:dyDescent="0.3">
      <c r="A367">
        <f t="shared" si="15"/>
        <v>2024</v>
      </c>
      <c r="B367" s="3">
        <v>45300</v>
      </c>
      <c r="C367" s="4">
        <f>SUMIF(Table1[Date],Daily_Totals!B367,Table1[Amount])</f>
        <v>27079</v>
      </c>
      <c r="D367" s="11">
        <f t="shared" si="16"/>
        <v>1</v>
      </c>
      <c r="E367" s="12">
        <f t="shared" si="18"/>
        <v>13</v>
      </c>
    </row>
    <row r="368" spans="1:5" x14ac:dyDescent="0.3">
      <c r="A368">
        <f t="shared" si="15"/>
        <v>2024</v>
      </c>
      <c r="B368" s="3">
        <v>45301</v>
      </c>
      <c r="C368" s="4">
        <f>SUMIF(Table1[Date],Daily_Totals!B368,Table1[Amount])</f>
        <v>24069</v>
      </c>
      <c r="D368" s="11">
        <f t="shared" si="16"/>
        <v>1</v>
      </c>
      <c r="E368" s="12">
        <f t="shared" si="18"/>
        <v>13</v>
      </c>
    </row>
    <row r="369" spans="1:5" x14ac:dyDescent="0.3">
      <c r="A369">
        <f t="shared" si="15"/>
        <v>2024</v>
      </c>
      <c r="B369" s="3">
        <v>45302</v>
      </c>
      <c r="C369" s="4">
        <f>SUMIF(Table1[Date],Daily_Totals!B369,Table1[Amount])</f>
        <v>47272</v>
      </c>
      <c r="D369" s="11">
        <f t="shared" si="16"/>
        <v>1</v>
      </c>
      <c r="E369" s="12">
        <f t="shared" si="18"/>
        <v>13</v>
      </c>
    </row>
    <row r="370" spans="1:5" x14ac:dyDescent="0.3">
      <c r="A370">
        <f t="shared" si="15"/>
        <v>2024</v>
      </c>
      <c r="B370" s="3">
        <v>45303</v>
      </c>
      <c r="C370" s="4">
        <f>SUMIF(Table1[Date],Daily_Totals!B370,Table1[Amount])</f>
        <v>22859</v>
      </c>
      <c r="D370" s="11">
        <f t="shared" si="16"/>
        <v>1</v>
      </c>
      <c r="E370" s="12">
        <f t="shared" si="18"/>
        <v>13</v>
      </c>
    </row>
    <row r="371" spans="1:5" x14ac:dyDescent="0.3">
      <c r="A371">
        <f t="shared" si="15"/>
        <v>2024</v>
      </c>
      <c r="B371" s="3">
        <v>45304</v>
      </c>
      <c r="C371" s="4">
        <f>SUMIF(Table1[Date],Daily_Totals!B371,Table1[Amount])</f>
        <v>28052</v>
      </c>
      <c r="D371" s="11">
        <f t="shared" si="16"/>
        <v>1</v>
      </c>
      <c r="E371" s="12">
        <f t="shared" si="18"/>
        <v>13</v>
      </c>
    </row>
    <row r="372" spans="1:5" x14ac:dyDescent="0.3">
      <c r="A372">
        <f t="shared" si="15"/>
        <v>2024</v>
      </c>
      <c r="B372" s="3">
        <v>45305</v>
      </c>
      <c r="C372" s="4">
        <f>SUMIF(Table1[Date],Daily_Totals!B372,Table1[Amount])</f>
        <v>58971</v>
      </c>
      <c r="D372" s="11">
        <f t="shared" si="16"/>
        <v>1</v>
      </c>
      <c r="E372" s="12">
        <f t="shared" si="18"/>
        <v>13</v>
      </c>
    </row>
    <row r="373" spans="1:5" x14ac:dyDescent="0.3">
      <c r="A373">
        <f t="shared" si="15"/>
        <v>2024</v>
      </c>
      <c r="B373" s="3">
        <v>45306</v>
      </c>
      <c r="C373" s="4">
        <f>SUMIF(Table1[Date],Daily_Totals!B373,Table1[Amount])</f>
        <v>47709</v>
      </c>
      <c r="D373" s="11">
        <f t="shared" si="16"/>
        <v>1</v>
      </c>
      <c r="E373" s="12">
        <f t="shared" si="18"/>
        <v>13</v>
      </c>
    </row>
    <row r="374" spans="1:5" x14ac:dyDescent="0.3">
      <c r="A374">
        <f t="shared" si="15"/>
        <v>2024</v>
      </c>
      <c r="B374" s="3">
        <v>45307</v>
      </c>
      <c r="C374" s="4">
        <f>SUMIF(Table1[Date],Daily_Totals!B374,Table1[Amount])</f>
        <v>28295</v>
      </c>
      <c r="D374" s="11">
        <f t="shared" si="16"/>
        <v>1</v>
      </c>
      <c r="E374" s="12">
        <f t="shared" si="18"/>
        <v>13</v>
      </c>
    </row>
    <row r="375" spans="1:5" x14ac:dyDescent="0.3">
      <c r="A375">
        <f t="shared" si="15"/>
        <v>2024</v>
      </c>
      <c r="B375" s="3">
        <v>45308</v>
      </c>
      <c r="C375" s="4">
        <f>SUMIF(Table1[Date],Daily_Totals!B375,Table1[Amount])</f>
        <v>2277</v>
      </c>
      <c r="D375" s="11">
        <f t="shared" si="16"/>
        <v>1</v>
      </c>
      <c r="E375" s="12">
        <f t="shared" si="18"/>
        <v>13</v>
      </c>
    </row>
    <row r="376" spans="1:5" x14ac:dyDescent="0.3">
      <c r="A376">
        <f t="shared" si="15"/>
        <v>2024</v>
      </c>
      <c r="B376" s="3">
        <v>45309</v>
      </c>
      <c r="C376" s="4">
        <f>SUMIF(Table1[Date],Daily_Totals!B376,Table1[Amount])</f>
        <v>23347</v>
      </c>
      <c r="D376" s="11">
        <f t="shared" si="16"/>
        <v>1</v>
      </c>
      <c r="E376" s="12">
        <f t="shared" si="18"/>
        <v>13</v>
      </c>
    </row>
    <row r="377" spans="1:5" x14ac:dyDescent="0.3">
      <c r="A377">
        <f t="shared" si="15"/>
        <v>2024</v>
      </c>
      <c r="B377" s="3">
        <v>45310</v>
      </c>
      <c r="C377" s="4">
        <f>SUMIF(Table1[Date],Daily_Totals!B377,Table1[Amount])</f>
        <v>29720</v>
      </c>
      <c r="D377" s="11">
        <f t="shared" si="16"/>
        <v>1</v>
      </c>
      <c r="E377" s="12">
        <f t="shared" si="18"/>
        <v>13</v>
      </c>
    </row>
    <row r="378" spans="1:5" x14ac:dyDescent="0.3">
      <c r="A378">
        <f t="shared" si="15"/>
        <v>2024</v>
      </c>
      <c r="B378" s="3">
        <v>45311</v>
      </c>
      <c r="C378" s="4">
        <f>SUMIF(Table1[Date],Daily_Totals!B378,Table1[Amount])</f>
        <v>14729</v>
      </c>
      <c r="D378" s="11">
        <f t="shared" si="16"/>
        <v>1</v>
      </c>
      <c r="E378" s="12">
        <f t="shared" si="18"/>
        <v>13</v>
      </c>
    </row>
    <row r="379" spans="1:5" x14ac:dyDescent="0.3">
      <c r="A379">
        <f t="shared" si="15"/>
        <v>2024</v>
      </c>
      <c r="B379" s="3">
        <v>45312</v>
      </c>
      <c r="C379" s="4">
        <f>SUMIF(Table1[Date],Daily_Totals!B379,Table1[Amount])</f>
        <v>10355</v>
      </c>
      <c r="D379" s="11">
        <f t="shared" si="16"/>
        <v>1</v>
      </c>
      <c r="E379" s="12">
        <f t="shared" si="18"/>
        <v>13</v>
      </c>
    </row>
    <row r="380" spans="1:5" x14ac:dyDescent="0.3">
      <c r="A380">
        <f t="shared" si="15"/>
        <v>2024</v>
      </c>
      <c r="B380" s="3">
        <v>45313</v>
      </c>
      <c r="C380" s="4">
        <f>SUMIF(Table1[Date],Daily_Totals!B380,Table1[Amount])</f>
        <v>42635</v>
      </c>
      <c r="D380" s="11">
        <f t="shared" si="16"/>
        <v>1</v>
      </c>
      <c r="E380" s="12">
        <f t="shared" si="18"/>
        <v>13</v>
      </c>
    </row>
    <row r="381" spans="1:5" x14ac:dyDescent="0.3">
      <c r="A381">
        <f t="shared" si="15"/>
        <v>2024</v>
      </c>
      <c r="B381" s="3">
        <v>45314</v>
      </c>
      <c r="C381" s="4">
        <f>SUMIF(Table1[Date],Daily_Totals!B381,Table1[Amount])</f>
        <v>51789</v>
      </c>
      <c r="D381" s="11">
        <f t="shared" si="16"/>
        <v>1</v>
      </c>
      <c r="E381" s="12">
        <f t="shared" si="18"/>
        <v>13</v>
      </c>
    </row>
    <row r="382" spans="1:5" x14ac:dyDescent="0.3">
      <c r="A382">
        <f t="shared" si="15"/>
        <v>2024</v>
      </c>
      <c r="B382" s="3">
        <v>45315</v>
      </c>
      <c r="C382" s="4">
        <f>SUMIF(Table1[Date],Daily_Totals!B382,Table1[Amount])</f>
        <v>23321</v>
      </c>
      <c r="D382" s="11">
        <f t="shared" si="16"/>
        <v>1</v>
      </c>
      <c r="E382" s="12">
        <f t="shared" si="18"/>
        <v>13</v>
      </c>
    </row>
    <row r="383" spans="1:5" x14ac:dyDescent="0.3">
      <c r="A383">
        <f t="shared" si="15"/>
        <v>2024</v>
      </c>
      <c r="B383" s="3">
        <v>45316</v>
      </c>
      <c r="C383" s="4">
        <f>SUMIF(Table1[Date],Daily_Totals!B383,Table1[Amount])</f>
        <v>48007</v>
      </c>
      <c r="D383" s="11">
        <f t="shared" si="16"/>
        <v>1</v>
      </c>
      <c r="E383" s="12">
        <f t="shared" si="18"/>
        <v>13</v>
      </c>
    </row>
    <row r="384" spans="1:5" x14ac:dyDescent="0.3">
      <c r="A384">
        <f t="shared" si="15"/>
        <v>2024</v>
      </c>
      <c r="B384" s="3">
        <v>45317</v>
      </c>
      <c r="C384" s="4">
        <f>SUMIF(Table1[Date],Daily_Totals!B384,Table1[Amount])</f>
        <v>49467</v>
      </c>
      <c r="D384" s="11">
        <f t="shared" si="16"/>
        <v>1</v>
      </c>
      <c r="E384" s="12">
        <f t="shared" si="18"/>
        <v>13</v>
      </c>
    </row>
    <row r="385" spans="1:5" x14ac:dyDescent="0.3">
      <c r="A385">
        <f t="shared" si="15"/>
        <v>2024</v>
      </c>
      <c r="B385" s="3">
        <v>45318</v>
      </c>
      <c r="C385" s="4">
        <f>SUMIF(Table1[Date],Daily_Totals!B385,Table1[Amount])</f>
        <v>12046</v>
      </c>
      <c r="D385" s="11">
        <f t="shared" si="16"/>
        <v>1</v>
      </c>
      <c r="E385" s="12">
        <f t="shared" si="18"/>
        <v>13</v>
      </c>
    </row>
    <row r="386" spans="1:5" x14ac:dyDescent="0.3">
      <c r="A386">
        <f t="shared" si="15"/>
        <v>2024</v>
      </c>
      <c r="B386" s="3">
        <v>45319</v>
      </c>
      <c r="C386" s="4">
        <f>SUMIF(Table1[Date],Daily_Totals!B386,Table1[Amount])</f>
        <v>11529</v>
      </c>
      <c r="D386" s="11">
        <f t="shared" si="16"/>
        <v>1</v>
      </c>
      <c r="E386" s="12">
        <f t="shared" si="18"/>
        <v>13</v>
      </c>
    </row>
    <row r="387" spans="1:5" x14ac:dyDescent="0.3">
      <c r="A387">
        <f t="shared" ref="A387:A450" si="19">YEAR(B387)</f>
        <v>2024</v>
      </c>
      <c r="B387" s="3">
        <v>45320</v>
      </c>
      <c r="C387" s="4">
        <f>SUMIF(Table1[Date],Daily_Totals!B387,Table1[Amount])</f>
        <v>51246</v>
      </c>
      <c r="D387" s="11">
        <f t="shared" ref="D387:D450" si="20">MONTH(B387)</f>
        <v>1</v>
      </c>
      <c r="E387" s="12">
        <f t="shared" si="18"/>
        <v>13</v>
      </c>
    </row>
    <row r="388" spans="1:5" x14ac:dyDescent="0.3">
      <c r="A388">
        <f t="shared" si="19"/>
        <v>2024</v>
      </c>
      <c r="B388" s="3">
        <v>45321</v>
      </c>
      <c r="C388" s="4">
        <f>SUMIF(Table1[Date],Daily_Totals!B388,Table1[Amount])</f>
        <v>11971</v>
      </c>
      <c r="D388" s="11">
        <f t="shared" si="20"/>
        <v>1</v>
      </c>
      <c r="E388" s="12">
        <f t="shared" si="18"/>
        <v>13</v>
      </c>
    </row>
    <row r="389" spans="1:5" x14ac:dyDescent="0.3">
      <c r="A389">
        <f t="shared" si="19"/>
        <v>2024</v>
      </c>
      <c r="B389" s="3">
        <v>45322</v>
      </c>
      <c r="C389" s="4">
        <f>SUMIF(Table1[Date],Daily_Totals!B389,Table1[Amount])</f>
        <v>26449</v>
      </c>
      <c r="D389" s="11">
        <f t="shared" si="20"/>
        <v>1</v>
      </c>
      <c r="E389" s="12">
        <f t="shared" si="18"/>
        <v>13</v>
      </c>
    </row>
    <row r="390" spans="1:5" x14ac:dyDescent="0.3">
      <c r="A390">
        <f t="shared" si="19"/>
        <v>2024</v>
      </c>
      <c r="B390" s="3">
        <v>45323</v>
      </c>
      <c r="C390" s="4">
        <f>SUMIF(Table1[Date],Daily_Totals!B390,Table1[Amount])</f>
        <v>45460</v>
      </c>
      <c r="D390" s="11">
        <f t="shared" si="20"/>
        <v>2</v>
      </c>
      <c r="E390" s="12">
        <f t="shared" si="18"/>
        <v>14</v>
      </c>
    </row>
    <row r="391" spans="1:5" x14ac:dyDescent="0.3">
      <c r="A391">
        <f t="shared" si="19"/>
        <v>2024</v>
      </c>
      <c r="B391" s="3">
        <v>45324</v>
      </c>
      <c r="C391" s="4">
        <f>SUMIF(Table1[Date],Daily_Totals!B391,Table1[Amount])</f>
        <v>2728</v>
      </c>
      <c r="D391" s="11">
        <f t="shared" si="20"/>
        <v>2</v>
      </c>
      <c r="E391" s="12">
        <f t="shared" si="18"/>
        <v>14</v>
      </c>
    </row>
    <row r="392" spans="1:5" x14ac:dyDescent="0.3">
      <c r="A392">
        <f t="shared" si="19"/>
        <v>2024</v>
      </c>
      <c r="B392" s="3">
        <v>45325</v>
      </c>
      <c r="C392" s="4">
        <f>SUMIF(Table1[Date],Daily_Totals!B392,Table1[Amount])</f>
        <v>24606</v>
      </c>
      <c r="D392" s="11">
        <f t="shared" si="20"/>
        <v>2</v>
      </c>
      <c r="E392" s="12">
        <f t="shared" si="18"/>
        <v>14</v>
      </c>
    </row>
    <row r="393" spans="1:5" x14ac:dyDescent="0.3">
      <c r="A393">
        <f t="shared" si="19"/>
        <v>2024</v>
      </c>
      <c r="B393" s="3">
        <v>45326</v>
      </c>
      <c r="C393" s="4">
        <f>SUMIF(Table1[Date],Daily_Totals!B393,Table1[Amount])</f>
        <v>30107</v>
      </c>
      <c r="D393" s="11">
        <f t="shared" si="20"/>
        <v>2</v>
      </c>
      <c r="E393" s="12">
        <f t="shared" si="18"/>
        <v>14</v>
      </c>
    </row>
    <row r="394" spans="1:5" x14ac:dyDescent="0.3">
      <c r="A394">
        <f t="shared" si="19"/>
        <v>2024</v>
      </c>
      <c r="B394" s="3">
        <v>45327</v>
      </c>
      <c r="C394" s="4">
        <f>SUMIF(Table1[Date],Daily_Totals!B394,Table1[Amount])</f>
        <v>35738</v>
      </c>
      <c r="D394" s="11">
        <f t="shared" si="20"/>
        <v>2</v>
      </c>
      <c r="E394" s="12">
        <f t="shared" si="18"/>
        <v>14</v>
      </c>
    </row>
    <row r="395" spans="1:5" x14ac:dyDescent="0.3">
      <c r="A395">
        <f t="shared" si="19"/>
        <v>2024</v>
      </c>
      <c r="B395" s="3">
        <v>45328</v>
      </c>
      <c r="C395" s="4">
        <f>SUMIF(Table1[Date],Daily_Totals!B395,Table1[Amount])</f>
        <v>33432</v>
      </c>
      <c r="D395" s="11">
        <f t="shared" si="20"/>
        <v>2</v>
      </c>
      <c r="E395" s="12">
        <f t="shared" si="18"/>
        <v>14</v>
      </c>
    </row>
    <row r="396" spans="1:5" x14ac:dyDescent="0.3">
      <c r="A396">
        <f t="shared" si="19"/>
        <v>2024</v>
      </c>
      <c r="B396" s="3">
        <v>45329</v>
      </c>
      <c r="C396" s="4">
        <f>SUMIF(Table1[Date],Daily_Totals!B396,Table1[Amount])</f>
        <v>16171</v>
      </c>
      <c r="D396" s="11">
        <f t="shared" si="20"/>
        <v>2</v>
      </c>
      <c r="E396" s="12">
        <f t="shared" si="18"/>
        <v>14</v>
      </c>
    </row>
    <row r="397" spans="1:5" x14ac:dyDescent="0.3">
      <c r="A397">
        <f t="shared" si="19"/>
        <v>2024</v>
      </c>
      <c r="B397" s="3">
        <v>45330</v>
      </c>
      <c r="C397" s="4">
        <f>SUMIF(Table1[Date],Daily_Totals!B397,Table1[Amount])</f>
        <v>37710</v>
      </c>
      <c r="D397" s="11">
        <f t="shared" si="20"/>
        <v>2</v>
      </c>
      <c r="E397" s="12">
        <f t="shared" si="18"/>
        <v>14</v>
      </c>
    </row>
    <row r="398" spans="1:5" x14ac:dyDescent="0.3">
      <c r="A398">
        <f t="shared" si="19"/>
        <v>2024</v>
      </c>
      <c r="B398" s="3">
        <v>45331</v>
      </c>
      <c r="C398" s="4">
        <f>SUMIF(Table1[Date],Daily_Totals!B398,Table1[Amount])</f>
        <v>7698</v>
      </c>
      <c r="D398" s="11">
        <f t="shared" si="20"/>
        <v>2</v>
      </c>
      <c r="E398" s="12">
        <f t="shared" si="18"/>
        <v>14</v>
      </c>
    </row>
    <row r="399" spans="1:5" x14ac:dyDescent="0.3">
      <c r="A399">
        <f t="shared" si="19"/>
        <v>2024</v>
      </c>
      <c r="B399" s="3">
        <v>45332</v>
      </c>
      <c r="C399" s="4">
        <f>SUMIF(Table1[Date],Daily_Totals!B399,Table1[Amount])</f>
        <v>21184</v>
      </c>
      <c r="D399" s="11">
        <f t="shared" si="20"/>
        <v>2</v>
      </c>
      <c r="E399" s="12">
        <f t="shared" si="18"/>
        <v>14</v>
      </c>
    </row>
    <row r="400" spans="1:5" x14ac:dyDescent="0.3">
      <c r="A400">
        <f t="shared" si="19"/>
        <v>2024</v>
      </c>
      <c r="B400" s="3">
        <v>45333</v>
      </c>
      <c r="C400" s="4">
        <f>SUMIF(Table1[Date],Daily_Totals!B400,Table1[Amount])</f>
        <v>12616</v>
      </c>
      <c r="D400" s="11">
        <f t="shared" si="20"/>
        <v>2</v>
      </c>
      <c r="E400" s="12">
        <f t="shared" si="18"/>
        <v>14</v>
      </c>
    </row>
    <row r="401" spans="1:5" x14ac:dyDescent="0.3">
      <c r="A401">
        <f t="shared" si="19"/>
        <v>2024</v>
      </c>
      <c r="B401" s="3">
        <v>45334</v>
      </c>
      <c r="C401" s="4">
        <f>SUMIF(Table1[Date],Daily_Totals!B401,Table1[Amount])</f>
        <v>29961</v>
      </c>
      <c r="D401" s="11">
        <f t="shared" si="20"/>
        <v>2</v>
      </c>
      <c r="E401" s="12">
        <f t="shared" si="18"/>
        <v>14</v>
      </c>
    </row>
    <row r="402" spans="1:5" x14ac:dyDescent="0.3">
      <c r="A402">
        <f t="shared" si="19"/>
        <v>2024</v>
      </c>
      <c r="B402" s="3">
        <v>45335</v>
      </c>
      <c r="C402" s="4">
        <f>SUMIF(Table1[Date],Daily_Totals!B402,Table1[Amount])</f>
        <v>40197</v>
      </c>
      <c r="D402" s="11">
        <f t="shared" si="20"/>
        <v>2</v>
      </c>
      <c r="E402" s="12">
        <f t="shared" si="18"/>
        <v>14</v>
      </c>
    </row>
    <row r="403" spans="1:5" x14ac:dyDescent="0.3">
      <c r="A403">
        <f t="shared" si="19"/>
        <v>2024</v>
      </c>
      <c r="B403" s="3">
        <v>45336</v>
      </c>
      <c r="C403" s="4">
        <f>SUMIF(Table1[Date],Daily_Totals!B403,Table1[Amount])</f>
        <v>20713</v>
      </c>
      <c r="D403" s="11">
        <f t="shared" si="20"/>
        <v>2</v>
      </c>
      <c r="E403" s="12">
        <f t="shared" si="18"/>
        <v>14</v>
      </c>
    </row>
    <row r="404" spans="1:5" x14ac:dyDescent="0.3">
      <c r="A404">
        <f t="shared" si="19"/>
        <v>2024</v>
      </c>
      <c r="B404" s="3">
        <v>45337</v>
      </c>
      <c r="C404" s="4">
        <f>SUMIF(Table1[Date],Daily_Totals!B404,Table1[Amount])</f>
        <v>22784</v>
      </c>
      <c r="D404" s="11">
        <f t="shared" si="20"/>
        <v>2</v>
      </c>
      <c r="E404" s="12">
        <f t="shared" si="18"/>
        <v>14</v>
      </c>
    </row>
    <row r="405" spans="1:5" x14ac:dyDescent="0.3">
      <c r="A405">
        <f t="shared" si="19"/>
        <v>2024</v>
      </c>
      <c r="B405" s="3">
        <v>45338</v>
      </c>
      <c r="C405" s="4">
        <f>SUMIF(Table1[Date],Daily_Totals!B405,Table1[Amount])</f>
        <v>20037</v>
      </c>
      <c r="D405" s="11">
        <f t="shared" si="20"/>
        <v>2</v>
      </c>
      <c r="E405" s="12">
        <f t="shared" si="18"/>
        <v>14</v>
      </c>
    </row>
    <row r="406" spans="1:5" x14ac:dyDescent="0.3">
      <c r="A406">
        <f t="shared" si="19"/>
        <v>2024</v>
      </c>
      <c r="B406" s="3">
        <v>45339</v>
      </c>
      <c r="C406" s="4">
        <f>SUMIF(Table1[Date],Daily_Totals!B406,Table1[Amount])</f>
        <v>25214</v>
      </c>
      <c r="D406" s="11">
        <f t="shared" si="20"/>
        <v>2</v>
      </c>
      <c r="E406" s="12">
        <f t="shared" si="18"/>
        <v>14</v>
      </c>
    </row>
    <row r="407" spans="1:5" x14ac:dyDescent="0.3">
      <c r="A407">
        <f t="shared" si="19"/>
        <v>2024</v>
      </c>
      <c r="B407" s="3">
        <v>45340</v>
      </c>
      <c r="C407" s="4">
        <f>SUMIF(Table1[Date],Daily_Totals!B407,Table1[Amount])</f>
        <v>16418</v>
      </c>
      <c r="D407" s="11">
        <f t="shared" si="20"/>
        <v>2</v>
      </c>
      <c r="E407" s="12">
        <f t="shared" si="18"/>
        <v>14</v>
      </c>
    </row>
    <row r="408" spans="1:5" x14ac:dyDescent="0.3">
      <c r="A408">
        <f t="shared" si="19"/>
        <v>2024</v>
      </c>
      <c r="B408" s="3">
        <v>45341</v>
      </c>
      <c r="C408" s="4">
        <f>SUMIF(Table1[Date],Daily_Totals!B408,Table1[Amount])</f>
        <v>1983</v>
      </c>
      <c r="D408" s="11">
        <f t="shared" si="20"/>
        <v>2</v>
      </c>
      <c r="E408" s="12">
        <f t="shared" si="18"/>
        <v>14</v>
      </c>
    </row>
    <row r="409" spans="1:5" x14ac:dyDescent="0.3">
      <c r="A409">
        <f t="shared" si="19"/>
        <v>2024</v>
      </c>
      <c r="B409" s="3">
        <v>45342</v>
      </c>
      <c r="C409" s="4">
        <f>SUMIF(Table1[Date],Daily_Totals!B409,Table1[Amount])</f>
        <v>34990</v>
      </c>
      <c r="D409" s="11">
        <f t="shared" si="20"/>
        <v>2</v>
      </c>
      <c r="E409" s="12">
        <f t="shared" si="18"/>
        <v>14</v>
      </c>
    </row>
    <row r="410" spans="1:5" x14ac:dyDescent="0.3">
      <c r="A410">
        <f t="shared" si="19"/>
        <v>2024</v>
      </c>
      <c r="B410" s="3">
        <v>45343</v>
      </c>
      <c r="C410" s="4">
        <f>SUMIF(Table1[Date],Daily_Totals!B410,Table1[Amount])</f>
        <v>40162</v>
      </c>
      <c r="D410" s="11">
        <f t="shared" si="20"/>
        <v>2</v>
      </c>
      <c r="E410" s="12">
        <f t="shared" si="18"/>
        <v>14</v>
      </c>
    </row>
    <row r="411" spans="1:5" x14ac:dyDescent="0.3">
      <c r="A411">
        <f t="shared" si="19"/>
        <v>2024</v>
      </c>
      <c r="B411" s="3">
        <v>45344</v>
      </c>
      <c r="C411" s="4">
        <f>SUMIF(Table1[Date],Daily_Totals!B411,Table1[Amount])</f>
        <v>27183</v>
      </c>
      <c r="D411" s="11">
        <f t="shared" si="20"/>
        <v>2</v>
      </c>
      <c r="E411" s="12">
        <f t="shared" si="18"/>
        <v>14</v>
      </c>
    </row>
    <row r="412" spans="1:5" x14ac:dyDescent="0.3">
      <c r="A412">
        <f t="shared" si="19"/>
        <v>2024</v>
      </c>
      <c r="B412" s="3">
        <v>45345</v>
      </c>
      <c r="C412" s="4">
        <f>SUMIF(Table1[Date],Daily_Totals!B412,Table1[Amount])</f>
        <v>22566</v>
      </c>
      <c r="D412" s="11">
        <f t="shared" si="20"/>
        <v>2</v>
      </c>
      <c r="E412" s="12">
        <f t="shared" si="18"/>
        <v>14</v>
      </c>
    </row>
    <row r="413" spans="1:5" x14ac:dyDescent="0.3">
      <c r="A413">
        <f t="shared" si="19"/>
        <v>2024</v>
      </c>
      <c r="B413" s="3">
        <v>45346</v>
      </c>
      <c r="C413" s="4">
        <f>SUMIF(Table1[Date],Daily_Totals!B413,Table1[Amount])</f>
        <v>20792</v>
      </c>
      <c r="D413" s="11">
        <f t="shared" si="20"/>
        <v>2</v>
      </c>
      <c r="E413" s="12">
        <f t="shared" si="18"/>
        <v>14</v>
      </c>
    </row>
    <row r="414" spans="1:5" x14ac:dyDescent="0.3">
      <c r="A414">
        <f t="shared" si="19"/>
        <v>2024</v>
      </c>
      <c r="B414" s="3">
        <v>45347</v>
      </c>
      <c r="C414" s="4">
        <f>SUMIF(Table1[Date],Daily_Totals!B414,Table1[Amount])</f>
        <v>41795</v>
      </c>
      <c r="D414" s="11">
        <f t="shared" si="20"/>
        <v>2</v>
      </c>
      <c r="E414" s="12">
        <f t="shared" si="18"/>
        <v>14</v>
      </c>
    </row>
    <row r="415" spans="1:5" x14ac:dyDescent="0.3">
      <c r="A415">
        <f t="shared" si="19"/>
        <v>2024</v>
      </c>
      <c r="B415" s="3">
        <v>45348</v>
      </c>
      <c r="C415" s="4">
        <f>SUMIF(Table1[Date],Daily_Totals!B415,Table1[Amount])</f>
        <v>22300</v>
      </c>
      <c r="D415" s="11">
        <f t="shared" si="20"/>
        <v>2</v>
      </c>
      <c r="E415" s="12">
        <f t="shared" si="18"/>
        <v>14</v>
      </c>
    </row>
    <row r="416" spans="1:5" x14ac:dyDescent="0.3">
      <c r="A416">
        <f t="shared" si="19"/>
        <v>2024</v>
      </c>
      <c r="B416" s="3">
        <v>45349</v>
      </c>
      <c r="C416" s="4">
        <f>SUMIF(Table1[Date],Daily_Totals!B416,Table1[Amount])</f>
        <v>24851</v>
      </c>
      <c r="D416" s="11">
        <f t="shared" si="20"/>
        <v>2</v>
      </c>
      <c r="E416" s="12">
        <f t="shared" si="18"/>
        <v>14</v>
      </c>
    </row>
    <row r="417" spans="1:5" x14ac:dyDescent="0.3">
      <c r="A417">
        <f t="shared" si="19"/>
        <v>2024</v>
      </c>
      <c r="B417" s="3">
        <v>45350</v>
      </c>
      <c r="C417" s="4">
        <f>SUMIF(Table1[Date],Daily_Totals!B417,Table1[Amount])</f>
        <v>16047</v>
      </c>
      <c r="D417" s="11">
        <f t="shared" si="20"/>
        <v>2</v>
      </c>
      <c r="E417" s="12">
        <f t="shared" si="18"/>
        <v>14</v>
      </c>
    </row>
    <row r="418" spans="1:5" x14ac:dyDescent="0.3">
      <c r="A418">
        <f t="shared" si="19"/>
        <v>2024</v>
      </c>
      <c r="B418" s="3">
        <v>45351</v>
      </c>
      <c r="C418" s="4">
        <f>SUMIF(Table1[Date],Daily_Totals!B418,Table1[Amount])</f>
        <v>19166</v>
      </c>
      <c r="D418" s="11">
        <f t="shared" si="20"/>
        <v>2</v>
      </c>
      <c r="E418" s="12">
        <f t="shared" si="18"/>
        <v>14</v>
      </c>
    </row>
    <row r="419" spans="1:5" x14ac:dyDescent="0.3">
      <c r="A419">
        <f t="shared" si="19"/>
        <v>2024</v>
      </c>
      <c r="B419" s="3">
        <v>45352</v>
      </c>
      <c r="C419" s="4">
        <f>SUMIF(Table1[Date],Daily_Totals!B419,Table1[Amount])</f>
        <v>31595</v>
      </c>
      <c r="D419" s="11">
        <f t="shared" si="20"/>
        <v>3</v>
      </c>
      <c r="E419" s="12">
        <f t="shared" si="18"/>
        <v>15</v>
      </c>
    </row>
    <row r="420" spans="1:5" x14ac:dyDescent="0.3">
      <c r="A420">
        <f t="shared" si="19"/>
        <v>2024</v>
      </c>
      <c r="B420" s="3">
        <v>45353</v>
      </c>
      <c r="C420" s="4">
        <f>SUMIF(Table1[Date],Daily_Totals!B420,Table1[Amount])</f>
        <v>51166</v>
      </c>
      <c r="D420" s="11">
        <f t="shared" si="20"/>
        <v>3</v>
      </c>
      <c r="E420" s="12">
        <f t="shared" si="18"/>
        <v>15</v>
      </c>
    </row>
    <row r="421" spans="1:5" x14ac:dyDescent="0.3">
      <c r="A421">
        <f t="shared" si="19"/>
        <v>2024</v>
      </c>
      <c r="B421" s="3">
        <v>45354</v>
      </c>
      <c r="C421" s="4">
        <f>SUMIF(Table1[Date],Daily_Totals!B421,Table1[Amount])</f>
        <v>9012</v>
      </c>
      <c r="D421" s="11">
        <f t="shared" si="20"/>
        <v>3</v>
      </c>
      <c r="E421" s="12">
        <f t="shared" si="18"/>
        <v>15</v>
      </c>
    </row>
    <row r="422" spans="1:5" x14ac:dyDescent="0.3">
      <c r="A422">
        <f t="shared" si="19"/>
        <v>2024</v>
      </c>
      <c r="B422" s="3">
        <v>45355</v>
      </c>
      <c r="C422" s="4">
        <f>SUMIF(Table1[Date],Daily_Totals!B422,Table1[Amount])</f>
        <v>14490</v>
      </c>
      <c r="D422" s="11">
        <f t="shared" si="20"/>
        <v>3</v>
      </c>
      <c r="E422" s="12">
        <f t="shared" si="18"/>
        <v>15</v>
      </c>
    </row>
    <row r="423" spans="1:5" x14ac:dyDescent="0.3">
      <c r="A423">
        <f t="shared" si="19"/>
        <v>2024</v>
      </c>
      <c r="B423" s="3">
        <v>45356</v>
      </c>
      <c r="C423" s="4">
        <f>SUMIF(Table1[Date],Daily_Totals!B423,Table1[Amount])</f>
        <v>61393</v>
      </c>
      <c r="D423" s="11">
        <f t="shared" si="20"/>
        <v>3</v>
      </c>
      <c r="E423" s="12">
        <f t="shared" si="18"/>
        <v>15</v>
      </c>
    </row>
    <row r="424" spans="1:5" x14ac:dyDescent="0.3">
      <c r="A424">
        <f t="shared" si="19"/>
        <v>2024</v>
      </c>
      <c r="B424" s="3">
        <v>45357</v>
      </c>
      <c r="C424" s="4">
        <f>SUMIF(Table1[Date],Daily_Totals!B424,Table1[Amount])</f>
        <v>22050</v>
      </c>
      <c r="D424" s="11">
        <f t="shared" si="20"/>
        <v>3</v>
      </c>
      <c r="E424" s="12">
        <f t="shared" ref="E424:E487" si="21">D424+12</f>
        <v>15</v>
      </c>
    </row>
    <row r="425" spans="1:5" x14ac:dyDescent="0.3">
      <c r="A425">
        <f t="shared" si="19"/>
        <v>2024</v>
      </c>
      <c r="B425" s="3">
        <v>45358</v>
      </c>
      <c r="C425" s="4">
        <f>SUMIF(Table1[Date],Daily_Totals!B425,Table1[Amount])</f>
        <v>27546</v>
      </c>
      <c r="D425" s="11">
        <f t="shared" si="20"/>
        <v>3</v>
      </c>
      <c r="E425" s="12">
        <f t="shared" si="21"/>
        <v>15</v>
      </c>
    </row>
    <row r="426" spans="1:5" x14ac:dyDescent="0.3">
      <c r="A426">
        <f t="shared" si="19"/>
        <v>2024</v>
      </c>
      <c r="B426" s="3">
        <v>45359</v>
      </c>
      <c r="C426" s="4">
        <f>SUMIF(Table1[Date],Daily_Totals!B426,Table1[Amount])</f>
        <v>24068</v>
      </c>
      <c r="D426" s="11">
        <f t="shared" si="20"/>
        <v>3</v>
      </c>
      <c r="E426" s="12">
        <f t="shared" si="21"/>
        <v>15</v>
      </c>
    </row>
    <row r="427" spans="1:5" x14ac:dyDescent="0.3">
      <c r="A427">
        <f t="shared" si="19"/>
        <v>2024</v>
      </c>
      <c r="B427" s="3">
        <v>45360</v>
      </c>
      <c r="C427" s="4">
        <f>SUMIF(Table1[Date],Daily_Totals!B427,Table1[Amount])</f>
        <v>17999</v>
      </c>
      <c r="D427" s="11">
        <f t="shared" si="20"/>
        <v>3</v>
      </c>
      <c r="E427" s="12">
        <f t="shared" si="21"/>
        <v>15</v>
      </c>
    </row>
    <row r="428" spans="1:5" x14ac:dyDescent="0.3">
      <c r="A428">
        <f t="shared" si="19"/>
        <v>2024</v>
      </c>
      <c r="B428" s="3">
        <v>45361</v>
      </c>
      <c r="C428" s="4">
        <f>SUMIF(Table1[Date],Daily_Totals!B428,Table1[Amount])</f>
        <v>22741</v>
      </c>
      <c r="D428" s="11">
        <f t="shared" si="20"/>
        <v>3</v>
      </c>
      <c r="E428" s="12">
        <f t="shared" si="21"/>
        <v>15</v>
      </c>
    </row>
    <row r="429" spans="1:5" x14ac:dyDescent="0.3">
      <c r="A429">
        <f t="shared" si="19"/>
        <v>2024</v>
      </c>
      <c r="B429" s="3">
        <v>45362</v>
      </c>
      <c r="C429" s="4">
        <f>SUMIF(Table1[Date],Daily_Totals!B429,Table1[Amount])</f>
        <v>50590</v>
      </c>
      <c r="D429" s="11">
        <f t="shared" si="20"/>
        <v>3</v>
      </c>
      <c r="E429" s="12">
        <f t="shared" si="21"/>
        <v>15</v>
      </c>
    </row>
    <row r="430" spans="1:5" x14ac:dyDescent="0.3">
      <c r="A430">
        <f t="shared" si="19"/>
        <v>2024</v>
      </c>
      <c r="B430" s="3">
        <v>45363</v>
      </c>
      <c r="C430" s="4">
        <f>SUMIF(Table1[Date],Daily_Totals!B430,Table1[Amount])</f>
        <v>4745</v>
      </c>
      <c r="D430" s="11">
        <f t="shared" si="20"/>
        <v>3</v>
      </c>
      <c r="E430" s="12">
        <f t="shared" si="21"/>
        <v>15</v>
      </c>
    </row>
    <row r="431" spans="1:5" x14ac:dyDescent="0.3">
      <c r="A431">
        <f t="shared" si="19"/>
        <v>2024</v>
      </c>
      <c r="B431" s="3">
        <v>45364</v>
      </c>
      <c r="C431" s="4">
        <f>SUMIF(Table1[Date],Daily_Totals!B431,Table1[Amount])</f>
        <v>19235</v>
      </c>
      <c r="D431" s="11">
        <f t="shared" si="20"/>
        <v>3</v>
      </c>
      <c r="E431" s="12">
        <f t="shared" si="21"/>
        <v>15</v>
      </c>
    </row>
    <row r="432" spans="1:5" x14ac:dyDescent="0.3">
      <c r="A432">
        <f t="shared" si="19"/>
        <v>2024</v>
      </c>
      <c r="B432" s="3">
        <v>45365</v>
      </c>
      <c r="C432" s="4">
        <f>SUMIF(Table1[Date],Daily_Totals!B432,Table1[Amount])</f>
        <v>34970</v>
      </c>
      <c r="D432" s="11">
        <f t="shared" si="20"/>
        <v>3</v>
      </c>
      <c r="E432" s="12">
        <f t="shared" si="21"/>
        <v>15</v>
      </c>
    </row>
    <row r="433" spans="1:5" x14ac:dyDescent="0.3">
      <c r="A433">
        <f t="shared" si="19"/>
        <v>2024</v>
      </c>
      <c r="B433" s="3">
        <v>45366</v>
      </c>
      <c r="C433" s="4">
        <f>SUMIF(Table1[Date],Daily_Totals!B433,Table1[Amount])</f>
        <v>23927</v>
      </c>
      <c r="D433" s="11">
        <f t="shared" si="20"/>
        <v>3</v>
      </c>
      <c r="E433" s="12">
        <f t="shared" si="21"/>
        <v>15</v>
      </c>
    </row>
    <row r="434" spans="1:5" x14ac:dyDescent="0.3">
      <c r="A434">
        <f t="shared" si="19"/>
        <v>2024</v>
      </c>
      <c r="B434" s="3">
        <v>45367</v>
      </c>
      <c r="C434" s="4">
        <f>SUMIF(Table1[Date],Daily_Totals!B434,Table1[Amount])</f>
        <v>25510</v>
      </c>
      <c r="D434" s="11">
        <f t="shared" si="20"/>
        <v>3</v>
      </c>
      <c r="E434" s="12">
        <f t="shared" si="21"/>
        <v>15</v>
      </c>
    </row>
    <row r="435" spans="1:5" x14ac:dyDescent="0.3">
      <c r="A435">
        <f t="shared" si="19"/>
        <v>2024</v>
      </c>
      <c r="B435" s="3">
        <v>45368</v>
      </c>
      <c r="C435" s="4">
        <f>SUMIF(Table1[Date],Daily_Totals!B435,Table1[Amount])</f>
        <v>31678</v>
      </c>
      <c r="D435" s="11">
        <f t="shared" si="20"/>
        <v>3</v>
      </c>
      <c r="E435" s="12">
        <f t="shared" si="21"/>
        <v>15</v>
      </c>
    </row>
    <row r="436" spans="1:5" x14ac:dyDescent="0.3">
      <c r="A436">
        <f t="shared" si="19"/>
        <v>2024</v>
      </c>
      <c r="B436" s="3">
        <v>45369</v>
      </c>
      <c r="C436" s="4">
        <f>SUMIF(Table1[Date],Daily_Totals!B436,Table1[Amount])</f>
        <v>26046</v>
      </c>
      <c r="D436" s="11">
        <f t="shared" si="20"/>
        <v>3</v>
      </c>
      <c r="E436" s="12">
        <f t="shared" si="21"/>
        <v>15</v>
      </c>
    </row>
    <row r="437" spans="1:5" x14ac:dyDescent="0.3">
      <c r="A437">
        <f t="shared" si="19"/>
        <v>2024</v>
      </c>
      <c r="B437" s="3">
        <v>45370</v>
      </c>
      <c r="C437" s="4">
        <f>SUMIF(Table1[Date],Daily_Totals!B437,Table1[Amount])</f>
        <v>20326</v>
      </c>
      <c r="D437" s="11">
        <f t="shared" si="20"/>
        <v>3</v>
      </c>
      <c r="E437" s="12">
        <f t="shared" si="21"/>
        <v>15</v>
      </c>
    </row>
    <row r="438" spans="1:5" x14ac:dyDescent="0.3">
      <c r="A438">
        <f t="shared" si="19"/>
        <v>2024</v>
      </c>
      <c r="B438" s="3">
        <v>45371</v>
      </c>
      <c r="C438" s="4">
        <f>SUMIF(Table1[Date],Daily_Totals!B438,Table1[Amount])</f>
        <v>21356</v>
      </c>
      <c r="D438" s="11">
        <f t="shared" si="20"/>
        <v>3</v>
      </c>
      <c r="E438" s="12">
        <f t="shared" si="21"/>
        <v>15</v>
      </c>
    </row>
    <row r="439" spans="1:5" x14ac:dyDescent="0.3">
      <c r="A439">
        <f t="shared" si="19"/>
        <v>2024</v>
      </c>
      <c r="B439" s="3">
        <v>45372</v>
      </c>
      <c r="C439" s="4">
        <f>SUMIF(Table1[Date],Daily_Totals!B439,Table1[Amount])</f>
        <v>9519</v>
      </c>
      <c r="D439" s="11">
        <f t="shared" si="20"/>
        <v>3</v>
      </c>
      <c r="E439" s="12">
        <f t="shared" si="21"/>
        <v>15</v>
      </c>
    </row>
    <row r="440" spans="1:5" x14ac:dyDescent="0.3">
      <c r="A440">
        <f t="shared" si="19"/>
        <v>2024</v>
      </c>
      <c r="B440" s="3">
        <v>45373</v>
      </c>
      <c r="C440" s="4">
        <f>SUMIF(Table1[Date],Daily_Totals!B440,Table1[Amount])</f>
        <v>49543</v>
      </c>
      <c r="D440" s="11">
        <f t="shared" si="20"/>
        <v>3</v>
      </c>
      <c r="E440" s="12">
        <f t="shared" si="21"/>
        <v>15</v>
      </c>
    </row>
    <row r="441" spans="1:5" x14ac:dyDescent="0.3">
      <c r="A441">
        <f t="shared" si="19"/>
        <v>2024</v>
      </c>
      <c r="B441" s="3">
        <v>45374</v>
      </c>
      <c r="C441" s="4">
        <f>SUMIF(Table1[Date],Daily_Totals!B441,Table1[Amount])</f>
        <v>41950</v>
      </c>
      <c r="D441" s="11">
        <f t="shared" si="20"/>
        <v>3</v>
      </c>
      <c r="E441" s="12">
        <f t="shared" si="21"/>
        <v>15</v>
      </c>
    </row>
    <row r="442" spans="1:5" x14ac:dyDescent="0.3">
      <c r="A442">
        <f t="shared" si="19"/>
        <v>2024</v>
      </c>
      <c r="B442" s="3">
        <v>45375</v>
      </c>
      <c r="C442" s="4">
        <f>SUMIF(Table1[Date],Daily_Totals!B442,Table1[Amount])</f>
        <v>14274</v>
      </c>
      <c r="D442" s="11">
        <f t="shared" si="20"/>
        <v>3</v>
      </c>
      <c r="E442" s="12">
        <f t="shared" si="21"/>
        <v>15</v>
      </c>
    </row>
    <row r="443" spans="1:5" x14ac:dyDescent="0.3">
      <c r="A443">
        <f t="shared" si="19"/>
        <v>2024</v>
      </c>
      <c r="B443" s="3">
        <v>45376</v>
      </c>
      <c r="C443" s="4">
        <f>SUMIF(Table1[Date],Daily_Totals!B443,Table1[Amount])</f>
        <v>47282</v>
      </c>
      <c r="D443" s="11">
        <f t="shared" si="20"/>
        <v>3</v>
      </c>
      <c r="E443" s="12">
        <f t="shared" si="21"/>
        <v>15</v>
      </c>
    </row>
    <row r="444" spans="1:5" x14ac:dyDescent="0.3">
      <c r="A444">
        <f t="shared" si="19"/>
        <v>2024</v>
      </c>
      <c r="B444" s="3">
        <v>45377</v>
      </c>
      <c r="C444" s="4">
        <f>SUMIF(Table1[Date],Daily_Totals!B444,Table1[Amount])</f>
        <v>40534</v>
      </c>
      <c r="D444" s="11">
        <f t="shared" si="20"/>
        <v>3</v>
      </c>
      <c r="E444" s="12">
        <f t="shared" si="21"/>
        <v>15</v>
      </c>
    </row>
    <row r="445" spans="1:5" x14ac:dyDescent="0.3">
      <c r="A445">
        <f t="shared" si="19"/>
        <v>2024</v>
      </c>
      <c r="B445" s="3">
        <v>45378</v>
      </c>
      <c r="C445" s="4">
        <f>SUMIF(Table1[Date],Daily_Totals!B445,Table1[Amount])</f>
        <v>71116</v>
      </c>
      <c r="D445" s="11">
        <f t="shared" si="20"/>
        <v>3</v>
      </c>
      <c r="E445" s="12">
        <f t="shared" si="21"/>
        <v>15</v>
      </c>
    </row>
    <row r="446" spans="1:5" x14ac:dyDescent="0.3">
      <c r="A446">
        <f t="shared" si="19"/>
        <v>2024</v>
      </c>
      <c r="B446" s="3">
        <v>45379</v>
      </c>
      <c r="C446" s="4">
        <f>SUMIF(Table1[Date],Daily_Totals!B446,Table1[Amount])</f>
        <v>3017</v>
      </c>
      <c r="D446" s="11">
        <f t="shared" si="20"/>
        <v>3</v>
      </c>
      <c r="E446" s="12">
        <f t="shared" si="21"/>
        <v>15</v>
      </c>
    </row>
    <row r="447" spans="1:5" x14ac:dyDescent="0.3">
      <c r="A447">
        <f t="shared" si="19"/>
        <v>2024</v>
      </c>
      <c r="B447" s="3">
        <v>45380</v>
      </c>
      <c r="C447" s="4">
        <f>SUMIF(Table1[Date],Daily_Totals!B447,Table1[Amount])</f>
        <v>36988</v>
      </c>
      <c r="D447" s="11">
        <f t="shared" si="20"/>
        <v>3</v>
      </c>
      <c r="E447" s="12">
        <f t="shared" si="21"/>
        <v>15</v>
      </c>
    </row>
    <row r="448" spans="1:5" x14ac:dyDescent="0.3">
      <c r="A448">
        <f t="shared" si="19"/>
        <v>2024</v>
      </c>
      <c r="B448" s="3">
        <v>45381</v>
      </c>
      <c r="C448" s="4">
        <f>SUMIF(Table1[Date],Daily_Totals!B448,Table1[Amount])</f>
        <v>41450</v>
      </c>
      <c r="D448" s="11">
        <f t="shared" si="20"/>
        <v>3</v>
      </c>
      <c r="E448" s="12">
        <f t="shared" si="21"/>
        <v>15</v>
      </c>
    </row>
    <row r="449" spans="1:5" x14ac:dyDescent="0.3">
      <c r="A449">
        <f t="shared" si="19"/>
        <v>2024</v>
      </c>
      <c r="B449" s="3">
        <v>45382</v>
      </c>
      <c r="C449" s="4">
        <f>SUMIF(Table1[Date],Daily_Totals!B449,Table1[Amount])</f>
        <v>29709</v>
      </c>
      <c r="D449" s="11">
        <f t="shared" si="20"/>
        <v>3</v>
      </c>
      <c r="E449" s="12">
        <f t="shared" si="21"/>
        <v>15</v>
      </c>
    </row>
    <row r="450" spans="1:5" x14ac:dyDescent="0.3">
      <c r="A450">
        <f t="shared" si="19"/>
        <v>2024</v>
      </c>
      <c r="B450" s="3">
        <v>45383</v>
      </c>
      <c r="C450" s="4">
        <f>SUMIF(Table1[Date],Daily_Totals!B450,Table1[Amount])</f>
        <v>39209</v>
      </c>
      <c r="D450" s="11">
        <f t="shared" si="20"/>
        <v>4</v>
      </c>
      <c r="E450" s="12">
        <f t="shared" si="21"/>
        <v>16</v>
      </c>
    </row>
    <row r="451" spans="1:5" x14ac:dyDescent="0.3">
      <c r="A451">
        <f t="shared" ref="A451:A514" si="22">YEAR(B451)</f>
        <v>2024</v>
      </c>
      <c r="B451" s="3">
        <v>45384</v>
      </c>
      <c r="C451" s="4">
        <f>SUMIF(Table1[Date],Daily_Totals!B451,Table1[Amount])</f>
        <v>38632</v>
      </c>
      <c r="D451" s="11">
        <f t="shared" ref="D451:D514" si="23">MONTH(B451)</f>
        <v>4</v>
      </c>
      <c r="E451" s="12">
        <f t="shared" si="21"/>
        <v>16</v>
      </c>
    </row>
    <row r="452" spans="1:5" x14ac:dyDescent="0.3">
      <c r="A452">
        <f t="shared" si="22"/>
        <v>2024</v>
      </c>
      <c r="B452" s="3">
        <v>45385</v>
      </c>
      <c r="C452" s="4">
        <f>SUMIF(Table1[Date],Daily_Totals!B452,Table1[Amount])</f>
        <v>14287</v>
      </c>
      <c r="D452" s="11">
        <f t="shared" si="23"/>
        <v>4</v>
      </c>
      <c r="E452" s="12">
        <f t="shared" si="21"/>
        <v>16</v>
      </c>
    </row>
    <row r="453" spans="1:5" x14ac:dyDescent="0.3">
      <c r="A453">
        <f t="shared" si="22"/>
        <v>2024</v>
      </c>
      <c r="B453" s="3">
        <v>45386</v>
      </c>
      <c r="C453" s="4">
        <f>SUMIF(Table1[Date],Daily_Totals!B453,Table1[Amount])</f>
        <v>26507</v>
      </c>
      <c r="D453" s="11">
        <f t="shared" si="23"/>
        <v>4</v>
      </c>
      <c r="E453" s="12">
        <f t="shared" si="21"/>
        <v>16</v>
      </c>
    </row>
    <row r="454" spans="1:5" x14ac:dyDescent="0.3">
      <c r="A454">
        <f t="shared" si="22"/>
        <v>2024</v>
      </c>
      <c r="B454" s="3">
        <v>45387</v>
      </c>
      <c r="C454" s="4">
        <f>SUMIF(Table1[Date],Daily_Totals!B454,Table1[Amount])</f>
        <v>16732</v>
      </c>
      <c r="D454" s="11">
        <f t="shared" si="23"/>
        <v>4</v>
      </c>
      <c r="E454" s="12">
        <f t="shared" si="21"/>
        <v>16</v>
      </c>
    </row>
    <row r="455" spans="1:5" x14ac:dyDescent="0.3">
      <c r="A455">
        <f t="shared" si="22"/>
        <v>2024</v>
      </c>
      <c r="B455" s="3">
        <v>45388</v>
      </c>
      <c r="C455" s="4">
        <f>SUMIF(Table1[Date],Daily_Totals!B455,Table1[Amount])</f>
        <v>20232</v>
      </c>
      <c r="D455" s="11">
        <f t="shared" si="23"/>
        <v>4</v>
      </c>
      <c r="E455" s="12">
        <f t="shared" si="21"/>
        <v>16</v>
      </c>
    </row>
    <row r="456" spans="1:5" x14ac:dyDescent="0.3">
      <c r="A456">
        <f t="shared" si="22"/>
        <v>2024</v>
      </c>
      <c r="B456" s="3">
        <v>45389</v>
      </c>
      <c r="C456" s="4">
        <f>SUMIF(Table1[Date],Daily_Totals!B456,Table1[Amount])</f>
        <v>24775</v>
      </c>
      <c r="D456" s="11">
        <f t="shared" si="23"/>
        <v>4</v>
      </c>
      <c r="E456" s="12">
        <f t="shared" si="21"/>
        <v>16</v>
      </c>
    </row>
    <row r="457" spans="1:5" x14ac:dyDescent="0.3">
      <c r="A457">
        <f t="shared" si="22"/>
        <v>2024</v>
      </c>
      <c r="B457" s="3">
        <v>45390</v>
      </c>
      <c r="C457" s="4">
        <f>SUMIF(Table1[Date],Daily_Totals!B457,Table1[Amount])</f>
        <v>8631</v>
      </c>
      <c r="D457" s="11">
        <f t="shared" si="23"/>
        <v>4</v>
      </c>
      <c r="E457" s="12">
        <f t="shared" si="21"/>
        <v>16</v>
      </c>
    </row>
    <row r="458" spans="1:5" x14ac:dyDescent="0.3">
      <c r="A458">
        <f t="shared" si="22"/>
        <v>2024</v>
      </c>
      <c r="B458" s="3">
        <v>45391</v>
      </c>
      <c r="C458" s="4">
        <f>SUMIF(Table1[Date],Daily_Totals!B458,Table1[Amount])</f>
        <v>34647</v>
      </c>
      <c r="D458" s="11">
        <f t="shared" si="23"/>
        <v>4</v>
      </c>
      <c r="E458" s="12">
        <f t="shared" si="21"/>
        <v>16</v>
      </c>
    </row>
    <row r="459" spans="1:5" x14ac:dyDescent="0.3">
      <c r="A459">
        <f t="shared" si="22"/>
        <v>2024</v>
      </c>
      <c r="B459" s="3">
        <v>45392</v>
      </c>
      <c r="C459" s="4">
        <f>SUMIF(Table1[Date],Daily_Totals!B459,Table1[Amount])</f>
        <v>19562</v>
      </c>
      <c r="D459" s="11">
        <f t="shared" si="23"/>
        <v>4</v>
      </c>
      <c r="E459" s="12">
        <f t="shared" si="21"/>
        <v>16</v>
      </c>
    </row>
    <row r="460" spans="1:5" x14ac:dyDescent="0.3">
      <c r="A460">
        <f t="shared" si="22"/>
        <v>2024</v>
      </c>
      <c r="B460" s="3">
        <v>45394</v>
      </c>
      <c r="C460" s="4">
        <f>SUMIF(Table1[Date],Daily_Totals!B460,Table1[Amount])</f>
        <v>13569</v>
      </c>
      <c r="D460" s="11">
        <f t="shared" si="23"/>
        <v>4</v>
      </c>
      <c r="E460" s="12">
        <f t="shared" si="21"/>
        <v>16</v>
      </c>
    </row>
    <row r="461" spans="1:5" x14ac:dyDescent="0.3">
      <c r="A461">
        <f t="shared" si="22"/>
        <v>2024</v>
      </c>
      <c r="B461" s="3">
        <v>45395</v>
      </c>
      <c r="C461" s="4">
        <f>SUMIF(Table1[Date],Daily_Totals!B461,Table1[Amount])</f>
        <v>53977</v>
      </c>
      <c r="D461" s="11">
        <f t="shared" si="23"/>
        <v>4</v>
      </c>
      <c r="E461" s="12">
        <f t="shared" si="21"/>
        <v>16</v>
      </c>
    </row>
    <row r="462" spans="1:5" x14ac:dyDescent="0.3">
      <c r="A462">
        <f t="shared" si="22"/>
        <v>2024</v>
      </c>
      <c r="B462" s="3">
        <v>45396</v>
      </c>
      <c r="C462" s="4">
        <f>SUMIF(Table1[Date],Daily_Totals!B462,Table1[Amount])</f>
        <v>3854</v>
      </c>
      <c r="D462" s="11">
        <f t="shared" si="23"/>
        <v>4</v>
      </c>
      <c r="E462" s="12">
        <f t="shared" si="21"/>
        <v>16</v>
      </c>
    </row>
    <row r="463" spans="1:5" x14ac:dyDescent="0.3">
      <c r="A463">
        <f t="shared" si="22"/>
        <v>2024</v>
      </c>
      <c r="B463" s="3">
        <v>45397</v>
      </c>
      <c r="C463" s="4">
        <f>SUMIF(Table1[Date],Daily_Totals!B463,Table1[Amount])</f>
        <v>63974</v>
      </c>
      <c r="D463" s="11">
        <f t="shared" si="23"/>
        <v>4</v>
      </c>
      <c r="E463" s="12">
        <f t="shared" si="21"/>
        <v>16</v>
      </c>
    </row>
    <row r="464" spans="1:5" x14ac:dyDescent="0.3">
      <c r="A464">
        <f t="shared" si="22"/>
        <v>2024</v>
      </c>
      <c r="B464" s="3">
        <v>45398</v>
      </c>
      <c r="C464" s="4">
        <f>SUMIF(Table1[Date],Daily_Totals!B464,Table1[Amount])</f>
        <v>63509</v>
      </c>
      <c r="D464" s="11">
        <f t="shared" si="23"/>
        <v>4</v>
      </c>
      <c r="E464" s="12">
        <f t="shared" si="21"/>
        <v>16</v>
      </c>
    </row>
    <row r="465" spans="1:5" x14ac:dyDescent="0.3">
      <c r="A465">
        <f t="shared" si="22"/>
        <v>2024</v>
      </c>
      <c r="B465" s="3">
        <v>45399</v>
      </c>
      <c r="C465" s="4">
        <f>SUMIF(Table1[Date],Daily_Totals!B465,Table1[Amount])</f>
        <v>41197</v>
      </c>
      <c r="D465" s="11">
        <f t="shared" si="23"/>
        <v>4</v>
      </c>
      <c r="E465" s="12">
        <f t="shared" si="21"/>
        <v>16</v>
      </c>
    </row>
    <row r="466" spans="1:5" x14ac:dyDescent="0.3">
      <c r="A466">
        <f t="shared" si="22"/>
        <v>2024</v>
      </c>
      <c r="B466" s="3">
        <v>45400</v>
      </c>
      <c r="C466" s="4">
        <f>SUMIF(Table1[Date],Daily_Totals!B466,Table1[Amount])</f>
        <v>19962</v>
      </c>
      <c r="D466" s="11">
        <f t="shared" si="23"/>
        <v>4</v>
      </c>
      <c r="E466" s="12">
        <f t="shared" si="21"/>
        <v>16</v>
      </c>
    </row>
    <row r="467" spans="1:5" x14ac:dyDescent="0.3">
      <c r="A467">
        <f t="shared" si="22"/>
        <v>2024</v>
      </c>
      <c r="B467" s="3">
        <v>45401</v>
      </c>
      <c r="C467" s="4">
        <f>SUMIF(Table1[Date],Daily_Totals!B467,Table1[Amount])</f>
        <v>20775</v>
      </c>
      <c r="D467" s="11">
        <f t="shared" si="23"/>
        <v>4</v>
      </c>
      <c r="E467" s="12">
        <f t="shared" si="21"/>
        <v>16</v>
      </c>
    </row>
    <row r="468" spans="1:5" x14ac:dyDescent="0.3">
      <c r="A468">
        <f t="shared" si="22"/>
        <v>2024</v>
      </c>
      <c r="B468" s="3">
        <v>45402</v>
      </c>
      <c r="C468" s="4">
        <f>SUMIF(Table1[Date],Daily_Totals!B468,Table1[Amount])</f>
        <v>19984</v>
      </c>
      <c r="D468" s="11">
        <f t="shared" si="23"/>
        <v>4</v>
      </c>
      <c r="E468" s="12">
        <f t="shared" si="21"/>
        <v>16</v>
      </c>
    </row>
    <row r="469" spans="1:5" x14ac:dyDescent="0.3">
      <c r="A469">
        <f t="shared" si="22"/>
        <v>2024</v>
      </c>
      <c r="B469" s="3">
        <v>45403</v>
      </c>
      <c r="C469" s="4">
        <f>SUMIF(Table1[Date],Daily_Totals!B469,Table1[Amount])</f>
        <v>11386</v>
      </c>
      <c r="D469" s="11">
        <f t="shared" si="23"/>
        <v>4</v>
      </c>
      <c r="E469" s="12">
        <f t="shared" si="21"/>
        <v>16</v>
      </c>
    </row>
    <row r="470" spans="1:5" x14ac:dyDescent="0.3">
      <c r="A470">
        <f t="shared" si="22"/>
        <v>2024</v>
      </c>
      <c r="B470" s="3">
        <v>45404</v>
      </c>
      <c r="C470" s="4">
        <f>SUMIF(Table1[Date],Daily_Totals!B470,Table1[Amount])</f>
        <v>26004</v>
      </c>
      <c r="D470" s="11">
        <f t="shared" si="23"/>
        <v>4</v>
      </c>
      <c r="E470" s="12">
        <f t="shared" si="21"/>
        <v>16</v>
      </c>
    </row>
    <row r="471" spans="1:5" x14ac:dyDescent="0.3">
      <c r="A471">
        <f t="shared" si="22"/>
        <v>2024</v>
      </c>
      <c r="B471" s="3">
        <v>45405</v>
      </c>
      <c r="C471" s="4">
        <f>SUMIF(Table1[Date],Daily_Totals!B471,Table1[Amount])</f>
        <v>27483</v>
      </c>
      <c r="D471" s="11">
        <f t="shared" si="23"/>
        <v>4</v>
      </c>
      <c r="E471" s="12">
        <f t="shared" si="21"/>
        <v>16</v>
      </c>
    </row>
    <row r="472" spans="1:5" x14ac:dyDescent="0.3">
      <c r="A472">
        <f t="shared" si="22"/>
        <v>2024</v>
      </c>
      <c r="B472" s="3">
        <v>45406</v>
      </c>
      <c r="C472" s="4">
        <f>SUMIF(Table1[Date],Daily_Totals!B472,Table1[Amount])</f>
        <v>51067</v>
      </c>
      <c r="D472" s="11">
        <f t="shared" si="23"/>
        <v>4</v>
      </c>
      <c r="E472" s="12">
        <f t="shared" si="21"/>
        <v>16</v>
      </c>
    </row>
    <row r="473" spans="1:5" x14ac:dyDescent="0.3">
      <c r="A473">
        <f t="shared" si="22"/>
        <v>2024</v>
      </c>
      <c r="B473" s="3">
        <v>45407</v>
      </c>
      <c r="C473" s="4">
        <f>SUMIF(Table1[Date],Daily_Totals!B473,Table1[Amount])</f>
        <v>19919</v>
      </c>
      <c r="D473" s="11">
        <f t="shared" si="23"/>
        <v>4</v>
      </c>
      <c r="E473" s="12">
        <f t="shared" si="21"/>
        <v>16</v>
      </c>
    </row>
    <row r="474" spans="1:5" x14ac:dyDescent="0.3">
      <c r="A474">
        <f t="shared" si="22"/>
        <v>2024</v>
      </c>
      <c r="B474" s="3">
        <v>45408</v>
      </c>
      <c r="C474" s="4">
        <f>SUMIF(Table1[Date],Daily_Totals!B474,Table1[Amount])</f>
        <v>22774</v>
      </c>
      <c r="D474" s="11">
        <f t="shared" si="23"/>
        <v>4</v>
      </c>
      <c r="E474" s="12">
        <f t="shared" si="21"/>
        <v>16</v>
      </c>
    </row>
    <row r="475" spans="1:5" x14ac:dyDescent="0.3">
      <c r="A475">
        <f t="shared" si="22"/>
        <v>2024</v>
      </c>
      <c r="B475" s="3">
        <v>45409</v>
      </c>
      <c r="C475" s="4">
        <f>SUMIF(Table1[Date],Daily_Totals!B475,Table1[Amount])</f>
        <v>9117</v>
      </c>
      <c r="D475" s="11">
        <f t="shared" si="23"/>
        <v>4</v>
      </c>
      <c r="E475" s="12">
        <f t="shared" si="21"/>
        <v>16</v>
      </c>
    </row>
    <row r="476" spans="1:5" x14ac:dyDescent="0.3">
      <c r="A476">
        <f t="shared" si="22"/>
        <v>2024</v>
      </c>
      <c r="B476" s="3">
        <v>45410</v>
      </c>
      <c r="C476" s="4">
        <f>SUMIF(Table1[Date],Daily_Totals!B476,Table1[Amount])</f>
        <v>36123</v>
      </c>
      <c r="D476" s="11">
        <f t="shared" si="23"/>
        <v>4</v>
      </c>
      <c r="E476" s="12">
        <f t="shared" si="21"/>
        <v>16</v>
      </c>
    </row>
    <row r="477" spans="1:5" x14ac:dyDescent="0.3">
      <c r="A477">
        <f t="shared" si="22"/>
        <v>2024</v>
      </c>
      <c r="B477" s="3">
        <v>45411</v>
      </c>
      <c r="C477" s="4">
        <f>SUMIF(Table1[Date],Daily_Totals!B477,Table1[Amount])</f>
        <v>14943</v>
      </c>
      <c r="D477" s="11">
        <f t="shared" si="23"/>
        <v>4</v>
      </c>
      <c r="E477" s="12">
        <f t="shared" si="21"/>
        <v>16</v>
      </c>
    </row>
    <row r="478" spans="1:5" x14ac:dyDescent="0.3">
      <c r="A478">
        <f t="shared" si="22"/>
        <v>2024</v>
      </c>
      <c r="B478" s="3">
        <v>45412</v>
      </c>
      <c r="C478" s="4">
        <f>SUMIF(Table1[Date],Daily_Totals!B478,Table1[Amount])</f>
        <v>70407</v>
      </c>
      <c r="D478" s="11">
        <f t="shared" si="23"/>
        <v>4</v>
      </c>
      <c r="E478" s="12">
        <f t="shared" si="21"/>
        <v>16</v>
      </c>
    </row>
    <row r="479" spans="1:5" x14ac:dyDescent="0.3">
      <c r="A479">
        <f t="shared" si="22"/>
        <v>2024</v>
      </c>
      <c r="B479" s="3">
        <v>45413</v>
      </c>
      <c r="C479" s="4">
        <f>SUMIF(Table1[Date],Daily_Totals!B479,Table1[Amount])</f>
        <v>26429</v>
      </c>
      <c r="D479" s="11">
        <f t="shared" si="23"/>
        <v>5</v>
      </c>
      <c r="E479" s="12">
        <f t="shared" si="21"/>
        <v>17</v>
      </c>
    </row>
    <row r="480" spans="1:5" x14ac:dyDescent="0.3">
      <c r="A480">
        <f t="shared" si="22"/>
        <v>2024</v>
      </c>
      <c r="B480" s="3">
        <v>45414</v>
      </c>
      <c r="C480" s="4">
        <f>SUMIF(Table1[Date],Daily_Totals!B480,Table1[Amount])</f>
        <v>26993</v>
      </c>
      <c r="D480" s="11">
        <f t="shared" si="23"/>
        <v>5</v>
      </c>
      <c r="E480" s="12">
        <f t="shared" si="21"/>
        <v>17</v>
      </c>
    </row>
    <row r="481" spans="1:5" x14ac:dyDescent="0.3">
      <c r="A481">
        <f t="shared" si="22"/>
        <v>2024</v>
      </c>
      <c r="B481" s="3">
        <v>45415</v>
      </c>
      <c r="C481" s="4">
        <f>SUMIF(Table1[Date],Daily_Totals!B481,Table1[Amount])</f>
        <v>90997</v>
      </c>
      <c r="D481" s="11">
        <f t="shared" si="23"/>
        <v>5</v>
      </c>
      <c r="E481" s="12">
        <f t="shared" si="21"/>
        <v>17</v>
      </c>
    </row>
    <row r="482" spans="1:5" x14ac:dyDescent="0.3">
      <c r="A482">
        <f t="shared" si="22"/>
        <v>2024</v>
      </c>
      <c r="B482" s="3">
        <v>45416</v>
      </c>
      <c r="C482" s="4">
        <f>SUMIF(Table1[Date],Daily_Totals!B482,Table1[Amount])</f>
        <v>35777</v>
      </c>
      <c r="D482" s="11">
        <f t="shared" si="23"/>
        <v>5</v>
      </c>
      <c r="E482" s="12">
        <f t="shared" si="21"/>
        <v>17</v>
      </c>
    </row>
    <row r="483" spans="1:5" x14ac:dyDescent="0.3">
      <c r="A483">
        <f t="shared" si="22"/>
        <v>2024</v>
      </c>
      <c r="B483" s="3">
        <v>45417</v>
      </c>
      <c r="C483" s="4">
        <f>SUMIF(Table1[Date],Daily_Totals!B483,Table1[Amount])</f>
        <v>38752</v>
      </c>
      <c r="D483" s="11">
        <f t="shared" si="23"/>
        <v>5</v>
      </c>
      <c r="E483" s="12">
        <f t="shared" si="21"/>
        <v>17</v>
      </c>
    </row>
    <row r="484" spans="1:5" x14ac:dyDescent="0.3">
      <c r="A484">
        <f t="shared" si="22"/>
        <v>2024</v>
      </c>
      <c r="B484" s="3">
        <v>45418</v>
      </c>
      <c r="C484" s="4">
        <f>SUMIF(Table1[Date],Daily_Totals!B484,Table1[Amount])</f>
        <v>14661</v>
      </c>
      <c r="D484" s="11">
        <f t="shared" si="23"/>
        <v>5</v>
      </c>
      <c r="E484" s="12">
        <f t="shared" si="21"/>
        <v>17</v>
      </c>
    </row>
    <row r="485" spans="1:5" x14ac:dyDescent="0.3">
      <c r="A485">
        <f t="shared" si="22"/>
        <v>2024</v>
      </c>
      <c r="B485" s="3">
        <v>45419</v>
      </c>
      <c r="C485" s="4">
        <f>SUMIF(Table1[Date],Daily_Totals!B485,Table1[Amount])</f>
        <v>48316</v>
      </c>
      <c r="D485" s="11">
        <f t="shared" si="23"/>
        <v>5</v>
      </c>
      <c r="E485" s="12">
        <f t="shared" si="21"/>
        <v>17</v>
      </c>
    </row>
    <row r="486" spans="1:5" x14ac:dyDescent="0.3">
      <c r="A486">
        <f t="shared" si="22"/>
        <v>2024</v>
      </c>
      <c r="B486" s="3">
        <v>45420</v>
      </c>
      <c r="C486" s="4">
        <f>SUMIF(Table1[Date],Daily_Totals!B486,Table1[Amount])</f>
        <v>1326</v>
      </c>
      <c r="D486" s="11">
        <f t="shared" si="23"/>
        <v>5</v>
      </c>
      <c r="E486" s="12">
        <f t="shared" si="21"/>
        <v>17</v>
      </c>
    </row>
    <row r="487" spans="1:5" x14ac:dyDescent="0.3">
      <c r="A487">
        <f t="shared" si="22"/>
        <v>2024</v>
      </c>
      <c r="B487" s="3">
        <v>45421</v>
      </c>
      <c r="C487" s="4">
        <f>SUMIF(Table1[Date],Daily_Totals!B487,Table1[Amount])</f>
        <v>17653</v>
      </c>
      <c r="D487" s="11">
        <f t="shared" si="23"/>
        <v>5</v>
      </c>
      <c r="E487" s="12">
        <f t="shared" si="21"/>
        <v>17</v>
      </c>
    </row>
    <row r="488" spans="1:5" x14ac:dyDescent="0.3">
      <c r="A488">
        <f t="shared" si="22"/>
        <v>2024</v>
      </c>
      <c r="B488" s="3">
        <v>45422</v>
      </c>
      <c r="C488" s="4">
        <f>SUMIF(Table1[Date],Daily_Totals!B488,Table1[Amount])</f>
        <v>28926</v>
      </c>
      <c r="D488" s="11">
        <f t="shared" si="23"/>
        <v>5</v>
      </c>
      <c r="E488" s="12">
        <f t="shared" ref="E488:E551" si="24">D488+12</f>
        <v>17</v>
      </c>
    </row>
    <row r="489" spans="1:5" x14ac:dyDescent="0.3">
      <c r="A489">
        <f t="shared" si="22"/>
        <v>2024</v>
      </c>
      <c r="B489" s="3">
        <v>45423</v>
      </c>
      <c r="C489" s="4">
        <f>SUMIF(Table1[Date],Daily_Totals!B489,Table1[Amount])</f>
        <v>32376</v>
      </c>
      <c r="D489" s="11">
        <f t="shared" si="23"/>
        <v>5</v>
      </c>
      <c r="E489" s="12">
        <f t="shared" si="24"/>
        <v>17</v>
      </c>
    </row>
    <row r="490" spans="1:5" x14ac:dyDescent="0.3">
      <c r="A490">
        <f t="shared" si="22"/>
        <v>2024</v>
      </c>
      <c r="B490" s="3">
        <v>45424</v>
      </c>
      <c r="C490" s="4">
        <f>SUMIF(Table1[Date],Daily_Totals!B490,Table1[Amount])</f>
        <v>30890</v>
      </c>
      <c r="D490" s="11">
        <f t="shared" si="23"/>
        <v>5</v>
      </c>
      <c r="E490" s="12">
        <f t="shared" si="24"/>
        <v>17</v>
      </c>
    </row>
    <row r="491" spans="1:5" x14ac:dyDescent="0.3">
      <c r="A491">
        <f t="shared" si="22"/>
        <v>2024</v>
      </c>
      <c r="B491" s="3">
        <v>45425</v>
      </c>
      <c r="C491" s="4">
        <f>SUMIF(Table1[Date],Daily_Totals!B491,Table1[Amount])</f>
        <v>29414</v>
      </c>
      <c r="D491" s="11">
        <f t="shared" si="23"/>
        <v>5</v>
      </c>
      <c r="E491" s="12">
        <f t="shared" si="24"/>
        <v>17</v>
      </c>
    </row>
    <row r="492" spans="1:5" x14ac:dyDescent="0.3">
      <c r="A492">
        <f t="shared" si="22"/>
        <v>2024</v>
      </c>
      <c r="B492" s="3">
        <v>45426</v>
      </c>
      <c r="C492" s="4">
        <f>SUMIF(Table1[Date],Daily_Totals!B492,Table1[Amount])</f>
        <v>20857</v>
      </c>
      <c r="D492" s="11">
        <f t="shared" si="23"/>
        <v>5</v>
      </c>
      <c r="E492" s="12">
        <f t="shared" si="24"/>
        <v>17</v>
      </c>
    </row>
    <row r="493" spans="1:5" x14ac:dyDescent="0.3">
      <c r="A493">
        <f t="shared" si="22"/>
        <v>2024</v>
      </c>
      <c r="B493" s="3">
        <v>45427</v>
      </c>
      <c r="C493" s="4">
        <f>SUMIF(Table1[Date],Daily_Totals!B493,Table1[Amount])</f>
        <v>34821</v>
      </c>
      <c r="D493" s="11">
        <f t="shared" si="23"/>
        <v>5</v>
      </c>
      <c r="E493" s="12">
        <f t="shared" si="24"/>
        <v>17</v>
      </c>
    </row>
    <row r="494" spans="1:5" x14ac:dyDescent="0.3">
      <c r="A494">
        <f t="shared" si="22"/>
        <v>2024</v>
      </c>
      <c r="B494" s="3">
        <v>45428</v>
      </c>
      <c r="C494" s="4">
        <f>SUMIF(Table1[Date],Daily_Totals!B494,Table1[Amount])</f>
        <v>37801</v>
      </c>
      <c r="D494" s="11">
        <f t="shared" si="23"/>
        <v>5</v>
      </c>
      <c r="E494" s="12">
        <f t="shared" si="24"/>
        <v>17</v>
      </c>
    </row>
    <row r="495" spans="1:5" x14ac:dyDescent="0.3">
      <c r="A495">
        <f t="shared" si="22"/>
        <v>2024</v>
      </c>
      <c r="B495" s="3">
        <v>45429</v>
      </c>
      <c r="C495" s="4">
        <f>SUMIF(Table1[Date],Daily_Totals!B495,Table1[Amount])</f>
        <v>56728</v>
      </c>
      <c r="D495" s="11">
        <f t="shared" si="23"/>
        <v>5</v>
      </c>
      <c r="E495" s="12">
        <f t="shared" si="24"/>
        <v>17</v>
      </c>
    </row>
    <row r="496" spans="1:5" x14ac:dyDescent="0.3">
      <c r="A496">
        <f t="shared" si="22"/>
        <v>2024</v>
      </c>
      <c r="B496" s="3">
        <v>45430</v>
      </c>
      <c r="C496" s="4">
        <f>SUMIF(Table1[Date],Daily_Totals!B496,Table1[Amount])</f>
        <v>48661</v>
      </c>
      <c r="D496" s="11">
        <f t="shared" si="23"/>
        <v>5</v>
      </c>
      <c r="E496" s="12">
        <f t="shared" si="24"/>
        <v>17</v>
      </c>
    </row>
    <row r="497" spans="1:5" x14ac:dyDescent="0.3">
      <c r="A497">
        <f t="shared" si="22"/>
        <v>2024</v>
      </c>
      <c r="B497" s="3">
        <v>45431</v>
      </c>
      <c r="C497" s="4">
        <f>SUMIF(Table1[Date],Daily_Totals!B497,Table1[Amount])</f>
        <v>27484</v>
      </c>
      <c r="D497" s="11">
        <f t="shared" si="23"/>
        <v>5</v>
      </c>
      <c r="E497" s="12">
        <f t="shared" si="24"/>
        <v>17</v>
      </c>
    </row>
    <row r="498" spans="1:5" x14ac:dyDescent="0.3">
      <c r="A498">
        <f t="shared" si="22"/>
        <v>2024</v>
      </c>
      <c r="B498" s="3">
        <v>45432</v>
      </c>
      <c r="C498" s="4">
        <f>SUMIF(Table1[Date],Daily_Totals!B498,Table1[Amount])</f>
        <v>29057</v>
      </c>
      <c r="D498" s="11">
        <f t="shared" si="23"/>
        <v>5</v>
      </c>
      <c r="E498" s="12">
        <f t="shared" si="24"/>
        <v>17</v>
      </c>
    </row>
    <row r="499" spans="1:5" x14ac:dyDescent="0.3">
      <c r="A499">
        <f t="shared" si="22"/>
        <v>2024</v>
      </c>
      <c r="B499" s="3">
        <v>45433</v>
      </c>
      <c r="C499" s="4">
        <f>SUMIF(Table1[Date],Daily_Totals!B499,Table1[Amount])</f>
        <v>39749</v>
      </c>
      <c r="D499" s="11">
        <f t="shared" si="23"/>
        <v>5</v>
      </c>
      <c r="E499" s="12">
        <f t="shared" si="24"/>
        <v>17</v>
      </c>
    </row>
    <row r="500" spans="1:5" x14ac:dyDescent="0.3">
      <c r="A500">
        <f t="shared" si="22"/>
        <v>2024</v>
      </c>
      <c r="B500" s="3">
        <v>45434</v>
      </c>
      <c r="C500" s="4">
        <f>SUMIF(Table1[Date],Daily_Totals!B500,Table1[Amount])</f>
        <v>22547</v>
      </c>
      <c r="D500" s="11">
        <f t="shared" si="23"/>
        <v>5</v>
      </c>
      <c r="E500" s="12">
        <f t="shared" si="24"/>
        <v>17</v>
      </c>
    </row>
    <row r="501" spans="1:5" x14ac:dyDescent="0.3">
      <c r="A501">
        <f t="shared" si="22"/>
        <v>2024</v>
      </c>
      <c r="B501" s="3">
        <v>45435</v>
      </c>
      <c r="C501" s="4">
        <f>SUMIF(Table1[Date],Daily_Totals!B501,Table1[Amount])</f>
        <v>23778</v>
      </c>
      <c r="D501" s="11">
        <f t="shared" si="23"/>
        <v>5</v>
      </c>
      <c r="E501" s="12">
        <f t="shared" si="24"/>
        <v>17</v>
      </c>
    </row>
    <row r="502" spans="1:5" x14ac:dyDescent="0.3">
      <c r="A502">
        <f t="shared" si="22"/>
        <v>2024</v>
      </c>
      <c r="B502" s="3">
        <v>45436</v>
      </c>
      <c r="C502" s="4">
        <f>SUMIF(Table1[Date],Daily_Totals!B502,Table1[Amount])</f>
        <v>17825</v>
      </c>
      <c r="D502" s="11">
        <f t="shared" si="23"/>
        <v>5</v>
      </c>
      <c r="E502" s="12">
        <f t="shared" si="24"/>
        <v>17</v>
      </c>
    </row>
    <row r="503" spans="1:5" x14ac:dyDescent="0.3">
      <c r="A503">
        <f t="shared" si="22"/>
        <v>2024</v>
      </c>
      <c r="B503" s="3">
        <v>45438</v>
      </c>
      <c r="C503" s="4">
        <f>SUMIF(Table1[Date],Daily_Totals!B503,Table1[Amount])</f>
        <v>49177</v>
      </c>
      <c r="D503" s="11">
        <f t="shared" si="23"/>
        <v>5</v>
      </c>
      <c r="E503" s="12">
        <f t="shared" si="24"/>
        <v>17</v>
      </c>
    </row>
    <row r="504" spans="1:5" x14ac:dyDescent="0.3">
      <c r="A504">
        <f t="shared" si="22"/>
        <v>2024</v>
      </c>
      <c r="B504" s="3">
        <v>45439</v>
      </c>
      <c r="C504" s="4">
        <f>SUMIF(Table1[Date],Daily_Totals!B504,Table1[Amount])</f>
        <v>28918</v>
      </c>
      <c r="D504" s="11">
        <f t="shared" si="23"/>
        <v>5</v>
      </c>
      <c r="E504" s="12">
        <f t="shared" si="24"/>
        <v>17</v>
      </c>
    </row>
    <row r="505" spans="1:5" x14ac:dyDescent="0.3">
      <c r="A505">
        <f t="shared" si="22"/>
        <v>2024</v>
      </c>
      <c r="B505" s="3">
        <v>45440</v>
      </c>
      <c r="C505" s="4">
        <f>SUMIF(Table1[Date],Daily_Totals!B505,Table1[Amount])</f>
        <v>26723</v>
      </c>
      <c r="D505" s="11">
        <f t="shared" si="23"/>
        <v>5</v>
      </c>
      <c r="E505" s="12">
        <f t="shared" si="24"/>
        <v>17</v>
      </c>
    </row>
    <row r="506" spans="1:5" x14ac:dyDescent="0.3">
      <c r="A506">
        <f t="shared" si="22"/>
        <v>2024</v>
      </c>
      <c r="B506" s="3">
        <v>45441</v>
      </c>
      <c r="C506" s="4">
        <f>SUMIF(Table1[Date],Daily_Totals!B506,Table1[Amount])</f>
        <v>11127</v>
      </c>
      <c r="D506" s="11">
        <f t="shared" si="23"/>
        <v>5</v>
      </c>
      <c r="E506" s="12">
        <f t="shared" si="24"/>
        <v>17</v>
      </c>
    </row>
    <row r="507" spans="1:5" x14ac:dyDescent="0.3">
      <c r="A507">
        <f t="shared" si="22"/>
        <v>2024</v>
      </c>
      <c r="B507" s="3">
        <v>45442</v>
      </c>
      <c r="C507" s="4">
        <f>SUMIF(Table1[Date],Daily_Totals!B507,Table1[Amount])</f>
        <v>37210</v>
      </c>
      <c r="D507" s="11">
        <f t="shared" si="23"/>
        <v>5</v>
      </c>
      <c r="E507" s="12">
        <f t="shared" si="24"/>
        <v>17</v>
      </c>
    </row>
    <row r="508" spans="1:5" x14ac:dyDescent="0.3">
      <c r="A508">
        <f t="shared" si="22"/>
        <v>2024</v>
      </c>
      <c r="B508" s="3">
        <v>45443</v>
      </c>
      <c r="C508" s="4">
        <f>SUMIF(Table1[Date],Daily_Totals!B508,Table1[Amount])</f>
        <v>29431</v>
      </c>
      <c r="D508" s="11">
        <f t="shared" si="23"/>
        <v>5</v>
      </c>
      <c r="E508" s="12">
        <f t="shared" si="24"/>
        <v>17</v>
      </c>
    </row>
    <row r="509" spans="1:5" x14ac:dyDescent="0.3">
      <c r="A509">
        <f t="shared" si="22"/>
        <v>2024</v>
      </c>
      <c r="B509" s="3">
        <v>45444</v>
      </c>
      <c r="C509" s="4">
        <f>SUMIF(Table1[Date],Daily_Totals!B509,Table1[Amount])</f>
        <v>26642</v>
      </c>
      <c r="D509" s="11">
        <f t="shared" si="23"/>
        <v>6</v>
      </c>
      <c r="E509" s="12">
        <f t="shared" si="24"/>
        <v>18</v>
      </c>
    </row>
    <row r="510" spans="1:5" x14ac:dyDescent="0.3">
      <c r="A510">
        <f t="shared" si="22"/>
        <v>2024</v>
      </c>
      <c r="B510" s="3">
        <v>45445</v>
      </c>
      <c r="C510" s="4">
        <f>SUMIF(Table1[Date],Daily_Totals!B510,Table1[Amount])</f>
        <v>55977</v>
      </c>
      <c r="D510" s="11">
        <f t="shared" si="23"/>
        <v>6</v>
      </c>
      <c r="E510" s="12">
        <f t="shared" si="24"/>
        <v>18</v>
      </c>
    </row>
    <row r="511" spans="1:5" x14ac:dyDescent="0.3">
      <c r="A511">
        <f t="shared" si="22"/>
        <v>2024</v>
      </c>
      <c r="B511" s="3">
        <v>45446</v>
      </c>
      <c r="C511" s="4">
        <f>SUMIF(Table1[Date],Daily_Totals!B511,Table1[Amount])</f>
        <v>50190</v>
      </c>
      <c r="D511" s="11">
        <f t="shared" si="23"/>
        <v>6</v>
      </c>
      <c r="E511" s="12">
        <f t="shared" si="24"/>
        <v>18</v>
      </c>
    </row>
    <row r="512" spans="1:5" x14ac:dyDescent="0.3">
      <c r="A512">
        <f t="shared" si="22"/>
        <v>2024</v>
      </c>
      <c r="B512" s="3">
        <v>45447</v>
      </c>
      <c r="C512" s="4">
        <f>SUMIF(Table1[Date],Daily_Totals!B512,Table1[Amount])</f>
        <v>23670</v>
      </c>
      <c r="D512" s="11">
        <f t="shared" si="23"/>
        <v>6</v>
      </c>
      <c r="E512" s="12">
        <f t="shared" si="24"/>
        <v>18</v>
      </c>
    </row>
    <row r="513" spans="1:5" x14ac:dyDescent="0.3">
      <c r="A513">
        <f t="shared" si="22"/>
        <v>2024</v>
      </c>
      <c r="B513" s="3">
        <v>45448</v>
      </c>
      <c r="C513" s="4">
        <f>SUMIF(Table1[Date],Daily_Totals!B513,Table1[Amount])</f>
        <v>13047</v>
      </c>
      <c r="D513" s="11">
        <f t="shared" si="23"/>
        <v>6</v>
      </c>
      <c r="E513" s="12">
        <f t="shared" si="24"/>
        <v>18</v>
      </c>
    </row>
    <row r="514" spans="1:5" x14ac:dyDescent="0.3">
      <c r="A514">
        <f t="shared" si="22"/>
        <v>2024</v>
      </c>
      <c r="B514" s="3">
        <v>45449</v>
      </c>
      <c r="C514" s="4">
        <f>SUMIF(Table1[Date],Daily_Totals!B514,Table1[Amount])</f>
        <v>36606</v>
      </c>
      <c r="D514" s="11">
        <f t="shared" si="23"/>
        <v>6</v>
      </c>
      <c r="E514" s="12">
        <f t="shared" si="24"/>
        <v>18</v>
      </c>
    </row>
    <row r="515" spans="1:5" x14ac:dyDescent="0.3">
      <c r="A515">
        <f t="shared" ref="A515:A578" si="25">YEAR(B515)</f>
        <v>2024</v>
      </c>
      <c r="B515" s="3">
        <v>45450</v>
      </c>
      <c r="C515" s="4">
        <f>SUMIF(Table1[Date],Daily_Totals!B515,Table1[Amount])</f>
        <v>21756</v>
      </c>
      <c r="D515" s="11">
        <f t="shared" ref="D515:D578" si="26">MONTH(B515)</f>
        <v>6</v>
      </c>
      <c r="E515" s="12">
        <f t="shared" si="24"/>
        <v>18</v>
      </c>
    </row>
    <row r="516" spans="1:5" x14ac:dyDescent="0.3">
      <c r="A516">
        <f t="shared" si="25"/>
        <v>2024</v>
      </c>
      <c r="B516" s="3">
        <v>45451</v>
      </c>
      <c r="C516" s="4">
        <f>SUMIF(Table1[Date],Daily_Totals!B516,Table1[Amount])</f>
        <v>41798</v>
      </c>
      <c r="D516" s="11">
        <f t="shared" si="26"/>
        <v>6</v>
      </c>
      <c r="E516" s="12">
        <f t="shared" si="24"/>
        <v>18</v>
      </c>
    </row>
    <row r="517" spans="1:5" x14ac:dyDescent="0.3">
      <c r="A517">
        <f t="shared" si="25"/>
        <v>2024</v>
      </c>
      <c r="B517" s="3">
        <v>45452</v>
      </c>
      <c r="C517" s="4">
        <f>SUMIF(Table1[Date],Daily_Totals!B517,Table1[Amount])</f>
        <v>64786</v>
      </c>
      <c r="D517" s="11">
        <f t="shared" si="26"/>
        <v>6</v>
      </c>
      <c r="E517" s="12">
        <f t="shared" si="24"/>
        <v>18</v>
      </c>
    </row>
    <row r="518" spans="1:5" x14ac:dyDescent="0.3">
      <c r="A518">
        <f t="shared" si="25"/>
        <v>2024</v>
      </c>
      <c r="B518" s="3">
        <v>45453</v>
      </c>
      <c r="C518" s="4">
        <f>SUMIF(Table1[Date],Daily_Totals!B518,Table1[Amount])</f>
        <v>58690</v>
      </c>
      <c r="D518" s="11">
        <f t="shared" si="26"/>
        <v>6</v>
      </c>
      <c r="E518" s="12">
        <f t="shared" si="24"/>
        <v>18</v>
      </c>
    </row>
    <row r="519" spans="1:5" x14ac:dyDescent="0.3">
      <c r="A519">
        <f t="shared" si="25"/>
        <v>2024</v>
      </c>
      <c r="B519" s="3">
        <v>45454</v>
      </c>
      <c r="C519" s="4">
        <f>SUMIF(Table1[Date],Daily_Totals!B519,Table1[Amount])</f>
        <v>59844</v>
      </c>
      <c r="D519" s="11">
        <f t="shared" si="26"/>
        <v>6</v>
      </c>
      <c r="E519" s="12">
        <f t="shared" si="24"/>
        <v>18</v>
      </c>
    </row>
    <row r="520" spans="1:5" x14ac:dyDescent="0.3">
      <c r="A520">
        <f t="shared" si="25"/>
        <v>2024</v>
      </c>
      <c r="B520" s="3">
        <v>45456</v>
      </c>
      <c r="C520" s="4">
        <f>SUMIF(Table1[Date],Daily_Totals!B520,Table1[Amount])</f>
        <v>9420</v>
      </c>
      <c r="D520" s="11">
        <f t="shared" si="26"/>
        <v>6</v>
      </c>
      <c r="E520" s="12">
        <f t="shared" si="24"/>
        <v>18</v>
      </c>
    </row>
    <row r="521" spans="1:5" x14ac:dyDescent="0.3">
      <c r="A521">
        <f t="shared" si="25"/>
        <v>2024</v>
      </c>
      <c r="B521" s="3">
        <v>45457</v>
      </c>
      <c r="C521" s="4">
        <f>SUMIF(Table1[Date],Daily_Totals!B521,Table1[Amount])</f>
        <v>18582</v>
      </c>
      <c r="D521" s="11">
        <f t="shared" si="26"/>
        <v>6</v>
      </c>
      <c r="E521" s="12">
        <f t="shared" si="24"/>
        <v>18</v>
      </c>
    </row>
    <row r="522" spans="1:5" x14ac:dyDescent="0.3">
      <c r="A522">
        <f t="shared" si="25"/>
        <v>2024</v>
      </c>
      <c r="B522" s="3">
        <v>45458</v>
      </c>
      <c r="C522" s="4">
        <f>SUMIF(Table1[Date],Daily_Totals!B522,Table1[Amount])</f>
        <v>33446</v>
      </c>
      <c r="D522" s="11">
        <f t="shared" si="26"/>
        <v>6</v>
      </c>
      <c r="E522" s="12">
        <f t="shared" si="24"/>
        <v>18</v>
      </c>
    </row>
    <row r="523" spans="1:5" x14ac:dyDescent="0.3">
      <c r="A523">
        <f t="shared" si="25"/>
        <v>2024</v>
      </c>
      <c r="B523" s="3">
        <v>45459</v>
      </c>
      <c r="C523" s="4">
        <f>SUMIF(Table1[Date],Daily_Totals!B523,Table1[Amount])</f>
        <v>60495</v>
      </c>
      <c r="D523" s="11">
        <f t="shared" si="26"/>
        <v>6</v>
      </c>
      <c r="E523" s="12">
        <f t="shared" si="24"/>
        <v>18</v>
      </c>
    </row>
    <row r="524" spans="1:5" x14ac:dyDescent="0.3">
      <c r="A524">
        <f t="shared" si="25"/>
        <v>2024</v>
      </c>
      <c r="B524" s="3">
        <v>45460</v>
      </c>
      <c r="C524" s="4">
        <f>SUMIF(Table1[Date],Daily_Totals!B524,Table1[Amount])</f>
        <v>35449</v>
      </c>
      <c r="D524" s="11">
        <f t="shared" si="26"/>
        <v>6</v>
      </c>
      <c r="E524" s="12">
        <f t="shared" si="24"/>
        <v>18</v>
      </c>
    </row>
    <row r="525" spans="1:5" x14ac:dyDescent="0.3">
      <c r="A525">
        <f t="shared" si="25"/>
        <v>2024</v>
      </c>
      <c r="B525" s="3">
        <v>45461</v>
      </c>
      <c r="C525" s="4">
        <f>SUMIF(Table1[Date],Daily_Totals!B525,Table1[Amount])</f>
        <v>45690</v>
      </c>
      <c r="D525" s="11">
        <f t="shared" si="26"/>
        <v>6</v>
      </c>
      <c r="E525" s="12">
        <f t="shared" si="24"/>
        <v>18</v>
      </c>
    </row>
    <row r="526" spans="1:5" x14ac:dyDescent="0.3">
      <c r="A526">
        <f t="shared" si="25"/>
        <v>2024</v>
      </c>
      <c r="B526" s="3">
        <v>45462</v>
      </c>
      <c r="C526" s="4">
        <f>SUMIF(Table1[Date],Daily_Totals!B526,Table1[Amount])</f>
        <v>52396</v>
      </c>
      <c r="D526" s="11">
        <f t="shared" si="26"/>
        <v>6</v>
      </c>
      <c r="E526" s="12">
        <f t="shared" si="24"/>
        <v>18</v>
      </c>
    </row>
    <row r="527" spans="1:5" x14ac:dyDescent="0.3">
      <c r="A527">
        <f t="shared" si="25"/>
        <v>2024</v>
      </c>
      <c r="B527" s="3">
        <v>45463</v>
      </c>
      <c r="C527" s="4">
        <f>SUMIF(Table1[Date],Daily_Totals!B527,Table1[Amount])</f>
        <v>19372</v>
      </c>
      <c r="D527" s="11">
        <f t="shared" si="26"/>
        <v>6</v>
      </c>
      <c r="E527" s="12">
        <f t="shared" si="24"/>
        <v>18</v>
      </c>
    </row>
    <row r="528" spans="1:5" x14ac:dyDescent="0.3">
      <c r="A528">
        <f t="shared" si="25"/>
        <v>2024</v>
      </c>
      <c r="B528" s="3">
        <v>45464</v>
      </c>
      <c r="C528" s="4">
        <f>SUMIF(Table1[Date],Daily_Totals!B528,Table1[Amount])</f>
        <v>24268</v>
      </c>
      <c r="D528" s="11">
        <f t="shared" si="26"/>
        <v>6</v>
      </c>
      <c r="E528" s="12">
        <f t="shared" si="24"/>
        <v>18</v>
      </c>
    </row>
    <row r="529" spans="1:5" x14ac:dyDescent="0.3">
      <c r="A529">
        <f t="shared" si="25"/>
        <v>2024</v>
      </c>
      <c r="B529" s="3">
        <v>45465</v>
      </c>
      <c r="C529" s="4">
        <f>SUMIF(Table1[Date],Daily_Totals!B529,Table1[Amount])</f>
        <v>29364</v>
      </c>
      <c r="D529" s="11">
        <f t="shared" si="26"/>
        <v>6</v>
      </c>
      <c r="E529" s="12">
        <f t="shared" si="24"/>
        <v>18</v>
      </c>
    </row>
    <row r="530" spans="1:5" x14ac:dyDescent="0.3">
      <c r="A530">
        <f t="shared" si="25"/>
        <v>2024</v>
      </c>
      <c r="B530" s="3">
        <v>45466</v>
      </c>
      <c r="C530" s="4">
        <f>SUMIF(Table1[Date],Daily_Totals!B530,Table1[Amount])</f>
        <v>27055</v>
      </c>
      <c r="D530" s="11">
        <f t="shared" si="26"/>
        <v>6</v>
      </c>
      <c r="E530" s="12">
        <f t="shared" si="24"/>
        <v>18</v>
      </c>
    </row>
    <row r="531" spans="1:5" x14ac:dyDescent="0.3">
      <c r="A531">
        <f t="shared" si="25"/>
        <v>2024</v>
      </c>
      <c r="B531" s="3">
        <v>45467</v>
      </c>
      <c r="C531" s="4">
        <f>SUMIF(Table1[Date],Daily_Totals!B531,Table1[Amount])</f>
        <v>38691</v>
      </c>
      <c r="D531" s="11">
        <f t="shared" si="26"/>
        <v>6</v>
      </c>
      <c r="E531" s="12">
        <f t="shared" si="24"/>
        <v>18</v>
      </c>
    </row>
    <row r="532" spans="1:5" x14ac:dyDescent="0.3">
      <c r="A532">
        <f t="shared" si="25"/>
        <v>2024</v>
      </c>
      <c r="B532" s="3">
        <v>45468</v>
      </c>
      <c r="C532" s="4">
        <f>SUMIF(Table1[Date],Daily_Totals!B532,Table1[Amount])</f>
        <v>4676</v>
      </c>
      <c r="D532" s="11">
        <f t="shared" si="26"/>
        <v>6</v>
      </c>
      <c r="E532" s="12">
        <f t="shared" si="24"/>
        <v>18</v>
      </c>
    </row>
    <row r="533" spans="1:5" x14ac:dyDescent="0.3">
      <c r="A533">
        <f t="shared" si="25"/>
        <v>2024</v>
      </c>
      <c r="B533" s="3">
        <v>45469</v>
      </c>
      <c r="C533" s="4">
        <f>SUMIF(Table1[Date],Daily_Totals!B533,Table1[Amount])</f>
        <v>40945</v>
      </c>
      <c r="D533" s="11">
        <f t="shared" si="26"/>
        <v>6</v>
      </c>
      <c r="E533" s="12">
        <f t="shared" si="24"/>
        <v>18</v>
      </c>
    </row>
    <row r="534" spans="1:5" x14ac:dyDescent="0.3">
      <c r="A534">
        <f t="shared" si="25"/>
        <v>2024</v>
      </c>
      <c r="B534" s="3">
        <v>45470</v>
      </c>
      <c r="C534" s="4">
        <f>SUMIF(Table1[Date],Daily_Totals!B534,Table1[Amount])</f>
        <v>40932</v>
      </c>
      <c r="D534" s="11">
        <f t="shared" si="26"/>
        <v>6</v>
      </c>
      <c r="E534" s="12">
        <f t="shared" si="24"/>
        <v>18</v>
      </c>
    </row>
    <row r="535" spans="1:5" x14ac:dyDescent="0.3">
      <c r="A535">
        <f t="shared" si="25"/>
        <v>2024</v>
      </c>
      <c r="B535" s="3">
        <v>45471</v>
      </c>
      <c r="C535" s="4">
        <f>SUMIF(Table1[Date],Daily_Totals!B535,Table1[Amount])</f>
        <v>57255</v>
      </c>
      <c r="D535" s="11">
        <f t="shared" si="26"/>
        <v>6</v>
      </c>
      <c r="E535" s="12">
        <f t="shared" si="24"/>
        <v>18</v>
      </c>
    </row>
    <row r="536" spans="1:5" x14ac:dyDescent="0.3">
      <c r="A536">
        <f t="shared" si="25"/>
        <v>2024</v>
      </c>
      <c r="B536" s="3">
        <v>45472</v>
      </c>
      <c r="C536" s="4">
        <f>SUMIF(Table1[Date],Daily_Totals!B536,Table1[Amount])</f>
        <v>25127</v>
      </c>
      <c r="D536" s="11">
        <f t="shared" si="26"/>
        <v>6</v>
      </c>
      <c r="E536" s="12">
        <f t="shared" si="24"/>
        <v>18</v>
      </c>
    </row>
    <row r="537" spans="1:5" x14ac:dyDescent="0.3">
      <c r="A537">
        <f t="shared" si="25"/>
        <v>2024</v>
      </c>
      <c r="B537" s="3">
        <v>45473</v>
      </c>
      <c r="C537" s="4">
        <f>SUMIF(Table1[Date],Daily_Totals!B537,Table1[Amount])</f>
        <v>50332</v>
      </c>
      <c r="D537" s="11">
        <f t="shared" si="26"/>
        <v>6</v>
      </c>
      <c r="E537" s="12">
        <f t="shared" si="24"/>
        <v>18</v>
      </c>
    </row>
    <row r="538" spans="1:5" x14ac:dyDescent="0.3">
      <c r="A538">
        <f t="shared" si="25"/>
        <v>2024</v>
      </c>
      <c r="B538" s="3">
        <v>45474</v>
      </c>
      <c r="C538" s="4">
        <f>SUMIF(Table1[Date],Daily_Totals!B538,Table1[Amount])</f>
        <v>62377</v>
      </c>
      <c r="D538" s="11">
        <f t="shared" si="26"/>
        <v>7</v>
      </c>
      <c r="E538" s="12">
        <f t="shared" si="24"/>
        <v>19</v>
      </c>
    </row>
    <row r="539" spans="1:5" x14ac:dyDescent="0.3">
      <c r="A539">
        <f t="shared" si="25"/>
        <v>2024</v>
      </c>
      <c r="B539" s="3">
        <v>45475</v>
      </c>
      <c r="C539" s="4">
        <f>SUMIF(Table1[Date],Daily_Totals!B539,Table1[Amount])</f>
        <v>33764</v>
      </c>
      <c r="D539" s="11">
        <f t="shared" si="26"/>
        <v>7</v>
      </c>
      <c r="E539" s="12">
        <f t="shared" si="24"/>
        <v>19</v>
      </c>
    </row>
    <row r="540" spans="1:5" x14ac:dyDescent="0.3">
      <c r="A540">
        <f t="shared" si="25"/>
        <v>2024</v>
      </c>
      <c r="B540" s="3">
        <v>45476</v>
      </c>
      <c r="C540" s="4">
        <f>SUMIF(Table1[Date],Daily_Totals!B540,Table1[Amount])</f>
        <v>14988</v>
      </c>
      <c r="D540" s="11">
        <f t="shared" si="26"/>
        <v>7</v>
      </c>
      <c r="E540" s="12">
        <f t="shared" si="24"/>
        <v>19</v>
      </c>
    </row>
    <row r="541" spans="1:5" x14ac:dyDescent="0.3">
      <c r="A541">
        <f t="shared" si="25"/>
        <v>2024</v>
      </c>
      <c r="B541" s="3">
        <v>45477</v>
      </c>
      <c r="C541" s="4">
        <f>SUMIF(Table1[Date],Daily_Totals!B541,Table1[Amount])</f>
        <v>11543</v>
      </c>
      <c r="D541" s="11">
        <f t="shared" si="26"/>
        <v>7</v>
      </c>
      <c r="E541" s="12">
        <f t="shared" si="24"/>
        <v>19</v>
      </c>
    </row>
    <row r="542" spans="1:5" x14ac:dyDescent="0.3">
      <c r="A542">
        <f t="shared" si="25"/>
        <v>2024</v>
      </c>
      <c r="B542" s="3">
        <v>45478</v>
      </c>
      <c r="C542" s="4">
        <f>SUMIF(Table1[Date],Daily_Totals!B542,Table1[Amount])</f>
        <v>1384</v>
      </c>
      <c r="D542" s="11">
        <f t="shared" si="26"/>
        <v>7</v>
      </c>
      <c r="E542" s="12">
        <f t="shared" si="24"/>
        <v>19</v>
      </c>
    </row>
    <row r="543" spans="1:5" x14ac:dyDescent="0.3">
      <c r="A543">
        <f t="shared" si="25"/>
        <v>2024</v>
      </c>
      <c r="B543" s="3">
        <v>45479</v>
      </c>
      <c r="C543" s="4">
        <f>SUMIF(Table1[Date],Daily_Totals!B543,Table1[Amount])</f>
        <v>4222</v>
      </c>
      <c r="D543" s="11">
        <f t="shared" si="26"/>
        <v>7</v>
      </c>
      <c r="E543" s="12">
        <f t="shared" si="24"/>
        <v>19</v>
      </c>
    </row>
    <row r="544" spans="1:5" x14ac:dyDescent="0.3">
      <c r="A544">
        <f t="shared" si="25"/>
        <v>2024</v>
      </c>
      <c r="B544" s="3">
        <v>45480</v>
      </c>
      <c r="C544" s="4">
        <f>SUMIF(Table1[Date],Daily_Totals!B544,Table1[Amount])</f>
        <v>38952</v>
      </c>
      <c r="D544" s="11">
        <f t="shared" si="26"/>
        <v>7</v>
      </c>
      <c r="E544" s="12">
        <f t="shared" si="24"/>
        <v>19</v>
      </c>
    </row>
    <row r="545" spans="1:5" x14ac:dyDescent="0.3">
      <c r="A545">
        <f t="shared" si="25"/>
        <v>2024</v>
      </c>
      <c r="B545" s="3">
        <v>45481</v>
      </c>
      <c r="C545" s="4">
        <f>SUMIF(Table1[Date],Daily_Totals!B545,Table1[Amount])</f>
        <v>36904</v>
      </c>
      <c r="D545" s="11">
        <f t="shared" si="26"/>
        <v>7</v>
      </c>
      <c r="E545" s="12">
        <f t="shared" si="24"/>
        <v>19</v>
      </c>
    </row>
    <row r="546" spans="1:5" x14ac:dyDescent="0.3">
      <c r="A546">
        <f t="shared" si="25"/>
        <v>2024</v>
      </c>
      <c r="B546" s="3">
        <v>45482</v>
      </c>
      <c r="C546" s="4">
        <f>SUMIF(Table1[Date],Daily_Totals!B546,Table1[Amount])</f>
        <v>64265</v>
      </c>
      <c r="D546" s="11">
        <f t="shared" si="26"/>
        <v>7</v>
      </c>
      <c r="E546" s="12">
        <f t="shared" si="24"/>
        <v>19</v>
      </c>
    </row>
    <row r="547" spans="1:5" x14ac:dyDescent="0.3">
      <c r="A547">
        <f t="shared" si="25"/>
        <v>2024</v>
      </c>
      <c r="B547" s="3">
        <v>45483</v>
      </c>
      <c r="C547" s="4">
        <f>SUMIF(Table1[Date],Daily_Totals!B547,Table1[Amount])</f>
        <v>51577</v>
      </c>
      <c r="D547" s="11">
        <f t="shared" si="26"/>
        <v>7</v>
      </c>
      <c r="E547" s="12">
        <f t="shared" si="24"/>
        <v>19</v>
      </c>
    </row>
    <row r="548" spans="1:5" x14ac:dyDescent="0.3">
      <c r="A548">
        <f t="shared" si="25"/>
        <v>2024</v>
      </c>
      <c r="B548" s="3">
        <v>45484</v>
      </c>
      <c r="C548" s="4">
        <f>SUMIF(Table1[Date],Daily_Totals!B548,Table1[Amount])</f>
        <v>19927</v>
      </c>
      <c r="D548" s="11">
        <f t="shared" si="26"/>
        <v>7</v>
      </c>
      <c r="E548" s="12">
        <f t="shared" si="24"/>
        <v>19</v>
      </c>
    </row>
    <row r="549" spans="1:5" x14ac:dyDescent="0.3">
      <c r="A549">
        <f t="shared" si="25"/>
        <v>2024</v>
      </c>
      <c r="B549" s="3">
        <v>45485</v>
      </c>
      <c r="C549" s="4">
        <f>SUMIF(Table1[Date],Daily_Totals!B549,Table1[Amount])</f>
        <v>19970</v>
      </c>
      <c r="D549" s="11">
        <f t="shared" si="26"/>
        <v>7</v>
      </c>
      <c r="E549" s="12">
        <f t="shared" si="24"/>
        <v>19</v>
      </c>
    </row>
    <row r="550" spans="1:5" x14ac:dyDescent="0.3">
      <c r="A550">
        <f t="shared" si="25"/>
        <v>2024</v>
      </c>
      <c r="B550" s="3">
        <v>45486</v>
      </c>
      <c r="C550" s="4">
        <f>SUMIF(Table1[Date],Daily_Totals!B550,Table1[Amount])</f>
        <v>16270</v>
      </c>
      <c r="D550" s="11">
        <f t="shared" si="26"/>
        <v>7</v>
      </c>
      <c r="E550" s="12">
        <f t="shared" si="24"/>
        <v>19</v>
      </c>
    </row>
    <row r="551" spans="1:5" x14ac:dyDescent="0.3">
      <c r="A551">
        <f t="shared" si="25"/>
        <v>2024</v>
      </c>
      <c r="B551" s="3">
        <v>45487</v>
      </c>
      <c r="C551" s="4">
        <f>SUMIF(Table1[Date],Daily_Totals!B551,Table1[Amount])</f>
        <v>37134</v>
      </c>
      <c r="D551" s="11">
        <f t="shared" si="26"/>
        <v>7</v>
      </c>
      <c r="E551" s="12">
        <f t="shared" si="24"/>
        <v>19</v>
      </c>
    </row>
    <row r="552" spans="1:5" x14ac:dyDescent="0.3">
      <c r="A552">
        <f t="shared" si="25"/>
        <v>2024</v>
      </c>
      <c r="B552" s="3">
        <v>45488</v>
      </c>
      <c r="C552" s="4">
        <f>SUMIF(Table1[Date],Daily_Totals!B552,Table1[Amount])</f>
        <v>28041</v>
      </c>
      <c r="D552" s="11">
        <f t="shared" si="26"/>
        <v>7</v>
      </c>
      <c r="E552" s="12">
        <f t="shared" ref="E552:E615" si="27">D552+12</f>
        <v>19</v>
      </c>
    </row>
    <row r="553" spans="1:5" x14ac:dyDescent="0.3">
      <c r="A553">
        <f t="shared" si="25"/>
        <v>2024</v>
      </c>
      <c r="B553" s="3">
        <v>45489</v>
      </c>
      <c r="C553" s="4">
        <f>SUMIF(Table1[Date],Daily_Totals!B553,Table1[Amount])</f>
        <v>17429</v>
      </c>
      <c r="D553" s="11">
        <f t="shared" si="26"/>
        <v>7</v>
      </c>
      <c r="E553" s="12">
        <f t="shared" si="27"/>
        <v>19</v>
      </c>
    </row>
    <row r="554" spans="1:5" x14ac:dyDescent="0.3">
      <c r="A554">
        <f t="shared" si="25"/>
        <v>2024</v>
      </c>
      <c r="B554" s="3">
        <v>45490</v>
      </c>
      <c r="C554" s="4">
        <f>SUMIF(Table1[Date],Daily_Totals!B554,Table1[Amount])</f>
        <v>3973</v>
      </c>
      <c r="D554" s="11">
        <f t="shared" si="26"/>
        <v>7</v>
      </c>
      <c r="E554" s="12">
        <f t="shared" si="27"/>
        <v>19</v>
      </c>
    </row>
    <row r="555" spans="1:5" x14ac:dyDescent="0.3">
      <c r="A555">
        <f t="shared" si="25"/>
        <v>2024</v>
      </c>
      <c r="B555" s="3">
        <v>45491</v>
      </c>
      <c r="C555" s="4">
        <f>SUMIF(Table1[Date],Daily_Totals!B555,Table1[Amount])</f>
        <v>30969</v>
      </c>
      <c r="D555" s="11">
        <f t="shared" si="26"/>
        <v>7</v>
      </c>
      <c r="E555" s="12">
        <f t="shared" si="27"/>
        <v>19</v>
      </c>
    </row>
    <row r="556" spans="1:5" x14ac:dyDescent="0.3">
      <c r="A556">
        <f t="shared" si="25"/>
        <v>2024</v>
      </c>
      <c r="B556" s="3">
        <v>45492</v>
      </c>
      <c r="C556" s="4">
        <f>SUMIF(Table1[Date],Daily_Totals!B556,Table1[Amount])</f>
        <v>14859</v>
      </c>
      <c r="D556" s="11">
        <f t="shared" si="26"/>
        <v>7</v>
      </c>
      <c r="E556" s="12">
        <f t="shared" si="27"/>
        <v>19</v>
      </c>
    </row>
    <row r="557" spans="1:5" x14ac:dyDescent="0.3">
      <c r="A557">
        <f t="shared" si="25"/>
        <v>2024</v>
      </c>
      <c r="B557" s="3">
        <v>45493</v>
      </c>
      <c r="C557" s="4">
        <f>SUMIF(Table1[Date],Daily_Totals!B557,Table1[Amount])</f>
        <v>18283</v>
      </c>
      <c r="D557" s="11">
        <f t="shared" si="26"/>
        <v>7</v>
      </c>
      <c r="E557" s="12">
        <f t="shared" si="27"/>
        <v>19</v>
      </c>
    </row>
    <row r="558" spans="1:5" x14ac:dyDescent="0.3">
      <c r="A558">
        <f t="shared" si="25"/>
        <v>2024</v>
      </c>
      <c r="B558" s="3">
        <v>45494</v>
      </c>
      <c r="C558" s="4">
        <f>SUMIF(Table1[Date],Daily_Totals!B558,Table1[Amount])</f>
        <v>46519</v>
      </c>
      <c r="D558" s="11">
        <f t="shared" si="26"/>
        <v>7</v>
      </c>
      <c r="E558" s="12">
        <f t="shared" si="27"/>
        <v>19</v>
      </c>
    </row>
    <row r="559" spans="1:5" x14ac:dyDescent="0.3">
      <c r="A559">
        <f t="shared" si="25"/>
        <v>2024</v>
      </c>
      <c r="B559" s="3">
        <v>45496</v>
      </c>
      <c r="C559" s="4">
        <f>SUMIF(Table1[Date],Daily_Totals!B559,Table1[Amount])</f>
        <v>7956</v>
      </c>
      <c r="D559" s="11">
        <f t="shared" si="26"/>
        <v>7</v>
      </c>
      <c r="E559" s="12">
        <f t="shared" si="27"/>
        <v>19</v>
      </c>
    </row>
    <row r="560" spans="1:5" x14ac:dyDescent="0.3">
      <c r="A560">
        <f t="shared" si="25"/>
        <v>2024</v>
      </c>
      <c r="B560" s="3">
        <v>45497</v>
      </c>
      <c r="C560" s="4">
        <f>SUMIF(Table1[Date],Daily_Totals!B560,Table1[Amount])</f>
        <v>46468</v>
      </c>
      <c r="D560" s="11">
        <f t="shared" si="26"/>
        <v>7</v>
      </c>
      <c r="E560" s="12">
        <f t="shared" si="27"/>
        <v>19</v>
      </c>
    </row>
    <row r="561" spans="1:5" x14ac:dyDescent="0.3">
      <c r="A561">
        <f t="shared" si="25"/>
        <v>2024</v>
      </c>
      <c r="B561" s="3">
        <v>45498</v>
      </c>
      <c r="C561" s="4">
        <f>SUMIF(Table1[Date],Daily_Totals!B561,Table1[Amount])</f>
        <v>32333</v>
      </c>
      <c r="D561" s="11">
        <f t="shared" si="26"/>
        <v>7</v>
      </c>
      <c r="E561" s="12">
        <f t="shared" si="27"/>
        <v>19</v>
      </c>
    </row>
    <row r="562" spans="1:5" x14ac:dyDescent="0.3">
      <c r="A562">
        <f t="shared" si="25"/>
        <v>2024</v>
      </c>
      <c r="B562" s="3">
        <v>45499</v>
      </c>
      <c r="C562" s="4">
        <f>SUMIF(Table1[Date],Daily_Totals!B562,Table1[Amount])</f>
        <v>18003</v>
      </c>
      <c r="D562" s="11">
        <f t="shared" si="26"/>
        <v>7</v>
      </c>
      <c r="E562" s="12">
        <f t="shared" si="27"/>
        <v>19</v>
      </c>
    </row>
    <row r="563" spans="1:5" x14ac:dyDescent="0.3">
      <c r="A563">
        <f t="shared" si="25"/>
        <v>2024</v>
      </c>
      <c r="B563" s="3">
        <v>45500</v>
      </c>
      <c r="C563" s="4">
        <f>SUMIF(Table1[Date],Daily_Totals!B563,Table1[Amount])</f>
        <v>9735</v>
      </c>
      <c r="D563" s="11">
        <f t="shared" si="26"/>
        <v>7</v>
      </c>
      <c r="E563" s="12">
        <f t="shared" si="27"/>
        <v>19</v>
      </c>
    </row>
    <row r="564" spans="1:5" x14ac:dyDescent="0.3">
      <c r="A564">
        <f t="shared" si="25"/>
        <v>2024</v>
      </c>
      <c r="B564" s="3">
        <v>45501</v>
      </c>
      <c r="C564" s="4">
        <f>SUMIF(Table1[Date],Daily_Totals!B564,Table1[Amount])</f>
        <v>16765</v>
      </c>
      <c r="D564" s="11">
        <f t="shared" si="26"/>
        <v>7</v>
      </c>
      <c r="E564" s="12">
        <f t="shared" si="27"/>
        <v>19</v>
      </c>
    </row>
    <row r="565" spans="1:5" x14ac:dyDescent="0.3">
      <c r="A565">
        <f t="shared" si="25"/>
        <v>2024</v>
      </c>
      <c r="B565" s="3">
        <v>45502</v>
      </c>
      <c r="C565" s="4">
        <f>SUMIF(Table1[Date],Daily_Totals!B565,Table1[Amount])</f>
        <v>2125</v>
      </c>
      <c r="D565" s="11">
        <f t="shared" si="26"/>
        <v>7</v>
      </c>
      <c r="E565" s="12">
        <f t="shared" si="27"/>
        <v>19</v>
      </c>
    </row>
    <row r="566" spans="1:5" x14ac:dyDescent="0.3">
      <c r="A566">
        <f t="shared" si="25"/>
        <v>2024</v>
      </c>
      <c r="B566" s="3">
        <v>45503</v>
      </c>
      <c r="C566" s="4">
        <f>SUMIF(Table1[Date],Daily_Totals!B566,Table1[Amount])</f>
        <v>39343</v>
      </c>
      <c r="D566" s="11">
        <f t="shared" si="26"/>
        <v>7</v>
      </c>
      <c r="E566" s="12">
        <f t="shared" si="27"/>
        <v>19</v>
      </c>
    </row>
    <row r="567" spans="1:5" x14ac:dyDescent="0.3">
      <c r="A567">
        <f t="shared" si="25"/>
        <v>2024</v>
      </c>
      <c r="B567" s="3">
        <v>45504</v>
      </c>
      <c r="C567" s="4">
        <f>SUMIF(Table1[Date],Daily_Totals!B567,Table1[Amount])</f>
        <v>30841</v>
      </c>
      <c r="D567" s="11">
        <f t="shared" si="26"/>
        <v>7</v>
      </c>
      <c r="E567" s="12">
        <f t="shared" si="27"/>
        <v>19</v>
      </c>
    </row>
    <row r="568" spans="1:5" x14ac:dyDescent="0.3">
      <c r="A568">
        <f t="shared" si="25"/>
        <v>2024</v>
      </c>
      <c r="B568" s="3">
        <v>45505</v>
      </c>
      <c r="C568" s="4">
        <f>SUMIF(Table1[Date],Daily_Totals!B568,Table1[Amount])</f>
        <v>13611</v>
      </c>
      <c r="D568" s="11">
        <f t="shared" si="26"/>
        <v>8</v>
      </c>
      <c r="E568" s="12">
        <f t="shared" si="27"/>
        <v>20</v>
      </c>
    </row>
    <row r="569" spans="1:5" x14ac:dyDescent="0.3">
      <c r="A569">
        <f t="shared" si="25"/>
        <v>2024</v>
      </c>
      <c r="B569" s="3">
        <v>45506</v>
      </c>
      <c r="C569" s="4">
        <f>SUMIF(Table1[Date],Daily_Totals!B569,Table1[Amount])</f>
        <v>18574</v>
      </c>
      <c r="D569" s="11">
        <f t="shared" si="26"/>
        <v>8</v>
      </c>
      <c r="E569" s="12">
        <f t="shared" si="27"/>
        <v>20</v>
      </c>
    </row>
    <row r="570" spans="1:5" x14ac:dyDescent="0.3">
      <c r="A570">
        <f t="shared" si="25"/>
        <v>2024</v>
      </c>
      <c r="B570" s="3">
        <v>45507</v>
      </c>
      <c r="C570" s="4">
        <f>SUMIF(Table1[Date],Daily_Totals!B570,Table1[Amount])</f>
        <v>31056</v>
      </c>
      <c r="D570" s="11">
        <f t="shared" si="26"/>
        <v>8</v>
      </c>
      <c r="E570" s="12">
        <f t="shared" si="27"/>
        <v>20</v>
      </c>
    </row>
    <row r="571" spans="1:5" x14ac:dyDescent="0.3">
      <c r="A571">
        <f t="shared" si="25"/>
        <v>2024</v>
      </c>
      <c r="B571" s="3">
        <v>45508</v>
      </c>
      <c r="C571" s="4">
        <f>SUMIF(Table1[Date],Daily_Totals!B571,Table1[Amount])</f>
        <v>18838</v>
      </c>
      <c r="D571" s="11">
        <f t="shared" si="26"/>
        <v>8</v>
      </c>
      <c r="E571" s="12">
        <f t="shared" si="27"/>
        <v>20</v>
      </c>
    </row>
    <row r="572" spans="1:5" x14ac:dyDescent="0.3">
      <c r="A572">
        <f t="shared" si="25"/>
        <v>2024</v>
      </c>
      <c r="B572" s="3">
        <v>45509</v>
      </c>
      <c r="C572" s="4">
        <f>SUMIF(Table1[Date],Daily_Totals!B572,Table1[Amount])</f>
        <v>12613</v>
      </c>
      <c r="D572" s="11">
        <f t="shared" si="26"/>
        <v>8</v>
      </c>
      <c r="E572" s="12">
        <f t="shared" si="27"/>
        <v>20</v>
      </c>
    </row>
    <row r="573" spans="1:5" x14ac:dyDescent="0.3">
      <c r="A573">
        <f t="shared" si="25"/>
        <v>2024</v>
      </c>
      <c r="B573" s="3">
        <v>45510</v>
      </c>
      <c r="C573" s="4">
        <f>SUMIF(Table1[Date],Daily_Totals!B573,Table1[Amount])</f>
        <v>33483</v>
      </c>
      <c r="D573" s="11">
        <f t="shared" si="26"/>
        <v>8</v>
      </c>
      <c r="E573" s="12">
        <f t="shared" si="27"/>
        <v>20</v>
      </c>
    </row>
    <row r="574" spans="1:5" x14ac:dyDescent="0.3">
      <c r="A574">
        <f t="shared" si="25"/>
        <v>2024</v>
      </c>
      <c r="B574" s="3">
        <v>45511</v>
      </c>
      <c r="C574" s="4">
        <f>SUMIF(Table1[Date],Daily_Totals!B574,Table1[Amount])</f>
        <v>39972</v>
      </c>
      <c r="D574" s="11">
        <f t="shared" si="26"/>
        <v>8</v>
      </c>
      <c r="E574" s="12">
        <f t="shared" si="27"/>
        <v>20</v>
      </c>
    </row>
    <row r="575" spans="1:5" x14ac:dyDescent="0.3">
      <c r="A575">
        <f t="shared" si="25"/>
        <v>2024</v>
      </c>
      <c r="B575" s="3">
        <v>45512</v>
      </c>
      <c r="C575" s="4">
        <f>SUMIF(Table1[Date],Daily_Totals!B575,Table1[Amount])</f>
        <v>30796</v>
      </c>
      <c r="D575" s="11">
        <f t="shared" si="26"/>
        <v>8</v>
      </c>
      <c r="E575" s="12">
        <f t="shared" si="27"/>
        <v>20</v>
      </c>
    </row>
    <row r="576" spans="1:5" x14ac:dyDescent="0.3">
      <c r="A576">
        <f t="shared" si="25"/>
        <v>2024</v>
      </c>
      <c r="B576" s="3">
        <v>45513</v>
      </c>
      <c r="C576" s="4">
        <f>SUMIF(Table1[Date],Daily_Totals!B576,Table1[Amount])</f>
        <v>19459</v>
      </c>
      <c r="D576" s="11">
        <f t="shared" si="26"/>
        <v>8</v>
      </c>
      <c r="E576" s="12">
        <f t="shared" si="27"/>
        <v>20</v>
      </c>
    </row>
    <row r="577" spans="1:5" x14ac:dyDescent="0.3">
      <c r="A577">
        <f t="shared" si="25"/>
        <v>2024</v>
      </c>
      <c r="B577" s="3">
        <v>45514</v>
      </c>
      <c r="C577" s="4">
        <f>SUMIF(Table1[Date],Daily_Totals!B577,Table1[Amount])</f>
        <v>36646</v>
      </c>
      <c r="D577" s="11">
        <f t="shared" si="26"/>
        <v>8</v>
      </c>
      <c r="E577" s="12">
        <f t="shared" si="27"/>
        <v>20</v>
      </c>
    </row>
    <row r="578" spans="1:5" x14ac:dyDescent="0.3">
      <c r="A578">
        <f t="shared" si="25"/>
        <v>2024</v>
      </c>
      <c r="B578" s="3">
        <v>45515</v>
      </c>
      <c r="C578" s="4">
        <f>SUMIF(Table1[Date],Daily_Totals!B578,Table1[Amount])</f>
        <v>19689</v>
      </c>
      <c r="D578" s="11">
        <f t="shared" si="26"/>
        <v>8</v>
      </c>
      <c r="E578" s="12">
        <f t="shared" si="27"/>
        <v>20</v>
      </c>
    </row>
    <row r="579" spans="1:5" x14ac:dyDescent="0.3">
      <c r="A579">
        <f t="shared" ref="A579:A642" si="28">YEAR(B579)</f>
        <v>2024</v>
      </c>
      <c r="B579" s="3">
        <v>45516</v>
      </c>
      <c r="C579" s="4">
        <f>SUMIF(Table1[Date],Daily_Totals!B579,Table1[Amount])</f>
        <v>32598</v>
      </c>
      <c r="D579" s="11">
        <f t="shared" ref="D579:D642" si="29">MONTH(B579)</f>
        <v>8</v>
      </c>
      <c r="E579" s="12">
        <f t="shared" si="27"/>
        <v>20</v>
      </c>
    </row>
    <row r="580" spans="1:5" x14ac:dyDescent="0.3">
      <c r="A580">
        <f t="shared" si="28"/>
        <v>2024</v>
      </c>
      <c r="B580" s="3">
        <v>45517</v>
      </c>
      <c r="C580" s="4">
        <f>SUMIF(Table1[Date],Daily_Totals!B580,Table1[Amount])</f>
        <v>32208</v>
      </c>
      <c r="D580" s="11">
        <f t="shared" si="29"/>
        <v>8</v>
      </c>
      <c r="E580" s="12">
        <f t="shared" si="27"/>
        <v>20</v>
      </c>
    </row>
    <row r="581" spans="1:5" x14ac:dyDescent="0.3">
      <c r="A581">
        <f t="shared" si="28"/>
        <v>2024</v>
      </c>
      <c r="B581" s="3">
        <v>45518</v>
      </c>
      <c r="C581" s="4">
        <f>SUMIF(Table1[Date],Daily_Totals!B581,Table1[Amount])</f>
        <v>29784</v>
      </c>
      <c r="D581" s="11">
        <f t="shared" si="29"/>
        <v>8</v>
      </c>
      <c r="E581" s="12">
        <f t="shared" si="27"/>
        <v>20</v>
      </c>
    </row>
    <row r="582" spans="1:5" x14ac:dyDescent="0.3">
      <c r="A582">
        <f t="shared" si="28"/>
        <v>2024</v>
      </c>
      <c r="B582" s="3">
        <v>45519</v>
      </c>
      <c r="C582" s="4">
        <f>SUMIF(Table1[Date],Daily_Totals!B582,Table1[Amount])</f>
        <v>37164</v>
      </c>
      <c r="D582" s="11">
        <f t="shared" si="29"/>
        <v>8</v>
      </c>
      <c r="E582" s="12">
        <f t="shared" si="27"/>
        <v>20</v>
      </c>
    </row>
    <row r="583" spans="1:5" x14ac:dyDescent="0.3">
      <c r="A583">
        <f t="shared" si="28"/>
        <v>2024</v>
      </c>
      <c r="B583" s="3">
        <v>45520</v>
      </c>
      <c r="C583" s="4">
        <f>SUMIF(Table1[Date],Daily_Totals!B583,Table1[Amount])</f>
        <v>38848</v>
      </c>
      <c r="D583" s="11">
        <f t="shared" si="29"/>
        <v>8</v>
      </c>
      <c r="E583" s="12">
        <f t="shared" si="27"/>
        <v>20</v>
      </c>
    </row>
    <row r="584" spans="1:5" x14ac:dyDescent="0.3">
      <c r="A584">
        <f t="shared" si="28"/>
        <v>2024</v>
      </c>
      <c r="B584" s="3">
        <v>45521</v>
      </c>
      <c r="C584" s="4">
        <f>SUMIF(Table1[Date],Daily_Totals!B584,Table1[Amount])</f>
        <v>13176</v>
      </c>
      <c r="D584" s="11">
        <f t="shared" si="29"/>
        <v>8</v>
      </c>
      <c r="E584" s="12">
        <f t="shared" si="27"/>
        <v>20</v>
      </c>
    </row>
    <row r="585" spans="1:5" x14ac:dyDescent="0.3">
      <c r="A585">
        <f t="shared" si="28"/>
        <v>2024</v>
      </c>
      <c r="B585" s="3">
        <v>45522</v>
      </c>
      <c r="C585" s="4">
        <f>SUMIF(Table1[Date],Daily_Totals!B585,Table1[Amount])</f>
        <v>8643</v>
      </c>
      <c r="D585" s="11">
        <f t="shared" si="29"/>
        <v>8</v>
      </c>
      <c r="E585" s="12">
        <f t="shared" si="27"/>
        <v>20</v>
      </c>
    </row>
    <row r="586" spans="1:5" x14ac:dyDescent="0.3">
      <c r="A586">
        <f t="shared" si="28"/>
        <v>2024</v>
      </c>
      <c r="B586" s="3">
        <v>45523</v>
      </c>
      <c r="C586" s="4">
        <f>SUMIF(Table1[Date],Daily_Totals!B586,Table1[Amount])</f>
        <v>41813</v>
      </c>
      <c r="D586" s="11">
        <f t="shared" si="29"/>
        <v>8</v>
      </c>
      <c r="E586" s="12">
        <f t="shared" si="27"/>
        <v>20</v>
      </c>
    </row>
    <row r="587" spans="1:5" x14ac:dyDescent="0.3">
      <c r="A587">
        <f t="shared" si="28"/>
        <v>2024</v>
      </c>
      <c r="B587" s="3">
        <v>45524</v>
      </c>
      <c r="C587" s="4">
        <f>SUMIF(Table1[Date],Daily_Totals!B587,Table1[Amount])</f>
        <v>33699</v>
      </c>
      <c r="D587" s="11">
        <f t="shared" si="29"/>
        <v>8</v>
      </c>
      <c r="E587" s="12">
        <f t="shared" si="27"/>
        <v>20</v>
      </c>
    </row>
    <row r="588" spans="1:5" x14ac:dyDescent="0.3">
      <c r="A588">
        <f t="shared" si="28"/>
        <v>2024</v>
      </c>
      <c r="B588" s="3">
        <v>45525</v>
      </c>
      <c r="C588" s="4">
        <f>SUMIF(Table1[Date],Daily_Totals!B588,Table1[Amount])</f>
        <v>58430</v>
      </c>
      <c r="D588" s="11">
        <f t="shared" si="29"/>
        <v>8</v>
      </c>
      <c r="E588" s="12">
        <f t="shared" si="27"/>
        <v>20</v>
      </c>
    </row>
    <row r="589" spans="1:5" x14ac:dyDescent="0.3">
      <c r="A589">
        <f t="shared" si="28"/>
        <v>2024</v>
      </c>
      <c r="B589" s="3">
        <v>45526</v>
      </c>
      <c r="C589" s="4">
        <f>SUMIF(Table1[Date],Daily_Totals!B589,Table1[Amount])</f>
        <v>31813</v>
      </c>
      <c r="D589" s="11">
        <f t="shared" si="29"/>
        <v>8</v>
      </c>
      <c r="E589" s="12">
        <f t="shared" si="27"/>
        <v>20</v>
      </c>
    </row>
    <row r="590" spans="1:5" x14ac:dyDescent="0.3">
      <c r="A590">
        <f t="shared" si="28"/>
        <v>2024</v>
      </c>
      <c r="B590" s="3">
        <v>45527</v>
      </c>
      <c r="C590" s="4">
        <f>SUMIF(Table1[Date],Daily_Totals!B590,Table1[Amount])</f>
        <v>22916</v>
      </c>
      <c r="D590" s="11">
        <f t="shared" si="29"/>
        <v>8</v>
      </c>
      <c r="E590" s="12">
        <f t="shared" si="27"/>
        <v>20</v>
      </c>
    </row>
    <row r="591" spans="1:5" x14ac:dyDescent="0.3">
      <c r="A591">
        <f t="shared" si="28"/>
        <v>2024</v>
      </c>
      <c r="B591" s="3">
        <v>45528</v>
      </c>
      <c r="C591" s="4">
        <f>SUMIF(Table1[Date],Daily_Totals!B591,Table1[Amount])</f>
        <v>57327</v>
      </c>
      <c r="D591" s="11">
        <f t="shared" si="29"/>
        <v>8</v>
      </c>
      <c r="E591" s="12">
        <f t="shared" si="27"/>
        <v>20</v>
      </c>
    </row>
    <row r="592" spans="1:5" x14ac:dyDescent="0.3">
      <c r="A592">
        <f t="shared" si="28"/>
        <v>2024</v>
      </c>
      <c r="B592" s="3">
        <v>45529</v>
      </c>
      <c r="C592" s="4">
        <f>SUMIF(Table1[Date],Daily_Totals!B592,Table1[Amount])</f>
        <v>59516</v>
      </c>
      <c r="D592" s="11">
        <f t="shared" si="29"/>
        <v>8</v>
      </c>
      <c r="E592" s="12">
        <f t="shared" si="27"/>
        <v>20</v>
      </c>
    </row>
    <row r="593" spans="1:5" x14ac:dyDescent="0.3">
      <c r="A593">
        <f t="shared" si="28"/>
        <v>2024</v>
      </c>
      <c r="B593" s="3">
        <v>45530</v>
      </c>
      <c r="C593" s="4">
        <f>SUMIF(Table1[Date],Daily_Totals!B593,Table1[Amount])</f>
        <v>7627</v>
      </c>
      <c r="D593" s="11">
        <f t="shared" si="29"/>
        <v>8</v>
      </c>
      <c r="E593" s="12">
        <f t="shared" si="27"/>
        <v>20</v>
      </c>
    </row>
    <row r="594" spans="1:5" x14ac:dyDescent="0.3">
      <c r="A594">
        <f t="shared" si="28"/>
        <v>2024</v>
      </c>
      <c r="B594" s="3">
        <v>45531</v>
      </c>
      <c r="C594" s="4">
        <f>SUMIF(Table1[Date],Daily_Totals!B594,Table1[Amount])</f>
        <v>8244</v>
      </c>
      <c r="D594" s="11">
        <f t="shared" si="29"/>
        <v>8</v>
      </c>
      <c r="E594" s="12">
        <f t="shared" si="27"/>
        <v>20</v>
      </c>
    </row>
    <row r="595" spans="1:5" x14ac:dyDescent="0.3">
      <c r="A595">
        <f t="shared" si="28"/>
        <v>2024</v>
      </c>
      <c r="B595" s="3">
        <v>45532</v>
      </c>
      <c r="C595" s="4">
        <f>SUMIF(Table1[Date],Daily_Totals!B595,Table1[Amount])</f>
        <v>54025</v>
      </c>
      <c r="D595" s="11">
        <f t="shared" si="29"/>
        <v>8</v>
      </c>
      <c r="E595" s="12">
        <f t="shared" si="27"/>
        <v>20</v>
      </c>
    </row>
    <row r="596" spans="1:5" x14ac:dyDescent="0.3">
      <c r="A596">
        <f t="shared" si="28"/>
        <v>2024</v>
      </c>
      <c r="B596" s="3">
        <v>45533</v>
      </c>
      <c r="C596" s="4">
        <f>SUMIF(Table1[Date],Daily_Totals!B596,Table1[Amount])</f>
        <v>19290</v>
      </c>
      <c r="D596" s="11">
        <f t="shared" si="29"/>
        <v>8</v>
      </c>
      <c r="E596" s="12">
        <f t="shared" si="27"/>
        <v>20</v>
      </c>
    </row>
    <row r="597" spans="1:5" x14ac:dyDescent="0.3">
      <c r="A597">
        <f t="shared" si="28"/>
        <v>2024</v>
      </c>
      <c r="B597" s="3">
        <v>45534</v>
      </c>
      <c r="C597" s="4">
        <f>SUMIF(Table1[Date],Daily_Totals!B597,Table1[Amount])</f>
        <v>1974</v>
      </c>
      <c r="D597" s="11">
        <f t="shared" si="29"/>
        <v>8</v>
      </c>
      <c r="E597" s="12">
        <f t="shared" si="27"/>
        <v>20</v>
      </c>
    </row>
    <row r="598" spans="1:5" x14ac:dyDescent="0.3">
      <c r="A598">
        <f t="shared" si="28"/>
        <v>2024</v>
      </c>
      <c r="B598" s="3">
        <v>45535</v>
      </c>
      <c r="C598" s="4">
        <f>SUMIF(Table1[Date],Daily_Totals!B598,Table1[Amount])</f>
        <v>13637</v>
      </c>
      <c r="D598" s="11">
        <f t="shared" si="29"/>
        <v>8</v>
      </c>
      <c r="E598" s="12">
        <f t="shared" si="27"/>
        <v>20</v>
      </c>
    </row>
    <row r="599" spans="1:5" x14ac:dyDescent="0.3">
      <c r="A599">
        <f t="shared" si="28"/>
        <v>2024</v>
      </c>
      <c r="B599" s="3">
        <v>45536</v>
      </c>
      <c r="C599" s="4">
        <f>SUMIF(Table1[Date],Daily_Totals!B599,Table1[Amount])</f>
        <v>35768</v>
      </c>
      <c r="D599" s="11">
        <f t="shared" si="29"/>
        <v>9</v>
      </c>
      <c r="E599" s="12">
        <f t="shared" si="27"/>
        <v>21</v>
      </c>
    </row>
    <row r="600" spans="1:5" x14ac:dyDescent="0.3">
      <c r="A600">
        <f t="shared" si="28"/>
        <v>2024</v>
      </c>
      <c r="B600" s="3">
        <v>45537</v>
      </c>
      <c r="C600" s="4">
        <f>SUMIF(Table1[Date],Daily_Totals!B600,Table1[Amount])</f>
        <v>39862</v>
      </c>
      <c r="D600" s="11">
        <f t="shared" si="29"/>
        <v>9</v>
      </c>
      <c r="E600" s="12">
        <f t="shared" si="27"/>
        <v>21</v>
      </c>
    </row>
    <row r="601" spans="1:5" x14ac:dyDescent="0.3">
      <c r="A601">
        <f t="shared" si="28"/>
        <v>2024</v>
      </c>
      <c r="B601" s="3">
        <v>45538</v>
      </c>
      <c r="C601" s="4">
        <f>SUMIF(Table1[Date],Daily_Totals!B601,Table1[Amount])</f>
        <v>18684</v>
      </c>
      <c r="D601" s="11">
        <f t="shared" si="29"/>
        <v>9</v>
      </c>
      <c r="E601" s="12">
        <f t="shared" si="27"/>
        <v>21</v>
      </c>
    </row>
    <row r="602" spans="1:5" x14ac:dyDescent="0.3">
      <c r="A602">
        <f t="shared" si="28"/>
        <v>2024</v>
      </c>
      <c r="B602" s="3">
        <v>45539</v>
      </c>
      <c r="C602" s="4">
        <f>SUMIF(Table1[Date],Daily_Totals!B602,Table1[Amount])</f>
        <v>1416</v>
      </c>
      <c r="D602" s="11">
        <f t="shared" si="29"/>
        <v>9</v>
      </c>
      <c r="E602" s="12">
        <f t="shared" si="27"/>
        <v>21</v>
      </c>
    </row>
    <row r="603" spans="1:5" x14ac:dyDescent="0.3">
      <c r="A603">
        <f t="shared" si="28"/>
        <v>2024</v>
      </c>
      <c r="B603" s="3">
        <v>45540</v>
      </c>
      <c r="C603" s="4">
        <f>SUMIF(Table1[Date],Daily_Totals!B603,Table1[Amount])</f>
        <v>39071</v>
      </c>
      <c r="D603" s="11">
        <f t="shared" si="29"/>
        <v>9</v>
      </c>
      <c r="E603" s="12">
        <f t="shared" si="27"/>
        <v>21</v>
      </c>
    </row>
    <row r="604" spans="1:5" x14ac:dyDescent="0.3">
      <c r="A604">
        <f t="shared" si="28"/>
        <v>2024</v>
      </c>
      <c r="B604" s="3">
        <v>45541</v>
      </c>
      <c r="C604" s="4">
        <f>SUMIF(Table1[Date],Daily_Totals!B604,Table1[Amount])</f>
        <v>20895</v>
      </c>
      <c r="D604" s="11">
        <f t="shared" si="29"/>
        <v>9</v>
      </c>
      <c r="E604" s="12">
        <f t="shared" si="27"/>
        <v>21</v>
      </c>
    </row>
    <row r="605" spans="1:5" x14ac:dyDescent="0.3">
      <c r="A605">
        <f t="shared" si="28"/>
        <v>2024</v>
      </c>
      <c r="B605" s="3">
        <v>45542</v>
      </c>
      <c r="C605" s="4">
        <f>SUMIF(Table1[Date],Daily_Totals!B605,Table1[Amount])</f>
        <v>60966</v>
      </c>
      <c r="D605" s="11">
        <f t="shared" si="29"/>
        <v>9</v>
      </c>
      <c r="E605" s="12">
        <f t="shared" si="27"/>
        <v>21</v>
      </c>
    </row>
    <row r="606" spans="1:5" x14ac:dyDescent="0.3">
      <c r="A606">
        <f t="shared" si="28"/>
        <v>2024</v>
      </c>
      <c r="B606" s="3">
        <v>45543</v>
      </c>
      <c r="C606" s="4">
        <f>SUMIF(Table1[Date],Daily_Totals!B606,Table1[Amount])</f>
        <v>23235</v>
      </c>
      <c r="D606" s="11">
        <f t="shared" si="29"/>
        <v>9</v>
      </c>
      <c r="E606" s="12">
        <f t="shared" si="27"/>
        <v>21</v>
      </c>
    </row>
    <row r="607" spans="1:5" x14ac:dyDescent="0.3">
      <c r="A607">
        <f t="shared" si="28"/>
        <v>2024</v>
      </c>
      <c r="B607" s="3">
        <v>45544</v>
      </c>
      <c r="C607" s="4">
        <f>SUMIF(Table1[Date],Daily_Totals!B607,Table1[Amount])</f>
        <v>45792</v>
      </c>
      <c r="D607" s="11">
        <f t="shared" si="29"/>
        <v>9</v>
      </c>
      <c r="E607" s="12">
        <f t="shared" si="27"/>
        <v>21</v>
      </c>
    </row>
    <row r="608" spans="1:5" x14ac:dyDescent="0.3">
      <c r="A608">
        <f t="shared" si="28"/>
        <v>2024</v>
      </c>
      <c r="B608" s="3">
        <v>45545</v>
      </c>
      <c r="C608" s="4">
        <f>SUMIF(Table1[Date],Daily_Totals!B608,Table1[Amount])</f>
        <v>23327</v>
      </c>
      <c r="D608" s="11">
        <f t="shared" si="29"/>
        <v>9</v>
      </c>
      <c r="E608" s="12">
        <f t="shared" si="27"/>
        <v>21</v>
      </c>
    </row>
    <row r="609" spans="1:5" x14ac:dyDescent="0.3">
      <c r="A609">
        <f t="shared" si="28"/>
        <v>2024</v>
      </c>
      <c r="B609" s="3">
        <v>45546</v>
      </c>
      <c r="C609" s="4">
        <f>SUMIF(Table1[Date],Daily_Totals!B609,Table1[Amount])</f>
        <v>37999</v>
      </c>
      <c r="D609" s="11">
        <f t="shared" si="29"/>
        <v>9</v>
      </c>
      <c r="E609" s="12">
        <f t="shared" si="27"/>
        <v>21</v>
      </c>
    </row>
    <row r="610" spans="1:5" x14ac:dyDescent="0.3">
      <c r="A610">
        <f t="shared" si="28"/>
        <v>2024</v>
      </c>
      <c r="B610" s="3">
        <v>45547</v>
      </c>
      <c r="C610" s="4">
        <f>SUMIF(Table1[Date],Daily_Totals!B610,Table1[Amount])</f>
        <v>31066</v>
      </c>
      <c r="D610" s="11">
        <f t="shared" si="29"/>
        <v>9</v>
      </c>
      <c r="E610" s="12">
        <f t="shared" si="27"/>
        <v>21</v>
      </c>
    </row>
    <row r="611" spans="1:5" x14ac:dyDescent="0.3">
      <c r="A611">
        <f t="shared" si="28"/>
        <v>2024</v>
      </c>
      <c r="B611" s="3">
        <v>45548</v>
      </c>
      <c r="C611" s="4">
        <f>SUMIF(Table1[Date],Daily_Totals!B611,Table1[Amount])</f>
        <v>35891</v>
      </c>
      <c r="D611" s="11">
        <f t="shared" si="29"/>
        <v>9</v>
      </c>
      <c r="E611" s="12">
        <f t="shared" si="27"/>
        <v>21</v>
      </c>
    </row>
    <row r="612" spans="1:5" x14ac:dyDescent="0.3">
      <c r="A612">
        <f t="shared" si="28"/>
        <v>2024</v>
      </c>
      <c r="B612" s="3">
        <v>45549</v>
      </c>
      <c r="C612" s="4">
        <f>SUMIF(Table1[Date],Daily_Totals!B612,Table1[Amount])</f>
        <v>48653</v>
      </c>
      <c r="D612" s="11">
        <f t="shared" si="29"/>
        <v>9</v>
      </c>
      <c r="E612" s="12">
        <f t="shared" si="27"/>
        <v>21</v>
      </c>
    </row>
    <row r="613" spans="1:5" x14ac:dyDescent="0.3">
      <c r="A613">
        <f t="shared" si="28"/>
        <v>2024</v>
      </c>
      <c r="B613" s="3">
        <v>45550</v>
      </c>
      <c r="C613" s="4">
        <f>SUMIF(Table1[Date],Daily_Totals!B613,Table1[Amount])</f>
        <v>9564</v>
      </c>
      <c r="D613" s="11">
        <f t="shared" si="29"/>
        <v>9</v>
      </c>
      <c r="E613" s="12">
        <f t="shared" si="27"/>
        <v>21</v>
      </c>
    </row>
    <row r="614" spans="1:5" x14ac:dyDescent="0.3">
      <c r="A614">
        <f t="shared" si="28"/>
        <v>2024</v>
      </c>
      <c r="B614" s="3">
        <v>45552</v>
      </c>
      <c r="C614" s="4">
        <f>SUMIF(Table1[Date],Daily_Totals!B614,Table1[Amount])</f>
        <v>29465</v>
      </c>
      <c r="D614" s="11">
        <f t="shared" si="29"/>
        <v>9</v>
      </c>
      <c r="E614" s="12">
        <f t="shared" si="27"/>
        <v>21</v>
      </c>
    </row>
    <row r="615" spans="1:5" x14ac:dyDescent="0.3">
      <c r="A615">
        <f t="shared" si="28"/>
        <v>2024</v>
      </c>
      <c r="B615" s="3">
        <v>45553</v>
      </c>
      <c r="C615" s="4">
        <f>SUMIF(Table1[Date],Daily_Totals!B615,Table1[Amount])</f>
        <v>39782</v>
      </c>
      <c r="D615" s="11">
        <f t="shared" si="29"/>
        <v>9</v>
      </c>
      <c r="E615" s="12">
        <f t="shared" si="27"/>
        <v>21</v>
      </c>
    </row>
    <row r="616" spans="1:5" x14ac:dyDescent="0.3">
      <c r="A616">
        <f t="shared" si="28"/>
        <v>2024</v>
      </c>
      <c r="B616" s="3">
        <v>45554</v>
      </c>
      <c r="C616" s="4">
        <f>SUMIF(Table1[Date],Daily_Totals!B616,Table1[Amount])</f>
        <v>1071</v>
      </c>
      <c r="D616" s="11">
        <f t="shared" si="29"/>
        <v>9</v>
      </c>
      <c r="E616" s="12">
        <f t="shared" ref="E616:E679" si="30">D616+12</f>
        <v>21</v>
      </c>
    </row>
    <row r="617" spans="1:5" x14ac:dyDescent="0.3">
      <c r="A617">
        <f t="shared" si="28"/>
        <v>2024</v>
      </c>
      <c r="B617" s="3">
        <v>45555</v>
      </c>
      <c r="C617" s="4">
        <f>SUMIF(Table1[Date],Daily_Totals!B617,Table1[Amount])</f>
        <v>41881</v>
      </c>
      <c r="D617" s="11">
        <f t="shared" si="29"/>
        <v>9</v>
      </c>
      <c r="E617" s="12">
        <f t="shared" si="30"/>
        <v>21</v>
      </c>
    </row>
    <row r="618" spans="1:5" x14ac:dyDescent="0.3">
      <c r="A618">
        <f t="shared" si="28"/>
        <v>2024</v>
      </c>
      <c r="B618" s="3">
        <v>45556</v>
      </c>
      <c r="C618" s="4">
        <f>SUMIF(Table1[Date],Daily_Totals!B618,Table1[Amount])</f>
        <v>1491</v>
      </c>
      <c r="D618" s="11">
        <f t="shared" si="29"/>
        <v>9</v>
      </c>
      <c r="E618" s="12">
        <f t="shared" si="30"/>
        <v>21</v>
      </c>
    </row>
    <row r="619" spans="1:5" x14ac:dyDescent="0.3">
      <c r="A619">
        <f t="shared" si="28"/>
        <v>2024</v>
      </c>
      <c r="B619" s="3">
        <v>45557</v>
      </c>
      <c r="C619" s="4">
        <f>SUMIF(Table1[Date],Daily_Totals!B619,Table1[Amount])</f>
        <v>17553</v>
      </c>
      <c r="D619" s="11">
        <f t="shared" si="29"/>
        <v>9</v>
      </c>
      <c r="E619" s="12">
        <f t="shared" si="30"/>
        <v>21</v>
      </c>
    </row>
    <row r="620" spans="1:5" x14ac:dyDescent="0.3">
      <c r="A620">
        <f t="shared" si="28"/>
        <v>2024</v>
      </c>
      <c r="B620" s="3">
        <v>45558</v>
      </c>
      <c r="C620" s="4">
        <f>SUMIF(Table1[Date],Daily_Totals!B620,Table1[Amount])</f>
        <v>43799</v>
      </c>
      <c r="D620" s="11">
        <f t="shared" si="29"/>
        <v>9</v>
      </c>
      <c r="E620" s="12">
        <f t="shared" si="30"/>
        <v>21</v>
      </c>
    </row>
    <row r="621" spans="1:5" x14ac:dyDescent="0.3">
      <c r="A621">
        <f t="shared" si="28"/>
        <v>2024</v>
      </c>
      <c r="B621" s="3">
        <v>45559</v>
      </c>
      <c r="C621" s="4">
        <f>SUMIF(Table1[Date],Daily_Totals!B621,Table1[Amount])</f>
        <v>37023</v>
      </c>
      <c r="D621" s="11">
        <f t="shared" si="29"/>
        <v>9</v>
      </c>
      <c r="E621" s="12">
        <f t="shared" si="30"/>
        <v>21</v>
      </c>
    </row>
    <row r="622" spans="1:5" x14ac:dyDescent="0.3">
      <c r="A622">
        <f t="shared" si="28"/>
        <v>2024</v>
      </c>
      <c r="B622" s="3">
        <v>45560</v>
      </c>
      <c r="C622" s="4">
        <f>SUMIF(Table1[Date],Daily_Totals!B622,Table1[Amount])</f>
        <v>16011</v>
      </c>
      <c r="D622" s="11">
        <f t="shared" si="29"/>
        <v>9</v>
      </c>
      <c r="E622" s="12">
        <f t="shared" si="30"/>
        <v>21</v>
      </c>
    </row>
    <row r="623" spans="1:5" x14ac:dyDescent="0.3">
      <c r="A623">
        <f t="shared" si="28"/>
        <v>2024</v>
      </c>
      <c r="B623" s="3">
        <v>45561</v>
      </c>
      <c r="C623" s="4">
        <f>SUMIF(Table1[Date],Daily_Totals!B623,Table1[Amount])</f>
        <v>29135</v>
      </c>
      <c r="D623" s="11">
        <f t="shared" si="29"/>
        <v>9</v>
      </c>
      <c r="E623" s="12">
        <f t="shared" si="30"/>
        <v>21</v>
      </c>
    </row>
    <row r="624" spans="1:5" x14ac:dyDescent="0.3">
      <c r="A624">
        <f t="shared" si="28"/>
        <v>2024</v>
      </c>
      <c r="B624" s="3">
        <v>45562</v>
      </c>
      <c r="C624" s="4">
        <f>SUMIF(Table1[Date],Daily_Totals!B624,Table1[Amount])</f>
        <v>10840</v>
      </c>
      <c r="D624" s="11">
        <f t="shared" si="29"/>
        <v>9</v>
      </c>
      <c r="E624" s="12">
        <f t="shared" si="30"/>
        <v>21</v>
      </c>
    </row>
    <row r="625" spans="1:5" x14ac:dyDescent="0.3">
      <c r="A625">
        <f t="shared" si="28"/>
        <v>2024</v>
      </c>
      <c r="B625" s="3">
        <v>45563</v>
      </c>
      <c r="C625" s="4">
        <f>SUMIF(Table1[Date],Daily_Totals!B625,Table1[Amount])</f>
        <v>37118</v>
      </c>
      <c r="D625" s="11">
        <f t="shared" si="29"/>
        <v>9</v>
      </c>
      <c r="E625" s="12">
        <f t="shared" si="30"/>
        <v>21</v>
      </c>
    </row>
    <row r="626" spans="1:5" x14ac:dyDescent="0.3">
      <c r="A626">
        <f t="shared" si="28"/>
        <v>2024</v>
      </c>
      <c r="B626" s="3">
        <v>45564</v>
      </c>
      <c r="C626" s="4">
        <f>SUMIF(Table1[Date],Daily_Totals!B626,Table1[Amount])</f>
        <v>41409</v>
      </c>
      <c r="D626" s="11">
        <f t="shared" si="29"/>
        <v>9</v>
      </c>
      <c r="E626" s="12">
        <f t="shared" si="30"/>
        <v>21</v>
      </c>
    </row>
    <row r="627" spans="1:5" x14ac:dyDescent="0.3">
      <c r="A627">
        <f t="shared" si="28"/>
        <v>2024</v>
      </c>
      <c r="B627" s="3">
        <v>45565</v>
      </c>
      <c r="C627" s="4">
        <f>SUMIF(Table1[Date],Daily_Totals!B627,Table1[Amount])</f>
        <v>19227</v>
      </c>
      <c r="D627" s="11">
        <f t="shared" si="29"/>
        <v>9</v>
      </c>
      <c r="E627" s="12">
        <f t="shared" si="30"/>
        <v>21</v>
      </c>
    </row>
    <row r="628" spans="1:5" x14ac:dyDescent="0.3">
      <c r="A628">
        <f t="shared" si="28"/>
        <v>2024</v>
      </c>
      <c r="B628" s="3">
        <v>45566</v>
      </c>
      <c r="C628" s="4">
        <f>SUMIF(Table1[Date],Daily_Totals!B628,Table1[Amount])</f>
        <v>8184</v>
      </c>
      <c r="D628" s="11">
        <f t="shared" si="29"/>
        <v>10</v>
      </c>
      <c r="E628" s="12">
        <f t="shared" si="30"/>
        <v>22</v>
      </c>
    </row>
    <row r="629" spans="1:5" x14ac:dyDescent="0.3">
      <c r="A629">
        <f t="shared" si="28"/>
        <v>2024</v>
      </c>
      <c r="B629" s="3">
        <v>45567</v>
      </c>
      <c r="C629" s="4">
        <f>SUMIF(Table1[Date],Daily_Totals!B629,Table1[Amount])</f>
        <v>17858</v>
      </c>
      <c r="D629" s="11">
        <f t="shared" si="29"/>
        <v>10</v>
      </c>
      <c r="E629" s="12">
        <f t="shared" si="30"/>
        <v>22</v>
      </c>
    </row>
    <row r="630" spans="1:5" x14ac:dyDescent="0.3">
      <c r="A630">
        <f t="shared" si="28"/>
        <v>2024</v>
      </c>
      <c r="B630" s="3">
        <v>45568</v>
      </c>
      <c r="C630" s="4">
        <f>SUMIF(Table1[Date],Daily_Totals!B630,Table1[Amount])</f>
        <v>16838</v>
      </c>
      <c r="D630" s="11">
        <f t="shared" si="29"/>
        <v>10</v>
      </c>
      <c r="E630" s="12">
        <f t="shared" si="30"/>
        <v>22</v>
      </c>
    </row>
    <row r="631" spans="1:5" x14ac:dyDescent="0.3">
      <c r="A631">
        <f t="shared" si="28"/>
        <v>2024</v>
      </c>
      <c r="B631" s="3">
        <v>45569</v>
      </c>
      <c r="C631" s="4">
        <f>SUMIF(Table1[Date],Daily_Totals!B631,Table1[Amount])</f>
        <v>1693</v>
      </c>
      <c r="D631" s="11">
        <f t="shared" si="29"/>
        <v>10</v>
      </c>
      <c r="E631" s="12">
        <f t="shared" si="30"/>
        <v>22</v>
      </c>
    </row>
    <row r="632" spans="1:5" x14ac:dyDescent="0.3">
      <c r="A632">
        <f t="shared" si="28"/>
        <v>2024</v>
      </c>
      <c r="B632" s="3">
        <v>45570</v>
      </c>
      <c r="C632" s="4">
        <f>SUMIF(Table1[Date],Daily_Totals!B632,Table1[Amount])</f>
        <v>32568</v>
      </c>
      <c r="D632" s="11">
        <f t="shared" si="29"/>
        <v>10</v>
      </c>
      <c r="E632" s="12">
        <f t="shared" si="30"/>
        <v>22</v>
      </c>
    </row>
    <row r="633" spans="1:5" x14ac:dyDescent="0.3">
      <c r="A633">
        <f t="shared" si="28"/>
        <v>2024</v>
      </c>
      <c r="B633" s="3">
        <v>45571</v>
      </c>
      <c r="C633" s="4">
        <f>SUMIF(Table1[Date],Daily_Totals!B633,Table1[Amount])</f>
        <v>30053</v>
      </c>
      <c r="D633" s="11">
        <f t="shared" si="29"/>
        <v>10</v>
      </c>
      <c r="E633" s="12">
        <f t="shared" si="30"/>
        <v>22</v>
      </c>
    </row>
    <row r="634" spans="1:5" x14ac:dyDescent="0.3">
      <c r="A634">
        <f t="shared" si="28"/>
        <v>2024</v>
      </c>
      <c r="B634" s="3">
        <v>45572</v>
      </c>
      <c r="C634" s="4">
        <f>SUMIF(Table1[Date],Daily_Totals!B634,Table1[Amount])</f>
        <v>28237</v>
      </c>
      <c r="D634" s="11">
        <f t="shared" si="29"/>
        <v>10</v>
      </c>
      <c r="E634" s="12">
        <f t="shared" si="30"/>
        <v>22</v>
      </c>
    </row>
    <row r="635" spans="1:5" x14ac:dyDescent="0.3">
      <c r="A635">
        <f t="shared" si="28"/>
        <v>2024</v>
      </c>
      <c r="B635" s="3">
        <v>45573</v>
      </c>
      <c r="C635" s="4">
        <f>SUMIF(Table1[Date],Daily_Totals!B635,Table1[Amount])</f>
        <v>5359</v>
      </c>
      <c r="D635" s="11">
        <f t="shared" si="29"/>
        <v>10</v>
      </c>
      <c r="E635" s="12">
        <f t="shared" si="30"/>
        <v>22</v>
      </c>
    </row>
    <row r="636" spans="1:5" x14ac:dyDescent="0.3">
      <c r="A636">
        <f t="shared" si="28"/>
        <v>2024</v>
      </c>
      <c r="B636" s="3">
        <v>45574</v>
      </c>
      <c r="C636" s="4">
        <f>SUMIF(Table1[Date],Daily_Totals!B636,Table1[Amount])</f>
        <v>15489</v>
      </c>
      <c r="D636" s="11">
        <f t="shared" si="29"/>
        <v>10</v>
      </c>
      <c r="E636" s="12">
        <f t="shared" si="30"/>
        <v>22</v>
      </c>
    </row>
    <row r="637" spans="1:5" x14ac:dyDescent="0.3">
      <c r="A637">
        <f t="shared" si="28"/>
        <v>2024</v>
      </c>
      <c r="B637" s="3">
        <v>45575</v>
      </c>
      <c r="C637" s="4">
        <f>SUMIF(Table1[Date],Daily_Totals!B637,Table1[Amount])</f>
        <v>22151</v>
      </c>
      <c r="D637" s="11">
        <f t="shared" si="29"/>
        <v>10</v>
      </c>
      <c r="E637" s="12">
        <f t="shared" si="30"/>
        <v>22</v>
      </c>
    </row>
    <row r="638" spans="1:5" x14ac:dyDescent="0.3">
      <c r="A638">
        <f t="shared" si="28"/>
        <v>2024</v>
      </c>
      <c r="B638" s="3">
        <v>45576</v>
      </c>
      <c r="C638" s="4">
        <f>SUMIF(Table1[Date],Daily_Totals!B638,Table1[Amount])</f>
        <v>65592</v>
      </c>
      <c r="D638" s="11">
        <f t="shared" si="29"/>
        <v>10</v>
      </c>
      <c r="E638" s="12">
        <f t="shared" si="30"/>
        <v>22</v>
      </c>
    </row>
    <row r="639" spans="1:5" x14ac:dyDescent="0.3">
      <c r="A639">
        <f t="shared" si="28"/>
        <v>2024</v>
      </c>
      <c r="B639" s="3">
        <v>45577</v>
      </c>
      <c r="C639" s="4">
        <f>SUMIF(Table1[Date],Daily_Totals!B639,Table1[Amount])</f>
        <v>23922</v>
      </c>
      <c r="D639" s="11">
        <f t="shared" si="29"/>
        <v>10</v>
      </c>
      <c r="E639" s="12">
        <f t="shared" si="30"/>
        <v>22</v>
      </c>
    </row>
    <row r="640" spans="1:5" x14ac:dyDescent="0.3">
      <c r="A640">
        <f t="shared" si="28"/>
        <v>2024</v>
      </c>
      <c r="B640" s="3">
        <v>45578</v>
      </c>
      <c r="C640" s="4">
        <f>SUMIF(Table1[Date],Daily_Totals!B640,Table1[Amount])</f>
        <v>35935</v>
      </c>
      <c r="D640" s="11">
        <f t="shared" si="29"/>
        <v>10</v>
      </c>
      <c r="E640" s="12">
        <f t="shared" si="30"/>
        <v>22</v>
      </c>
    </row>
    <row r="641" spans="1:5" x14ac:dyDescent="0.3">
      <c r="A641">
        <f t="shared" si="28"/>
        <v>2024</v>
      </c>
      <c r="B641" s="3">
        <v>45579</v>
      </c>
      <c r="C641" s="4">
        <f>SUMIF(Table1[Date],Daily_Totals!B641,Table1[Amount])</f>
        <v>33219</v>
      </c>
      <c r="D641" s="11">
        <f t="shared" si="29"/>
        <v>10</v>
      </c>
      <c r="E641" s="12">
        <f t="shared" si="30"/>
        <v>22</v>
      </c>
    </row>
    <row r="642" spans="1:5" x14ac:dyDescent="0.3">
      <c r="A642">
        <f t="shared" si="28"/>
        <v>2024</v>
      </c>
      <c r="B642" s="3">
        <v>45580</v>
      </c>
      <c r="C642" s="4">
        <f>SUMIF(Table1[Date],Daily_Totals!B642,Table1[Amount])</f>
        <v>52105</v>
      </c>
      <c r="D642" s="11">
        <f t="shared" si="29"/>
        <v>10</v>
      </c>
      <c r="E642" s="12">
        <f t="shared" si="30"/>
        <v>22</v>
      </c>
    </row>
    <row r="643" spans="1:5" x14ac:dyDescent="0.3">
      <c r="A643">
        <f t="shared" ref="A643:A706" si="31">YEAR(B643)</f>
        <v>2024</v>
      </c>
      <c r="B643" s="3">
        <v>45581</v>
      </c>
      <c r="C643" s="4">
        <f>SUMIF(Table1[Date],Daily_Totals!B643,Table1[Amount])</f>
        <v>11937</v>
      </c>
      <c r="D643" s="11">
        <f t="shared" ref="D643:D706" si="32">MONTH(B643)</f>
        <v>10</v>
      </c>
      <c r="E643" s="12">
        <f t="shared" si="30"/>
        <v>22</v>
      </c>
    </row>
    <row r="644" spans="1:5" x14ac:dyDescent="0.3">
      <c r="A644">
        <f t="shared" si="31"/>
        <v>2024</v>
      </c>
      <c r="B644" s="3">
        <v>45582</v>
      </c>
      <c r="C644" s="4">
        <f>SUMIF(Table1[Date],Daily_Totals!B644,Table1[Amount])</f>
        <v>3848</v>
      </c>
      <c r="D644" s="11">
        <f t="shared" si="32"/>
        <v>10</v>
      </c>
      <c r="E644" s="12">
        <f t="shared" si="30"/>
        <v>22</v>
      </c>
    </row>
    <row r="645" spans="1:5" x14ac:dyDescent="0.3">
      <c r="A645">
        <f t="shared" si="31"/>
        <v>2024</v>
      </c>
      <c r="B645" s="3">
        <v>45583</v>
      </c>
      <c r="C645" s="4">
        <f>SUMIF(Table1[Date],Daily_Totals!B645,Table1[Amount])</f>
        <v>28528</v>
      </c>
      <c r="D645" s="11">
        <f t="shared" si="32"/>
        <v>10</v>
      </c>
      <c r="E645" s="12">
        <f t="shared" si="30"/>
        <v>22</v>
      </c>
    </row>
    <row r="646" spans="1:5" x14ac:dyDescent="0.3">
      <c r="A646">
        <f t="shared" si="31"/>
        <v>2024</v>
      </c>
      <c r="B646" s="3">
        <v>45584</v>
      </c>
      <c r="C646" s="4">
        <f>SUMIF(Table1[Date],Daily_Totals!B646,Table1[Amount])</f>
        <v>48317</v>
      </c>
      <c r="D646" s="11">
        <f t="shared" si="32"/>
        <v>10</v>
      </c>
      <c r="E646" s="12">
        <f t="shared" si="30"/>
        <v>22</v>
      </c>
    </row>
    <row r="647" spans="1:5" x14ac:dyDescent="0.3">
      <c r="A647">
        <f t="shared" si="31"/>
        <v>2024</v>
      </c>
      <c r="B647" s="3">
        <v>45585</v>
      </c>
      <c r="C647" s="4">
        <f>SUMIF(Table1[Date],Daily_Totals!B647,Table1[Amount])</f>
        <v>8716</v>
      </c>
      <c r="D647" s="11">
        <f t="shared" si="32"/>
        <v>10</v>
      </c>
      <c r="E647" s="12">
        <f t="shared" si="30"/>
        <v>22</v>
      </c>
    </row>
    <row r="648" spans="1:5" x14ac:dyDescent="0.3">
      <c r="A648">
        <f t="shared" si="31"/>
        <v>2024</v>
      </c>
      <c r="B648" s="3">
        <v>45586</v>
      </c>
      <c r="C648" s="4">
        <f>SUMIF(Table1[Date],Daily_Totals!B648,Table1[Amount])</f>
        <v>28759</v>
      </c>
      <c r="D648" s="11">
        <f t="shared" si="32"/>
        <v>10</v>
      </c>
      <c r="E648" s="12">
        <f t="shared" si="30"/>
        <v>22</v>
      </c>
    </row>
    <row r="649" spans="1:5" x14ac:dyDescent="0.3">
      <c r="A649">
        <f t="shared" si="31"/>
        <v>2024</v>
      </c>
      <c r="B649" s="3">
        <v>45587</v>
      </c>
      <c r="C649" s="4">
        <f>SUMIF(Table1[Date],Daily_Totals!B649,Table1[Amount])</f>
        <v>41273</v>
      </c>
      <c r="D649" s="11">
        <f t="shared" si="32"/>
        <v>10</v>
      </c>
      <c r="E649" s="12">
        <f t="shared" si="30"/>
        <v>22</v>
      </c>
    </row>
    <row r="650" spans="1:5" x14ac:dyDescent="0.3">
      <c r="A650">
        <f t="shared" si="31"/>
        <v>2024</v>
      </c>
      <c r="B650" s="3">
        <v>45588</v>
      </c>
      <c r="C650" s="4">
        <f>SUMIF(Table1[Date],Daily_Totals!B650,Table1[Amount])</f>
        <v>36599</v>
      </c>
      <c r="D650" s="11">
        <f t="shared" si="32"/>
        <v>10</v>
      </c>
      <c r="E650" s="12">
        <f t="shared" si="30"/>
        <v>22</v>
      </c>
    </row>
    <row r="651" spans="1:5" x14ac:dyDescent="0.3">
      <c r="A651">
        <f t="shared" si="31"/>
        <v>2024</v>
      </c>
      <c r="B651" s="3">
        <v>45589</v>
      </c>
      <c r="C651" s="4">
        <f>SUMIF(Table1[Date],Daily_Totals!B651,Table1[Amount])</f>
        <v>38875</v>
      </c>
      <c r="D651" s="11">
        <f t="shared" si="32"/>
        <v>10</v>
      </c>
      <c r="E651" s="12">
        <f t="shared" si="30"/>
        <v>22</v>
      </c>
    </row>
    <row r="652" spans="1:5" x14ac:dyDescent="0.3">
      <c r="A652">
        <f t="shared" si="31"/>
        <v>2024</v>
      </c>
      <c r="B652" s="3">
        <v>45590</v>
      </c>
      <c r="C652" s="4">
        <f>SUMIF(Table1[Date],Daily_Totals!B652,Table1[Amount])</f>
        <v>1162</v>
      </c>
      <c r="D652" s="11">
        <f t="shared" si="32"/>
        <v>10</v>
      </c>
      <c r="E652" s="12">
        <f t="shared" si="30"/>
        <v>22</v>
      </c>
    </row>
    <row r="653" spans="1:5" x14ac:dyDescent="0.3">
      <c r="A653">
        <f t="shared" si="31"/>
        <v>2024</v>
      </c>
      <c r="B653" s="3">
        <v>45591</v>
      </c>
      <c r="C653" s="4">
        <f>SUMIF(Table1[Date],Daily_Totals!B653,Table1[Amount])</f>
        <v>14544</v>
      </c>
      <c r="D653" s="11">
        <f t="shared" si="32"/>
        <v>10</v>
      </c>
      <c r="E653" s="12">
        <f t="shared" si="30"/>
        <v>22</v>
      </c>
    </row>
    <row r="654" spans="1:5" x14ac:dyDescent="0.3">
      <c r="A654">
        <f t="shared" si="31"/>
        <v>2024</v>
      </c>
      <c r="B654" s="3">
        <v>45592</v>
      </c>
      <c r="C654" s="4">
        <f>SUMIF(Table1[Date],Daily_Totals!B654,Table1[Amount])</f>
        <v>5676</v>
      </c>
      <c r="D654" s="11">
        <f t="shared" si="32"/>
        <v>10</v>
      </c>
      <c r="E654" s="12">
        <f t="shared" si="30"/>
        <v>22</v>
      </c>
    </row>
    <row r="655" spans="1:5" x14ac:dyDescent="0.3">
      <c r="A655">
        <f t="shared" si="31"/>
        <v>2024</v>
      </c>
      <c r="B655" s="3">
        <v>45593</v>
      </c>
      <c r="C655" s="4">
        <f>SUMIF(Table1[Date],Daily_Totals!B655,Table1[Amount])</f>
        <v>27887</v>
      </c>
      <c r="D655" s="11">
        <f t="shared" si="32"/>
        <v>10</v>
      </c>
      <c r="E655" s="12">
        <f t="shared" si="30"/>
        <v>22</v>
      </c>
    </row>
    <row r="656" spans="1:5" x14ac:dyDescent="0.3">
      <c r="A656">
        <f t="shared" si="31"/>
        <v>2024</v>
      </c>
      <c r="B656" s="3">
        <v>45594</v>
      </c>
      <c r="C656" s="4">
        <f>SUMIF(Table1[Date],Daily_Totals!B656,Table1[Amount])</f>
        <v>19092</v>
      </c>
      <c r="D656" s="11">
        <f t="shared" si="32"/>
        <v>10</v>
      </c>
      <c r="E656" s="12">
        <f t="shared" si="30"/>
        <v>22</v>
      </c>
    </row>
    <row r="657" spans="1:5" x14ac:dyDescent="0.3">
      <c r="A657">
        <f t="shared" si="31"/>
        <v>2024</v>
      </c>
      <c r="B657" s="3">
        <v>45595</v>
      </c>
      <c r="C657" s="4">
        <f>SUMIF(Table1[Date],Daily_Totals!B657,Table1[Amount])</f>
        <v>25516</v>
      </c>
      <c r="D657" s="11">
        <f t="shared" si="32"/>
        <v>10</v>
      </c>
      <c r="E657" s="12">
        <f t="shared" si="30"/>
        <v>22</v>
      </c>
    </row>
    <row r="658" spans="1:5" x14ac:dyDescent="0.3">
      <c r="A658">
        <f t="shared" si="31"/>
        <v>2024</v>
      </c>
      <c r="B658" s="3">
        <v>45596</v>
      </c>
      <c r="C658" s="4">
        <f>SUMIF(Table1[Date],Daily_Totals!B658,Table1[Amount])</f>
        <v>12048</v>
      </c>
      <c r="D658" s="11">
        <f t="shared" si="32"/>
        <v>10</v>
      </c>
      <c r="E658" s="12">
        <f t="shared" si="30"/>
        <v>22</v>
      </c>
    </row>
    <row r="659" spans="1:5" x14ac:dyDescent="0.3">
      <c r="A659">
        <f t="shared" si="31"/>
        <v>2024</v>
      </c>
      <c r="B659" s="3">
        <v>45597</v>
      </c>
      <c r="C659" s="4">
        <f>SUMIF(Table1[Date],Daily_Totals!B659,Table1[Amount])</f>
        <v>41971</v>
      </c>
      <c r="D659" s="11">
        <f t="shared" si="32"/>
        <v>11</v>
      </c>
      <c r="E659" s="12">
        <f t="shared" si="30"/>
        <v>23</v>
      </c>
    </row>
    <row r="660" spans="1:5" x14ac:dyDescent="0.3">
      <c r="A660">
        <f t="shared" si="31"/>
        <v>2024</v>
      </c>
      <c r="B660" s="3">
        <v>45598</v>
      </c>
      <c r="C660" s="4">
        <f>SUMIF(Table1[Date],Daily_Totals!B660,Table1[Amount])</f>
        <v>23855</v>
      </c>
      <c r="D660" s="11">
        <f t="shared" si="32"/>
        <v>11</v>
      </c>
      <c r="E660" s="12">
        <f t="shared" si="30"/>
        <v>23</v>
      </c>
    </row>
    <row r="661" spans="1:5" x14ac:dyDescent="0.3">
      <c r="A661">
        <f t="shared" si="31"/>
        <v>2024</v>
      </c>
      <c r="B661" s="3">
        <v>45599</v>
      </c>
      <c r="C661" s="4">
        <f>SUMIF(Table1[Date],Daily_Totals!B661,Table1[Amount])</f>
        <v>31803</v>
      </c>
      <c r="D661" s="11">
        <f t="shared" si="32"/>
        <v>11</v>
      </c>
      <c r="E661" s="12">
        <f t="shared" si="30"/>
        <v>23</v>
      </c>
    </row>
    <row r="662" spans="1:5" x14ac:dyDescent="0.3">
      <c r="A662">
        <f t="shared" si="31"/>
        <v>2024</v>
      </c>
      <c r="B662" s="3">
        <v>45600</v>
      </c>
      <c r="C662" s="4">
        <f>SUMIF(Table1[Date],Daily_Totals!B662,Table1[Amount])</f>
        <v>42554</v>
      </c>
      <c r="D662" s="11">
        <f t="shared" si="32"/>
        <v>11</v>
      </c>
      <c r="E662" s="12">
        <f t="shared" si="30"/>
        <v>23</v>
      </c>
    </row>
    <row r="663" spans="1:5" x14ac:dyDescent="0.3">
      <c r="A663">
        <f t="shared" si="31"/>
        <v>2024</v>
      </c>
      <c r="B663" s="3">
        <v>45601</v>
      </c>
      <c r="C663" s="4">
        <f>SUMIF(Table1[Date],Daily_Totals!B663,Table1[Amount])</f>
        <v>32501</v>
      </c>
      <c r="D663" s="11">
        <f t="shared" si="32"/>
        <v>11</v>
      </c>
      <c r="E663" s="12">
        <f t="shared" si="30"/>
        <v>23</v>
      </c>
    </row>
    <row r="664" spans="1:5" x14ac:dyDescent="0.3">
      <c r="A664">
        <f t="shared" si="31"/>
        <v>2024</v>
      </c>
      <c r="B664" s="3">
        <v>45602</v>
      </c>
      <c r="C664" s="4">
        <f>SUMIF(Table1[Date],Daily_Totals!B664,Table1[Amount])</f>
        <v>18035</v>
      </c>
      <c r="D664" s="11">
        <f t="shared" si="32"/>
        <v>11</v>
      </c>
      <c r="E664" s="12">
        <f t="shared" si="30"/>
        <v>23</v>
      </c>
    </row>
    <row r="665" spans="1:5" x14ac:dyDescent="0.3">
      <c r="A665">
        <f t="shared" si="31"/>
        <v>2024</v>
      </c>
      <c r="B665" s="3">
        <v>45603</v>
      </c>
      <c r="C665" s="4">
        <f>SUMIF(Table1[Date],Daily_Totals!B665,Table1[Amount])</f>
        <v>36538</v>
      </c>
      <c r="D665" s="11">
        <f t="shared" si="32"/>
        <v>11</v>
      </c>
      <c r="E665" s="12">
        <f t="shared" si="30"/>
        <v>23</v>
      </c>
    </row>
    <row r="666" spans="1:5" x14ac:dyDescent="0.3">
      <c r="A666">
        <f t="shared" si="31"/>
        <v>2024</v>
      </c>
      <c r="B666" s="3">
        <v>45604</v>
      </c>
      <c r="C666" s="4">
        <f>SUMIF(Table1[Date],Daily_Totals!B666,Table1[Amount])</f>
        <v>40878</v>
      </c>
      <c r="D666" s="11">
        <f t="shared" si="32"/>
        <v>11</v>
      </c>
      <c r="E666" s="12">
        <f t="shared" si="30"/>
        <v>23</v>
      </c>
    </row>
    <row r="667" spans="1:5" x14ac:dyDescent="0.3">
      <c r="A667">
        <f t="shared" si="31"/>
        <v>2024</v>
      </c>
      <c r="B667" s="3">
        <v>45605</v>
      </c>
      <c r="C667" s="4">
        <f>SUMIF(Table1[Date],Daily_Totals!B667,Table1[Amount])</f>
        <v>17285</v>
      </c>
      <c r="D667" s="11">
        <f t="shared" si="32"/>
        <v>11</v>
      </c>
      <c r="E667" s="12">
        <f t="shared" si="30"/>
        <v>23</v>
      </c>
    </row>
    <row r="668" spans="1:5" x14ac:dyDescent="0.3">
      <c r="A668">
        <f t="shared" si="31"/>
        <v>2024</v>
      </c>
      <c r="B668" s="3">
        <v>45606</v>
      </c>
      <c r="C668" s="4">
        <f>SUMIF(Table1[Date],Daily_Totals!B668,Table1[Amount])</f>
        <v>44074</v>
      </c>
      <c r="D668" s="11">
        <f t="shared" si="32"/>
        <v>11</v>
      </c>
      <c r="E668" s="12">
        <f t="shared" si="30"/>
        <v>23</v>
      </c>
    </row>
    <row r="669" spans="1:5" x14ac:dyDescent="0.3">
      <c r="A669">
        <f t="shared" si="31"/>
        <v>2024</v>
      </c>
      <c r="B669" s="3">
        <v>45607</v>
      </c>
      <c r="C669" s="4">
        <f>SUMIF(Table1[Date],Daily_Totals!B669,Table1[Amount])</f>
        <v>29833</v>
      </c>
      <c r="D669" s="11">
        <f t="shared" si="32"/>
        <v>11</v>
      </c>
      <c r="E669" s="12">
        <f t="shared" si="30"/>
        <v>23</v>
      </c>
    </row>
    <row r="670" spans="1:5" x14ac:dyDescent="0.3">
      <c r="A670">
        <f t="shared" si="31"/>
        <v>2024</v>
      </c>
      <c r="B670" s="3">
        <v>45608</v>
      </c>
      <c r="C670" s="4">
        <f>SUMIF(Table1[Date],Daily_Totals!B670,Table1[Amount])</f>
        <v>24736</v>
      </c>
      <c r="D670" s="11">
        <f t="shared" si="32"/>
        <v>11</v>
      </c>
      <c r="E670" s="12">
        <f t="shared" si="30"/>
        <v>23</v>
      </c>
    </row>
    <row r="671" spans="1:5" x14ac:dyDescent="0.3">
      <c r="A671">
        <f t="shared" si="31"/>
        <v>2024</v>
      </c>
      <c r="B671" s="3">
        <v>45609</v>
      </c>
      <c r="C671" s="4">
        <f>SUMIF(Table1[Date],Daily_Totals!B671,Table1[Amount])</f>
        <v>25798</v>
      </c>
      <c r="D671" s="11">
        <f t="shared" si="32"/>
        <v>11</v>
      </c>
      <c r="E671" s="12">
        <f t="shared" si="30"/>
        <v>23</v>
      </c>
    </row>
    <row r="672" spans="1:5" x14ac:dyDescent="0.3">
      <c r="A672">
        <f t="shared" si="31"/>
        <v>2024</v>
      </c>
      <c r="B672" s="3">
        <v>45610</v>
      </c>
      <c r="C672" s="4">
        <f>SUMIF(Table1[Date],Daily_Totals!B672,Table1[Amount])</f>
        <v>41723</v>
      </c>
      <c r="D672" s="11">
        <f t="shared" si="32"/>
        <v>11</v>
      </c>
      <c r="E672" s="12">
        <f t="shared" si="30"/>
        <v>23</v>
      </c>
    </row>
    <row r="673" spans="1:5" x14ac:dyDescent="0.3">
      <c r="A673">
        <f t="shared" si="31"/>
        <v>2024</v>
      </c>
      <c r="B673" s="3">
        <v>45611</v>
      </c>
      <c r="C673" s="4">
        <f>SUMIF(Table1[Date],Daily_Totals!B673,Table1[Amount])</f>
        <v>43920</v>
      </c>
      <c r="D673" s="11">
        <f t="shared" si="32"/>
        <v>11</v>
      </c>
      <c r="E673" s="12">
        <f t="shared" si="30"/>
        <v>23</v>
      </c>
    </row>
    <row r="674" spans="1:5" x14ac:dyDescent="0.3">
      <c r="A674">
        <f t="shared" si="31"/>
        <v>2024</v>
      </c>
      <c r="B674" s="3">
        <v>45612</v>
      </c>
      <c r="C674" s="4">
        <f>SUMIF(Table1[Date],Daily_Totals!B674,Table1[Amount])</f>
        <v>16467</v>
      </c>
      <c r="D674" s="11">
        <f t="shared" si="32"/>
        <v>11</v>
      </c>
      <c r="E674" s="12">
        <f t="shared" si="30"/>
        <v>23</v>
      </c>
    </row>
    <row r="675" spans="1:5" x14ac:dyDescent="0.3">
      <c r="A675">
        <f t="shared" si="31"/>
        <v>2024</v>
      </c>
      <c r="B675" s="3">
        <v>45613</v>
      </c>
      <c r="C675" s="4">
        <f>SUMIF(Table1[Date],Daily_Totals!B675,Table1[Amount])</f>
        <v>21659</v>
      </c>
      <c r="D675" s="11">
        <f t="shared" si="32"/>
        <v>11</v>
      </c>
      <c r="E675" s="12">
        <f t="shared" si="30"/>
        <v>23</v>
      </c>
    </row>
    <row r="676" spans="1:5" x14ac:dyDescent="0.3">
      <c r="A676">
        <f t="shared" si="31"/>
        <v>2024</v>
      </c>
      <c r="B676" s="3">
        <v>45614</v>
      </c>
      <c r="C676" s="4">
        <f>SUMIF(Table1[Date],Daily_Totals!B676,Table1[Amount])</f>
        <v>7146</v>
      </c>
      <c r="D676" s="11">
        <f t="shared" si="32"/>
        <v>11</v>
      </c>
      <c r="E676" s="12">
        <f t="shared" si="30"/>
        <v>23</v>
      </c>
    </row>
    <row r="677" spans="1:5" x14ac:dyDescent="0.3">
      <c r="A677">
        <f t="shared" si="31"/>
        <v>2024</v>
      </c>
      <c r="B677" s="3">
        <v>45615</v>
      </c>
      <c r="C677" s="4">
        <f>SUMIF(Table1[Date],Daily_Totals!B677,Table1[Amount])</f>
        <v>6373</v>
      </c>
      <c r="D677" s="11">
        <f t="shared" si="32"/>
        <v>11</v>
      </c>
      <c r="E677" s="12">
        <f t="shared" si="30"/>
        <v>23</v>
      </c>
    </row>
    <row r="678" spans="1:5" x14ac:dyDescent="0.3">
      <c r="A678">
        <f t="shared" si="31"/>
        <v>2024</v>
      </c>
      <c r="B678" s="3">
        <v>45616</v>
      </c>
      <c r="C678" s="4">
        <f>SUMIF(Table1[Date],Daily_Totals!B678,Table1[Amount])</f>
        <v>37266</v>
      </c>
      <c r="D678" s="11">
        <f t="shared" si="32"/>
        <v>11</v>
      </c>
      <c r="E678" s="12">
        <f t="shared" si="30"/>
        <v>23</v>
      </c>
    </row>
    <row r="679" spans="1:5" x14ac:dyDescent="0.3">
      <c r="A679">
        <f t="shared" si="31"/>
        <v>2024</v>
      </c>
      <c r="B679" s="3">
        <v>45617</v>
      </c>
      <c r="C679" s="4">
        <f>SUMIF(Table1[Date],Daily_Totals!B679,Table1[Amount])</f>
        <v>46691</v>
      </c>
      <c r="D679" s="11">
        <f t="shared" si="32"/>
        <v>11</v>
      </c>
      <c r="E679" s="12">
        <f t="shared" si="30"/>
        <v>23</v>
      </c>
    </row>
    <row r="680" spans="1:5" x14ac:dyDescent="0.3">
      <c r="A680">
        <f t="shared" si="31"/>
        <v>2024</v>
      </c>
      <c r="B680" s="3">
        <v>45618</v>
      </c>
      <c r="C680" s="4">
        <f>SUMIF(Table1[Date],Daily_Totals!B680,Table1[Amount])</f>
        <v>16809</v>
      </c>
      <c r="D680" s="11">
        <f t="shared" si="32"/>
        <v>11</v>
      </c>
      <c r="E680" s="12">
        <f t="shared" ref="E680:E717" si="33">D680+12</f>
        <v>23</v>
      </c>
    </row>
    <row r="681" spans="1:5" x14ac:dyDescent="0.3">
      <c r="A681">
        <f t="shared" si="31"/>
        <v>2024</v>
      </c>
      <c r="B681" s="3">
        <v>45619</v>
      </c>
      <c r="C681" s="4">
        <f>SUMIF(Table1[Date],Daily_Totals!B681,Table1[Amount])</f>
        <v>17489</v>
      </c>
      <c r="D681" s="11">
        <f t="shared" si="32"/>
        <v>11</v>
      </c>
      <c r="E681" s="12">
        <f t="shared" si="33"/>
        <v>23</v>
      </c>
    </row>
    <row r="682" spans="1:5" x14ac:dyDescent="0.3">
      <c r="A682">
        <f t="shared" si="31"/>
        <v>2024</v>
      </c>
      <c r="B682" s="3">
        <v>45620</v>
      </c>
      <c r="C682" s="4">
        <f>SUMIF(Table1[Date],Daily_Totals!B682,Table1[Amount])</f>
        <v>21016</v>
      </c>
      <c r="D682" s="11">
        <f t="shared" si="32"/>
        <v>11</v>
      </c>
      <c r="E682" s="12">
        <f t="shared" si="33"/>
        <v>23</v>
      </c>
    </row>
    <row r="683" spans="1:5" x14ac:dyDescent="0.3">
      <c r="A683">
        <f t="shared" si="31"/>
        <v>2024</v>
      </c>
      <c r="B683" s="3">
        <v>45621</v>
      </c>
      <c r="C683" s="4">
        <f>SUMIF(Table1[Date],Daily_Totals!B683,Table1[Amount])</f>
        <v>56555</v>
      </c>
      <c r="D683" s="11">
        <f t="shared" si="32"/>
        <v>11</v>
      </c>
      <c r="E683" s="12">
        <f t="shared" si="33"/>
        <v>23</v>
      </c>
    </row>
    <row r="684" spans="1:5" x14ac:dyDescent="0.3">
      <c r="A684">
        <f t="shared" si="31"/>
        <v>2024</v>
      </c>
      <c r="B684" s="3">
        <v>45622</v>
      </c>
      <c r="C684" s="4">
        <f>SUMIF(Table1[Date],Daily_Totals!B684,Table1[Amount])</f>
        <v>14015</v>
      </c>
      <c r="D684" s="11">
        <f t="shared" si="32"/>
        <v>11</v>
      </c>
      <c r="E684" s="12">
        <f t="shared" si="33"/>
        <v>23</v>
      </c>
    </row>
    <row r="685" spans="1:5" x14ac:dyDescent="0.3">
      <c r="A685">
        <f t="shared" si="31"/>
        <v>2024</v>
      </c>
      <c r="B685" s="3">
        <v>45623</v>
      </c>
      <c r="C685" s="4">
        <f>SUMIF(Table1[Date],Daily_Totals!B685,Table1[Amount])</f>
        <v>15583</v>
      </c>
      <c r="D685" s="11">
        <f t="shared" si="32"/>
        <v>11</v>
      </c>
      <c r="E685" s="12">
        <f t="shared" si="33"/>
        <v>23</v>
      </c>
    </row>
    <row r="686" spans="1:5" x14ac:dyDescent="0.3">
      <c r="A686">
        <f t="shared" si="31"/>
        <v>2024</v>
      </c>
      <c r="B686" s="3">
        <v>45624</v>
      </c>
      <c r="C686" s="4">
        <f>SUMIF(Table1[Date],Daily_Totals!B686,Table1[Amount])</f>
        <v>52546</v>
      </c>
      <c r="D686" s="11">
        <f t="shared" si="32"/>
        <v>11</v>
      </c>
      <c r="E686" s="12">
        <f t="shared" si="33"/>
        <v>23</v>
      </c>
    </row>
    <row r="687" spans="1:5" x14ac:dyDescent="0.3">
      <c r="A687">
        <f t="shared" si="31"/>
        <v>2024</v>
      </c>
      <c r="B687" s="3">
        <v>45626</v>
      </c>
      <c r="C687" s="4">
        <f>SUMIF(Table1[Date],Daily_Totals!B687,Table1[Amount])</f>
        <v>13882</v>
      </c>
      <c r="D687" s="11">
        <f t="shared" si="32"/>
        <v>11</v>
      </c>
      <c r="E687" s="12">
        <f t="shared" si="33"/>
        <v>23</v>
      </c>
    </row>
    <row r="688" spans="1:5" x14ac:dyDescent="0.3">
      <c r="A688">
        <f t="shared" si="31"/>
        <v>2024</v>
      </c>
      <c r="B688" s="3">
        <v>45627</v>
      </c>
      <c r="C688" s="4">
        <f>SUMIF(Table1[Date],Daily_Totals!B688,Table1[Amount])</f>
        <v>17542</v>
      </c>
      <c r="D688" s="11">
        <f t="shared" si="32"/>
        <v>12</v>
      </c>
      <c r="E688" s="12">
        <f t="shared" si="33"/>
        <v>24</v>
      </c>
    </row>
    <row r="689" spans="1:5" x14ac:dyDescent="0.3">
      <c r="A689">
        <f t="shared" si="31"/>
        <v>2024</v>
      </c>
      <c r="B689" s="3">
        <v>45628</v>
      </c>
      <c r="C689" s="4">
        <f>SUMIF(Table1[Date],Daily_Totals!B689,Table1[Amount])</f>
        <v>52451</v>
      </c>
      <c r="D689" s="11">
        <f t="shared" si="32"/>
        <v>12</v>
      </c>
      <c r="E689" s="12">
        <f t="shared" si="33"/>
        <v>24</v>
      </c>
    </row>
    <row r="690" spans="1:5" x14ac:dyDescent="0.3">
      <c r="A690">
        <f t="shared" si="31"/>
        <v>2024</v>
      </c>
      <c r="B690" s="3">
        <v>45629</v>
      </c>
      <c r="C690" s="4">
        <f>SUMIF(Table1[Date],Daily_Totals!B690,Table1[Amount])</f>
        <v>5539</v>
      </c>
      <c r="D690" s="11">
        <f t="shared" si="32"/>
        <v>12</v>
      </c>
      <c r="E690" s="12">
        <f t="shared" si="33"/>
        <v>24</v>
      </c>
    </row>
    <row r="691" spans="1:5" x14ac:dyDescent="0.3">
      <c r="A691">
        <f t="shared" si="31"/>
        <v>2024</v>
      </c>
      <c r="B691" s="3">
        <v>45630</v>
      </c>
      <c r="C691" s="4">
        <f>SUMIF(Table1[Date],Daily_Totals!B691,Table1[Amount])</f>
        <v>30189</v>
      </c>
      <c r="D691" s="11">
        <f t="shared" si="32"/>
        <v>12</v>
      </c>
      <c r="E691" s="12">
        <f t="shared" si="33"/>
        <v>24</v>
      </c>
    </row>
    <row r="692" spans="1:5" x14ac:dyDescent="0.3">
      <c r="A692">
        <f t="shared" si="31"/>
        <v>2024</v>
      </c>
      <c r="B692" s="3">
        <v>45631</v>
      </c>
      <c r="C692" s="4">
        <f>SUMIF(Table1[Date],Daily_Totals!B692,Table1[Amount])</f>
        <v>26983</v>
      </c>
      <c r="D692" s="11">
        <f t="shared" si="32"/>
        <v>12</v>
      </c>
      <c r="E692" s="12">
        <f t="shared" si="33"/>
        <v>24</v>
      </c>
    </row>
    <row r="693" spans="1:5" x14ac:dyDescent="0.3">
      <c r="A693">
        <f t="shared" si="31"/>
        <v>2024</v>
      </c>
      <c r="B693" s="3">
        <v>45632</v>
      </c>
      <c r="C693" s="4">
        <f>SUMIF(Table1[Date],Daily_Totals!B693,Table1[Amount])</f>
        <v>15925</v>
      </c>
      <c r="D693" s="11">
        <f t="shared" si="32"/>
        <v>12</v>
      </c>
      <c r="E693" s="12">
        <f t="shared" si="33"/>
        <v>24</v>
      </c>
    </row>
    <row r="694" spans="1:5" x14ac:dyDescent="0.3">
      <c r="A694">
        <f t="shared" si="31"/>
        <v>2024</v>
      </c>
      <c r="B694" s="3">
        <v>45633</v>
      </c>
      <c r="C694" s="4">
        <f>SUMIF(Table1[Date],Daily_Totals!B694,Table1[Amount])</f>
        <v>23375</v>
      </c>
      <c r="D694" s="11">
        <f t="shared" si="32"/>
        <v>12</v>
      </c>
      <c r="E694" s="12">
        <f t="shared" si="33"/>
        <v>24</v>
      </c>
    </row>
    <row r="695" spans="1:5" x14ac:dyDescent="0.3">
      <c r="A695">
        <f t="shared" si="31"/>
        <v>2024</v>
      </c>
      <c r="B695" s="3">
        <v>45634</v>
      </c>
      <c r="C695" s="4">
        <f>SUMIF(Table1[Date],Daily_Totals!B695,Table1[Amount])</f>
        <v>20254</v>
      </c>
      <c r="D695" s="11">
        <f t="shared" si="32"/>
        <v>12</v>
      </c>
      <c r="E695" s="12">
        <f t="shared" si="33"/>
        <v>24</v>
      </c>
    </row>
    <row r="696" spans="1:5" x14ac:dyDescent="0.3">
      <c r="A696">
        <f t="shared" si="31"/>
        <v>2024</v>
      </c>
      <c r="B696" s="3">
        <v>45635</v>
      </c>
      <c r="C696" s="4">
        <f>SUMIF(Table1[Date],Daily_Totals!B696,Table1[Amount])</f>
        <v>26324</v>
      </c>
      <c r="D696" s="11">
        <f t="shared" si="32"/>
        <v>12</v>
      </c>
      <c r="E696" s="12">
        <f t="shared" si="33"/>
        <v>24</v>
      </c>
    </row>
    <row r="697" spans="1:5" x14ac:dyDescent="0.3">
      <c r="A697">
        <f t="shared" si="31"/>
        <v>2024</v>
      </c>
      <c r="B697" s="3">
        <v>45636</v>
      </c>
      <c r="C697" s="4">
        <f>SUMIF(Table1[Date],Daily_Totals!B697,Table1[Amount])</f>
        <v>35590</v>
      </c>
      <c r="D697" s="11">
        <f t="shared" si="32"/>
        <v>12</v>
      </c>
      <c r="E697" s="12">
        <f t="shared" si="33"/>
        <v>24</v>
      </c>
    </row>
    <row r="698" spans="1:5" x14ac:dyDescent="0.3">
      <c r="A698">
        <f t="shared" si="31"/>
        <v>2024</v>
      </c>
      <c r="B698" s="3">
        <v>45637</v>
      </c>
      <c r="C698" s="4">
        <f>SUMIF(Table1[Date],Daily_Totals!B698,Table1[Amount])</f>
        <v>40785</v>
      </c>
      <c r="D698" s="11">
        <f t="shared" si="32"/>
        <v>12</v>
      </c>
      <c r="E698" s="12">
        <f t="shared" si="33"/>
        <v>24</v>
      </c>
    </row>
    <row r="699" spans="1:5" x14ac:dyDescent="0.3">
      <c r="A699">
        <f t="shared" si="31"/>
        <v>2024</v>
      </c>
      <c r="B699" s="3">
        <v>45638</v>
      </c>
      <c r="C699" s="4">
        <f>SUMIF(Table1[Date],Daily_Totals!B699,Table1[Amount])</f>
        <v>30666</v>
      </c>
      <c r="D699" s="11">
        <f t="shared" si="32"/>
        <v>12</v>
      </c>
      <c r="E699" s="12">
        <f t="shared" si="33"/>
        <v>24</v>
      </c>
    </row>
    <row r="700" spans="1:5" x14ac:dyDescent="0.3">
      <c r="A700">
        <f t="shared" si="31"/>
        <v>2024</v>
      </c>
      <c r="B700" s="3">
        <v>45639</v>
      </c>
      <c r="C700" s="4">
        <f>SUMIF(Table1[Date],Daily_Totals!B700,Table1[Amount])</f>
        <v>30422</v>
      </c>
      <c r="D700" s="11">
        <f t="shared" si="32"/>
        <v>12</v>
      </c>
      <c r="E700" s="12">
        <f t="shared" si="33"/>
        <v>24</v>
      </c>
    </row>
    <row r="701" spans="1:5" x14ac:dyDescent="0.3">
      <c r="A701">
        <f t="shared" si="31"/>
        <v>2024</v>
      </c>
      <c r="B701" s="3">
        <v>45640</v>
      </c>
      <c r="C701" s="4">
        <f>SUMIF(Table1[Date],Daily_Totals!B701,Table1[Amount])</f>
        <v>47463</v>
      </c>
      <c r="D701" s="11">
        <f t="shared" si="32"/>
        <v>12</v>
      </c>
      <c r="E701" s="12">
        <f t="shared" si="33"/>
        <v>24</v>
      </c>
    </row>
    <row r="702" spans="1:5" x14ac:dyDescent="0.3">
      <c r="A702">
        <f t="shared" si="31"/>
        <v>2024</v>
      </c>
      <c r="B702" s="3">
        <v>45641</v>
      </c>
      <c r="C702" s="4">
        <f>SUMIF(Table1[Date],Daily_Totals!B702,Table1[Amount])</f>
        <v>20407</v>
      </c>
      <c r="D702" s="11">
        <f t="shared" si="32"/>
        <v>12</v>
      </c>
      <c r="E702" s="12">
        <f t="shared" si="33"/>
        <v>24</v>
      </c>
    </row>
    <row r="703" spans="1:5" x14ac:dyDescent="0.3">
      <c r="A703">
        <f t="shared" si="31"/>
        <v>2024</v>
      </c>
      <c r="B703" s="3">
        <v>45642</v>
      </c>
      <c r="C703" s="4">
        <f>SUMIF(Table1[Date],Daily_Totals!B703,Table1[Amount])</f>
        <v>4945</v>
      </c>
      <c r="D703" s="11">
        <f t="shared" si="32"/>
        <v>12</v>
      </c>
      <c r="E703" s="12">
        <f t="shared" si="33"/>
        <v>24</v>
      </c>
    </row>
    <row r="704" spans="1:5" x14ac:dyDescent="0.3">
      <c r="A704">
        <f t="shared" si="31"/>
        <v>2024</v>
      </c>
      <c r="B704" s="3">
        <v>45643</v>
      </c>
      <c r="C704" s="4">
        <f>SUMIF(Table1[Date],Daily_Totals!B704,Table1[Amount])</f>
        <v>18489</v>
      </c>
      <c r="D704" s="11">
        <f t="shared" si="32"/>
        <v>12</v>
      </c>
      <c r="E704" s="12">
        <f t="shared" si="33"/>
        <v>24</v>
      </c>
    </row>
    <row r="705" spans="1:5" x14ac:dyDescent="0.3">
      <c r="A705">
        <f t="shared" si="31"/>
        <v>2024</v>
      </c>
      <c r="B705" s="3">
        <v>45644</v>
      </c>
      <c r="C705" s="4">
        <f>SUMIF(Table1[Date],Daily_Totals!B705,Table1[Amount])</f>
        <v>26890</v>
      </c>
      <c r="D705" s="11">
        <f t="shared" si="32"/>
        <v>12</v>
      </c>
      <c r="E705" s="12">
        <f t="shared" si="33"/>
        <v>24</v>
      </c>
    </row>
    <row r="706" spans="1:5" x14ac:dyDescent="0.3">
      <c r="A706">
        <f t="shared" si="31"/>
        <v>2024</v>
      </c>
      <c r="B706" s="3">
        <v>45645</v>
      </c>
      <c r="C706" s="4">
        <f>SUMIF(Table1[Date],Daily_Totals!B706,Table1[Amount])</f>
        <v>19679</v>
      </c>
      <c r="D706" s="11">
        <f t="shared" si="32"/>
        <v>12</v>
      </c>
      <c r="E706" s="12">
        <f t="shared" si="33"/>
        <v>24</v>
      </c>
    </row>
    <row r="707" spans="1:5" x14ac:dyDescent="0.3">
      <c r="A707">
        <f t="shared" ref="A707:A717" si="34">YEAR(B707)</f>
        <v>2024</v>
      </c>
      <c r="B707" s="3">
        <v>45646</v>
      </c>
      <c r="C707" s="4">
        <f>SUMIF(Table1[Date],Daily_Totals!B707,Table1[Amount])</f>
        <v>9909</v>
      </c>
      <c r="D707" s="11">
        <f t="shared" ref="D707:D717" si="35">MONTH(B707)</f>
        <v>12</v>
      </c>
      <c r="E707" s="12">
        <f t="shared" si="33"/>
        <v>24</v>
      </c>
    </row>
    <row r="708" spans="1:5" x14ac:dyDescent="0.3">
      <c r="A708">
        <f t="shared" si="34"/>
        <v>2024</v>
      </c>
      <c r="B708" s="3">
        <v>45647</v>
      </c>
      <c r="C708" s="4">
        <f>SUMIF(Table1[Date],Daily_Totals!B708,Table1[Amount])</f>
        <v>16642</v>
      </c>
      <c r="D708" s="11">
        <f t="shared" si="35"/>
        <v>12</v>
      </c>
      <c r="E708" s="12">
        <f t="shared" si="33"/>
        <v>24</v>
      </c>
    </row>
    <row r="709" spans="1:5" x14ac:dyDescent="0.3">
      <c r="A709">
        <f t="shared" si="34"/>
        <v>2024</v>
      </c>
      <c r="B709" s="3">
        <v>45648</v>
      </c>
      <c r="C709" s="4">
        <f>SUMIF(Table1[Date],Daily_Totals!B709,Table1[Amount])</f>
        <v>30069</v>
      </c>
      <c r="D709" s="11">
        <f t="shared" si="35"/>
        <v>12</v>
      </c>
      <c r="E709" s="12">
        <f t="shared" si="33"/>
        <v>24</v>
      </c>
    </row>
    <row r="710" spans="1:5" x14ac:dyDescent="0.3">
      <c r="A710">
        <f t="shared" si="34"/>
        <v>2024</v>
      </c>
      <c r="B710" s="3">
        <v>45649</v>
      </c>
      <c r="C710" s="4">
        <f>SUMIF(Table1[Date],Daily_Totals!B710,Table1[Amount])</f>
        <v>8162</v>
      </c>
      <c r="D710" s="11">
        <f t="shared" si="35"/>
        <v>12</v>
      </c>
      <c r="E710" s="12">
        <f t="shared" si="33"/>
        <v>24</v>
      </c>
    </row>
    <row r="711" spans="1:5" x14ac:dyDescent="0.3">
      <c r="A711">
        <f t="shared" si="34"/>
        <v>2024</v>
      </c>
      <c r="B711" s="3">
        <v>45650</v>
      </c>
      <c r="C711" s="4">
        <f>SUMIF(Table1[Date],Daily_Totals!B711,Table1[Amount])</f>
        <v>11762</v>
      </c>
      <c r="D711" s="11">
        <f t="shared" si="35"/>
        <v>12</v>
      </c>
      <c r="E711" s="12">
        <f t="shared" si="33"/>
        <v>24</v>
      </c>
    </row>
    <row r="712" spans="1:5" x14ac:dyDescent="0.3">
      <c r="A712">
        <f t="shared" si="34"/>
        <v>2024</v>
      </c>
      <c r="B712" s="3">
        <v>45651</v>
      </c>
      <c r="C712" s="4">
        <f>SUMIF(Table1[Date],Daily_Totals!B712,Table1[Amount])</f>
        <v>37541</v>
      </c>
      <c r="D712" s="11">
        <f t="shared" si="35"/>
        <v>12</v>
      </c>
      <c r="E712" s="12">
        <f t="shared" si="33"/>
        <v>24</v>
      </c>
    </row>
    <row r="713" spans="1:5" x14ac:dyDescent="0.3">
      <c r="A713">
        <f t="shared" si="34"/>
        <v>2024</v>
      </c>
      <c r="B713" s="3">
        <v>45652</v>
      </c>
      <c r="C713" s="4">
        <f>SUMIF(Table1[Date],Daily_Totals!B713,Table1[Amount])</f>
        <v>2063</v>
      </c>
      <c r="D713" s="11">
        <f t="shared" si="35"/>
        <v>12</v>
      </c>
      <c r="E713" s="12">
        <f t="shared" si="33"/>
        <v>24</v>
      </c>
    </row>
    <row r="714" spans="1:5" x14ac:dyDescent="0.3">
      <c r="A714">
        <f t="shared" si="34"/>
        <v>2024</v>
      </c>
      <c r="B714" s="3">
        <v>45653</v>
      </c>
      <c r="C714" s="4">
        <f>SUMIF(Table1[Date],Daily_Totals!B714,Table1[Amount])</f>
        <v>33877</v>
      </c>
      <c r="D714" s="11">
        <f t="shared" si="35"/>
        <v>12</v>
      </c>
      <c r="E714" s="12">
        <f t="shared" si="33"/>
        <v>24</v>
      </c>
    </row>
    <row r="715" spans="1:5" x14ac:dyDescent="0.3">
      <c r="A715">
        <f t="shared" si="34"/>
        <v>2024</v>
      </c>
      <c r="B715" s="3">
        <v>45655</v>
      </c>
      <c r="C715" s="4">
        <f>SUMIF(Table1[Date],Daily_Totals!B715,Table1[Amount])</f>
        <v>42026</v>
      </c>
      <c r="D715" s="11">
        <f t="shared" si="35"/>
        <v>12</v>
      </c>
      <c r="E715" s="12">
        <f t="shared" si="33"/>
        <v>24</v>
      </c>
    </row>
    <row r="716" spans="1:5" x14ac:dyDescent="0.3">
      <c r="A716">
        <f t="shared" si="34"/>
        <v>2024</v>
      </c>
      <c r="B716" s="3">
        <v>45656</v>
      </c>
      <c r="C716" s="4">
        <f>SUMIF(Table1[Date],Daily_Totals!B716,Table1[Amount])</f>
        <v>17943</v>
      </c>
      <c r="D716" s="11">
        <f t="shared" si="35"/>
        <v>12</v>
      </c>
      <c r="E716" s="12">
        <f t="shared" si="33"/>
        <v>24</v>
      </c>
    </row>
    <row r="717" spans="1:5" x14ac:dyDescent="0.3">
      <c r="A717">
        <f t="shared" si="34"/>
        <v>2024</v>
      </c>
      <c r="B717" s="3">
        <v>45657</v>
      </c>
      <c r="C717" s="4">
        <f>SUMIF(Table1[Date],Daily_Totals!B717,Table1[Amount])</f>
        <v>59015</v>
      </c>
      <c r="D717" s="11">
        <f t="shared" si="35"/>
        <v>12</v>
      </c>
      <c r="E717" s="12">
        <f t="shared" si="33"/>
        <v>24</v>
      </c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4E996-D0AF-4D85-9BC6-7B3E3682C41E}">
  <dimension ref="A1:G25"/>
  <sheetViews>
    <sheetView workbookViewId="0">
      <selection activeCell="H16" sqref="H16"/>
    </sheetView>
  </sheetViews>
  <sheetFormatPr defaultRowHeight="14.4" x14ac:dyDescent="0.3"/>
  <cols>
    <col min="2" max="2" width="13.33203125" bestFit="1" customWidth="1"/>
    <col min="3" max="3" width="20.6640625" style="4" bestFit="1" customWidth="1"/>
    <col min="4" max="4" width="24.109375" bestFit="1" customWidth="1"/>
    <col min="5" max="5" width="13.88671875" style="13" bestFit="1" customWidth="1"/>
    <col min="6" max="6" width="8.88671875" style="13"/>
  </cols>
  <sheetData>
    <row r="1" spans="1:7" x14ac:dyDescent="0.3">
      <c r="A1" t="s">
        <v>48</v>
      </c>
      <c r="B1" t="s">
        <v>45</v>
      </c>
      <c r="C1" s="4" t="s">
        <v>44</v>
      </c>
      <c r="D1" t="s">
        <v>46</v>
      </c>
    </row>
    <row r="2" spans="1:7" x14ac:dyDescent="0.3">
      <c r="A2">
        <f>IF(B2&lt;=12,2023,2024)</f>
        <v>2023</v>
      </c>
      <c r="B2" cm="1">
        <f t="array" ref="B2:B25">_xlfn.UNIQUE(Daily_Totals!E2:E717)</f>
        <v>1</v>
      </c>
      <c r="C2" s="4">
        <f>SUMIF(Daily_Totals!$E$2:$E$717,"=1",Daily_Totals!$C$2:$C$717)</f>
        <v>904109</v>
      </c>
      <c r="D2" s="5">
        <f>($C$2-774510)/774510</f>
        <v>0.16733031206827542</v>
      </c>
      <c r="E2" s="14"/>
    </row>
    <row r="3" spans="1:7" x14ac:dyDescent="0.3">
      <c r="A3">
        <f t="shared" ref="A3:A25" si="0">IF(B3&lt;=12,2023,2024)</f>
        <v>2023</v>
      </c>
      <c r="B3">
        <v>2</v>
      </c>
      <c r="C3" s="4">
        <f>SUMIF(Daily_Totals!$E$2:$E$717,"=2",Daily_Totals!$C$2:$C$717)</f>
        <v>876772</v>
      </c>
      <c r="D3" s="5">
        <f>($C$3-$C$2)/$C$2</f>
        <v>-3.0236398487350529E-2</v>
      </c>
      <c r="G3" s="13"/>
    </row>
    <row r="4" spans="1:7" x14ac:dyDescent="0.3">
      <c r="A4">
        <f t="shared" si="0"/>
        <v>2023</v>
      </c>
      <c r="B4">
        <v>3</v>
      </c>
      <c r="C4" s="4">
        <f>SUMIF(Daily_Totals!$E$2:$E$717,"=3",Daily_Totals!$C$2:$C$717)</f>
        <v>666198</v>
      </c>
      <c r="D4" s="5">
        <f>($C4-$C3)/$C3</f>
        <v>-0.24016962220508867</v>
      </c>
    </row>
    <row r="5" spans="1:7" x14ac:dyDescent="0.3">
      <c r="A5">
        <f t="shared" si="0"/>
        <v>2023</v>
      </c>
      <c r="B5">
        <v>4</v>
      </c>
      <c r="C5" s="4">
        <f>SUMIF(Daily_Totals!$E$2:$E$717,"=4",Daily_Totals!$C$2:$C$717)</f>
        <v>892919</v>
      </c>
      <c r="D5" s="5">
        <f t="shared" ref="D5:D25" si="1">($C5-$C4)/$C4</f>
        <v>0.34032074548407532</v>
      </c>
    </row>
    <row r="6" spans="1:7" x14ac:dyDescent="0.3">
      <c r="A6">
        <f t="shared" si="0"/>
        <v>2023</v>
      </c>
      <c r="B6">
        <v>5</v>
      </c>
      <c r="C6" s="4">
        <f>SUMIF(Daily_Totals!$E$2:$E$717,"=5",Daily_Totals!$C$2:$C$717)</f>
        <v>792630</v>
      </c>
      <c r="D6" s="5">
        <f t="shared" si="1"/>
        <v>-0.11231589875453428</v>
      </c>
    </row>
    <row r="7" spans="1:7" x14ac:dyDescent="0.3">
      <c r="A7">
        <f t="shared" si="0"/>
        <v>2023</v>
      </c>
      <c r="B7">
        <v>6</v>
      </c>
      <c r="C7" s="4">
        <f>SUMIF(Daily_Totals!$E$2:$E$717,"=6",Daily_Totals!$C$2:$C$717)</f>
        <v>737613</v>
      </c>
      <c r="D7" s="5">
        <f t="shared" si="1"/>
        <v>-6.9410696037243105E-2</v>
      </c>
    </row>
    <row r="8" spans="1:7" x14ac:dyDescent="0.3">
      <c r="A8">
        <f t="shared" si="0"/>
        <v>2023</v>
      </c>
      <c r="B8">
        <v>7</v>
      </c>
      <c r="C8" s="4">
        <f>SUMIF(Daily_Totals!$E$2:$E$717,"=7",Daily_Totals!$C$2:$C$717)</f>
        <v>973467</v>
      </c>
      <c r="D8" s="5">
        <f t="shared" si="1"/>
        <v>0.31975304122893711</v>
      </c>
    </row>
    <row r="9" spans="1:7" x14ac:dyDescent="0.3">
      <c r="A9">
        <f t="shared" si="0"/>
        <v>2023</v>
      </c>
      <c r="B9">
        <v>8</v>
      </c>
      <c r="C9" s="4">
        <f>SUMIF(Daily_Totals!$E$2:$E$717,"=8",Daily_Totals!$C$2:$C$717)</f>
        <v>738487</v>
      </c>
      <c r="D9" s="5">
        <f t="shared" si="1"/>
        <v>-0.24138465916153296</v>
      </c>
    </row>
    <row r="10" spans="1:7" x14ac:dyDescent="0.3">
      <c r="A10">
        <f t="shared" si="0"/>
        <v>2023</v>
      </c>
      <c r="B10">
        <v>9</v>
      </c>
      <c r="C10" s="4">
        <f>SUMIF(Daily_Totals!$E$2:$E$717,"=9",Daily_Totals!$C$2:$C$717)</f>
        <v>803382</v>
      </c>
      <c r="D10" s="5">
        <f t="shared" si="1"/>
        <v>8.7875615955324879E-2</v>
      </c>
    </row>
    <row r="11" spans="1:7" x14ac:dyDescent="0.3">
      <c r="A11">
        <f t="shared" si="0"/>
        <v>2023</v>
      </c>
      <c r="B11">
        <v>10</v>
      </c>
      <c r="C11" s="4">
        <f>SUMIF(Daily_Totals!$E$2:$E$717,"=10",Daily_Totals!$C$2:$C$717)</f>
        <v>847117</v>
      </c>
      <c r="D11" s="5">
        <f t="shared" si="1"/>
        <v>5.4438610772957322E-2</v>
      </c>
    </row>
    <row r="12" spans="1:7" x14ac:dyDescent="0.3">
      <c r="A12">
        <f t="shared" si="0"/>
        <v>2023</v>
      </c>
      <c r="B12">
        <v>11</v>
      </c>
      <c r="C12" s="4">
        <f>SUMIF(Daily_Totals!$E$2:$E$717,"=11",Daily_Totals!$C$2:$C$717)</f>
        <v>928613</v>
      </c>
      <c r="D12" s="5">
        <f t="shared" si="1"/>
        <v>9.6203948214945517E-2</v>
      </c>
    </row>
    <row r="13" spans="1:7" x14ac:dyDescent="0.3">
      <c r="A13">
        <f t="shared" si="0"/>
        <v>2023</v>
      </c>
      <c r="B13">
        <v>12</v>
      </c>
      <c r="C13" s="4">
        <f>SUMIF(Daily_Totals!$E$2:$E$717,"=12",Daily_Totals!$C$2:$C$717)</f>
        <v>821865</v>
      </c>
      <c r="D13" s="5">
        <f t="shared" si="1"/>
        <v>-0.11495423820256663</v>
      </c>
    </row>
    <row r="14" spans="1:7" x14ac:dyDescent="0.3">
      <c r="A14">
        <f t="shared" si="0"/>
        <v>2024</v>
      </c>
      <c r="B14">
        <v>13</v>
      </c>
      <c r="C14" s="4">
        <f>SUMIF(Daily_Totals!$E$2:$E$717,"=13",Daily_Totals!$C$2:$C$717)</f>
        <v>1007750</v>
      </c>
      <c r="D14" s="5">
        <f t="shared" si="1"/>
        <v>0.22617461505235045</v>
      </c>
    </row>
    <row r="15" spans="1:7" x14ac:dyDescent="0.3">
      <c r="A15">
        <f t="shared" si="0"/>
        <v>2024</v>
      </c>
      <c r="B15">
        <v>14</v>
      </c>
      <c r="C15" s="4">
        <f>SUMIF(Daily_Totals!$E$2:$E$717,"=14",Daily_Totals!$C$2:$C$717)</f>
        <v>714609</v>
      </c>
      <c r="D15" s="5">
        <f t="shared" si="1"/>
        <v>-0.29088662862813197</v>
      </c>
    </row>
    <row r="16" spans="1:7" x14ac:dyDescent="0.3">
      <c r="A16">
        <f t="shared" si="0"/>
        <v>2024</v>
      </c>
      <c r="B16">
        <v>15</v>
      </c>
      <c r="C16" s="4">
        <f>SUMIF(Daily_Totals!$E$2:$E$717,"=15",Daily_Totals!$C$2:$C$717)</f>
        <v>925825</v>
      </c>
      <c r="D16" s="5">
        <f t="shared" si="1"/>
        <v>0.29556862564003533</v>
      </c>
    </row>
    <row r="17" spans="1:4" x14ac:dyDescent="0.3">
      <c r="A17">
        <f t="shared" si="0"/>
        <v>2024</v>
      </c>
      <c r="B17">
        <v>16</v>
      </c>
      <c r="C17" s="4">
        <f>SUMIF(Daily_Totals!$E$2:$E$717,"=16",Daily_Totals!$C$2:$C$717)</f>
        <v>833238</v>
      </c>
      <c r="D17" s="5">
        <f t="shared" si="1"/>
        <v>-0.10000486052979775</v>
      </c>
    </row>
    <row r="18" spans="1:4" x14ac:dyDescent="0.3">
      <c r="A18">
        <f t="shared" si="0"/>
        <v>2024</v>
      </c>
      <c r="B18">
        <v>17</v>
      </c>
      <c r="C18" s="4">
        <f>SUMIF(Daily_Totals!$E$2:$E$717,"=17",Daily_Totals!$C$2:$C$717)</f>
        <v>964404</v>
      </c>
      <c r="D18" s="5">
        <f t="shared" si="1"/>
        <v>0.15741720852865568</v>
      </c>
    </row>
    <row r="19" spans="1:4" x14ac:dyDescent="0.3">
      <c r="A19">
        <f t="shared" si="0"/>
        <v>2024</v>
      </c>
      <c r="B19">
        <v>18</v>
      </c>
      <c r="C19" s="4">
        <f>SUMIF(Daily_Totals!$E$2:$E$717,"=18",Daily_Totals!$C$2:$C$717)</f>
        <v>1066501</v>
      </c>
      <c r="D19" s="5">
        <f t="shared" si="1"/>
        <v>0.10586538421657314</v>
      </c>
    </row>
    <row r="20" spans="1:4" x14ac:dyDescent="0.3">
      <c r="A20">
        <f t="shared" si="0"/>
        <v>2024</v>
      </c>
      <c r="B20">
        <v>19</v>
      </c>
      <c r="C20" s="4">
        <f>SUMIF(Daily_Totals!$E$2:$E$717,"=19",Daily_Totals!$C$2:$C$717)</f>
        <v>776919</v>
      </c>
      <c r="D20" s="5">
        <f t="shared" si="1"/>
        <v>-0.27152529627257732</v>
      </c>
    </row>
    <row r="21" spans="1:4" x14ac:dyDescent="0.3">
      <c r="A21">
        <f t="shared" si="0"/>
        <v>2024</v>
      </c>
      <c r="B21">
        <v>20</v>
      </c>
      <c r="C21" s="4">
        <f>SUMIF(Daily_Totals!$E$2:$E$717,"=20",Daily_Totals!$C$2:$C$717)</f>
        <v>877469</v>
      </c>
      <c r="D21" s="5">
        <f t="shared" si="1"/>
        <v>0.12942147122158165</v>
      </c>
    </row>
    <row r="22" spans="1:4" x14ac:dyDescent="0.3">
      <c r="A22">
        <f t="shared" si="0"/>
        <v>2024</v>
      </c>
      <c r="B22">
        <v>21</v>
      </c>
      <c r="C22" s="4">
        <f>SUMIF(Daily_Totals!$E$2:$E$717,"=21",Daily_Totals!$C$2:$C$717)</f>
        <v>837994</v>
      </c>
      <c r="D22" s="5">
        <f t="shared" si="1"/>
        <v>-4.4987344282248147E-2</v>
      </c>
    </row>
    <row r="23" spans="1:4" x14ac:dyDescent="0.3">
      <c r="A23">
        <f t="shared" si="0"/>
        <v>2024</v>
      </c>
      <c r="B23">
        <v>22</v>
      </c>
      <c r="C23" s="4">
        <f>SUMIF(Daily_Totals!$E$2:$E$717,"=22",Daily_Totals!$C$2:$C$717)</f>
        <v>741980</v>
      </c>
      <c r="D23" s="5">
        <f t="shared" si="1"/>
        <v>-0.11457599935083067</v>
      </c>
    </row>
    <row r="24" spans="1:4" x14ac:dyDescent="0.3">
      <c r="A24">
        <f t="shared" si="0"/>
        <v>2024</v>
      </c>
      <c r="B24">
        <v>23</v>
      </c>
      <c r="C24" s="4">
        <f>SUMIF(Daily_Totals!$E$2:$E$717,"=23",Daily_Totals!$C$2:$C$717)</f>
        <v>839001</v>
      </c>
      <c r="D24" s="5">
        <f t="shared" si="1"/>
        <v>0.13075958920725625</v>
      </c>
    </row>
    <row r="25" spans="1:4" x14ac:dyDescent="0.3">
      <c r="A25">
        <f t="shared" si="0"/>
        <v>2024</v>
      </c>
      <c r="B25">
        <v>24</v>
      </c>
      <c r="C25" s="4">
        <f>SUMIF(Daily_Totals!$E$2:$E$717,"=24",Daily_Totals!$C$2:$C$717)</f>
        <v>762927</v>
      </c>
      <c r="D25" s="5">
        <f t="shared" si="1"/>
        <v>-9.0672120772204087E-2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D99B-0C88-4790-8850-18E7BD4D516A}">
  <dimension ref="A1:D3"/>
  <sheetViews>
    <sheetView workbookViewId="0">
      <selection activeCell="C2" sqref="C2"/>
    </sheetView>
  </sheetViews>
  <sheetFormatPr defaultRowHeight="14.4" x14ac:dyDescent="0.3"/>
  <cols>
    <col min="2" max="2" width="13.5546875" style="4" bestFit="1" customWidth="1"/>
    <col min="3" max="3" width="18.21875" style="15" bestFit="1" customWidth="1"/>
    <col min="4" max="4" width="18.21875" bestFit="1" customWidth="1"/>
  </cols>
  <sheetData>
    <row r="1" spans="1:4" x14ac:dyDescent="0.3">
      <c r="A1" t="s">
        <v>48</v>
      </c>
      <c r="B1" s="4" t="s">
        <v>51</v>
      </c>
      <c r="C1" s="15" t="s">
        <v>52</v>
      </c>
      <c r="D1" s="15" t="s">
        <v>53</v>
      </c>
    </row>
    <row r="2" spans="1:4" x14ac:dyDescent="0.3">
      <c r="A2">
        <v>2023</v>
      </c>
      <c r="B2" s="4">
        <f>SUM(Monthly_Growth!C2:C13)</f>
        <v>9983172</v>
      </c>
      <c r="C2" s="15">
        <f>($B$2-9504761)/9504761</f>
        <v>5.0333827436586778E-2</v>
      </c>
      <c r="D2" s="15">
        <v>0.03</v>
      </c>
    </row>
    <row r="3" spans="1:4" x14ac:dyDescent="0.3">
      <c r="A3">
        <v>2024</v>
      </c>
      <c r="B3" s="4">
        <f>SUM(Monthly_Growth!C13:C25)</f>
        <v>11170482</v>
      </c>
      <c r="C3" s="10">
        <f>($B$3-$B$2)/$B$2</f>
        <v>0.11893113731787852</v>
      </c>
      <c r="D3" s="15">
        <v>0.09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702809-53E3-4EC3-984B-91B5BEB4965F}">
  <dimension ref="A1:F31"/>
  <sheetViews>
    <sheetView tabSelected="1" topLeftCell="A5" workbookViewId="0">
      <selection activeCell="C11" sqref="C11"/>
    </sheetView>
  </sheetViews>
  <sheetFormatPr defaultRowHeight="14.4" x14ac:dyDescent="0.3"/>
  <cols>
    <col min="1" max="1" width="15.44140625" bestFit="1" customWidth="1"/>
    <col min="2" max="2" width="15.44140625" customWidth="1"/>
    <col min="3" max="3" width="19" bestFit="1" customWidth="1"/>
    <col min="4" max="4" width="16.5546875" bestFit="1" customWidth="1"/>
    <col min="6" max="6" width="12.44140625" bestFit="1" customWidth="1"/>
  </cols>
  <sheetData>
    <row r="1" spans="1:6" x14ac:dyDescent="0.3">
      <c r="A1" t="s">
        <v>47</v>
      </c>
      <c r="B1" t="s">
        <v>48</v>
      </c>
      <c r="C1" t="s">
        <v>54</v>
      </c>
    </row>
    <row r="2" spans="1:6" x14ac:dyDescent="0.3">
      <c r="A2" t="str" cm="1">
        <f t="array" ref="A2:A16">_xlfn.UNIQUE(Table1[Sales Person])</f>
        <v>Jehu Rudeforth</v>
      </c>
      <c r="B2">
        <v>2023</v>
      </c>
      <c r="C2" s="4">
        <f>SUMIF(Product_Sales!$A$2:$A$1356,A2,Product_Sales!$E$2:$E$1356)</f>
        <v>631195</v>
      </c>
      <c r="F2" s="4"/>
    </row>
    <row r="3" spans="1:6" x14ac:dyDescent="0.3">
      <c r="A3" t="str">
        <v>Karlen McCaffrey</v>
      </c>
      <c r="B3">
        <v>2023</v>
      </c>
      <c r="C3" s="4">
        <f>SUMIF(Product_Sales!$A$2:$A$1356,A3,Product_Sales!$E$2:$E$1356)</f>
        <v>762157</v>
      </c>
    </row>
    <row r="4" spans="1:6" x14ac:dyDescent="0.3">
      <c r="A4" t="str">
        <v>Mallorie Waber</v>
      </c>
      <c r="B4">
        <v>2023</v>
      </c>
      <c r="C4" s="4">
        <f>SUMIF(Product_Sales!$A$2:$A$1356,A4,Product_Sales!$E$2:$E$1356)</f>
        <v>725713</v>
      </c>
    </row>
    <row r="5" spans="1:6" x14ac:dyDescent="0.3">
      <c r="A5" t="str">
        <v>Gunar Cockshoot</v>
      </c>
      <c r="B5">
        <v>2023</v>
      </c>
      <c r="C5" s="4">
        <f>SUMIF(Product_Sales!$A$2:$A$1356,A5,Product_Sales!$E$2:$E$1356)</f>
        <v>747962</v>
      </c>
    </row>
    <row r="6" spans="1:6" x14ac:dyDescent="0.3">
      <c r="A6" t="str">
        <v>Brien Boise</v>
      </c>
      <c r="B6">
        <v>2023</v>
      </c>
      <c r="C6" s="4">
        <f>SUMIF(Product_Sales!$A$2:$A$1356,A6,Product_Sales!$E$2:$E$1356)</f>
        <v>727823</v>
      </c>
    </row>
    <row r="7" spans="1:6" x14ac:dyDescent="0.3">
      <c r="A7" t="str">
        <v>Beverie Moffet</v>
      </c>
      <c r="B7">
        <v>2023</v>
      </c>
      <c r="C7" s="4">
        <f>SUMIF(Product_Sales!$A$2:$A$1356,A7,Product_Sales!$E$2:$E$1356)</f>
        <v>706974</v>
      </c>
    </row>
    <row r="8" spans="1:6" x14ac:dyDescent="0.3">
      <c r="A8" t="str">
        <v>Roddy Speechley</v>
      </c>
      <c r="B8">
        <v>2023</v>
      </c>
      <c r="C8" s="4">
        <f>SUMIF(Product_Sales!$A$2:$A$1356,A8,Product_Sales!$E$2:$E$1356)</f>
        <v>649456</v>
      </c>
    </row>
    <row r="9" spans="1:6" x14ac:dyDescent="0.3">
      <c r="A9" t="str">
        <v>Jan Morforth</v>
      </c>
      <c r="B9">
        <v>2023</v>
      </c>
      <c r="C9" s="4">
        <f>SUMIF(Product_Sales!$A$2:$A$1356,A9,Product_Sales!$E$2:$E$1356)</f>
        <v>550835</v>
      </c>
    </row>
    <row r="10" spans="1:6" x14ac:dyDescent="0.3">
      <c r="A10" t="str">
        <v>Marney O'Breem</v>
      </c>
      <c r="B10">
        <v>2023</v>
      </c>
      <c r="C10" s="4">
        <f>SUMIF(Product_Sales!$A$2:$A$1356,A10,Product_Sales!$E$2:$E$1356)</f>
        <v>663333</v>
      </c>
    </row>
    <row r="11" spans="1:6" x14ac:dyDescent="0.3">
      <c r="A11" t="str">
        <v>Barr Faughny</v>
      </c>
      <c r="B11">
        <v>2023</v>
      </c>
      <c r="C11" s="4">
        <f>SUMIF(Product_Sales!$A$2:$A$1356,A11,Product_Sales!$E$2:$E$1356)</f>
        <v>496886</v>
      </c>
    </row>
    <row r="12" spans="1:6" x14ac:dyDescent="0.3">
      <c r="A12" t="str">
        <v>Rafaela Blaksland</v>
      </c>
      <c r="B12">
        <v>2023</v>
      </c>
      <c r="C12" s="4">
        <f>SUMIF(Product_Sales!$A$2:$A$1356,A12,Product_Sales!$E$2:$E$1356)</f>
        <v>656359</v>
      </c>
    </row>
    <row r="13" spans="1:6" x14ac:dyDescent="0.3">
      <c r="A13" t="str">
        <v>Van Tuxwell</v>
      </c>
      <c r="B13">
        <v>2023</v>
      </c>
      <c r="C13" s="4">
        <f>SUMIF(Product_Sales!$A$2:$A$1356,A13,Product_Sales!$E$2:$E$1356)</f>
        <v>621548</v>
      </c>
    </row>
    <row r="14" spans="1:6" x14ac:dyDescent="0.3">
      <c r="A14" t="str">
        <v>Oby Sorrel</v>
      </c>
      <c r="B14">
        <v>2023</v>
      </c>
      <c r="C14" s="4">
        <f>SUMIF(Product_Sales!$A$2:$A$1356,A14,Product_Sales!$E$2:$E$1356)</f>
        <v>675530</v>
      </c>
    </row>
    <row r="15" spans="1:6" x14ac:dyDescent="0.3">
      <c r="A15" t="str">
        <v>Curtice Advani</v>
      </c>
      <c r="B15">
        <v>2023</v>
      </c>
      <c r="C15" s="4">
        <f>SUMIF(Product_Sales!$A$2:$A$1356,A15,Product_Sales!$E$2:$E$1356)</f>
        <v>701242</v>
      </c>
    </row>
    <row r="16" spans="1:6" x14ac:dyDescent="0.3">
      <c r="A16" t="str">
        <v>Gigi Bohling</v>
      </c>
      <c r="B16">
        <v>2023</v>
      </c>
      <c r="C16" s="4">
        <f>SUMIF(Product_Sales!$A$2:$A$1356,A16,Product_Sales!$E$2:$E$1356)</f>
        <v>666159</v>
      </c>
    </row>
    <row r="17" spans="1:3" x14ac:dyDescent="0.3">
      <c r="A17" t="str" cm="1">
        <f t="array" ref="A17:A31">_xlfn.UNIQUE(Table1[Sales Person])</f>
        <v>Jehu Rudeforth</v>
      </c>
      <c r="B17">
        <v>2024</v>
      </c>
      <c r="C17" s="4">
        <f>SUMIF(Product_Sales!$A$1357:$A$2739,A2,Product_Sales!$E$1357:$E$2739)</f>
        <v>633956</v>
      </c>
    </row>
    <row r="18" spans="1:3" x14ac:dyDescent="0.3">
      <c r="A18" t="str">
        <v>Karlen McCaffrey</v>
      </c>
      <c r="B18">
        <v>2024</v>
      </c>
      <c r="C18" s="4">
        <f>SUMIF(Product_Sales!$A$1357:$A$2739,A3,Product_Sales!$E$1357:$E$2739)</f>
        <v>783907</v>
      </c>
    </row>
    <row r="19" spans="1:3" x14ac:dyDescent="0.3">
      <c r="A19" t="str">
        <v>Mallorie Waber</v>
      </c>
      <c r="B19">
        <v>2024</v>
      </c>
      <c r="C19" s="4">
        <f>SUMIF(Product_Sales!$A$1357:$A$2739,A4,Product_Sales!$E$1357:$E$2739)</f>
        <v>711816</v>
      </c>
    </row>
    <row r="20" spans="1:3" x14ac:dyDescent="0.3">
      <c r="A20" t="str">
        <v>Gunar Cockshoot</v>
      </c>
      <c r="B20">
        <v>2024</v>
      </c>
      <c r="C20" s="4">
        <f>SUMIF(Product_Sales!$A$1357:$A$2739,A5,Product_Sales!$E$1357:$E$2739)</f>
        <v>685380</v>
      </c>
    </row>
    <row r="21" spans="1:3" x14ac:dyDescent="0.3">
      <c r="A21" t="str">
        <v>Brien Boise</v>
      </c>
      <c r="B21">
        <v>2024</v>
      </c>
      <c r="C21" s="4">
        <f>SUMIF(Product_Sales!$A$1357:$A$2739,A6,Product_Sales!$E$1357:$E$2739)</f>
        <v>679421</v>
      </c>
    </row>
    <row r="22" spans="1:3" x14ac:dyDescent="0.3">
      <c r="A22" t="str">
        <v>Beverie Moffet</v>
      </c>
      <c r="B22">
        <v>2024</v>
      </c>
      <c r="C22" s="4">
        <f>SUMIF(Product_Sales!$A$1357:$A$2739,A7,Product_Sales!$E$1357:$E$2739)</f>
        <v>700142</v>
      </c>
    </row>
    <row r="23" spans="1:3" x14ac:dyDescent="0.3">
      <c r="A23" t="str">
        <v>Roddy Speechley</v>
      </c>
      <c r="B23">
        <v>2024</v>
      </c>
      <c r="C23" s="4">
        <f>SUMIF(Product_Sales!$A$1357:$A$2739,A8,Product_Sales!$E$1357:$E$2739)</f>
        <v>697444</v>
      </c>
    </row>
    <row r="24" spans="1:3" x14ac:dyDescent="0.3">
      <c r="A24" t="str">
        <v>Jan Morforth</v>
      </c>
      <c r="B24">
        <v>2024</v>
      </c>
      <c r="C24" s="4">
        <f>SUMIF(Product_Sales!$A$1357:$A$2739,A9,Product_Sales!$E$1357:$E$2739)</f>
        <v>699277</v>
      </c>
    </row>
    <row r="25" spans="1:3" x14ac:dyDescent="0.3">
      <c r="A25" t="str">
        <v>Marney O'Breem</v>
      </c>
      <c r="B25">
        <v>2024</v>
      </c>
      <c r="C25" s="4">
        <f>SUMIF(Product_Sales!$A$1357:$A$2739,A10,Product_Sales!$E$1357:$E$2739)</f>
        <v>749460</v>
      </c>
    </row>
    <row r="26" spans="1:3" x14ac:dyDescent="0.3">
      <c r="A26" t="str">
        <v>Barr Faughny</v>
      </c>
      <c r="B26">
        <v>2024</v>
      </c>
      <c r="C26" s="4">
        <f>SUMIF(Product_Sales!$A$1357:$A$2739,A11,Product_Sales!$E$1357:$E$2739)</f>
        <v>501360</v>
      </c>
    </row>
    <row r="27" spans="1:3" x14ac:dyDescent="0.3">
      <c r="A27" t="str">
        <v>Rafaela Blaksland</v>
      </c>
      <c r="B27">
        <v>2024</v>
      </c>
      <c r="C27" s="4">
        <f>SUMIF(Product_Sales!$A$1357:$A$2739,A12,Product_Sales!$E$1357:$E$2739)</f>
        <v>617202</v>
      </c>
    </row>
    <row r="28" spans="1:3" x14ac:dyDescent="0.3">
      <c r="A28" t="str">
        <v>Van Tuxwell</v>
      </c>
      <c r="B28">
        <v>2024</v>
      </c>
      <c r="C28" s="4">
        <f>SUMIF(Product_Sales!$A$1357:$A$2739,A13,Product_Sales!$E$1357:$E$2739)</f>
        <v>691917</v>
      </c>
    </row>
    <row r="29" spans="1:3" x14ac:dyDescent="0.3">
      <c r="A29" t="str">
        <v>Oby Sorrel</v>
      </c>
      <c r="B29">
        <v>2024</v>
      </c>
      <c r="C29" s="4">
        <f>SUMIF(Product_Sales!$A$1357:$A$2739,A14,Product_Sales!$E$1357:$E$2739)</f>
        <v>753085</v>
      </c>
    </row>
    <row r="30" spans="1:3" x14ac:dyDescent="0.3">
      <c r="A30" t="str">
        <v>Curtice Advani</v>
      </c>
      <c r="B30">
        <v>2024</v>
      </c>
      <c r="C30" s="4">
        <f>SUMIF(Product_Sales!$A$1357:$A$2739,A15,Product_Sales!$E$1357:$E$2739)</f>
        <v>780006</v>
      </c>
    </row>
    <row r="31" spans="1:3" x14ac:dyDescent="0.3">
      <c r="A31" t="str">
        <v>Gigi Bohling</v>
      </c>
      <c r="B31">
        <v>2024</v>
      </c>
      <c r="C31" s="4">
        <f>SUMIF(Product_Sales!$A$1357:$A$2739,A16,Product_Sales!$E$1357:$E$2739)</f>
        <v>664244</v>
      </c>
    </row>
  </sheetData>
  <autoFilter ref="A1:C31" xr:uid="{6D702809-53E3-4EC3-984B-91B5BEB4965F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21EF39-D720-43B0-A2ED-A7F84C59DAC7}">
  <dimension ref="A1:C3"/>
  <sheetViews>
    <sheetView workbookViewId="0">
      <selection activeCell="B3" sqref="B3"/>
    </sheetView>
  </sheetViews>
  <sheetFormatPr defaultRowHeight="14.4" x14ac:dyDescent="0.3"/>
  <cols>
    <col min="2" max="3" width="11" bestFit="1" customWidth="1"/>
  </cols>
  <sheetData>
    <row r="1" spans="1:3" x14ac:dyDescent="0.3">
      <c r="A1" t="s">
        <v>48</v>
      </c>
      <c r="B1" t="s">
        <v>50</v>
      </c>
      <c r="C1" t="s">
        <v>49</v>
      </c>
    </row>
    <row r="2" spans="1:3" x14ac:dyDescent="0.3">
      <c r="A2">
        <v>2023</v>
      </c>
      <c r="B2" s="4">
        <f>SUM(Sales_Per_Representative!C2:C16)/COUNTA(_xlfn.ANCHORARRAY(Sales_Per_Representative!$A$2))</f>
        <v>665544.80000000005</v>
      </c>
      <c r="C2" s="4">
        <v>650000</v>
      </c>
    </row>
    <row r="3" spans="1:3" x14ac:dyDescent="0.3">
      <c r="A3">
        <v>2024</v>
      </c>
      <c r="B3" s="4">
        <f>SUM(Sales_Per_Representative!C17:C31)/COUNTA(_xlfn.ANCHORARRAY(Sales_Per_Representative!$A$2))</f>
        <v>689907.8</v>
      </c>
      <c r="C3" s="4">
        <v>690000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FEB095-D110-42D4-AC17-29DEDDC5857E}">
  <dimension ref="A3:A20"/>
  <sheetViews>
    <sheetView workbookViewId="0">
      <selection activeCell="A4" sqref="A4"/>
    </sheetView>
  </sheetViews>
  <sheetFormatPr defaultRowHeight="14.4" x14ac:dyDescent="0.3"/>
  <cols>
    <col min="1" max="1" width="42.44140625" bestFit="1" customWidth="1"/>
    <col min="2" max="2" width="14.44140625" bestFit="1" customWidth="1"/>
  </cols>
  <sheetData>
    <row r="3" spans="1:1" x14ac:dyDescent="0.3">
      <c r="A3" s="7" t="s">
        <v>37</v>
      </c>
    </row>
    <row r="4" spans="1:1" x14ac:dyDescent="0.3">
      <c r="A4" s="8" t="s">
        <v>14</v>
      </c>
    </row>
    <row r="5" spans="1:1" x14ac:dyDescent="0.3">
      <c r="A5" s="9" t="s">
        <v>39</v>
      </c>
    </row>
    <row r="6" spans="1:1" x14ac:dyDescent="0.3">
      <c r="A6" s="8" t="s">
        <v>19</v>
      </c>
    </row>
    <row r="7" spans="1:1" x14ac:dyDescent="0.3">
      <c r="A7" s="9" t="s">
        <v>39</v>
      </c>
    </row>
    <row r="8" spans="1:1" x14ac:dyDescent="0.3">
      <c r="A8" s="8" t="s">
        <v>23</v>
      </c>
    </row>
    <row r="9" spans="1:1" x14ac:dyDescent="0.3">
      <c r="A9" s="9" t="s">
        <v>39</v>
      </c>
    </row>
    <row r="10" spans="1:1" x14ac:dyDescent="0.3">
      <c r="A10" s="8" t="s">
        <v>25</v>
      </c>
    </row>
    <row r="11" spans="1:1" x14ac:dyDescent="0.3">
      <c r="A11" s="9" t="s">
        <v>39</v>
      </c>
    </row>
    <row r="12" spans="1:1" x14ac:dyDescent="0.3">
      <c r="A12" s="8" t="s">
        <v>7</v>
      </c>
    </row>
    <row r="13" spans="1:1" x14ac:dyDescent="0.3">
      <c r="A13" s="9" t="s">
        <v>39</v>
      </c>
    </row>
    <row r="14" spans="1:1" x14ac:dyDescent="0.3">
      <c r="A14" s="8" t="s">
        <v>28</v>
      </c>
    </row>
    <row r="15" spans="1:1" x14ac:dyDescent="0.3">
      <c r="A15" s="9" t="s">
        <v>39</v>
      </c>
    </row>
    <row r="16" spans="1:1" x14ac:dyDescent="0.3">
      <c r="A16" s="8" t="s">
        <v>17</v>
      </c>
    </row>
    <row r="17" spans="1:1" x14ac:dyDescent="0.3">
      <c r="A17" s="9" t="s">
        <v>39</v>
      </c>
    </row>
    <row r="18" spans="1:1" x14ac:dyDescent="0.3">
      <c r="A18" s="8" t="s">
        <v>12</v>
      </c>
    </row>
    <row r="19" spans="1:1" x14ac:dyDescent="0.3">
      <c r="A19" s="9" t="s">
        <v>39</v>
      </c>
    </row>
    <row r="20" spans="1:1" x14ac:dyDescent="0.3">
      <c r="A20" s="8" t="s">
        <v>38</v>
      </c>
    </row>
  </sheetData>
  <pageMargins left="0.7" right="0.7" top="0.75" bottom="0.75" header="0.3" footer="0.3"/>
  <drawing r:id="rId2"/>
  <extLst>
    <ext xmlns:x15="http://schemas.microsoft.com/office/spreadsheetml/2010/11/main" uri="{7E03D99C-DC04-49d9-9315-930204A7B6E9}">
      <x15:timelineRefs>
        <x15:timelineRef r:id="rId3"/>
      </x15:timelineRef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MasterSheet</vt:lpstr>
      <vt:lpstr>Product_Sales</vt:lpstr>
      <vt:lpstr>Daily_Totals</vt:lpstr>
      <vt:lpstr>Monthly_Growth</vt:lpstr>
      <vt:lpstr>Yearly_Growth</vt:lpstr>
      <vt:lpstr>Sales_Per_Representative</vt:lpstr>
      <vt:lpstr>Sales_Per_Rep_Yearly_Goal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Dylan Butterfield 2025 (N1423084)</cp:lastModifiedBy>
  <dcterms:created xsi:type="dcterms:W3CDTF">2026-01-04T06:36:34Z</dcterms:created>
  <dcterms:modified xsi:type="dcterms:W3CDTF">2026-01-19T19:18:10Z</dcterms:modified>
</cp:coreProperties>
</file>