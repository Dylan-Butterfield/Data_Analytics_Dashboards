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tudent\Documents\Github\ISYS40251_Deriving-Value-Data-Analytics\HSEQ\"/>
    </mc:Choice>
  </mc:AlternateContent>
  <xr:revisionPtr revIDLastSave="0" documentId="13_ncr:1_{2FA12978-D355-41C0-BE56-BAE5084A10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ar_Miss_Log" sheetId="1" r:id="rId1"/>
    <sheet name="Areas_of_Near_Miss" sheetId="2" r:id="rId2"/>
    <sheet name="Near_Miss_Frequency" sheetId="3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B3" i="2"/>
  <c r="B4" i="2"/>
  <c r="B5" i="2"/>
  <c r="B6" i="2"/>
  <c r="B7" i="2"/>
  <c r="B8" i="2"/>
  <c r="B9" i="2"/>
  <c r="B10" i="2"/>
  <c r="B11" i="2"/>
  <c r="B12" i="2"/>
  <c r="B13" i="2"/>
  <c r="B14" i="2"/>
  <c r="B2" i="2"/>
  <c r="B7" i="4"/>
  <c r="B5" i="4"/>
  <c r="B3" i="4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C2" i="3" l="1"/>
  <c r="D2" i="3" s="1"/>
</calcChain>
</file>

<file path=xl/sharedStrings.xml><?xml version="1.0" encoding="utf-8"?>
<sst xmlns="http://schemas.openxmlformats.org/spreadsheetml/2006/main" count="106" uniqueCount="56">
  <si>
    <t>Date</t>
  </si>
  <si>
    <t>Employee</t>
  </si>
  <si>
    <t>Accident Area</t>
  </si>
  <si>
    <t>Note</t>
  </si>
  <si>
    <t>Conveyor Belt 1</t>
  </si>
  <si>
    <t>Conveyor Belt 2</t>
  </si>
  <si>
    <t>Loading bay 3</t>
  </si>
  <si>
    <t>Cold Storage 1</t>
  </si>
  <si>
    <t>Warehouse</t>
  </si>
  <si>
    <t>Loading bay 1</t>
  </si>
  <si>
    <t>Loading bay 2</t>
  </si>
  <si>
    <t>Cold Stoage 2</t>
  </si>
  <si>
    <t>Staircase</t>
  </si>
  <si>
    <t>Lobby</t>
  </si>
  <si>
    <t>Main Office</t>
  </si>
  <si>
    <t>Meeting Room 1</t>
  </si>
  <si>
    <t>Meeting Room 2</t>
  </si>
  <si>
    <t>Employee nearly trapped finger</t>
  </si>
  <si>
    <t>Employee slipped on spillage by conveyor belt</t>
  </si>
  <si>
    <t>Nearly stumbled off faulty ladder.</t>
  </si>
  <si>
    <t>Didn't fasten ladder before climbing during night shift.</t>
  </si>
  <si>
    <t>Didn't hear reversing forklift.</t>
  </si>
  <si>
    <t>Faulty door mechanism closed door and locked. Colleague was present and let them out.</t>
  </si>
  <si>
    <t>Areas</t>
  </si>
  <si>
    <t>Number of Near Misses</t>
  </si>
  <si>
    <t>Total Near Misses</t>
  </si>
  <si>
    <t>Actual</t>
  </si>
  <si>
    <t>Number of Employees</t>
  </si>
  <si>
    <t>Total Hours Worked</t>
  </si>
  <si>
    <t>Near Miss Frequency Rate per 1 Million Hours (Last 12 Months)</t>
  </si>
  <si>
    <t>YEAR</t>
  </si>
  <si>
    <t>Near Miss frequency</t>
  </si>
  <si>
    <t>2022</t>
  </si>
  <si>
    <t>2023</t>
  </si>
  <si>
    <t>2024</t>
  </si>
  <si>
    <t>2025</t>
  </si>
  <si>
    <t>Target (To improve by 35%)</t>
  </si>
  <si>
    <t>Day</t>
  </si>
  <si>
    <t>Month</t>
  </si>
  <si>
    <t>Year</t>
  </si>
  <si>
    <t>Andrea Robertson</t>
  </si>
  <si>
    <t>Sharon Williams</t>
  </si>
  <si>
    <t>Traci Park</t>
  </si>
  <si>
    <t>Michael Torres</t>
  </si>
  <si>
    <t>Kimberly Herrera</t>
  </si>
  <si>
    <t>Jenna Henry</t>
  </si>
  <si>
    <t>Danielle Adams</t>
  </si>
  <si>
    <t>Carolyn Collins</t>
  </si>
  <si>
    <t>Melissa Sheppard</t>
  </si>
  <si>
    <t>Rhonda Hamilton</t>
  </si>
  <si>
    <t>Scott Howard</t>
  </si>
  <si>
    <t>Anthony Ferguson</t>
  </si>
  <si>
    <t>Near Miss Frequency Rate</t>
  </si>
  <si>
    <t>Reduction Actual</t>
  </si>
  <si>
    <t>Reduction Target</t>
  </si>
  <si>
    <t>Total Number of Near Misses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</si>
</sst>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4" fontId="1" fillId="0" borderId="0" xfId="0" applyNumberFormat="1" applyFont="1"/>
    <xf numFmtId="2" fontId="0" fillId="0" borderId="0" xfId="0" applyNumberFormat="1"/>
    <xf numFmtId="0" fontId="0" fillId="0" borderId="0" xfId="0" applyNumberFormat="1"/>
    <xf numFmtId="0" fontId="1" fillId="0" borderId="0" xfId="0" applyNumberFormat="1" applyFont="1"/>
    <xf numFmtId="9" fontId="0" fillId="0" borderId="0" xfId="1" applyFont="1"/>
  </cellXfs>
  <cellStyles count="2">
    <cellStyle name="Normal" xfId="0" builtinId="0"/>
    <cellStyle name="Per cent" xfId="1" builtinId="5"/>
  </cellStyles>
  <dxfs count="11"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727ED-985B-4051-996A-C5D5A2DF4046}" name="Table1" displayName="Table1" ref="A1:G23" totalsRowShown="0" headerRowDxfId="10">
  <autoFilter ref="A1:G23" xr:uid="{E50727ED-985B-4051-996A-C5D5A2DF4046}"/>
  <tableColumns count="7">
    <tableColumn id="1" xr3:uid="{EB80D444-AA58-4DC8-A0AC-780EBB96A5A9}" name="Date" dataDxfId="9" totalsRowDxfId="4"/>
    <tableColumn id="7" xr3:uid="{0549D178-1722-4FF2-91E8-E47E575D47E9}" name="Day" dataDxfId="8" totalsRowDxfId="3">
      <calculatedColumnFormula>DAY(Table1[[#This Row],[Date]])</calculatedColumnFormula>
    </tableColumn>
    <tableColumn id="6" xr3:uid="{BB40F25E-4423-4A2F-82BD-D18A32D97BAF}" name="Month" dataDxfId="7" totalsRowDxfId="2">
      <calculatedColumnFormula>MONTH(Table1[[#This Row],[Date]])</calculatedColumnFormula>
    </tableColumn>
    <tableColumn id="5" xr3:uid="{7F13D8ED-5060-4D6A-BD45-94FCC91E31D8}" name="Year" dataDxfId="6" totalsRowDxfId="1">
      <calculatedColumnFormula>YEAR(Table1[[#This Row],[Date]])</calculatedColumnFormula>
    </tableColumn>
    <tableColumn id="2" xr3:uid="{6C17F3FA-B9AD-49E7-8C9F-A88C3216A6AD}" name="Employee"/>
    <tableColumn id="3" xr3:uid="{10BE5C26-22C7-4B2E-8C8B-5B12068CD62A}" name="Accident Area"/>
    <tableColumn id="4" xr3:uid="{DCD7E861-3926-4A60-8709-52238ACDFA4C}" name="Note" dataDxfId="5" totalsRow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897594-6040-489B-86C0-840E6F6071F6}" name="Table2" displayName="Table2" ref="A12:E13" totalsRowShown="0">
  <autoFilter ref="A12:E13" xr:uid="{99897594-6040-489B-86C0-840E6F6071F6}"/>
  <tableColumns count="5">
    <tableColumn id="1" xr3:uid="{4814B2FD-8749-49A1-AE63-9F6670EC7565}" name="YEAR"/>
    <tableColumn id="2" xr3:uid="{379F8A2B-8654-4550-9536-DDF55F203185}" name="2022"/>
    <tableColumn id="3" xr3:uid="{A9C5AEFE-2817-4BE1-8B82-DC819FA0BB09}" name="2023"/>
    <tableColumn id="4" xr3:uid="{6C5298B3-A2C5-4D9F-803A-FA868D66C816}" name="2024"/>
    <tableColumn id="5" xr3:uid="{7B4B351D-0324-413F-9845-1003160FDFD4}" name="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4" sqref="A24"/>
    </sheetView>
  </sheetViews>
  <sheetFormatPr defaultRowHeight="14.4" x14ac:dyDescent="0.3"/>
  <cols>
    <col min="1" max="3" width="12" customWidth="1"/>
    <col min="4" max="4" width="12" style="7" customWidth="1"/>
    <col min="5" max="5" width="24.5546875" customWidth="1"/>
    <col min="6" max="6" width="23.21875" customWidth="1"/>
    <col min="7" max="7" width="46.77734375" style="4" customWidth="1"/>
    <col min="13" max="13" width="54.6640625" bestFit="1" customWidth="1"/>
    <col min="14" max="14" width="23.44140625" customWidth="1"/>
  </cols>
  <sheetData>
    <row r="1" spans="1:14" x14ac:dyDescent="0.3">
      <c r="A1" s="2" t="s">
        <v>0</v>
      </c>
      <c r="B1" s="2" t="s">
        <v>37</v>
      </c>
      <c r="C1" s="2" t="s">
        <v>38</v>
      </c>
      <c r="D1" s="8" t="s">
        <v>39</v>
      </c>
      <c r="E1" s="2" t="s">
        <v>1</v>
      </c>
      <c r="F1" s="2" t="s">
        <v>2</v>
      </c>
      <c r="G1" s="3" t="s">
        <v>3</v>
      </c>
      <c r="M1" s="2"/>
      <c r="N1" s="2"/>
    </row>
    <row r="2" spans="1:14" ht="28.8" x14ac:dyDescent="0.3">
      <c r="A2" s="1">
        <v>45292</v>
      </c>
      <c r="B2" s="7">
        <f>DAY(Table1[[#This Row],[Date]])</f>
        <v>1</v>
      </c>
      <c r="C2" s="7">
        <f>MONTH(Table1[[#This Row],[Date]])</f>
        <v>1</v>
      </c>
      <c r="D2" s="7">
        <f>YEAR(Table1[[#This Row],[Date]])</f>
        <v>2024</v>
      </c>
      <c r="E2" t="s">
        <v>40</v>
      </c>
      <c r="F2" t="s">
        <v>4</v>
      </c>
      <c r="G2" s="4" t="s">
        <v>17</v>
      </c>
    </row>
    <row r="3" spans="1:14" ht="28.8" x14ac:dyDescent="0.3">
      <c r="A3" s="1">
        <v>45325</v>
      </c>
      <c r="B3" s="7">
        <f>DAY(Table1[[#This Row],[Date]])</f>
        <v>3</v>
      </c>
      <c r="C3" s="7">
        <f>MONTH(Table1[[#This Row],[Date]])</f>
        <v>2</v>
      </c>
      <c r="D3" s="7">
        <f>YEAR(Table1[[#This Row],[Date]])</f>
        <v>2024</v>
      </c>
      <c r="E3" t="s">
        <v>40</v>
      </c>
      <c r="F3" t="s">
        <v>5</v>
      </c>
      <c r="G3" s="4" t="s">
        <v>17</v>
      </c>
    </row>
    <row r="4" spans="1:14" ht="28.8" x14ac:dyDescent="0.3">
      <c r="A4" s="1">
        <v>45325</v>
      </c>
      <c r="B4" s="7">
        <f>DAY(Table1[[#This Row],[Date]])</f>
        <v>3</v>
      </c>
      <c r="C4" s="7">
        <f>MONTH(Table1[[#This Row],[Date]])</f>
        <v>2</v>
      </c>
      <c r="D4" s="7">
        <f>YEAR(Table1[[#This Row],[Date]])</f>
        <v>2024</v>
      </c>
      <c r="E4" t="s">
        <v>41</v>
      </c>
      <c r="F4" t="s">
        <v>6</v>
      </c>
      <c r="G4" s="4" t="s">
        <v>21</v>
      </c>
    </row>
    <row r="5" spans="1:14" ht="28.8" x14ac:dyDescent="0.3">
      <c r="A5" s="1">
        <v>45356</v>
      </c>
      <c r="B5" s="7">
        <f>DAY(Table1[[#This Row],[Date]])</f>
        <v>5</v>
      </c>
      <c r="C5" s="7">
        <f>MONTH(Table1[[#This Row],[Date]])</f>
        <v>3</v>
      </c>
      <c r="D5" s="7">
        <f>YEAR(Table1[[#This Row],[Date]])</f>
        <v>2024</v>
      </c>
      <c r="E5" t="s">
        <v>42</v>
      </c>
      <c r="F5" t="s">
        <v>6</v>
      </c>
      <c r="G5" s="4" t="s">
        <v>21</v>
      </c>
    </row>
    <row r="6" spans="1:14" ht="28.8" x14ac:dyDescent="0.3">
      <c r="A6" s="1">
        <v>45387</v>
      </c>
      <c r="B6" s="7">
        <f>DAY(Table1[[#This Row],[Date]])</f>
        <v>5</v>
      </c>
      <c r="C6" s="7">
        <f>MONTH(Table1[[#This Row],[Date]])</f>
        <v>4</v>
      </c>
      <c r="D6" s="7">
        <f>YEAR(Table1[[#This Row],[Date]])</f>
        <v>2024</v>
      </c>
      <c r="E6" t="s">
        <v>46</v>
      </c>
      <c r="F6" t="s">
        <v>7</v>
      </c>
      <c r="G6" s="4" t="s">
        <v>22</v>
      </c>
    </row>
    <row r="7" spans="1:14" x14ac:dyDescent="0.3">
      <c r="A7" s="1">
        <v>45449</v>
      </c>
      <c r="B7" s="7">
        <f>DAY(Table1[[#This Row],[Date]])</f>
        <v>6</v>
      </c>
      <c r="C7" s="7">
        <f>MONTH(Table1[[#This Row],[Date]])</f>
        <v>6</v>
      </c>
      <c r="D7" s="7">
        <f>YEAR(Table1[[#This Row],[Date]])</f>
        <v>2024</v>
      </c>
      <c r="E7" t="s">
        <v>50</v>
      </c>
      <c r="F7" t="s">
        <v>7</v>
      </c>
      <c r="G7" s="4" t="s">
        <v>22</v>
      </c>
    </row>
    <row r="8" spans="1:14" x14ac:dyDescent="0.3">
      <c r="A8" s="1">
        <v>45450</v>
      </c>
      <c r="B8" s="7">
        <f>DAY(Table1[[#This Row],[Date]])</f>
        <v>7</v>
      </c>
      <c r="C8" s="7">
        <f>MONTH(Table1[[#This Row],[Date]])</f>
        <v>6</v>
      </c>
      <c r="D8" s="7">
        <f>YEAR(Table1[[#This Row],[Date]])</f>
        <v>2024</v>
      </c>
      <c r="E8" t="s">
        <v>44</v>
      </c>
      <c r="F8" t="s">
        <v>4</v>
      </c>
      <c r="G8" s="4" t="s">
        <v>17</v>
      </c>
    </row>
    <row r="9" spans="1:14" x14ac:dyDescent="0.3">
      <c r="A9" s="1">
        <v>45451</v>
      </c>
      <c r="B9" s="7">
        <f>DAY(Table1[[#This Row],[Date]])</f>
        <v>8</v>
      </c>
      <c r="C9" s="7">
        <f>MONTH(Table1[[#This Row],[Date]])</f>
        <v>6</v>
      </c>
      <c r="D9" s="7">
        <f>YEAR(Table1[[#This Row],[Date]])</f>
        <v>2024</v>
      </c>
      <c r="E9" t="s">
        <v>51</v>
      </c>
      <c r="F9" t="s">
        <v>4</v>
      </c>
      <c r="G9" s="4" t="s">
        <v>18</v>
      </c>
    </row>
    <row r="10" spans="1:14" x14ac:dyDescent="0.3">
      <c r="A10" s="1">
        <v>45483</v>
      </c>
      <c r="B10" s="7">
        <f>DAY(Table1[[#This Row],[Date]])</f>
        <v>10</v>
      </c>
      <c r="C10" s="7">
        <f>MONTH(Table1[[#This Row],[Date]])</f>
        <v>7</v>
      </c>
      <c r="D10" s="7">
        <f>YEAR(Table1[[#This Row],[Date]])</f>
        <v>2024</v>
      </c>
      <c r="E10" t="s">
        <v>41</v>
      </c>
      <c r="F10" t="s">
        <v>8</v>
      </c>
      <c r="G10" s="4" t="s">
        <v>19</v>
      </c>
    </row>
    <row r="11" spans="1:14" x14ac:dyDescent="0.3">
      <c r="A11" s="1">
        <v>45519</v>
      </c>
      <c r="B11" s="7">
        <f>DAY(Table1[[#This Row],[Date]])</f>
        <v>15</v>
      </c>
      <c r="C11" s="7">
        <f>MONTH(Table1[[#This Row],[Date]])</f>
        <v>8</v>
      </c>
      <c r="D11" s="7">
        <f>YEAR(Table1[[#This Row],[Date]])</f>
        <v>2024</v>
      </c>
      <c r="E11" t="s">
        <v>48</v>
      </c>
      <c r="F11" t="s">
        <v>8</v>
      </c>
      <c r="G11" s="4" t="s">
        <v>19</v>
      </c>
    </row>
    <row r="12" spans="1:14" x14ac:dyDescent="0.3">
      <c r="A12" s="1">
        <v>45546</v>
      </c>
      <c r="B12" s="7">
        <f>DAY(Table1[[#This Row],[Date]])</f>
        <v>11</v>
      </c>
      <c r="C12" s="7">
        <f>MONTH(Table1[[#This Row],[Date]])</f>
        <v>9</v>
      </c>
      <c r="D12" s="7">
        <f>YEAR(Table1[[#This Row],[Date]])</f>
        <v>2024</v>
      </c>
      <c r="E12" t="s">
        <v>41</v>
      </c>
      <c r="F12" t="s">
        <v>6</v>
      </c>
      <c r="G12" s="4" t="s">
        <v>21</v>
      </c>
    </row>
    <row r="13" spans="1:14" x14ac:dyDescent="0.3">
      <c r="A13" s="1">
        <v>45547</v>
      </c>
      <c r="B13" s="7">
        <f>DAY(Table1[[#This Row],[Date]])</f>
        <v>12</v>
      </c>
      <c r="C13" s="7">
        <f>MONTH(Table1[[#This Row],[Date]])</f>
        <v>9</v>
      </c>
      <c r="D13" s="7">
        <f>YEAR(Table1[[#This Row],[Date]])</f>
        <v>2024</v>
      </c>
      <c r="E13" t="s">
        <v>43</v>
      </c>
      <c r="F13" t="s">
        <v>6</v>
      </c>
      <c r="G13" s="4" t="s">
        <v>21</v>
      </c>
    </row>
    <row r="14" spans="1:14" x14ac:dyDescent="0.3">
      <c r="A14" s="1">
        <v>45555</v>
      </c>
      <c r="B14" s="7">
        <f>DAY(Table1[[#This Row],[Date]])</f>
        <v>20</v>
      </c>
      <c r="C14" s="7">
        <f>MONTH(Table1[[#This Row],[Date]])</f>
        <v>9</v>
      </c>
      <c r="D14" s="7">
        <f>YEAR(Table1[[#This Row],[Date]])</f>
        <v>2024</v>
      </c>
      <c r="E14" t="s">
        <v>47</v>
      </c>
      <c r="F14" t="s">
        <v>6</v>
      </c>
      <c r="G14" s="4" t="s">
        <v>21</v>
      </c>
    </row>
    <row r="15" spans="1:14" x14ac:dyDescent="0.3">
      <c r="A15" s="1">
        <v>45579</v>
      </c>
      <c r="B15" s="7">
        <f>DAY(Table1[[#This Row],[Date]])</f>
        <v>14</v>
      </c>
      <c r="C15" s="7">
        <f>MONTH(Table1[[#This Row],[Date]])</f>
        <v>10</v>
      </c>
      <c r="D15" s="7">
        <f>YEAR(Table1[[#This Row],[Date]])</f>
        <v>2024</v>
      </c>
      <c r="E15" t="s">
        <v>40</v>
      </c>
      <c r="F15" t="s">
        <v>8</v>
      </c>
      <c r="G15" s="4" t="s">
        <v>20</v>
      </c>
    </row>
    <row r="16" spans="1:14" x14ac:dyDescent="0.3">
      <c r="A16" s="1">
        <v>45580</v>
      </c>
      <c r="B16" s="7">
        <f>DAY(Table1[[#This Row],[Date]])</f>
        <v>15</v>
      </c>
      <c r="C16" s="7">
        <f>MONTH(Table1[[#This Row],[Date]])</f>
        <v>10</v>
      </c>
      <c r="D16" s="7">
        <f>YEAR(Table1[[#This Row],[Date]])</f>
        <v>2024</v>
      </c>
      <c r="E16" t="s">
        <v>43</v>
      </c>
      <c r="F16" t="s">
        <v>8</v>
      </c>
      <c r="G16" s="4" t="s">
        <v>19</v>
      </c>
    </row>
    <row r="17" spans="1:7" x14ac:dyDescent="0.3">
      <c r="A17" s="1">
        <v>45585</v>
      </c>
      <c r="B17" s="7">
        <f>DAY(Table1[[#This Row],[Date]])</f>
        <v>20</v>
      </c>
      <c r="C17" s="7">
        <f>MONTH(Table1[[#This Row],[Date]])</f>
        <v>10</v>
      </c>
      <c r="D17" s="7">
        <f>YEAR(Table1[[#This Row],[Date]])</f>
        <v>2024</v>
      </c>
      <c r="E17" t="s">
        <v>41</v>
      </c>
      <c r="F17" t="s">
        <v>8</v>
      </c>
      <c r="G17" s="4" t="s">
        <v>20</v>
      </c>
    </row>
    <row r="18" spans="1:7" x14ac:dyDescent="0.3">
      <c r="A18" s="1">
        <v>45596</v>
      </c>
      <c r="B18" s="7">
        <f>DAY(Table1[[#This Row],[Date]])</f>
        <v>31</v>
      </c>
      <c r="C18" s="7">
        <f>MONTH(Table1[[#This Row],[Date]])</f>
        <v>10</v>
      </c>
      <c r="D18" s="7">
        <f>YEAR(Table1[[#This Row],[Date]])</f>
        <v>2024</v>
      </c>
      <c r="E18" t="s">
        <v>41</v>
      </c>
      <c r="F18" t="s">
        <v>8</v>
      </c>
      <c r="G18" s="4" t="s">
        <v>20</v>
      </c>
    </row>
    <row r="19" spans="1:7" x14ac:dyDescent="0.3">
      <c r="A19" s="1">
        <v>45597</v>
      </c>
      <c r="B19" s="7">
        <f>DAY(Table1[[#This Row],[Date]])</f>
        <v>1</v>
      </c>
      <c r="C19" s="7">
        <f>MONTH(Table1[[#This Row],[Date]])</f>
        <v>11</v>
      </c>
      <c r="D19" s="7">
        <f>YEAR(Table1[[#This Row],[Date]])</f>
        <v>2024</v>
      </c>
      <c r="E19" t="s">
        <v>48</v>
      </c>
      <c r="F19" t="s">
        <v>6</v>
      </c>
      <c r="G19" s="4" t="s">
        <v>21</v>
      </c>
    </row>
    <row r="20" spans="1:7" x14ac:dyDescent="0.3">
      <c r="A20" s="1">
        <v>45615</v>
      </c>
      <c r="B20" s="7">
        <f>DAY(Table1[[#This Row],[Date]])</f>
        <v>19</v>
      </c>
      <c r="C20" s="7">
        <f>MONTH(Table1[[#This Row],[Date]])</f>
        <v>11</v>
      </c>
      <c r="D20" s="7">
        <f>YEAR(Table1[[#This Row],[Date]])</f>
        <v>2024</v>
      </c>
      <c r="E20" t="s">
        <v>49</v>
      </c>
      <c r="F20" t="s">
        <v>6</v>
      </c>
      <c r="G20" s="4" t="s">
        <v>21</v>
      </c>
    </row>
    <row r="21" spans="1:7" x14ac:dyDescent="0.3">
      <c r="A21" s="1">
        <v>45646</v>
      </c>
      <c r="B21" s="7">
        <f>DAY(Table1[[#This Row],[Date]])</f>
        <v>20</v>
      </c>
      <c r="C21" s="7">
        <f>MONTH(Table1[[#This Row],[Date]])</f>
        <v>12</v>
      </c>
      <c r="D21" s="7">
        <f>YEAR(Table1[[#This Row],[Date]])</f>
        <v>2024</v>
      </c>
      <c r="E21" t="s">
        <v>51</v>
      </c>
      <c r="F21" t="s">
        <v>7</v>
      </c>
      <c r="G21" s="4" t="s">
        <v>22</v>
      </c>
    </row>
    <row r="22" spans="1:7" x14ac:dyDescent="0.3">
      <c r="A22" s="1">
        <v>45647</v>
      </c>
      <c r="B22" s="7">
        <f>DAY(Table1[[#This Row],[Date]])</f>
        <v>21</v>
      </c>
      <c r="C22" s="7">
        <f>MONTH(Table1[[#This Row],[Date]])</f>
        <v>12</v>
      </c>
      <c r="D22" s="7">
        <f>YEAR(Table1[[#This Row],[Date]])</f>
        <v>2024</v>
      </c>
      <c r="E22" t="s">
        <v>45</v>
      </c>
      <c r="F22" t="s">
        <v>7</v>
      </c>
      <c r="G22" s="4" t="s">
        <v>22</v>
      </c>
    </row>
    <row r="23" spans="1:7" x14ac:dyDescent="0.3">
      <c r="A23" s="1">
        <v>45648</v>
      </c>
      <c r="B23" s="7">
        <f>DAY(Table1[[#This Row],[Date]])</f>
        <v>22</v>
      </c>
      <c r="C23" s="7">
        <f>MONTH(Table1[[#This Row],[Date]])</f>
        <v>12</v>
      </c>
      <c r="D23" s="7">
        <f>YEAR(Table1[[#This Row],[Date]])</f>
        <v>2024</v>
      </c>
      <c r="E23" t="s">
        <v>42</v>
      </c>
      <c r="F23" t="s">
        <v>7</v>
      </c>
      <c r="G23" s="4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A99DA-E27C-4A03-B327-7ED6B0832492}">
  <dimension ref="A1:B14"/>
  <sheetViews>
    <sheetView workbookViewId="0">
      <selection activeCell="B15" sqref="B15"/>
    </sheetView>
  </sheetViews>
  <sheetFormatPr defaultRowHeight="14.4" x14ac:dyDescent="0.3"/>
  <cols>
    <col min="1" max="1" width="22" customWidth="1"/>
    <col min="2" max="2" width="20.77734375" bestFit="1" customWidth="1"/>
  </cols>
  <sheetData>
    <row r="1" spans="1:2" x14ac:dyDescent="0.3">
      <c r="A1" s="2" t="s">
        <v>23</v>
      </c>
      <c r="B1" s="2" t="s">
        <v>24</v>
      </c>
    </row>
    <row r="2" spans="1:2" x14ac:dyDescent="0.3">
      <c r="A2" t="s">
        <v>4</v>
      </c>
      <c r="B2">
        <f>COUNTIF(Table1[Accident Area],A2)</f>
        <v>3</v>
      </c>
    </row>
    <row r="3" spans="1:2" x14ac:dyDescent="0.3">
      <c r="A3" t="s">
        <v>5</v>
      </c>
      <c r="B3">
        <f>COUNTIF(Table1[Accident Area],A3)</f>
        <v>1</v>
      </c>
    </row>
    <row r="4" spans="1:2" x14ac:dyDescent="0.3">
      <c r="A4" t="s">
        <v>9</v>
      </c>
      <c r="B4">
        <f>COUNTIF(Table1[Accident Area],A4)</f>
        <v>0</v>
      </c>
    </row>
    <row r="5" spans="1:2" x14ac:dyDescent="0.3">
      <c r="A5" t="s">
        <v>10</v>
      </c>
      <c r="B5">
        <f>COUNTIF(Table1[Accident Area],A5)</f>
        <v>0</v>
      </c>
    </row>
    <row r="6" spans="1:2" x14ac:dyDescent="0.3">
      <c r="A6" t="s">
        <v>6</v>
      </c>
      <c r="B6">
        <f>COUNTIF(Table1[Accident Area],A6)</f>
        <v>7</v>
      </c>
    </row>
    <row r="7" spans="1:2" x14ac:dyDescent="0.3">
      <c r="A7" t="s">
        <v>7</v>
      </c>
      <c r="B7">
        <f>COUNTIF(Table1[Accident Area],A7)</f>
        <v>5</v>
      </c>
    </row>
    <row r="8" spans="1:2" x14ac:dyDescent="0.3">
      <c r="A8" t="s">
        <v>11</v>
      </c>
      <c r="B8">
        <f>COUNTIF(Table1[Accident Area],A8)</f>
        <v>0</v>
      </c>
    </row>
    <row r="9" spans="1:2" x14ac:dyDescent="0.3">
      <c r="A9" t="s">
        <v>8</v>
      </c>
      <c r="B9">
        <f>COUNTIF(Table1[Accident Area],A9)</f>
        <v>6</v>
      </c>
    </row>
    <row r="10" spans="1:2" x14ac:dyDescent="0.3">
      <c r="A10" t="s">
        <v>12</v>
      </c>
      <c r="B10">
        <f>COUNTIF(Table1[Accident Area],A10)</f>
        <v>0</v>
      </c>
    </row>
    <row r="11" spans="1:2" x14ac:dyDescent="0.3">
      <c r="A11" t="s">
        <v>13</v>
      </c>
      <c r="B11">
        <f>COUNTIF(Table1[Accident Area],A11)</f>
        <v>0</v>
      </c>
    </row>
    <row r="12" spans="1:2" x14ac:dyDescent="0.3">
      <c r="A12" t="s">
        <v>14</v>
      </c>
      <c r="B12">
        <f>COUNTIF(Table1[Accident Area],A12)</f>
        <v>0</v>
      </c>
    </row>
    <row r="13" spans="1:2" x14ac:dyDescent="0.3">
      <c r="A13" t="s">
        <v>15</v>
      </c>
      <c r="B13">
        <f>COUNTIF(Table1[Accident Area],A13)</f>
        <v>0</v>
      </c>
    </row>
    <row r="14" spans="1:2" x14ac:dyDescent="0.3">
      <c r="A14" t="s">
        <v>16</v>
      </c>
      <c r="B14">
        <f>COUNTIF(Table1[Accident Area],A14)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387D1-69BA-4EF1-B4DF-2C778241EC7D}">
  <dimension ref="A1:F2"/>
  <sheetViews>
    <sheetView workbookViewId="0">
      <selection activeCell="E2" sqref="E2"/>
    </sheetView>
  </sheetViews>
  <sheetFormatPr defaultRowHeight="14.4" x14ac:dyDescent="0.3"/>
  <cols>
    <col min="1" max="1" width="14" customWidth="1"/>
    <col min="2" max="2" width="17.88671875" bestFit="1" customWidth="1"/>
    <col min="3" max="3" width="25.6640625" bestFit="1" customWidth="1"/>
    <col min="4" max="4" width="22.44140625" bestFit="1" customWidth="1"/>
    <col min="5" max="6" width="15.44140625" bestFit="1" customWidth="1"/>
  </cols>
  <sheetData>
    <row r="1" spans="1:6" x14ac:dyDescent="0.3">
      <c r="A1" s="2" t="s">
        <v>39</v>
      </c>
      <c r="B1" s="2" t="s">
        <v>28</v>
      </c>
      <c r="C1" s="2" t="s">
        <v>55</v>
      </c>
      <c r="D1" s="2" t="s">
        <v>52</v>
      </c>
      <c r="E1" s="2" t="s">
        <v>53</v>
      </c>
      <c r="F1" s="2" t="s">
        <v>54</v>
      </c>
    </row>
    <row r="2" spans="1:6" x14ac:dyDescent="0.3">
      <c r="A2">
        <v>2024</v>
      </c>
      <c r="B2">
        <v>328500</v>
      </c>
      <c r="C2">
        <f>SUM(Areas_of_Near_Miss!B2:B14)</f>
        <v>22</v>
      </c>
      <c r="D2" s="6">
        <f>(C2/B2)*1000000</f>
        <v>66.971080669710815</v>
      </c>
      <c r="E2" s="9">
        <f>-(D2-85.65)/85.65</f>
        <v>0.218084288736593</v>
      </c>
      <c r="F2" s="9">
        <v>0.35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3978-E8BA-4763-884D-9D0FD8097C96}">
  <dimension ref="A1:E13"/>
  <sheetViews>
    <sheetView workbookViewId="0">
      <selection activeCell="B3" sqref="B3"/>
    </sheetView>
  </sheetViews>
  <sheetFormatPr defaultRowHeight="14.4" x14ac:dyDescent="0.3"/>
  <cols>
    <col min="1" max="1" width="54.6640625" bestFit="1" customWidth="1"/>
    <col min="2" max="2" width="7.21875" bestFit="1" customWidth="1"/>
  </cols>
  <sheetData>
    <row r="1" spans="1:5" x14ac:dyDescent="0.3">
      <c r="A1" s="5" t="s">
        <v>25</v>
      </c>
    </row>
    <row r="2" spans="1:5" x14ac:dyDescent="0.3">
      <c r="A2" t="s">
        <v>26</v>
      </c>
      <c r="B2">
        <v>22</v>
      </c>
    </row>
    <row r="3" spans="1:5" x14ac:dyDescent="0.3">
      <c r="B3">
        <f>COUNT(Table1[Date])</f>
        <v>22</v>
      </c>
    </row>
    <row r="4" spans="1:5" x14ac:dyDescent="0.3">
      <c r="A4" s="2" t="s">
        <v>27</v>
      </c>
      <c r="B4">
        <v>150</v>
      </c>
    </row>
    <row r="5" spans="1:5" x14ac:dyDescent="0.3">
      <c r="A5" s="2" t="s">
        <v>28</v>
      </c>
      <c r="B5">
        <f>(365/2)*12*B4</f>
        <v>328500</v>
      </c>
    </row>
    <row r="6" spans="1:5" x14ac:dyDescent="0.3">
      <c r="A6" s="2" t="s">
        <v>29</v>
      </c>
    </row>
    <row r="7" spans="1:5" x14ac:dyDescent="0.3">
      <c r="A7" s="2" t="s">
        <v>36</v>
      </c>
      <c r="B7" s="6" t="e">
        <f>#REF!*0.75</f>
        <v>#REF!</v>
      </c>
    </row>
    <row r="12" spans="1:5" x14ac:dyDescent="0.3">
      <c r="A12" t="s">
        <v>30</v>
      </c>
      <c r="B12" t="s">
        <v>32</v>
      </c>
      <c r="C12" t="s">
        <v>33</v>
      </c>
      <c r="D12" t="s">
        <v>34</v>
      </c>
      <c r="E12" t="s">
        <v>35</v>
      </c>
    </row>
    <row r="13" spans="1:5" x14ac:dyDescent="0.3">
      <c r="A13" t="s">
        <v>31</v>
      </c>
      <c r="B13">
        <v>69</v>
      </c>
      <c r="C13">
        <v>70</v>
      </c>
      <c r="D13">
        <v>66.97</v>
      </c>
      <c r="E13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Near_Miss_Log</vt:lpstr>
      <vt:lpstr>Areas_of_Near_Miss</vt:lpstr>
      <vt:lpstr>Near_Miss_Frequency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Butterfield</dc:creator>
  <cp:lastModifiedBy>Dylan Butterfield 2025 (N1423084)</cp:lastModifiedBy>
  <dcterms:created xsi:type="dcterms:W3CDTF">2015-06-05T18:17:20Z</dcterms:created>
  <dcterms:modified xsi:type="dcterms:W3CDTF">2026-01-21T16:10:51Z</dcterms:modified>
</cp:coreProperties>
</file>