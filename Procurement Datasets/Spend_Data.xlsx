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tudent\Documents\Github\ISYS40251_Deriving-Value-Data-Analytics\Procurement\"/>
    </mc:Choice>
  </mc:AlternateContent>
  <xr:revisionPtr revIDLastSave="0" documentId="13_ncr:1_{9840849D-DE5D-4DEB-874F-BBCEFB96A0D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pend_Data" sheetId="1" r:id="rId1"/>
  </sheets>
  <definedNames>
    <definedName name="_xlnm._FilterDatabase" localSheetId="0" hidden="1">Spend_Data!$A$1:$I$2739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077" i="1" l="1"/>
  <c r="I1666" i="1"/>
  <c r="I1659" i="1"/>
  <c r="I1655" i="1"/>
  <c r="I1654" i="1"/>
  <c r="I1638" i="1"/>
  <c r="I1630" i="1"/>
  <c r="I1623" i="1"/>
  <c r="I1617" i="1"/>
  <c r="I1615" i="1"/>
  <c r="I1611" i="1"/>
  <c r="I1610" i="1"/>
  <c r="I1598" i="1"/>
  <c r="I1580" i="1"/>
  <c r="I1556" i="1"/>
  <c r="I1551" i="1"/>
  <c r="I1548" i="1"/>
  <c r="I1530" i="1"/>
  <c r="I1529" i="1"/>
  <c r="I1527" i="1"/>
  <c r="I1524" i="1"/>
  <c r="I1514" i="1"/>
  <c r="I1500" i="1"/>
  <c r="I1492" i="1"/>
  <c r="I1483" i="1"/>
  <c r="I1480" i="1"/>
  <c r="I1458" i="1"/>
  <c r="I1451" i="1"/>
  <c r="I1445" i="1"/>
  <c r="I1442" i="1"/>
  <c r="I1431" i="1"/>
  <c r="I1427" i="1"/>
  <c r="I1415" i="1"/>
  <c r="I1411" i="1"/>
  <c r="I1409" i="1"/>
  <c r="I1404" i="1"/>
  <c r="I1395" i="1"/>
  <c r="I1392" i="1"/>
  <c r="I1383" i="1"/>
  <c r="I1370" i="1"/>
  <c r="I1368" i="1"/>
  <c r="I1355" i="1"/>
  <c r="I2489" i="1"/>
  <c r="I2463" i="1"/>
  <c r="I2462" i="1"/>
  <c r="I2461" i="1"/>
  <c r="I2454" i="1"/>
  <c r="I2453" i="1"/>
  <c r="I2445" i="1"/>
  <c r="I2444" i="1"/>
  <c r="I2440" i="1"/>
  <c r="I2436" i="1"/>
  <c r="I2432" i="1"/>
  <c r="I2431" i="1"/>
  <c r="I2426" i="1"/>
  <c r="I2425" i="1"/>
  <c r="I2423" i="1"/>
  <c r="I2419" i="1"/>
  <c r="I2416" i="1"/>
  <c r="I2415" i="1"/>
  <c r="I2413" i="1"/>
  <c r="I2398" i="1"/>
  <c r="I2392" i="1"/>
  <c r="I2385" i="1"/>
  <c r="I2380" i="1"/>
  <c r="I2376" i="1"/>
  <c r="I2372" i="1"/>
  <c r="I2366" i="1"/>
  <c r="I2358" i="1"/>
  <c r="I2357" i="1"/>
  <c r="I2352" i="1"/>
  <c r="I2349" i="1"/>
  <c r="I2345" i="1"/>
  <c r="I2344" i="1"/>
  <c r="I2341" i="1"/>
  <c r="I2339" i="1"/>
  <c r="I2336" i="1"/>
  <c r="I2335" i="1"/>
  <c r="I2325" i="1"/>
  <c r="I2324" i="1"/>
  <c r="I2309" i="1"/>
  <c r="I2304" i="1"/>
  <c r="I2303" i="1"/>
  <c r="I2302" i="1"/>
  <c r="I2298" i="1"/>
  <c r="I2295" i="1"/>
  <c r="I2287" i="1"/>
  <c r="I2275" i="1"/>
  <c r="I2266" i="1"/>
  <c r="I2261" i="1"/>
  <c r="I2260" i="1"/>
  <c r="I2256" i="1"/>
  <c r="I2255" i="1"/>
  <c r="I2254" i="1"/>
  <c r="I2242" i="1"/>
  <c r="I2238" i="1"/>
  <c r="I2231" i="1"/>
  <c r="I2221" i="1"/>
  <c r="I2218" i="1"/>
  <c r="I2209" i="1"/>
  <c r="I2204" i="1"/>
  <c r="I2201" i="1"/>
  <c r="I2194" i="1"/>
  <c r="I2193" i="1"/>
  <c r="I2185" i="1"/>
  <c r="I2183" i="1"/>
  <c r="I2172" i="1"/>
  <c r="I2161" i="1"/>
  <c r="I2153" i="1"/>
  <c r="I2143" i="1"/>
  <c r="I2135" i="1"/>
  <c r="I2131" i="1"/>
  <c r="I2128" i="1"/>
  <c r="I2120" i="1"/>
  <c r="I2115" i="1"/>
  <c r="I2084" i="1"/>
  <c r="I2078" i="1"/>
  <c r="I2076" i="1"/>
  <c r="I2075" i="1"/>
  <c r="I2072" i="1"/>
  <c r="I2070" i="1"/>
  <c r="I2068" i="1"/>
  <c r="I2039" i="1"/>
  <c r="I2034" i="1"/>
  <c r="I2024" i="1"/>
  <c r="I2023" i="1"/>
  <c r="I2016" i="1"/>
  <c r="I2003" i="1"/>
  <c r="I1998" i="1"/>
  <c r="I1990" i="1"/>
  <c r="I1989" i="1"/>
  <c r="I1980" i="1"/>
  <c r="I1970" i="1"/>
  <c r="I1964" i="1"/>
  <c r="I1963" i="1"/>
  <c r="I1961" i="1"/>
  <c r="I1955" i="1"/>
  <c r="I1954" i="1"/>
  <c r="I1951" i="1"/>
  <c r="I1950" i="1"/>
  <c r="I1939" i="1"/>
  <c r="I1936" i="1"/>
  <c r="I1934" i="1"/>
  <c r="I1933" i="1"/>
  <c r="I1931" i="1"/>
  <c r="I1930" i="1"/>
  <c r="I1922" i="1"/>
  <c r="I1914" i="1"/>
  <c r="I1911" i="1"/>
  <c r="I1898" i="1"/>
  <c r="I1897" i="1"/>
  <c r="I1895" i="1"/>
  <c r="I1894" i="1"/>
  <c r="I1890" i="1"/>
  <c r="I1886" i="1"/>
  <c r="I1874" i="1"/>
  <c r="I1871" i="1"/>
  <c r="I1864" i="1"/>
  <c r="I1859" i="1"/>
  <c r="I1851" i="1"/>
  <c r="I1844" i="1"/>
  <c r="I1841" i="1"/>
  <c r="I1839" i="1"/>
  <c r="I1833" i="1"/>
  <c r="I1828" i="1"/>
  <c r="I1824" i="1"/>
  <c r="I1810" i="1"/>
  <c r="I1800" i="1"/>
  <c r="I1794" i="1"/>
  <c r="I1792" i="1"/>
  <c r="I1783" i="1"/>
  <c r="I1781" i="1"/>
  <c r="I1780" i="1"/>
  <c r="I1775" i="1"/>
  <c r="I1759" i="1"/>
  <c r="I1747" i="1"/>
  <c r="I1745" i="1"/>
  <c r="I1743" i="1"/>
  <c r="I1740" i="1"/>
  <c r="I1728" i="1"/>
  <c r="I1721" i="1"/>
  <c r="I1719" i="1"/>
  <c r="I1718" i="1"/>
  <c r="I1716" i="1"/>
  <c r="I1713" i="1"/>
  <c r="I1712" i="1"/>
  <c r="I1710" i="1"/>
  <c r="I1706" i="1"/>
  <c r="I1702" i="1"/>
  <c r="I1701" i="1"/>
  <c r="I1682" i="1"/>
  <c r="I1680" i="1"/>
  <c r="I1675" i="1"/>
  <c r="I1674" i="1"/>
  <c r="I1668" i="1"/>
  <c r="I1658" i="1"/>
  <c r="I1647" i="1"/>
  <c r="I1645" i="1"/>
  <c r="I1637" i="1"/>
  <c r="I1619" i="1"/>
  <c r="I1614" i="1"/>
  <c r="I1607" i="1"/>
  <c r="I1606" i="1"/>
  <c r="I1603" i="1"/>
  <c r="I1602" i="1"/>
  <c r="I1597" i="1"/>
  <c r="I1594" i="1"/>
  <c r="I1582" i="1"/>
  <c r="I1568" i="1"/>
  <c r="I1566" i="1"/>
  <c r="I1563" i="1"/>
  <c r="I1560" i="1"/>
  <c r="I1559" i="1"/>
  <c r="I1558" i="1"/>
  <c r="I1555" i="1"/>
  <c r="I1545" i="1"/>
  <c r="I1541" i="1"/>
  <c r="I1540" i="1"/>
  <c r="I1533" i="1"/>
  <c r="I1528" i="1"/>
  <c r="I1519" i="1"/>
  <c r="I1518" i="1"/>
  <c r="I1517" i="1"/>
  <c r="I1513" i="1"/>
  <c r="I1512" i="1"/>
  <c r="I1507" i="1"/>
  <c r="I1504" i="1"/>
  <c r="I1502" i="1"/>
  <c r="I1498" i="1"/>
  <c r="I1495" i="1"/>
  <c r="I1486" i="1"/>
  <c r="I1481" i="1"/>
  <c r="I1477" i="1"/>
  <c r="I1471" i="1"/>
  <c r="I1465" i="1"/>
  <c r="I1464" i="1"/>
  <c r="I1463" i="1"/>
  <c r="I1459" i="1"/>
  <c r="I1455" i="1"/>
  <c r="I1448" i="1"/>
  <c r="I1446" i="1"/>
  <c r="I1441" i="1"/>
  <c r="I1440" i="1"/>
  <c r="I1439" i="1"/>
  <c r="I1434" i="1"/>
  <c r="I1430" i="1"/>
  <c r="I1425" i="1"/>
  <c r="I1417" i="1"/>
  <c r="I1414" i="1"/>
  <c r="I1407" i="1"/>
  <c r="I1390" i="1"/>
  <c r="I1386" i="1"/>
  <c r="I1385" i="1"/>
  <c r="I1384" i="1"/>
  <c r="I1378" i="1"/>
  <c r="I1373" i="1"/>
  <c r="I1372" i="1"/>
  <c r="I1369" i="1"/>
  <c r="I1367" i="1"/>
  <c r="I1366" i="1"/>
  <c r="I1364" i="1"/>
  <c r="I1362" i="1"/>
  <c r="I1360" i="1"/>
  <c r="I2680" i="1"/>
  <c r="I2678" i="1"/>
  <c r="I2674" i="1"/>
  <c r="I2671" i="1"/>
  <c r="I2670" i="1"/>
  <c r="I2669" i="1"/>
  <c r="I2668" i="1"/>
  <c r="I2667" i="1"/>
  <c r="I2666" i="1"/>
  <c r="I2665" i="1"/>
  <c r="I2664" i="1"/>
  <c r="I2663" i="1"/>
  <c r="I2662" i="1"/>
  <c r="I2660" i="1"/>
  <c r="I2657" i="1"/>
  <c r="I2656" i="1"/>
  <c r="I2655" i="1"/>
  <c r="I2654" i="1"/>
  <c r="I2653" i="1"/>
  <c r="I2651" i="1"/>
  <c r="I2650" i="1"/>
  <c r="I2649" i="1"/>
  <c r="I2648" i="1"/>
  <c r="I2647" i="1"/>
  <c r="I2645" i="1"/>
  <c r="I2644" i="1"/>
  <c r="I2643" i="1"/>
  <c r="I2642" i="1"/>
  <c r="I2639" i="1"/>
  <c r="I2636" i="1"/>
  <c r="I2635" i="1"/>
  <c r="I2634" i="1"/>
  <c r="I2632" i="1"/>
  <c r="I2630" i="1"/>
  <c r="I2629" i="1"/>
  <c r="I2627" i="1"/>
  <c r="I2626" i="1"/>
  <c r="I2625" i="1"/>
  <c r="I2624" i="1"/>
  <c r="I2622" i="1"/>
  <c r="I2621" i="1"/>
  <c r="I2620" i="1"/>
  <c r="I2617" i="1"/>
  <c r="I2616" i="1"/>
  <c r="I2615" i="1"/>
  <c r="I2614" i="1"/>
  <c r="I2612" i="1"/>
  <c r="I2611" i="1"/>
  <c r="I2610" i="1"/>
  <c r="I2609" i="1"/>
  <c r="I2607" i="1"/>
  <c r="I2606" i="1"/>
  <c r="I2605" i="1"/>
  <c r="I2604" i="1"/>
  <c r="I2603" i="1"/>
  <c r="I2602" i="1"/>
  <c r="I2600" i="1"/>
  <c r="I2599" i="1"/>
  <c r="I2598" i="1"/>
  <c r="I2597" i="1"/>
  <c r="I2596" i="1"/>
  <c r="I2595" i="1"/>
  <c r="I2593" i="1"/>
  <c r="I2592" i="1"/>
  <c r="I2591" i="1"/>
  <c r="I2590" i="1"/>
  <c r="I2589" i="1"/>
  <c r="I2588" i="1"/>
  <c r="I2587" i="1"/>
  <c r="I2586" i="1"/>
  <c r="I2585" i="1"/>
  <c r="I2584" i="1"/>
  <c r="I2583" i="1"/>
  <c r="I2582" i="1"/>
  <c r="I2581" i="1"/>
  <c r="I2580" i="1"/>
  <c r="I2579" i="1"/>
  <c r="I2577" i="1"/>
  <c r="I2575" i="1"/>
  <c r="I2574" i="1"/>
  <c r="I2573" i="1"/>
  <c r="I2572" i="1"/>
  <c r="I2571" i="1"/>
  <c r="I2570" i="1"/>
  <c r="I2568" i="1"/>
  <c r="I2567" i="1"/>
  <c r="I2566" i="1"/>
  <c r="I2565" i="1"/>
  <c r="I2564" i="1"/>
  <c r="I2561" i="1"/>
  <c r="I2560" i="1"/>
  <c r="I2559" i="1"/>
  <c r="I2558" i="1"/>
  <c r="I2557" i="1"/>
  <c r="I2556" i="1"/>
  <c r="I2555" i="1"/>
  <c r="I2554" i="1"/>
  <c r="I2553" i="1"/>
  <c r="I2552" i="1"/>
  <c r="I2550" i="1"/>
  <c r="I2548" i="1"/>
  <c r="I2547" i="1"/>
  <c r="I2546" i="1"/>
  <c r="I2543" i="1"/>
  <c r="I2542" i="1"/>
  <c r="I2541" i="1"/>
  <c r="I2540" i="1"/>
  <c r="I2538" i="1"/>
  <c r="I2537" i="1"/>
  <c r="I2536" i="1"/>
  <c r="I2535" i="1"/>
  <c r="I2534" i="1"/>
  <c r="I2533" i="1"/>
  <c r="I2532" i="1"/>
  <c r="I2531" i="1"/>
  <c r="I2530" i="1"/>
  <c r="I2529" i="1"/>
  <c r="I2528" i="1"/>
  <c r="I2526" i="1"/>
  <c r="I2524" i="1"/>
  <c r="I2522" i="1"/>
  <c r="I2521" i="1"/>
  <c r="I2520" i="1"/>
  <c r="I2519" i="1"/>
  <c r="I2518" i="1"/>
  <c r="I2517" i="1"/>
  <c r="I2515" i="1"/>
  <c r="I2510" i="1"/>
  <c r="I2509" i="1"/>
  <c r="I2506" i="1"/>
  <c r="I2504" i="1"/>
  <c r="I2503" i="1"/>
  <c r="I2502" i="1"/>
  <c r="I2501" i="1"/>
  <c r="I2500" i="1"/>
  <c r="I2499" i="1"/>
  <c r="I2498" i="1"/>
  <c r="I2496" i="1"/>
  <c r="I2495" i="1"/>
  <c r="I2494" i="1"/>
  <c r="I2493" i="1"/>
  <c r="I2490" i="1"/>
  <c r="I2487" i="1"/>
  <c r="I2485" i="1"/>
  <c r="I2484" i="1"/>
  <c r="I2482" i="1"/>
  <c r="I2480" i="1"/>
  <c r="I2478" i="1"/>
  <c r="I2477" i="1"/>
  <c r="I2475" i="1"/>
  <c r="I2473" i="1"/>
  <c r="I2472" i="1"/>
  <c r="I2471" i="1"/>
  <c r="I2470" i="1"/>
  <c r="I2469" i="1"/>
  <c r="I2467" i="1"/>
  <c r="I2465" i="1"/>
  <c r="I2464" i="1"/>
  <c r="I2460" i="1"/>
  <c r="I2459" i="1"/>
  <c r="I2458" i="1"/>
  <c r="I2457" i="1"/>
  <c r="I2456" i="1"/>
  <c r="I2455" i="1"/>
  <c r="I2452" i="1"/>
  <c r="I2451" i="1"/>
  <c r="I2449" i="1"/>
  <c r="I2448" i="1"/>
  <c r="I2447" i="1"/>
  <c r="I2446" i="1"/>
  <c r="I2438" i="1"/>
  <c r="I2437" i="1"/>
  <c r="I2434" i="1"/>
  <c r="I2433" i="1"/>
  <c r="I2430" i="1"/>
  <c r="I2429" i="1"/>
  <c r="I2428" i="1"/>
  <c r="I2427" i="1"/>
  <c r="I2424" i="1"/>
  <c r="I2422" i="1"/>
  <c r="I2421" i="1"/>
  <c r="I2420" i="1"/>
  <c r="I2418" i="1"/>
  <c r="I2417" i="1"/>
  <c r="I2414" i="1"/>
  <c r="I2412" i="1"/>
  <c r="I2411" i="1"/>
  <c r="I2410" i="1"/>
  <c r="I2409" i="1"/>
  <c r="I2408" i="1"/>
  <c r="I2407" i="1"/>
  <c r="I2406" i="1"/>
  <c r="I2405" i="1"/>
  <c r="I2404" i="1"/>
  <c r="I2403" i="1"/>
  <c r="I2402" i="1"/>
  <c r="I2401" i="1"/>
  <c r="I2400" i="1"/>
  <c r="I2399" i="1"/>
  <c r="I2396" i="1"/>
  <c r="I2395" i="1"/>
  <c r="I2394" i="1"/>
  <c r="I2391" i="1"/>
  <c r="I2390" i="1"/>
  <c r="I2389" i="1"/>
  <c r="I2388" i="1"/>
  <c r="I2387" i="1"/>
  <c r="I2386" i="1"/>
  <c r="I2384" i="1"/>
  <c r="I2383" i="1"/>
  <c r="I2382" i="1"/>
  <c r="I2381" i="1"/>
  <c r="I2379" i="1"/>
  <c r="I2378" i="1"/>
  <c r="I2377" i="1"/>
  <c r="I2374" i="1"/>
  <c r="I2373" i="1"/>
  <c r="I2371" i="1"/>
  <c r="I2369" i="1"/>
  <c r="I2368" i="1"/>
  <c r="I2367" i="1"/>
  <c r="I2365" i="1"/>
  <c r="I2364" i="1"/>
  <c r="I2362" i="1"/>
  <c r="I2360" i="1"/>
  <c r="I2359" i="1"/>
  <c r="I2356" i="1"/>
  <c r="I2354" i="1"/>
  <c r="I2353" i="1"/>
  <c r="I2351" i="1"/>
  <c r="I2350" i="1"/>
  <c r="I2348" i="1"/>
  <c r="I2346" i="1"/>
  <c r="I2343" i="1"/>
  <c r="I2342" i="1"/>
  <c r="I2340" i="1"/>
  <c r="I2338" i="1"/>
  <c r="I2337" i="1"/>
  <c r="I2334" i="1"/>
  <c r="I2333" i="1"/>
  <c r="I2332" i="1"/>
  <c r="I2331" i="1"/>
  <c r="I2330" i="1"/>
  <c r="I2329" i="1"/>
  <c r="I2328" i="1"/>
  <c r="I2326" i="1"/>
  <c r="I2323" i="1"/>
  <c r="I2322" i="1"/>
  <c r="I2321" i="1"/>
  <c r="I2320" i="1"/>
  <c r="I2319" i="1"/>
  <c r="I2318" i="1"/>
  <c r="I2317" i="1"/>
  <c r="I2316" i="1"/>
  <c r="I2315" i="1"/>
  <c r="I2314" i="1"/>
  <c r="I2313" i="1"/>
  <c r="I2312" i="1"/>
  <c r="I2311" i="1"/>
  <c r="I2310" i="1"/>
  <c r="I2308" i="1"/>
  <c r="I2307" i="1"/>
  <c r="I2305" i="1"/>
  <c r="I2301" i="1"/>
  <c r="I2300" i="1"/>
  <c r="I2299" i="1"/>
  <c r="I2296" i="1"/>
  <c r="I2294" i="1"/>
  <c r="I2293" i="1"/>
  <c r="I2292" i="1"/>
  <c r="I2291" i="1"/>
  <c r="I2290" i="1"/>
  <c r="I2289" i="1"/>
  <c r="I2288" i="1"/>
  <c r="I2286" i="1"/>
  <c r="I2285" i="1"/>
  <c r="I2284" i="1"/>
  <c r="I2283" i="1"/>
  <c r="I2282" i="1"/>
  <c r="I2281" i="1"/>
  <c r="I2280" i="1"/>
  <c r="I2279" i="1"/>
  <c r="I2277" i="1"/>
  <c r="I2276" i="1"/>
  <c r="I2274" i="1"/>
  <c r="I2273" i="1"/>
  <c r="I2272" i="1"/>
  <c r="I2271" i="1"/>
  <c r="I2270" i="1"/>
  <c r="I2269" i="1"/>
  <c r="I2268" i="1"/>
  <c r="I2267" i="1"/>
  <c r="I2265" i="1"/>
  <c r="I2264" i="1"/>
  <c r="I2263" i="1"/>
  <c r="I2262" i="1"/>
  <c r="I2259" i="1"/>
  <c r="I2258" i="1"/>
  <c r="I2257" i="1"/>
  <c r="I2253" i="1"/>
  <c r="I2252" i="1"/>
  <c r="I2251" i="1"/>
  <c r="I2250" i="1"/>
  <c r="I2249" i="1"/>
  <c r="I2248" i="1"/>
  <c r="I2247" i="1"/>
  <c r="I2246" i="1"/>
  <c r="I2245" i="1"/>
  <c r="I2244" i="1"/>
  <c r="I2243" i="1"/>
  <c r="I2241" i="1"/>
  <c r="I2240" i="1"/>
  <c r="I2239" i="1"/>
  <c r="I2237" i="1"/>
  <c r="I2236" i="1"/>
  <c r="I2235" i="1"/>
  <c r="I2234" i="1"/>
  <c r="I2233" i="1"/>
  <c r="I2232" i="1"/>
  <c r="I2229" i="1"/>
  <c r="I2228" i="1"/>
  <c r="I2227" i="1"/>
  <c r="I2226" i="1"/>
  <c r="I2225" i="1"/>
  <c r="I2224" i="1"/>
  <c r="I2222" i="1"/>
  <c r="I2220" i="1"/>
  <c r="I2219" i="1"/>
  <c r="I2217" i="1"/>
  <c r="I2216" i="1"/>
  <c r="I2215" i="1"/>
  <c r="I2214" i="1"/>
  <c r="I2213" i="1"/>
  <c r="I2211" i="1"/>
  <c r="I2210" i="1"/>
  <c r="I2208" i="1"/>
  <c r="I2207" i="1"/>
  <c r="I2206" i="1"/>
  <c r="I2205" i="1"/>
  <c r="I2203" i="1"/>
  <c r="I2202" i="1"/>
  <c r="I2200" i="1"/>
  <c r="I2199" i="1"/>
  <c r="I2198" i="1"/>
  <c r="I2197" i="1"/>
  <c r="I2196" i="1"/>
  <c r="I2195" i="1"/>
  <c r="I2192" i="1"/>
  <c r="I2191" i="1"/>
  <c r="I2190" i="1"/>
  <c r="I2188" i="1"/>
  <c r="I2187" i="1"/>
  <c r="I2186" i="1"/>
  <c r="I2184" i="1"/>
  <c r="I2182" i="1"/>
  <c r="I2181" i="1"/>
  <c r="I2180" i="1"/>
  <c r="I2179" i="1"/>
  <c r="I2178" i="1"/>
  <c r="I2177" i="1"/>
  <c r="I2176" i="1"/>
  <c r="I2175" i="1"/>
  <c r="I2174" i="1"/>
  <c r="I2173" i="1"/>
  <c r="I2171" i="1"/>
  <c r="I2170" i="1"/>
  <c r="I2169" i="1"/>
  <c r="I2168" i="1"/>
  <c r="I2167" i="1"/>
  <c r="I2166" i="1"/>
  <c r="I2165" i="1"/>
  <c r="I2160" i="1"/>
  <c r="I2157" i="1"/>
  <c r="I2156" i="1"/>
  <c r="I2155" i="1"/>
  <c r="I2154" i="1"/>
  <c r="I2152" i="1"/>
  <c r="I2150" i="1"/>
  <c r="I2149" i="1"/>
  <c r="I2148" i="1"/>
  <c r="I2147" i="1"/>
  <c r="I2146" i="1"/>
  <c r="I2145" i="1"/>
  <c r="I2144" i="1"/>
  <c r="I2142" i="1"/>
  <c r="I2141" i="1"/>
  <c r="I2140" i="1"/>
  <c r="I2138" i="1"/>
  <c r="I2137" i="1"/>
  <c r="I2136" i="1"/>
  <c r="I2134" i="1"/>
  <c r="I2133" i="1"/>
  <c r="I2130" i="1"/>
  <c r="I2129" i="1"/>
  <c r="I2127" i="1"/>
  <c r="I2126" i="1"/>
  <c r="I2125" i="1"/>
  <c r="I2124" i="1"/>
  <c r="I2123" i="1"/>
  <c r="I2122" i="1"/>
  <c r="I2121" i="1"/>
  <c r="I2119" i="1"/>
  <c r="I2118" i="1"/>
  <c r="I2117" i="1"/>
  <c r="I2116" i="1"/>
  <c r="I2114" i="1"/>
  <c r="I2113" i="1"/>
  <c r="I2112" i="1"/>
  <c r="I2111" i="1"/>
  <c r="I2110" i="1"/>
  <c r="I2109" i="1"/>
  <c r="I2108" i="1"/>
  <c r="I2107" i="1"/>
  <c r="I2106" i="1"/>
  <c r="I2105" i="1"/>
  <c r="I2104" i="1"/>
  <c r="I2103" i="1"/>
  <c r="I2102" i="1"/>
  <c r="I2101" i="1"/>
  <c r="I2100" i="1"/>
  <c r="I2099" i="1"/>
  <c r="I2098" i="1"/>
  <c r="I2097" i="1"/>
  <c r="I2096" i="1"/>
  <c r="I2095" i="1"/>
  <c r="I2094" i="1"/>
  <c r="I2092" i="1"/>
  <c r="I2091" i="1"/>
  <c r="I2090" i="1"/>
  <c r="I2089" i="1"/>
  <c r="I2088" i="1"/>
  <c r="I2087" i="1"/>
  <c r="I2086" i="1"/>
  <c r="I2085" i="1"/>
  <c r="I2081" i="1"/>
  <c r="I2074" i="1"/>
  <c r="I2071" i="1"/>
  <c r="I2069" i="1"/>
  <c r="I2067" i="1"/>
  <c r="I2065" i="1"/>
  <c r="I2064" i="1"/>
  <c r="I2061" i="1"/>
  <c r="I2060" i="1"/>
  <c r="I2059" i="1"/>
  <c r="I2058" i="1"/>
  <c r="I2057" i="1"/>
  <c r="I2056" i="1"/>
  <c r="I2054" i="1"/>
  <c r="I2052" i="1"/>
  <c r="I2051" i="1"/>
  <c r="I2050" i="1"/>
  <c r="I2049" i="1"/>
  <c r="I2048" i="1"/>
  <c r="I2047" i="1"/>
  <c r="I2046" i="1"/>
  <c r="I2045" i="1"/>
  <c r="I2044" i="1"/>
  <c r="I2043" i="1"/>
  <c r="I2042" i="1"/>
  <c r="I2041" i="1"/>
  <c r="I2040" i="1"/>
  <c r="I2038" i="1"/>
  <c r="I2037" i="1"/>
  <c r="I2036" i="1"/>
  <c r="I2035" i="1"/>
  <c r="I2033" i="1"/>
  <c r="I2032" i="1"/>
  <c r="I2031" i="1"/>
  <c r="I2030" i="1"/>
  <c r="I2029" i="1"/>
  <c r="I2028" i="1"/>
  <c r="I2027" i="1"/>
  <c r="I2026" i="1"/>
  <c r="I2025" i="1"/>
  <c r="I2022" i="1"/>
  <c r="I2021" i="1"/>
  <c r="I2020" i="1"/>
  <c r="I2019" i="1"/>
  <c r="I2018" i="1"/>
  <c r="I2017" i="1"/>
  <c r="I2015" i="1"/>
  <c r="I2013" i="1"/>
  <c r="I2012" i="1"/>
  <c r="I2011" i="1"/>
  <c r="I2010" i="1"/>
  <c r="I2009" i="1"/>
  <c r="I2008" i="1"/>
  <c r="I2007" i="1"/>
  <c r="I2006" i="1"/>
  <c r="I2005" i="1"/>
  <c r="I2004" i="1"/>
  <c r="I2002" i="1"/>
  <c r="I2001" i="1"/>
  <c r="I2000" i="1"/>
  <c r="I1999" i="1"/>
  <c r="I1997" i="1"/>
  <c r="I1996" i="1"/>
  <c r="I1995" i="1"/>
  <c r="I1994" i="1"/>
  <c r="I1993" i="1"/>
  <c r="I1991" i="1"/>
  <c r="I1988" i="1"/>
  <c r="I1987" i="1"/>
  <c r="I1986" i="1"/>
  <c r="I1985" i="1"/>
  <c r="I1984" i="1"/>
  <c r="I1983" i="1"/>
  <c r="I1982" i="1"/>
  <c r="I1981" i="1"/>
  <c r="I1979" i="1"/>
  <c r="I1978" i="1"/>
  <c r="I1977" i="1"/>
  <c r="I1976" i="1"/>
  <c r="I1975" i="1"/>
  <c r="I1974" i="1"/>
  <c r="I1973" i="1"/>
  <c r="I1972" i="1"/>
  <c r="I1971" i="1"/>
  <c r="I1969" i="1"/>
  <c r="I1968" i="1"/>
  <c r="I1967" i="1"/>
  <c r="I1966" i="1"/>
  <c r="I1965" i="1"/>
  <c r="I1962" i="1"/>
  <c r="I1959" i="1"/>
  <c r="I1957" i="1"/>
  <c r="I1956" i="1"/>
  <c r="I1953" i="1"/>
  <c r="I1952" i="1"/>
  <c r="I1949" i="1"/>
  <c r="I1947" i="1"/>
  <c r="I1945" i="1"/>
  <c r="I1944" i="1"/>
  <c r="I1943" i="1"/>
  <c r="I1942" i="1"/>
  <c r="I1941" i="1"/>
  <c r="I1940" i="1"/>
  <c r="I1938" i="1"/>
  <c r="I1937" i="1"/>
  <c r="I1935" i="1"/>
  <c r="I1932" i="1"/>
  <c r="I1929" i="1"/>
  <c r="I1928" i="1"/>
  <c r="I1927" i="1"/>
  <c r="I1926" i="1"/>
  <c r="I1925" i="1"/>
  <c r="I1923" i="1"/>
  <c r="I1921" i="1"/>
  <c r="I1920" i="1"/>
  <c r="I1919" i="1"/>
  <c r="I1918" i="1"/>
  <c r="I1917" i="1"/>
  <c r="I1916" i="1"/>
  <c r="I1915" i="1"/>
  <c r="I1913" i="1"/>
  <c r="I1912" i="1"/>
  <c r="I1907" i="1"/>
  <c r="I1906" i="1"/>
  <c r="I1905" i="1"/>
  <c r="I1903" i="1"/>
  <c r="I1902" i="1"/>
  <c r="I1901" i="1"/>
  <c r="I1900" i="1"/>
  <c r="I1899" i="1"/>
  <c r="I1896" i="1"/>
  <c r="I1893" i="1"/>
  <c r="I1892" i="1"/>
  <c r="I1889" i="1"/>
  <c r="I1888" i="1"/>
  <c r="I1887" i="1"/>
  <c r="I1885" i="1"/>
  <c r="I1884" i="1"/>
  <c r="I1883" i="1"/>
  <c r="I1882" i="1"/>
  <c r="I1880" i="1"/>
  <c r="I1879" i="1"/>
  <c r="I1878" i="1"/>
  <c r="I1877" i="1"/>
  <c r="I1876" i="1"/>
  <c r="I1875" i="1"/>
  <c r="I1873" i="1"/>
  <c r="I1872" i="1"/>
  <c r="I1869" i="1"/>
  <c r="I1868" i="1"/>
  <c r="I1867" i="1"/>
  <c r="I1866" i="1"/>
  <c r="I1863" i="1"/>
  <c r="I1862" i="1"/>
  <c r="I1861" i="1"/>
  <c r="I1860" i="1"/>
  <c r="I1858" i="1"/>
  <c r="I1857" i="1"/>
  <c r="I1856" i="1"/>
  <c r="I1855" i="1"/>
  <c r="I1854" i="1"/>
  <c r="I1853" i="1"/>
  <c r="I1852" i="1"/>
  <c r="I1850" i="1"/>
  <c r="I1849" i="1"/>
  <c r="I1848" i="1"/>
  <c r="I1847" i="1"/>
  <c r="I1846" i="1"/>
  <c r="I1845" i="1"/>
  <c r="I1843" i="1"/>
  <c r="I1842" i="1"/>
  <c r="I1840" i="1"/>
  <c r="I1837" i="1"/>
  <c r="I1836" i="1"/>
  <c r="I1834" i="1"/>
  <c r="I1832" i="1"/>
  <c r="I1831" i="1"/>
  <c r="I1830" i="1"/>
  <c r="I1829" i="1"/>
  <c r="I1826" i="1"/>
  <c r="I1825" i="1"/>
  <c r="I1823" i="1"/>
  <c r="I1822" i="1"/>
  <c r="I1821" i="1"/>
  <c r="I1820" i="1"/>
  <c r="I1819" i="1"/>
  <c r="I1818" i="1"/>
  <c r="I1817" i="1"/>
  <c r="I1816" i="1"/>
  <c r="I1815" i="1"/>
  <c r="I1814" i="1"/>
  <c r="I1813" i="1"/>
  <c r="I1812" i="1"/>
  <c r="I1811" i="1"/>
  <c r="I1809" i="1"/>
  <c r="I1808" i="1"/>
  <c r="I1807" i="1"/>
  <c r="I1806" i="1"/>
  <c r="I1804" i="1"/>
  <c r="I1803" i="1"/>
  <c r="I1802" i="1"/>
  <c r="I1801" i="1"/>
  <c r="I1799" i="1"/>
  <c r="I1797" i="1"/>
  <c r="I1796" i="1"/>
  <c r="I1795" i="1"/>
  <c r="I1793" i="1"/>
  <c r="I1791" i="1"/>
  <c r="I1790" i="1"/>
  <c r="I1789" i="1"/>
  <c r="I1788" i="1"/>
  <c r="I1787" i="1"/>
  <c r="I1786" i="1"/>
  <c r="I1785" i="1"/>
  <c r="I1784" i="1"/>
  <c r="I1779" i="1"/>
  <c r="I1778" i="1"/>
  <c r="I1777" i="1"/>
  <c r="I1776" i="1"/>
  <c r="I1774" i="1"/>
  <c r="I1773" i="1"/>
  <c r="I1772" i="1"/>
  <c r="I1771" i="1"/>
  <c r="I1770" i="1"/>
  <c r="I1769" i="1"/>
  <c r="I1768" i="1"/>
  <c r="I1767" i="1"/>
  <c r="I1766" i="1"/>
  <c r="I1765" i="1"/>
  <c r="I1764" i="1"/>
  <c r="I1763" i="1"/>
  <c r="I1762" i="1"/>
  <c r="I1761" i="1"/>
  <c r="I1760" i="1"/>
  <c r="I1758" i="1"/>
  <c r="I1757" i="1"/>
  <c r="I1756" i="1"/>
  <c r="I1755" i="1"/>
  <c r="I1754" i="1"/>
  <c r="I1753" i="1"/>
  <c r="I1752" i="1"/>
  <c r="I1750" i="1"/>
  <c r="I1749" i="1"/>
  <c r="I1748" i="1"/>
  <c r="I1746" i="1"/>
  <c r="I1744" i="1"/>
  <c r="I1742" i="1"/>
  <c r="I1741" i="1"/>
  <c r="I1739" i="1"/>
  <c r="I1738" i="1"/>
  <c r="I1737" i="1"/>
  <c r="I1736" i="1"/>
  <c r="I1735" i="1"/>
  <c r="I1734" i="1"/>
  <c r="I1733" i="1"/>
  <c r="I1732" i="1"/>
  <c r="I1731" i="1"/>
  <c r="I1729" i="1"/>
  <c r="I1726" i="1"/>
  <c r="I1725" i="1"/>
  <c r="I1724" i="1"/>
  <c r="I1723" i="1"/>
  <c r="I1722" i="1"/>
  <c r="I1720" i="1"/>
  <c r="I1717" i="1"/>
  <c r="I1714" i="1"/>
  <c r="I1711" i="1"/>
  <c r="I1709" i="1"/>
  <c r="I1705" i="1"/>
  <c r="I1704" i="1"/>
  <c r="I1703" i="1"/>
  <c r="I1700" i="1"/>
  <c r="I1699" i="1"/>
  <c r="I1698" i="1"/>
  <c r="I1697" i="1"/>
  <c r="I1696" i="1"/>
  <c r="I1695" i="1"/>
  <c r="I1694" i="1"/>
  <c r="I1693" i="1"/>
  <c r="I1692" i="1"/>
  <c r="I1691" i="1"/>
  <c r="I1689" i="1"/>
  <c r="I1688" i="1"/>
  <c r="I1687" i="1"/>
  <c r="I1686" i="1"/>
  <c r="I1685" i="1"/>
  <c r="I1684" i="1"/>
  <c r="I1683" i="1"/>
  <c r="I1681" i="1"/>
  <c r="I1679" i="1"/>
  <c r="I1678" i="1"/>
  <c r="I1677" i="1"/>
  <c r="I1676" i="1"/>
  <c r="I1673" i="1"/>
  <c r="I1672" i="1"/>
  <c r="I1671" i="1"/>
  <c r="I1670" i="1"/>
  <c r="I1669" i="1"/>
  <c r="I1667" i="1"/>
  <c r="I1665" i="1"/>
  <c r="I1664" i="1"/>
  <c r="I1663" i="1"/>
  <c r="I1662" i="1"/>
  <c r="I1661" i="1"/>
  <c r="I1660" i="1"/>
  <c r="I1657" i="1"/>
  <c r="I1656" i="1"/>
  <c r="I1653" i="1"/>
  <c r="I1652" i="1"/>
  <c r="I1651" i="1"/>
  <c r="I1650" i="1"/>
  <c r="I1649" i="1"/>
  <c r="I1648" i="1"/>
  <c r="I1646" i="1"/>
  <c r="I1644" i="1"/>
  <c r="I1643" i="1"/>
  <c r="I1642" i="1"/>
  <c r="I1641" i="1"/>
  <c r="I1640" i="1"/>
  <c r="I1639" i="1"/>
  <c r="I1636" i="1"/>
  <c r="I1635" i="1"/>
  <c r="I1634" i="1"/>
  <c r="I1633" i="1"/>
  <c r="I1632" i="1"/>
  <c r="I1631" i="1"/>
  <c r="I1629" i="1"/>
  <c r="I1628" i="1"/>
  <c r="I1627" i="1"/>
  <c r="I1626" i="1"/>
  <c r="I1625" i="1"/>
  <c r="I1624" i="1"/>
  <c r="I1622" i="1"/>
  <c r="I1621" i="1"/>
  <c r="I1620" i="1"/>
  <c r="I1618" i="1"/>
  <c r="I1616" i="1"/>
  <c r="I1613" i="1"/>
  <c r="I1612" i="1"/>
  <c r="I1609" i="1"/>
  <c r="I1608" i="1"/>
  <c r="I1605" i="1"/>
  <c r="I1604" i="1"/>
  <c r="I1601" i="1"/>
  <c r="I1600" i="1"/>
  <c r="I1599" i="1"/>
  <c r="I1596" i="1"/>
  <c r="I1595" i="1"/>
  <c r="I1593" i="1"/>
  <c r="I1592" i="1"/>
  <c r="I1591" i="1"/>
  <c r="I1590" i="1"/>
  <c r="I1589" i="1"/>
  <c r="I1588" i="1"/>
  <c r="I1587" i="1"/>
  <c r="I1586" i="1"/>
  <c r="I1585" i="1"/>
  <c r="I1584" i="1"/>
  <c r="I1583" i="1"/>
  <c r="I1581" i="1"/>
  <c r="I1579" i="1"/>
  <c r="I1578" i="1"/>
  <c r="I1577" i="1"/>
  <c r="I1576" i="1"/>
  <c r="I1575" i="1"/>
  <c r="I1574" i="1"/>
  <c r="I1573" i="1"/>
  <c r="I1572" i="1"/>
  <c r="I1571" i="1"/>
  <c r="I1570" i="1"/>
  <c r="I1569" i="1"/>
  <c r="I1567" i="1"/>
  <c r="I1565" i="1"/>
  <c r="I1564" i="1"/>
  <c r="I1562" i="1"/>
  <c r="I1561" i="1"/>
  <c r="I1557" i="1"/>
  <c r="I1554" i="1"/>
  <c r="I1553" i="1"/>
  <c r="I1552" i="1"/>
  <c r="I1550" i="1"/>
  <c r="I1549" i="1"/>
  <c r="I1547" i="1"/>
  <c r="I1546" i="1"/>
  <c r="I1544" i="1"/>
  <c r="I1543" i="1"/>
  <c r="I1542" i="1"/>
  <c r="I1539" i="1"/>
  <c r="I1538" i="1"/>
  <c r="I1537" i="1"/>
  <c r="I1536" i="1"/>
  <c r="I1535" i="1"/>
  <c r="I1534" i="1"/>
  <c r="I1532" i="1"/>
  <c r="I1531" i="1"/>
  <c r="I1526" i="1"/>
  <c r="I1525" i="1"/>
  <c r="I1523" i="1"/>
  <c r="I1522" i="1"/>
  <c r="I1521" i="1"/>
  <c r="I1520" i="1"/>
  <c r="I1516" i="1"/>
  <c r="I1515" i="1"/>
  <c r="I1511" i="1"/>
  <c r="I1510" i="1"/>
  <c r="I1509" i="1"/>
  <c r="I1508" i="1"/>
  <c r="I1506" i="1"/>
  <c r="I1505" i="1"/>
  <c r="I1503" i="1"/>
  <c r="I1501" i="1"/>
  <c r="I1499" i="1"/>
  <c r="I1497" i="1"/>
  <c r="I1496" i="1"/>
  <c r="I1494" i="1"/>
  <c r="I1493" i="1"/>
  <c r="I1491" i="1"/>
  <c r="I1490" i="1"/>
  <c r="I1489" i="1"/>
  <c r="I1488" i="1"/>
  <c r="I1487" i="1"/>
  <c r="I1485" i="1"/>
  <c r="I1484" i="1"/>
  <c r="I1482" i="1"/>
  <c r="I1479" i="1"/>
  <c r="I1478" i="1"/>
  <c r="I1476" i="1"/>
  <c r="I1475" i="1"/>
  <c r="I1474" i="1"/>
  <c r="I1473" i="1"/>
  <c r="I1472" i="1"/>
  <c r="I1470" i="1"/>
  <c r="I1469" i="1"/>
  <c r="I1468" i="1"/>
  <c r="I1467" i="1"/>
  <c r="I1466" i="1"/>
  <c r="I1462" i="1"/>
  <c r="I1461" i="1"/>
  <c r="I1460" i="1"/>
  <c r="I1457" i="1"/>
  <c r="I1456" i="1"/>
  <c r="I1454" i="1"/>
  <c r="I1453" i="1"/>
  <c r="I1452" i="1"/>
  <c r="I1450" i="1"/>
  <c r="I1449" i="1"/>
  <c r="I1447" i="1"/>
  <c r="I1444" i="1"/>
  <c r="I1443" i="1"/>
  <c r="I1438" i="1"/>
  <c r="I1437" i="1"/>
  <c r="I1436" i="1"/>
  <c r="I1435" i="1"/>
  <c r="I1433" i="1"/>
  <c r="I1432" i="1"/>
  <c r="I1429" i="1"/>
  <c r="I1428" i="1"/>
  <c r="I1426" i="1"/>
  <c r="I1424" i="1"/>
  <c r="I1423" i="1"/>
  <c r="I1422" i="1"/>
  <c r="I1421" i="1"/>
  <c r="I1420" i="1"/>
  <c r="I1419" i="1"/>
  <c r="I1418" i="1"/>
  <c r="I1416" i="1"/>
  <c r="I1413" i="1"/>
  <c r="I1412" i="1"/>
  <c r="I1410" i="1"/>
  <c r="I1408" i="1"/>
  <c r="I1406" i="1"/>
  <c r="I1405" i="1"/>
  <c r="I1403" i="1"/>
  <c r="I1402" i="1"/>
  <c r="I1401" i="1"/>
  <c r="I1400" i="1"/>
  <c r="I1399" i="1"/>
  <c r="I1398" i="1"/>
  <c r="I1397" i="1"/>
  <c r="I1396" i="1"/>
  <c r="I1394" i="1"/>
  <c r="I1393" i="1"/>
  <c r="I1391" i="1"/>
  <c r="I1389" i="1"/>
  <c r="I1388" i="1"/>
  <c r="I1387" i="1"/>
  <c r="I1382" i="1"/>
  <c r="I1381" i="1"/>
  <c r="I1380" i="1"/>
  <c r="I1379" i="1"/>
  <c r="I1377" i="1"/>
  <c r="I1376" i="1"/>
  <c r="I1375" i="1"/>
  <c r="I1374" i="1"/>
  <c r="I1371" i="1"/>
  <c r="I1365" i="1"/>
  <c r="I1363" i="1"/>
  <c r="I1361" i="1"/>
  <c r="I1359" i="1"/>
  <c r="I1358" i="1"/>
  <c r="I1357" i="1"/>
  <c r="H1000" i="1"/>
  <c r="H992" i="1"/>
  <c r="H990" i="1"/>
  <c r="H988" i="1"/>
  <c r="H987" i="1"/>
  <c r="H986" i="1"/>
  <c r="H985" i="1"/>
  <c r="H984" i="1"/>
  <c r="H980" i="1"/>
  <c r="H979" i="1"/>
  <c r="H976" i="1"/>
  <c r="H975" i="1"/>
  <c r="H974" i="1"/>
  <c r="H973" i="1"/>
  <c r="H972" i="1"/>
  <c r="H969" i="1"/>
  <c r="H967" i="1"/>
  <c r="H966" i="1"/>
  <c r="H964" i="1"/>
  <c r="H963" i="1"/>
  <c r="H960" i="1"/>
  <c r="H959" i="1"/>
  <c r="H958" i="1"/>
  <c r="H953" i="1"/>
  <c r="H952" i="1"/>
  <c r="H951" i="1"/>
  <c r="H950" i="1"/>
  <c r="H949" i="1"/>
  <c r="H947" i="1"/>
  <c r="H946" i="1"/>
  <c r="H944" i="1"/>
  <c r="H940" i="1"/>
  <c r="H939" i="1"/>
  <c r="H938" i="1"/>
  <c r="H937" i="1"/>
  <c r="H931" i="1"/>
  <c r="H930" i="1"/>
  <c r="H928" i="1"/>
  <c r="H923" i="1"/>
  <c r="H921" i="1"/>
  <c r="H920" i="1"/>
  <c r="H900" i="1"/>
  <c r="H898" i="1"/>
  <c r="H897" i="1"/>
  <c r="H896" i="1"/>
  <c r="H895" i="1"/>
  <c r="H894" i="1"/>
  <c r="H889" i="1"/>
  <c r="H888" i="1"/>
  <c r="H886" i="1"/>
  <c r="H885" i="1"/>
  <c r="H883" i="1"/>
  <c r="H881" i="1"/>
  <c r="H880" i="1"/>
  <c r="H879" i="1"/>
  <c r="H878" i="1"/>
  <c r="H876" i="1"/>
  <c r="H875" i="1"/>
  <c r="H873" i="1"/>
  <c r="H872" i="1"/>
  <c r="H871" i="1"/>
  <c r="H866" i="1"/>
  <c r="H865" i="1"/>
  <c r="H863" i="1"/>
  <c r="H859" i="1"/>
  <c r="H858" i="1"/>
  <c r="H854" i="1"/>
  <c r="H853" i="1"/>
  <c r="H852" i="1"/>
  <c r="H851" i="1"/>
  <c r="H850" i="1"/>
  <c r="H846" i="1"/>
  <c r="H843" i="1"/>
  <c r="H842" i="1"/>
  <c r="H840" i="1"/>
  <c r="H839" i="1"/>
  <c r="H838" i="1"/>
  <c r="H836" i="1"/>
  <c r="H835" i="1"/>
  <c r="H834" i="1"/>
  <c r="H831" i="1"/>
  <c r="H827" i="1"/>
  <c r="H826" i="1"/>
  <c r="H825" i="1"/>
  <c r="H821" i="1"/>
  <c r="H815" i="1"/>
  <c r="H814" i="1"/>
  <c r="H813" i="1"/>
  <c r="H812" i="1"/>
  <c r="H811" i="1"/>
  <c r="H810" i="1"/>
  <c r="H808" i="1"/>
  <c r="H800" i="1"/>
  <c r="H799" i="1"/>
  <c r="H798" i="1"/>
  <c r="H794" i="1"/>
  <c r="H793" i="1"/>
  <c r="H792" i="1"/>
  <c r="H791" i="1"/>
  <c r="H790" i="1"/>
  <c r="H789" i="1"/>
  <c r="H788" i="1"/>
  <c r="H787" i="1"/>
  <c r="H783" i="1"/>
  <c r="H781" i="1"/>
  <c r="H779" i="1"/>
  <c r="H778" i="1"/>
  <c r="H775" i="1"/>
  <c r="H772" i="1"/>
  <c r="H770" i="1"/>
  <c r="H767" i="1"/>
  <c r="H758" i="1"/>
  <c r="H757" i="1"/>
  <c r="H754" i="1"/>
  <c r="H753" i="1"/>
  <c r="H752" i="1"/>
  <c r="H751" i="1"/>
  <c r="H749" i="1"/>
  <c r="H747" i="1"/>
  <c r="H744" i="1"/>
  <c r="H740" i="1"/>
  <c r="H739" i="1"/>
  <c r="H738" i="1"/>
  <c r="H737" i="1"/>
  <c r="H736" i="1"/>
  <c r="H735" i="1"/>
  <c r="H734" i="1"/>
  <c r="H733" i="1"/>
  <c r="H732" i="1"/>
  <c r="H730" i="1"/>
  <c r="H727" i="1"/>
  <c r="H725" i="1"/>
  <c r="H724" i="1"/>
  <c r="H723" i="1"/>
  <c r="H722" i="1"/>
  <c r="H719" i="1"/>
  <c r="H718" i="1"/>
  <c r="H717" i="1"/>
  <c r="H714" i="1"/>
  <c r="H713" i="1"/>
  <c r="H712" i="1"/>
  <c r="H709" i="1"/>
  <c r="H706" i="1"/>
  <c r="H705" i="1"/>
  <c r="H704" i="1"/>
  <c r="H703" i="1"/>
  <c r="H702" i="1"/>
  <c r="H700" i="1"/>
  <c r="H699" i="1"/>
  <c r="H696" i="1"/>
  <c r="H694" i="1"/>
  <c r="H693" i="1"/>
  <c r="H691" i="1"/>
  <c r="H689" i="1"/>
  <c r="H688" i="1"/>
  <c r="H687" i="1"/>
  <c r="H686" i="1"/>
  <c r="H682" i="1"/>
  <c r="H678" i="1"/>
  <c r="H676" i="1"/>
  <c r="H675" i="1"/>
  <c r="H673" i="1"/>
  <c r="H666" i="1"/>
  <c r="H665" i="1"/>
  <c r="H663" i="1"/>
  <c r="H661" i="1"/>
  <c r="H658" i="1"/>
  <c r="H657" i="1"/>
  <c r="H656" i="1"/>
  <c r="H655" i="1"/>
  <c r="H654" i="1"/>
  <c r="H653" i="1"/>
  <c r="H652" i="1"/>
  <c r="H648" i="1"/>
  <c r="H646" i="1"/>
  <c r="H644" i="1"/>
  <c r="H641" i="1"/>
  <c r="H640" i="1"/>
  <c r="H639" i="1"/>
  <c r="H638" i="1"/>
  <c r="H635" i="1"/>
  <c r="H633" i="1"/>
  <c r="H631" i="1"/>
  <c r="H627" i="1"/>
  <c r="H625" i="1"/>
  <c r="H622" i="1"/>
  <c r="H618" i="1"/>
  <c r="H617" i="1"/>
  <c r="H616" i="1"/>
  <c r="H615" i="1"/>
  <c r="H614" i="1"/>
  <c r="H612" i="1"/>
  <c r="H609" i="1"/>
  <c r="H607" i="1"/>
  <c r="H604" i="1"/>
  <c r="H602" i="1"/>
  <c r="H600" i="1"/>
  <c r="H599" i="1"/>
  <c r="H598" i="1"/>
  <c r="H595" i="1"/>
  <c r="H592" i="1"/>
  <c r="H591" i="1"/>
  <c r="H587" i="1"/>
  <c r="H586" i="1"/>
  <c r="H585" i="1"/>
  <c r="H584" i="1"/>
  <c r="H582" i="1"/>
  <c r="H581" i="1"/>
  <c r="H579" i="1"/>
  <c r="H575" i="1"/>
  <c r="H573" i="1"/>
  <c r="H572" i="1"/>
  <c r="H571" i="1"/>
  <c r="H570" i="1"/>
  <c r="H568" i="1"/>
  <c r="H563" i="1"/>
  <c r="H561" i="1"/>
  <c r="H559" i="1"/>
  <c r="H558" i="1"/>
  <c r="H556" i="1"/>
  <c r="H555" i="1"/>
  <c r="H553" i="1"/>
  <c r="H552" i="1"/>
  <c r="H551" i="1"/>
  <c r="H550" i="1"/>
  <c r="H549" i="1"/>
  <c r="H546" i="1"/>
  <c r="H537" i="1"/>
  <c r="H536" i="1"/>
  <c r="H535" i="1"/>
  <c r="H534" i="1"/>
  <c r="H533" i="1"/>
  <c r="H530" i="1"/>
  <c r="H529" i="1"/>
  <c r="H528" i="1"/>
  <c r="H526" i="1"/>
  <c r="H522" i="1"/>
  <c r="H521" i="1"/>
  <c r="H519" i="1"/>
  <c r="H496" i="1"/>
  <c r="H491" i="1"/>
  <c r="H487" i="1"/>
  <c r="H486" i="1"/>
  <c r="H485" i="1"/>
  <c r="H484" i="1"/>
  <c r="H481" i="1"/>
  <c r="H476" i="1"/>
  <c r="H475" i="1"/>
  <c r="H474" i="1"/>
  <c r="H473" i="1"/>
  <c r="H472" i="1"/>
  <c r="H471" i="1"/>
  <c r="H470" i="1"/>
  <c r="H469" i="1"/>
  <c r="H468" i="1"/>
  <c r="H467" i="1"/>
  <c r="H466" i="1"/>
  <c r="H461" i="1"/>
  <c r="H460" i="1"/>
  <c r="H458" i="1"/>
  <c r="H456" i="1"/>
  <c r="H455" i="1"/>
  <c r="H453" i="1"/>
  <c r="H452" i="1"/>
  <c r="H451" i="1"/>
  <c r="H449" i="1"/>
  <c r="H446" i="1"/>
  <c r="H445" i="1"/>
  <c r="H444" i="1"/>
  <c r="H441" i="1"/>
  <c r="H440" i="1"/>
  <c r="H439" i="1"/>
  <c r="H438" i="1"/>
  <c r="H436" i="1"/>
  <c r="H435" i="1"/>
  <c r="H433" i="1"/>
  <c r="H432" i="1"/>
  <c r="H431" i="1"/>
  <c r="H429" i="1"/>
  <c r="H428" i="1"/>
  <c r="H425" i="1"/>
  <c r="H424" i="1"/>
  <c r="H423" i="1"/>
  <c r="H422" i="1"/>
  <c r="H418" i="1"/>
  <c r="H417" i="1"/>
  <c r="H416" i="1"/>
  <c r="H415" i="1"/>
  <c r="H414" i="1"/>
  <c r="H413" i="1"/>
  <c r="H412" i="1"/>
  <c r="H408" i="1"/>
  <c r="H407" i="1"/>
  <c r="H402" i="1"/>
  <c r="H400" i="1"/>
  <c r="H398" i="1"/>
  <c r="H395" i="1"/>
  <c r="H394" i="1"/>
  <c r="H389" i="1"/>
  <c r="H388" i="1"/>
  <c r="H384" i="1"/>
  <c r="H379" i="1"/>
  <c r="H378" i="1"/>
  <c r="H376" i="1"/>
  <c r="H373" i="1"/>
  <c r="H372" i="1"/>
  <c r="H371" i="1"/>
  <c r="H366" i="1"/>
  <c r="H365" i="1"/>
  <c r="H364" i="1"/>
  <c r="H362" i="1"/>
  <c r="H358" i="1"/>
  <c r="H356" i="1"/>
  <c r="H355" i="1"/>
  <c r="H354" i="1"/>
  <c r="H353" i="1"/>
  <c r="H350" i="1"/>
  <c r="H347" i="1"/>
  <c r="H343" i="1"/>
  <c r="H342" i="1"/>
  <c r="H338" i="1"/>
  <c r="H337" i="1"/>
  <c r="H335" i="1"/>
  <c r="H330" i="1"/>
  <c r="H327" i="1"/>
  <c r="H326" i="1"/>
  <c r="H324" i="1"/>
  <c r="H323" i="1"/>
  <c r="H322" i="1"/>
  <c r="H320" i="1"/>
  <c r="H319" i="1"/>
  <c r="H317" i="1"/>
  <c r="H315" i="1"/>
  <c r="H314" i="1"/>
  <c r="H313" i="1"/>
  <c r="H311" i="1"/>
  <c r="H310" i="1"/>
  <c r="H307" i="1"/>
  <c r="H306" i="1"/>
  <c r="H304" i="1"/>
  <c r="H302" i="1"/>
  <c r="H301" i="1"/>
  <c r="H296" i="1"/>
  <c r="H292" i="1"/>
  <c r="H291" i="1"/>
  <c r="H290" i="1"/>
  <c r="H288" i="1"/>
  <c r="H287" i="1"/>
  <c r="H286" i="1"/>
  <c r="H285" i="1"/>
  <c r="H284" i="1"/>
  <c r="H282" i="1"/>
  <c r="H278" i="1"/>
  <c r="H277" i="1"/>
  <c r="H276" i="1"/>
  <c r="H274" i="1"/>
  <c r="H272" i="1"/>
  <c r="H269" i="1"/>
  <c r="H267" i="1"/>
  <c r="H265" i="1"/>
  <c r="H263" i="1"/>
  <c r="H261" i="1"/>
  <c r="H259" i="1"/>
  <c r="H258" i="1"/>
  <c r="H256" i="1"/>
  <c r="H255" i="1"/>
  <c r="H254" i="1"/>
  <c r="H253" i="1"/>
  <c r="H250" i="1"/>
  <c r="H247" i="1"/>
  <c r="H246" i="1"/>
  <c r="H244" i="1"/>
  <c r="H243" i="1"/>
  <c r="H242" i="1"/>
  <c r="H240" i="1"/>
  <c r="H239" i="1"/>
  <c r="H233" i="1"/>
  <c r="H229" i="1"/>
  <c r="H228" i="1"/>
  <c r="H222" i="1"/>
  <c r="H218" i="1"/>
  <c r="H216" i="1"/>
  <c r="H214" i="1"/>
  <c r="H213" i="1"/>
  <c r="H211" i="1"/>
  <c r="H210" i="1"/>
  <c r="H208" i="1"/>
  <c r="H202" i="1"/>
  <c r="H201" i="1"/>
  <c r="H199" i="1"/>
  <c r="H198" i="1"/>
  <c r="H197" i="1"/>
  <c r="H196" i="1"/>
  <c r="H194" i="1"/>
  <c r="H193" i="1"/>
  <c r="H191" i="1"/>
  <c r="H188" i="1"/>
  <c r="H187" i="1"/>
  <c r="H186" i="1"/>
  <c r="H182" i="1"/>
  <c r="H181" i="1"/>
  <c r="H180" i="1"/>
  <c r="H176" i="1"/>
  <c r="H172" i="1"/>
  <c r="H168" i="1"/>
  <c r="H167" i="1"/>
  <c r="H162" i="1"/>
  <c r="H161" i="1"/>
  <c r="H160" i="1"/>
  <c r="H154" i="1"/>
  <c r="H153" i="1"/>
  <c r="H151" i="1"/>
  <c r="H150" i="1"/>
  <c r="H149" i="1"/>
  <c r="H148" i="1"/>
  <c r="H147" i="1"/>
  <c r="H146" i="1"/>
  <c r="H144" i="1"/>
  <c r="H141" i="1"/>
  <c r="H140" i="1"/>
  <c r="H133" i="1"/>
  <c r="H132" i="1"/>
  <c r="H128" i="1"/>
  <c r="H127" i="1"/>
  <c r="H125" i="1"/>
  <c r="H124" i="1"/>
  <c r="H123" i="1"/>
  <c r="H122" i="1"/>
  <c r="H119" i="1"/>
  <c r="H118" i="1"/>
  <c r="H115" i="1"/>
  <c r="H113" i="1"/>
  <c r="H111" i="1"/>
  <c r="H110" i="1"/>
  <c r="H105" i="1"/>
  <c r="H103" i="1"/>
  <c r="H102" i="1"/>
  <c r="H100" i="1"/>
  <c r="H99" i="1"/>
  <c r="H98" i="1"/>
  <c r="H96" i="1"/>
  <c r="H94" i="1"/>
  <c r="H91" i="1"/>
  <c r="H90" i="1"/>
  <c r="H89" i="1"/>
  <c r="H86" i="1"/>
  <c r="H85" i="1"/>
  <c r="H82" i="1"/>
  <c r="H80" i="1"/>
  <c r="H78" i="1"/>
  <c r="H77" i="1"/>
  <c r="H76" i="1"/>
  <c r="H74" i="1"/>
  <c r="H70" i="1"/>
  <c r="H69" i="1"/>
  <c r="H66" i="1"/>
  <c r="H63" i="1"/>
  <c r="H62" i="1"/>
  <c r="H61" i="1"/>
  <c r="H58" i="1"/>
  <c r="H57" i="1"/>
  <c r="H56" i="1"/>
  <c r="H55" i="1"/>
  <c r="H51" i="1"/>
  <c r="H50" i="1"/>
  <c r="H49" i="1"/>
  <c r="H47" i="1"/>
  <c r="H44" i="1"/>
  <c r="H43" i="1"/>
  <c r="H41" i="1"/>
  <c r="H40" i="1"/>
  <c r="H39" i="1"/>
  <c r="H38" i="1"/>
  <c r="H35" i="1"/>
  <c r="H34" i="1"/>
  <c r="H30" i="1"/>
  <c r="H29" i="1"/>
  <c r="H26" i="1"/>
  <c r="H24" i="1"/>
  <c r="H22" i="1"/>
  <c r="H21" i="1"/>
  <c r="H20" i="1"/>
  <c r="H17" i="1"/>
  <c r="H15" i="1"/>
  <c r="H13" i="1"/>
  <c r="H11" i="1"/>
  <c r="H10" i="1"/>
  <c r="H9" i="1"/>
  <c r="H4" i="1"/>
  <c r="H1308" i="1"/>
  <c r="H1306" i="1"/>
  <c r="H1305" i="1"/>
  <c r="H1303" i="1"/>
  <c r="H1301" i="1"/>
  <c r="H1294" i="1"/>
  <c r="H1290" i="1"/>
  <c r="H1283" i="1"/>
  <c r="H1282" i="1"/>
  <c r="H1280" i="1"/>
  <c r="H1279" i="1"/>
  <c r="H1273" i="1"/>
  <c r="H1271" i="1"/>
  <c r="H1267" i="1"/>
  <c r="H1266" i="1"/>
  <c r="H1261" i="1"/>
  <c r="H1259" i="1"/>
  <c r="H1258" i="1"/>
  <c r="H1257" i="1"/>
  <c r="H1254" i="1"/>
  <c r="H1253" i="1"/>
  <c r="H1247" i="1"/>
  <c r="H1246" i="1"/>
  <c r="H1244" i="1"/>
  <c r="H1242" i="1"/>
  <c r="H1237" i="1"/>
  <c r="H1229" i="1"/>
  <c r="H1227" i="1"/>
  <c r="H1226" i="1"/>
  <c r="H1225" i="1"/>
  <c r="H1213" i="1"/>
  <c r="H1210" i="1"/>
  <c r="H1203" i="1"/>
  <c r="H1195" i="1"/>
  <c r="H1194" i="1"/>
  <c r="H1193" i="1"/>
  <c r="H1189" i="1"/>
  <c r="H1188" i="1"/>
  <c r="H1187" i="1"/>
  <c r="H1186" i="1"/>
  <c r="H1185" i="1"/>
  <c r="H1184" i="1"/>
  <c r="H1178" i="1"/>
  <c r="H1172" i="1"/>
  <c r="H1164" i="1"/>
  <c r="H1161" i="1"/>
  <c r="H1160" i="1"/>
  <c r="H1159" i="1"/>
  <c r="H1135" i="1"/>
  <c r="H1133" i="1"/>
  <c r="H1132" i="1"/>
  <c r="H1131" i="1"/>
  <c r="H1128" i="1"/>
  <c r="H1126" i="1"/>
  <c r="H1125" i="1"/>
  <c r="H1122" i="1"/>
  <c r="H1114" i="1"/>
  <c r="H1113" i="1"/>
  <c r="H1112" i="1"/>
  <c r="H1110" i="1"/>
  <c r="H1109" i="1"/>
  <c r="H1103" i="1"/>
  <c r="H1096" i="1"/>
  <c r="H1091" i="1"/>
  <c r="H1090" i="1"/>
  <c r="H1087" i="1"/>
  <c r="H1082" i="1"/>
  <c r="H1076" i="1"/>
  <c r="H1072" i="1"/>
  <c r="H1068" i="1"/>
  <c r="H1058" i="1"/>
  <c r="H1056" i="1"/>
  <c r="H1051" i="1"/>
  <c r="H1050" i="1"/>
  <c r="H1047" i="1"/>
  <c r="H1035" i="1"/>
  <c r="H1033" i="1"/>
  <c r="H1028" i="1"/>
  <c r="H1022" i="1"/>
  <c r="H1018" i="1"/>
  <c r="H1016" i="1"/>
  <c r="H1013" i="1"/>
  <c r="H1003" i="1"/>
  <c r="H999" i="1"/>
  <c r="H998" i="1"/>
  <c r="H997" i="1"/>
  <c r="H995" i="1"/>
  <c r="H993" i="1"/>
  <c r="H991" i="1"/>
  <c r="H989" i="1"/>
  <c r="H982" i="1"/>
  <c r="H981" i="1"/>
  <c r="H977" i="1"/>
  <c r="H971" i="1"/>
  <c r="H970" i="1"/>
  <c r="H965" i="1"/>
  <c r="H961" i="1"/>
  <c r="H957" i="1"/>
  <c r="H945" i="1"/>
  <c r="H941" i="1"/>
  <c r="H936" i="1"/>
  <c r="H924" i="1"/>
  <c r="H918" i="1"/>
  <c r="H911" i="1"/>
  <c r="H908" i="1"/>
  <c r="H904" i="1"/>
  <c r="H899" i="1"/>
  <c r="H893" i="1"/>
  <c r="H891" i="1"/>
  <c r="H890" i="1"/>
  <c r="H877" i="1"/>
  <c r="H874" i="1"/>
  <c r="H870" i="1"/>
  <c r="H868" i="1"/>
  <c r="H862" i="1"/>
  <c r="H861" i="1"/>
  <c r="H860" i="1"/>
  <c r="H857" i="1"/>
  <c r="H856" i="1"/>
  <c r="H855" i="1"/>
  <c r="H848" i="1"/>
  <c r="H847" i="1"/>
  <c r="H845" i="1"/>
  <c r="H844" i="1"/>
  <c r="H832" i="1"/>
  <c r="H830" i="1"/>
  <c r="H829" i="1"/>
  <c r="H824" i="1"/>
  <c r="H820" i="1"/>
  <c r="H818" i="1"/>
  <c r="H809" i="1"/>
  <c r="H805" i="1"/>
  <c r="H804" i="1"/>
  <c r="H797" i="1"/>
  <c r="H796" i="1"/>
  <c r="H786" i="1"/>
  <c r="H785" i="1"/>
  <c r="H782" i="1"/>
  <c r="H780" i="1"/>
  <c r="H777" i="1"/>
  <c r="H776" i="1"/>
  <c r="H774" i="1"/>
  <c r="H769" i="1"/>
  <c r="H766" i="1"/>
  <c r="H763" i="1"/>
  <c r="H762" i="1"/>
  <c r="H760" i="1"/>
  <c r="H759" i="1"/>
  <c r="H750" i="1"/>
  <c r="H746" i="1"/>
  <c r="H745" i="1"/>
  <c r="H726" i="1"/>
  <c r="H721" i="1"/>
  <c r="H720" i="1"/>
  <c r="H716" i="1"/>
  <c r="H711" i="1"/>
  <c r="H707" i="1"/>
  <c r="H701" i="1"/>
  <c r="H697" i="1"/>
  <c r="H695" i="1"/>
  <c r="H692" i="1"/>
  <c r="H690" i="1"/>
  <c r="H684" i="1"/>
  <c r="H683" i="1"/>
  <c r="H680" i="1"/>
  <c r="H679" i="1"/>
  <c r="H677" i="1"/>
  <c r="H671" i="1"/>
  <c r="H669" i="1"/>
  <c r="H668" i="1"/>
  <c r="H667" i="1"/>
  <c r="H660" i="1"/>
  <c r="H651" i="1"/>
  <c r="H650" i="1"/>
  <c r="H649" i="1"/>
  <c r="H643" i="1"/>
  <c r="H642" i="1"/>
  <c r="H637" i="1"/>
  <c r="H634" i="1"/>
  <c r="H629" i="1"/>
  <c r="H628" i="1"/>
  <c r="H623" i="1"/>
  <c r="H621" i="1"/>
  <c r="H620" i="1"/>
  <c r="H619" i="1"/>
  <c r="H611" i="1"/>
  <c r="H610" i="1"/>
  <c r="H601" i="1"/>
  <c r="H597" i="1"/>
  <c r="H594" i="1"/>
  <c r="H593" i="1"/>
  <c r="H590" i="1"/>
  <c r="H589" i="1"/>
  <c r="H583" i="1"/>
  <c r="H580" i="1"/>
  <c r="H574" i="1"/>
  <c r="H567" i="1"/>
  <c r="H566" i="1"/>
  <c r="H565" i="1"/>
  <c r="H560" i="1"/>
  <c r="H557" i="1"/>
  <c r="H547" i="1"/>
  <c r="H545" i="1"/>
  <c r="H543" i="1"/>
  <c r="H542" i="1"/>
  <c r="H541" i="1"/>
  <c r="H540" i="1"/>
  <c r="H539" i="1"/>
  <c r="H538" i="1"/>
  <c r="H532" i="1"/>
  <c r="H525" i="1"/>
  <c r="H523" i="1"/>
  <c r="H516" i="1"/>
  <c r="H515" i="1"/>
  <c r="H513" i="1"/>
  <c r="H512" i="1"/>
  <c r="H511" i="1"/>
  <c r="H510" i="1"/>
  <c r="H504" i="1"/>
  <c r="H494" i="1"/>
  <c r="H492" i="1"/>
  <c r="H490" i="1"/>
  <c r="H483" i="1"/>
  <c r="H482" i="1"/>
  <c r="H480" i="1"/>
  <c r="H479" i="1"/>
  <c r="H477" i="1"/>
  <c r="H465" i="1"/>
  <c r="H464" i="1"/>
  <c r="H463" i="1"/>
  <c r="H462" i="1"/>
  <c r="H459" i="1"/>
  <c r="H419" i="1"/>
  <c r="H411" i="1"/>
  <c r="H410" i="1"/>
  <c r="H409" i="1"/>
  <c r="H406" i="1"/>
  <c r="H404" i="1"/>
  <c r="H403" i="1"/>
  <c r="H399" i="1"/>
  <c r="H397" i="1"/>
  <c r="H390" i="1"/>
  <c r="H387" i="1"/>
  <c r="H386" i="1"/>
  <c r="H385" i="1"/>
  <c r="H382" i="1"/>
  <c r="H381" i="1"/>
  <c r="H380" i="1"/>
  <c r="H377" i="1"/>
  <c r="H375" i="1"/>
  <c r="H369" i="1"/>
  <c r="H368" i="1"/>
  <c r="H367" i="1"/>
  <c r="H361" i="1"/>
  <c r="H359" i="1"/>
  <c r="H357" i="1"/>
  <c r="H351" i="1"/>
  <c r="H348" i="1"/>
  <c r="H346" i="1"/>
  <c r="H345" i="1"/>
  <c r="H341" i="1"/>
  <c r="H334" i="1"/>
  <c r="H333" i="1"/>
  <c r="H332" i="1"/>
  <c r="H331" i="1"/>
  <c r="H328" i="1"/>
  <c r="H297" i="1"/>
  <c r="H289" i="1"/>
  <c r="H283" i="1"/>
  <c r="H280" i="1"/>
  <c r="H279" i="1"/>
  <c r="H275" i="1"/>
  <c r="H271" i="1"/>
  <c r="H270" i="1"/>
  <c r="H268" i="1"/>
  <c r="H266" i="1"/>
  <c r="H262" i="1"/>
  <c r="H260" i="1"/>
  <c r="H257" i="1"/>
  <c r="H248" i="1"/>
  <c r="H238" i="1"/>
  <c r="H236" i="1"/>
  <c r="H234" i="1"/>
  <c r="H230" i="1"/>
  <c r="H227" i="1"/>
  <c r="H226" i="1"/>
  <c r="H223" i="1"/>
  <c r="H221" i="1"/>
  <c r="H219" i="1"/>
  <c r="H217" i="1"/>
  <c r="H209" i="1"/>
  <c r="H206" i="1"/>
  <c r="H203" i="1"/>
  <c r="H192" i="1"/>
  <c r="H190" i="1"/>
  <c r="H184" i="1"/>
  <c r="H183" i="1"/>
  <c r="H177" i="1"/>
  <c r="H174" i="1"/>
  <c r="H170" i="1"/>
  <c r="H169" i="1"/>
  <c r="H165" i="1"/>
  <c r="H164" i="1"/>
  <c r="H163" i="1"/>
  <c r="H159" i="1"/>
  <c r="H157" i="1"/>
  <c r="H156" i="1"/>
  <c r="H155" i="1"/>
  <c r="H145" i="1"/>
  <c r="H143" i="1"/>
  <c r="H142" i="1"/>
  <c r="H138" i="1"/>
  <c r="H136" i="1"/>
  <c r="H135" i="1"/>
  <c r="H131" i="1"/>
  <c r="H130" i="1"/>
  <c r="H126" i="1"/>
  <c r="H120" i="1"/>
  <c r="H114" i="1"/>
  <c r="H109" i="1"/>
  <c r="H107" i="1"/>
  <c r="H106" i="1"/>
  <c r="H101" i="1"/>
  <c r="H97" i="1"/>
  <c r="H95" i="1"/>
  <c r="H93" i="1"/>
  <c r="H92" i="1"/>
  <c r="H16" i="1"/>
  <c r="H14" i="1"/>
  <c r="H8" i="1"/>
  <c r="H6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I2073" i="1" s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I1960" i="1" s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I1946" i="1" s="1"/>
  <c r="E167" i="1"/>
  <c r="E168" i="1"/>
  <c r="E169" i="1"/>
  <c r="E170" i="1"/>
  <c r="E171" i="1"/>
  <c r="E172" i="1"/>
  <c r="E173" i="1"/>
  <c r="E174" i="1"/>
  <c r="E175" i="1"/>
  <c r="I1838" i="1" s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I1805" i="1" s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I1751" i="1" s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" i="1"/>
  <c r="H1011" i="1" l="1"/>
  <c r="I2466" i="1"/>
  <c r="I2696" i="1"/>
  <c r="I2677" i="1"/>
  <c r="I2676" i="1"/>
  <c r="I2673" i="1"/>
  <c r="I2672" i="1"/>
  <c r="I2659" i="1"/>
  <c r="I2638" i="1"/>
  <c r="I2633" i="1"/>
  <c r="I2628" i="1"/>
  <c r="I2623" i="1"/>
  <c r="I2619" i="1"/>
  <c r="I2613" i="1"/>
  <c r="I2601" i="1"/>
  <c r="I2576" i="1"/>
  <c r="I2562" i="1"/>
  <c r="I2544" i="1"/>
  <c r="I2539" i="1"/>
  <c r="I2514" i="1"/>
  <c r="I2513" i="1"/>
  <c r="I2511" i="1"/>
  <c r="I2483" i="1"/>
  <c r="I2481" i="1"/>
  <c r="I2474" i="1"/>
  <c r="I2468" i="1"/>
  <c r="I2450" i="1"/>
  <c r="I2443" i="1"/>
  <c r="I2442" i="1"/>
  <c r="I2441" i="1"/>
  <c r="I2439" i="1"/>
  <c r="I2435" i="1"/>
  <c r="I2397" i="1"/>
  <c r="I2393" i="1"/>
  <c r="I2375" i="1"/>
  <c r="I2370" i="1"/>
  <c r="I2363" i="1"/>
  <c r="I2361" i="1"/>
  <c r="I2355" i="1"/>
  <c r="I2347" i="1"/>
  <c r="I2327" i="1"/>
  <c r="I2306" i="1"/>
  <c r="I2297" i="1"/>
  <c r="I2278" i="1"/>
  <c r="I2230" i="1"/>
  <c r="I2223" i="1"/>
  <c r="I2212" i="1"/>
  <c r="I2189" i="1"/>
  <c r="I2164" i="1"/>
  <c r="I2163" i="1"/>
  <c r="I2162" i="1"/>
  <c r="I2151" i="1"/>
  <c r="I2139" i="1"/>
  <c r="I2158" i="1"/>
  <c r="I2083" i="1"/>
  <c r="I2093" i="1"/>
  <c r="I2132" i="1"/>
  <c r="I2080" i="1"/>
  <c r="I2082" i="1"/>
  <c r="I2159" i="1"/>
  <c r="I2079" i="1"/>
  <c r="I2063" i="1"/>
  <c r="I2066" i="1"/>
  <c r="I2055" i="1"/>
  <c r="I2053" i="1"/>
  <c r="I2062" i="1"/>
  <c r="I1992" i="1"/>
  <c r="I2014" i="1"/>
  <c r="I1958" i="1"/>
  <c r="I1948" i="1"/>
  <c r="I1904" i="1"/>
  <c r="I1870" i="1"/>
  <c r="I1924" i="1"/>
  <c r="I1908" i="1"/>
  <c r="I1881" i="1"/>
  <c r="I1910" i="1"/>
  <c r="I1909" i="1"/>
  <c r="I1891" i="1"/>
  <c r="I1865" i="1"/>
  <c r="I1827" i="1"/>
  <c r="I1835" i="1"/>
  <c r="I1782" i="1"/>
  <c r="I1798" i="1"/>
  <c r="I1715" i="1"/>
  <c r="I1727" i="1"/>
  <c r="I1730" i="1"/>
  <c r="I1690" i="1"/>
  <c r="I1707" i="1"/>
  <c r="I1708" i="1"/>
  <c r="H1010" i="1"/>
  <c r="H1002" i="1"/>
  <c r="H1004" i="1"/>
  <c r="H1007" i="1"/>
  <c r="H1008" i="1"/>
  <c r="H1009" i="1"/>
  <c r="I2491" i="1"/>
  <c r="I2488" i="1"/>
  <c r="I2486" i="1"/>
  <c r="I2479" i="1"/>
  <c r="I2476" i="1"/>
  <c r="I2685" i="1"/>
  <c r="I2733" i="1"/>
  <c r="I2721" i="1"/>
  <c r="I2716" i="1"/>
  <c r="I2714" i="1"/>
  <c r="I2709" i="1"/>
  <c r="I2707" i="1"/>
  <c r="H1020" i="1"/>
  <c r="H1014" i="1"/>
  <c r="H1015" i="1"/>
  <c r="I1353" i="1"/>
  <c r="H1071" i="1"/>
  <c r="H1070" i="1"/>
  <c r="H1069" i="1"/>
  <c r="H1065" i="1"/>
  <c r="H1064" i="1"/>
  <c r="H1062" i="1"/>
  <c r="H1061" i="1"/>
  <c r="H1060" i="1"/>
  <c r="H1059" i="1"/>
  <c r="H1044" i="1"/>
  <c r="H1043" i="1"/>
  <c r="H1041" i="1"/>
  <c r="H1040" i="1"/>
  <c r="H1039" i="1"/>
  <c r="H1038" i="1"/>
  <c r="H1034" i="1"/>
  <c r="H1032" i="1"/>
  <c r="H1031" i="1"/>
  <c r="H1030" i="1"/>
  <c r="H1029" i="1"/>
  <c r="H1027" i="1"/>
  <c r="H1026" i="1"/>
  <c r="H1023" i="1"/>
  <c r="H1021" i="1"/>
  <c r="H1049" i="1"/>
  <c r="H1052" i="1"/>
  <c r="H1057" i="1"/>
  <c r="H1045" i="1"/>
  <c r="I2682" i="1"/>
  <c r="I2731" i="1"/>
  <c r="I2730" i="1"/>
  <c r="I2723" i="1"/>
  <c r="I2722" i="1"/>
  <c r="I2720" i="1"/>
  <c r="I2718" i="1"/>
  <c r="I2715" i="1"/>
  <c r="I2712" i="1"/>
  <c r="I2706" i="1"/>
  <c r="I2701" i="1"/>
  <c r="I2700" i="1"/>
  <c r="I2684" i="1"/>
  <c r="I2683" i="1"/>
  <c r="I2681" i="1"/>
  <c r="I2679" i="1"/>
  <c r="I2675" i="1"/>
  <c r="I2661" i="1"/>
  <c r="I2658" i="1"/>
  <c r="I2652" i="1"/>
  <c r="I2646" i="1"/>
  <c r="I2641" i="1"/>
  <c r="I2640" i="1"/>
  <c r="I2637" i="1"/>
  <c r="I2631" i="1"/>
  <c r="I2618" i="1"/>
  <c r="I2608" i="1"/>
  <c r="I2594" i="1"/>
  <c r="I2578" i="1"/>
  <c r="I2569" i="1"/>
  <c r="I2563" i="1"/>
  <c r="I2551" i="1"/>
  <c r="I2549" i="1"/>
  <c r="I2545" i="1"/>
  <c r="I2527" i="1"/>
  <c r="I2525" i="1"/>
  <c r="I2523" i="1"/>
  <c r="I2516" i="1"/>
  <c r="I2512" i="1"/>
  <c r="I2508" i="1"/>
  <c r="I2507" i="1"/>
  <c r="I2505" i="1"/>
  <c r="I2497" i="1"/>
  <c r="I2492" i="1"/>
  <c r="H919" i="1"/>
  <c r="H916" i="1"/>
  <c r="H913" i="1"/>
  <c r="H912" i="1"/>
  <c r="H903" i="1"/>
  <c r="H902" i="1"/>
  <c r="H905" i="1"/>
  <c r="I2737" i="1"/>
  <c r="I2736" i="1"/>
  <c r="I2735" i="1"/>
  <c r="I2734" i="1"/>
  <c r="I2732" i="1"/>
  <c r="I2729" i="1"/>
  <c r="I2728" i="1"/>
  <c r="I2727" i="1"/>
  <c r="I2726" i="1"/>
  <c r="I2725" i="1"/>
  <c r="I2724" i="1"/>
  <c r="I2719" i="1"/>
  <c r="I2717" i="1"/>
  <c r="I2713" i="1"/>
  <c r="I2711" i="1"/>
  <c r="I2710" i="1"/>
  <c r="I2708" i="1"/>
  <c r="I2705" i="1"/>
  <c r="I2704" i="1"/>
  <c r="I2703" i="1"/>
  <c r="I2702" i="1"/>
  <c r="I2699" i="1"/>
  <c r="I2698" i="1"/>
  <c r="I2697" i="1"/>
  <c r="I2695" i="1"/>
  <c r="I2694" i="1"/>
  <c r="I2693" i="1"/>
  <c r="I2692" i="1"/>
  <c r="I2691" i="1"/>
  <c r="I2690" i="1"/>
  <c r="I2689" i="1"/>
  <c r="I2688" i="1"/>
  <c r="I2687" i="1"/>
  <c r="I2686" i="1"/>
  <c r="I2739" i="1"/>
  <c r="I2738" i="1"/>
  <c r="H518" i="1"/>
  <c r="H517" i="1"/>
  <c r="H514" i="1"/>
  <c r="H509" i="1"/>
  <c r="H508" i="1"/>
  <c r="H507" i="1"/>
  <c r="H506" i="1"/>
  <c r="H505" i="1"/>
  <c r="H502" i="1"/>
  <c r="H500" i="1"/>
  <c r="H498" i="1"/>
  <c r="H497" i="1"/>
  <c r="H1098" i="1"/>
  <c r="H1095" i="1"/>
  <c r="H1093" i="1"/>
  <c r="H1092" i="1"/>
  <c r="H1089" i="1"/>
  <c r="H1088" i="1"/>
  <c r="H1085" i="1"/>
  <c r="H1080" i="1"/>
  <c r="H1078" i="1"/>
  <c r="H1075" i="1"/>
  <c r="H1074" i="1"/>
  <c r="H1073" i="1"/>
  <c r="H1119" i="1"/>
  <c r="H1116" i="1"/>
  <c r="H1115" i="1"/>
  <c r="H1111" i="1"/>
  <c r="H1108" i="1"/>
  <c r="H1107" i="1"/>
  <c r="H1105" i="1"/>
  <c r="H1104" i="1"/>
  <c r="H1102" i="1"/>
  <c r="H1101" i="1"/>
  <c r="H1100" i="1"/>
  <c r="H1099" i="1"/>
  <c r="H1143" i="1"/>
  <c r="H1141" i="1"/>
  <c r="H1140" i="1"/>
  <c r="H1138" i="1"/>
  <c r="H1137" i="1"/>
  <c r="H1136" i="1"/>
  <c r="H1134" i="1"/>
  <c r="H1130" i="1"/>
  <c r="H1129" i="1"/>
  <c r="H1127" i="1"/>
  <c r="H1121" i="1"/>
  <c r="H1120" i="1"/>
  <c r="H1162" i="1"/>
  <c r="H1158" i="1"/>
  <c r="H1156" i="1"/>
  <c r="H1155" i="1"/>
  <c r="H1154" i="1"/>
  <c r="H1153" i="1"/>
  <c r="H1152" i="1"/>
  <c r="H1150" i="1"/>
  <c r="H1149" i="1"/>
  <c r="H1147" i="1"/>
  <c r="H1145" i="1"/>
  <c r="H1144" i="1"/>
  <c r="I1356" i="1"/>
  <c r="I1354" i="1"/>
  <c r="H1180" i="1"/>
  <c r="H1179" i="1"/>
  <c r="H1177" i="1"/>
  <c r="H1176" i="1"/>
  <c r="H1175" i="1"/>
  <c r="H1174" i="1"/>
  <c r="H1173" i="1"/>
  <c r="H1171" i="1"/>
  <c r="H1170" i="1"/>
  <c r="H1168" i="1"/>
  <c r="H1167" i="1"/>
  <c r="H1166" i="1"/>
  <c r="H1204" i="1"/>
  <c r="H1202" i="1"/>
  <c r="H1200" i="1"/>
  <c r="H1199" i="1"/>
  <c r="H1198" i="1"/>
  <c r="H1197" i="1"/>
  <c r="H1196" i="1"/>
  <c r="H1190" i="1"/>
  <c r="H1183" i="1"/>
  <c r="H1181" i="1"/>
  <c r="I1352" i="1"/>
  <c r="H1219" i="1"/>
  <c r="H1218" i="1"/>
  <c r="H1217" i="1"/>
  <c r="H1216" i="1"/>
  <c r="H1215" i="1"/>
  <c r="H1214" i="1"/>
  <c r="H1212" i="1"/>
  <c r="H1209" i="1"/>
  <c r="H1208" i="1"/>
  <c r="H1207" i="1"/>
  <c r="H1205" i="1"/>
  <c r="H1240" i="1"/>
  <c r="H1239" i="1"/>
  <c r="H1238" i="1"/>
  <c r="H1236" i="1"/>
  <c r="H1234" i="1"/>
  <c r="H1233" i="1"/>
  <c r="H1231" i="1"/>
  <c r="H1230" i="1"/>
  <c r="H1223" i="1"/>
  <c r="H1222" i="1"/>
  <c r="H1221" i="1"/>
  <c r="H1220" i="1"/>
  <c r="H1264" i="1"/>
  <c r="H1263" i="1"/>
  <c r="H1262" i="1"/>
  <c r="H1260" i="1"/>
  <c r="H1255" i="1"/>
  <c r="H1252" i="1"/>
  <c r="H1251" i="1"/>
  <c r="H1250" i="1"/>
  <c r="H1248" i="1"/>
  <c r="H1245" i="1"/>
  <c r="H1243" i="1"/>
  <c r="H1241" i="1"/>
  <c r="H1286" i="1"/>
  <c r="H1285" i="1"/>
  <c r="H1284" i="1"/>
  <c r="H1281" i="1"/>
  <c r="H1278" i="1"/>
  <c r="H1277" i="1"/>
  <c r="H1276" i="1"/>
  <c r="H1272" i="1"/>
  <c r="H1270" i="1"/>
  <c r="H1269" i="1"/>
  <c r="H1268" i="1"/>
  <c r="H1265" i="1"/>
  <c r="H1320" i="1"/>
  <c r="H1304" i="1"/>
  <c r="H1302" i="1"/>
  <c r="H1299" i="1"/>
  <c r="H1298" i="1"/>
  <c r="H1297" i="1"/>
  <c r="H1296" i="1"/>
  <c r="H1293" i="1"/>
  <c r="H1292" i="1"/>
  <c r="H1291" i="1"/>
  <c r="H1289" i="1"/>
  <c r="H1287" i="1"/>
  <c r="H42" i="1"/>
  <c r="H45" i="1"/>
  <c r="H46" i="1"/>
  <c r="H33" i="1"/>
  <c r="H19" i="1"/>
  <c r="H18" i="1"/>
  <c r="H12" i="1"/>
  <c r="H7" i="1"/>
  <c r="H1329" i="1"/>
  <c r="H1326" i="1"/>
  <c r="H1325" i="1"/>
  <c r="H1324" i="1"/>
  <c r="H1323" i="1"/>
  <c r="H1321" i="1"/>
  <c r="H1312" i="1"/>
  <c r="H1310" i="1"/>
  <c r="H1307" i="1"/>
  <c r="H129" i="1"/>
  <c r="H121" i="1"/>
  <c r="H117" i="1"/>
  <c r="H116" i="1"/>
  <c r="H134" i="1"/>
  <c r="H112" i="1"/>
  <c r="H108" i="1"/>
  <c r="H104" i="1"/>
  <c r="H84" i="1"/>
  <c r="H79" i="1"/>
  <c r="H65" i="1"/>
  <c r="H60" i="1"/>
  <c r="H59" i="1"/>
  <c r="H53" i="1"/>
  <c r="H52" i="1"/>
  <c r="H48" i="1"/>
  <c r="H189" i="1"/>
  <c r="H185" i="1"/>
  <c r="H179" i="1"/>
  <c r="H178" i="1"/>
  <c r="H175" i="1"/>
  <c r="H173" i="1"/>
  <c r="H171" i="1"/>
  <c r="H166" i="1"/>
  <c r="H158" i="1"/>
  <c r="H152" i="1"/>
  <c r="H139" i="1"/>
  <c r="H137" i="1"/>
  <c r="H232" i="1"/>
  <c r="H231" i="1"/>
  <c r="H225" i="1"/>
  <c r="H224" i="1"/>
  <c r="H220" i="1"/>
  <c r="H215" i="1"/>
  <c r="H212" i="1"/>
  <c r="H207" i="1"/>
  <c r="H205" i="1"/>
  <c r="H204" i="1"/>
  <c r="H200" i="1"/>
  <c r="H195" i="1"/>
  <c r="H613" i="1"/>
  <c r="H299" i="1"/>
  <c r="H339" i="1"/>
  <c r="H336" i="1"/>
  <c r="H329" i="1"/>
  <c r="H309" i="1"/>
  <c r="H300" i="1"/>
  <c r="H340" i="1"/>
  <c r="H293" i="1"/>
  <c r="H281" i="1"/>
  <c r="H273" i="1"/>
  <c r="H264" i="1"/>
  <c r="H252" i="1"/>
  <c r="H251" i="1"/>
  <c r="H249" i="1"/>
  <c r="H245" i="1"/>
  <c r="H241" i="1"/>
  <c r="H237" i="1"/>
  <c r="H235" i="1"/>
  <c r="H647" i="1"/>
  <c r="H632" i="1"/>
  <c r="H624" i="1"/>
  <c r="H662" i="1"/>
  <c r="H645" i="1"/>
  <c r="H630" i="1"/>
  <c r="H748" i="1"/>
  <c r="H743" i="1"/>
  <c r="H728" i="1"/>
  <c r="H715" i="1"/>
  <c r="H710" i="1"/>
  <c r="H708" i="1"/>
  <c r="H698" i="1"/>
  <c r="H685" i="1"/>
  <c r="H681" i="1"/>
  <c r="H674" i="1"/>
  <c r="H672" i="1"/>
  <c r="H670" i="1"/>
  <c r="H664" i="1"/>
  <c r="H659" i="1"/>
  <c r="H636" i="1"/>
  <c r="H626" i="1"/>
  <c r="H396" i="1"/>
  <c r="H393" i="1"/>
  <c r="H392" i="1"/>
  <c r="H391" i="1"/>
  <c r="H383" i="1"/>
  <c r="H374" i="1"/>
  <c r="H370" i="1"/>
  <c r="H363" i="1"/>
  <c r="H360" i="1"/>
  <c r="H352" i="1"/>
  <c r="H349" i="1"/>
  <c r="H344" i="1"/>
  <c r="H325" i="1"/>
  <c r="H305" i="1"/>
  <c r="H303" i="1"/>
  <c r="H295" i="1"/>
  <c r="H294" i="1"/>
  <c r="H864" i="1"/>
  <c r="H841" i="1"/>
  <c r="H837" i="1"/>
  <c r="H927" i="1"/>
  <c r="H914" i="1"/>
  <c r="H910" i="1"/>
  <c r="H892" i="1"/>
  <c r="H887" i="1"/>
  <c r="H884" i="1"/>
  <c r="H882" i="1"/>
  <c r="H869" i="1"/>
  <c r="H867" i="1"/>
  <c r="H828" i="1"/>
  <c r="H1123" i="1"/>
  <c r="H73" i="1"/>
  <c r="H88" i="1"/>
  <c r="H87" i="1"/>
  <c r="H83" i="1"/>
  <c r="H81" i="1"/>
  <c r="H75" i="1"/>
  <c r="H823" i="1"/>
  <c r="H822" i="1"/>
  <c r="H819" i="1"/>
  <c r="H817" i="1"/>
  <c r="H816" i="1"/>
  <c r="H807" i="1"/>
  <c r="H806" i="1"/>
  <c r="H803" i="1"/>
  <c r="H802" i="1"/>
  <c r="H801" i="1"/>
  <c r="H795" i="1"/>
  <c r="H784" i="1"/>
  <c r="H773" i="1"/>
  <c r="H771" i="1"/>
  <c r="H768" i="1"/>
  <c r="H765" i="1"/>
  <c r="H764" i="1"/>
  <c r="H761" i="1"/>
  <c r="H756" i="1"/>
  <c r="H755" i="1"/>
  <c r="H742" i="1"/>
  <c r="H741" i="1"/>
  <c r="H731" i="1"/>
  <c r="H729" i="1"/>
  <c r="H578" i="1"/>
  <c r="H577" i="1"/>
  <c r="H576" i="1"/>
  <c r="H569" i="1"/>
  <c r="H564" i="1"/>
  <c r="H562" i="1"/>
  <c r="H548" i="1"/>
  <c r="H544" i="1"/>
  <c r="H531" i="1"/>
  <c r="H524" i="1"/>
  <c r="H520" i="1"/>
  <c r="H501" i="1"/>
  <c r="H499" i="1"/>
  <c r="H495" i="1"/>
  <c r="H493" i="1"/>
  <c r="H489" i="1"/>
  <c r="H488" i="1"/>
  <c r="H478" i="1"/>
  <c r="H454" i="1"/>
  <c r="H443" i="1"/>
  <c r="H442" i="1"/>
  <c r="H430" i="1"/>
  <c r="H427" i="1"/>
  <c r="H426" i="1"/>
  <c r="H421" i="1"/>
  <c r="H405" i="1"/>
  <c r="H401" i="1"/>
  <c r="H608" i="1"/>
  <c r="H606" i="1"/>
  <c r="H605" i="1"/>
  <c r="H603" i="1"/>
  <c r="H596" i="1"/>
  <c r="H588" i="1"/>
  <c r="H420" i="1"/>
  <c r="H554" i="1"/>
  <c r="H527" i="1"/>
  <c r="H503" i="1"/>
  <c r="H72" i="1"/>
  <c r="H54" i="1"/>
  <c r="H37" i="1"/>
  <c r="H36" i="1"/>
  <c r="H32" i="1"/>
  <c r="H31" i="1"/>
  <c r="H28" i="1"/>
  <c r="H27" i="1"/>
  <c r="H25" i="1"/>
  <c r="H23" i="1"/>
  <c r="H71" i="1"/>
  <c r="H68" i="1"/>
  <c r="H67" i="1"/>
  <c r="H64" i="1"/>
  <c r="H1157" i="1"/>
  <c r="H1148" i="1"/>
  <c r="H1142" i="1"/>
  <c r="H1191" i="1"/>
  <c r="H1182" i="1"/>
  <c r="H1169" i="1"/>
  <c r="H1165" i="1"/>
  <c r="H1163" i="1"/>
  <c r="H1151" i="1"/>
  <c r="H1146" i="1"/>
  <c r="H1139" i="1"/>
  <c r="H1124" i="1"/>
  <c r="H298" i="1"/>
  <c r="H321" i="1"/>
  <c r="H318" i="1"/>
  <c r="H316" i="1"/>
  <c r="H312" i="1"/>
  <c r="H308" i="1"/>
  <c r="H1084" i="1"/>
  <c r="H1083" i="1"/>
  <c r="H1081" i="1"/>
  <c r="H1079" i="1"/>
  <c r="H1077" i="1"/>
  <c r="H1067" i="1"/>
  <c r="H1066" i="1"/>
  <c r="H1063" i="1"/>
  <c r="H1055" i="1"/>
  <c r="H1054" i="1"/>
  <c r="H1118" i="1"/>
  <c r="H1048" i="1"/>
  <c r="H1046" i="1"/>
  <c r="H1042" i="1"/>
  <c r="H1037" i="1"/>
  <c r="H1036" i="1"/>
  <c r="H1117" i="1"/>
  <c r="H1106" i="1"/>
  <c r="H1097" i="1"/>
  <c r="H1094" i="1"/>
  <c r="H1086" i="1"/>
  <c r="H1053" i="1"/>
  <c r="H1024" i="1"/>
  <c r="H1019" i="1"/>
  <c r="H1017" i="1"/>
  <c r="H1012" i="1"/>
  <c r="H1025" i="1"/>
  <c r="H978" i="1"/>
  <c r="H968" i="1"/>
  <c r="H962" i="1"/>
  <c r="H956" i="1"/>
  <c r="H955" i="1"/>
  <c r="H954" i="1"/>
  <c r="H948" i="1"/>
  <c r="H943" i="1"/>
  <c r="H942" i="1"/>
  <c r="H935" i="1"/>
  <c r="H934" i="1"/>
  <c r="H933" i="1"/>
  <c r="H932" i="1"/>
  <c r="H929" i="1"/>
  <c r="H1006" i="1"/>
  <c r="H1005" i="1"/>
  <c r="H1001" i="1"/>
  <c r="H996" i="1"/>
  <c r="H994" i="1"/>
  <c r="H983" i="1"/>
  <c r="H926" i="1"/>
  <c r="H925" i="1"/>
  <c r="H922" i="1"/>
  <c r="H917" i="1"/>
  <c r="H915" i="1"/>
  <c r="H909" i="1"/>
  <c r="H907" i="1"/>
  <c r="H906" i="1"/>
  <c r="H901" i="1"/>
  <c r="H849" i="1"/>
  <c r="H833" i="1"/>
  <c r="H434" i="1"/>
  <c r="H457" i="1"/>
  <c r="H450" i="1"/>
  <c r="H448" i="1"/>
  <c r="H447" i="1"/>
  <c r="H437" i="1"/>
  <c r="H1322" i="1"/>
  <c r="H1315" i="1"/>
  <c r="H1314" i="1"/>
  <c r="H1313" i="1"/>
  <c r="H1300" i="1"/>
  <c r="H1295" i="1"/>
  <c r="H1288" i="1"/>
  <c r="H1275" i="1"/>
  <c r="H1274" i="1"/>
  <c r="H1256" i="1"/>
  <c r="H1249" i="1"/>
  <c r="H1235" i="1"/>
  <c r="H1232" i="1"/>
  <c r="H1228" i="1"/>
  <c r="H1224" i="1"/>
  <c r="H1211" i="1"/>
  <c r="H1332" i="1"/>
  <c r="H1201" i="1"/>
  <c r="H1192" i="1"/>
  <c r="H1347" i="1"/>
  <c r="H1206" i="1"/>
  <c r="H1344" i="1"/>
  <c r="H1343" i="1"/>
  <c r="H1336" i="1"/>
  <c r="H1333" i="1"/>
  <c r="H1351" i="1"/>
  <c r="H1349" i="1"/>
  <c r="H1346" i="1"/>
  <c r="H1345" i="1"/>
  <c r="H1342" i="1"/>
  <c r="H1341" i="1"/>
  <c r="H1340" i="1"/>
  <c r="H1339" i="1"/>
  <c r="H1338" i="1"/>
  <c r="H1337" i="1"/>
  <c r="H1334" i="1"/>
  <c r="H1330" i="1"/>
  <c r="H1350" i="1"/>
  <c r="H1348" i="1"/>
  <c r="H1335" i="1"/>
  <c r="H1331" i="1"/>
  <c r="H1328" i="1"/>
  <c r="H1327" i="1"/>
  <c r="H1319" i="1"/>
  <c r="H1318" i="1"/>
  <c r="H1317" i="1"/>
  <c r="H1316" i="1"/>
  <c r="H1311" i="1"/>
  <c r="H1309" i="1"/>
  <c r="H3" i="1"/>
  <c r="H5" i="1"/>
  <c r="H2" i="1"/>
</calcChain>
</file>

<file path=xl/sharedStrings.xml><?xml version="1.0" encoding="utf-8"?>
<sst xmlns="http://schemas.openxmlformats.org/spreadsheetml/2006/main" count="5485" uniqueCount="22">
  <si>
    <t>Company Name</t>
  </si>
  <si>
    <t>Date</t>
  </si>
  <si>
    <t>Amount</t>
  </si>
  <si>
    <t>Heath-Moore</t>
  </si>
  <si>
    <t>Shaw-Walker</t>
  </si>
  <si>
    <t>Davis Group</t>
  </si>
  <si>
    <t>Rich-Jordan</t>
  </si>
  <si>
    <t>Barrett LLC</t>
  </si>
  <si>
    <t>Edwards, Stevens and Price</t>
  </si>
  <si>
    <t>Hodges-Smith</t>
  </si>
  <si>
    <t>Morrison Inc</t>
  </si>
  <si>
    <t>Davis, Diaz and Austin</t>
  </si>
  <si>
    <t>Watson-Ward</t>
  </si>
  <si>
    <t>Contract Type</t>
  </si>
  <si>
    <t>Day</t>
  </si>
  <si>
    <t>Month</t>
  </si>
  <si>
    <t>Year</t>
  </si>
  <si>
    <t>No Contract</t>
  </si>
  <si>
    <t>Annual Contract</t>
  </si>
  <si>
    <t>Multi-year Contract</t>
  </si>
  <si>
    <t>Spend Utilisation 2023</t>
  </si>
  <si>
    <t>Spend Utilisation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</si>
</sst>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£&quot;#,##0;[Red]\-&quot;£&quot;#,##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6" fontId="0" fillId="0" borderId="0" xfId="0" applyNumberFormat="1"/>
    <xf numFmtId="15" fontId="0" fillId="0" borderId="0" xfId="0" applyNumberFormat="1"/>
    <xf numFmtId="9" fontId="0" fillId="0" borderId="0" xfId="1" applyFont="1"/>
    <xf numFmtId="0" fontId="1" fillId="0" borderId="2" xfId="0" applyFont="1" applyBorder="1" applyAlignment="1">
      <alignment horizontal="center" vertical="top"/>
    </xf>
    <xf numFmtId="9" fontId="1" fillId="0" borderId="2" xfId="1" applyFont="1" applyFill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2">
    <cellStyle name="Normal" xfId="0" builtinId="0"/>
    <cellStyle name="Per 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739"/>
  <sheetViews>
    <sheetView tabSelected="1" workbookViewId="0">
      <selection activeCell="I2" sqref="I2"/>
    </sheetView>
  </sheetViews>
  <sheetFormatPr defaultRowHeight="14.4" x14ac:dyDescent="0.3"/>
  <cols>
    <col min="1" max="1" width="23.21875" bestFit="1" customWidth="1"/>
    <col min="2" max="2" width="9.88671875" bestFit="1" customWidth="1"/>
    <col min="3" max="3" width="8.6640625" bestFit="1" customWidth="1"/>
    <col min="4" max="4" width="11.21875" bestFit="1" customWidth="1"/>
    <col min="5" max="5" width="9.88671875" customWidth="1"/>
    <col min="6" max="6" width="12.33203125" bestFit="1" customWidth="1"/>
    <col min="7" max="7" width="17.21875" bestFit="1" customWidth="1"/>
    <col min="8" max="8" width="24.33203125" style="4" bestFit="1" customWidth="1"/>
    <col min="9" max="9" width="24.33203125" bestFit="1" customWidth="1"/>
  </cols>
  <sheetData>
    <row r="1" spans="1:9" x14ac:dyDescent="0.3">
      <c r="A1" s="1" t="s">
        <v>0</v>
      </c>
      <c r="B1" s="1" t="s">
        <v>1</v>
      </c>
      <c r="C1" s="1" t="s">
        <v>14</v>
      </c>
      <c r="D1" s="1" t="s">
        <v>15</v>
      </c>
      <c r="E1" s="1" t="s">
        <v>16</v>
      </c>
      <c r="F1" s="1" t="s">
        <v>2</v>
      </c>
      <c r="G1" s="5" t="s">
        <v>13</v>
      </c>
      <c r="H1" s="6" t="s">
        <v>20</v>
      </c>
      <c r="I1" s="7" t="s">
        <v>21</v>
      </c>
    </row>
    <row r="2" spans="1:9" x14ac:dyDescent="0.3">
      <c r="A2" t="s">
        <v>4</v>
      </c>
      <c r="B2" s="3">
        <v>44927</v>
      </c>
      <c r="C2">
        <f>DAY(B2)</f>
        <v>1</v>
      </c>
      <c r="D2">
        <f>MONTH(B2)</f>
        <v>1</v>
      </c>
      <c r="E2">
        <f>YEAR(B2)</f>
        <v>2023</v>
      </c>
      <c r="F2" s="2">
        <v>1681</v>
      </c>
      <c r="G2" s="2" t="s">
        <v>19</v>
      </c>
      <c r="H2" s="4">
        <f>SUMIFS($F$2:$F$2739,$G$2:$G$2739,"Multi-year Contract",$E$2:$E$2739,2023)/SUMIF($E$2:$E$2739,2023,$F$2:$F$2739)</f>
        <v>0.5137784540236352</v>
      </c>
    </row>
    <row r="3" spans="1:9" x14ac:dyDescent="0.3">
      <c r="A3" t="s">
        <v>8</v>
      </c>
      <c r="B3" s="3">
        <v>44927</v>
      </c>
      <c r="C3">
        <f t="shared" ref="C3:C66" si="0">DAY(B3)</f>
        <v>1</v>
      </c>
      <c r="D3">
        <f t="shared" ref="D3:D66" si="1">MONTH(B3)</f>
        <v>1</v>
      </c>
      <c r="E3">
        <f t="shared" ref="E3:E66" si="2">YEAR(B3)</f>
        <v>2023</v>
      </c>
      <c r="F3" s="2">
        <v>2194</v>
      </c>
      <c r="G3" s="2" t="s">
        <v>18</v>
      </c>
      <c r="H3" s="4">
        <f>SUMIFS($F$2:$F$2739,$G$2:$G$2739,"Annual Contract",$E$2:$E$2739,2023)/SUMIF($E$2:$E$2739,2023,$F$2:$F$2739)</f>
        <v>0.27687421727474026</v>
      </c>
    </row>
    <row r="4" spans="1:9" x14ac:dyDescent="0.3">
      <c r="A4" t="s">
        <v>4</v>
      </c>
      <c r="B4" s="3">
        <v>44927</v>
      </c>
      <c r="C4">
        <f t="shared" si="0"/>
        <v>1</v>
      </c>
      <c r="D4">
        <f t="shared" si="1"/>
        <v>1</v>
      </c>
      <c r="E4">
        <f t="shared" si="2"/>
        <v>2023</v>
      </c>
      <c r="F4" s="2">
        <v>1301</v>
      </c>
      <c r="G4" s="2" t="s">
        <v>19</v>
      </c>
      <c r="H4" s="4">
        <f>SUMIFS($F$2:$F$2739,$G$2:$G$2739,"Multi-year Contract",$E$2:$E$2739,2023)/SUMIF($E$2:$E$2739,2023,$F$2:$F$2739)</f>
        <v>0.5137784540236352</v>
      </c>
    </row>
    <row r="5" spans="1:9" x14ac:dyDescent="0.3">
      <c r="A5" t="s">
        <v>7</v>
      </c>
      <c r="B5" s="3">
        <v>44927</v>
      </c>
      <c r="C5">
        <f t="shared" si="0"/>
        <v>1</v>
      </c>
      <c r="D5">
        <f t="shared" si="1"/>
        <v>1</v>
      </c>
      <c r="E5">
        <f t="shared" si="2"/>
        <v>2023</v>
      </c>
      <c r="F5" s="2">
        <v>3654</v>
      </c>
      <c r="G5" t="s">
        <v>17</v>
      </c>
      <c r="H5" s="4">
        <f>SUMIFS($F$2:$F$2739,$G$2:$G$2739,"No Contract",$E$2:$E$2739,2023)/SUMIF($E$2:$E$2739,2023,$F$2:$F$2739)</f>
        <v>0.20934732870162456</v>
      </c>
    </row>
    <row r="6" spans="1:9" x14ac:dyDescent="0.3">
      <c r="A6" t="s">
        <v>5</v>
      </c>
      <c r="B6" s="3">
        <v>44927</v>
      </c>
      <c r="C6">
        <f t="shared" si="0"/>
        <v>1</v>
      </c>
      <c r="D6">
        <f t="shared" si="1"/>
        <v>1</v>
      </c>
      <c r="E6">
        <f t="shared" si="2"/>
        <v>2023</v>
      </c>
      <c r="F6" s="2">
        <v>3048</v>
      </c>
      <c r="G6" t="s">
        <v>18</v>
      </c>
      <c r="H6" s="4">
        <f>SUMIFS($F$2:$F$2739,$G$2:$G$2739,"Annual Contract",$E$2:$E$2739,2023)/SUMIF($E$2:$E$2739,2023,$F$2:$F$2739)</f>
        <v>0.27687421727474026</v>
      </c>
    </row>
    <row r="7" spans="1:9" x14ac:dyDescent="0.3">
      <c r="A7" t="s">
        <v>9</v>
      </c>
      <c r="B7" s="3">
        <v>44928</v>
      </c>
      <c r="C7">
        <f t="shared" si="0"/>
        <v>2</v>
      </c>
      <c r="D7">
        <f t="shared" si="1"/>
        <v>1</v>
      </c>
      <c r="E7">
        <f t="shared" si="2"/>
        <v>2023</v>
      </c>
      <c r="F7" s="2">
        <v>3241</v>
      </c>
      <c r="G7" t="s">
        <v>17</v>
      </c>
      <c r="H7" s="4">
        <f>SUMIFS($F$2:$F$2739,$G$2:$G$2739,"No Contract",$E$2:$E$2739,2023)/SUMIF($E$2:$E$2739,2023,$F$2:$F$2739)</f>
        <v>0.20934732870162456</v>
      </c>
    </row>
    <row r="8" spans="1:9" x14ac:dyDescent="0.3">
      <c r="A8" t="s">
        <v>5</v>
      </c>
      <c r="B8" s="3">
        <v>44928</v>
      </c>
      <c r="C8">
        <f t="shared" si="0"/>
        <v>2</v>
      </c>
      <c r="D8">
        <f t="shared" si="1"/>
        <v>1</v>
      </c>
      <c r="E8">
        <f t="shared" si="2"/>
        <v>2023</v>
      </c>
      <c r="F8" s="2">
        <v>3406</v>
      </c>
      <c r="G8" t="s">
        <v>18</v>
      </c>
      <c r="H8" s="4">
        <f>SUMIFS($F$2:$F$2739,$G$2:$G$2739,"Annual Contract",$E$2:$E$2739,2023)/SUMIF($E$2:$E$2739,2023,$F$2:$F$2739)</f>
        <v>0.27687421727474026</v>
      </c>
    </row>
    <row r="9" spans="1:9" x14ac:dyDescent="0.3">
      <c r="A9" t="s">
        <v>4</v>
      </c>
      <c r="B9" s="3">
        <v>44928</v>
      </c>
      <c r="C9">
        <f t="shared" si="0"/>
        <v>2</v>
      </c>
      <c r="D9">
        <f t="shared" si="1"/>
        <v>1</v>
      </c>
      <c r="E9">
        <f t="shared" si="2"/>
        <v>2023</v>
      </c>
      <c r="F9" s="2">
        <v>603</v>
      </c>
      <c r="G9" s="2" t="s">
        <v>19</v>
      </c>
      <c r="H9" s="4">
        <f t="shared" ref="H9:H11" si="3">SUMIFS($F$2:$F$2739,$G$2:$G$2739,"Multi-year Contract",$E$2:$E$2739,2023)/SUMIF($E$2:$E$2739,2023,$F$2:$F$2739)</f>
        <v>0.5137784540236352</v>
      </c>
    </row>
    <row r="10" spans="1:9" x14ac:dyDescent="0.3">
      <c r="A10" t="s">
        <v>12</v>
      </c>
      <c r="B10" s="3">
        <v>44928</v>
      </c>
      <c r="C10">
        <f t="shared" si="0"/>
        <v>2</v>
      </c>
      <c r="D10">
        <f t="shared" si="1"/>
        <v>1</v>
      </c>
      <c r="E10">
        <f t="shared" si="2"/>
        <v>2023</v>
      </c>
      <c r="F10" s="2">
        <v>3265</v>
      </c>
      <c r="G10" s="2" t="s">
        <v>19</v>
      </c>
      <c r="H10" s="4">
        <f t="shared" si="3"/>
        <v>0.5137784540236352</v>
      </c>
    </row>
    <row r="11" spans="1:9" x14ac:dyDescent="0.3">
      <c r="A11" t="s">
        <v>3</v>
      </c>
      <c r="B11" s="3">
        <v>44928</v>
      </c>
      <c r="C11">
        <f t="shared" si="0"/>
        <v>2</v>
      </c>
      <c r="D11">
        <f t="shared" si="1"/>
        <v>1</v>
      </c>
      <c r="E11">
        <f t="shared" si="2"/>
        <v>2023</v>
      </c>
      <c r="F11" s="2">
        <v>1215</v>
      </c>
      <c r="G11" t="s">
        <v>19</v>
      </c>
      <c r="H11" s="4">
        <f t="shared" si="3"/>
        <v>0.5137784540236352</v>
      </c>
    </row>
    <row r="12" spans="1:9" x14ac:dyDescent="0.3">
      <c r="A12" t="s">
        <v>9</v>
      </c>
      <c r="B12" s="3">
        <v>44929</v>
      </c>
      <c r="C12">
        <f t="shared" si="0"/>
        <v>3</v>
      </c>
      <c r="D12">
        <f t="shared" si="1"/>
        <v>1</v>
      </c>
      <c r="E12">
        <f t="shared" si="2"/>
        <v>2023</v>
      </c>
      <c r="F12" s="2">
        <v>801</v>
      </c>
      <c r="G12" t="s">
        <v>17</v>
      </c>
      <c r="H12" s="4">
        <f>SUMIFS($F$2:$F$2739,$G$2:$G$2739,"No Contract",$E$2:$E$2739,2023)/SUMIF($E$2:$E$2739,2023,$F$2:$F$2739)</f>
        <v>0.20934732870162456</v>
      </c>
    </row>
    <row r="13" spans="1:9" x14ac:dyDescent="0.3">
      <c r="A13" t="s">
        <v>3</v>
      </c>
      <c r="B13" s="3">
        <v>44929</v>
      </c>
      <c r="C13">
        <f t="shared" si="0"/>
        <v>3</v>
      </c>
      <c r="D13">
        <f t="shared" si="1"/>
        <v>1</v>
      </c>
      <c r="E13">
        <f t="shared" si="2"/>
        <v>2023</v>
      </c>
      <c r="F13" s="2">
        <v>1507</v>
      </c>
      <c r="G13" t="s">
        <v>19</v>
      </c>
      <c r="H13" s="4">
        <f>SUMIFS($F$2:$F$2739,$G$2:$G$2739,"Multi-year Contract",$E$2:$E$2739,2023)/SUMIF($E$2:$E$2739,2023,$F$2:$F$2739)</f>
        <v>0.5137784540236352</v>
      </c>
    </row>
    <row r="14" spans="1:9" x14ac:dyDescent="0.3">
      <c r="A14" t="s">
        <v>6</v>
      </c>
      <c r="B14" s="3">
        <v>44930</v>
      </c>
      <c r="C14">
        <f t="shared" si="0"/>
        <v>4</v>
      </c>
      <c r="D14">
        <f t="shared" si="1"/>
        <v>1</v>
      </c>
      <c r="E14">
        <f t="shared" si="2"/>
        <v>2023</v>
      </c>
      <c r="F14" s="2">
        <v>2228</v>
      </c>
      <c r="G14" t="s">
        <v>18</v>
      </c>
      <c r="H14" s="4">
        <f>SUMIFS($F$2:$F$2739,$G$2:$G$2739,"Annual Contract",$E$2:$E$2739,2023)/SUMIF($E$2:$E$2739,2023,$F$2:$F$2739)</f>
        <v>0.27687421727474026</v>
      </c>
    </row>
    <row r="15" spans="1:9" x14ac:dyDescent="0.3">
      <c r="A15" t="s">
        <v>10</v>
      </c>
      <c r="B15" s="3">
        <v>44930</v>
      </c>
      <c r="C15">
        <f t="shared" si="0"/>
        <v>4</v>
      </c>
      <c r="D15">
        <f t="shared" si="1"/>
        <v>1</v>
      </c>
      <c r="E15">
        <f t="shared" si="2"/>
        <v>2023</v>
      </c>
      <c r="F15" s="2">
        <v>1651</v>
      </c>
      <c r="G15" t="s">
        <v>19</v>
      </c>
      <c r="H15" s="4">
        <f>SUMIFS($F$2:$F$2739,$G$2:$G$2739,"Multi-year Contract",$E$2:$E$2739,2023)/SUMIF($E$2:$E$2739,2023,$F$2:$F$2739)</f>
        <v>0.5137784540236352</v>
      </c>
    </row>
    <row r="16" spans="1:9" x14ac:dyDescent="0.3">
      <c r="A16" t="s">
        <v>5</v>
      </c>
      <c r="B16" s="3">
        <v>44931</v>
      </c>
      <c r="C16">
        <f t="shared" si="0"/>
        <v>5</v>
      </c>
      <c r="D16">
        <f t="shared" si="1"/>
        <v>1</v>
      </c>
      <c r="E16">
        <f t="shared" si="2"/>
        <v>2023</v>
      </c>
      <c r="F16" s="2">
        <v>1393</v>
      </c>
      <c r="G16" t="s">
        <v>18</v>
      </c>
      <c r="H16" s="4">
        <f>SUMIFS($F$2:$F$2739,$G$2:$G$2739,"Annual Contract",$E$2:$E$2739,2023)/SUMIF($E$2:$E$2739,2023,$F$2:$F$2739)</f>
        <v>0.27687421727474026</v>
      </c>
    </row>
    <row r="17" spans="1:8" x14ac:dyDescent="0.3">
      <c r="A17" t="s">
        <v>4</v>
      </c>
      <c r="B17" s="3">
        <v>44931</v>
      </c>
      <c r="C17">
        <f t="shared" si="0"/>
        <v>5</v>
      </c>
      <c r="D17">
        <f t="shared" si="1"/>
        <v>1</v>
      </c>
      <c r="E17">
        <f t="shared" si="2"/>
        <v>2023</v>
      </c>
      <c r="F17" s="2">
        <v>3081</v>
      </c>
      <c r="G17" s="2" t="s">
        <v>19</v>
      </c>
      <c r="H17" s="4">
        <f>SUMIFS($F$2:$F$2739,$G$2:$G$2739,"Multi-year Contract",$E$2:$E$2739,2023)/SUMIF($E$2:$E$2739,2023,$F$2:$F$2739)</f>
        <v>0.5137784540236352</v>
      </c>
    </row>
    <row r="18" spans="1:8" x14ac:dyDescent="0.3">
      <c r="A18" t="s">
        <v>9</v>
      </c>
      <c r="B18" s="3">
        <v>44932</v>
      </c>
      <c r="C18">
        <f t="shared" si="0"/>
        <v>6</v>
      </c>
      <c r="D18">
        <f t="shared" si="1"/>
        <v>1</v>
      </c>
      <c r="E18">
        <f t="shared" si="2"/>
        <v>2023</v>
      </c>
      <c r="F18" s="2">
        <v>3196</v>
      </c>
      <c r="G18" t="s">
        <v>17</v>
      </c>
      <c r="H18" s="4">
        <f t="shared" ref="H18:H19" si="4">SUMIFS($F$2:$F$2739,$G$2:$G$2739,"No Contract",$E$2:$E$2739,2023)/SUMIF($E$2:$E$2739,2023,$F$2:$F$2739)</f>
        <v>0.20934732870162456</v>
      </c>
    </row>
    <row r="19" spans="1:8" x14ac:dyDescent="0.3">
      <c r="A19" t="s">
        <v>7</v>
      </c>
      <c r="B19" s="3">
        <v>44932</v>
      </c>
      <c r="C19">
        <f t="shared" si="0"/>
        <v>6</v>
      </c>
      <c r="D19">
        <f t="shared" si="1"/>
        <v>1</v>
      </c>
      <c r="E19">
        <f t="shared" si="2"/>
        <v>2023</v>
      </c>
      <c r="F19" s="2">
        <v>1165</v>
      </c>
      <c r="G19" t="s">
        <v>17</v>
      </c>
      <c r="H19" s="4">
        <f t="shared" si="4"/>
        <v>0.20934732870162456</v>
      </c>
    </row>
    <row r="20" spans="1:8" x14ac:dyDescent="0.3">
      <c r="A20" t="s">
        <v>12</v>
      </c>
      <c r="B20" s="3">
        <v>44932</v>
      </c>
      <c r="C20">
        <f t="shared" si="0"/>
        <v>6</v>
      </c>
      <c r="D20">
        <f t="shared" si="1"/>
        <v>1</v>
      </c>
      <c r="E20">
        <f t="shared" si="2"/>
        <v>2023</v>
      </c>
      <c r="F20" s="2">
        <v>2989</v>
      </c>
      <c r="G20" s="2" t="s">
        <v>19</v>
      </c>
      <c r="H20" s="4">
        <f t="shared" ref="H20:H22" si="5">SUMIFS($F$2:$F$2739,$G$2:$G$2739,"Multi-year Contract",$E$2:$E$2739,2023)/SUMIF($E$2:$E$2739,2023,$F$2:$F$2739)</f>
        <v>0.5137784540236352</v>
      </c>
    </row>
    <row r="21" spans="1:8" x14ac:dyDescent="0.3">
      <c r="A21" t="s">
        <v>12</v>
      </c>
      <c r="B21" s="3">
        <v>44932</v>
      </c>
      <c r="C21">
        <f t="shared" si="0"/>
        <v>6</v>
      </c>
      <c r="D21">
        <f t="shared" si="1"/>
        <v>1</v>
      </c>
      <c r="E21">
        <f t="shared" si="2"/>
        <v>2023</v>
      </c>
      <c r="F21" s="2">
        <v>1417</v>
      </c>
      <c r="G21" s="2" t="s">
        <v>19</v>
      </c>
      <c r="H21" s="4">
        <f t="shared" si="5"/>
        <v>0.5137784540236352</v>
      </c>
    </row>
    <row r="22" spans="1:8" x14ac:dyDescent="0.3">
      <c r="A22" t="s">
        <v>4</v>
      </c>
      <c r="B22" s="3">
        <v>44932</v>
      </c>
      <c r="C22">
        <f t="shared" si="0"/>
        <v>6</v>
      </c>
      <c r="D22">
        <f t="shared" si="1"/>
        <v>1</v>
      </c>
      <c r="E22">
        <f t="shared" si="2"/>
        <v>2023</v>
      </c>
      <c r="F22" s="2">
        <v>1196</v>
      </c>
      <c r="G22" s="2" t="s">
        <v>19</v>
      </c>
      <c r="H22" s="4">
        <f t="shared" si="5"/>
        <v>0.5137784540236352</v>
      </c>
    </row>
    <row r="23" spans="1:8" x14ac:dyDescent="0.3">
      <c r="A23" t="s">
        <v>5</v>
      </c>
      <c r="B23" s="3">
        <v>44933</v>
      </c>
      <c r="C23">
        <f t="shared" si="0"/>
        <v>7</v>
      </c>
      <c r="D23">
        <f t="shared" si="1"/>
        <v>1</v>
      </c>
      <c r="E23">
        <f t="shared" si="2"/>
        <v>2023</v>
      </c>
      <c r="F23" s="2">
        <v>2698</v>
      </c>
      <c r="G23" t="s">
        <v>18</v>
      </c>
      <c r="H23" s="4">
        <f>SUMIFS($F$2:$F$2739,$G$2:$G$2739,"Annual Contract",$E$2:$E$2739,2023)/SUMIF($E$2:$E$2739,2023,$F$2:$F$2739)</f>
        <v>0.27687421727474026</v>
      </c>
    </row>
    <row r="24" spans="1:8" x14ac:dyDescent="0.3">
      <c r="A24" t="s">
        <v>4</v>
      </c>
      <c r="B24" s="3">
        <v>44933</v>
      </c>
      <c r="C24">
        <f t="shared" si="0"/>
        <v>7</v>
      </c>
      <c r="D24">
        <f t="shared" si="1"/>
        <v>1</v>
      </c>
      <c r="E24">
        <f t="shared" si="2"/>
        <v>2023</v>
      </c>
      <c r="F24" s="2">
        <v>1022</v>
      </c>
      <c r="G24" s="2" t="s">
        <v>19</v>
      </c>
      <c r="H24" s="4">
        <f>SUMIFS($F$2:$F$2739,$G$2:$G$2739,"Multi-year Contract",$E$2:$E$2739,2023)/SUMIF($E$2:$E$2739,2023,$F$2:$F$2739)</f>
        <v>0.5137784540236352</v>
      </c>
    </row>
    <row r="25" spans="1:8" x14ac:dyDescent="0.3">
      <c r="A25" t="s">
        <v>8</v>
      </c>
      <c r="B25" s="3">
        <v>44933</v>
      </c>
      <c r="C25">
        <f t="shared" si="0"/>
        <v>7</v>
      </c>
      <c r="D25">
        <f t="shared" si="1"/>
        <v>1</v>
      </c>
      <c r="E25">
        <f t="shared" si="2"/>
        <v>2023</v>
      </c>
      <c r="F25" s="2">
        <v>864</v>
      </c>
      <c r="G25" s="2" t="s">
        <v>18</v>
      </c>
      <c r="H25" s="4">
        <f>SUMIFS($F$2:$F$2739,$G$2:$G$2739,"Annual Contract",$E$2:$E$2739,2023)/SUMIF($E$2:$E$2739,2023,$F$2:$F$2739)</f>
        <v>0.27687421727474026</v>
      </c>
    </row>
    <row r="26" spans="1:8" x14ac:dyDescent="0.3">
      <c r="A26" t="s">
        <v>4</v>
      </c>
      <c r="B26" s="3">
        <v>44934</v>
      </c>
      <c r="C26">
        <f t="shared" si="0"/>
        <v>8</v>
      </c>
      <c r="D26">
        <f t="shared" si="1"/>
        <v>1</v>
      </c>
      <c r="E26">
        <f t="shared" si="2"/>
        <v>2023</v>
      </c>
      <c r="F26" s="2">
        <v>3307</v>
      </c>
      <c r="G26" s="2" t="s">
        <v>19</v>
      </c>
      <c r="H26" s="4">
        <f>SUMIFS($F$2:$F$2739,$G$2:$G$2739,"Multi-year Contract",$E$2:$E$2739,2023)/SUMIF($E$2:$E$2739,2023,$F$2:$F$2739)</f>
        <v>0.5137784540236352</v>
      </c>
    </row>
    <row r="27" spans="1:8" x14ac:dyDescent="0.3">
      <c r="A27" t="s">
        <v>6</v>
      </c>
      <c r="B27" s="3">
        <v>44934</v>
      </c>
      <c r="C27">
        <f t="shared" si="0"/>
        <v>8</v>
      </c>
      <c r="D27">
        <f t="shared" si="1"/>
        <v>1</v>
      </c>
      <c r="E27">
        <f t="shared" si="2"/>
        <v>2023</v>
      </c>
      <c r="F27" s="2">
        <v>3114</v>
      </c>
      <c r="G27" t="s">
        <v>18</v>
      </c>
      <c r="H27" s="4">
        <f t="shared" ref="H27:H28" si="6">SUMIFS($F$2:$F$2739,$G$2:$G$2739,"Annual Contract",$E$2:$E$2739,2023)/SUMIF($E$2:$E$2739,2023,$F$2:$F$2739)</f>
        <v>0.27687421727474026</v>
      </c>
    </row>
    <row r="28" spans="1:8" x14ac:dyDescent="0.3">
      <c r="A28" t="s">
        <v>5</v>
      </c>
      <c r="B28" s="3">
        <v>44934</v>
      </c>
      <c r="C28">
        <f t="shared" si="0"/>
        <v>8</v>
      </c>
      <c r="D28">
        <f t="shared" si="1"/>
        <v>1</v>
      </c>
      <c r="E28">
        <f t="shared" si="2"/>
        <v>2023</v>
      </c>
      <c r="F28" s="2">
        <v>3007</v>
      </c>
      <c r="G28" t="s">
        <v>18</v>
      </c>
      <c r="H28" s="4">
        <f t="shared" si="6"/>
        <v>0.27687421727474026</v>
      </c>
    </row>
    <row r="29" spans="1:8" x14ac:dyDescent="0.3">
      <c r="A29" t="s">
        <v>4</v>
      </c>
      <c r="B29" s="3">
        <v>44934</v>
      </c>
      <c r="C29">
        <f t="shared" si="0"/>
        <v>8</v>
      </c>
      <c r="D29">
        <f t="shared" si="1"/>
        <v>1</v>
      </c>
      <c r="E29">
        <f t="shared" si="2"/>
        <v>2023</v>
      </c>
      <c r="F29" s="2">
        <v>1451</v>
      </c>
      <c r="G29" s="2" t="s">
        <v>19</v>
      </c>
      <c r="H29" s="4">
        <f t="shared" ref="H29:H30" si="7">SUMIFS($F$2:$F$2739,$G$2:$G$2739,"Multi-year Contract",$E$2:$E$2739,2023)/SUMIF($E$2:$E$2739,2023,$F$2:$F$2739)</f>
        <v>0.5137784540236352</v>
      </c>
    </row>
    <row r="30" spans="1:8" x14ac:dyDescent="0.3">
      <c r="A30" t="s">
        <v>11</v>
      </c>
      <c r="B30" s="3">
        <v>44934</v>
      </c>
      <c r="C30">
        <f t="shared" si="0"/>
        <v>8</v>
      </c>
      <c r="D30">
        <f t="shared" si="1"/>
        <v>1</v>
      </c>
      <c r="E30">
        <f t="shared" si="2"/>
        <v>2023</v>
      </c>
      <c r="F30" s="2">
        <v>2858</v>
      </c>
      <c r="G30" t="s">
        <v>19</v>
      </c>
      <c r="H30" s="4">
        <f t="shared" si="7"/>
        <v>0.5137784540236352</v>
      </c>
    </row>
    <row r="31" spans="1:8" x14ac:dyDescent="0.3">
      <c r="A31" t="s">
        <v>6</v>
      </c>
      <c r="B31" s="3">
        <v>44934</v>
      </c>
      <c r="C31">
        <f t="shared" si="0"/>
        <v>8</v>
      </c>
      <c r="D31">
        <f t="shared" si="1"/>
        <v>1</v>
      </c>
      <c r="E31">
        <f t="shared" si="2"/>
        <v>2023</v>
      </c>
      <c r="F31" s="2">
        <v>3041</v>
      </c>
      <c r="G31" t="s">
        <v>18</v>
      </c>
      <c r="H31" s="4">
        <f t="shared" ref="H31:H32" si="8">SUMIFS($F$2:$F$2739,$G$2:$G$2739,"Annual Contract",$E$2:$E$2739,2023)/SUMIF($E$2:$E$2739,2023,$F$2:$F$2739)</f>
        <v>0.27687421727474026</v>
      </c>
    </row>
    <row r="32" spans="1:8" x14ac:dyDescent="0.3">
      <c r="A32" t="s">
        <v>8</v>
      </c>
      <c r="B32" s="3">
        <v>44934</v>
      </c>
      <c r="C32">
        <f t="shared" si="0"/>
        <v>8</v>
      </c>
      <c r="D32">
        <f t="shared" si="1"/>
        <v>1</v>
      </c>
      <c r="E32">
        <f t="shared" si="2"/>
        <v>2023</v>
      </c>
      <c r="F32" s="2">
        <v>2078</v>
      </c>
      <c r="G32" s="2" t="s">
        <v>18</v>
      </c>
      <c r="H32" s="4">
        <f t="shared" si="8"/>
        <v>0.27687421727474026</v>
      </c>
    </row>
    <row r="33" spans="1:8" x14ac:dyDescent="0.3">
      <c r="A33" t="s">
        <v>9</v>
      </c>
      <c r="B33" s="3">
        <v>44935</v>
      </c>
      <c r="C33">
        <f t="shared" si="0"/>
        <v>9</v>
      </c>
      <c r="D33">
        <f t="shared" si="1"/>
        <v>1</v>
      </c>
      <c r="E33">
        <f t="shared" si="2"/>
        <v>2023</v>
      </c>
      <c r="F33" s="2">
        <v>3983</v>
      </c>
      <c r="G33" t="s">
        <v>17</v>
      </c>
      <c r="H33" s="4">
        <f>SUMIFS($F$2:$F$2739,$G$2:$G$2739,"No Contract",$E$2:$E$2739,2023)/SUMIF($E$2:$E$2739,2023,$F$2:$F$2739)</f>
        <v>0.20934732870162456</v>
      </c>
    </row>
    <row r="34" spans="1:8" x14ac:dyDescent="0.3">
      <c r="A34" t="s">
        <v>3</v>
      </c>
      <c r="B34" s="3">
        <v>44935</v>
      </c>
      <c r="C34">
        <f t="shared" si="0"/>
        <v>9</v>
      </c>
      <c r="D34">
        <f t="shared" si="1"/>
        <v>1</v>
      </c>
      <c r="E34">
        <f t="shared" si="2"/>
        <v>2023</v>
      </c>
      <c r="F34" s="2">
        <v>793</v>
      </c>
      <c r="G34" t="s">
        <v>19</v>
      </c>
      <c r="H34" s="4">
        <f t="shared" ref="H34:H35" si="9">SUMIFS($F$2:$F$2739,$G$2:$G$2739,"Multi-year Contract",$E$2:$E$2739,2023)/SUMIF($E$2:$E$2739,2023,$F$2:$F$2739)</f>
        <v>0.5137784540236352</v>
      </c>
    </row>
    <row r="35" spans="1:8" x14ac:dyDescent="0.3">
      <c r="A35" t="s">
        <v>12</v>
      </c>
      <c r="B35" s="3">
        <v>44935</v>
      </c>
      <c r="C35">
        <f t="shared" si="0"/>
        <v>9</v>
      </c>
      <c r="D35">
        <f t="shared" si="1"/>
        <v>1</v>
      </c>
      <c r="E35">
        <f t="shared" si="2"/>
        <v>2023</v>
      </c>
      <c r="F35" s="2">
        <v>2502</v>
      </c>
      <c r="G35" s="2" t="s">
        <v>19</v>
      </c>
      <c r="H35" s="4">
        <f t="shared" si="9"/>
        <v>0.5137784540236352</v>
      </c>
    </row>
    <row r="36" spans="1:8" x14ac:dyDescent="0.3">
      <c r="A36" t="s">
        <v>6</v>
      </c>
      <c r="B36" s="3">
        <v>44936</v>
      </c>
      <c r="C36">
        <f t="shared" si="0"/>
        <v>10</v>
      </c>
      <c r="D36">
        <f t="shared" si="1"/>
        <v>1</v>
      </c>
      <c r="E36">
        <f t="shared" si="2"/>
        <v>2023</v>
      </c>
      <c r="F36" s="2">
        <v>2417</v>
      </c>
      <c r="G36" t="s">
        <v>18</v>
      </c>
      <c r="H36" s="4">
        <f t="shared" ref="H36:H37" si="10">SUMIFS($F$2:$F$2739,$G$2:$G$2739,"Annual Contract",$E$2:$E$2739,2023)/SUMIF($E$2:$E$2739,2023,$F$2:$F$2739)</f>
        <v>0.27687421727474026</v>
      </c>
    </row>
    <row r="37" spans="1:8" x14ac:dyDescent="0.3">
      <c r="A37" t="s">
        <v>5</v>
      </c>
      <c r="B37" s="3">
        <v>44936</v>
      </c>
      <c r="C37">
        <f t="shared" si="0"/>
        <v>10</v>
      </c>
      <c r="D37">
        <f t="shared" si="1"/>
        <v>1</v>
      </c>
      <c r="E37">
        <f t="shared" si="2"/>
        <v>2023</v>
      </c>
      <c r="F37" s="2">
        <v>3189</v>
      </c>
      <c r="G37" t="s">
        <v>18</v>
      </c>
      <c r="H37" s="4">
        <f t="shared" si="10"/>
        <v>0.27687421727474026</v>
      </c>
    </row>
    <row r="38" spans="1:8" x14ac:dyDescent="0.3">
      <c r="A38" t="s">
        <v>4</v>
      </c>
      <c r="B38" s="3">
        <v>44936</v>
      </c>
      <c r="C38">
        <f t="shared" si="0"/>
        <v>10</v>
      </c>
      <c r="D38">
        <f t="shared" si="1"/>
        <v>1</v>
      </c>
      <c r="E38">
        <f t="shared" si="2"/>
        <v>2023</v>
      </c>
      <c r="F38" s="2">
        <v>655</v>
      </c>
      <c r="G38" s="2" t="s">
        <v>19</v>
      </c>
      <c r="H38" s="4">
        <f t="shared" ref="H38:H41" si="11">SUMIFS($F$2:$F$2739,$G$2:$G$2739,"Multi-year Contract",$E$2:$E$2739,2023)/SUMIF($E$2:$E$2739,2023,$F$2:$F$2739)</f>
        <v>0.5137784540236352</v>
      </c>
    </row>
    <row r="39" spans="1:8" x14ac:dyDescent="0.3">
      <c r="A39" t="s">
        <v>4</v>
      </c>
      <c r="B39" s="3">
        <v>44936</v>
      </c>
      <c r="C39">
        <f t="shared" si="0"/>
        <v>10</v>
      </c>
      <c r="D39">
        <f t="shared" si="1"/>
        <v>1</v>
      </c>
      <c r="E39">
        <f t="shared" si="2"/>
        <v>2023</v>
      </c>
      <c r="F39" s="2">
        <v>1992</v>
      </c>
      <c r="G39" s="2" t="s">
        <v>19</v>
      </c>
      <c r="H39" s="4">
        <f t="shared" si="11"/>
        <v>0.5137784540236352</v>
      </c>
    </row>
    <row r="40" spans="1:8" x14ac:dyDescent="0.3">
      <c r="A40" t="s">
        <v>4</v>
      </c>
      <c r="B40" s="3">
        <v>44936</v>
      </c>
      <c r="C40">
        <f t="shared" si="0"/>
        <v>10</v>
      </c>
      <c r="D40">
        <f t="shared" si="1"/>
        <v>1</v>
      </c>
      <c r="E40">
        <f t="shared" si="2"/>
        <v>2023</v>
      </c>
      <c r="F40" s="2">
        <v>1126</v>
      </c>
      <c r="G40" s="2" t="s">
        <v>19</v>
      </c>
      <c r="H40" s="4">
        <f t="shared" si="11"/>
        <v>0.5137784540236352</v>
      </c>
    </row>
    <row r="41" spans="1:8" x14ac:dyDescent="0.3">
      <c r="A41" t="s">
        <v>4</v>
      </c>
      <c r="B41" s="3">
        <v>44936</v>
      </c>
      <c r="C41">
        <f t="shared" si="0"/>
        <v>10</v>
      </c>
      <c r="D41">
        <f t="shared" si="1"/>
        <v>1</v>
      </c>
      <c r="E41">
        <f t="shared" si="2"/>
        <v>2023</v>
      </c>
      <c r="F41" s="2">
        <v>2344</v>
      </c>
      <c r="G41" s="2" t="s">
        <v>19</v>
      </c>
      <c r="H41" s="4">
        <f t="shared" si="11"/>
        <v>0.5137784540236352</v>
      </c>
    </row>
    <row r="42" spans="1:8" x14ac:dyDescent="0.3">
      <c r="A42" t="s">
        <v>7</v>
      </c>
      <c r="B42" s="3">
        <v>44937</v>
      </c>
      <c r="C42">
        <f t="shared" si="0"/>
        <v>11</v>
      </c>
      <c r="D42">
        <f t="shared" si="1"/>
        <v>1</v>
      </c>
      <c r="E42">
        <f t="shared" si="2"/>
        <v>2023</v>
      </c>
      <c r="F42" s="2">
        <v>1894</v>
      </c>
      <c r="G42" t="s">
        <v>17</v>
      </c>
      <c r="H42" s="4">
        <f>SUMIFS($F$2:$F$2739,$G$2:$G$2739,"No Contract",$E$2:$E$2739,2023)/SUMIF($E$2:$E$2739,2023,$F$2:$F$2739)</f>
        <v>0.20934732870162456</v>
      </c>
    </row>
    <row r="43" spans="1:8" x14ac:dyDescent="0.3">
      <c r="A43" t="s">
        <v>4</v>
      </c>
      <c r="B43" s="3">
        <v>44937</v>
      </c>
      <c r="C43">
        <f t="shared" si="0"/>
        <v>11</v>
      </c>
      <c r="D43">
        <f t="shared" si="1"/>
        <v>1</v>
      </c>
      <c r="E43">
        <f t="shared" si="2"/>
        <v>2023</v>
      </c>
      <c r="F43" s="2">
        <v>2337</v>
      </c>
      <c r="G43" s="2" t="s">
        <v>19</v>
      </c>
      <c r="H43" s="4">
        <f t="shared" ref="H43:H44" si="12">SUMIFS($F$2:$F$2739,$G$2:$G$2739,"Multi-year Contract",$E$2:$E$2739,2023)/SUMIF($E$2:$E$2739,2023,$F$2:$F$2739)</f>
        <v>0.5137784540236352</v>
      </c>
    </row>
    <row r="44" spans="1:8" x14ac:dyDescent="0.3">
      <c r="A44" t="s">
        <v>3</v>
      </c>
      <c r="B44" s="3">
        <v>44938</v>
      </c>
      <c r="C44">
        <f t="shared" si="0"/>
        <v>12</v>
      </c>
      <c r="D44">
        <f t="shared" si="1"/>
        <v>1</v>
      </c>
      <c r="E44">
        <f t="shared" si="2"/>
        <v>2023</v>
      </c>
      <c r="F44" s="2">
        <v>1467</v>
      </c>
      <c r="G44" t="s">
        <v>19</v>
      </c>
      <c r="H44" s="4">
        <f t="shared" si="12"/>
        <v>0.5137784540236352</v>
      </c>
    </row>
    <row r="45" spans="1:8" x14ac:dyDescent="0.3">
      <c r="A45" t="s">
        <v>9</v>
      </c>
      <c r="B45" s="3">
        <v>44938</v>
      </c>
      <c r="C45">
        <f t="shared" si="0"/>
        <v>12</v>
      </c>
      <c r="D45">
        <f t="shared" si="1"/>
        <v>1</v>
      </c>
      <c r="E45">
        <f t="shared" si="2"/>
        <v>2023</v>
      </c>
      <c r="F45" s="2">
        <v>3469</v>
      </c>
      <c r="G45" t="s">
        <v>17</v>
      </c>
      <c r="H45" s="4">
        <f t="shared" ref="H45:H46" si="13">SUMIFS($F$2:$F$2739,$G$2:$G$2739,"No Contract",$E$2:$E$2739,2023)/SUMIF($E$2:$E$2739,2023,$F$2:$F$2739)</f>
        <v>0.20934732870162456</v>
      </c>
    </row>
    <row r="46" spans="1:8" x14ac:dyDescent="0.3">
      <c r="A46" t="s">
        <v>7</v>
      </c>
      <c r="B46" s="3">
        <v>44938</v>
      </c>
      <c r="C46">
        <f t="shared" si="0"/>
        <v>12</v>
      </c>
      <c r="D46">
        <f t="shared" si="1"/>
        <v>1</v>
      </c>
      <c r="E46">
        <f t="shared" si="2"/>
        <v>2023</v>
      </c>
      <c r="F46" s="2">
        <v>1110</v>
      </c>
      <c r="G46" t="s">
        <v>17</v>
      </c>
      <c r="H46" s="4">
        <f t="shared" si="13"/>
        <v>0.20934732870162456</v>
      </c>
    </row>
    <row r="47" spans="1:8" x14ac:dyDescent="0.3">
      <c r="A47" t="s">
        <v>12</v>
      </c>
      <c r="B47" s="3">
        <v>44939</v>
      </c>
      <c r="C47">
        <f t="shared" si="0"/>
        <v>13</v>
      </c>
      <c r="D47">
        <f t="shared" si="1"/>
        <v>1</v>
      </c>
      <c r="E47">
        <f t="shared" si="2"/>
        <v>2023</v>
      </c>
      <c r="F47" s="2">
        <v>2708</v>
      </c>
      <c r="G47" s="2" t="s">
        <v>19</v>
      </c>
      <c r="H47" s="4">
        <f>SUMIFS($F$2:$F$2739,$G$2:$G$2739,"Multi-year Contract",$E$2:$E$2739,2023)/SUMIF($E$2:$E$2739,2023,$F$2:$F$2739)</f>
        <v>0.5137784540236352</v>
      </c>
    </row>
    <row r="48" spans="1:8" x14ac:dyDescent="0.3">
      <c r="A48" t="s">
        <v>7</v>
      </c>
      <c r="B48" s="3">
        <v>44940</v>
      </c>
      <c r="C48">
        <f t="shared" si="0"/>
        <v>14</v>
      </c>
      <c r="D48">
        <f t="shared" si="1"/>
        <v>1</v>
      </c>
      <c r="E48">
        <f t="shared" si="2"/>
        <v>2023</v>
      </c>
      <c r="F48" s="2">
        <v>2117</v>
      </c>
      <c r="G48" t="s">
        <v>17</v>
      </c>
      <c r="H48" s="4">
        <f>SUMIFS($F$2:$F$2739,$G$2:$G$2739,"No Contract",$E$2:$E$2739,2023)/SUMIF($E$2:$E$2739,2023,$F$2:$F$2739)</f>
        <v>0.20934732870162456</v>
      </c>
    </row>
    <row r="49" spans="1:8" x14ac:dyDescent="0.3">
      <c r="A49" t="s">
        <v>3</v>
      </c>
      <c r="B49" s="3">
        <v>44940</v>
      </c>
      <c r="C49">
        <f t="shared" si="0"/>
        <v>14</v>
      </c>
      <c r="D49">
        <f t="shared" si="1"/>
        <v>1</v>
      </c>
      <c r="E49">
        <f t="shared" si="2"/>
        <v>2023</v>
      </c>
      <c r="F49" s="2">
        <v>647</v>
      </c>
      <c r="G49" t="s">
        <v>19</v>
      </c>
      <c r="H49" s="4">
        <f t="shared" ref="H49:H51" si="14">SUMIFS($F$2:$F$2739,$G$2:$G$2739,"Multi-year Contract",$E$2:$E$2739,2023)/SUMIF($E$2:$E$2739,2023,$F$2:$F$2739)</f>
        <v>0.5137784540236352</v>
      </c>
    </row>
    <row r="50" spans="1:8" x14ac:dyDescent="0.3">
      <c r="A50" t="s">
        <v>3</v>
      </c>
      <c r="B50" s="3">
        <v>44940</v>
      </c>
      <c r="C50">
        <f t="shared" si="0"/>
        <v>14</v>
      </c>
      <c r="D50">
        <f t="shared" si="1"/>
        <v>1</v>
      </c>
      <c r="E50">
        <f t="shared" si="2"/>
        <v>2023</v>
      </c>
      <c r="F50" s="2">
        <v>2572</v>
      </c>
      <c r="G50" t="s">
        <v>19</v>
      </c>
      <c r="H50" s="4">
        <f t="shared" si="14"/>
        <v>0.5137784540236352</v>
      </c>
    </row>
    <row r="51" spans="1:8" x14ac:dyDescent="0.3">
      <c r="A51" t="s">
        <v>3</v>
      </c>
      <c r="B51" s="3">
        <v>44940</v>
      </c>
      <c r="C51">
        <f t="shared" si="0"/>
        <v>14</v>
      </c>
      <c r="D51">
        <f t="shared" si="1"/>
        <v>1</v>
      </c>
      <c r="E51">
        <f t="shared" si="2"/>
        <v>2023</v>
      </c>
      <c r="F51" s="2">
        <v>3888</v>
      </c>
      <c r="G51" t="s">
        <v>19</v>
      </c>
      <c r="H51" s="4">
        <f t="shared" si="14"/>
        <v>0.5137784540236352</v>
      </c>
    </row>
    <row r="52" spans="1:8" x14ac:dyDescent="0.3">
      <c r="A52" t="s">
        <v>9</v>
      </c>
      <c r="B52" s="3">
        <v>44941</v>
      </c>
      <c r="C52">
        <f t="shared" si="0"/>
        <v>15</v>
      </c>
      <c r="D52">
        <f t="shared" si="1"/>
        <v>1</v>
      </c>
      <c r="E52">
        <f t="shared" si="2"/>
        <v>2023</v>
      </c>
      <c r="F52" s="2">
        <v>3614</v>
      </c>
      <c r="G52" t="s">
        <v>17</v>
      </c>
      <c r="H52" s="4">
        <f t="shared" ref="H52:H53" si="15">SUMIFS($F$2:$F$2739,$G$2:$G$2739,"No Contract",$E$2:$E$2739,2023)/SUMIF($E$2:$E$2739,2023,$F$2:$F$2739)</f>
        <v>0.20934732870162456</v>
      </c>
    </row>
    <row r="53" spans="1:8" x14ac:dyDescent="0.3">
      <c r="A53" t="s">
        <v>7</v>
      </c>
      <c r="B53" s="3">
        <v>44941</v>
      </c>
      <c r="C53">
        <f t="shared" si="0"/>
        <v>15</v>
      </c>
      <c r="D53">
        <f t="shared" si="1"/>
        <v>1</v>
      </c>
      <c r="E53">
        <f t="shared" si="2"/>
        <v>2023</v>
      </c>
      <c r="F53" s="2">
        <v>1681</v>
      </c>
      <c r="G53" t="s">
        <v>17</v>
      </c>
      <c r="H53" s="4">
        <f t="shared" si="15"/>
        <v>0.20934732870162456</v>
      </c>
    </row>
    <row r="54" spans="1:8" x14ac:dyDescent="0.3">
      <c r="A54" t="s">
        <v>5</v>
      </c>
      <c r="B54" s="3">
        <v>44941</v>
      </c>
      <c r="C54">
        <f t="shared" si="0"/>
        <v>15</v>
      </c>
      <c r="D54">
        <f t="shared" si="1"/>
        <v>1</v>
      </c>
      <c r="E54">
        <f t="shared" si="2"/>
        <v>2023</v>
      </c>
      <c r="F54" s="2">
        <v>1145</v>
      </c>
      <c r="G54" t="s">
        <v>18</v>
      </c>
      <c r="H54" s="4">
        <f>SUMIFS($F$2:$F$2739,$G$2:$G$2739,"Annual Contract",$E$2:$E$2739,2023)/SUMIF($E$2:$E$2739,2023,$F$2:$F$2739)</f>
        <v>0.27687421727474026</v>
      </c>
    </row>
    <row r="55" spans="1:8" x14ac:dyDescent="0.3">
      <c r="A55" t="s">
        <v>4</v>
      </c>
      <c r="B55" s="3">
        <v>44941</v>
      </c>
      <c r="C55">
        <f t="shared" si="0"/>
        <v>15</v>
      </c>
      <c r="D55">
        <f t="shared" si="1"/>
        <v>1</v>
      </c>
      <c r="E55">
        <f t="shared" si="2"/>
        <v>2023</v>
      </c>
      <c r="F55" s="2">
        <v>2293</v>
      </c>
      <c r="G55" s="2" t="s">
        <v>19</v>
      </c>
      <c r="H55" s="4">
        <f t="shared" ref="H55:H58" si="16">SUMIFS($F$2:$F$2739,$G$2:$G$2739,"Multi-year Contract",$E$2:$E$2739,2023)/SUMIF($E$2:$E$2739,2023,$F$2:$F$2739)</f>
        <v>0.5137784540236352</v>
      </c>
    </row>
    <row r="56" spans="1:8" x14ac:dyDescent="0.3">
      <c r="A56" t="s">
        <v>10</v>
      </c>
      <c r="B56" s="3">
        <v>44942</v>
      </c>
      <c r="C56">
        <f t="shared" si="0"/>
        <v>16</v>
      </c>
      <c r="D56">
        <f t="shared" si="1"/>
        <v>1</v>
      </c>
      <c r="E56">
        <f t="shared" si="2"/>
        <v>2023</v>
      </c>
      <c r="F56" s="2">
        <v>3476</v>
      </c>
      <c r="G56" t="s">
        <v>19</v>
      </c>
      <c r="H56" s="4">
        <f t="shared" si="16"/>
        <v>0.5137784540236352</v>
      </c>
    </row>
    <row r="57" spans="1:8" x14ac:dyDescent="0.3">
      <c r="A57" t="s">
        <v>10</v>
      </c>
      <c r="B57" s="3">
        <v>44942</v>
      </c>
      <c r="C57">
        <f t="shared" si="0"/>
        <v>16</v>
      </c>
      <c r="D57">
        <f t="shared" si="1"/>
        <v>1</v>
      </c>
      <c r="E57">
        <f t="shared" si="2"/>
        <v>2023</v>
      </c>
      <c r="F57" s="2">
        <v>3308</v>
      </c>
      <c r="G57" t="s">
        <v>19</v>
      </c>
      <c r="H57" s="4">
        <f t="shared" si="16"/>
        <v>0.5137784540236352</v>
      </c>
    </row>
    <row r="58" spans="1:8" x14ac:dyDescent="0.3">
      <c r="A58" t="s">
        <v>3</v>
      </c>
      <c r="B58" s="3">
        <v>44942</v>
      </c>
      <c r="C58">
        <f t="shared" si="0"/>
        <v>16</v>
      </c>
      <c r="D58">
        <f t="shared" si="1"/>
        <v>1</v>
      </c>
      <c r="E58">
        <f t="shared" si="2"/>
        <v>2023</v>
      </c>
      <c r="F58" s="2">
        <v>1678</v>
      </c>
      <c r="G58" t="s">
        <v>19</v>
      </c>
      <c r="H58" s="4">
        <f t="shared" si="16"/>
        <v>0.5137784540236352</v>
      </c>
    </row>
    <row r="59" spans="1:8" x14ac:dyDescent="0.3">
      <c r="A59" t="s">
        <v>7</v>
      </c>
      <c r="B59" s="3">
        <v>44942</v>
      </c>
      <c r="C59">
        <f t="shared" si="0"/>
        <v>16</v>
      </c>
      <c r="D59">
        <f t="shared" si="1"/>
        <v>1</v>
      </c>
      <c r="E59">
        <f t="shared" si="2"/>
        <v>2023</v>
      </c>
      <c r="F59" s="2">
        <v>2786</v>
      </c>
      <c r="G59" t="s">
        <v>17</v>
      </c>
      <c r="H59" s="4">
        <f t="shared" ref="H59:H60" si="17">SUMIFS($F$2:$F$2739,$G$2:$G$2739,"No Contract",$E$2:$E$2739,2023)/SUMIF($E$2:$E$2739,2023,$F$2:$F$2739)</f>
        <v>0.20934732870162456</v>
      </c>
    </row>
    <row r="60" spans="1:8" x14ac:dyDescent="0.3">
      <c r="A60" t="s">
        <v>9</v>
      </c>
      <c r="B60" s="3">
        <v>44942</v>
      </c>
      <c r="C60">
        <f t="shared" si="0"/>
        <v>16</v>
      </c>
      <c r="D60">
        <f t="shared" si="1"/>
        <v>1</v>
      </c>
      <c r="E60">
        <f t="shared" si="2"/>
        <v>2023</v>
      </c>
      <c r="F60" s="2">
        <v>1801</v>
      </c>
      <c r="G60" t="s">
        <v>17</v>
      </c>
      <c r="H60" s="4">
        <f t="shared" si="17"/>
        <v>0.20934732870162456</v>
      </c>
    </row>
    <row r="61" spans="1:8" x14ac:dyDescent="0.3">
      <c r="A61" t="s">
        <v>11</v>
      </c>
      <c r="B61" s="3">
        <v>44942</v>
      </c>
      <c r="C61">
        <f t="shared" si="0"/>
        <v>16</v>
      </c>
      <c r="D61">
        <f t="shared" si="1"/>
        <v>1</v>
      </c>
      <c r="E61">
        <f t="shared" si="2"/>
        <v>2023</v>
      </c>
      <c r="F61" s="2">
        <v>3338</v>
      </c>
      <c r="G61" t="s">
        <v>19</v>
      </c>
      <c r="H61" s="4">
        <f t="shared" ref="H61:H63" si="18">SUMIFS($F$2:$F$2739,$G$2:$G$2739,"Multi-year Contract",$E$2:$E$2739,2023)/SUMIF($E$2:$E$2739,2023,$F$2:$F$2739)</f>
        <v>0.5137784540236352</v>
      </c>
    </row>
    <row r="62" spans="1:8" x14ac:dyDescent="0.3">
      <c r="A62" t="s">
        <v>3</v>
      </c>
      <c r="B62" s="3">
        <v>44943</v>
      </c>
      <c r="C62">
        <f t="shared" si="0"/>
        <v>17</v>
      </c>
      <c r="D62">
        <f t="shared" si="1"/>
        <v>1</v>
      </c>
      <c r="E62">
        <f t="shared" si="2"/>
        <v>2023</v>
      </c>
      <c r="F62" s="2">
        <v>1747</v>
      </c>
      <c r="G62" t="s">
        <v>19</v>
      </c>
      <c r="H62" s="4">
        <f t="shared" si="18"/>
        <v>0.5137784540236352</v>
      </c>
    </row>
    <row r="63" spans="1:8" x14ac:dyDescent="0.3">
      <c r="A63" t="s">
        <v>11</v>
      </c>
      <c r="B63" s="3">
        <v>44944</v>
      </c>
      <c r="C63">
        <f t="shared" si="0"/>
        <v>18</v>
      </c>
      <c r="D63">
        <f t="shared" si="1"/>
        <v>1</v>
      </c>
      <c r="E63">
        <f t="shared" si="2"/>
        <v>2023</v>
      </c>
      <c r="F63" s="2">
        <v>2068</v>
      </c>
      <c r="G63" t="s">
        <v>19</v>
      </c>
      <c r="H63" s="4">
        <f t="shared" si="18"/>
        <v>0.5137784540236352</v>
      </c>
    </row>
    <row r="64" spans="1:8" x14ac:dyDescent="0.3">
      <c r="A64" t="s">
        <v>8</v>
      </c>
      <c r="B64" s="3">
        <v>44944</v>
      </c>
      <c r="C64">
        <f t="shared" si="0"/>
        <v>18</v>
      </c>
      <c r="D64">
        <f t="shared" si="1"/>
        <v>1</v>
      </c>
      <c r="E64">
        <f t="shared" si="2"/>
        <v>2023</v>
      </c>
      <c r="F64" s="2">
        <v>3436</v>
      </c>
      <c r="G64" s="2" t="s">
        <v>18</v>
      </c>
      <c r="H64" s="4">
        <f>SUMIFS($F$2:$F$2739,$G$2:$G$2739,"Annual Contract",$E$2:$E$2739,2023)/SUMIF($E$2:$E$2739,2023,$F$2:$F$2739)</f>
        <v>0.27687421727474026</v>
      </c>
    </row>
    <row r="65" spans="1:8" x14ac:dyDescent="0.3">
      <c r="A65" t="s">
        <v>7</v>
      </c>
      <c r="B65" s="3">
        <v>44945</v>
      </c>
      <c r="C65">
        <f t="shared" si="0"/>
        <v>19</v>
      </c>
      <c r="D65">
        <f t="shared" si="1"/>
        <v>1</v>
      </c>
      <c r="E65">
        <f t="shared" si="2"/>
        <v>2023</v>
      </c>
      <c r="F65" s="2">
        <v>3934</v>
      </c>
      <c r="G65" t="s">
        <v>17</v>
      </c>
      <c r="H65" s="4">
        <f>SUMIFS($F$2:$F$2739,$G$2:$G$2739,"No Contract",$E$2:$E$2739,2023)/SUMIF($E$2:$E$2739,2023,$F$2:$F$2739)</f>
        <v>0.20934732870162456</v>
      </c>
    </row>
    <row r="66" spans="1:8" x14ac:dyDescent="0.3">
      <c r="A66" t="s">
        <v>11</v>
      </c>
      <c r="B66" s="3">
        <v>44945</v>
      </c>
      <c r="C66">
        <f t="shared" si="0"/>
        <v>19</v>
      </c>
      <c r="D66">
        <f t="shared" si="1"/>
        <v>1</v>
      </c>
      <c r="E66">
        <f t="shared" si="2"/>
        <v>2023</v>
      </c>
      <c r="F66" s="2">
        <v>1617</v>
      </c>
      <c r="G66" t="s">
        <v>19</v>
      </c>
      <c r="H66" s="4">
        <f>SUMIFS($F$2:$F$2739,$G$2:$G$2739,"Multi-year Contract",$E$2:$E$2739,2023)/SUMIF($E$2:$E$2739,2023,$F$2:$F$2739)</f>
        <v>0.5137784540236352</v>
      </c>
    </row>
    <row r="67" spans="1:8" x14ac:dyDescent="0.3">
      <c r="A67" t="s">
        <v>6</v>
      </c>
      <c r="B67" s="3">
        <v>44945</v>
      </c>
      <c r="C67">
        <f t="shared" ref="C67:C130" si="19">DAY(B67)</f>
        <v>19</v>
      </c>
      <c r="D67">
        <f t="shared" ref="D67:D130" si="20">MONTH(B67)</f>
        <v>1</v>
      </c>
      <c r="E67">
        <f t="shared" ref="E67:E130" si="21">YEAR(B67)</f>
        <v>2023</v>
      </c>
      <c r="F67" s="2">
        <v>3964</v>
      </c>
      <c r="G67" t="s">
        <v>18</v>
      </c>
      <c r="H67" s="4">
        <f t="shared" ref="H67:H68" si="22">SUMIFS($F$2:$F$2739,$G$2:$G$2739,"Annual Contract",$E$2:$E$2739,2023)/SUMIF($E$2:$E$2739,2023,$F$2:$F$2739)</f>
        <v>0.27687421727474026</v>
      </c>
    </row>
    <row r="68" spans="1:8" x14ac:dyDescent="0.3">
      <c r="A68" t="s">
        <v>5</v>
      </c>
      <c r="B68" s="3">
        <v>44945</v>
      </c>
      <c r="C68">
        <f t="shared" si="19"/>
        <v>19</v>
      </c>
      <c r="D68">
        <f t="shared" si="20"/>
        <v>1</v>
      </c>
      <c r="E68">
        <f t="shared" si="21"/>
        <v>2023</v>
      </c>
      <c r="F68" s="2">
        <v>1505</v>
      </c>
      <c r="G68" t="s">
        <v>18</v>
      </c>
      <c r="H68" s="4">
        <f t="shared" si="22"/>
        <v>0.27687421727474026</v>
      </c>
    </row>
    <row r="69" spans="1:8" x14ac:dyDescent="0.3">
      <c r="A69" t="s">
        <v>12</v>
      </c>
      <c r="B69" s="3">
        <v>44945</v>
      </c>
      <c r="C69">
        <f t="shared" si="19"/>
        <v>19</v>
      </c>
      <c r="D69">
        <f t="shared" si="20"/>
        <v>1</v>
      </c>
      <c r="E69">
        <f t="shared" si="21"/>
        <v>2023</v>
      </c>
      <c r="F69" s="2">
        <v>2964</v>
      </c>
      <c r="G69" s="2" t="s">
        <v>19</v>
      </c>
      <c r="H69" s="4">
        <f t="shared" ref="H69:H70" si="23">SUMIFS($F$2:$F$2739,$G$2:$G$2739,"Multi-year Contract",$E$2:$E$2739,2023)/SUMIF($E$2:$E$2739,2023,$F$2:$F$2739)</f>
        <v>0.5137784540236352</v>
      </c>
    </row>
    <row r="70" spans="1:8" x14ac:dyDescent="0.3">
      <c r="A70" t="s">
        <v>10</v>
      </c>
      <c r="B70" s="3">
        <v>44946</v>
      </c>
      <c r="C70">
        <f t="shared" si="19"/>
        <v>20</v>
      </c>
      <c r="D70">
        <f t="shared" si="20"/>
        <v>1</v>
      </c>
      <c r="E70">
        <f t="shared" si="21"/>
        <v>2023</v>
      </c>
      <c r="F70" s="2">
        <v>3465</v>
      </c>
      <c r="G70" t="s">
        <v>19</v>
      </c>
      <c r="H70" s="4">
        <f t="shared" si="23"/>
        <v>0.5137784540236352</v>
      </c>
    </row>
    <row r="71" spans="1:8" x14ac:dyDescent="0.3">
      <c r="A71" t="s">
        <v>8</v>
      </c>
      <c r="B71" s="3">
        <v>44946</v>
      </c>
      <c r="C71">
        <f t="shared" si="19"/>
        <v>20</v>
      </c>
      <c r="D71">
        <f t="shared" si="20"/>
        <v>1</v>
      </c>
      <c r="E71">
        <f t="shared" si="21"/>
        <v>2023</v>
      </c>
      <c r="F71" s="2">
        <v>1188</v>
      </c>
      <c r="G71" s="2" t="s">
        <v>18</v>
      </c>
      <c r="H71" s="4">
        <f t="shared" ref="H71:H73" si="24">SUMIFS($F$2:$F$2739,$G$2:$G$2739,"Annual Contract",$E$2:$E$2739,2023)/SUMIF($E$2:$E$2739,2023,$F$2:$F$2739)</f>
        <v>0.27687421727474026</v>
      </c>
    </row>
    <row r="72" spans="1:8" x14ac:dyDescent="0.3">
      <c r="A72" t="s">
        <v>5</v>
      </c>
      <c r="B72" s="3">
        <v>44946</v>
      </c>
      <c r="C72">
        <f t="shared" si="19"/>
        <v>20</v>
      </c>
      <c r="D72">
        <f t="shared" si="20"/>
        <v>1</v>
      </c>
      <c r="E72">
        <f t="shared" si="21"/>
        <v>2023</v>
      </c>
      <c r="F72" s="2">
        <v>3541</v>
      </c>
      <c r="G72" t="s">
        <v>18</v>
      </c>
      <c r="H72" s="4">
        <f t="shared" si="24"/>
        <v>0.27687421727474026</v>
      </c>
    </row>
    <row r="73" spans="1:8" x14ac:dyDescent="0.3">
      <c r="A73" t="s">
        <v>5</v>
      </c>
      <c r="B73" s="3">
        <v>44947</v>
      </c>
      <c r="C73">
        <f t="shared" si="19"/>
        <v>21</v>
      </c>
      <c r="D73">
        <f t="shared" si="20"/>
        <v>1</v>
      </c>
      <c r="E73">
        <f t="shared" si="21"/>
        <v>2023</v>
      </c>
      <c r="F73" s="2">
        <v>595</v>
      </c>
      <c r="G73" t="s">
        <v>18</v>
      </c>
      <c r="H73" s="4">
        <f t="shared" si="24"/>
        <v>0.27687421727474026</v>
      </c>
    </row>
    <row r="74" spans="1:8" x14ac:dyDescent="0.3">
      <c r="A74" t="s">
        <v>3</v>
      </c>
      <c r="B74" s="3">
        <v>44947</v>
      </c>
      <c r="C74">
        <f t="shared" si="19"/>
        <v>21</v>
      </c>
      <c r="D74">
        <f t="shared" si="20"/>
        <v>1</v>
      </c>
      <c r="E74">
        <f t="shared" si="21"/>
        <v>2023</v>
      </c>
      <c r="F74" s="2">
        <v>2552</v>
      </c>
      <c r="G74" t="s">
        <v>19</v>
      </c>
      <c r="H74" s="4">
        <f>SUMIFS($F$2:$F$2739,$G$2:$G$2739,"Multi-year Contract",$E$2:$E$2739,2023)/SUMIF($E$2:$E$2739,2023,$F$2:$F$2739)</f>
        <v>0.5137784540236352</v>
      </c>
    </row>
    <row r="75" spans="1:8" x14ac:dyDescent="0.3">
      <c r="A75" t="s">
        <v>5</v>
      </c>
      <c r="B75" s="3">
        <v>44948</v>
      </c>
      <c r="C75">
        <f t="shared" si="19"/>
        <v>22</v>
      </c>
      <c r="D75">
        <f t="shared" si="20"/>
        <v>1</v>
      </c>
      <c r="E75">
        <f t="shared" si="21"/>
        <v>2023</v>
      </c>
      <c r="F75" s="2">
        <v>2811</v>
      </c>
      <c r="G75" t="s">
        <v>18</v>
      </c>
      <c r="H75" s="4">
        <f>SUMIFS($F$2:$F$2739,$G$2:$G$2739,"Annual Contract",$E$2:$E$2739,2023)/SUMIF($E$2:$E$2739,2023,$F$2:$F$2739)</f>
        <v>0.27687421727474026</v>
      </c>
    </row>
    <row r="76" spans="1:8" x14ac:dyDescent="0.3">
      <c r="A76" t="s">
        <v>11</v>
      </c>
      <c r="B76" s="3">
        <v>44948</v>
      </c>
      <c r="C76">
        <f t="shared" si="19"/>
        <v>22</v>
      </c>
      <c r="D76">
        <f t="shared" si="20"/>
        <v>1</v>
      </c>
      <c r="E76">
        <f t="shared" si="21"/>
        <v>2023</v>
      </c>
      <c r="F76" s="2">
        <v>925</v>
      </c>
      <c r="G76" t="s">
        <v>19</v>
      </c>
      <c r="H76" s="4">
        <f t="shared" ref="H76:H78" si="25">SUMIFS($F$2:$F$2739,$G$2:$G$2739,"Multi-year Contract",$E$2:$E$2739,2023)/SUMIF($E$2:$E$2739,2023,$F$2:$F$2739)</f>
        <v>0.5137784540236352</v>
      </c>
    </row>
    <row r="77" spans="1:8" x14ac:dyDescent="0.3">
      <c r="A77" t="s">
        <v>12</v>
      </c>
      <c r="B77" s="3">
        <v>44949</v>
      </c>
      <c r="C77">
        <f t="shared" si="19"/>
        <v>23</v>
      </c>
      <c r="D77">
        <f t="shared" si="20"/>
        <v>1</v>
      </c>
      <c r="E77">
        <f t="shared" si="21"/>
        <v>2023</v>
      </c>
      <c r="F77" s="2">
        <v>2606</v>
      </c>
      <c r="G77" s="2" t="s">
        <v>19</v>
      </c>
      <c r="H77" s="4">
        <f t="shared" si="25"/>
        <v>0.5137784540236352</v>
      </c>
    </row>
    <row r="78" spans="1:8" x14ac:dyDescent="0.3">
      <c r="A78" t="s">
        <v>10</v>
      </c>
      <c r="B78" s="3">
        <v>44950</v>
      </c>
      <c r="C78">
        <f t="shared" si="19"/>
        <v>24</v>
      </c>
      <c r="D78">
        <f t="shared" si="20"/>
        <v>1</v>
      </c>
      <c r="E78">
        <f t="shared" si="21"/>
        <v>2023</v>
      </c>
      <c r="F78" s="2">
        <v>3414</v>
      </c>
      <c r="G78" t="s">
        <v>19</v>
      </c>
      <c r="H78" s="4">
        <f t="shared" si="25"/>
        <v>0.5137784540236352</v>
      </c>
    </row>
    <row r="79" spans="1:8" x14ac:dyDescent="0.3">
      <c r="A79" t="s">
        <v>9</v>
      </c>
      <c r="B79" s="3">
        <v>44950</v>
      </c>
      <c r="C79">
        <f t="shared" si="19"/>
        <v>24</v>
      </c>
      <c r="D79">
        <f t="shared" si="20"/>
        <v>1</v>
      </c>
      <c r="E79">
        <f t="shared" si="21"/>
        <v>2023</v>
      </c>
      <c r="F79" s="2">
        <v>3448</v>
      </c>
      <c r="G79" t="s">
        <v>17</v>
      </c>
      <c r="H79" s="4">
        <f>SUMIFS($F$2:$F$2739,$G$2:$G$2739,"No Contract",$E$2:$E$2739,2023)/SUMIF($E$2:$E$2739,2023,$F$2:$F$2739)</f>
        <v>0.20934732870162456</v>
      </c>
    </row>
    <row r="80" spans="1:8" x14ac:dyDescent="0.3">
      <c r="A80" t="s">
        <v>12</v>
      </c>
      <c r="B80" s="3">
        <v>44950</v>
      </c>
      <c r="C80">
        <f t="shared" si="19"/>
        <v>24</v>
      </c>
      <c r="D80">
        <f t="shared" si="20"/>
        <v>1</v>
      </c>
      <c r="E80">
        <f t="shared" si="21"/>
        <v>2023</v>
      </c>
      <c r="F80" s="2">
        <v>705</v>
      </c>
      <c r="G80" s="2" t="s">
        <v>19</v>
      </c>
      <c r="H80" s="4">
        <f>SUMIFS($F$2:$F$2739,$G$2:$G$2739,"Multi-year Contract",$E$2:$E$2739,2023)/SUMIF($E$2:$E$2739,2023,$F$2:$F$2739)</f>
        <v>0.5137784540236352</v>
      </c>
    </row>
    <row r="81" spans="1:8" x14ac:dyDescent="0.3">
      <c r="A81" t="s">
        <v>6</v>
      </c>
      <c r="B81" s="3">
        <v>44950</v>
      </c>
      <c r="C81">
        <f t="shared" si="19"/>
        <v>24</v>
      </c>
      <c r="D81">
        <f t="shared" si="20"/>
        <v>1</v>
      </c>
      <c r="E81">
        <f t="shared" si="21"/>
        <v>2023</v>
      </c>
      <c r="F81" s="2">
        <v>1314</v>
      </c>
      <c r="G81" t="s">
        <v>18</v>
      </c>
      <c r="H81" s="4">
        <f>SUMIFS($F$2:$F$2739,$G$2:$G$2739,"Annual Contract",$E$2:$E$2739,2023)/SUMIF($E$2:$E$2739,2023,$F$2:$F$2739)</f>
        <v>0.27687421727474026</v>
      </c>
    </row>
    <row r="82" spans="1:8" x14ac:dyDescent="0.3">
      <c r="A82" t="s">
        <v>12</v>
      </c>
      <c r="B82" s="3">
        <v>44950</v>
      </c>
      <c r="C82">
        <f t="shared" si="19"/>
        <v>24</v>
      </c>
      <c r="D82">
        <f t="shared" si="20"/>
        <v>1</v>
      </c>
      <c r="E82">
        <f t="shared" si="21"/>
        <v>2023</v>
      </c>
      <c r="F82" s="2">
        <v>2134</v>
      </c>
      <c r="G82" s="2" t="s">
        <v>19</v>
      </c>
      <c r="H82" s="4">
        <f>SUMIFS($F$2:$F$2739,$G$2:$G$2739,"Multi-year Contract",$E$2:$E$2739,2023)/SUMIF($E$2:$E$2739,2023,$F$2:$F$2739)</f>
        <v>0.5137784540236352</v>
      </c>
    </row>
    <row r="83" spans="1:8" x14ac:dyDescent="0.3">
      <c r="A83" t="s">
        <v>8</v>
      </c>
      <c r="B83" s="3">
        <v>44950</v>
      </c>
      <c r="C83">
        <f t="shared" si="19"/>
        <v>24</v>
      </c>
      <c r="D83">
        <f t="shared" si="20"/>
        <v>1</v>
      </c>
      <c r="E83">
        <f t="shared" si="21"/>
        <v>2023</v>
      </c>
      <c r="F83" s="2">
        <v>2719</v>
      </c>
      <c r="G83" s="2" t="s">
        <v>18</v>
      </c>
      <c r="H83" s="4">
        <f>SUMIFS($F$2:$F$2739,$G$2:$G$2739,"Annual Contract",$E$2:$E$2739,2023)/SUMIF($E$2:$E$2739,2023,$F$2:$F$2739)</f>
        <v>0.27687421727474026</v>
      </c>
    </row>
    <row r="84" spans="1:8" x14ac:dyDescent="0.3">
      <c r="A84" t="s">
        <v>7</v>
      </c>
      <c r="B84" s="3">
        <v>44951</v>
      </c>
      <c r="C84">
        <f t="shared" si="19"/>
        <v>25</v>
      </c>
      <c r="D84">
        <f t="shared" si="20"/>
        <v>1</v>
      </c>
      <c r="E84">
        <f t="shared" si="21"/>
        <v>2023</v>
      </c>
      <c r="F84" s="2">
        <v>611</v>
      </c>
      <c r="G84" t="s">
        <v>17</v>
      </c>
      <c r="H84" s="4">
        <f>SUMIFS($F$2:$F$2739,$G$2:$G$2739,"No Contract",$E$2:$E$2739,2023)/SUMIF($E$2:$E$2739,2023,$F$2:$F$2739)</f>
        <v>0.20934732870162456</v>
      </c>
    </row>
    <row r="85" spans="1:8" x14ac:dyDescent="0.3">
      <c r="A85" t="s">
        <v>4</v>
      </c>
      <c r="B85" s="3">
        <v>44951</v>
      </c>
      <c r="C85">
        <f t="shared" si="19"/>
        <v>25</v>
      </c>
      <c r="D85">
        <f t="shared" si="20"/>
        <v>1</v>
      </c>
      <c r="E85">
        <f t="shared" si="21"/>
        <v>2023</v>
      </c>
      <c r="F85" s="2">
        <v>2549</v>
      </c>
      <c r="G85" s="2" t="s">
        <v>19</v>
      </c>
      <c r="H85" s="4">
        <f t="shared" ref="H85:H86" si="26">SUMIFS($F$2:$F$2739,$G$2:$G$2739,"Multi-year Contract",$E$2:$E$2739,2023)/SUMIF($E$2:$E$2739,2023,$F$2:$F$2739)</f>
        <v>0.5137784540236352</v>
      </c>
    </row>
    <row r="86" spans="1:8" x14ac:dyDescent="0.3">
      <c r="A86" t="s">
        <v>3</v>
      </c>
      <c r="B86" s="3">
        <v>44952</v>
      </c>
      <c r="C86">
        <f t="shared" si="19"/>
        <v>26</v>
      </c>
      <c r="D86">
        <f t="shared" si="20"/>
        <v>1</v>
      </c>
      <c r="E86">
        <f t="shared" si="21"/>
        <v>2023</v>
      </c>
      <c r="F86" s="2">
        <v>1488</v>
      </c>
      <c r="G86" t="s">
        <v>19</v>
      </c>
      <c r="H86" s="4">
        <f t="shared" si="26"/>
        <v>0.5137784540236352</v>
      </c>
    </row>
    <row r="87" spans="1:8" x14ac:dyDescent="0.3">
      <c r="A87" t="s">
        <v>5</v>
      </c>
      <c r="B87" s="3">
        <v>44952</v>
      </c>
      <c r="C87">
        <f t="shared" si="19"/>
        <v>26</v>
      </c>
      <c r="D87">
        <f t="shared" si="20"/>
        <v>1</v>
      </c>
      <c r="E87">
        <f t="shared" si="21"/>
        <v>2023</v>
      </c>
      <c r="F87" s="2">
        <v>2260</v>
      </c>
      <c r="G87" t="s">
        <v>18</v>
      </c>
      <c r="H87" s="4">
        <f t="shared" ref="H87:H88" si="27">SUMIFS($F$2:$F$2739,$G$2:$G$2739,"Annual Contract",$E$2:$E$2739,2023)/SUMIF($E$2:$E$2739,2023,$F$2:$F$2739)</f>
        <v>0.27687421727474026</v>
      </c>
    </row>
    <row r="88" spans="1:8" x14ac:dyDescent="0.3">
      <c r="A88" t="s">
        <v>5</v>
      </c>
      <c r="B88" s="3">
        <v>44953</v>
      </c>
      <c r="C88">
        <f t="shared" si="19"/>
        <v>27</v>
      </c>
      <c r="D88">
        <f t="shared" si="20"/>
        <v>1</v>
      </c>
      <c r="E88">
        <f t="shared" si="21"/>
        <v>2023</v>
      </c>
      <c r="F88" s="2">
        <v>1750</v>
      </c>
      <c r="G88" t="s">
        <v>18</v>
      </c>
      <c r="H88" s="4">
        <f t="shared" si="27"/>
        <v>0.27687421727474026</v>
      </c>
    </row>
    <row r="89" spans="1:8" x14ac:dyDescent="0.3">
      <c r="A89" t="s">
        <v>3</v>
      </c>
      <c r="B89" s="3">
        <v>44953</v>
      </c>
      <c r="C89">
        <f t="shared" si="19"/>
        <v>27</v>
      </c>
      <c r="D89">
        <f t="shared" si="20"/>
        <v>1</v>
      </c>
      <c r="E89">
        <f t="shared" si="21"/>
        <v>2023</v>
      </c>
      <c r="F89" s="2">
        <v>3109</v>
      </c>
      <c r="G89" t="s">
        <v>19</v>
      </c>
      <c r="H89" s="4">
        <f t="shared" ref="H89:H91" si="28">SUMIFS($F$2:$F$2739,$G$2:$G$2739,"Multi-year Contract",$E$2:$E$2739,2023)/SUMIF($E$2:$E$2739,2023,$F$2:$F$2739)</f>
        <v>0.5137784540236352</v>
      </c>
    </row>
    <row r="90" spans="1:8" x14ac:dyDescent="0.3">
      <c r="A90" t="s">
        <v>3</v>
      </c>
      <c r="B90" s="3">
        <v>44954</v>
      </c>
      <c r="C90">
        <f t="shared" si="19"/>
        <v>28</v>
      </c>
      <c r="D90">
        <f t="shared" si="20"/>
        <v>1</v>
      </c>
      <c r="E90">
        <f t="shared" si="21"/>
        <v>2023</v>
      </c>
      <c r="F90" s="2">
        <v>3888</v>
      </c>
      <c r="G90" t="s">
        <v>19</v>
      </c>
      <c r="H90" s="4">
        <f t="shared" si="28"/>
        <v>0.5137784540236352</v>
      </c>
    </row>
    <row r="91" spans="1:8" x14ac:dyDescent="0.3">
      <c r="A91" t="s">
        <v>4</v>
      </c>
      <c r="B91" s="3">
        <v>44954</v>
      </c>
      <c r="C91">
        <f t="shared" si="19"/>
        <v>28</v>
      </c>
      <c r="D91">
        <f t="shared" si="20"/>
        <v>1</v>
      </c>
      <c r="E91">
        <f t="shared" si="21"/>
        <v>2023</v>
      </c>
      <c r="F91" s="2">
        <v>3648</v>
      </c>
      <c r="G91" s="2" t="s">
        <v>19</v>
      </c>
      <c r="H91" s="4">
        <f t="shared" si="28"/>
        <v>0.5137784540236352</v>
      </c>
    </row>
    <row r="92" spans="1:8" x14ac:dyDescent="0.3">
      <c r="A92" t="s">
        <v>6</v>
      </c>
      <c r="B92" s="3">
        <v>44954</v>
      </c>
      <c r="C92">
        <f t="shared" si="19"/>
        <v>28</v>
      </c>
      <c r="D92">
        <f t="shared" si="20"/>
        <v>1</v>
      </c>
      <c r="E92">
        <f t="shared" si="21"/>
        <v>2023</v>
      </c>
      <c r="F92" s="2">
        <v>2683</v>
      </c>
      <c r="G92" t="s">
        <v>18</v>
      </c>
      <c r="H92" s="4">
        <f t="shared" ref="H92:H93" si="29">SUMIFS($F$2:$F$2739,$G$2:$G$2739,"Annual Contract",$E$2:$E$2739,2023)/SUMIF($E$2:$E$2739,2023,$F$2:$F$2739)</f>
        <v>0.27687421727474026</v>
      </c>
    </row>
    <row r="93" spans="1:8" x14ac:dyDescent="0.3">
      <c r="A93" t="s">
        <v>5</v>
      </c>
      <c r="B93" s="3">
        <v>44954</v>
      </c>
      <c r="C93">
        <f t="shared" si="19"/>
        <v>28</v>
      </c>
      <c r="D93">
        <f t="shared" si="20"/>
        <v>1</v>
      </c>
      <c r="E93">
        <f t="shared" si="21"/>
        <v>2023</v>
      </c>
      <c r="F93" s="2">
        <v>1555</v>
      </c>
      <c r="G93" t="s">
        <v>18</v>
      </c>
      <c r="H93" s="4">
        <f t="shared" si="29"/>
        <v>0.27687421727474026</v>
      </c>
    </row>
    <row r="94" spans="1:8" x14ac:dyDescent="0.3">
      <c r="A94" t="s">
        <v>12</v>
      </c>
      <c r="B94" s="3">
        <v>44955</v>
      </c>
      <c r="C94">
        <f t="shared" si="19"/>
        <v>29</v>
      </c>
      <c r="D94">
        <f t="shared" si="20"/>
        <v>1</v>
      </c>
      <c r="E94">
        <f t="shared" si="21"/>
        <v>2023</v>
      </c>
      <c r="F94" s="2">
        <v>1779</v>
      </c>
      <c r="G94" s="2" t="s">
        <v>19</v>
      </c>
      <c r="H94" s="4">
        <f>SUMIFS($F$2:$F$2739,$G$2:$G$2739,"Multi-year Contract",$E$2:$E$2739,2023)/SUMIF($E$2:$E$2739,2023,$F$2:$F$2739)</f>
        <v>0.5137784540236352</v>
      </c>
    </row>
    <row r="95" spans="1:8" x14ac:dyDescent="0.3">
      <c r="A95" t="s">
        <v>5</v>
      </c>
      <c r="B95" s="3">
        <v>44955</v>
      </c>
      <c r="C95">
        <f t="shared" si="19"/>
        <v>29</v>
      </c>
      <c r="D95">
        <f t="shared" si="20"/>
        <v>1</v>
      </c>
      <c r="E95">
        <f t="shared" si="21"/>
        <v>2023</v>
      </c>
      <c r="F95" s="2">
        <v>2298</v>
      </c>
      <c r="G95" t="s">
        <v>18</v>
      </c>
      <c r="H95" s="4">
        <f>SUMIFS($F$2:$F$2739,$G$2:$G$2739,"Annual Contract",$E$2:$E$2739,2023)/SUMIF($E$2:$E$2739,2023,$F$2:$F$2739)</f>
        <v>0.27687421727474026</v>
      </c>
    </row>
    <row r="96" spans="1:8" x14ac:dyDescent="0.3">
      <c r="A96" t="s">
        <v>12</v>
      </c>
      <c r="B96" s="3">
        <v>44955</v>
      </c>
      <c r="C96">
        <f t="shared" si="19"/>
        <v>29</v>
      </c>
      <c r="D96">
        <f t="shared" si="20"/>
        <v>1</v>
      </c>
      <c r="E96">
        <f t="shared" si="21"/>
        <v>2023</v>
      </c>
      <c r="F96" s="2">
        <v>1088</v>
      </c>
      <c r="G96" s="2" t="s">
        <v>19</v>
      </c>
      <c r="H96" s="4">
        <f>SUMIFS($F$2:$F$2739,$G$2:$G$2739,"Multi-year Contract",$E$2:$E$2739,2023)/SUMIF($E$2:$E$2739,2023,$F$2:$F$2739)</f>
        <v>0.5137784540236352</v>
      </c>
    </row>
    <row r="97" spans="1:8" x14ac:dyDescent="0.3">
      <c r="A97" t="s">
        <v>5</v>
      </c>
      <c r="B97" s="3">
        <v>44955</v>
      </c>
      <c r="C97">
        <f t="shared" si="19"/>
        <v>29</v>
      </c>
      <c r="D97">
        <f t="shared" si="20"/>
        <v>1</v>
      </c>
      <c r="E97">
        <f t="shared" si="21"/>
        <v>2023</v>
      </c>
      <c r="F97" s="2">
        <v>2577</v>
      </c>
      <c r="G97" t="s">
        <v>18</v>
      </c>
      <c r="H97" s="4">
        <f>SUMIFS($F$2:$F$2739,$G$2:$G$2739,"Annual Contract",$E$2:$E$2739,2023)/SUMIF($E$2:$E$2739,2023,$F$2:$F$2739)</f>
        <v>0.27687421727474026</v>
      </c>
    </row>
    <row r="98" spans="1:8" x14ac:dyDescent="0.3">
      <c r="A98" t="s">
        <v>11</v>
      </c>
      <c r="B98" s="3">
        <v>44955</v>
      </c>
      <c r="C98">
        <f t="shared" si="19"/>
        <v>29</v>
      </c>
      <c r="D98">
        <f t="shared" si="20"/>
        <v>1</v>
      </c>
      <c r="E98">
        <f t="shared" si="21"/>
        <v>2023</v>
      </c>
      <c r="F98" s="2">
        <v>2457</v>
      </c>
      <c r="G98" t="s">
        <v>19</v>
      </c>
      <c r="H98" s="4">
        <f t="shared" ref="H98:H100" si="30">SUMIFS($F$2:$F$2739,$G$2:$G$2739,"Multi-year Contract",$E$2:$E$2739,2023)/SUMIF($E$2:$E$2739,2023,$F$2:$F$2739)</f>
        <v>0.5137784540236352</v>
      </c>
    </row>
    <row r="99" spans="1:8" x14ac:dyDescent="0.3">
      <c r="A99" t="s">
        <v>12</v>
      </c>
      <c r="B99" s="3">
        <v>44955</v>
      </c>
      <c r="C99">
        <f t="shared" si="19"/>
        <v>29</v>
      </c>
      <c r="D99">
        <f t="shared" si="20"/>
        <v>1</v>
      </c>
      <c r="E99">
        <f t="shared" si="21"/>
        <v>2023</v>
      </c>
      <c r="F99" s="2">
        <v>795</v>
      </c>
      <c r="G99" s="2" t="s">
        <v>19</v>
      </c>
      <c r="H99" s="4">
        <f t="shared" si="30"/>
        <v>0.5137784540236352</v>
      </c>
    </row>
    <row r="100" spans="1:8" x14ac:dyDescent="0.3">
      <c r="A100" t="s">
        <v>12</v>
      </c>
      <c r="B100" s="3">
        <v>44955</v>
      </c>
      <c r="C100">
        <f t="shared" si="19"/>
        <v>29</v>
      </c>
      <c r="D100">
        <f t="shared" si="20"/>
        <v>1</v>
      </c>
      <c r="E100">
        <f t="shared" si="21"/>
        <v>2023</v>
      </c>
      <c r="F100" s="2">
        <v>1966</v>
      </c>
      <c r="G100" s="2" t="s">
        <v>19</v>
      </c>
      <c r="H100" s="4">
        <f t="shared" si="30"/>
        <v>0.5137784540236352</v>
      </c>
    </row>
    <row r="101" spans="1:8" x14ac:dyDescent="0.3">
      <c r="A101" t="s">
        <v>6</v>
      </c>
      <c r="B101" s="3">
        <v>44956</v>
      </c>
      <c r="C101">
        <f t="shared" si="19"/>
        <v>30</v>
      </c>
      <c r="D101">
        <f t="shared" si="20"/>
        <v>1</v>
      </c>
      <c r="E101">
        <f t="shared" si="21"/>
        <v>2023</v>
      </c>
      <c r="F101" s="2">
        <v>2850</v>
      </c>
      <c r="G101" t="s">
        <v>18</v>
      </c>
      <c r="H101" s="4">
        <f>SUMIFS($F$2:$F$2739,$G$2:$G$2739,"Annual Contract",$E$2:$E$2739,2023)/SUMIF($E$2:$E$2739,2023,$F$2:$F$2739)</f>
        <v>0.27687421727474026</v>
      </c>
    </row>
    <row r="102" spans="1:8" x14ac:dyDescent="0.3">
      <c r="A102" t="s">
        <v>11</v>
      </c>
      <c r="B102" s="3">
        <v>44956</v>
      </c>
      <c r="C102">
        <f t="shared" si="19"/>
        <v>30</v>
      </c>
      <c r="D102">
        <f t="shared" si="20"/>
        <v>1</v>
      </c>
      <c r="E102">
        <f t="shared" si="21"/>
        <v>2023</v>
      </c>
      <c r="F102" s="2">
        <v>1342</v>
      </c>
      <c r="G102" t="s">
        <v>19</v>
      </c>
      <c r="H102" s="4">
        <f t="shared" ref="H102:H103" si="31">SUMIFS($F$2:$F$2739,$G$2:$G$2739,"Multi-year Contract",$E$2:$E$2739,2023)/SUMIF($E$2:$E$2739,2023,$F$2:$F$2739)</f>
        <v>0.5137784540236352</v>
      </c>
    </row>
    <row r="103" spans="1:8" x14ac:dyDescent="0.3">
      <c r="A103" t="s">
        <v>3</v>
      </c>
      <c r="B103" s="3">
        <v>44956</v>
      </c>
      <c r="C103">
        <f t="shared" si="19"/>
        <v>30</v>
      </c>
      <c r="D103">
        <f t="shared" si="20"/>
        <v>1</v>
      </c>
      <c r="E103">
        <f t="shared" si="21"/>
        <v>2023</v>
      </c>
      <c r="F103" s="2">
        <v>811</v>
      </c>
      <c r="G103" t="s">
        <v>19</v>
      </c>
      <c r="H103" s="4">
        <f t="shared" si="31"/>
        <v>0.5137784540236352</v>
      </c>
    </row>
    <row r="104" spans="1:8" x14ac:dyDescent="0.3">
      <c r="A104" t="s">
        <v>9</v>
      </c>
      <c r="B104" s="3">
        <v>44956</v>
      </c>
      <c r="C104">
        <f t="shared" si="19"/>
        <v>30</v>
      </c>
      <c r="D104">
        <f t="shared" si="20"/>
        <v>1</v>
      </c>
      <c r="E104">
        <f t="shared" si="21"/>
        <v>2023</v>
      </c>
      <c r="F104" s="2">
        <v>2216</v>
      </c>
      <c r="G104" t="s">
        <v>17</v>
      </c>
      <c r="H104" s="4">
        <f>SUMIFS($F$2:$F$2739,$G$2:$G$2739,"No Contract",$E$2:$E$2739,2023)/SUMIF($E$2:$E$2739,2023,$F$2:$F$2739)</f>
        <v>0.20934732870162456</v>
      </c>
    </row>
    <row r="105" spans="1:8" x14ac:dyDescent="0.3">
      <c r="A105" t="s">
        <v>10</v>
      </c>
      <c r="B105" s="3">
        <v>44956</v>
      </c>
      <c r="C105">
        <f t="shared" si="19"/>
        <v>30</v>
      </c>
      <c r="D105">
        <f t="shared" si="20"/>
        <v>1</v>
      </c>
      <c r="E105">
        <f t="shared" si="21"/>
        <v>2023</v>
      </c>
      <c r="F105" s="2">
        <v>1014</v>
      </c>
      <c r="G105" t="s">
        <v>19</v>
      </c>
      <c r="H105" s="4">
        <f>SUMIFS($F$2:$F$2739,$G$2:$G$2739,"Multi-year Contract",$E$2:$E$2739,2023)/SUMIF($E$2:$E$2739,2023,$F$2:$F$2739)</f>
        <v>0.5137784540236352</v>
      </c>
    </row>
    <row r="106" spans="1:8" x14ac:dyDescent="0.3">
      <c r="A106" t="s">
        <v>6</v>
      </c>
      <c r="B106" s="3">
        <v>44956</v>
      </c>
      <c r="C106">
        <f t="shared" si="19"/>
        <v>30</v>
      </c>
      <c r="D106">
        <f t="shared" si="20"/>
        <v>1</v>
      </c>
      <c r="E106">
        <f t="shared" si="21"/>
        <v>2023</v>
      </c>
      <c r="F106" s="2">
        <v>3508</v>
      </c>
      <c r="G106" t="s">
        <v>18</v>
      </c>
      <c r="H106" s="4">
        <f t="shared" ref="H106:H107" si="32">SUMIFS($F$2:$F$2739,$G$2:$G$2739,"Annual Contract",$E$2:$E$2739,2023)/SUMIF($E$2:$E$2739,2023,$F$2:$F$2739)</f>
        <v>0.27687421727474026</v>
      </c>
    </row>
    <row r="107" spans="1:8" x14ac:dyDescent="0.3">
      <c r="A107" t="s">
        <v>5</v>
      </c>
      <c r="B107" s="3">
        <v>44956</v>
      </c>
      <c r="C107">
        <f t="shared" si="19"/>
        <v>30</v>
      </c>
      <c r="D107">
        <f t="shared" si="20"/>
        <v>1</v>
      </c>
      <c r="E107">
        <f t="shared" si="21"/>
        <v>2023</v>
      </c>
      <c r="F107" s="2">
        <v>823</v>
      </c>
      <c r="G107" t="s">
        <v>18</v>
      </c>
      <c r="H107" s="4">
        <f t="shared" si="32"/>
        <v>0.27687421727474026</v>
      </c>
    </row>
    <row r="108" spans="1:8" x14ac:dyDescent="0.3">
      <c r="A108" t="s">
        <v>9</v>
      </c>
      <c r="B108" s="3">
        <v>44956</v>
      </c>
      <c r="C108">
        <f t="shared" si="19"/>
        <v>30</v>
      </c>
      <c r="D108">
        <f t="shared" si="20"/>
        <v>1</v>
      </c>
      <c r="E108">
        <f t="shared" si="21"/>
        <v>2023</v>
      </c>
      <c r="F108" s="2">
        <v>2302</v>
      </c>
      <c r="G108" t="s">
        <v>17</v>
      </c>
      <c r="H108" s="4">
        <f>SUMIFS($F$2:$F$2739,$G$2:$G$2739,"No Contract",$E$2:$E$2739,2023)/SUMIF($E$2:$E$2739,2023,$F$2:$F$2739)</f>
        <v>0.20934732870162456</v>
      </c>
    </row>
    <row r="109" spans="1:8" x14ac:dyDescent="0.3">
      <c r="A109" t="s">
        <v>6</v>
      </c>
      <c r="B109" s="3">
        <v>44957</v>
      </c>
      <c r="C109">
        <f t="shared" si="19"/>
        <v>31</v>
      </c>
      <c r="D109">
        <f t="shared" si="20"/>
        <v>1</v>
      </c>
      <c r="E109">
        <f t="shared" si="21"/>
        <v>2023</v>
      </c>
      <c r="F109" s="2">
        <v>2852</v>
      </c>
      <c r="G109" t="s">
        <v>18</v>
      </c>
      <c r="H109" s="4">
        <f>SUMIFS($F$2:$F$2739,$G$2:$G$2739,"Annual Contract",$E$2:$E$2739,2023)/SUMIF($E$2:$E$2739,2023,$F$2:$F$2739)</f>
        <v>0.27687421727474026</v>
      </c>
    </row>
    <row r="110" spans="1:8" x14ac:dyDescent="0.3">
      <c r="A110" t="s">
        <v>11</v>
      </c>
      <c r="B110" s="3">
        <v>44957</v>
      </c>
      <c r="C110">
        <f t="shared" si="19"/>
        <v>31</v>
      </c>
      <c r="D110">
        <f t="shared" si="20"/>
        <v>1</v>
      </c>
      <c r="E110">
        <f t="shared" si="21"/>
        <v>2023</v>
      </c>
      <c r="F110" s="2">
        <v>3036</v>
      </c>
      <c r="G110" t="s">
        <v>19</v>
      </c>
      <c r="H110" s="4">
        <f t="shared" ref="H110:H111" si="33">SUMIFS($F$2:$F$2739,$G$2:$G$2739,"Multi-year Contract",$E$2:$E$2739,2023)/SUMIF($E$2:$E$2739,2023,$F$2:$F$2739)</f>
        <v>0.5137784540236352</v>
      </c>
    </row>
    <row r="111" spans="1:8" x14ac:dyDescent="0.3">
      <c r="A111" t="s">
        <v>3</v>
      </c>
      <c r="B111" s="3">
        <v>44957</v>
      </c>
      <c r="C111">
        <f t="shared" si="19"/>
        <v>31</v>
      </c>
      <c r="D111">
        <f t="shared" si="20"/>
        <v>1</v>
      </c>
      <c r="E111">
        <f t="shared" si="21"/>
        <v>2023</v>
      </c>
      <c r="F111" s="2">
        <v>1464</v>
      </c>
      <c r="G111" t="s">
        <v>19</v>
      </c>
      <c r="H111" s="4">
        <f t="shared" si="33"/>
        <v>0.5137784540236352</v>
      </c>
    </row>
    <row r="112" spans="1:8" x14ac:dyDescent="0.3">
      <c r="A112" t="s">
        <v>9</v>
      </c>
      <c r="B112" s="3">
        <v>44957</v>
      </c>
      <c r="C112">
        <f t="shared" si="19"/>
        <v>31</v>
      </c>
      <c r="D112">
        <f t="shared" si="20"/>
        <v>1</v>
      </c>
      <c r="E112">
        <f t="shared" si="21"/>
        <v>2023</v>
      </c>
      <c r="F112" s="2">
        <v>2541</v>
      </c>
      <c r="G112" t="s">
        <v>17</v>
      </c>
      <c r="H112" s="4">
        <f>SUMIFS($F$2:$F$2739,$G$2:$G$2739,"No Contract",$E$2:$E$2739,2023)/SUMIF($E$2:$E$2739,2023,$F$2:$F$2739)</f>
        <v>0.20934732870162456</v>
      </c>
    </row>
    <row r="113" spans="1:8" x14ac:dyDescent="0.3">
      <c r="A113" t="s">
        <v>12</v>
      </c>
      <c r="B113" s="3">
        <v>44957</v>
      </c>
      <c r="C113">
        <f t="shared" si="19"/>
        <v>31</v>
      </c>
      <c r="D113">
        <f t="shared" si="20"/>
        <v>1</v>
      </c>
      <c r="E113">
        <f t="shared" si="21"/>
        <v>2023</v>
      </c>
      <c r="F113" s="2">
        <v>1884</v>
      </c>
      <c r="G113" s="2" t="s">
        <v>19</v>
      </c>
      <c r="H113" s="4">
        <f>SUMIFS($F$2:$F$2739,$G$2:$G$2739,"Multi-year Contract",$E$2:$E$2739,2023)/SUMIF($E$2:$E$2739,2023,$F$2:$F$2739)</f>
        <v>0.5137784540236352</v>
      </c>
    </row>
    <row r="114" spans="1:8" x14ac:dyDescent="0.3">
      <c r="A114" t="s">
        <v>6</v>
      </c>
      <c r="B114" s="3">
        <v>44958</v>
      </c>
      <c r="C114">
        <f t="shared" si="19"/>
        <v>1</v>
      </c>
      <c r="D114">
        <f t="shared" si="20"/>
        <v>2</v>
      </c>
      <c r="E114">
        <f t="shared" si="21"/>
        <v>2023</v>
      </c>
      <c r="F114" s="2">
        <v>856</v>
      </c>
      <c r="G114" t="s">
        <v>18</v>
      </c>
      <c r="H114" s="4">
        <f>SUMIFS($F$2:$F$2739,$G$2:$G$2739,"Annual Contract",$E$2:$E$2739,2023)/SUMIF($E$2:$E$2739,2023,$F$2:$F$2739)</f>
        <v>0.27687421727474026</v>
      </c>
    </row>
    <row r="115" spans="1:8" x14ac:dyDescent="0.3">
      <c r="A115" t="s">
        <v>12</v>
      </c>
      <c r="B115" s="3">
        <v>44959</v>
      </c>
      <c r="C115">
        <f t="shared" si="19"/>
        <v>2</v>
      </c>
      <c r="D115">
        <f t="shared" si="20"/>
        <v>2</v>
      </c>
      <c r="E115">
        <f t="shared" si="21"/>
        <v>2023</v>
      </c>
      <c r="F115" s="2">
        <v>3068</v>
      </c>
      <c r="G115" s="2" t="s">
        <v>19</v>
      </c>
      <c r="H115" s="4">
        <f>SUMIFS($F$2:$F$2739,$G$2:$G$2739,"Multi-year Contract",$E$2:$E$2739,2023)/SUMIF($E$2:$E$2739,2023,$F$2:$F$2739)</f>
        <v>0.5137784540236352</v>
      </c>
    </row>
    <row r="116" spans="1:8" x14ac:dyDescent="0.3">
      <c r="A116" t="s">
        <v>9</v>
      </c>
      <c r="B116" s="3">
        <v>44960</v>
      </c>
      <c r="C116">
        <f t="shared" si="19"/>
        <v>3</v>
      </c>
      <c r="D116">
        <f t="shared" si="20"/>
        <v>2</v>
      </c>
      <c r="E116">
        <f t="shared" si="21"/>
        <v>2023</v>
      </c>
      <c r="F116" s="2">
        <v>3301</v>
      </c>
      <c r="G116" t="s">
        <v>17</v>
      </c>
      <c r="H116" s="4">
        <f t="shared" ref="H116:H117" si="34">SUMIFS($F$2:$F$2739,$G$2:$G$2739,"No Contract",$E$2:$E$2739,2023)/SUMIF($E$2:$E$2739,2023,$F$2:$F$2739)</f>
        <v>0.20934732870162456</v>
      </c>
    </row>
    <row r="117" spans="1:8" x14ac:dyDescent="0.3">
      <c r="A117" t="s">
        <v>9</v>
      </c>
      <c r="B117" s="3">
        <v>44960</v>
      </c>
      <c r="C117">
        <f t="shared" si="19"/>
        <v>3</v>
      </c>
      <c r="D117">
        <f t="shared" si="20"/>
        <v>2</v>
      </c>
      <c r="E117">
        <f t="shared" si="21"/>
        <v>2023</v>
      </c>
      <c r="F117" s="2">
        <v>3751</v>
      </c>
      <c r="G117" t="s">
        <v>17</v>
      </c>
      <c r="H117" s="4">
        <f t="shared" si="34"/>
        <v>0.20934732870162456</v>
      </c>
    </row>
    <row r="118" spans="1:8" x14ac:dyDescent="0.3">
      <c r="A118" t="s">
        <v>3</v>
      </c>
      <c r="B118" s="3">
        <v>44961</v>
      </c>
      <c r="C118">
        <f t="shared" si="19"/>
        <v>4</v>
      </c>
      <c r="D118">
        <f t="shared" si="20"/>
        <v>2</v>
      </c>
      <c r="E118">
        <f t="shared" si="21"/>
        <v>2023</v>
      </c>
      <c r="F118" s="2">
        <v>966</v>
      </c>
      <c r="G118" t="s">
        <v>19</v>
      </c>
      <c r="H118" s="4">
        <f t="shared" ref="H118:H119" si="35">SUMIFS($F$2:$F$2739,$G$2:$G$2739,"Multi-year Contract",$E$2:$E$2739,2023)/SUMIF($E$2:$E$2739,2023,$F$2:$F$2739)</f>
        <v>0.5137784540236352</v>
      </c>
    </row>
    <row r="119" spans="1:8" x14ac:dyDescent="0.3">
      <c r="A119" t="s">
        <v>3</v>
      </c>
      <c r="B119" s="3">
        <v>44961</v>
      </c>
      <c r="C119">
        <f t="shared" si="19"/>
        <v>4</v>
      </c>
      <c r="D119">
        <f t="shared" si="20"/>
        <v>2</v>
      </c>
      <c r="E119">
        <f t="shared" si="21"/>
        <v>2023</v>
      </c>
      <c r="F119" s="2">
        <v>3628</v>
      </c>
      <c r="G119" t="s">
        <v>19</v>
      </c>
      <c r="H119" s="4">
        <f t="shared" si="35"/>
        <v>0.5137784540236352</v>
      </c>
    </row>
    <row r="120" spans="1:8" x14ac:dyDescent="0.3">
      <c r="A120" t="s">
        <v>6</v>
      </c>
      <c r="B120" s="3">
        <v>44961</v>
      </c>
      <c r="C120">
        <f t="shared" si="19"/>
        <v>4</v>
      </c>
      <c r="D120">
        <f t="shared" si="20"/>
        <v>2</v>
      </c>
      <c r="E120">
        <f t="shared" si="21"/>
        <v>2023</v>
      </c>
      <c r="F120" s="2">
        <v>3229</v>
      </c>
      <c r="G120" t="s">
        <v>18</v>
      </c>
      <c r="H120" s="4">
        <f>SUMIFS($F$2:$F$2739,$G$2:$G$2739,"Annual Contract",$E$2:$E$2739,2023)/SUMIF($E$2:$E$2739,2023,$F$2:$F$2739)</f>
        <v>0.27687421727474026</v>
      </c>
    </row>
    <row r="121" spans="1:8" x14ac:dyDescent="0.3">
      <c r="A121" t="s">
        <v>9</v>
      </c>
      <c r="B121" s="3">
        <v>44961</v>
      </c>
      <c r="C121">
        <f t="shared" si="19"/>
        <v>4</v>
      </c>
      <c r="D121">
        <f t="shared" si="20"/>
        <v>2</v>
      </c>
      <c r="E121">
        <f t="shared" si="21"/>
        <v>2023</v>
      </c>
      <c r="F121" s="2">
        <v>3715</v>
      </c>
      <c r="G121" t="s">
        <v>17</v>
      </c>
      <c r="H121" s="4">
        <f>SUMIFS($F$2:$F$2739,$G$2:$G$2739,"No Contract",$E$2:$E$2739,2023)/SUMIF($E$2:$E$2739,2023,$F$2:$F$2739)</f>
        <v>0.20934732870162456</v>
      </c>
    </row>
    <row r="122" spans="1:8" x14ac:dyDescent="0.3">
      <c r="A122" t="s">
        <v>10</v>
      </c>
      <c r="B122" s="3">
        <v>44961</v>
      </c>
      <c r="C122">
        <f t="shared" si="19"/>
        <v>4</v>
      </c>
      <c r="D122">
        <f t="shared" si="20"/>
        <v>2</v>
      </c>
      <c r="E122">
        <f t="shared" si="21"/>
        <v>2023</v>
      </c>
      <c r="F122" s="2">
        <v>2210</v>
      </c>
      <c r="G122" t="s">
        <v>19</v>
      </c>
      <c r="H122" s="4">
        <f t="shared" ref="H122:H125" si="36">SUMIFS($F$2:$F$2739,$G$2:$G$2739,"Multi-year Contract",$E$2:$E$2739,2023)/SUMIF($E$2:$E$2739,2023,$F$2:$F$2739)</f>
        <v>0.5137784540236352</v>
      </c>
    </row>
    <row r="123" spans="1:8" x14ac:dyDescent="0.3">
      <c r="A123" t="s">
        <v>4</v>
      </c>
      <c r="B123" s="3">
        <v>44962</v>
      </c>
      <c r="C123">
        <f t="shared" si="19"/>
        <v>5</v>
      </c>
      <c r="D123">
        <f t="shared" si="20"/>
        <v>2</v>
      </c>
      <c r="E123">
        <f t="shared" si="21"/>
        <v>2023</v>
      </c>
      <c r="F123" s="2">
        <v>3762</v>
      </c>
      <c r="G123" s="2" t="s">
        <v>19</v>
      </c>
      <c r="H123" s="4">
        <f t="shared" si="36"/>
        <v>0.5137784540236352</v>
      </c>
    </row>
    <row r="124" spans="1:8" x14ac:dyDescent="0.3">
      <c r="A124" t="s">
        <v>11</v>
      </c>
      <c r="B124" s="3">
        <v>44962</v>
      </c>
      <c r="C124">
        <f t="shared" si="19"/>
        <v>5</v>
      </c>
      <c r="D124">
        <f t="shared" si="20"/>
        <v>2</v>
      </c>
      <c r="E124">
        <f t="shared" si="21"/>
        <v>2023</v>
      </c>
      <c r="F124" s="2">
        <v>3370</v>
      </c>
      <c r="G124" t="s">
        <v>19</v>
      </c>
      <c r="H124" s="4">
        <f t="shared" si="36"/>
        <v>0.5137784540236352</v>
      </c>
    </row>
    <row r="125" spans="1:8" x14ac:dyDescent="0.3">
      <c r="A125" t="s">
        <v>10</v>
      </c>
      <c r="B125" s="3">
        <v>44962</v>
      </c>
      <c r="C125">
        <f t="shared" si="19"/>
        <v>5</v>
      </c>
      <c r="D125">
        <f t="shared" si="20"/>
        <v>2</v>
      </c>
      <c r="E125">
        <f t="shared" si="21"/>
        <v>2023</v>
      </c>
      <c r="F125" s="2">
        <v>1704</v>
      </c>
      <c r="G125" t="s">
        <v>19</v>
      </c>
      <c r="H125" s="4">
        <f t="shared" si="36"/>
        <v>0.5137784540236352</v>
      </c>
    </row>
    <row r="126" spans="1:8" x14ac:dyDescent="0.3">
      <c r="A126" t="s">
        <v>8</v>
      </c>
      <c r="B126" s="3">
        <v>44962</v>
      </c>
      <c r="C126">
        <f t="shared" si="19"/>
        <v>5</v>
      </c>
      <c r="D126">
        <f t="shared" si="20"/>
        <v>2</v>
      </c>
      <c r="E126">
        <f t="shared" si="21"/>
        <v>2023</v>
      </c>
      <c r="F126" s="2">
        <v>891</v>
      </c>
      <c r="G126" s="2" t="s">
        <v>18</v>
      </c>
      <c r="H126" s="4">
        <f>SUMIFS($F$2:$F$2739,$G$2:$G$2739,"Annual Contract",$E$2:$E$2739,2023)/SUMIF($E$2:$E$2739,2023,$F$2:$F$2739)</f>
        <v>0.27687421727474026</v>
      </c>
    </row>
    <row r="127" spans="1:8" x14ac:dyDescent="0.3">
      <c r="A127" t="s">
        <v>10</v>
      </c>
      <c r="B127" s="3">
        <v>44962</v>
      </c>
      <c r="C127">
        <f t="shared" si="19"/>
        <v>5</v>
      </c>
      <c r="D127">
        <f t="shared" si="20"/>
        <v>2</v>
      </c>
      <c r="E127">
        <f t="shared" si="21"/>
        <v>2023</v>
      </c>
      <c r="F127" s="2">
        <v>1658</v>
      </c>
      <c r="G127" t="s">
        <v>19</v>
      </c>
      <c r="H127" s="4">
        <f t="shared" ref="H127:H128" si="37">SUMIFS($F$2:$F$2739,$G$2:$G$2739,"Multi-year Contract",$E$2:$E$2739,2023)/SUMIF($E$2:$E$2739,2023,$F$2:$F$2739)</f>
        <v>0.5137784540236352</v>
      </c>
    </row>
    <row r="128" spans="1:8" x14ac:dyDescent="0.3">
      <c r="A128" t="s">
        <v>3</v>
      </c>
      <c r="B128" s="3">
        <v>44962</v>
      </c>
      <c r="C128">
        <f t="shared" si="19"/>
        <v>5</v>
      </c>
      <c r="D128">
        <f t="shared" si="20"/>
        <v>2</v>
      </c>
      <c r="E128">
        <f t="shared" si="21"/>
        <v>2023</v>
      </c>
      <c r="F128" s="2">
        <v>716</v>
      </c>
      <c r="G128" t="s">
        <v>19</v>
      </c>
      <c r="H128" s="4">
        <f t="shared" si="37"/>
        <v>0.5137784540236352</v>
      </c>
    </row>
    <row r="129" spans="1:8" x14ac:dyDescent="0.3">
      <c r="A129" t="s">
        <v>9</v>
      </c>
      <c r="B129" s="3">
        <v>44963</v>
      </c>
      <c r="C129">
        <f t="shared" si="19"/>
        <v>6</v>
      </c>
      <c r="D129">
        <f t="shared" si="20"/>
        <v>2</v>
      </c>
      <c r="E129">
        <f t="shared" si="21"/>
        <v>2023</v>
      </c>
      <c r="F129" s="2">
        <v>2744</v>
      </c>
      <c r="G129" t="s">
        <v>17</v>
      </c>
      <c r="H129" s="4">
        <f>SUMIFS($F$2:$F$2739,$G$2:$G$2739,"No Contract",$E$2:$E$2739,2023)/SUMIF($E$2:$E$2739,2023,$F$2:$F$2739)</f>
        <v>0.20934732870162456</v>
      </c>
    </row>
    <row r="130" spans="1:8" x14ac:dyDescent="0.3">
      <c r="A130" t="s">
        <v>6</v>
      </c>
      <c r="B130" s="3">
        <v>44963</v>
      </c>
      <c r="C130">
        <f t="shared" si="19"/>
        <v>6</v>
      </c>
      <c r="D130">
        <f t="shared" si="20"/>
        <v>2</v>
      </c>
      <c r="E130">
        <f t="shared" si="21"/>
        <v>2023</v>
      </c>
      <c r="F130" s="2">
        <v>919</v>
      </c>
      <c r="G130" t="s">
        <v>18</v>
      </c>
      <c r="H130" s="4">
        <f t="shared" ref="H130:H131" si="38">SUMIFS($F$2:$F$2739,$G$2:$G$2739,"Annual Contract",$E$2:$E$2739,2023)/SUMIF($E$2:$E$2739,2023,$F$2:$F$2739)</f>
        <v>0.27687421727474026</v>
      </c>
    </row>
    <row r="131" spans="1:8" x14ac:dyDescent="0.3">
      <c r="A131" t="s">
        <v>6</v>
      </c>
      <c r="B131" s="3">
        <v>44964</v>
      </c>
      <c r="C131">
        <f t="shared" ref="C131:C194" si="39">DAY(B131)</f>
        <v>7</v>
      </c>
      <c r="D131">
        <f t="shared" ref="D131:D194" si="40">MONTH(B131)</f>
        <v>2</v>
      </c>
      <c r="E131">
        <f t="shared" ref="E131:E194" si="41">YEAR(B131)</f>
        <v>2023</v>
      </c>
      <c r="F131" s="2">
        <v>1397</v>
      </c>
      <c r="G131" t="s">
        <v>18</v>
      </c>
      <c r="H131" s="4">
        <f t="shared" si="38"/>
        <v>0.27687421727474026</v>
      </c>
    </row>
    <row r="132" spans="1:8" x14ac:dyDescent="0.3">
      <c r="A132" t="s">
        <v>3</v>
      </c>
      <c r="B132" s="3">
        <v>44964</v>
      </c>
      <c r="C132">
        <f t="shared" si="39"/>
        <v>7</v>
      </c>
      <c r="D132">
        <f t="shared" si="40"/>
        <v>2</v>
      </c>
      <c r="E132">
        <f t="shared" si="41"/>
        <v>2023</v>
      </c>
      <c r="F132" s="2">
        <v>3929</v>
      </c>
      <c r="G132" t="s">
        <v>19</v>
      </c>
      <c r="H132" s="4">
        <f t="shared" ref="H132:H133" si="42">SUMIFS($F$2:$F$2739,$G$2:$G$2739,"Multi-year Contract",$E$2:$E$2739,2023)/SUMIF($E$2:$E$2739,2023,$F$2:$F$2739)</f>
        <v>0.5137784540236352</v>
      </c>
    </row>
    <row r="133" spans="1:8" x14ac:dyDescent="0.3">
      <c r="A133" t="s">
        <v>3</v>
      </c>
      <c r="B133" s="3">
        <v>44964</v>
      </c>
      <c r="C133">
        <f t="shared" si="39"/>
        <v>7</v>
      </c>
      <c r="D133">
        <f t="shared" si="40"/>
        <v>2</v>
      </c>
      <c r="E133">
        <f t="shared" si="41"/>
        <v>2023</v>
      </c>
      <c r="F133" s="2">
        <v>670</v>
      </c>
      <c r="G133" t="s">
        <v>19</v>
      </c>
      <c r="H133" s="4">
        <f t="shared" si="42"/>
        <v>0.5137784540236352</v>
      </c>
    </row>
    <row r="134" spans="1:8" x14ac:dyDescent="0.3">
      <c r="A134" t="s">
        <v>9</v>
      </c>
      <c r="B134" s="3">
        <v>44964</v>
      </c>
      <c r="C134">
        <f t="shared" si="39"/>
        <v>7</v>
      </c>
      <c r="D134">
        <f t="shared" si="40"/>
        <v>2</v>
      </c>
      <c r="E134">
        <f t="shared" si="41"/>
        <v>2023</v>
      </c>
      <c r="F134" s="2">
        <v>1175</v>
      </c>
      <c r="G134" t="s">
        <v>17</v>
      </c>
      <c r="H134" s="4">
        <f>SUMIFS($F$2:$F$2739,$G$2:$G$2739,"No Contract",$E$2:$E$2739,2023)/SUMIF($E$2:$E$2739,2023,$F$2:$F$2739)</f>
        <v>0.20934732870162456</v>
      </c>
    </row>
    <row r="135" spans="1:8" x14ac:dyDescent="0.3">
      <c r="A135" t="s">
        <v>5</v>
      </c>
      <c r="B135" s="3">
        <v>44965</v>
      </c>
      <c r="C135">
        <f t="shared" si="39"/>
        <v>8</v>
      </c>
      <c r="D135">
        <f t="shared" si="40"/>
        <v>2</v>
      </c>
      <c r="E135">
        <f t="shared" si="41"/>
        <v>2023</v>
      </c>
      <c r="F135" s="2">
        <v>2544</v>
      </c>
      <c r="G135" t="s">
        <v>18</v>
      </c>
      <c r="H135" s="4">
        <f t="shared" ref="H135:H136" si="43">SUMIFS($F$2:$F$2739,$G$2:$G$2739,"Annual Contract",$E$2:$E$2739,2023)/SUMIF($E$2:$E$2739,2023,$F$2:$F$2739)</f>
        <v>0.27687421727474026</v>
      </c>
    </row>
    <row r="136" spans="1:8" x14ac:dyDescent="0.3">
      <c r="A136" t="s">
        <v>6</v>
      </c>
      <c r="B136" s="3">
        <v>44965</v>
      </c>
      <c r="C136">
        <f t="shared" si="39"/>
        <v>8</v>
      </c>
      <c r="D136">
        <f t="shared" si="40"/>
        <v>2</v>
      </c>
      <c r="E136">
        <f t="shared" si="41"/>
        <v>2023</v>
      </c>
      <c r="F136" s="2">
        <v>3191</v>
      </c>
      <c r="G136" t="s">
        <v>18</v>
      </c>
      <c r="H136" s="4">
        <f t="shared" si="43"/>
        <v>0.27687421727474026</v>
      </c>
    </row>
    <row r="137" spans="1:8" x14ac:dyDescent="0.3">
      <c r="A137" t="s">
        <v>7</v>
      </c>
      <c r="B137" s="3">
        <v>44965</v>
      </c>
      <c r="C137">
        <f t="shared" si="39"/>
        <v>8</v>
      </c>
      <c r="D137">
        <f t="shared" si="40"/>
        <v>2</v>
      </c>
      <c r="E137">
        <f t="shared" si="41"/>
        <v>2023</v>
      </c>
      <c r="F137" s="2">
        <v>3937</v>
      </c>
      <c r="G137" t="s">
        <v>17</v>
      </c>
      <c r="H137" s="4">
        <f>SUMIFS($F$2:$F$2739,$G$2:$G$2739,"No Contract",$E$2:$E$2739,2023)/SUMIF($E$2:$E$2739,2023,$F$2:$F$2739)</f>
        <v>0.20934732870162456</v>
      </c>
    </row>
    <row r="138" spans="1:8" x14ac:dyDescent="0.3">
      <c r="A138" t="s">
        <v>5</v>
      </c>
      <c r="B138" s="3">
        <v>44965</v>
      </c>
      <c r="C138">
        <f t="shared" si="39"/>
        <v>8</v>
      </c>
      <c r="D138">
        <f t="shared" si="40"/>
        <v>2</v>
      </c>
      <c r="E138">
        <f t="shared" si="41"/>
        <v>2023</v>
      </c>
      <c r="F138" s="2">
        <v>3696</v>
      </c>
      <c r="G138" t="s">
        <v>18</v>
      </c>
      <c r="H138" s="4">
        <f>SUMIFS($F$2:$F$2739,$G$2:$G$2739,"Annual Contract",$E$2:$E$2739,2023)/SUMIF($E$2:$E$2739,2023,$F$2:$F$2739)</f>
        <v>0.27687421727474026</v>
      </c>
    </row>
    <row r="139" spans="1:8" x14ac:dyDescent="0.3">
      <c r="A139" t="s">
        <v>7</v>
      </c>
      <c r="B139" s="3">
        <v>44966</v>
      </c>
      <c r="C139">
        <f t="shared" si="39"/>
        <v>9</v>
      </c>
      <c r="D139">
        <f t="shared" si="40"/>
        <v>2</v>
      </c>
      <c r="E139">
        <f t="shared" si="41"/>
        <v>2023</v>
      </c>
      <c r="F139" s="2">
        <v>2741</v>
      </c>
      <c r="G139" t="s">
        <v>17</v>
      </c>
      <c r="H139" s="4">
        <f>SUMIFS($F$2:$F$2739,$G$2:$G$2739,"No Contract",$E$2:$E$2739,2023)/SUMIF($E$2:$E$2739,2023,$F$2:$F$2739)</f>
        <v>0.20934732870162456</v>
      </c>
    </row>
    <row r="140" spans="1:8" x14ac:dyDescent="0.3">
      <c r="A140" t="s">
        <v>10</v>
      </c>
      <c r="B140" s="3">
        <v>44966</v>
      </c>
      <c r="C140">
        <f t="shared" si="39"/>
        <v>9</v>
      </c>
      <c r="D140">
        <f t="shared" si="40"/>
        <v>2</v>
      </c>
      <c r="E140">
        <f t="shared" si="41"/>
        <v>2023</v>
      </c>
      <c r="F140" s="2">
        <v>3632</v>
      </c>
      <c r="G140" t="s">
        <v>19</v>
      </c>
      <c r="H140" s="4">
        <f t="shared" ref="H140:H141" si="44">SUMIFS($F$2:$F$2739,$G$2:$G$2739,"Multi-year Contract",$E$2:$E$2739,2023)/SUMIF($E$2:$E$2739,2023,$F$2:$F$2739)</f>
        <v>0.5137784540236352</v>
      </c>
    </row>
    <row r="141" spans="1:8" x14ac:dyDescent="0.3">
      <c r="A141" t="s">
        <v>3</v>
      </c>
      <c r="B141" s="3">
        <v>44966</v>
      </c>
      <c r="C141">
        <f t="shared" si="39"/>
        <v>9</v>
      </c>
      <c r="D141">
        <f t="shared" si="40"/>
        <v>2</v>
      </c>
      <c r="E141">
        <f t="shared" si="41"/>
        <v>2023</v>
      </c>
      <c r="F141" s="2">
        <v>2365</v>
      </c>
      <c r="G141" t="s">
        <v>19</v>
      </c>
      <c r="H141" s="4">
        <f t="shared" si="44"/>
        <v>0.5137784540236352</v>
      </c>
    </row>
    <row r="142" spans="1:8" x14ac:dyDescent="0.3">
      <c r="A142" t="s">
        <v>5</v>
      </c>
      <c r="B142" s="3">
        <v>44967</v>
      </c>
      <c r="C142">
        <f t="shared" si="39"/>
        <v>10</v>
      </c>
      <c r="D142">
        <f t="shared" si="40"/>
        <v>2</v>
      </c>
      <c r="E142">
        <f t="shared" si="41"/>
        <v>2023</v>
      </c>
      <c r="F142" s="2">
        <v>3942</v>
      </c>
      <c r="G142" t="s">
        <v>18</v>
      </c>
      <c r="H142" s="4">
        <f t="shared" ref="H142:H143" si="45">SUMIFS($F$2:$F$2739,$G$2:$G$2739,"Annual Contract",$E$2:$E$2739,2023)/SUMIF($E$2:$E$2739,2023,$F$2:$F$2739)</f>
        <v>0.27687421727474026</v>
      </c>
    </row>
    <row r="143" spans="1:8" x14ac:dyDescent="0.3">
      <c r="A143" t="s">
        <v>6</v>
      </c>
      <c r="B143" s="3">
        <v>44967</v>
      </c>
      <c r="C143">
        <f t="shared" si="39"/>
        <v>10</v>
      </c>
      <c r="D143">
        <f t="shared" si="40"/>
        <v>2</v>
      </c>
      <c r="E143">
        <f t="shared" si="41"/>
        <v>2023</v>
      </c>
      <c r="F143" s="2">
        <v>1110</v>
      </c>
      <c r="G143" t="s">
        <v>18</v>
      </c>
      <c r="H143" s="4">
        <f t="shared" si="45"/>
        <v>0.27687421727474026</v>
      </c>
    </row>
    <row r="144" spans="1:8" x14ac:dyDescent="0.3">
      <c r="A144" t="s">
        <v>12</v>
      </c>
      <c r="B144" s="3">
        <v>44967</v>
      </c>
      <c r="C144">
        <f t="shared" si="39"/>
        <v>10</v>
      </c>
      <c r="D144">
        <f t="shared" si="40"/>
        <v>2</v>
      </c>
      <c r="E144">
        <f t="shared" si="41"/>
        <v>2023</v>
      </c>
      <c r="F144" s="2">
        <v>2141</v>
      </c>
      <c r="G144" s="2" t="s">
        <v>19</v>
      </c>
      <c r="H144" s="4">
        <f>SUMIFS($F$2:$F$2739,$G$2:$G$2739,"Multi-year Contract",$E$2:$E$2739,2023)/SUMIF($E$2:$E$2739,2023,$F$2:$F$2739)</f>
        <v>0.5137784540236352</v>
      </c>
    </row>
    <row r="145" spans="1:8" x14ac:dyDescent="0.3">
      <c r="A145" t="s">
        <v>8</v>
      </c>
      <c r="B145" s="3">
        <v>44967</v>
      </c>
      <c r="C145">
        <f t="shared" si="39"/>
        <v>10</v>
      </c>
      <c r="D145">
        <f t="shared" si="40"/>
        <v>2</v>
      </c>
      <c r="E145">
        <f t="shared" si="41"/>
        <v>2023</v>
      </c>
      <c r="F145" s="2">
        <v>3714</v>
      </c>
      <c r="G145" s="2" t="s">
        <v>18</v>
      </c>
      <c r="H145" s="4">
        <f>SUMIFS($F$2:$F$2739,$G$2:$G$2739,"Annual Contract",$E$2:$E$2739,2023)/SUMIF($E$2:$E$2739,2023,$F$2:$F$2739)</f>
        <v>0.27687421727474026</v>
      </c>
    </row>
    <row r="146" spans="1:8" x14ac:dyDescent="0.3">
      <c r="A146" t="s">
        <v>11</v>
      </c>
      <c r="B146" s="3">
        <v>44967</v>
      </c>
      <c r="C146">
        <f t="shared" si="39"/>
        <v>10</v>
      </c>
      <c r="D146">
        <f t="shared" si="40"/>
        <v>2</v>
      </c>
      <c r="E146">
        <f t="shared" si="41"/>
        <v>2023</v>
      </c>
      <c r="F146" s="2">
        <v>1987</v>
      </c>
      <c r="G146" t="s">
        <v>19</v>
      </c>
      <c r="H146" s="4">
        <f t="shared" ref="H146:H151" si="46">SUMIFS($F$2:$F$2739,$G$2:$G$2739,"Multi-year Contract",$E$2:$E$2739,2023)/SUMIF($E$2:$E$2739,2023,$F$2:$F$2739)</f>
        <v>0.5137784540236352</v>
      </c>
    </row>
    <row r="147" spans="1:8" x14ac:dyDescent="0.3">
      <c r="A147" t="s">
        <v>3</v>
      </c>
      <c r="B147" s="3">
        <v>44967</v>
      </c>
      <c r="C147">
        <f t="shared" si="39"/>
        <v>10</v>
      </c>
      <c r="D147">
        <f t="shared" si="40"/>
        <v>2</v>
      </c>
      <c r="E147">
        <f t="shared" si="41"/>
        <v>2023</v>
      </c>
      <c r="F147" s="2">
        <v>741</v>
      </c>
      <c r="G147" t="s">
        <v>19</v>
      </c>
      <c r="H147" s="4">
        <f t="shared" si="46"/>
        <v>0.5137784540236352</v>
      </c>
    </row>
    <row r="148" spans="1:8" x14ac:dyDescent="0.3">
      <c r="A148" t="s">
        <v>11</v>
      </c>
      <c r="B148" s="3">
        <v>44967</v>
      </c>
      <c r="C148">
        <f t="shared" si="39"/>
        <v>10</v>
      </c>
      <c r="D148">
        <f t="shared" si="40"/>
        <v>2</v>
      </c>
      <c r="E148">
        <f t="shared" si="41"/>
        <v>2023</v>
      </c>
      <c r="F148" s="2">
        <v>3164</v>
      </c>
      <c r="G148" t="s">
        <v>19</v>
      </c>
      <c r="H148" s="4">
        <f t="shared" si="46"/>
        <v>0.5137784540236352</v>
      </c>
    </row>
    <row r="149" spans="1:8" x14ac:dyDescent="0.3">
      <c r="A149" t="s">
        <v>12</v>
      </c>
      <c r="B149" s="3">
        <v>44968</v>
      </c>
      <c r="C149">
        <f t="shared" si="39"/>
        <v>11</v>
      </c>
      <c r="D149">
        <f t="shared" si="40"/>
        <v>2</v>
      </c>
      <c r="E149">
        <f t="shared" si="41"/>
        <v>2023</v>
      </c>
      <c r="F149" s="2">
        <v>2277</v>
      </c>
      <c r="G149" s="2" t="s">
        <v>19</v>
      </c>
      <c r="H149" s="4">
        <f t="shared" si="46"/>
        <v>0.5137784540236352</v>
      </c>
    </row>
    <row r="150" spans="1:8" x14ac:dyDescent="0.3">
      <c r="A150" t="s">
        <v>11</v>
      </c>
      <c r="B150" s="3">
        <v>44968</v>
      </c>
      <c r="C150">
        <f t="shared" si="39"/>
        <v>11</v>
      </c>
      <c r="D150">
        <f t="shared" si="40"/>
        <v>2</v>
      </c>
      <c r="E150">
        <f t="shared" si="41"/>
        <v>2023</v>
      </c>
      <c r="F150" s="2">
        <v>1394</v>
      </c>
      <c r="G150" t="s">
        <v>19</v>
      </c>
      <c r="H150" s="4">
        <f t="shared" si="46"/>
        <v>0.5137784540236352</v>
      </c>
    </row>
    <row r="151" spans="1:8" x14ac:dyDescent="0.3">
      <c r="A151" t="s">
        <v>4</v>
      </c>
      <c r="B151" s="3">
        <v>44968</v>
      </c>
      <c r="C151">
        <f t="shared" si="39"/>
        <v>11</v>
      </c>
      <c r="D151">
        <f t="shared" si="40"/>
        <v>2</v>
      </c>
      <c r="E151">
        <f t="shared" si="41"/>
        <v>2023</v>
      </c>
      <c r="F151" s="2">
        <v>2346</v>
      </c>
      <c r="G151" s="2" t="s">
        <v>19</v>
      </c>
      <c r="H151" s="4">
        <f t="shared" si="46"/>
        <v>0.5137784540236352</v>
      </c>
    </row>
    <row r="152" spans="1:8" x14ac:dyDescent="0.3">
      <c r="A152" t="s">
        <v>9</v>
      </c>
      <c r="B152" s="3">
        <v>44970</v>
      </c>
      <c r="C152">
        <f t="shared" si="39"/>
        <v>13</v>
      </c>
      <c r="D152">
        <f t="shared" si="40"/>
        <v>2</v>
      </c>
      <c r="E152">
        <f t="shared" si="41"/>
        <v>2023</v>
      </c>
      <c r="F152" s="2">
        <v>1592</v>
      </c>
      <c r="G152" t="s">
        <v>17</v>
      </c>
      <c r="H152" s="4">
        <f>SUMIFS($F$2:$F$2739,$G$2:$G$2739,"No Contract",$E$2:$E$2739,2023)/SUMIF($E$2:$E$2739,2023,$F$2:$F$2739)</f>
        <v>0.20934732870162456</v>
      </c>
    </row>
    <row r="153" spans="1:8" x14ac:dyDescent="0.3">
      <c r="A153" t="s">
        <v>4</v>
      </c>
      <c r="B153" s="3">
        <v>44970</v>
      </c>
      <c r="C153">
        <f t="shared" si="39"/>
        <v>13</v>
      </c>
      <c r="D153">
        <f t="shared" si="40"/>
        <v>2</v>
      </c>
      <c r="E153">
        <f t="shared" si="41"/>
        <v>2023</v>
      </c>
      <c r="F153" s="2">
        <v>2214</v>
      </c>
      <c r="G153" s="2" t="s">
        <v>19</v>
      </c>
      <c r="H153" s="4">
        <f t="shared" ref="H153:H154" si="47">SUMIFS($F$2:$F$2739,$G$2:$G$2739,"Multi-year Contract",$E$2:$E$2739,2023)/SUMIF($E$2:$E$2739,2023,$F$2:$F$2739)</f>
        <v>0.5137784540236352</v>
      </c>
    </row>
    <row r="154" spans="1:8" x14ac:dyDescent="0.3">
      <c r="A154" t="s">
        <v>3</v>
      </c>
      <c r="B154" s="3">
        <v>44970</v>
      </c>
      <c r="C154">
        <f t="shared" si="39"/>
        <v>13</v>
      </c>
      <c r="D154">
        <f t="shared" si="40"/>
        <v>2</v>
      </c>
      <c r="E154">
        <f t="shared" si="41"/>
        <v>2023</v>
      </c>
      <c r="F154" s="2">
        <v>1267</v>
      </c>
      <c r="G154" t="s">
        <v>19</v>
      </c>
      <c r="H154" s="4">
        <f t="shared" si="47"/>
        <v>0.5137784540236352</v>
      </c>
    </row>
    <row r="155" spans="1:8" x14ac:dyDescent="0.3">
      <c r="A155" t="s">
        <v>6</v>
      </c>
      <c r="B155" s="3">
        <v>44970</v>
      </c>
      <c r="C155">
        <f t="shared" si="39"/>
        <v>13</v>
      </c>
      <c r="D155">
        <f t="shared" si="40"/>
        <v>2</v>
      </c>
      <c r="E155">
        <f t="shared" si="41"/>
        <v>2023</v>
      </c>
      <c r="F155" s="2">
        <v>3496</v>
      </c>
      <c r="G155" t="s">
        <v>18</v>
      </c>
      <c r="H155" s="4">
        <f t="shared" ref="H155:H157" si="48">SUMIFS($F$2:$F$2739,$G$2:$G$2739,"Annual Contract",$E$2:$E$2739,2023)/SUMIF($E$2:$E$2739,2023,$F$2:$F$2739)</f>
        <v>0.27687421727474026</v>
      </c>
    </row>
    <row r="156" spans="1:8" x14ac:dyDescent="0.3">
      <c r="A156" t="s">
        <v>5</v>
      </c>
      <c r="B156" s="3">
        <v>44970</v>
      </c>
      <c r="C156">
        <f t="shared" si="39"/>
        <v>13</v>
      </c>
      <c r="D156">
        <f t="shared" si="40"/>
        <v>2</v>
      </c>
      <c r="E156">
        <f t="shared" si="41"/>
        <v>2023</v>
      </c>
      <c r="F156" s="2">
        <v>3660</v>
      </c>
      <c r="G156" t="s">
        <v>18</v>
      </c>
      <c r="H156" s="4">
        <f t="shared" si="48"/>
        <v>0.27687421727474026</v>
      </c>
    </row>
    <row r="157" spans="1:8" x14ac:dyDescent="0.3">
      <c r="A157" t="s">
        <v>6</v>
      </c>
      <c r="B157" s="3">
        <v>44971</v>
      </c>
      <c r="C157">
        <f t="shared" si="39"/>
        <v>14</v>
      </c>
      <c r="D157">
        <f t="shared" si="40"/>
        <v>2</v>
      </c>
      <c r="E157">
        <f t="shared" si="41"/>
        <v>2023</v>
      </c>
      <c r="F157" s="2">
        <v>1408</v>
      </c>
      <c r="G157" t="s">
        <v>18</v>
      </c>
      <c r="H157" s="4">
        <f t="shared" si="48"/>
        <v>0.27687421727474026</v>
      </c>
    </row>
    <row r="158" spans="1:8" x14ac:dyDescent="0.3">
      <c r="A158" t="s">
        <v>9</v>
      </c>
      <c r="B158" s="3">
        <v>44971</v>
      </c>
      <c r="C158">
        <f t="shared" si="39"/>
        <v>14</v>
      </c>
      <c r="D158">
        <f t="shared" si="40"/>
        <v>2</v>
      </c>
      <c r="E158">
        <f t="shared" si="41"/>
        <v>2023</v>
      </c>
      <c r="F158" s="2">
        <v>791</v>
      </c>
      <c r="G158" t="s">
        <v>17</v>
      </c>
      <c r="H158" s="4">
        <f>SUMIFS($F$2:$F$2739,$G$2:$G$2739,"No Contract",$E$2:$E$2739,2023)/SUMIF($E$2:$E$2739,2023,$F$2:$F$2739)</f>
        <v>0.20934732870162456</v>
      </c>
    </row>
    <row r="159" spans="1:8" x14ac:dyDescent="0.3">
      <c r="A159" t="s">
        <v>6</v>
      </c>
      <c r="B159" s="3">
        <v>44971</v>
      </c>
      <c r="C159">
        <f t="shared" si="39"/>
        <v>14</v>
      </c>
      <c r="D159">
        <f t="shared" si="40"/>
        <v>2</v>
      </c>
      <c r="E159">
        <f t="shared" si="41"/>
        <v>2023</v>
      </c>
      <c r="F159" s="2">
        <v>1136</v>
      </c>
      <c r="G159" t="s">
        <v>18</v>
      </c>
      <c r="H159" s="4">
        <f>SUMIFS($F$2:$F$2739,$G$2:$G$2739,"Annual Contract",$E$2:$E$2739,2023)/SUMIF($E$2:$E$2739,2023,$F$2:$F$2739)</f>
        <v>0.27687421727474026</v>
      </c>
    </row>
    <row r="160" spans="1:8" x14ac:dyDescent="0.3">
      <c r="A160" t="s">
        <v>3</v>
      </c>
      <c r="B160" s="3">
        <v>44971</v>
      </c>
      <c r="C160">
        <f t="shared" si="39"/>
        <v>14</v>
      </c>
      <c r="D160">
        <f t="shared" si="40"/>
        <v>2</v>
      </c>
      <c r="E160">
        <f t="shared" si="41"/>
        <v>2023</v>
      </c>
      <c r="F160" s="2">
        <v>2527</v>
      </c>
      <c r="G160" t="s">
        <v>19</v>
      </c>
      <c r="H160" s="4">
        <f t="shared" ref="H160:H162" si="49">SUMIFS($F$2:$F$2739,$G$2:$G$2739,"Multi-year Contract",$E$2:$E$2739,2023)/SUMIF($E$2:$E$2739,2023,$F$2:$F$2739)</f>
        <v>0.5137784540236352</v>
      </c>
    </row>
    <row r="161" spans="1:8" x14ac:dyDescent="0.3">
      <c r="A161" t="s">
        <v>10</v>
      </c>
      <c r="B161" s="3">
        <v>44972</v>
      </c>
      <c r="C161">
        <f t="shared" si="39"/>
        <v>15</v>
      </c>
      <c r="D161">
        <f t="shared" si="40"/>
        <v>2</v>
      </c>
      <c r="E161">
        <f t="shared" si="41"/>
        <v>2023</v>
      </c>
      <c r="F161" s="2">
        <v>2292</v>
      </c>
      <c r="G161" t="s">
        <v>19</v>
      </c>
      <c r="H161" s="4">
        <f t="shared" si="49"/>
        <v>0.5137784540236352</v>
      </c>
    </row>
    <row r="162" spans="1:8" x14ac:dyDescent="0.3">
      <c r="A162" t="s">
        <v>3</v>
      </c>
      <c r="B162" s="3">
        <v>44972</v>
      </c>
      <c r="C162">
        <f t="shared" si="39"/>
        <v>15</v>
      </c>
      <c r="D162">
        <f t="shared" si="40"/>
        <v>2</v>
      </c>
      <c r="E162">
        <f t="shared" si="41"/>
        <v>2023</v>
      </c>
      <c r="F162" s="2">
        <v>1351</v>
      </c>
      <c r="G162" t="s">
        <v>19</v>
      </c>
      <c r="H162" s="4">
        <f t="shared" si="49"/>
        <v>0.5137784540236352</v>
      </c>
    </row>
    <row r="163" spans="1:8" x14ac:dyDescent="0.3">
      <c r="A163" t="s">
        <v>6</v>
      </c>
      <c r="B163" s="3">
        <v>44973</v>
      </c>
      <c r="C163">
        <f t="shared" si="39"/>
        <v>16</v>
      </c>
      <c r="D163">
        <f t="shared" si="40"/>
        <v>2</v>
      </c>
      <c r="E163">
        <f t="shared" si="41"/>
        <v>2023</v>
      </c>
      <c r="F163" s="2">
        <v>1394</v>
      </c>
      <c r="G163" t="s">
        <v>18</v>
      </c>
      <c r="H163" s="4">
        <f t="shared" ref="H163:H165" si="50">SUMIFS($F$2:$F$2739,$G$2:$G$2739,"Annual Contract",$E$2:$E$2739,2023)/SUMIF($E$2:$E$2739,2023,$F$2:$F$2739)</f>
        <v>0.27687421727474026</v>
      </c>
    </row>
    <row r="164" spans="1:8" x14ac:dyDescent="0.3">
      <c r="A164" t="s">
        <v>6</v>
      </c>
      <c r="B164" s="3">
        <v>44973</v>
      </c>
      <c r="C164">
        <f t="shared" si="39"/>
        <v>16</v>
      </c>
      <c r="D164">
        <f t="shared" si="40"/>
        <v>2</v>
      </c>
      <c r="E164">
        <f t="shared" si="41"/>
        <v>2023</v>
      </c>
      <c r="F164" s="2">
        <v>3407</v>
      </c>
      <c r="G164" t="s">
        <v>18</v>
      </c>
      <c r="H164" s="4">
        <f t="shared" si="50"/>
        <v>0.27687421727474026</v>
      </c>
    </row>
    <row r="165" spans="1:8" x14ac:dyDescent="0.3">
      <c r="A165" t="s">
        <v>6</v>
      </c>
      <c r="B165" s="3">
        <v>44974</v>
      </c>
      <c r="C165">
        <f t="shared" si="39"/>
        <v>17</v>
      </c>
      <c r="D165">
        <f t="shared" si="40"/>
        <v>2</v>
      </c>
      <c r="E165">
        <f t="shared" si="41"/>
        <v>2023</v>
      </c>
      <c r="F165" s="2">
        <v>1721</v>
      </c>
      <c r="G165" t="s">
        <v>18</v>
      </c>
      <c r="H165" s="4">
        <f t="shared" si="50"/>
        <v>0.27687421727474026</v>
      </c>
    </row>
    <row r="166" spans="1:8" x14ac:dyDescent="0.3">
      <c r="A166" t="s">
        <v>7</v>
      </c>
      <c r="B166" s="3">
        <v>44974</v>
      </c>
      <c r="C166">
        <f t="shared" si="39"/>
        <v>17</v>
      </c>
      <c r="D166">
        <f t="shared" si="40"/>
        <v>2</v>
      </c>
      <c r="E166">
        <f t="shared" si="41"/>
        <v>2023</v>
      </c>
      <c r="F166" s="2">
        <v>3864</v>
      </c>
      <c r="G166" t="s">
        <v>17</v>
      </c>
      <c r="H166" s="4">
        <f>SUMIFS($F$2:$F$2739,$G$2:$G$2739,"No Contract",$E$2:$E$2739,2023)/SUMIF($E$2:$E$2739,2023,$F$2:$F$2739)</f>
        <v>0.20934732870162456</v>
      </c>
    </row>
    <row r="167" spans="1:8" x14ac:dyDescent="0.3">
      <c r="A167" t="s">
        <v>4</v>
      </c>
      <c r="B167" s="3">
        <v>44974</v>
      </c>
      <c r="C167">
        <f t="shared" si="39"/>
        <v>17</v>
      </c>
      <c r="D167">
        <f t="shared" si="40"/>
        <v>2</v>
      </c>
      <c r="E167">
        <f t="shared" si="41"/>
        <v>2023</v>
      </c>
      <c r="F167" s="2">
        <v>3020</v>
      </c>
      <c r="G167" s="2" t="s">
        <v>19</v>
      </c>
      <c r="H167" s="4">
        <f t="shared" ref="H167:H168" si="51">SUMIFS($F$2:$F$2739,$G$2:$G$2739,"Multi-year Contract",$E$2:$E$2739,2023)/SUMIF($E$2:$E$2739,2023,$F$2:$F$2739)</f>
        <v>0.5137784540236352</v>
      </c>
    </row>
    <row r="168" spans="1:8" x14ac:dyDescent="0.3">
      <c r="A168" t="s">
        <v>10</v>
      </c>
      <c r="B168" s="3">
        <v>44974</v>
      </c>
      <c r="C168">
        <f t="shared" si="39"/>
        <v>17</v>
      </c>
      <c r="D168">
        <f t="shared" si="40"/>
        <v>2</v>
      </c>
      <c r="E168">
        <f t="shared" si="41"/>
        <v>2023</v>
      </c>
      <c r="F168" s="2">
        <v>2496</v>
      </c>
      <c r="G168" t="s">
        <v>19</v>
      </c>
      <c r="H168" s="4">
        <f t="shared" si="51"/>
        <v>0.5137784540236352</v>
      </c>
    </row>
    <row r="169" spans="1:8" x14ac:dyDescent="0.3">
      <c r="A169" t="s">
        <v>5</v>
      </c>
      <c r="B169" s="3">
        <v>44974</v>
      </c>
      <c r="C169">
        <f t="shared" si="39"/>
        <v>17</v>
      </c>
      <c r="D169">
        <f t="shared" si="40"/>
        <v>2</v>
      </c>
      <c r="E169">
        <f t="shared" si="41"/>
        <v>2023</v>
      </c>
      <c r="F169" s="2">
        <v>3603</v>
      </c>
      <c r="G169" t="s">
        <v>18</v>
      </c>
      <c r="H169" s="4">
        <f t="shared" ref="H169:H170" si="52">SUMIFS($F$2:$F$2739,$G$2:$G$2739,"Annual Contract",$E$2:$E$2739,2023)/SUMIF($E$2:$E$2739,2023,$F$2:$F$2739)</f>
        <v>0.27687421727474026</v>
      </c>
    </row>
    <row r="170" spans="1:8" x14ac:dyDescent="0.3">
      <c r="A170" t="s">
        <v>6</v>
      </c>
      <c r="B170" s="3">
        <v>44974</v>
      </c>
      <c r="C170">
        <f t="shared" si="39"/>
        <v>17</v>
      </c>
      <c r="D170">
        <f t="shared" si="40"/>
        <v>2</v>
      </c>
      <c r="E170">
        <f t="shared" si="41"/>
        <v>2023</v>
      </c>
      <c r="F170" s="2">
        <v>1683</v>
      </c>
      <c r="G170" t="s">
        <v>18</v>
      </c>
      <c r="H170" s="4">
        <f t="shared" si="52"/>
        <v>0.27687421727474026</v>
      </c>
    </row>
    <row r="171" spans="1:8" x14ac:dyDescent="0.3">
      <c r="A171" t="s">
        <v>7</v>
      </c>
      <c r="B171" s="3">
        <v>44975</v>
      </c>
      <c r="C171">
        <f t="shared" si="39"/>
        <v>18</v>
      </c>
      <c r="D171">
        <f t="shared" si="40"/>
        <v>2</v>
      </c>
      <c r="E171">
        <f t="shared" si="41"/>
        <v>2023</v>
      </c>
      <c r="F171" s="2">
        <v>1435</v>
      </c>
      <c r="G171" t="s">
        <v>17</v>
      </c>
      <c r="H171" s="4">
        <f>SUMIFS($F$2:$F$2739,$G$2:$G$2739,"No Contract",$E$2:$E$2739,2023)/SUMIF($E$2:$E$2739,2023,$F$2:$F$2739)</f>
        <v>0.20934732870162456</v>
      </c>
    </row>
    <row r="172" spans="1:8" x14ac:dyDescent="0.3">
      <c r="A172" t="s">
        <v>3</v>
      </c>
      <c r="B172" s="3">
        <v>44975</v>
      </c>
      <c r="C172">
        <f t="shared" si="39"/>
        <v>18</v>
      </c>
      <c r="D172">
        <f t="shared" si="40"/>
        <v>2</v>
      </c>
      <c r="E172">
        <f t="shared" si="41"/>
        <v>2023</v>
      </c>
      <c r="F172" s="2">
        <v>1359</v>
      </c>
      <c r="G172" t="s">
        <v>19</v>
      </c>
      <c r="H172" s="4">
        <f>SUMIFS($F$2:$F$2739,$G$2:$G$2739,"Multi-year Contract",$E$2:$E$2739,2023)/SUMIF($E$2:$E$2739,2023,$F$2:$F$2739)</f>
        <v>0.5137784540236352</v>
      </c>
    </row>
    <row r="173" spans="1:8" x14ac:dyDescent="0.3">
      <c r="A173" t="s">
        <v>7</v>
      </c>
      <c r="B173" s="3">
        <v>44975</v>
      </c>
      <c r="C173">
        <f t="shared" si="39"/>
        <v>18</v>
      </c>
      <c r="D173">
        <f t="shared" si="40"/>
        <v>2</v>
      </c>
      <c r="E173">
        <f t="shared" si="41"/>
        <v>2023</v>
      </c>
      <c r="F173" s="2">
        <v>1439</v>
      </c>
      <c r="G173" t="s">
        <v>17</v>
      </c>
      <c r="H173" s="4">
        <f>SUMIFS($F$2:$F$2739,$G$2:$G$2739,"No Contract",$E$2:$E$2739,2023)/SUMIF($E$2:$E$2739,2023,$F$2:$F$2739)</f>
        <v>0.20934732870162456</v>
      </c>
    </row>
    <row r="174" spans="1:8" x14ac:dyDescent="0.3">
      <c r="A174" t="s">
        <v>5</v>
      </c>
      <c r="B174" s="3">
        <v>44975</v>
      </c>
      <c r="C174">
        <f t="shared" si="39"/>
        <v>18</v>
      </c>
      <c r="D174">
        <f t="shared" si="40"/>
        <v>2</v>
      </c>
      <c r="E174">
        <f t="shared" si="41"/>
        <v>2023</v>
      </c>
      <c r="F174" s="2">
        <v>1920</v>
      </c>
      <c r="G174" t="s">
        <v>18</v>
      </c>
      <c r="H174" s="4">
        <f>SUMIFS($F$2:$F$2739,$G$2:$G$2739,"Annual Contract",$E$2:$E$2739,2023)/SUMIF($E$2:$E$2739,2023,$F$2:$F$2739)</f>
        <v>0.27687421727474026</v>
      </c>
    </row>
    <row r="175" spans="1:8" x14ac:dyDescent="0.3">
      <c r="A175" t="s">
        <v>7</v>
      </c>
      <c r="B175" s="3">
        <v>44975</v>
      </c>
      <c r="C175">
        <f t="shared" si="39"/>
        <v>18</v>
      </c>
      <c r="D175">
        <f t="shared" si="40"/>
        <v>2</v>
      </c>
      <c r="E175">
        <f t="shared" si="41"/>
        <v>2023</v>
      </c>
      <c r="F175" s="2">
        <v>3612</v>
      </c>
      <c r="G175" t="s">
        <v>17</v>
      </c>
      <c r="H175" s="4">
        <f>SUMIFS($F$2:$F$2739,$G$2:$G$2739,"No Contract",$E$2:$E$2739,2023)/SUMIF($E$2:$E$2739,2023,$F$2:$F$2739)</f>
        <v>0.20934732870162456</v>
      </c>
    </row>
    <row r="176" spans="1:8" x14ac:dyDescent="0.3">
      <c r="A176" t="s">
        <v>10</v>
      </c>
      <c r="B176" s="3">
        <v>44975</v>
      </c>
      <c r="C176">
        <f t="shared" si="39"/>
        <v>18</v>
      </c>
      <c r="D176">
        <f t="shared" si="40"/>
        <v>2</v>
      </c>
      <c r="E176">
        <f t="shared" si="41"/>
        <v>2023</v>
      </c>
      <c r="F176" s="2">
        <v>897</v>
      </c>
      <c r="G176" t="s">
        <v>19</v>
      </c>
      <c r="H176" s="4">
        <f>SUMIFS($F$2:$F$2739,$G$2:$G$2739,"Multi-year Contract",$E$2:$E$2739,2023)/SUMIF($E$2:$E$2739,2023,$F$2:$F$2739)</f>
        <v>0.5137784540236352</v>
      </c>
    </row>
    <row r="177" spans="1:8" x14ac:dyDescent="0.3">
      <c r="A177" t="s">
        <v>6</v>
      </c>
      <c r="B177" s="3">
        <v>44976</v>
      </c>
      <c r="C177">
        <f t="shared" si="39"/>
        <v>19</v>
      </c>
      <c r="D177">
        <f t="shared" si="40"/>
        <v>2</v>
      </c>
      <c r="E177">
        <f t="shared" si="41"/>
        <v>2023</v>
      </c>
      <c r="F177" s="2">
        <v>2043</v>
      </c>
      <c r="G177" t="s">
        <v>18</v>
      </c>
      <c r="H177" s="4">
        <f>SUMIFS($F$2:$F$2739,$G$2:$G$2739,"Annual Contract",$E$2:$E$2739,2023)/SUMIF($E$2:$E$2739,2023,$F$2:$F$2739)</f>
        <v>0.27687421727474026</v>
      </c>
    </row>
    <row r="178" spans="1:8" x14ac:dyDescent="0.3">
      <c r="A178" t="s">
        <v>9</v>
      </c>
      <c r="B178" s="3">
        <v>44976</v>
      </c>
      <c r="C178">
        <f t="shared" si="39"/>
        <v>19</v>
      </c>
      <c r="D178">
        <f t="shared" si="40"/>
        <v>2</v>
      </c>
      <c r="E178">
        <f t="shared" si="41"/>
        <v>2023</v>
      </c>
      <c r="F178" s="2">
        <v>852</v>
      </c>
      <c r="G178" t="s">
        <v>17</v>
      </c>
      <c r="H178" s="4">
        <f t="shared" ref="H178:H179" si="53">SUMIFS($F$2:$F$2739,$G$2:$G$2739,"No Contract",$E$2:$E$2739,2023)/SUMIF($E$2:$E$2739,2023,$F$2:$F$2739)</f>
        <v>0.20934732870162456</v>
      </c>
    </row>
    <row r="179" spans="1:8" x14ac:dyDescent="0.3">
      <c r="A179" t="s">
        <v>7</v>
      </c>
      <c r="B179" s="3">
        <v>44976</v>
      </c>
      <c r="C179">
        <f t="shared" si="39"/>
        <v>19</v>
      </c>
      <c r="D179">
        <f t="shared" si="40"/>
        <v>2</v>
      </c>
      <c r="E179">
        <f t="shared" si="41"/>
        <v>2023</v>
      </c>
      <c r="F179" s="2">
        <v>1668</v>
      </c>
      <c r="G179" t="s">
        <v>17</v>
      </c>
      <c r="H179" s="4">
        <f t="shared" si="53"/>
        <v>0.20934732870162456</v>
      </c>
    </row>
    <row r="180" spans="1:8" x14ac:dyDescent="0.3">
      <c r="A180" t="s">
        <v>4</v>
      </c>
      <c r="B180" s="3">
        <v>44976</v>
      </c>
      <c r="C180">
        <f t="shared" si="39"/>
        <v>19</v>
      </c>
      <c r="D180">
        <f t="shared" si="40"/>
        <v>2</v>
      </c>
      <c r="E180">
        <f t="shared" si="41"/>
        <v>2023</v>
      </c>
      <c r="F180" s="2">
        <v>2541</v>
      </c>
      <c r="G180" s="2" t="s">
        <v>19</v>
      </c>
      <c r="H180" s="4">
        <f t="shared" ref="H180:H182" si="54">SUMIFS($F$2:$F$2739,$G$2:$G$2739,"Multi-year Contract",$E$2:$E$2739,2023)/SUMIF($E$2:$E$2739,2023,$F$2:$F$2739)</f>
        <v>0.5137784540236352</v>
      </c>
    </row>
    <row r="181" spans="1:8" x14ac:dyDescent="0.3">
      <c r="A181" t="s">
        <v>11</v>
      </c>
      <c r="B181" s="3">
        <v>44976</v>
      </c>
      <c r="C181">
        <f t="shared" si="39"/>
        <v>19</v>
      </c>
      <c r="D181">
        <f t="shared" si="40"/>
        <v>2</v>
      </c>
      <c r="E181">
        <f t="shared" si="41"/>
        <v>2023</v>
      </c>
      <c r="F181" s="2">
        <v>3179</v>
      </c>
      <c r="G181" t="s">
        <v>19</v>
      </c>
      <c r="H181" s="4">
        <f t="shared" si="54"/>
        <v>0.5137784540236352</v>
      </c>
    </row>
    <row r="182" spans="1:8" x14ac:dyDescent="0.3">
      <c r="A182" t="s">
        <v>10</v>
      </c>
      <c r="B182" s="3">
        <v>44976</v>
      </c>
      <c r="C182">
        <f t="shared" si="39"/>
        <v>19</v>
      </c>
      <c r="D182">
        <f t="shared" si="40"/>
        <v>2</v>
      </c>
      <c r="E182">
        <f t="shared" si="41"/>
        <v>2023</v>
      </c>
      <c r="F182" s="2">
        <v>3850</v>
      </c>
      <c r="G182" t="s">
        <v>19</v>
      </c>
      <c r="H182" s="4">
        <f t="shared" si="54"/>
        <v>0.5137784540236352</v>
      </c>
    </row>
    <row r="183" spans="1:8" x14ac:dyDescent="0.3">
      <c r="A183" t="s">
        <v>6</v>
      </c>
      <c r="B183" s="3">
        <v>44977</v>
      </c>
      <c r="C183">
        <f t="shared" si="39"/>
        <v>20</v>
      </c>
      <c r="D183">
        <f t="shared" si="40"/>
        <v>2</v>
      </c>
      <c r="E183">
        <f t="shared" si="41"/>
        <v>2023</v>
      </c>
      <c r="F183" s="2">
        <v>639</v>
      </c>
      <c r="G183" t="s">
        <v>18</v>
      </c>
      <c r="H183" s="4">
        <f t="shared" ref="H183:H184" si="55">SUMIFS($F$2:$F$2739,$G$2:$G$2739,"Annual Contract",$E$2:$E$2739,2023)/SUMIF($E$2:$E$2739,2023,$F$2:$F$2739)</f>
        <v>0.27687421727474026</v>
      </c>
    </row>
    <row r="184" spans="1:8" x14ac:dyDescent="0.3">
      <c r="A184" t="s">
        <v>8</v>
      </c>
      <c r="B184" s="3">
        <v>44977</v>
      </c>
      <c r="C184">
        <f t="shared" si="39"/>
        <v>20</v>
      </c>
      <c r="D184">
        <f t="shared" si="40"/>
        <v>2</v>
      </c>
      <c r="E184">
        <f t="shared" si="41"/>
        <v>2023</v>
      </c>
      <c r="F184" s="2">
        <v>3979</v>
      </c>
      <c r="G184" s="2" t="s">
        <v>18</v>
      </c>
      <c r="H184" s="4">
        <f t="shared" si="55"/>
        <v>0.27687421727474026</v>
      </c>
    </row>
    <row r="185" spans="1:8" x14ac:dyDescent="0.3">
      <c r="A185" t="s">
        <v>7</v>
      </c>
      <c r="B185" s="3">
        <v>44978</v>
      </c>
      <c r="C185">
        <f t="shared" si="39"/>
        <v>21</v>
      </c>
      <c r="D185">
        <f t="shared" si="40"/>
        <v>2</v>
      </c>
      <c r="E185">
        <f t="shared" si="41"/>
        <v>2023</v>
      </c>
      <c r="F185" s="2">
        <v>3443</v>
      </c>
      <c r="G185" t="s">
        <v>17</v>
      </c>
      <c r="H185" s="4">
        <f>SUMIFS($F$2:$F$2739,$G$2:$G$2739,"No Contract",$E$2:$E$2739,2023)/SUMIF($E$2:$E$2739,2023,$F$2:$F$2739)</f>
        <v>0.20934732870162456</v>
      </c>
    </row>
    <row r="186" spans="1:8" x14ac:dyDescent="0.3">
      <c r="A186" t="s">
        <v>12</v>
      </c>
      <c r="B186" s="3">
        <v>44978</v>
      </c>
      <c r="C186">
        <f t="shared" si="39"/>
        <v>21</v>
      </c>
      <c r="D186">
        <f t="shared" si="40"/>
        <v>2</v>
      </c>
      <c r="E186">
        <f t="shared" si="41"/>
        <v>2023</v>
      </c>
      <c r="F186" s="2">
        <v>1310</v>
      </c>
      <c r="G186" s="2" t="s">
        <v>19</v>
      </c>
      <c r="H186" s="4">
        <f t="shared" ref="H186:H188" si="56">SUMIFS($F$2:$F$2739,$G$2:$G$2739,"Multi-year Contract",$E$2:$E$2739,2023)/SUMIF($E$2:$E$2739,2023,$F$2:$F$2739)</f>
        <v>0.5137784540236352</v>
      </c>
    </row>
    <row r="187" spans="1:8" x14ac:dyDescent="0.3">
      <c r="A187" t="s">
        <v>4</v>
      </c>
      <c r="B187" s="3">
        <v>44978</v>
      </c>
      <c r="C187">
        <f t="shared" si="39"/>
        <v>21</v>
      </c>
      <c r="D187">
        <f t="shared" si="40"/>
        <v>2</v>
      </c>
      <c r="E187">
        <f t="shared" si="41"/>
        <v>2023</v>
      </c>
      <c r="F187" s="2">
        <v>1145</v>
      </c>
      <c r="G187" s="2" t="s">
        <v>19</v>
      </c>
      <c r="H187" s="4">
        <f t="shared" si="56"/>
        <v>0.5137784540236352</v>
      </c>
    </row>
    <row r="188" spans="1:8" x14ac:dyDescent="0.3">
      <c r="A188" t="s">
        <v>10</v>
      </c>
      <c r="B188" s="3">
        <v>44979</v>
      </c>
      <c r="C188">
        <f t="shared" si="39"/>
        <v>22</v>
      </c>
      <c r="D188">
        <f t="shared" si="40"/>
        <v>2</v>
      </c>
      <c r="E188">
        <f t="shared" si="41"/>
        <v>2023</v>
      </c>
      <c r="F188" s="2">
        <v>2246</v>
      </c>
      <c r="G188" t="s">
        <v>19</v>
      </c>
      <c r="H188" s="4">
        <f t="shared" si="56"/>
        <v>0.5137784540236352</v>
      </c>
    </row>
    <row r="189" spans="1:8" x14ac:dyDescent="0.3">
      <c r="A189" t="s">
        <v>7</v>
      </c>
      <c r="B189" s="3">
        <v>44979</v>
      </c>
      <c r="C189">
        <f t="shared" si="39"/>
        <v>22</v>
      </c>
      <c r="D189">
        <f t="shared" si="40"/>
        <v>2</v>
      </c>
      <c r="E189">
        <f t="shared" si="41"/>
        <v>2023</v>
      </c>
      <c r="F189" s="2">
        <v>2489</v>
      </c>
      <c r="G189" t="s">
        <v>17</v>
      </c>
      <c r="H189" s="4">
        <f>SUMIFS($F$2:$F$2739,$G$2:$G$2739,"No Contract",$E$2:$E$2739,2023)/SUMIF($E$2:$E$2739,2023,$F$2:$F$2739)</f>
        <v>0.20934732870162456</v>
      </c>
    </row>
    <row r="190" spans="1:8" x14ac:dyDescent="0.3">
      <c r="A190" t="s">
        <v>5</v>
      </c>
      <c r="B190" s="3">
        <v>44979</v>
      </c>
      <c r="C190">
        <f t="shared" si="39"/>
        <v>22</v>
      </c>
      <c r="D190">
        <f t="shared" si="40"/>
        <v>2</v>
      </c>
      <c r="E190">
        <f t="shared" si="41"/>
        <v>2023</v>
      </c>
      <c r="F190" s="2">
        <v>1309</v>
      </c>
      <c r="G190" t="s">
        <v>18</v>
      </c>
      <c r="H190" s="4">
        <f>SUMIFS($F$2:$F$2739,$G$2:$G$2739,"Annual Contract",$E$2:$E$2739,2023)/SUMIF($E$2:$E$2739,2023,$F$2:$F$2739)</f>
        <v>0.27687421727474026</v>
      </c>
    </row>
    <row r="191" spans="1:8" x14ac:dyDescent="0.3">
      <c r="A191" t="s">
        <v>4</v>
      </c>
      <c r="B191" s="3">
        <v>44979</v>
      </c>
      <c r="C191">
        <f t="shared" si="39"/>
        <v>22</v>
      </c>
      <c r="D191">
        <f t="shared" si="40"/>
        <v>2</v>
      </c>
      <c r="E191">
        <f t="shared" si="41"/>
        <v>2023</v>
      </c>
      <c r="F191" s="2">
        <v>3156</v>
      </c>
      <c r="G191" s="2" t="s">
        <v>19</v>
      </c>
      <c r="H191" s="4">
        <f>SUMIFS($F$2:$F$2739,$G$2:$G$2739,"Multi-year Contract",$E$2:$E$2739,2023)/SUMIF($E$2:$E$2739,2023,$F$2:$F$2739)</f>
        <v>0.5137784540236352</v>
      </c>
    </row>
    <row r="192" spans="1:8" x14ac:dyDescent="0.3">
      <c r="A192" t="s">
        <v>6</v>
      </c>
      <c r="B192" s="3">
        <v>44979</v>
      </c>
      <c r="C192">
        <f t="shared" si="39"/>
        <v>22</v>
      </c>
      <c r="D192">
        <f t="shared" si="40"/>
        <v>2</v>
      </c>
      <c r="E192">
        <f t="shared" si="41"/>
        <v>2023</v>
      </c>
      <c r="F192" s="2">
        <v>1023</v>
      </c>
      <c r="G192" t="s">
        <v>18</v>
      </c>
      <c r="H192" s="4">
        <f>SUMIFS($F$2:$F$2739,$G$2:$G$2739,"Annual Contract",$E$2:$E$2739,2023)/SUMIF($E$2:$E$2739,2023,$F$2:$F$2739)</f>
        <v>0.27687421727474026</v>
      </c>
    </row>
    <row r="193" spans="1:8" x14ac:dyDescent="0.3">
      <c r="A193" t="s">
        <v>12</v>
      </c>
      <c r="B193" s="3">
        <v>44979</v>
      </c>
      <c r="C193">
        <f t="shared" si="39"/>
        <v>22</v>
      </c>
      <c r="D193">
        <f t="shared" si="40"/>
        <v>2</v>
      </c>
      <c r="E193">
        <f t="shared" si="41"/>
        <v>2023</v>
      </c>
      <c r="F193" s="2">
        <v>2827</v>
      </c>
      <c r="G193" s="2" t="s">
        <v>19</v>
      </c>
      <c r="H193" s="4">
        <f t="shared" ref="H193:H194" si="57">SUMIFS($F$2:$F$2739,$G$2:$G$2739,"Multi-year Contract",$E$2:$E$2739,2023)/SUMIF($E$2:$E$2739,2023,$F$2:$F$2739)</f>
        <v>0.5137784540236352</v>
      </c>
    </row>
    <row r="194" spans="1:8" x14ac:dyDescent="0.3">
      <c r="A194" t="s">
        <v>11</v>
      </c>
      <c r="B194" s="3">
        <v>44980</v>
      </c>
      <c r="C194">
        <f t="shared" si="39"/>
        <v>23</v>
      </c>
      <c r="D194">
        <f t="shared" si="40"/>
        <v>2</v>
      </c>
      <c r="E194">
        <f t="shared" si="41"/>
        <v>2023</v>
      </c>
      <c r="F194" s="2">
        <v>1573</v>
      </c>
      <c r="G194" t="s">
        <v>19</v>
      </c>
      <c r="H194" s="4">
        <f t="shared" si="57"/>
        <v>0.5137784540236352</v>
      </c>
    </row>
    <row r="195" spans="1:8" x14ac:dyDescent="0.3">
      <c r="A195" t="s">
        <v>7</v>
      </c>
      <c r="B195" s="3">
        <v>44980</v>
      </c>
      <c r="C195">
        <f t="shared" ref="C195:C258" si="58">DAY(B195)</f>
        <v>23</v>
      </c>
      <c r="D195">
        <f t="shared" ref="D195:D258" si="59">MONTH(B195)</f>
        <v>2</v>
      </c>
      <c r="E195">
        <f t="shared" ref="E195:E258" si="60">YEAR(B195)</f>
        <v>2023</v>
      </c>
      <c r="F195" s="2">
        <v>2734</v>
      </c>
      <c r="G195" t="s">
        <v>17</v>
      </c>
      <c r="H195" s="4">
        <f>SUMIFS($F$2:$F$2739,$G$2:$G$2739,"No Contract",$E$2:$E$2739,2023)/SUMIF($E$2:$E$2739,2023,$F$2:$F$2739)</f>
        <v>0.20934732870162456</v>
      </c>
    </row>
    <row r="196" spans="1:8" x14ac:dyDescent="0.3">
      <c r="A196" t="s">
        <v>11</v>
      </c>
      <c r="B196" s="3">
        <v>44980</v>
      </c>
      <c r="C196">
        <f t="shared" si="58"/>
        <v>23</v>
      </c>
      <c r="D196">
        <f t="shared" si="59"/>
        <v>2</v>
      </c>
      <c r="E196">
        <f t="shared" si="60"/>
        <v>2023</v>
      </c>
      <c r="F196" s="2">
        <v>3948</v>
      </c>
      <c r="G196" t="s">
        <v>19</v>
      </c>
      <c r="H196" s="4">
        <f t="shared" ref="H196:H199" si="61">SUMIFS($F$2:$F$2739,$G$2:$G$2739,"Multi-year Contract",$E$2:$E$2739,2023)/SUMIF($E$2:$E$2739,2023,$F$2:$F$2739)</f>
        <v>0.5137784540236352</v>
      </c>
    </row>
    <row r="197" spans="1:8" x14ac:dyDescent="0.3">
      <c r="A197" t="s">
        <v>10</v>
      </c>
      <c r="B197" s="3">
        <v>44980</v>
      </c>
      <c r="C197">
        <f t="shared" si="58"/>
        <v>23</v>
      </c>
      <c r="D197">
        <f t="shared" si="59"/>
        <v>2</v>
      </c>
      <c r="E197">
        <f t="shared" si="60"/>
        <v>2023</v>
      </c>
      <c r="F197" s="2">
        <v>908</v>
      </c>
      <c r="G197" t="s">
        <v>19</v>
      </c>
      <c r="H197" s="4">
        <f t="shared" si="61"/>
        <v>0.5137784540236352</v>
      </c>
    </row>
    <row r="198" spans="1:8" x14ac:dyDescent="0.3">
      <c r="A198" t="s">
        <v>3</v>
      </c>
      <c r="B198" s="3">
        <v>44980</v>
      </c>
      <c r="C198">
        <f t="shared" si="58"/>
        <v>23</v>
      </c>
      <c r="D198">
        <f t="shared" si="59"/>
        <v>2</v>
      </c>
      <c r="E198">
        <f t="shared" si="60"/>
        <v>2023</v>
      </c>
      <c r="F198" s="2">
        <v>3716</v>
      </c>
      <c r="G198" t="s">
        <v>19</v>
      </c>
      <c r="H198" s="4">
        <f t="shared" si="61"/>
        <v>0.5137784540236352</v>
      </c>
    </row>
    <row r="199" spans="1:8" x14ac:dyDescent="0.3">
      <c r="A199" t="s">
        <v>10</v>
      </c>
      <c r="B199" s="3">
        <v>44980</v>
      </c>
      <c r="C199">
        <f t="shared" si="58"/>
        <v>23</v>
      </c>
      <c r="D199">
        <f t="shared" si="59"/>
        <v>2</v>
      </c>
      <c r="E199">
        <f t="shared" si="60"/>
        <v>2023</v>
      </c>
      <c r="F199" s="2">
        <v>891</v>
      </c>
      <c r="G199" t="s">
        <v>19</v>
      </c>
      <c r="H199" s="4">
        <f t="shared" si="61"/>
        <v>0.5137784540236352</v>
      </c>
    </row>
    <row r="200" spans="1:8" x14ac:dyDescent="0.3">
      <c r="A200" t="s">
        <v>7</v>
      </c>
      <c r="B200" s="3">
        <v>44980</v>
      </c>
      <c r="C200">
        <f t="shared" si="58"/>
        <v>23</v>
      </c>
      <c r="D200">
        <f t="shared" si="59"/>
        <v>2</v>
      </c>
      <c r="E200">
        <f t="shared" si="60"/>
        <v>2023</v>
      </c>
      <c r="F200" s="2">
        <v>1242</v>
      </c>
      <c r="G200" t="s">
        <v>17</v>
      </c>
      <c r="H200" s="4">
        <f>SUMIFS($F$2:$F$2739,$G$2:$G$2739,"No Contract",$E$2:$E$2739,2023)/SUMIF($E$2:$E$2739,2023,$F$2:$F$2739)</f>
        <v>0.20934732870162456</v>
      </c>
    </row>
    <row r="201" spans="1:8" x14ac:dyDescent="0.3">
      <c r="A201" t="s">
        <v>4</v>
      </c>
      <c r="B201" s="3">
        <v>44980</v>
      </c>
      <c r="C201">
        <f t="shared" si="58"/>
        <v>23</v>
      </c>
      <c r="D201">
        <f t="shared" si="59"/>
        <v>2</v>
      </c>
      <c r="E201">
        <f t="shared" si="60"/>
        <v>2023</v>
      </c>
      <c r="F201" s="2">
        <v>2633</v>
      </c>
      <c r="G201" s="2" t="s">
        <v>19</v>
      </c>
      <c r="H201" s="4">
        <f t="shared" ref="H201:H202" si="62">SUMIFS($F$2:$F$2739,$G$2:$G$2739,"Multi-year Contract",$E$2:$E$2739,2023)/SUMIF($E$2:$E$2739,2023,$F$2:$F$2739)</f>
        <v>0.5137784540236352</v>
      </c>
    </row>
    <row r="202" spans="1:8" x14ac:dyDescent="0.3">
      <c r="A202" t="s">
        <v>4</v>
      </c>
      <c r="B202" s="3">
        <v>44980</v>
      </c>
      <c r="C202">
        <f t="shared" si="58"/>
        <v>23</v>
      </c>
      <c r="D202">
        <f t="shared" si="59"/>
        <v>2</v>
      </c>
      <c r="E202">
        <f t="shared" si="60"/>
        <v>2023</v>
      </c>
      <c r="F202" s="2">
        <v>2029</v>
      </c>
      <c r="G202" s="2" t="s">
        <v>19</v>
      </c>
      <c r="H202" s="4">
        <f t="shared" si="62"/>
        <v>0.5137784540236352</v>
      </c>
    </row>
    <row r="203" spans="1:8" x14ac:dyDescent="0.3">
      <c r="A203" t="s">
        <v>5</v>
      </c>
      <c r="B203" s="3">
        <v>44980</v>
      </c>
      <c r="C203">
        <f t="shared" si="58"/>
        <v>23</v>
      </c>
      <c r="D203">
        <f t="shared" si="59"/>
        <v>2</v>
      </c>
      <c r="E203">
        <f t="shared" si="60"/>
        <v>2023</v>
      </c>
      <c r="F203" s="2">
        <v>552</v>
      </c>
      <c r="G203" t="s">
        <v>18</v>
      </c>
      <c r="H203" s="4">
        <f>SUMIFS($F$2:$F$2739,$G$2:$G$2739,"Annual Contract",$E$2:$E$2739,2023)/SUMIF($E$2:$E$2739,2023,$F$2:$F$2739)</f>
        <v>0.27687421727474026</v>
      </c>
    </row>
    <row r="204" spans="1:8" x14ac:dyDescent="0.3">
      <c r="A204" t="s">
        <v>9</v>
      </c>
      <c r="B204" s="3">
        <v>44980</v>
      </c>
      <c r="C204">
        <f t="shared" si="58"/>
        <v>23</v>
      </c>
      <c r="D204">
        <f t="shared" si="59"/>
        <v>2</v>
      </c>
      <c r="E204">
        <f t="shared" si="60"/>
        <v>2023</v>
      </c>
      <c r="F204" s="2">
        <v>3351</v>
      </c>
      <c r="G204" t="s">
        <v>17</v>
      </c>
      <c r="H204" s="4">
        <f t="shared" ref="H204:H205" si="63">SUMIFS($F$2:$F$2739,$G$2:$G$2739,"No Contract",$E$2:$E$2739,2023)/SUMIF($E$2:$E$2739,2023,$F$2:$F$2739)</f>
        <v>0.20934732870162456</v>
      </c>
    </row>
    <row r="205" spans="1:8" x14ac:dyDescent="0.3">
      <c r="A205" t="s">
        <v>9</v>
      </c>
      <c r="B205" s="3">
        <v>44980</v>
      </c>
      <c r="C205">
        <f t="shared" si="58"/>
        <v>23</v>
      </c>
      <c r="D205">
        <f t="shared" si="59"/>
        <v>2</v>
      </c>
      <c r="E205">
        <f t="shared" si="60"/>
        <v>2023</v>
      </c>
      <c r="F205" s="2">
        <v>1714</v>
      </c>
      <c r="G205" t="s">
        <v>17</v>
      </c>
      <c r="H205" s="4">
        <f t="shared" si="63"/>
        <v>0.20934732870162456</v>
      </c>
    </row>
    <row r="206" spans="1:8" x14ac:dyDescent="0.3">
      <c r="A206" t="s">
        <v>8</v>
      </c>
      <c r="B206" s="3">
        <v>44981</v>
      </c>
      <c r="C206">
        <f t="shared" si="58"/>
        <v>24</v>
      </c>
      <c r="D206">
        <f t="shared" si="59"/>
        <v>2</v>
      </c>
      <c r="E206">
        <f t="shared" si="60"/>
        <v>2023</v>
      </c>
      <c r="F206" s="2">
        <v>2682</v>
      </c>
      <c r="G206" s="2" t="s">
        <v>18</v>
      </c>
      <c r="H206" s="4">
        <f>SUMIFS($F$2:$F$2739,$G$2:$G$2739,"Annual Contract",$E$2:$E$2739,2023)/SUMIF($E$2:$E$2739,2023,$F$2:$F$2739)</f>
        <v>0.27687421727474026</v>
      </c>
    </row>
    <row r="207" spans="1:8" x14ac:dyDescent="0.3">
      <c r="A207" t="s">
        <v>9</v>
      </c>
      <c r="B207" s="3">
        <v>44981</v>
      </c>
      <c r="C207">
        <f t="shared" si="58"/>
        <v>24</v>
      </c>
      <c r="D207">
        <f t="shared" si="59"/>
        <v>2</v>
      </c>
      <c r="E207">
        <f t="shared" si="60"/>
        <v>2023</v>
      </c>
      <c r="F207" s="2">
        <v>761</v>
      </c>
      <c r="G207" t="s">
        <v>17</v>
      </c>
      <c r="H207" s="4">
        <f>SUMIFS($F$2:$F$2739,$G$2:$G$2739,"No Contract",$E$2:$E$2739,2023)/SUMIF($E$2:$E$2739,2023,$F$2:$F$2739)</f>
        <v>0.20934732870162456</v>
      </c>
    </row>
    <row r="208" spans="1:8" x14ac:dyDescent="0.3">
      <c r="A208" t="s">
        <v>4</v>
      </c>
      <c r="B208" s="3">
        <v>44982</v>
      </c>
      <c r="C208">
        <f t="shared" si="58"/>
        <v>25</v>
      </c>
      <c r="D208">
        <f t="shared" si="59"/>
        <v>2</v>
      </c>
      <c r="E208">
        <f t="shared" si="60"/>
        <v>2023</v>
      </c>
      <c r="F208" s="2">
        <v>874</v>
      </c>
      <c r="G208" s="2" t="s">
        <v>19</v>
      </c>
      <c r="H208" s="4">
        <f>SUMIFS($F$2:$F$2739,$G$2:$G$2739,"Multi-year Contract",$E$2:$E$2739,2023)/SUMIF($E$2:$E$2739,2023,$F$2:$F$2739)</f>
        <v>0.5137784540236352</v>
      </c>
    </row>
    <row r="209" spans="1:8" x14ac:dyDescent="0.3">
      <c r="A209" t="s">
        <v>5</v>
      </c>
      <c r="B209" s="3">
        <v>44982</v>
      </c>
      <c r="C209">
        <f t="shared" si="58"/>
        <v>25</v>
      </c>
      <c r="D209">
        <f t="shared" si="59"/>
        <v>2</v>
      </c>
      <c r="E209">
        <f t="shared" si="60"/>
        <v>2023</v>
      </c>
      <c r="F209" s="2">
        <v>2216</v>
      </c>
      <c r="G209" t="s">
        <v>18</v>
      </c>
      <c r="H209" s="4">
        <f>SUMIFS($F$2:$F$2739,$G$2:$G$2739,"Annual Contract",$E$2:$E$2739,2023)/SUMIF($E$2:$E$2739,2023,$F$2:$F$2739)</f>
        <v>0.27687421727474026</v>
      </c>
    </row>
    <row r="210" spans="1:8" x14ac:dyDescent="0.3">
      <c r="A210" t="s">
        <v>10</v>
      </c>
      <c r="B210" s="3">
        <v>44983</v>
      </c>
      <c r="C210">
        <f t="shared" si="58"/>
        <v>26</v>
      </c>
      <c r="D210">
        <f t="shared" si="59"/>
        <v>2</v>
      </c>
      <c r="E210">
        <f t="shared" si="60"/>
        <v>2023</v>
      </c>
      <c r="F210" s="2">
        <v>3120</v>
      </c>
      <c r="G210" t="s">
        <v>19</v>
      </c>
      <c r="H210" s="4">
        <f t="shared" ref="H210:H211" si="64">SUMIFS($F$2:$F$2739,$G$2:$G$2739,"Multi-year Contract",$E$2:$E$2739,2023)/SUMIF($E$2:$E$2739,2023,$F$2:$F$2739)</f>
        <v>0.5137784540236352</v>
      </c>
    </row>
    <row r="211" spans="1:8" x14ac:dyDescent="0.3">
      <c r="A211" t="s">
        <v>3</v>
      </c>
      <c r="B211" s="3">
        <v>44983</v>
      </c>
      <c r="C211">
        <f t="shared" si="58"/>
        <v>26</v>
      </c>
      <c r="D211">
        <f t="shared" si="59"/>
        <v>2</v>
      </c>
      <c r="E211">
        <f t="shared" si="60"/>
        <v>2023</v>
      </c>
      <c r="F211" s="2">
        <v>2147</v>
      </c>
      <c r="G211" t="s">
        <v>19</v>
      </c>
      <c r="H211" s="4">
        <f t="shared" si="64"/>
        <v>0.5137784540236352</v>
      </c>
    </row>
    <row r="212" spans="1:8" x14ac:dyDescent="0.3">
      <c r="A212" t="s">
        <v>7</v>
      </c>
      <c r="B212" s="3">
        <v>44983</v>
      </c>
      <c r="C212">
        <f t="shared" si="58"/>
        <v>26</v>
      </c>
      <c r="D212">
        <f t="shared" si="59"/>
        <v>2</v>
      </c>
      <c r="E212">
        <f t="shared" si="60"/>
        <v>2023</v>
      </c>
      <c r="F212" s="2">
        <v>1729</v>
      </c>
      <c r="G212" t="s">
        <v>17</v>
      </c>
      <c r="H212" s="4">
        <f>SUMIFS($F$2:$F$2739,$G$2:$G$2739,"No Contract",$E$2:$E$2739,2023)/SUMIF($E$2:$E$2739,2023,$F$2:$F$2739)</f>
        <v>0.20934732870162456</v>
      </c>
    </row>
    <row r="213" spans="1:8" x14ac:dyDescent="0.3">
      <c r="A213" t="s">
        <v>10</v>
      </c>
      <c r="B213" s="3">
        <v>44983</v>
      </c>
      <c r="C213">
        <f t="shared" si="58"/>
        <v>26</v>
      </c>
      <c r="D213">
        <f t="shared" si="59"/>
        <v>2</v>
      </c>
      <c r="E213">
        <f t="shared" si="60"/>
        <v>2023</v>
      </c>
      <c r="F213" s="2">
        <v>1023</v>
      </c>
      <c r="G213" t="s">
        <v>19</v>
      </c>
      <c r="H213" s="4">
        <f t="shared" ref="H213:H214" si="65">SUMIFS($F$2:$F$2739,$G$2:$G$2739,"Multi-year Contract",$E$2:$E$2739,2023)/SUMIF($E$2:$E$2739,2023,$F$2:$F$2739)</f>
        <v>0.5137784540236352</v>
      </c>
    </row>
    <row r="214" spans="1:8" x14ac:dyDescent="0.3">
      <c r="A214" t="s">
        <v>12</v>
      </c>
      <c r="B214" s="3">
        <v>44984</v>
      </c>
      <c r="C214">
        <f t="shared" si="58"/>
        <v>27</v>
      </c>
      <c r="D214">
        <f t="shared" si="59"/>
        <v>2</v>
      </c>
      <c r="E214">
        <f t="shared" si="60"/>
        <v>2023</v>
      </c>
      <c r="F214" s="2">
        <v>2482</v>
      </c>
      <c r="G214" s="2" t="s">
        <v>19</v>
      </c>
      <c r="H214" s="4">
        <f t="shared" si="65"/>
        <v>0.5137784540236352</v>
      </c>
    </row>
    <row r="215" spans="1:8" x14ac:dyDescent="0.3">
      <c r="A215" t="s">
        <v>9</v>
      </c>
      <c r="B215" s="3">
        <v>44984</v>
      </c>
      <c r="C215">
        <f t="shared" si="58"/>
        <v>27</v>
      </c>
      <c r="D215">
        <f t="shared" si="59"/>
        <v>2</v>
      </c>
      <c r="E215">
        <f t="shared" si="60"/>
        <v>2023</v>
      </c>
      <c r="F215" s="2">
        <v>1416</v>
      </c>
      <c r="G215" t="s">
        <v>17</v>
      </c>
      <c r="H215" s="4">
        <f>SUMIFS($F$2:$F$2739,$G$2:$G$2739,"No Contract",$E$2:$E$2739,2023)/SUMIF($E$2:$E$2739,2023,$F$2:$F$2739)</f>
        <v>0.20934732870162456</v>
      </c>
    </row>
    <row r="216" spans="1:8" x14ac:dyDescent="0.3">
      <c r="A216" t="s">
        <v>12</v>
      </c>
      <c r="B216" s="3">
        <v>44984</v>
      </c>
      <c r="C216">
        <f t="shared" si="58"/>
        <v>27</v>
      </c>
      <c r="D216">
        <f t="shared" si="59"/>
        <v>2</v>
      </c>
      <c r="E216">
        <f t="shared" si="60"/>
        <v>2023</v>
      </c>
      <c r="F216" s="2">
        <v>3800</v>
      </c>
      <c r="G216" s="2" t="s">
        <v>19</v>
      </c>
      <c r="H216" s="4">
        <f>SUMIFS($F$2:$F$2739,$G$2:$G$2739,"Multi-year Contract",$E$2:$E$2739,2023)/SUMIF($E$2:$E$2739,2023,$F$2:$F$2739)</f>
        <v>0.5137784540236352</v>
      </c>
    </row>
    <row r="217" spans="1:8" x14ac:dyDescent="0.3">
      <c r="A217" t="s">
        <v>6</v>
      </c>
      <c r="B217" s="3">
        <v>44984</v>
      </c>
      <c r="C217">
        <f t="shared" si="58"/>
        <v>27</v>
      </c>
      <c r="D217">
        <f t="shared" si="59"/>
        <v>2</v>
      </c>
      <c r="E217">
        <f t="shared" si="60"/>
        <v>2023</v>
      </c>
      <c r="F217" s="2">
        <v>3234</v>
      </c>
      <c r="G217" t="s">
        <v>18</v>
      </c>
      <c r="H217" s="4">
        <f>SUMIFS($F$2:$F$2739,$G$2:$G$2739,"Annual Contract",$E$2:$E$2739,2023)/SUMIF($E$2:$E$2739,2023,$F$2:$F$2739)</f>
        <v>0.27687421727474026</v>
      </c>
    </row>
    <row r="218" spans="1:8" x14ac:dyDescent="0.3">
      <c r="A218" t="s">
        <v>4</v>
      </c>
      <c r="B218" s="3">
        <v>44984</v>
      </c>
      <c r="C218">
        <f t="shared" si="58"/>
        <v>27</v>
      </c>
      <c r="D218">
        <f t="shared" si="59"/>
        <v>2</v>
      </c>
      <c r="E218">
        <f t="shared" si="60"/>
        <v>2023</v>
      </c>
      <c r="F218" s="2">
        <v>2514</v>
      </c>
      <c r="G218" s="2" t="s">
        <v>19</v>
      </c>
      <c r="H218" s="4">
        <f>SUMIFS($F$2:$F$2739,$G$2:$G$2739,"Multi-year Contract",$E$2:$E$2739,2023)/SUMIF($E$2:$E$2739,2023,$F$2:$F$2739)</f>
        <v>0.5137784540236352</v>
      </c>
    </row>
    <row r="219" spans="1:8" x14ac:dyDescent="0.3">
      <c r="A219" t="s">
        <v>6</v>
      </c>
      <c r="B219" s="3">
        <v>44984</v>
      </c>
      <c r="C219">
        <f t="shared" si="58"/>
        <v>27</v>
      </c>
      <c r="D219">
        <f t="shared" si="59"/>
        <v>2</v>
      </c>
      <c r="E219">
        <f t="shared" si="60"/>
        <v>2023</v>
      </c>
      <c r="F219" s="2">
        <v>1507</v>
      </c>
      <c r="G219" t="s">
        <v>18</v>
      </c>
      <c r="H219" s="4">
        <f>SUMIFS($F$2:$F$2739,$G$2:$G$2739,"Annual Contract",$E$2:$E$2739,2023)/SUMIF($E$2:$E$2739,2023,$F$2:$F$2739)</f>
        <v>0.27687421727474026</v>
      </c>
    </row>
    <row r="220" spans="1:8" x14ac:dyDescent="0.3">
      <c r="A220" t="s">
        <v>7</v>
      </c>
      <c r="B220" s="3">
        <v>44984</v>
      </c>
      <c r="C220">
        <f t="shared" si="58"/>
        <v>27</v>
      </c>
      <c r="D220">
        <f t="shared" si="59"/>
        <v>2</v>
      </c>
      <c r="E220">
        <f t="shared" si="60"/>
        <v>2023</v>
      </c>
      <c r="F220" s="2">
        <v>2865</v>
      </c>
      <c r="G220" t="s">
        <v>17</v>
      </c>
      <c r="H220" s="4">
        <f>SUMIFS($F$2:$F$2739,$G$2:$G$2739,"No Contract",$E$2:$E$2739,2023)/SUMIF($E$2:$E$2739,2023,$F$2:$F$2739)</f>
        <v>0.20934732870162456</v>
      </c>
    </row>
    <row r="221" spans="1:8" x14ac:dyDescent="0.3">
      <c r="A221" t="s">
        <v>8</v>
      </c>
      <c r="B221" s="3">
        <v>44985</v>
      </c>
      <c r="C221">
        <f t="shared" si="58"/>
        <v>28</v>
      </c>
      <c r="D221">
        <f t="shared" si="59"/>
        <v>2</v>
      </c>
      <c r="E221">
        <f t="shared" si="60"/>
        <v>2023</v>
      </c>
      <c r="F221" s="2">
        <v>3462</v>
      </c>
      <c r="G221" s="2" t="s">
        <v>18</v>
      </c>
      <c r="H221" s="4">
        <f>SUMIFS($F$2:$F$2739,$G$2:$G$2739,"Annual Contract",$E$2:$E$2739,2023)/SUMIF($E$2:$E$2739,2023,$F$2:$F$2739)</f>
        <v>0.27687421727474026</v>
      </c>
    </row>
    <row r="222" spans="1:8" x14ac:dyDescent="0.3">
      <c r="A222" t="s">
        <v>12</v>
      </c>
      <c r="B222" s="3">
        <v>44985</v>
      </c>
      <c r="C222">
        <f t="shared" si="58"/>
        <v>28</v>
      </c>
      <c r="D222">
        <f t="shared" si="59"/>
        <v>2</v>
      </c>
      <c r="E222">
        <f t="shared" si="60"/>
        <v>2023</v>
      </c>
      <c r="F222" s="2">
        <v>2613</v>
      </c>
      <c r="G222" s="2" t="s">
        <v>19</v>
      </c>
      <c r="H222" s="4">
        <f>SUMIFS($F$2:$F$2739,$G$2:$G$2739,"Multi-year Contract",$E$2:$E$2739,2023)/SUMIF($E$2:$E$2739,2023,$F$2:$F$2739)</f>
        <v>0.5137784540236352</v>
      </c>
    </row>
    <row r="223" spans="1:8" x14ac:dyDescent="0.3">
      <c r="A223" t="s">
        <v>8</v>
      </c>
      <c r="B223" s="3">
        <v>44985</v>
      </c>
      <c r="C223">
        <f t="shared" si="58"/>
        <v>28</v>
      </c>
      <c r="D223">
        <f t="shared" si="59"/>
        <v>2</v>
      </c>
      <c r="E223">
        <f t="shared" si="60"/>
        <v>2023</v>
      </c>
      <c r="F223" s="2">
        <v>3375</v>
      </c>
      <c r="G223" s="2" t="s">
        <v>18</v>
      </c>
      <c r="H223" s="4">
        <f>SUMIFS($F$2:$F$2739,$G$2:$G$2739,"Annual Contract",$E$2:$E$2739,2023)/SUMIF($E$2:$E$2739,2023,$F$2:$F$2739)</f>
        <v>0.27687421727474026</v>
      </c>
    </row>
    <row r="224" spans="1:8" x14ac:dyDescent="0.3">
      <c r="A224" t="s">
        <v>7</v>
      </c>
      <c r="B224" s="3">
        <v>44986</v>
      </c>
      <c r="C224">
        <f t="shared" si="58"/>
        <v>1</v>
      </c>
      <c r="D224">
        <f t="shared" si="59"/>
        <v>3</v>
      </c>
      <c r="E224">
        <f t="shared" si="60"/>
        <v>2023</v>
      </c>
      <c r="F224" s="2">
        <v>3021</v>
      </c>
      <c r="G224" t="s">
        <v>17</v>
      </c>
      <c r="H224" s="4">
        <f t="shared" ref="H224:H225" si="66">SUMIFS($F$2:$F$2739,$G$2:$G$2739,"No Contract",$E$2:$E$2739,2023)/SUMIF($E$2:$E$2739,2023,$F$2:$F$2739)</f>
        <v>0.20934732870162456</v>
      </c>
    </row>
    <row r="225" spans="1:8" x14ac:dyDescent="0.3">
      <c r="A225" t="s">
        <v>7</v>
      </c>
      <c r="B225" s="3">
        <v>44986</v>
      </c>
      <c r="C225">
        <f t="shared" si="58"/>
        <v>1</v>
      </c>
      <c r="D225">
        <f t="shared" si="59"/>
        <v>3</v>
      </c>
      <c r="E225">
        <f t="shared" si="60"/>
        <v>2023</v>
      </c>
      <c r="F225" s="2">
        <v>2448</v>
      </c>
      <c r="G225" t="s">
        <v>17</v>
      </c>
      <c r="H225" s="4">
        <f t="shared" si="66"/>
        <v>0.20934732870162456</v>
      </c>
    </row>
    <row r="226" spans="1:8" x14ac:dyDescent="0.3">
      <c r="A226" t="s">
        <v>8</v>
      </c>
      <c r="B226" s="3">
        <v>44986</v>
      </c>
      <c r="C226">
        <f t="shared" si="58"/>
        <v>1</v>
      </c>
      <c r="D226">
        <f t="shared" si="59"/>
        <v>3</v>
      </c>
      <c r="E226">
        <f t="shared" si="60"/>
        <v>2023</v>
      </c>
      <c r="F226" s="2">
        <v>2562</v>
      </c>
      <c r="G226" s="2" t="s">
        <v>18</v>
      </c>
      <c r="H226" s="4">
        <f t="shared" ref="H226:H227" si="67">SUMIFS($F$2:$F$2739,$G$2:$G$2739,"Annual Contract",$E$2:$E$2739,2023)/SUMIF($E$2:$E$2739,2023,$F$2:$F$2739)</f>
        <v>0.27687421727474026</v>
      </c>
    </row>
    <row r="227" spans="1:8" x14ac:dyDescent="0.3">
      <c r="A227" t="s">
        <v>5</v>
      </c>
      <c r="B227" s="3">
        <v>44986</v>
      </c>
      <c r="C227">
        <f t="shared" si="58"/>
        <v>1</v>
      </c>
      <c r="D227">
        <f t="shared" si="59"/>
        <v>3</v>
      </c>
      <c r="E227">
        <f t="shared" si="60"/>
        <v>2023</v>
      </c>
      <c r="F227" s="2">
        <v>2347</v>
      </c>
      <c r="G227" t="s">
        <v>18</v>
      </c>
      <c r="H227" s="4">
        <f t="shared" si="67"/>
        <v>0.27687421727474026</v>
      </c>
    </row>
    <row r="228" spans="1:8" x14ac:dyDescent="0.3">
      <c r="A228" t="s">
        <v>11</v>
      </c>
      <c r="B228" s="3">
        <v>44986</v>
      </c>
      <c r="C228">
        <f t="shared" si="58"/>
        <v>1</v>
      </c>
      <c r="D228">
        <f t="shared" si="59"/>
        <v>3</v>
      </c>
      <c r="E228">
        <f t="shared" si="60"/>
        <v>2023</v>
      </c>
      <c r="F228" s="2">
        <v>1703</v>
      </c>
      <c r="G228" t="s">
        <v>19</v>
      </c>
      <c r="H228" s="4">
        <f t="shared" ref="H228:H229" si="68">SUMIFS($F$2:$F$2739,$G$2:$G$2739,"Multi-year Contract",$E$2:$E$2739,2023)/SUMIF($E$2:$E$2739,2023,$F$2:$F$2739)</f>
        <v>0.5137784540236352</v>
      </c>
    </row>
    <row r="229" spans="1:8" x14ac:dyDescent="0.3">
      <c r="A229" t="s">
        <v>12</v>
      </c>
      <c r="B229" s="3">
        <v>44986</v>
      </c>
      <c r="C229">
        <f t="shared" si="58"/>
        <v>1</v>
      </c>
      <c r="D229">
        <f t="shared" si="59"/>
        <v>3</v>
      </c>
      <c r="E229">
        <f t="shared" si="60"/>
        <v>2023</v>
      </c>
      <c r="F229" s="2">
        <v>2357</v>
      </c>
      <c r="G229" s="2" t="s">
        <v>19</v>
      </c>
      <c r="H229" s="4">
        <f t="shared" si="68"/>
        <v>0.5137784540236352</v>
      </c>
    </row>
    <row r="230" spans="1:8" x14ac:dyDescent="0.3">
      <c r="A230" t="s">
        <v>6</v>
      </c>
      <c r="B230" s="3">
        <v>44987</v>
      </c>
      <c r="C230">
        <f t="shared" si="58"/>
        <v>2</v>
      </c>
      <c r="D230">
        <f t="shared" si="59"/>
        <v>3</v>
      </c>
      <c r="E230">
        <f t="shared" si="60"/>
        <v>2023</v>
      </c>
      <c r="F230" s="2">
        <v>2935</v>
      </c>
      <c r="G230" t="s">
        <v>18</v>
      </c>
      <c r="H230" s="4">
        <f>SUMIFS($F$2:$F$2739,$G$2:$G$2739,"Annual Contract",$E$2:$E$2739,2023)/SUMIF($E$2:$E$2739,2023,$F$2:$F$2739)</f>
        <v>0.27687421727474026</v>
      </c>
    </row>
    <row r="231" spans="1:8" x14ac:dyDescent="0.3">
      <c r="A231" t="s">
        <v>7</v>
      </c>
      <c r="B231" s="3">
        <v>44987</v>
      </c>
      <c r="C231">
        <f t="shared" si="58"/>
        <v>2</v>
      </c>
      <c r="D231">
        <f t="shared" si="59"/>
        <v>3</v>
      </c>
      <c r="E231">
        <f t="shared" si="60"/>
        <v>2023</v>
      </c>
      <c r="F231" s="2">
        <v>1455</v>
      </c>
      <c r="G231" t="s">
        <v>17</v>
      </c>
      <c r="H231" s="4">
        <f t="shared" ref="H231:H232" si="69">SUMIFS($F$2:$F$2739,$G$2:$G$2739,"No Contract",$E$2:$E$2739,2023)/SUMIF($E$2:$E$2739,2023,$F$2:$F$2739)</f>
        <v>0.20934732870162456</v>
      </c>
    </row>
    <row r="232" spans="1:8" x14ac:dyDescent="0.3">
      <c r="A232" t="s">
        <v>7</v>
      </c>
      <c r="B232" s="3">
        <v>44987</v>
      </c>
      <c r="C232">
        <f t="shared" si="58"/>
        <v>2</v>
      </c>
      <c r="D232">
        <f t="shared" si="59"/>
        <v>3</v>
      </c>
      <c r="E232">
        <f t="shared" si="60"/>
        <v>2023</v>
      </c>
      <c r="F232" s="2">
        <v>761</v>
      </c>
      <c r="G232" t="s">
        <v>17</v>
      </c>
      <c r="H232" s="4">
        <f t="shared" si="69"/>
        <v>0.20934732870162456</v>
      </c>
    </row>
    <row r="233" spans="1:8" x14ac:dyDescent="0.3">
      <c r="A233" t="s">
        <v>3</v>
      </c>
      <c r="B233" s="3">
        <v>44987</v>
      </c>
      <c r="C233">
        <f t="shared" si="58"/>
        <v>2</v>
      </c>
      <c r="D233">
        <f t="shared" si="59"/>
        <v>3</v>
      </c>
      <c r="E233">
        <f t="shared" si="60"/>
        <v>2023</v>
      </c>
      <c r="F233" s="2">
        <v>919</v>
      </c>
      <c r="G233" t="s">
        <v>19</v>
      </c>
      <c r="H233" s="4">
        <f>SUMIFS($F$2:$F$2739,$G$2:$G$2739,"Multi-year Contract",$E$2:$E$2739,2023)/SUMIF($E$2:$E$2739,2023,$F$2:$F$2739)</f>
        <v>0.5137784540236352</v>
      </c>
    </row>
    <row r="234" spans="1:8" x14ac:dyDescent="0.3">
      <c r="A234" t="s">
        <v>6</v>
      </c>
      <c r="B234" s="3">
        <v>44988</v>
      </c>
      <c r="C234">
        <f t="shared" si="58"/>
        <v>3</v>
      </c>
      <c r="D234">
        <f t="shared" si="59"/>
        <v>3</v>
      </c>
      <c r="E234">
        <f t="shared" si="60"/>
        <v>2023</v>
      </c>
      <c r="F234" s="2">
        <v>1968</v>
      </c>
      <c r="G234" t="s">
        <v>18</v>
      </c>
      <c r="H234" s="4">
        <f>SUMIFS($F$2:$F$2739,$G$2:$G$2739,"Annual Contract",$E$2:$E$2739,2023)/SUMIF($E$2:$E$2739,2023,$F$2:$F$2739)</f>
        <v>0.27687421727474026</v>
      </c>
    </row>
    <row r="235" spans="1:8" x14ac:dyDescent="0.3">
      <c r="A235" t="s">
        <v>9</v>
      </c>
      <c r="B235" s="3">
        <v>44988</v>
      </c>
      <c r="C235">
        <f t="shared" si="58"/>
        <v>3</v>
      </c>
      <c r="D235">
        <f t="shared" si="59"/>
        <v>3</v>
      </c>
      <c r="E235">
        <f t="shared" si="60"/>
        <v>2023</v>
      </c>
      <c r="F235" s="2">
        <v>3698</v>
      </c>
      <c r="G235" t="s">
        <v>17</v>
      </c>
      <c r="H235" s="4">
        <f>SUMIFS($F$2:$F$2739,$G$2:$G$2739,"No Contract",$E$2:$E$2739,2023)/SUMIF($E$2:$E$2739,2023,$F$2:$F$2739)</f>
        <v>0.20934732870162456</v>
      </c>
    </row>
    <row r="236" spans="1:8" x14ac:dyDescent="0.3">
      <c r="A236" t="s">
        <v>6</v>
      </c>
      <c r="B236" s="3">
        <v>44988</v>
      </c>
      <c r="C236">
        <f t="shared" si="58"/>
        <v>3</v>
      </c>
      <c r="D236">
        <f t="shared" si="59"/>
        <v>3</v>
      </c>
      <c r="E236">
        <f t="shared" si="60"/>
        <v>2023</v>
      </c>
      <c r="F236" s="2">
        <v>1706</v>
      </c>
      <c r="G236" t="s">
        <v>18</v>
      </c>
      <c r="H236" s="4">
        <f>SUMIFS($F$2:$F$2739,$G$2:$G$2739,"Annual Contract",$E$2:$E$2739,2023)/SUMIF($E$2:$E$2739,2023,$F$2:$F$2739)</f>
        <v>0.27687421727474026</v>
      </c>
    </row>
    <row r="237" spans="1:8" x14ac:dyDescent="0.3">
      <c r="A237" t="s">
        <v>9</v>
      </c>
      <c r="B237" s="3">
        <v>44988</v>
      </c>
      <c r="C237">
        <f t="shared" si="58"/>
        <v>3</v>
      </c>
      <c r="D237">
        <f t="shared" si="59"/>
        <v>3</v>
      </c>
      <c r="E237">
        <f t="shared" si="60"/>
        <v>2023</v>
      </c>
      <c r="F237" s="2">
        <v>2362</v>
      </c>
      <c r="G237" t="s">
        <v>17</v>
      </c>
      <c r="H237" s="4">
        <f>SUMIFS($F$2:$F$2739,$G$2:$G$2739,"No Contract",$E$2:$E$2739,2023)/SUMIF($E$2:$E$2739,2023,$F$2:$F$2739)</f>
        <v>0.20934732870162456</v>
      </c>
    </row>
    <row r="238" spans="1:8" x14ac:dyDescent="0.3">
      <c r="A238" t="s">
        <v>6</v>
      </c>
      <c r="B238" s="3">
        <v>44988</v>
      </c>
      <c r="C238">
        <f t="shared" si="58"/>
        <v>3</v>
      </c>
      <c r="D238">
        <f t="shared" si="59"/>
        <v>3</v>
      </c>
      <c r="E238">
        <f t="shared" si="60"/>
        <v>2023</v>
      </c>
      <c r="F238" s="2">
        <v>707</v>
      </c>
      <c r="G238" t="s">
        <v>18</v>
      </c>
      <c r="H238" s="4">
        <f>SUMIFS($F$2:$F$2739,$G$2:$G$2739,"Annual Contract",$E$2:$E$2739,2023)/SUMIF($E$2:$E$2739,2023,$F$2:$F$2739)</f>
        <v>0.27687421727474026</v>
      </c>
    </row>
    <row r="239" spans="1:8" x14ac:dyDescent="0.3">
      <c r="A239" t="s">
        <v>3</v>
      </c>
      <c r="B239" s="3">
        <v>44989</v>
      </c>
      <c r="C239">
        <f t="shared" si="58"/>
        <v>4</v>
      </c>
      <c r="D239">
        <f t="shared" si="59"/>
        <v>3</v>
      </c>
      <c r="E239">
        <f t="shared" si="60"/>
        <v>2023</v>
      </c>
      <c r="F239" s="2">
        <v>1320</v>
      </c>
      <c r="G239" t="s">
        <v>19</v>
      </c>
      <c r="H239" s="4">
        <f t="shared" ref="H239:H240" si="70">SUMIFS($F$2:$F$2739,$G$2:$G$2739,"Multi-year Contract",$E$2:$E$2739,2023)/SUMIF($E$2:$E$2739,2023,$F$2:$F$2739)</f>
        <v>0.5137784540236352</v>
      </c>
    </row>
    <row r="240" spans="1:8" x14ac:dyDescent="0.3">
      <c r="A240" t="s">
        <v>4</v>
      </c>
      <c r="B240" s="3">
        <v>44989</v>
      </c>
      <c r="C240">
        <f t="shared" si="58"/>
        <v>4</v>
      </c>
      <c r="D240">
        <f t="shared" si="59"/>
        <v>3</v>
      </c>
      <c r="E240">
        <f t="shared" si="60"/>
        <v>2023</v>
      </c>
      <c r="F240" s="2">
        <v>3255</v>
      </c>
      <c r="G240" s="2" t="s">
        <v>19</v>
      </c>
      <c r="H240" s="4">
        <f t="shared" si="70"/>
        <v>0.5137784540236352</v>
      </c>
    </row>
    <row r="241" spans="1:8" x14ac:dyDescent="0.3">
      <c r="A241" t="s">
        <v>7</v>
      </c>
      <c r="B241" s="3">
        <v>44989</v>
      </c>
      <c r="C241">
        <f t="shared" si="58"/>
        <v>4</v>
      </c>
      <c r="D241">
        <f t="shared" si="59"/>
        <v>3</v>
      </c>
      <c r="E241">
        <f t="shared" si="60"/>
        <v>2023</v>
      </c>
      <c r="F241" s="2">
        <v>2059</v>
      </c>
      <c r="G241" t="s">
        <v>17</v>
      </c>
      <c r="H241" s="4">
        <f>SUMIFS($F$2:$F$2739,$G$2:$G$2739,"No Contract",$E$2:$E$2739,2023)/SUMIF($E$2:$E$2739,2023,$F$2:$F$2739)</f>
        <v>0.20934732870162456</v>
      </c>
    </row>
    <row r="242" spans="1:8" x14ac:dyDescent="0.3">
      <c r="A242" t="s">
        <v>11</v>
      </c>
      <c r="B242" s="3">
        <v>44990</v>
      </c>
      <c r="C242">
        <f t="shared" si="58"/>
        <v>5</v>
      </c>
      <c r="D242">
        <f t="shared" si="59"/>
        <v>3</v>
      </c>
      <c r="E242">
        <f t="shared" si="60"/>
        <v>2023</v>
      </c>
      <c r="F242" s="2">
        <v>897</v>
      </c>
      <c r="G242" t="s">
        <v>19</v>
      </c>
      <c r="H242" s="4">
        <f t="shared" ref="H242:H244" si="71">SUMIFS($F$2:$F$2739,$G$2:$G$2739,"Multi-year Contract",$E$2:$E$2739,2023)/SUMIF($E$2:$E$2739,2023,$F$2:$F$2739)</f>
        <v>0.5137784540236352</v>
      </c>
    </row>
    <row r="243" spans="1:8" x14ac:dyDescent="0.3">
      <c r="A243" t="s">
        <v>10</v>
      </c>
      <c r="B243" s="3">
        <v>44990</v>
      </c>
      <c r="C243">
        <f t="shared" si="58"/>
        <v>5</v>
      </c>
      <c r="D243">
        <f t="shared" si="59"/>
        <v>3</v>
      </c>
      <c r="E243">
        <f t="shared" si="60"/>
        <v>2023</v>
      </c>
      <c r="F243" s="2">
        <v>3058</v>
      </c>
      <c r="G243" t="s">
        <v>19</v>
      </c>
      <c r="H243" s="4">
        <f t="shared" si="71"/>
        <v>0.5137784540236352</v>
      </c>
    </row>
    <row r="244" spans="1:8" x14ac:dyDescent="0.3">
      <c r="A244" t="s">
        <v>12</v>
      </c>
      <c r="B244" s="3">
        <v>44991</v>
      </c>
      <c r="C244">
        <f t="shared" si="58"/>
        <v>6</v>
      </c>
      <c r="D244">
        <f t="shared" si="59"/>
        <v>3</v>
      </c>
      <c r="E244">
        <f t="shared" si="60"/>
        <v>2023</v>
      </c>
      <c r="F244" s="2">
        <v>868</v>
      </c>
      <c r="G244" s="2" t="s">
        <v>19</v>
      </c>
      <c r="H244" s="4">
        <f t="shared" si="71"/>
        <v>0.5137784540236352</v>
      </c>
    </row>
    <row r="245" spans="1:8" x14ac:dyDescent="0.3">
      <c r="A245" t="s">
        <v>9</v>
      </c>
      <c r="B245" s="3">
        <v>44991</v>
      </c>
      <c r="C245">
        <f t="shared" si="58"/>
        <v>6</v>
      </c>
      <c r="D245">
        <f t="shared" si="59"/>
        <v>3</v>
      </c>
      <c r="E245">
        <f t="shared" si="60"/>
        <v>2023</v>
      </c>
      <c r="F245" s="2">
        <v>1928</v>
      </c>
      <c r="G245" t="s">
        <v>17</v>
      </c>
      <c r="H245" s="4">
        <f>SUMIFS($F$2:$F$2739,$G$2:$G$2739,"No Contract",$E$2:$E$2739,2023)/SUMIF($E$2:$E$2739,2023,$F$2:$F$2739)</f>
        <v>0.20934732870162456</v>
      </c>
    </row>
    <row r="246" spans="1:8" x14ac:dyDescent="0.3">
      <c r="A246" t="s">
        <v>11</v>
      </c>
      <c r="B246" s="3">
        <v>44991</v>
      </c>
      <c r="C246">
        <f t="shared" si="58"/>
        <v>6</v>
      </c>
      <c r="D246">
        <f t="shared" si="59"/>
        <v>3</v>
      </c>
      <c r="E246">
        <f t="shared" si="60"/>
        <v>2023</v>
      </c>
      <c r="F246" s="2">
        <v>880</v>
      </c>
      <c r="G246" t="s">
        <v>19</v>
      </c>
      <c r="H246" s="4">
        <f t="shared" ref="H246:H247" si="72">SUMIFS($F$2:$F$2739,$G$2:$G$2739,"Multi-year Contract",$E$2:$E$2739,2023)/SUMIF($E$2:$E$2739,2023,$F$2:$F$2739)</f>
        <v>0.5137784540236352</v>
      </c>
    </row>
    <row r="247" spans="1:8" x14ac:dyDescent="0.3">
      <c r="A247" t="s">
        <v>10</v>
      </c>
      <c r="B247" s="3">
        <v>44991</v>
      </c>
      <c r="C247">
        <f t="shared" si="58"/>
        <v>6</v>
      </c>
      <c r="D247">
        <f t="shared" si="59"/>
        <v>3</v>
      </c>
      <c r="E247">
        <f t="shared" si="60"/>
        <v>2023</v>
      </c>
      <c r="F247" s="2">
        <v>3355</v>
      </c>
      <c r="G247" t="s">
        <v>19</v>
      </c>
      <c r="H247" s="4">
        <f t="shared" si="72"/>
        <v>0.5137784540236352</v>
      </c>
    </row>
    <row r="248" spans="1:8" x14ac:dyDescent="0.3">
      <c r="A248" t="s">
        <v>6</v>
      </c>
      <c r="B248" s="3">
        <v>44991</v>
      </c>
      <c r="C248">
        <f t="shared" si="58"/>
        <v>6</v>
      </c>
      <c r="D248">
        <f t="shared" si="59"/>
        <v>3</v>
      </c>
      <c r="E248">
        <f t="shared" si="60"/>
        <v>2023</v>
      </c>
      <c r="F248" s="2">
        <v>2771</v>
      </c>
      <c r="G248" t="s">
        <v>18</v>
      </c>
      <c r="H248" s="4">
        <f>SUMIFS($F$2:$F$2739,$G$2:$G$2739,"Annual Contract",$E$2:$E$2739,2023)/SUMIF($E$2:$E$2739,2023,$F$2:$F$2739)</f>
        <v>0.27687421727474026</v>
      </c>
    </row>
    <row r="249" spans="1:8" x14ac:dyDescent="0.3">
      <c r="A249" t="s">
        <v>7</v>
      </c>
      <c r="B249" s="3">
        <v>44992</v>
      </c>
      <c r="C249">
        <f t="shared" si="58"/>
        <v>7</v>
      </c>
      <c r="D249">
        <f t="shared" si="59"/>
        <v>3</v>
      </c>
      <c r="E249">
        <f t="shared" si="60"/>
        <v>2023</v>
      </c>
      <c r="F249" s="2">
        <v>3548</v>
      </c>
      <c r="G249" t="s">
        <v>17</v>
      </c>
      <c r="H249" s="4">
        <f>SUMIFS($F$2:$F$2739,$G$2:$G$2739,"No Contract",$E$2:$E$2739,2023)/SUMIF($E$2:$E$2739,2023,$F$2:$F$2739)</f>
        <v>0.20934732870162456</v>
      </c>
    </row>
    <row r="250" spans="1:8" x14ac:dyDescent="0.3">
      <c r="A250" t="s">
        <v>12</v>
      </c>
      <c r="B250" s="3">
        <v>44992</v>
      </c>
      <c r="C250">
        <f t="shared" si="58"/>
        <v>7</v>
      </c>
      <c r="D250">
        <f t="shared" si="59"/>
        <v>3</v>
      </c>
      <c r="E250">
        <f t="shared" si="60"/>
        <v>2023</v>
      </c>
      <c r="F250" s="2">
        <v>2959</v>
      </c>
      <c r="G250" s="2" t="s">
        <v>19</v>
      </c>
      <c r="H250" s="4">
        <f>SUMIFS($F$2:$F$2739,$G$2:$G$2739,"Multi-year Contract",$E$2:$E$2739,2023)/SUMIF($E$2:$E$2739,2023,$F$2:$F$2739)</f>
        <v>0.5137784540236352</v>
      </c>
    </row>
    <row r="251" spans="1:8" x14ac:dyDescent="0.3">
      <c r="A251" t="s">
        <v>9</v>
      </c>
      <c r="B251" s="3">
        <v>44992</v>
      </c>
      <c r="C251">
        <f t="shared" si="58"/>
        <v>7</v>
      </c>
      <c r="D251">
        <f t="shared" si="59"/>
        <v>3</v>
      </c>
      <c r="E251">
        <f t="shared" si="60"/>
        <v>2023</v>
      </c>
      <c r="F251" s="2">
        <v>3826</v>
      </c>
      <c r="G251" t="s">
        <v>17</v>
      </c>
      <c r="H251" s="4">
        <f t="shared" ref="H251:H252" si="73">SUMIFS($F$2:$F$2739,$G$2:$G$2739,"No Contract",$E$2:$E$2739,2023)/SUMIF($E$2:$E$2739,2023,$F$2:$F$2739)</f>
        <v>0.20934732870162456</v>
      </c>
    </row>
    <row r="252" spans="1:8" x14ac:dyDescent="0.3">
      <c r="A252" t="s">
        <v>7</v>
      </c>
      <c r="B252" s="3">
        <v>44993</v>
      </c>
      <c r="C252">
        <f t="shared" si="58"/>
        <v>8</v>
      </c>
      <c r="D252">
        <f t="shared" si="59"/>
        <v>3</v>
      </c>
      <c r="E252">
        <f t="shared" si="60"/>
        <v>2023</v>
      </c>
      <c r="F252" s="2">
        <v>1130</v>
      </c>
      <c r="G252" t="s">
        <v>17</v>
      </c>
      <c r="H252" s="4">
        <f t="shared" si="73"/>
        <v>0.20934732870162456</v>
      </c>
    </row>
    <row r="253" spans="1:8" x14ac:dyDescent="0.3">
      <c r="A253" t="s">
        <v>11</v>
      </c>
      <c r="B253" s="3">
        <v>44993</v>
      </c>
      <c r="C253">
        <f t="shared" si="58"/>
        <v>8</v>
      </c>
      <c r="D253">
        <f t="shared" si="59"/>
        <v>3</v>
      </c>
      <c r="E253">
        <f t="shared" si="60"/>
        <v>2023</v>
      </c>
      <c r="F253" s="2">
        <v>2177</v>
      </c>
      <c r="G253" t="s">
        <v>19</v>
      </c>
      <c r="H253" s="4">
        <f t="shared" ref="H253:H256" si="74">SUMIFS($F$2:$F$2739,$G$2:$G$2739,"Multi-year Contract",$E$2:$E$2739,2023)/SUMIF($E$2:$E$2739,2023,$F$2:$F$2739)</f>
        <v>0.5137784540236352</v>
      </c>
    </row>
    <row r="254" spans="1:8" x14ac:dyDescent="0.3">
      <c r="A254" t="s">
        <v>11</v>
      </c>
      <c r="B254" s="3">
        <v>44993</v>
      </c>
      <c r="C254">
        <f t="shared" si="58"/>
        <v>8</v>
      </c>
      <c r="D254">
        <f t="shared" si="59"/>
        <v>3</v>
      </c>
      <c r="E254">
        <f t="shared" si="60"/>
        <v>2023</v>
      </c>
      <c r="F254" s="2">
        <v>3400</v>
      </c>
      <c r="G254" t="s">
        <v>19</v>
      </c>
      <c r="H254" s="4">
        <f t="shared" si="74"/>
        <v>0.5137784540236352</v>
      </c>
    </row>
    <row r="255" spans="1:8" x14ac:dyDescent="0.3">
      <c r="A255" t="s">
        <v>3</v>
      </c>
      <c r="B255" s="3">
        <v>44994</v>
      </c>
      <c r="C255">
        <f t="shared" si="58"/>
        <v>9</v>
      </c>
      <c r="D255">
        <f t="shared" si="59"/>
        <v>3</v>
      </c>
      <c r="E255">
        <f t="shared" si="60"/>
        <v>2023</v>
      </c>
      <c r="F255" s="2">
        <v>2662</v>
      </c>
      <c r="G255" t="s">
        <v>19</v>
      </c>
      <c r="H255" s="4">
        <f t="shared" si="74"/>
        <v>0.5137784540236352</v>
      </c>
    </row>
    <row r="256" spans="1:8" x14ac:dyDescent="0.3">
      <c r="A256" t="s">
        <v>10</v>
      </c>
      <c r="B256" s="3">
        <v>44994</v>
      </c>
      <c r="C256">
        <f t="shared" si="58"/>
        <v>9</v>
      </c>
      <c r="D256">
        <f t="shared" si="59"/>
        <v>3</v>
      </c>
      <c r="E256">
        <f t="shared" si="60"/>
        <v>2023</v>
      </c>
      <c r="F256" s="2">
        <v>2699</v>
      </c>
      <c r="G256" t="s">
        <v>19</v>
      </c>
      <c r="H256" s="4">
        <f t="shared" si="74"/>
        <v>0.5137784540236352</v>
      </c>
    </row>
    <row r="257" spans="1:8" x14ac:dyDescent="0.3">
      <c r="A257" t="s">
        <v>5</v>
      </c>
      <c r="B257" s="3">
        <v>44994</v>
      </c>
      <c r="C257">
        <f t="shared" si="58"/>
        <v>9</v>
      </c>
      <c r="D257">
        <f t="shared" si="59"/>
        <v>3</v>
      </c>
      <c r="E257">
        <f t="shared" si="60"/>
        <v>2023</v>
      </c>
      <c r="F257" s="2">
        <v>1477</v>
      </c>
      <c r="G257" t="s">
        <v>18</v>
      </c>
      <c r="H257" s="4">
        <f>SUMIFS($F$2:$F$2739,$G$2:$G$2739,"Annual Contract",$E$2:$E$2739,2023)/SUMIF($E$2:$E$2739,2023,$F$2:$F$2739)</f>
        <v>0.27687421727474026</v>
      </c>
    </row>
    <row r="258" spans="1:8" x14ac:dyDescent="0.3">
      <c r="A258" t="s">
        <v>3</v>
      </c>
      <c r="B258" s="3">
        <v>44994</v>
      </c>
      <c r="C258">
        <f t="shared" si="58"/>
        <v>9</v>
      </c>
      <c r="D258">
        <f t="shared" si="59"/>
        <v>3</v>
      </c>
      <c r="E258">
        <f t="shared" si="60"/>
        <v>2023</v>
      </c>
      <c r="F258" s="2">
        <v>3290</v>
      </c>
      <c r="G258" t="s">
        <v>19</v>
      </c>
      <c r="H258" s="4">
        <f t="shared" ref="H258:H259" si="75">SUMIFS($F$2:$F$2739,$G$2:$G$2739,"Multi-year Contract",$E$2:$E$2739,2023)/SUMIF($E$2:$E$2739,2023,$F$2:$F$2739)</f>
        <v>0.5137784540236352</v>
      </c>
    </row>
    <row r="259" spans="1:8" x14ac:dyDescent="0.3">
      <c r="A259" t="s">
        <v>4</v>
      </c>
      <c r="B259" s="3">
        <v>44994</v>
      </c>
      <c r="C259">
        <f t="shared" ref="C259:C322" si="76">DAY(B259)</f>
        <v>9</v>
      </c>
      <c r="D259">
        <f t="shared" ref="D259:D322" si="77">MONTH(B259)</f>
        <v>3</v>
      </c>
      <c r="E259">
        <f t="shared" ref="E259:E322" si="78">YEAR(B259)</f>
        <v>2023</v>
      </c>
      <c r="F259" s="2">
        <v>3224</v>
      </c>
      <c r="G259" s="2" t="s">
        <v>19</v>
      </c>
      <c r="H259" s="4">
        <f t="shared" si="75"/>
        <v>0.5137784540236352</v>
      </c>
    </row>
    <row r="260" spans="1:8" x14ac:dyDescent="0.3">
      <c r="A260" t="s">
        <v>8</v>
      </c>
      <c r="B260" s="3">
        <v>44994</v>
      </c>
      <c r="C260">
        <f t="shared" si="76"/>
        <v>9</v>
      </c>
      <c r="D260">
        <f t="shared" si="77"/>
        <v>3</v>
      </c>
      <c r="E260">
        <f t="shared" si="78"/>
        <v>2023</v>
      </c>
      <c r="F260" s="2">
        <v>2268</v>
      </c>
      <c r="G260" s="2" t="s">
        <v>18</v>
      </c>
      <c r="H260" s="4">
        <f>SUMIFS($F$2:$F$2739,$G$2:$G$2739,"Annual Contract",$E$2:$E$2739,2023)/SUMIF($E$2:$E$2739,2023,$F$2:$F$2739)</f>
        <v>0.27687421727474026</v>
      </c>
    </row>
    <row r="261" spans="1:8" x14ac:dyDescent="0.3">
      <c r="A261" t="s">
        <v>11</v>
      </c>
      <c r="B261" s="3">
        <v>44995</v>
      </c>
      <c r="C261">
        <f t="shared" si="76"/>
        <v>10</v>
      </c>
      <c r="D261">
        <f t="shared" si="77"/>
        <v>3</v>
      </c>
      <c r="E261">
        <f t="shared" si="78"/>
        <v>2023</v>
      </c>
      <c r="F261" s="2">
        <v>2163</v>
      </c>
      <c r="G261" t="s">
        <v>19</v>
      </c>
      <c r="H261" s="4">
        <f>SUMIFS($F$2:$F$2739,$G$2:$G$2739,"Multi-year Contract",$E$2:$E$2739,2023)/SUMIF($E$2:$E$2739,2023,$F$2:$F$2739)</f>
        <v>0.5137784540236352</v>
      </c>
    </row>
    <row r="262" spans="1:8" x14ac:dyDescent="0.3">
      <c r="A262" t="s">
        <v>5</v>
      </c>
      <c r="B262" s="3">
        <v>44995</v>
      </c>
      <c r="C262">
        <f t="shared" si="76"/>
        <v>10</v>
      </c>
      <c r="D262">
        <f t="shared" si="77"/>
        <v>3</v>
      </c>
      <c r="E262">
        <f t="shared" si="78"/>
        <v>2023</v>
      </c>
      <c r="F262" s="2">
        <v>2582</v>
      </c>
      <c r="G262" t="s">
        <v>18</v>
      </c>
      <c r="H262" s="4">
        <f>SUMIFS($F$2:$F$2739,$G$2:$G$2739,"Annual Contract",$E$2:$E$2739,2023)/SUMIF($E$2:$E$2739,2023,$F$2:$F$2739)</f>
        <v>0.27687421727474026</v>
      </c>
    </row>
    <row r="263" spans="1:8" x14ac:dyDescent="0.3">
      <c r="A263" t="s">
        <v>11</v>
      </c>
      <c r="B263" s="3">
        <v>44995</v>
      </c>
      <c r="C263">
        <f t="shared" si="76"/>
        <v>10</v>
      </c>
      <c r="D263">
        <f t="shared" si="77"/>
        <v>3</v>
      </c>
      <c r="E263">
        <f t="shared" si="78"/>
        <v>2023</v>
      </c>
      <c r="F263" s="2">
        <v>2334</v>
      </c>
      <c r="G263" t="s">
        <v>19</v>
      </c>
      <c r="H263" s="4">
        <f>SUMIFS($F$2:$F$2739,$G$2:$G$2739,"Multi-year Contract",$E$2:$E$2739,2023)/SUMIF($E$2:$E$2739,2023,$F$2:$F$2739)</f>
        <v>0.5137784540236352</v>
      </c>
    </row>
    <row r="264" spans="1:8" x14ac:dyDescent="0.3">
      <c r="A264" t="s">
        <v>7</v>
      </c>
      <c r="B264" s="3">
        <v>44995</v>
      </c>
      <c r="C264">
        <f t="shared" si="76"/>
        <v>10</v>
      </c>
      <c r="D264">
        <f t="shared" si="77"/>
        <v>3</v>
      </c>
      <c r="E264">
        <f t="shared" si="78"/>
        <v>2023</v>
      </c>
      <c r="F264" s="2">
        <v>1298</v>
      </c>
      <c r="G264" t="s">
        <v>17</v>
      </c>
      <c r="H264" s="4">
        <f>SUMIFS($F$2:$F$2739,$G$2:$G$2739,"No Contract",$E$2:$E$2739,2023)/SUMIF($E$2:$E$2739,2023,$F$2:$F$2739)</f>
        <v>0.20934732870162456</v>
      </c>
    </row>
    <row r="265" spans="1:8" x14ac:dyDescent="0.3">
      <c r="A265" t="s">
        <v>10</v>
      </c>
      <c r="B265" s="3">
        <v>44996</v>
      </c>
      <c r="C265">
        <f t="shared" si="76"/>
        <v>11</v>
      </c>
      <c r="D265">
        <f t="shared" si="77"/>
        <v>3</v>
      </c>
      <c r="E265">
        <f t="shared" si="78"/>
        <v>2023</v>
      </c>
      <c r="F265" s="2">
        <v>1335</v>
      </c>
      <c r="G265" t="s">
        <v>19</v>
      </c>
      <c r="H265" s="4">
        <f>SUMIFS($F$2:$F$2739,$G$2:$G$2739,"Multi-year Contract",$E$2:$E$2739,2023)/SUMIF($E$2:$E$2739,2023,$F$2:$F$2739)</f>
        <v>0.5137784540236352</v>
      </c>
    </row>
    <row r="266" spans="1:8" x14ac:dyDescent="0.3">
      <c r="A266" t="s">
        <v>5</v>
      </c>
      <c r="B266" s="3">
        <v>44996</v>
      </c>
      <c r="C266">
        <f t="shared" si="76"/>
        <v>11</v>
      </c>
      <c r="D266">
        <f t="shared" si="77"/>
        <v>3</v>
      </c>
      <c r="E266">
        <f t="shared" si="78"/>
        <v>2023</v>
      </c>
      <c r="F266" s="2">
        <v>1018</v>
      </c>
      <c r="G266" t="s">
        <v>18</v>
      </c>
      <c r="H266" s="4">
        <f>SUMIFS($F$2:$F$2739,$G$2:$G$2739,"Annual Contract",$E$2:$E$2739,2023)/SUMIF($E$2:$E$2739,2023,$F$2:$F$2739)</f>
        <v>0.27687421727474026</v>
      </c>
    </row>
    <row r="267" spans="1:8" x14ac:dyDescent="0.3">
      <c r="A267" t="s">
        <v>10</v>
      </c>
      <c r="B267" s="3">
        <v>44996</v>
      </c>
      <c r="C267">
        <f t="shared" si="76"/>
        <v>11</v>
      </c>
      <c r="D267">
        <f t="shared" si="77"/>
        <v>3</v>
      </c>
      <c r="E267">
        <f t="shared" si="78"/>
        <v>2023</v>
      </c>
      <c r="F267" s="2">
        <v>1320</v>
      </c>
      <c r="G267" t="s">
        <v>19</v>
      </c>
      <c r="H267" s="4">
        <f>SUMIFS($F$2:$F$2739,$G$2:$G$2739,"Multi-year Contract",$E$2:$E$2739,2023)/SUMIF($E$2:$E$2739,2023,$F$2:$F$2739)</f>
        <v>0.5137784540236352</v>
      </c>
    </row>
    <row r="268" spans="1:8" x14ac:dyDescent="0.3">
      <c r="A268" t="s">
        <v>5</v>
      </c>
      <c r="B268" s="3">
        <v>44996</v>
      </c>
      <c r="C268">
        <f t="shared" si="76"/>
        <v>11</v>
      </c>
      <c r="D268">
        <f t="shared" si="77"/>
        <v>3</v>
      </c>
      <c r="E268">
        <f t="shared" si="78"/>
        <v>2023</v>
      </c>
      <c r="F268" s="2">
        <v>1344</v>
      </c>
      <c r="G268" t="s">
        <v>18</v>
      </c>
      <c r="H268" s="4">
        <f>SUMIFS($F$2:$F$2739,$G$2:$G$2739,"Annual Contract",$E$2:$E$2739,2023)/SUMIF($E$2:$E$2739,2023,$F$2:$F$2739)</f>
        <v>0.27687421727474026</v>
      </c>
    </row>
    <row r="269" spans="1:8" x14ac:dyDescent="0.3">
      <c r="A269" t="s">
        <v>3</v>
      </c>
      <c r="B269" s="3">
        <v>44996</v>
      </c>
      <c r="C269">
        <f t="shared" si="76"/>
        <v>11</v>
      </c>
      <c r="D269">
        <f t="shared" si="77"/>
        <v>3</v>
      </c>
      <c r="E269">
        <f t="shared" si="78"/>
        <v>2023</v>
      </c>
      <c r="F269" s="2">
        <v>1775</v>
      </c>
      <c r="G269" t="s">
        <v>19</v>
      </c>
      <c r="H269" s="4">
        <f>SUMIFS($F$2:$F$2739,$G$2:$G$2739,"Multi-year Contract",$E$2:$E$2739,2023)/SUMIF($E$2:$E$2739,2023,$F$2:$F$2739)</f>
        <v>0.5137784540236352</v>
      </c>
    </row>
    <row r="270" spans="1:8" x14ac:dyDescent="0.3">
      <c r="A270" t="s">
        <v>8</v>
      </c>
      <c r="B270" s="3">
        <v>44996</v>
      </c>
      <c r="C270">
        <f t="shared" si="76"/>
        <v>11</v>
      </c>
      <c r="D270">
        <f t="shared" si="77"/>
        <v>3</v>
      </c>
      <c r="E270">
        <f t="shared" si="78"/>
        <v>2023</v>
      </c>
      <c r="F270" s="2">
        <v>2738</v>
      </c>
      <c r="G270" s="2" t="s">
        <v>18</v>
      </c>
      <c r="H270" s="4">
        <f t="shared" ref="H270:H271" si="79">SUMIFS($F$2:$F$2739,$G$2:$G$2739,"Annual Contract",$E$2:$E$2739,2023)/SUMIF($E$2:$E$2739,2023,$F$2:$F$2739)</f>
        <v>0.27687421727474026</v>
      </c>
    </row>
    <row r="271" spans="1:8" x14ac:dyDescent="0.3">
      <c r="A271" t="s">
        <v>6</v>
      </c>
      <c r="B271" s="3">
        <v>44996</v>
      </c>
      <c r="C271">
        <f t="shared" si="76"/>
        <v>11</v>
      </c>
      <c r="D271">
        <f t="shared" si="77"/>
        <v>3</v>
      </c>
      <c r="E271">
        <f t="shared" si="78"/>
        <v>2023</v>
      </c>
      <c r="F271" s="2">
        <v>2006</v>
      </c>
      <c r="G271" t="s">
        <v>18</v>
      </c>
      <c r="H271" s="4">
        <f t="shared" si="79"/>
        <v>0.27687421727474026</v>
      </c>
    </row>
    <row r="272" spans="1:8" x14ac:dyDescent="0.3">
      <c r="A272" t="s">
        <v>12</v>
      </c>
      <c r="B272" s="3">
        <v>44997</v>
      </c>
      <c r="C272">
        <f t="shared" si="76"/>
        <v>12</v>
      </c>
      <c r="D272">
        <f t="shared" si="77"/>
        <v>3</v>
      </c>
      <c r="E272">
        <f t="shared" si="78"/>
        <v>2023</v>
      </c>
      <c r="F272" s="2">
        <v>3204</v>
      </c>
      <c r="G272" s="2" t="s">
        <v>19</v>
      </c>
      <c r="H272" s="4">
        <f>SUMIFS($F$2:$F$2739,$G$2:$G$2739,"Multi-year Contract",$E$2:$E$2739,2023)/SUMIF($E$2:$E$2739,2023,$F$2:$F$2739)</f>
        <v>0.5137784540236352</v>
      </c>
    </row>
    <row r="273" spans="1:8" x14ac:dyDescent="0.3">
      <c r="A273" t="s">
        <v>7</v>
      </c>
      <c r="B273" s="3">
        <v>44997</v>
      </c>
      <c r="C273">
        <f t="shared" si="76"/>
        <v>12</v>
      </c>
      <c r="D273">
        <f t="shared" si="77"/>
        <v>3</v>
      </c>
      <c r="E273">
        <f t="shared" si="78"/>
        <v>2023</v>
      </c>
      <c r="F273" s="2">
        <v>829</v>
      </c>
      <c r="G273" t="s">
        <v>17</v>
      </c>
      <c r="H273" s="4">
        <f>SUMIFS($F$2:$F$2739,$G$2:$G$2739,"No Contract",$E$2:$E$2739,2023)/SUMIF($E$2:$E$2739,2023,$F$2:$F$2739)</f>
        <v>0.20934732870162456</v>
      </c>
    </row>
    <row r="274" spans="1:8" x14ac:dyDescent="0.3">
      <c r="A274" t="s">
        <v>3</v>
      </c>
      <c r="B274" s="3">
        <v>44997</v>
      </c>
      <c r="C274">
        <f t="shared" si="76"/>
        <v>12</v>
      </c>
      <c r="D274">
        <f t="shared" si="77"/>
        <v>3</v>
      </c>
      <c r="E274">
        <f t="shared" si="78"/>
        <v>2023</v>
      </c>
      <c r="F274" s="2">
        <v>1129</v>
      </c>
      <c r="G274" t="s">
        <v>19</v>
      </c>
      <c r="H274" s="4">
        <f>SUMIFS($F$2:$F$2739,$G$2:$G$2739,"Multi-year Contract",$E$2:$E$2739,2023)/SUMIF($E$2:$E$2739,2023,$F$2:$F$2739)</f>
        <v>0.5137784540236352</v>
      </c>
    </row>
    <row r="275" spans="1:8" x14ac:dyDescent="0.3">
      <c r="A275" t="s">
        <v>5</v>
      </c>
      <c r="B275" s="3">
        <v>44998</v>
      </c>
      <c r="C275">
        <f t="shared" si="76"/>
        <v>13</v>
      </c>
      <c r="D275">
        <f t="shared" si="77"/>
        <v>3</v>
      </c>
      <c r="E275">
        <f t="shared" si="78"/>
        <v>2023</v>
      </c>
      <c r="F275" s="2">
        <v>1114</v>
      </c>
      <c r="G275" t="s">
        <v>18</v>
      </c>
      <c r="H275" s="4">
        <f>SUMIFS($F$2:$F$2739,$G$2:$G$2739,"Annual Contract",$E$2:$E$2739,2023)/SUMIF($E$2:$E$2739,2023,$F$2:$F$2739)</f>
        <v>0.27687421727474026</v>
      </c>
    </row>
    <row r="276" spans="1:8" x14ac:dyDescent="0.3">
      <c r="A276" t="s">
        <v>12</v>
      </c>
      <c r="B276" s="3">
        <v>44998</v>
      </c>
      <c r="C276">
        <f t="shared" si="76"/>
        <v>13</v>
      </c>
      <c r="D276">
        <f t="shared" si="77"/>
        <v>3</v>
      </c>
      <c r="E276">
        <f t="shared" si="78"/>
        <v>2023</v>
      </c>
      <c r="F276" s="2">
        <v>1684</v>
      </c>
      <c r="G276" s="2" t="s">
        <v>19</v>
      </c>
      <c r="H276" s="4">
        <f t="shared" ref="H276:H278" si="80">SUMIFS($F$2:$F$2739,$G$2:$G$2739,"Multi-year Contract",$E$2:$E$2739,2023)/SUMIF($E$2:$E$2739,2023,$F$2:$F$2739)</f>
        <v>0.5137784540236352</v>
      </c>
    </row>
    <row r="277" spans="1:8" x14ac:dyDescent="0.3">
      <c r="A277" t="s">
        <v>3</v>
      </c>
      <c r="B277" s="3">
        <v>44998</v>
      </c>
      <c r="C277">
        <f t="shared" si="76"/>
        <v>13</v>
      </c>
      <c r="D277">
        <f t="shared" si="77"/>
        <v>3</v>
      </c>
      <c r="E277">
        <f t="shared" si="78"/>
        <v>2023</v>
      </c>
      <c r="F277" s="2">
        <v>2816</v>
      </c>
      <c r="G277" t="s">
        <v>19</v>
      </c>
      <c r="H277" s="4">
        <f t="shared" si="80"/>
        <v>0.5137784540236352</v>
      </c>
    </row>
    <row r="278" spans="1:8" x14ac:dyDescent="0.3">
      <c r="A278" t="s">
        <v>12</v>
      </c>
      <c r="B278" s="3">
        <v>44999</v>
      </c>
      <c r="C278">
        <f t="shared" si="76"/>
        <v>14</v>
      </c>
      <c r="D278">
        <f t="shared" si="77"/>
        <v>3</v>
      </c>
      <c r="E278">
        <f t="shared" si="78"/>
        <v>2023</v>
      </c>
      <c r="F278" s="2">
        <v>3445</v>
      </c>
      <c r="G278" s="2" t="s">
        <v>19</v>
      </c>
      <c r="H278" s="4">
        <f t="shared" si="80"/>
        <v>0.5137784540236352</v>
      </c>
    </row>
    <row r="279" spans="1:8" x14ac:dyDescent="0.3">
      <c r="A279" t="s">
        <v>5</v>
      </c>
      <c r="B279" s="3">
        <v>44999</v>
      </c>
      <c r="C279">
        <f t="shared" si="76"/>
        <v>14</v>
      </c>
      <c r="D279">
        <f t="shared" si="77"/>
        <v>3</v>
      </c>
      <c r="E279">
        <f t="shared" si="78"/>
        <v>2023</v>
      </c>
      <c r="F279" s="2">
        <v>2980</v>
      </c>
      <c r="G279" t="s">
        <v>18</v>
      </c>
      <c r="H279" s="4">
        <f t="shared" ref="H279:H280" si="81">SUMIFS($F$2:$F$2739,$G$2:$G$2739,"Annual Contract",$E$2:$E$2739,2023)/SUMIF($E$2:$E$2739,2023,$F$2:$F$2739)</f>
        <v>0.27687421727474026</v>
      </c>
    </row>
    <row r="280" spans="1:8" x14ac:dyDescent="0.3">
      <c r="A280" t="s">
        <v>6</v>
      </c>
      <c r="B280" s="3">
        <v>44999</v>
      </c>
      <c r="C280">
        <f t="shared" si="76"/>
        <v>14</v>
      </c>
      <c r="D280">
        <f t="shared" si="77"/>
        <v>3</v>
      </c>
      <c r="E280">
        <f t="shared" si="78"/>
        <v>2023</v>
      </c>
      <c r="F280" s="2">
        <v>1244</v>
      </c>
      <c r="G280" t="s">
        <v>18</v>
      </c>
      <c r="H280" s="4">
        <f t="shared" si="81"/>
        <v>0.27687421727474026</v>
      </c>
    </row>
    <row r="281" spans="1:8" x14ac:dyDescent="0.3">
      <c r="A281" t="s">
        <v>7</v>
      </c>
      <c r="B281" s="3">
        <v>44999</v>
      </c>
      <c r="C281">
        <f t="shared" si="76"/>
        <v>14</v>
      </c>
      <c r="D281">
        <f t="shared" si="77"/>
        <v>3</v>
      </c>
      <c r="E281">
        <f t="shared" si="78"/>
        <v>2023</v>
      </c>
      <c r="F281" s="2">
        <v>974</v>
      </c>
      <c r="G281" t="s">
        <v>17</v>
      </c>
      <c r="H281" s="4">
        <f>SUMIFS($F$2:$F$2739,$G$2:$G$2739,"No Contract",$E$2:$E$2739,2023)/SUMIF($E$2:$E$2739,2023,$F$2:$F$2739)</f>
        <v>0.20934732870162456</v>
      </c>
    </row>
    <row r="282" spans="1:8" x14ac:dyDescent="0.3">
      <c r="A282" t="s">
        <v>3</v>
      </c>
      <c r="B282" s="3">
        <v>45001</v>
      </c>
      <c r="C282">
        <f t="shared" si="76"/>
        <v>16</v>
      </c>
      <c r="D282">
        <f t="shared" si="77"/>
        <v>3</v>
      </c>
      <c r="E282">
        <f t="shared" si="78"/>
        <v>2023</v>
      </c>
      <c r="F282" s="2">
        <v>3676</v>
      </c>
      <c r="G282" t="s">
        <v>19</v>
      </c>
      <c r="H282" s="4">
        <f>SUMIFS($F$2:$F$2739,$G$2:$G$2739,"Multi-year Contract",$E$2:$E$2739,2023)/SUMIF($E$2:$E$2739,2023,$F$2:$F$2739)</f>
        <v>0.5137784540236352</v>
      </c>
    </row>
    <row r="283" spans="1:8" x14ac:dyDescent="0.3">
      <c r="A283" t="s">
        <v>8</v>
      </c>
      <c r="B283" s="3">
        <v>45002</v>
      </c>
      <c r="C283">
        <f t="shared" si="76"/>
        <v>17</v>
      </c>
      <c r="D283">
        <f t="shared" si="77"/>
        <v>3</v>
      </c>
      <c r="E283">
        <f t="shared" si="78"/>
        <v>2023</v>
      </c>
      <c r="F283" s="2">
        <v>889</v>
      </c>
      <c r="G283" s="2" t="s">
        <v>18</v>
      </c>
      <c r="H283" s="4">
        <f>SUMIFS($F$2:$F$2739,$G$2:$G$2739,"Annual Contract",$E$2:$E$2739,2023)/SUMIF($E$2:$E$2739,2023,$F$2:$F$2739)</f>
        <v>0.27687421727474026</v>
      </c>
    </row>
    <row r="284" spans="1:8" x14ac:dyDescent="0.3">
      <c r="A284" t="s">
        <v>10</v>
      </c>
      <c r="B284" s="3">
        <v>45002</v>
      </c>
      <c r="C284">
        <f t="shared" si="76"/>
        <v>17</v>
      </c>
      <c r="D284">
        <f t="shared" si="77"/>
        <v>3</v>
      </c>
      <c r="E284">
        <f t="shared" si="78"/>
        <v>2023</v>
      </c>
      <c r="F284" s="2">
        <v>1525</v>
      </c>
      <c r="G284" t="s">
        <v>19</v>
      </c>
      <c r="H284" s="4">
        <f t="shared" ref="H284:H288" si="82">SUMIFS($F$2:$F$2739,$G$2:$G$2739,"Multi-year Contract",$E$2:$E$2739,2023)/SUMIF($E$2:$E$2739,2023,$F$2:$F$2739)</f>
        <v>0.5137784540236352</v>
      </c>
    </row>
    <row r="285" spans="1:8" x14ac:dyDescent="0.3">
      <c r="A285" t="s">
        <v>11</v>
      </c>
      <c r="B285" s="3">
        <v>45002</v>
      </c>
      <c r="C285">
        <f t="shared" si="76"/>
        <v>17</v>
      </c>
      <c r="D285">
        <f t="shared" si="77"/>
        <v>3</v>
      </c>
      <c r="E285">
        <f t="shared" si="78"/>
        <v>2023</v>
      </c>
      <c r="F285" s="2">
        <v>3904</v>
      </c>
      <c r="G285" t="s">
        <v>19</v>
      </c>
      <c r="H285" s="4">
        <f t="shared" si="82"/>
        <v>0.5137784540236352</v>
      </c>
    </row>
    <row r="286" spans="1:8" x14ac:dyDescent="0.3">
      <c r="A286" t="s">
        <v>10</v>
      </c>
      <c r="B286" s="3">
        <v>45002</v>
      </c>
      <c r="C286">
        <f t="shared" si="76"/>
        <v>17</v>
      </c>
      <c r="D286">
        <f t="shared" si="77"/>
        <v>3</v>
      </c>
      <c r="E286">
        <f t="shared" si="78"/>
        <v>2023</v>
      </c>
      <c r="F286" s="2">
        <v>2021</v>
      </c>
      <c r="G286" t="s">
        <v>19</v>
      </c>
      <c r="H286" s="4">
        <f t="shared" si="82"/>
        <v>0.5137784540236352</v>
      </c>
    </row>
    <row r="287" spans="1:8" x14ac:dyDescent="0.3">
      <c r="A287" t="s">
        <v>3</v>
      </c>
      <c r="B287" s="3">
        <v>45002</v>
      </c>
      <c r="C287">
        <f t="shared" si="76"/>
        <v>17</v>
      </c>
      <c r="D287">
        <f t="shared" si="77"/>
        <v>3</v>
      </c>
      <c r="E287">
        <f t="shared" si="78"/>
        <v>2023</v>
      </c>
      <c r="F287" s="2">
        <v>873</v>
      </c>
      <c r="G287" t="s">
        <v>19</v>
      </c>
      <c r="H287" s="4">
        <f t="shared" si="82"/>
        <v>0.5137784540236352</v>
      </c>
    </row>
    <row r="288" spans="1:8" x14ac:dyDescent="0.3">
      <c r="A288" t="s">
        <v>3</v>
      </c>
      <c r="B288" s="3">
        <v>45002</v>
      </c>
      <c r="C288">
        <f t="shared" si="76"/>
        <v>17</v>
      </c>
      <c r="D288">
        <f t="shared" si="77"/>
        <v>3</v>
      </c>
      <c r="E288">
        <f t="shared" si="78"/>
        <v>2023</v>
      </c>
      <c r="F288" s="2">
        <v>2253</v>
      </c>
      <c r="G288" t="s">
        <v>19</v>
      </c>
      <c r="H288" s="4">
        <f t="shared" si="82"/>
        <v>0.5137784540236352</v>
      </c>
    </row>
    <row r="289" spans="1:8" x14ac:dyDescent="0.3">
      <c r="A289" t="s">
        <v>6</v>
      </c>
      <c r="B289" s="3">
        <v>45002</v>
      </c>
      <c r="C289">
        <f t="shared" si="76"/>
        <v>17</v>
      </c>
      <c r="D289">
        <f t="shared" si="77"/>
        <v>3</v>
      </c>
      <c r="E289">
        <f t="shared" si="78"/>
        <v>2023</v>
      </c>
      <c r="F289" s="2">
        <v>789</v>
      </c>
      <c r="G289" t="s">
        <v>18</v>
      </c>
      <c r="H289" s="4">
        <f>SUMIFS($F$2:$F$2739,$G$2:$G$2739,"Annual Contract",$E$2:$E$2739,2023)/SUMIF($E$2:$E$2739,2023,$F$2:$F$2739)</f>
        <v>0.27687421727474026</v>
      </c>
    </row>
    <row r="290" spans="1:8" x14ac:dyDescent="0.3">
      <c r="A290" t="s">
        <v>11</v>
      </c>
      <c r="B290" s="3">
        <v>45002</v>
      </c>
      <c r="C290">
        <f t="shared" si="76"/>
        <v>17</v>
      </c>
      <c r="D290">
        <f t="shared" si="77"/>
        <v>3</v>
      </c>
      <c r="E290">
        <f t="shared" si="78"/>
        <v>2023</v>
      </c>
      <c r="F290" s="2">
        <v>1324</v>
      </c>
      <c r="G290" t="s">
        <v>19</v>
      </c>
      <c r="H290" s="4">
        <f t="shared" ref="H290:H292" si="83">SUMIFS($F$2:$F$2739,$G$2:$G$2739,"Multi-year Contract",$E$2:$E$2739,2023)/SUMIF($E$2:$E$2739,2023,$F$2:$F$2739)</f>
        <v>0.5137784540236352</v>
      </c>
    </row>
    <row r="291" spans="1:8" x14ac:dyDescent="0.3">
      <c r="A291" t="s">
        <v>3</v>
      </c>
      <c r="B291" s="3">
        <v>45002</v>
      </c>
      <c r="C291">
        <f t="shared" si="76"/>
        <v>17</v>
      </c>
      <c r="D291">
        <f t="shared" si="77"/>
        <v>3</v>
      </c>
      <c r="E291">
        <f t="shared" si="78"/>
        <v>2023</v>
      </c>
      <c r="F291" s="2">
        <v>3097</v>
      </c>
      <c r="G291" t="s">
        <v>19</v>
      </c>
      <c r="H291" s="4">
        <f t="shared" si="83"/>
        <v>0.5137784540236352</v>
      </c>
    </row>
    <row r="292" spans="1:8" x14ac:dyDescent="0.3">
      <c r="A292" t="s">
        <v>11</v>
      </c>
      <c r="B292" s="3">
        <v>45002</v>
      </c>
      <c r="C292">
        <f t="shared" si="76"/>
        <v>17</v>
      </c>
      <c r="D292">
        <f t="shared" si="77"/>
        <v>3</v>
      </c>
      <c r="E292">
        <f t="shared" si="78"/>
        <v>2023</v>
      </c>
      <c r="F292" s="2">
        <v>2317</v>
      </c>
      <c r="G292" t="s">
        <v>19</v>
      </c>
      <c r="H292" s="4">
        <f t="shared" si="83"/>
        <v>0.5137784540236352</v>
      </c>
    </row>
    <row r="293" spans="1:8" x14ac:dyDescent="0.3">
      <c r="A293" t="s">
        <v>7</v>
      </c>
      <c r="B293" s="3">
        <v>45003</v>
      </c>
      <c r="C293">
        <f t="shared" si="76"/>
        <v>18</v>
      </c>
      <c r="D293">
        <f t="shared" si="77"/>
        <v>3</v>
      </c>
      <c r="E293">
        <f t="shared" si="78"/>
        <v>2023</v>
      </c>
      <c r="F293" s="2">
        <v>602</v>
      </c>
      <c r="G293" t="s">
        <v>17</v>
      </c>
      <c r="H293" s="4">
        <f t="shared" ref="H293:H295" si="84">SUMIFS($F$2:$F$2739,$G$2:$G$2739,"No Contract",$E$2:$E$2739,2023)/SUMIF($E$2:$E$2739,2023,$F$2:$F$2739)</f>
        <v>0.20934732870162456</v>
      </c>
    </row>
    <row r="294" spans="1:8" x14ac:dyDescent="0.3">
      <c r="A294" t="s">
        <v>9</v>
      </c>
      <c r="B294" s="3">
        <v>45003</v>
      </c>
      <c r="C294">
        <f t="shared" si="76"/>
        <v>18</v>
      </c>
      <c r="D294">
        <f t="shared" si="77"/>
        <v>3</v>
      </c>
      <c r="E294">
        <f t="shared" si="78"/>
        <v>2023</v>
      </c>
      <c r="F294" s="2">
        <v>2187</v>
      </c>
      <c r="G294" t="s">
        <v>17</v>
      </c>
      <c r="H294" s="4">
        <f t="shared" si="84"/>
        <v>0.20934732870162456</v>
      </c>
    </row>
    <row r="295" spans="1:8" x14ac:dyDescent="0.3">
      <c r="A295" t="s">
        <v>9</v>
      </c>
      <c r="B295" s="3">
        <v>45004</v>
      </c>
      <c r="C295">
        <f t="shared" si="76"/>
        <v>19</v>
      </c>
      <c r="D295">
        <f t="shared" si="77"/>
        <v>3</v>
      </c>
      <c r="E295">
        <f t="shared" si="78"/>
        <v>2023</v>
      </c>
      <c r="F295" s="2">
        <v>2253</v>
      </c>
      <c r="G295" t="s">
        <v>17</v>
      </c>
      <c r="H295" s="4">
        <f t="shared" si="84"/>
        <v>0.20934732870162456</v>
      </c>
    </row>
    <row r="296" spans="1:8" x14ac:dyDescent="0.3">
      <c r="A296" t="s">
        <v>3</v>
      </c>
      <c r="B296" s="3">
        <v>45004</v>
      </c>
      <c r="C296">
        <f t="shared" si="76"/>
        <v>19</v>
      </c>
      <c r="D296">
        <f t="shared" si="77"/>
        <v>3</v>
      </c>
      <c r="E296">
        <f t="shared" si="78"/>
        <v>2023</v>
      </c>
      <c r="F296" s="2">
        <v>1821</v>
      </c>
      <c r="G296" t="s">
        <v>19</v>
      </c>
      <c r="H296" s="4">
        <f>SUMIFS($F$2:$F$2739,$G$2:$G$2739,"Multi-year Contract",$E$2:$E$2739,2023)/SUMIF($E$2:$E$2739,2023,$F$2:$F$2739)</f>
        <v>0.5137784540236352</v>
      </c>
    </row>
    <row r="297" spans="1:8" x14ac:dyDescent="0.3">
      <c r="A297" t="s">
        <v>5</v>
      </c>
      <c r="B297" s="3">
        <v>45004</v>
      </c>
      <c r="C297">
        <f t="shared" si="76"/>
        <v>19</v>
      </c>
      <c r="D297">
        <f t="shared" si="77"/>
        <v>3</v>
      </c>
      <c r="E297">
        <f t="shared" si="78"/>
        <v>2023</v>
      </c>
      <c r="F297" s="2">
        <v>1538</v>
      </c>
      <c r="G297" t="s">
        <v>18</v>
      </c>
      <c r="H297" s="4">
        <f t="shared" ref="H297:H298" si="85">SUMIFS($F$2:$F$2739,$G$2:$G$2739,"Annual Contract",$E$2:$E$2739,2023)/SUMIF($E$2:$E$2739,2023,$F$2:$F$2739)</f>
        <v>0.27687421727474026</v>
      </c>
    </row>
    <row r="298" spans="1:8" x14ac:dyDescent="0.3">
      <c r="A298" t="s">
        <v>6</v>
      </c>
      <c r="B298" s="3">
        <v>45004</v>
      </c>
      <c r="C298">
        <f t="shared" si="76"/>
        <v>19</v>
      </c>
      <c r="D298">
        <f t="shared" si="77"/>
        <v>3</v>
      </c>
      <c r="E298">
        <f t="shared" si="78"/>
        <v>2023</v>
      </c>
      <c r="F298" s="2">
        <v>2512</v>
      </c>
      <c r="G298" t="s">
        <v>18</v>
      </c>
      <c r="H298" s="4">
        <f t="shared" si="85"/>
        <v>0.27687421727474026</v>
      </c>
    </row>
    <row r="299" spans="1:8" x14ac:dyDescent="0.3">
      <c r="A299" t="s">
        <v>9</v>
      </c>
      <c r="B299" s="3">
        <v>45005</v>
      </c>
      <c r="C299">
        <f t="shared" si="76"/>
        <v>20</v>
      </c>
      <c r="D299">
        <f t="shared" si="77"/>
        <v>3</v>
      </c>
      <c r="E299">
        <f t="shared" si="78"/>
        <v>2023</v>
      </c>
      <c r="F299" s="2">
        <v>3238</v>
      </c>
      <c r="G299" t="s">
        <v>17</v>
      </c>
      <c r="H299" s="4">
        <f t="shared" ref="H299:H300" si="86">SUMIFS($F$2:$F$2739,$G$2:$G$2739,"No Contract",$E$2:$E$2739,2023)/SUMIF($E$2:$E$2739,2023,$F$2:$F$2739)</f>
        <v>0.20934732870162456</v>
      </c>
    </row>
    <row r="300" spans="1:8" x14ac:dyDescent="0.3">
      <c r="A300" t="s">
        <v>7</v>
      </c>
      <c r="B300" s="3">
        <v>45005</v>
      </c>
      <c r="C300">
        <f t="shared" si="76"/>
        <v>20</v>
      </c>
      <c r="D300">
        <f t="shared" si="77"/>
        <v>3</v>
      </c>
      <c r="E300">
        <f t="shared" si="78"/>
        <v>2023</v>
      </c>
      <c r="F300" s="2">
        <v>1771</v>
      </c>
      <c r="G300" t="s">
        <v>17</v>
      </c>
      <c r="H300" s="4">
        <f t="shared" si="86"/>
        <v>0.20934732870162456</v>
      </c>
    </row>
    <row r="301" spans="1:8" x14ac:dyDescent="0.3">
      <c r="A301" t="s">
        <v>11</v>
      </c>
      <c r="B301" s="3">
        <v>45005</v>
      </c>
      <c r="C301">
        <f t="shared" si="76"/>
        <v>20</v>
      </c>
      <c r="D301">
        <f t="shared" si="77"/>
        <v>3</v>
      </c>
      <c r="E301">
        <f t="shared" si="78"/>
        <v>2023</v>
      </c>
      <c r="F301" s="2">
        <v>1293</v>
      </c>
      <c r="G301" t="s">
        <v>19</v>
      </c>
      <c r="H301" s="4">
        <f t="shared" ref="H301:H302" si="87">SUMIFS($F$2:$F$2739,$G$2:$G$2739,"Multi-year Contract",$E$2:$E$2739,2023)/SUMIF($E$2:$E$2739,2023,$F$2:$F$2739)</f>
        <v>0.5137784540236352</v>
      </c>
    </row>
    <row r="302" spans="1:8" x14ac:dyDescent="0.3">
      <c r="A302" t="s">
        <v>3</v>
      </c>
      <c r="B302" s="3">
        <v>45005</v>
      </c>
      <c r="C302">
        <f t="shared" si="76"/>
        <v>20</v>
      </c>
      <c r="D302">
        <f t="shared" si="77"/>
        <v>3</v>
      </c>
      <c r="E302">
        <f t="shared" si="78"/>
        <v>2023</v>
      </c>
      <c r="F302" s="2">
        <v>982</v>
      </c>
      <c r="G302" t="s">
        <v>19</v>
      </c>
      <c r="H302" s="4">
        <f t="shared" si="87"/>
        <v>0.5137784540236352</v>
      </c>
    </row>
    <row r="303" spans="1:8" x14ac:dyDescent="0.3">
      <c r="A303" t="s">
        <v>9</v>
      </c>
      <c r="B303" s="3">
        <v>45005</v>
      </c>
      <c r="C303">
        <f t="shared" si="76"/>
        <v>20</v>
      </c>
      <c r="D303">
        <f t="shared" si="77"/>
        <v>3</v>
      </c>
      <c r="E303">
        <f t="shared" si="78"/>
        <v>2023</v>
      </c>
      <c r="F303" s="2">
        <v>3247</v>
      </c>
      <c r="G303" t="s">
        <v>17</v>
      </c>
      <c r="H303" s="4">
        <f>SUMIFS($F$2:$F$2739,$G$2:$G$2739,"No Contract",$E$2:$E$2739,2023)/SUMIF($E$2:$E$2739,2023,$F$2:$F$2739)</f>
        <v>0.20934732870162456</v>
      </c>
    </row>
    <row r="304" spans="1:8" x14ac:dyDescent="0.3">
      <c r="A304" t="s">
        <v>4</v>
      </c>
      <c r="B304" s="3">
        <v>45005</v>
      </c>
      <c r="C304">
        <f t="shared" si="76"/>
        <v>20</v>
      </c>
      <c r="D304">
        <f t="shared" si="77"/>
        <v>3</v>
      </c>
      <c r="E304">
        <f t="shared" si="78"/>
        <v>2023</v>
      </c>
      <c r="F304" s="2">
        <v>2456</v>
      </c>
      <c r="G304" s="2" t="s">
        <v>19</v>
      </c>
      <c r="H304" s="4">
        <f>SUMIFS($F$2:$F$2739,$G$2:$G$2739,"Multi-year Contract",$E$2:$E$2739,2023)/SUMIF($E$2:$E$2739,2023,$F$2:$F$2739)</f>
        <v>0.5137784540236352</v>
      </c>
    </row>
    <row r="305" spans="1:8" x14ac:dyDescent="0.3">
      <c r="A305" t="s">
        <v>7</v>
      </c>
      <c r="B305" s="3">
        <v>45006</v>
      </c>
      <c r="C305">
        <f t="shared" si="76"/>
        <v>21</v>
      </c>
      <c r="D305">
        <f t="shared" si="77"/>
        <v>3</v>
      </c>
      <c r="E305">
        <f t="shared" si="78"/>
        <v>2023</v>
      </c>
      <c r="F305" s="2">
        <v>1797</v>
      </c>
      <c r="G305" t="s">
        <v>17</v>
      </c>
      <c r="H305" s="4">
        <f>SUMIFS($F$2:$F$2739,$G$2:$G$2739,"No Contract",$E$2:$E$2739,2023)/SUMIF($E$2:$E$2739,2023,$F$2:$F$2739)</f>
        <v>0.20934732870162456</v>
      </c>
    </row>
    <row r="306" spans="1:8" x14ac:dyDescent="0.3">
      <c r="A306" t="s">
        <v>12</v>
      </c>
      <c r="B306" s="3">
        <v>45006</v>
      </c>
      <c r="C306">
        <f t="shared" si="76"/>
        <v>21</v>
      </c>
      <c r="D306">
        <f t="shared" si="77"/>
        <v>3</v>
      </c>
      <c r="E306">
        <f t="shared" si="78"/>
        <v>2023</v>
      </c>
      <c r="F306" s="2">
        <v>1184</v>
      </c>
      <c r="G306" s="2" t="s">
        <v>19</v>
      </c>
      <c r="H306" s="4">
        <f t="shared" ref="H306:H307" si="88">SUMIFS($F$2:$F$2739,$G$2:$G$2739,"Multi-year Contract",$E$2:$E$2739,2023)/SUMIF($E$2:$E$2739,2023,$F$2:$F$2739)</f>
        <v>0.5137784540236352</v>
      </c>
    </row>
    <row r="307" spans="1:8" x14ac:dyDescent="0.3">
      <c r="A307" t="s">
        <v>3</v>
      </c>
      <c r="B307" s="3">
        <v>45006</v>
      </c>
      <c r="C307">
        <f t="shared" si="76"/>
        <v>21</v>
      </c>
      <c r="D307">
        <f t="shared" si="77"/>
        <v>3</v>
      </c>
      <c r="E307">
        <f t="shared" si="78"/>
        <v>2023</v>
      </c>
      <c r="F307" s="2">
        <v>2260</v>
      </c>
      <c r="G307" t="s">
        <v>19</v>
      </c>
      <c r="H307" s="4">
        <f t="shared" si="88"/>
        <v>0.5137784540236352</v>
      </c>
    </row>
    <row r="308" spans="1:8" x14ac:dyDescent="0.3">
      <c r="A308" t="s">
        <v>8</v>
      </c>
      <c r="B308" s="3">
        <v>45006</v>
      </c>
      <c r="C308">
        <f t="shared" si="76"/>
        <v>21</v>
      </c>
      <c r="D308">
        <f t="shared" si="77"/>
        <v>3</v>
      </c>
      <c r="E308">
        <f t="shared" si="78"/>
        <v>2023</v>
      </c>
      <c r="F308" s="2">
        <v>3482</v>
      </c>
      <c r="G308" s="2" t="s">
        <v>18</v>
      </c>
      <c r="H308" s="4">
        <f>SUMIFS($F$2:$F$2739,$G$2:$G$2739,"Annual Contract",$E$2:$E$2739,2023)/SUMIF($E$2:$E$2739,2023,$F$2:$F$2739)</f>
        <v>0.27687421727474026</v>
      </c>
    </row>
    <row r="309" spans="1:8" x14ac:dyDescent="0.3">
      <c r="A309" t="s">
        <v>7</v>
      </c>
      <c r="B309" s="3">
        <v>45007</v>
      </c>
      <c r="C309">
        <f t="shared" si="76"/>
        <v>22</v>
      </c>
      <c r="D309">
        <f t="shared" si="77"/>
        <v>3</v>
      </c>
      <c r="E309">
        <f t="shared" si="78"/>
        <v>2023</v>
      </c>
      <c r="F309" s="2">
        <v>2368</v>
      </c>
      <c r="G309" t="s">
        <v>17</v>
      </c>
      <c r="H309" s="4">
        <f>SUMIFS($F$2:$F$2739,$G$2:$G$2739,"No Contract",$E$2:$E$2739,2023)/SUMIF($E$2:$E$2739,2023,$F$2:$F$2739)</f>
        <v>0.20934732870162456</v>
      </c>
    </row>
    <row r="310" spans="1:8" x14ac:dyDescent="0.3">
      <c r="A310" t="s">
        <v>10</v>
      </c>
      <c r="B310" s="3">
        <v>45007</v>
      </c>
      <c r="C310">
        <f t="shared" si="76"/>
        <v>22</v>
      </c>
      <c r="D310">
        <f t="shared" si="77"/>
        <v>3</v>
      </c>
      <c r="E310">
        <f t="shared" si="78"/>
        <v>2023</v>
      </c>
      <c r="F310" s="2">
        <v>3094</v>
      </c>
      <c r="G310" t="s">
        <v>19</v>
      </c>
      <c r="H310" s="4">
        <f t="shared" ref="H310:H311" si="89">SUMIFS($F$2:$F$2739,$G$2:$G$2739,"Multi-year Contract",$E$2:$E$2739,2023)/SUMIF($E$2:$E$2739,2023,$F$2:$F$2739)</f>
        <v>0.5137784540236352</v>
      </c>
    </row>
    <row r="311" spans="1:8" x14ac:dyDescent="0.3">
      <c r="A311" t="s">
        <v>3</v>
      </c>
      <c r="B311" s="3">
        <v>45008</v>
      </c>
      <c r="C311">
        <f t="shared" si="76"/>
        <v>23</v>
      </c>
      <c r="D311">
        <f t="shared" si="77"/>
        <v>3</v>
      </c>
      <c r="E311">
        <f t="shared" si="78"/>
        <v>2023</v>
      </c>
      <c r="F311" s="2">
        <v>2323</v>
      </c>
      <c r="G311" t="s">
        <v>19</v>
      </c>
      <c r="H311" s="4">
        <f t="shared" si="89"/>
        <v>0.5137784540236352</v>
      </c>
    </row>
    <row r="312" spans="1:8" x14ac:dyDescent="0.3">
      <c r="A312" t="s">
        <v>5</v>
      </c>
      <c r="B312" s="3">
        <v>45009</v>
      </c>
      <c r="C312">
        <f t="shared" si="76"/>
        <v>24</v>
      </c>
      <c r="D312">
        <f t="shared" si="77"/>
        <v>3</v>
      </c>
      <c r="E312">
        <f t="shared" si="78"/>
        <v>2023</v>
      </c>
      <c r="F312" s="2">
        <v>1873</v>
      </c>
      <c r="G312" t="s">
        <v>18</v>
      </c>
      <c r="H312" s="4">
        <f>SUMIFS($F$2:$F$2739,$G$2:$G$2739,"Annual Contract",$E$2:$E$2739,2023)/SUMIF($E$2:$E$2739,2023,$F$2:$F$2739)</f>
        <v>0.27687421727474026</v>
      </c>
    </row>
    <row r="313" spans="1:8" x14ac:dyDescent="0.3">
      <c r="A313" t="s">
        <v>3</v>
      </c>
      <c r="B313" s="3">
        <v>45009</v>
      </c>
      <c r="C313">
        <f t="shared" si="76"/>
        <v>24</v>
      </c>
      <c r="D313">
        <f t="shared" si="77"/>
        <v>3</v>
      </c>
      <c r="E313">
        <f t="shared" si="78"/>
        <v>2023</v>
      </c>
      <c r="F313" s="2">
        <v>3091</v>
      </c>
      <c r="G313" t="s">
        <v>19</v>
      </c>
      <c r="H313" s="4">
        <f t="shared" ref="H313:H315" si="90">SUMIFS($F$2:$F$2739,$G$2:$G$2739,"Multi-year Contract",$E$2:$E$2739,2023)/SUMIF($E$2:$E$2739,2023,$F$2:$F$2739)</f>
        <v>0.5137784540236352</v>
      </c>
    </row>
    <row r="314" spans="1:8" x14ac:dyDescent="0.3">
      <c r="A314" t="s">
        <v>11</v>
      </c>
      <c r="B314" s="3">
        <v>45009</v>
      </c>
      <c r="C314">
        <f t="shared" si="76"/>
        <v>24</v>
      </c>
      <c r="D314">
        <f t="shared" si="77"/>
        <v>3</v>
      </c>
      <c r="E314">
        <f t="shared" si="78"/>
        <v>2023</v>
      </c>
      <c r="F314" s="2">
        <v>2621</v>
      </c>
      <c r="G314" t="s">
        <v>19</v>
      </c>
      <c r="H314" s="4">
        <f t="shared" si="90"/>
        <v>0.5137784540236352</v>
      </c>
    </row>
    <row r="315" spans="1:8" x14ac:dyDescent="0.3">
      <c r="A315" t="s">
        <v>3</v>
      </c>
      <c r="B315" s="3">
        <v>45009</v>
      </c>
      <c r="C315">
        <f t="shared" si="76"/>
        <v>24</v>
      </c>
      <c r="D315">
        <f t="shared" si="77"/>
        <v>3</v>
      </c>
      <c r="E315">
        <f t="shared" si="78"/>
        <v>2023</v>
      </c>
      <c r="F315" s="2">
        <v>929</v>
      </c>
      <c r="G315" t="s">
        <v>19</v>
      </c>
      <c r="H315" s="4">
        <f t="shared" si="90"/>
        <v>0.5137784540236352</v>
      </c>
    </row>
    <row r="316" spans="1:8" x14ac:dyDescent="0.3">
      <c r="A316" t="s">
        <v>5</v>
      </c>
      <c r="B316" s="3">
        <v>45009</v>
      </c>
      <c r="C316">
        <f t="shared" si="76"/>
        <v>24</v>
      </c>
      <c r="D316">
        <f t="shared" si="77"/>
        <v>3</v>
      </c>
      <c r="E316">
        <f t="shared" si="78"/>
        <v>2023</v>
      </c>
      <c r="F316" s="2">
        <v>1440</v>
      </c>
      <c r="G316" t="s">
        <v>18</v>
      </c>
      <c r="H316" s="4">
        <f>SUMIFS($F$2:$F$2739,$G$2:$G$2739,"Annual Contract",$E$2:$E$2739,2023)/SUMIF($E$2:$E$2739,2023,$F$2:$F$2739)</f>
        <v>0.27687421727474026</v>
      </c>
    </row>
    <row r="317" spans="1:8" x14ac:dyDescent="0.3">
      <c r="A317" t="s">
        <v>11</v>
      </c>
      <c r="B317" s="3">
        <v>45010</v>
      </c>
      <c r="C317">
        <f t="shared" si="76"/>
        <v>25</v>
      </c>
      <c r="D317">
        <f t="shared" si="77"/>
        <v>3</v>
      </c>
      <c r="E317">
        <f t="shared" si="78"/>
        <v>2023</v>
      </c>
      <c r="F317" s="2">
        <v>1571</v>
      </c>
      <c r="G317" t="s">
        <v>19</v>
      </c>
      <c r="H317" s="4">
        <f>SUMIFS($F$2:$F$2739,$G$2:$G$2739,"Multi-year Contract",$E$2:$E$2739,2023)/SUMIF($E$2:$E$2739,2023,$F$2:$F$2739)</f>
        <v>0.5137784540236352</v>
      </c>
    </row>
    <row r="318" spans="1:8" x14ac:dyDescent="0.3">
      <c r="A318" t="s">
        <v>8</v>
      </c>
      <c r="B318" s="3">
        <v>45011</v>
      </c>
      <c r="C318">
        <f t="shared" si="76"/>
        <v>26</v>
      </c>
      <c r="D318">
        <f t="shared" si="77"/>
        <v>3</v>
      </c>
      <c r="E318">
        <f t="shared" si="78"/>
        <v>2023</v>
      </c>
      <c r="F318" s="2">
        <v>1964</v>
      </c>
      <c r="G318" s="2" t="s">
        <v>18</v>
      </c>
      <c r="H318" s="4">
        <f>SUMIFS($F$2:$F$2739,$G$2:$G$2739,"Annual Contract",$E$2:$E$2739,2023)/SUMIF($E$2:$E$2739,2023,$F$2:$F$2739)</f>
        <v>0.27687421727474026</v>
      </c>
    </row>
    <row r="319" spans="1:8" x14ac:dyDescent="0.3">
      <c r="A319" t="s">
        <v>12</v>
      </c>
      <c r="B319" s="3">
        <v>45011</v>
      </c>
      <c r="C319">
        <f t="shared" si="76"/>
        <v>26</v>
      </c>
      <c r="D319">
        <f t="shared" si="77"/>
        <v>3</v>
      </c>
      <c r="E319">
        <f t="shared" si="78"/>
        <v>2023</v>
      </c>
      <c r="F319" s="2">
        <v>2898</v>
      </c>
      <c r="G319" s="2" t="s">
        <v>19</v>
      </c>
      <c r="H319" s="4">
        <f t="shared" ref="H319:H320" si="91">SUMIFS($F$2:$F$2739,$G$2:$G$2739,"Multi-year Contract",$E$2:$E$2739,2023)/SUMIF($E$2:$E$2739,2023,$F$2:$F$2739)</f>
        <v>0.5137784540236352</v>
      </c>
    </row>
    <row r="320" spans="1:8" x14ac:dyDescent="0.3">
      <c r="A320" t="s">
        <v>10</v>
      </c>
      <c r="B320" s="3">
        <v>45012</v>
      </c>
      <c r="C320">
        <f t="shared" si="76"/>
        <v>27</v>
      </c>
      <c r="D320">
        <f t="shared" si="77"/>
        <v>3</v>
      </c>
      <c r="E320">
        <f t="shared" si="78"/>
        <v>2023</v>
      </c>
      <c r="F320" s="2">
        <v>1239</v>
      </c>
      <c r="G320" t="s">
        <v>19</v>
      </c>
      <c r="H320" s="4">
        <f t="shared" si="91"/>
        <v>0.5137784540236352</v>
      </c>
    </row>
    <row r="321" spans="1:8" x14ac:dyDescent="0.3">
      <c r="A321" t="s">
        <v>6</v>
      </c>
      <c r="B321" s="3">
        <v>45012</v>
      </c>
      <c r="C321">
        <f t="shared" si="76"/>
        <v>27</v>
      </c>
      <c r="D321">
        <f t="shared" si="77"/>
        <v>3</v>
      </c>
      <c r="E321">
        <f t="shared" si="78"/>
        <v>2023</v>
      </c>
      <c r="F321" s="2">
        <v>2201</v>
      </c>
      <c r="G321" t="s">
        <v>18</v>
      </c>
      <c r="H321" s="4">
        <f>SUMIFS($F$2:$F$2739,$G$2:$G$2739,"Annual Contract",$E$2:$E$2739,2023)/SUMIF($E$2:$E$2739,2023,$F$2:$F$2739)</f>
        <v>0.27687421727474026</v>
      </c>
    </row>
    <row r="322" spans="1:8" x14ac:dyDescent="0.3">
      <c r="A322" t="s">
        <v>3</v>
      </c>
      <c r="B322" s="3">
        <v>45012</v>
      </c>
      <c r="C322">
        <f t="shared" si="76"/>
        <v>27</v>
      </c>
      <c r="D322">
        <f t="shared" si="77"/>
        <v>3</v>
      </c>
      <c r="E322">
        <f t="shared" si="78"/>
        <v>2023</v>
      </c>
      <c r="F322" s="2">
        <v>3591</v>
      </c>
      <c r="G322" t="s">
        <v>19</v>
      </c>
      <c r="H322" s="4">
        <f t="shared" ref="H322:H324" si="92">SUMIFS($F$2:$F$2739,$G$2:$G$2739,"Multi-year Contract",$E$2:$E$2739,2023)/SUMIF($E$2:$E$2739,2023,$F$2:$F$2739)</f>
        <v>0.5137784540236352</v>
      </c>
    </row>
    <row r="323" spans="1:8" x14ac:dyDescent="0.3">
      <c r="A323" t="s">
        <v>12</v>
      </c>
      <c r="B323" s="3">
        <v>45013</v>
      </c>
      <c r="C323">
        <f t="shared" ref="C323:C386" si="93">DAY(B323)</f>
        <v>28</v>
      </c>
      <c r="D323">
        <f t="shared" ref="D323:D386" si="94">MONTH(B323)</f>
        <v>3</v>
      </c>
      <c r="E323">
        <f t="shared" ref="E323:E386" si="95">YEAR(B323)</f>
        <v>2023</v>
      </c>
      <c r="F323" s="2">
        <v>3248</v>
      </c>
      <c r="G323" s="2" t="s">
        <v>19</v>
      </c>
      <c r="H323" s="4">
        <f t="shared" si="92"/>
        <v>0.5137784540236352</v>
      </c>
    </row>
    <row r="324" spans="1:8" x14ac:dyDescent="0.3">
      <c r="A324" t="s">
        <v>4</v>
      </c>
      <c r="B324" s="3">
        <v>45013</v>
      </c>
      <c r="C324">
        <f t="shared" si="93"/>
        <v>28</v>
      </c>
      <c r="D324">
        <f t="shared" si="94"/>
        <v>3</v>
      </c>
      <c r="E324">
        <f t="shared" si="95"/>
        <v>2023</v>
      </c>
      <c r="F324" s="2">
        <v>2999</v>
      </c>
      <c r="G324" s="2" t="s">
        <v>19</v>
      </c>
      <c r="H324" s="4">
        <f t="shared" si="92"/>
        <v>0.5137784540236352</v>
      </c>
    </row>
    <row r="325" spans="1:8" x14ac:dyDescent="0.3">
      <c r="A325" t="s">
        <v>7</v>
      </c>
      <c r="B325" s="3">
        <v>45013</v>
      </c>
      <c r="C325">
        <f t="shared" si="93"/>
        <v>28</v>
      </c>
      <c r="D325">
        <f t="shared" si="94"/>
        <v>3</v>
      </c>
      <c r="E325">
        <f t="shared" si="95"/>
        <v>2023</v>
      </c>
      <c r="F325" s="2">
        <v>2459</v>
      </c>
      <c r="G325" t="s">
        <v>17</v>
      </c>
      <c r="H325" s="4">
        <f>SUMIFS($F$2:$F$2739,$G$2:$G$2739,"No Contract",$E$2:$E$2739,2023)/SUMIF($E$2:$E$2739,2023,$F$2:$F$2739)</f>
        <v>0.20934732870162456</v>
      </c>
    </row>
    <row r="326" spans="1:8" x14ac:dyDescent="0.3">
      <c r="A326" t="s">
        <v>10</v>
      </c>
      <c r="B326" s="3">
        <v>45013</v>
      </c>
      <c r="C326">
        <f t="shared" si="93"/>
        <v>28</v>
      </c>
      <c r="D326">
        <f t="shared" si="94"/>
        <v>3</v>
      </c>
      <c r="E326">
        <f t="shared" si="95"/>
        <v>2023</v>
      </c>
      <c r="F326" s="2">
        <v>3072</v>
      </c>
      <c r="G326" t="s">
        <v>19</v>
      </c>
      <c r="H326" s="4">
        <f t="shared" ref="H326:H327" si="96">SUMIFS($F$2:$F$2739,$G$2:$G$2739,"Multi-year Contract",$E$2:$E$2739,2023)/SUMIF($E$2:$E$2739,2023,$F$2:$F$2739)</f>
        <v>0.5137784540236352</v>
      </c>
    </row>
    <row r="327" spans="1:8" x14ac:dyDescent="0.3">
      <c r="A327" t="s">
        <v>3</v>
      </c>
      <c r="B327" s="3">
        <v>45013</v>
      </c>
      <c r="C327">
        <f t="shared" si="93"/>
        <v>28</v>
      </c>
      <c r="D327">
        <f t="shared" si="94"/>
        <v>3</v>
      </c>
      <c r="E327">
        <f t="shared" si="95"/>
        <v>2023</v>
      </c>
      <c r="F327" s="2">
        <v>1477</v>
      </c>
      <c r="G327" t="s">
        <v>19</v>
      </c>
      <c r="H327" s="4">
        <f t="shared" si="96"/>
        <v>0.5137784540236352</v>
      </c>
    </row>
    <row r="328" spans="1:8" x14ac:dyDescent="0.3">
      <c r="A328" t="s">
        <v>6</v>
      </c>
      <c r="B328" s="3">
        <v>45014</v>
      </c>
      <c r="C328">
        <f t="shared" si="93"/>
        <v>29</v>
      </c>
      <c r="D328">
        <f t="shared" si="94"/>
        <v>3</v>
      </c>
      <c r="E328">
        <f t="shared" si="95"/>
        <v>2023</v>
      </c>
      <c r="F328" s="2">
        <v>1358</v>
      </c>
      <c r="G328" t="s">
        <v>18</v>
      </c>
      <c r="H328" s="4">
        <f>SUMIFS($F$2:$F$2739,$G$2:$G$2739,"Annual Contract",$E$2:$E$2739,2023)/SUMIF($E$2:$E$2739,2023,$F$2:$F$2739)</f>
        <v>0.27687421727474026</v>
      </c>
    </row>
    <row r="329" spans="1:8" x14ac:dyDescent="0.3">
      <c r="A329" t="s">
        <v>9</v>
      </c>
      <c r="B329" s="3">
        <v>45014</v>
      </c>
      <c r="C329">
        <f t="shared" si="93"/>
        <v>29</v>
      </c>
      <c r="D329">
        <f t="shared" si="94"/>
        <v>3</v>
      </c>
      <c r="E329">
        <f t="shared" si="95"/>
        <v>2023</v>
      </c>
      <c r="F329" s="2">
        <v>1351</v>
      </c>
      <c r="G329" t="s">
        <v>17</v>
      </c>
      <c r="H329" s="4">
        <f>SUMIFS($F$2:$F$2739,$G$2:$G$2739,"No Contract",$E$2:$E$2739,2023)/SUMIF($E$2:$E$2739,2023,$F$2:$F$2739)</f>
        <v>0.20934732870162456</v>
      </c>
    </row>
    <row r="330" spans="1:8" x14ac:dyDescent="0.3">
      <c r="A330" t="s">
        <v>4</v>
      </c>
      <c r="B330" s="3">
        <v>45014</v>
      </c>
      <c r="C330">
        <f t="shared" si="93"/>
        <v>29</v>
      </c>
      <c r="D330">
        <f t="shared" si="94"/>
        <v>3</v>
      </c>
      <c r="E330">
        <f t="shared" si="95"/>
        <v>2023</v>
      </c>
      <c r="F330" s="2">
        <v>3777</v>
      </c>
      <c r="G330" s="2" t="s">
        <v>19</v>
      </c>
      <c r="H330" s="4">
        <f>SUMIFS($F$2:$F$2739,$G$2:$G$2739,"Multi-year Contract",$E$2:$E$2739,2023)/SUMIF($E$2:$E$2739,2023,$F$2:$F$2739)</f>
        <v>0.5137784540236352</v>
      </c>
    </row>
    <row r="331" spans="1:8" x14ac:dyDescent="0.3">
      <c r="A331" t="s">
        <v>5</v>
      </c>
      <c r="B331" s="3">
        <v>45015</v>
      </c>
      <c r="C331">
        <f t="shared" si="93"/>
        <v>30</v>
      </c>
      <c r="D331">
        <f t="shared" si="94"/>
        <v>3</v>
      </c>
      <c r="E331">
        <f t="shared" si="95"/>
        <v>2023</v>
      </c>
      <c r="F331" s="2">
        <v>1318</v>
      </c>
      <c r="G331" t="s">
        <v>18</v>
      </c>
      <c r="H331" s="4">
        <f t="shared" ref="H331:H334" si="97">SUMIFS($F$2:$F$2739,$G$2:$G$2739,"Annual Contract",$E$2:$E$2739,2023)/SUMIF($E$2:$E$2739,2023,$F$2:$F$2739)</f>
        <v>0.27687421727474026</v>
      </c>
    </row>
    <row r="332" spans="1:8" x14ac:dyDescent="0.3">
      <c r="A332" t="s">
        <v>8</v>
      </c>
      <c r="B332" s="3">
        <v>45015</v>
      </c>
      <c r="C332">
        <f t="shared" si="93"/>
        <v>30</v>
      </c>
      <c r="D332">
        <f t="shared" si="94"/>
        <v>3</v>
      </c>
      <c r="E332">
        <f t="shared" si="95"/>
        <v>2023</v>
      </c>
      <c r="F332" s="2">
        <v>2947</v>
      </c>
      <c r="G332" s="2" t="s">
        <v>18</v>
      </c>
      <c r="H332" s="4">
        <f t="shared" si="97"/>
        <v>0.27687421727474026</v>
      </c>
    </row>
    <row r="333" spans="1:8" x14ac:dyDescent="0.3">
      <c r="A333" t="s">
        <v>5</v>
      </c>
      <c r="B333" s="3">
        <v>45015</v>
      </c>
      <c r="C333">
        <f t="shared" si="93"/>
        <v>30</v>
      </c>
      <c r="D333">
        <f t="shared" si="94"/>
        <v>3</v>
      </c>
      <c r="E333">
        <f t="shared" si="95"/>
        <v>2023</v>
      </c>
      <c r="F333" s="2">
        <v>1575</v>
      </c>
      <c r="G333" t="s">
        <v>18</v>
      </c>
      <c r="H333" s="4">
        <f t="shared" si="97"/>
        <v>0.27687421727474026</v>
      </c>
    </row>
    <row r="334" spans="1:8" x14ac:dyDescent="0.3">
      <c r="A334" t="s">
        <v>8</v>
      </c>
      <c r="B334" s="3">
        <v>45015</v>
      </c>
      <c r="C334">
        <f t="shared" si="93"/>
        <v>30</v>
      </c>
      <c r="D334">
        <f t="shared" si="94"/>
        <v>3</v>
      </c>
      <c r="E334">
        <f t="shared" si="95"/>
        <v>2023</v>
      </c>
      <c r="F334" s="2">
        <v>723</v>
      </c>
      <c r="G334" s="2" t="s">
        <v>18</v>
      </c>
      <c r="H334" s="4">
        <f t="shared" si="97"/>
        <v>0.27687421727474026</v>
      </c>
    </row>
    <row r="335" spans="1:8" x14ac:dyDescent="0.3">
      <c r="A335" t="s">
        <v>12</v>
      </c>
      <c r="B335" s="3">
        <v>45015</v>
      </c>
      <c r="C335">
        <f t="shared" si="93"/>
        <v>30</v>
      </c>
      <c r="D335">
        <f t="shared" si="94"/>
        <v>3</v>
      </c>
      <c r="E335">
        <f t="shared" si="95"/>
        <v>2023</v>
      </c>
      <c r="F335" s="2">
        <v>878</v>
      </c>
      <c r="G335" s="2" t="s">
        <v>19</v>
      </c>
      <c r="H335" s="4">
        <f>SUMIFS($F$2:$F$2739,$G$2:$G$2739,"Multi-year Contract",$E$2:$E$2739,2023)/SUMIF($E$2:$E$2739,2023,$F$2:$F$2739)</f>
        <v>0.5137784540236352</v>
      </c>
    </row>
    <row r="336" spans="1:8" x14ac:dyDescent="0.3">
      <c r="A336" t="s">
        <v>9</v>
      </c>
      <c r="B336" s="3">
        <v>45016</v>
      </c>
      <c r="C336">
        <f t="shared" si="93"/>
        <v>31</v>
      </c>
      <c r="D336">
        <f t="shared" si="94"/>
        <v>3</v>
      </c>
      <c r="E336">
        <f t="shared" si="95"/>
        <v>2023</v>
      </c>
      <c r="F336" s="2">
        <v>2131</v>
      </c>
      <c r="G336" t="s">
        <v>17</v>
      </c>
      <c r="H336" s="4">
        <f>SUMIFS($F$2:$F$2739,$G$2:$G$2739,"No Contract",$E$2:$E$2739,2023)/SUMIF($E$2:$E$2739,2023,$F$2:$F$2739)</f>
        <v>0.20934732870162456</v>
      </c>
    </row>
    <row r="337" spans="1:8" x14ac:dyDescent="0.3">
      <c r="A337" t="s">
        <v>4</v>
      </c>
      <c r="B337" s="3">
        <v>45016</v>
      </c>
      <c r="C337">
        <f t="shared" si="93"/>
        <v>31</v>
      </c>
      <c r="D337">
        <f t="shared" si="94"/>
        <v>3</v>
      </c>
      <c r="E337">
        <f t="shared" si="95"/>
        <v>2023</v>
      </c>
      <c r="F337" s="2">
        <v>1624</v>
      </c>
      <c r="G337" s="2" t="s">
        <v>19</v>
      </c>
      <c r="H337" s="4">
        <f t="shared" ref="H337:H338" si="98">SUMIFS($F$2:$F$2739,$G$2:$G$2739,"Multi-year Contract",$E$2:$E$2739,2023)/SUMIF($E$2:$E$2739,2023,$F$2:$F$2739)</f>
        <v>0.5137784540236352</v>
      </c>
    </row>
    <row r="338" spans="1:8" x14ac:dyDescent="0.3">
      <c r="A338" t="s">
        <v>11</v>
      </c>
      <c r="B338" s="3">
        <v>45017</v>
      </c>
      <c r="C338">
        <f t="shared" si="93"/>
        <v>1</v>
      </c>
      <c r="D338">
        <f t="shared" si="94"/>
        <v>4</v>
      </c>
      <c r="E338">
        <f t="shared" si="95"/>
        <v>2023</v>
      </c>
      <c r="F338" s="2">
        <v>3858</v>
      </c>
      <c r="G338" t="s">
        <v>19</v>
      </c>
      <c r="H338" s="4">
        <f t="shared" si="98"/>
        <v>0.5137784540236352</v>
      </c>
    </row>
    <row r="339" spans="1:8" x14ac:dyDescent="0.3">
      <c r="A339" t="s">
        <v>9</v>
      </c>
      <c r="B339" s="3">
        <v>45017</v>
      </c>
      <c r="C339">
        <f t="shared" si="93"/>
        <v>1</v>
      </c>
      <c r="D339">
        <f t="shared" si="94"/>
        <v>4</v>
      </c>
      <c r="E339">
        <f t="shared" si="95"/>
        <v>2023</v>
      </c>
      <c r="F339" s="2">
        <v>2973</v>
      </c>
      <c r="G339" t="s">
        <v>17</v>
      </c>
      <c r="H339" s="4">
        <f t="shared" ref="H339:H340" si="99">SUMIFS($F$2:$F$2739,$G$2:$G$2739,"No Contract",$E$2:$E$2739,2023)/SUMIF($E$2:$E$2739,2023,$F$2:$F$2739)</f>
        <v>0.20934732870162456</v>
      </c>
    </row>
    <row r="340" spans="1:8" x14ac:dyDescent="0.3">
      <c r="A340" t="s">
        <v>7</v>
      </c>
      <c r="B340" s="3">
        <v>45017</v>
      </c>
      <c r="C340">
        <f t="shared" si="93"/>
        <v>1</v>
      </c>
      <c r="D340">
        <f t="shared" si="94"/>
        <v>4</v>
      </c>
      <c r="E340">
        <f t="shared" si="95"/>
        <v>2023</v>
      </c>
      <c r="F340" s="2">
        <v>1899</v>
      </c>
      <c r="G340" t="s">
        <v>17</v>
      </c>
      <c r="H340" s="4">
        <f t="shared" si="99"/>
        <v>0.20934732870162456</v>
      </c>
    </row>
    <row r="341" spans="1:8" x14ac:dyDescent="0.3">
      <c r="A341" t="s">
        <v>5</v>
      </c>
      <c r="B341" s="3">
        <v>45017</v>
      </c>
      <c r="C341">
        <f t="shared" si="93"/>
        <v>1</v>
      </c>
      <c r="D341">
        <f t="shared" si="94"/>
        <v>4</v>
      </c>
      <c r="E341">
        <f t="shared" si="95"/>
        <v>2023</v>
      </c>
      <c r="F341" s="2">
        <v>899</v>
      </c>
      <c r="G341" t="s">
        <v>18</v>
      </c>
      <c r="H341" s="4">
        <f>SUMIFS($F$2:$F$2739,$G$2:$G$2739,"Annual Contract",$E$2:$E$2739,2023)/SUMIF($E$2:$E$2739,2023,$F$2:$F$2739)</f>
        <v>0.27687421727474026</v>
      </c>
    </row>
    <row r="342" spans="1:8" x14ac:dyDescent="0.3">
      <c r="A342" t="s">
        <v>3</v>
      </c>
      <c r="B342" s="3">
        <v>45018</v>
      </c>
      <c r="C342">
        <f t="shared" si="93"/>
        <v>2</v>
      </c>
      <c r="D342">
        <f t="shared" si="94"/>
        <v>4</v>
      </c>
      <c r="E342">
        <f t="shared" si="95"/>
        <v>2023</v>
      </c>
      <c r="F342" s="2">
        <v>1793</v>
      </c>
      <c r="G342" t="s">
        <v>19</v>
      </c>
      <c r="H342" s="4">
        <f t="shared" ref="H342:H343" si="100">SUMIFS($F$2:$F$2739,$G$2:$G$2739,"Multi-year Contract",$E$2:$E$2739,2023)/SUMIF($E$2:$E$2739,2023,$F$2:$F$2739)</f>
        <v>0.5137784540236352</v>
      </c>
    </row>
    <row r="343" spans="1:8" x14ac:dyDescent="0.3">
      <c r="A343" t="s">
        <v>10</v>
      </c>
      <c r="B343" s="3">
        <v>45018</v>
      </c>
      <c r="C343">
        <f t="shared" si="93"/>
        <v>2</v>
      </c>
      <c r="D343">
        <f t="shared" si="94"/>
        <v>4</v>
      </c>
      <c r="E343">
        <f t="shared" si="95"/>
        <v>2023</v>
      </c>
      <c r="F343" s="2">
        <v>2793</v>
      </c>
      <c r="G343" t="s">
        <v>19</v>
      </c>
      <c r="H343" s="4">
        <f t="shared" si="100"/>
        <v>0.5137784540236352</v>
      </c>
    </row>
    <row r="344" spans="1:8" x14ac:dyDescent="0.3">
      <c r="A344" t="s">
        <v>7</v>
      </c>
      <c r="B344" s="3">
        <v>45019</v>
      </c>
      <c r="C344">
        <f t="shared" si="93"/>
        <v>3</v>
      </c>
      <c r="D344">
        <f t="shared" si="94"/>
        <v>4</v>
      </c>
      <c r="E344">
        <f t="shared" si="95"/>
        <v>2023</v>
      </c>
      <c r="F344" s="2">
        <v>753</v>
      </c>
      <c r="G344" t="s">
        <v>17</v>
      </c>
      <c r="H344" s="4">
        <f>SUMIFS($F$2:$F$2739,$G$2:$G$2739,"No Contract",$E$2:$E$2739,2023)/SUMIF($E$2:$E$2739,2023,$F$2:$F$2739)</f>
        <v>0.20934732870162456</v>
      </c>
    </row>
    <row r="345" spans="1:8" x14ac:dyDescent="0.3">
      <c r="A345" t="s">
        <v>6</v>
      </c>
      <c r="B345" s="3">
        <v>45019</v>
      </c>
      <c r="C345">
        <f t="shared" si="93"/>
        <v>3</v>
      </c>
      <c r="D345">
        <f t="shared" si="94"/>
        <v>4</v>
      </c>
      <c r="E345">
        <f t="shared" si="95"/>
        <v>2023</v>
      </c>
      <c r="F345" s="2">
        <v>2091</v>
      </c>
      <c r="G345" t="s">
        <v>18</v>
      </c>
      <c r="H345" s="4">
        <f t="shared" ref="H345:H346" si="101">SUMIFS($F$2:$F$2739,$G$2:$G$2739,"Annual Contract",$E$2:$E$2739,2023)/SUMIF($E$2:$E$2739,2023,$F$2:$F$2739)</f>
        <v>0.27687421727474026</v>
      </c>
    </row>
    <row r="346" spans="1:8" x14ac:dyDescent="0.3">
      <c r="A346" t="s">
        <v>5</v>
      </c>
      <c r="B346" s="3">
        <v>45019</v>
      </c>
      <c r="C346">
        <f t="shared" si="93"/>
        <v>3</v>
      </c>
      <c r="D346">
        <f t="shared" si="94"/>
        <v>4</v>
      </c>
      <c r="E346">
        <f t="shared" si="95"/>
        <v>2023</v>
      </c>
      <c r="F346" s="2">
        <v>2797</v>
      </c>
      <c r="G346" t="s">
        <v>18</v>
      </c>
      <c r="H346" s="4">
        <f t="shared" si="101"/>
        <v>0.27687421727474026</v>
      </c>
    </row>
    <row r="347" spans="1:8" x14ac:dyDescent="0.3">
      <c r="A347" t="s">
        <v>11</v>
      </c>
      <c r="B347" s="3">
        <v>45019</v>
      </c>
      <c r="C347">
        <f t="shared" si="93"/>
        <v>3</v>
      </c>
      <c r="D347">
        <f t="shared" si="94"/>
        <v>4</v>
      </c>
      <c r="E347">
        <f t="shared" si="95"/>
        <v>2023</v>
      </c>
      <c r="F347" s="2">
        <v>2165</v>
      </c>
      <c r="G347" t="s">
        <v>19</v>
      </c>
      <c r="H347" s="4">
        <f>SUMIFS($F$2:$F$2739,$G$2:$G$2739,"Multi-year Contract",$E$2:$E$2739,2023)/SUMIF($E$2:$E$2739,2023,$F$2:$F$2739)</f>
        <v>0.5137784540236352</v>
      </c>
    </row>
    <row r="348" spans="1:8" x14ac:dyDescent="0.3">
      <c r="A348" t="s">
        <v>6</v>
      </c>
      <c r="B348" s="3">
        <v>45019</v>
      </c>
      <c r="C348">
        <f t="shared" si="93"/>
        <v>3</v>
      </c>
      <c r="D348">
        <f t="shared" si="94"/>
        <v>4</v>
      </c>
      <c r="E348">
        <f t="shared" si="95"/>
        <v>2023</v>
      </c>
      <c r="F348" s="2">
        <v>2413</v>
      </c>
      <c r="G348" t="s">
        <v>18</v>
      </c>
      <c r="H348" s="4">
        <f>SUMIFS($F$2:$F$2739,$G$2:$G$2739,"Annual Contract",$E$2:$E$2739,2023)/SUMIF($E$2:$E$2739,2023,$F$2:$F$2739)</f>
        <v>0.27687421727474026</v>
      </c>
    </row>
    <row r="349" spans="1:8" x14ac:dyDescent="0.3">
      <c r="A349" t="s">
        <v>9</v>
      </c>
      <c r="B349" s="3">
        <v>45020</v>
      </c>
      <c r="C349">
        <f t="shared" si="93"/>
        <v>4</v>
      </c>
      <c r="D349">
        <f t="shared" si="94"/>
        <v>4</v>
      </c>
      <c r="E349">
        <f t="shared" si="95"/>
        <v>2023</v>
      </c>
      <c r="F349" s="2">
        <v>1145</v>
      </c>
      <c r="G349" t="s">
        <v>17</v>
      </c>
      <c r="H349" s="4">
        <f>SUMIFS($F$2:$F$2739,$G$2:$G$2739,"No Contract",$E$2:$E$2739,2023)/SUMIF($E$2:$E$2739,2023,$F$2:$F$2739)</f>
        <v>0.20934732870162456</v>
      </c>
    </row>
    <row r="350" spans="1:8" x14ac:dyDescent="0.3">
      <c r="A350" t="s">
        <v>11</v>
      </c>
      <c r="B350" s="3">
        <v>45020</v>
      </c>
      <c r="C350">
        <f t="shared" si="93"/>
        <v>4</v>
      </c>
      <c r="D350">
        <f t="shared" si="94"/>
        <v>4</v>
      </c>
      <c r="E350">
        <f t="shared" si="95"/>
        <v>2023</v>
      </c>
      <c r="F350" s="2">
        <v>2098</v>
      </c>
      <c r="G350" t="s">
        <v>19</v>
      </c>
      <c r="H350" s="4">
        <f>SUMIFS($F$2:$F$2739,$G$2:$G$2739,"Multi-year Contract",$E$2:$E$2739,2023)/SUMIF($E$2:$E$2739,2023,$F$2:$F$2739)</f>
        <v>0.5137784540236352</v>
      </c>
    </row>
    <row r="351" spans="1:8" x14ac:dyDescent="0.3">
      <c r="A351" t="s">
        <v>6</v>
      </c>
      <c r="B351" s="3">
        <v>45020</v>
      </c>
      <c r="C351">
        <f t="shared" si="93"/>
        <v>4</v>
      </c>
      <c r="D351">
        <f t="shared" si="94"/>
        <v>4</v>
      </c>
      <c r="E351">
        <f t="shared" si="95"/>
        <v>2023</v>
      </c>
      <c r="F351" s="2">
        <v>2374</v>
      </c>
      <c r="G351" t="s">
        <v>18</v>
      </c>
      <c r="H351" s="4">
        <f>SUMIFS($F$2:$F$2739,$G$2:$G$2739,"Annual Contract",$E$2:$E$2739,2023)/SUMIF($E$2:$E$2739,2023,$F$2:$F$2739)</f>
        <v>0.27687421727474026</v>
      </c>
    </row>
    <row r="352" spans="1:8" x14ac:dyDescent="0.3">
      <c r="A352" t="s">
        <v>7</v>
      </c>
      <c r="B352" s="3">
        <v>45022</v>
      </c>
      <c r="C352">
        <f t="shared" si="93"/>
        <v>6</v>
      </c>
      <c r="D352">
        <f t="shared" si="94"/>
        <v>4</v>
      </c>
      <c r="E352">
        <f t="shared" si="95"/>
        <v>2023</v>
      </c>
      <c r="F352" s="2">
        <v>2128</v>
      </c>
      <c r="G352" t="s">
        <v>17</v>
      </c>
      <c r="H352" s="4">
        <f>SUMIFS($F$2:$F$2739,$G$2:$G$2739,"No Contract",$E$2:$E$2739,2023)/SUMIF($E$2:$E$2739,2023,$F$2:$F$2739)</f>
        <v>0.20934732870162456</v>
      </c>
    </row>
    <row r="353" spans="1:8" x14ac:dyDescent="0.3">
      <c r="A353" t="s">
        <v>11</v>
      </c>
      <c r="B353" s="3">
        <v>45023</v>
      </c>
      <c r="C353">
        <f t="shared" si="93"/>
        <v>7</v>
      </c>
      <c r="D353">
        <f t="shared" si="94"/>
        <v>4</v>
      </c>
      <c r="E353">
        <f t="shared" si="95"/>
        <v>2023</v>
      </c>
      <c r="F353" s="2">
        <v>761</v>
      </c>
      <c r="G353" t="s">
        <v>19</v>
      </c>
      <c r="H353" s="4">
        <f t="shared" ref="H353:H356" si="102">SUMIFS($F$2:$F$2739,$G$2:$G$2739,"Multi-year Contract",$E$2:$E$2739,2023)/SUMIF($E$2:$E$2739,2023,$F$2:$F$2739)</f>
        <v>0.5137784540236352</v>
      </c>
    </row>
    <row r="354" spans="1:8" x14ac:dyDescent="0.3">
      <c r="A354" t="s">
        <v>12</v>
      </c>
      <c r="B354" s="3">
        <v>45023</v>
      </c>
      <c r="C354">
        <f t="shared" si="93"/>
        <v>7</v>
      </c>
      <c r="D354">
        <f t="shared" si="94"/>
        <v>4</v>
      </c>
      <c r="E354">
        <f t="shared" si="95"/>
        <v>2023</v>
      </c>
      <c r="F354" s="2">
        <v>3867</v>
      </c>
      <c r="G354" s="2" t="s">
        <v>19</v>
      </c>
      <c r="H354" s="4">
        <f t="shared" si="102"/>
        <v>0.5137784540236352</v>
      </c>
    </row>
    <row r="355" spans="1:8" x14ac:dyDescent="0.3">
      <c r="A355" t="s">
        <v>3</v>
      </c>
      <c r="B355" s="3">
        <v>45023</v>
      </c>
      <c r="C355">
        <f t="shared" si="93"/>
        <v>7</v>
      </c>
      <c r="D355">
        <f t="shared" si="94"/>
        <v>4</v>
      </c>
      <c r="E355">
        <f t="shared" si="95"/>
        <v>2023</v>
      </c>
      <c r="F355" s="2">
        <v>1613</v>
      </c>
      <c r="G355" t="s">
        <v>19</v>
      </c>
      <c r="H355" s="4">
        <f t="shared" si="102"/>
        <v>0.5137784540236352</v>
      </c>
    </row>
    <row r="356" spans="1:8" x14ac:dyDescent="0.3">
      <c r="A356" t="s">
        <v>4</v>
      </c>
      <c r="B356" s="3">
        <v>45023</v>
      </c>
      <c r="C356">
        <f t="shared" si="93"/>
        <v>7</v>
      </c>
      <c r="D356">
        <f t="shared" si="94"/>
        <v>4</v>
      </c>
      <c r="E356">
        <f t="shared" si="95"/>
        <v>2023</v>
      </c>
      <c r="F356" s="2">
        <v>3681</v>
      </c>
      <c r="G356" s="2" t="s">
        <v>19</v>
      </c>
      <c r="H356" s="4">
        <f t="shared" si="102"/>
        <v>0.5137784540236352</v>
      </c>
    </row>
    <row r="357" spans="1:8" x14ac:dyDescent="0.3">
      <c r="A357" t="s">
        <v>5</v>
      </c>
      <c r="B357" s="3">
        <v>45023</v>
      </c>
      <c r="C357">
        <f t="shared" si="93"/>
        <v>7</v>
      </c>
      <c r="D357">
        <f t="shared" si="94"/>
        <v>4</v>
      </c>
      <c r="E357">
        <f t="shared" si="95"/>
        <v>2023</v>
      </c>
      <c r="F357" s="2">
        <v>1574</v>
      </c>
      <c r="G357" t="s">
        <v>18</v>
      </c>
      <c r="H357" s="4">
        <f>SUMIFS($F$2:$F$2739,$G$2:$G$2739,"Annual Contract",$E$2:$E$2739,2023)/SUMIF($E$2:$E$2739,2023,$F$2:$F$2739)</f>
        <v>0.27687421727474026</v>
      </c>
    </row>
    <row r="358" spans="1:8" x14ac:dyDescent="0.3">
      <c r="A358" t="s">
        <v>10</v>
      </c>
      <c r="B358" s="3">
        <v>45024</v>
      </c>
      <c r="C358">
        <f t="shared" si="93"/>
        <v>8</v>
      </c>
      <c r="D358">
        <f t="shared" si="94"/>
        <v>4</v>
      </c>
      <c r="E358">
        <f t="shared" si="95"/>
        <v>2023</v>
      </c>
      <c r="F358" s="2">
        <v>1039</v>
      </c>
      <c r="G358" t="s">
        <v>19</v>
      </c>
      <c r="H358" s="4">
        <f>SUMIFS($F$2:$F$2739,$G$2:$G$2739,"Multi-year Contract",$E$2:$E$2739,2023)/SUMIF($E$2:$E$2739,2023,$F$2:$F$2739)</f>
        <v>0.5137784540236352</v>
      </c>
    </row>
    <row r="359" spans="1:8" x14ac:dyDescent="0.3">
      <c r="A359" t="s">
        <v>5</v>
      </c>
      <c r="B359" s="3">
        <v>45024</v>
      </c>
      <c r="C359">
        <f t="shared" si="93"/>
        <v>8</v>
      </c>
      <c r="D359">
        <f t="shared" si="94"/>
        <v>4</v>
      </c>
      <c r="E359">
        <f t="shared" si="95"/>
        <v>2023</v>
      </c>
      <c r="F359" s="2">
        <v>3330</v>
      </c>
      <c r="G359" t="s">
        <v>18</v>
      </c>
      <c r="H359" s="4">
        <f>SUMIFS($F$2:$F$2739,$G$2:$G$2739,"Annual Contract",$E$2:$E$2739,2023)/SUMIF($E$2:$E$2739,2023,$F$2:$F$2739)</f>
        <v>0.27687421727474026</v>
      </c>
    </row>
    <row r="360" spans="1:8" x14ac:dyDescent="0.3">
      <c r="A360" t="s">
        <v>7</v>
      </c>
      <c r="B360" s="3">
        <v>45024</v>
      </c>
      <c r="C360">
        <f t="shared" si="93"/>
        <v>8</v>
      </c>
      <c r="D360">
        <f t="shared" si="94"/>
        <v>4</v>
      </c>
      <c r="E360">
        <f t="shared" si="95"/>
        <v>2023</v>
      </c>
      <c r="F360" s="2">
        <v>3386</v>
      </c>
      <c r="G360" t="s">
        <v>17</v>
      </c>
      <c r="H360" s="4">
        <f>SUMIFS($F$2:$F$2739,$G$2:$G$2739,"No Contract",$E$2:$E$2739,2023)/SUMIF($E$2:$E$2739,2023,$F$2:$F$2739)</f>
        <v>0.20934732870162456</v>
      </c>
    </row>
    <row r="361" spans="1:8" x14ac:dyDescent="0.3">
      <c r="A361" t="s">
        <v>5</v>
      </c>
      <c r="B361" s="3">
        <v>45025</v>
      </c>
      <c r="C361">
        <f t="shared" si="93"/>
        <v>9</v>
      </c>
      <c r="D361">
        <f t="shared" si="94"/>
        <v>4</v>
      </c>
      <c r="E361">
        <f t="shared" si="95"/>
        <v>2023</v>
      </c>
      <c r="F361" s="2">
        <v>1481</v>
      </c>
      <c r="G361" t="s">
        <v>18</v>
      </c>
      <c r="H361" s="4">
        <f>SUMIFS($F$2:$F$2739,$G$2:$G$2739,"Annual Contract",$E$2:$E$2739,2023)/SUMIF($E$2:$E$2739,2023,$F$2:$F$2739)</f>
        <v>0.27687421727474026</v>
      </c>
    </row>
    <row r="362" spans="1:8" x14ac:dyDescent="0.3">
      <c r="A362" t="s">
        <v>12</v>
      </c>
      <c r="B362" s="3">
        <v>45025</v>
      </c>
      <c r="C362">
        <f t="shared" si="93"/>
        <v>9</v>
      </c>
      <c r="D362">
        <f t="shared" si="94"/>
        <v>4</v>
      </c>
      <c r="E362">
        <f t="shared" si="95"/>
        <v>2023</v>
      </c>
      <c r="F362" s="2">
        <v>1681</v>
      </c>
      <c r="G362" s="2" t="s">
        <v>19</v>
      </c>
      <c r="H362" s="4">
        <f>SUMIFS($F$2:$F$2739,$G$2:$G$2739,"Multi-year Contract",$E$2:$E$2739,2023)/SUMIF($E$2:$E$2739,2023,$F$2:$F$2739)</f>
        <v>0.5137784540236352</v>
      </c>
    </row>
    <row r="363" spans="1:8" x14ac:dyDescent="0.3">
      <c r="A363" t="s">
        <v>9</v>
      </c>
      <c r="B363" s="3">
        <v>45026</v>
      </c>
      <c r="C363">
        <f t="shared" si="93"/>
        <v>10</v>
      </c>
      <c r="D363">
        <f t="shared" si="94"/>
        <v>4</v>
      </c>
      <c r="E363">
        <f t="shared" si="95"/>
        <v>2023</v>
      </c>
      <c r="F363" s="2">
        <v>950</v>
      </c>
      <c r="G363" t="s">
        <v>17</v>
      </c>
      <c r="H363" s="4">
        <f>SUMIFS($F$2:$F$2739,$G$2:$G$2739,"No Contract",$E$2:$E$2739,2023)/SUMIF($E$2:$E$2739,2023,$F$2:$F$2739)</f>
        <v>0.20934732870162456</v>
      </c>
    </row>
    <row r="364" spans="1:8" x14ac:dyDescent="0.3">
      <c r="A364" t="s">
        <v>4</v>
      </c>
      <c r="B364" s="3">
        <v>45026</v>
      </c>
      <c r="C364">
        <f t="shared" si="93"/>
        <v>10</v>
      </c>
      <c r="D364">
        <f t="shared" si="94"/>
        <v>4</v>
      </c>
      <c r="E364">
        <f t="shared" si="95"/>
        <v>2023</v>
      </c>
      <c r="F364" s="2">
        <v>2480</v>
      </c>
      <c r="G364" s="2" t="s">
        <v>19</v>
      </c>
      <c r="H364" s="4">
        <f t="shared" ref="H364:H366" si="103">SUMIFS($F$2:$F$2739,$G$2:$G$2739,"Multi-year Contract",$E$2:$E$2739,2023)/SUMIF($E$2:$E$2739,2023,$F$2:$F$2739)</f>
        <v>0.5137784540236352</v>
      </c>
    </row>
    <row r="365" spans="1:8" x14ac:dyDescent="0.3">
      <c r="A365" t="s">
        <v>4</v>
      </c>
      <c r="B365" s="3">
        <v>45026</v>
      </c>
      <c r="C365">
        <f t="shared" si="93"/>
        <v>10</v>
      </c>
      <c r="D365">
        <f t="shared" si="94"/>
        <v>4</v>
      </c>
      <c r="E365">
        <f t="shared" si="95"/>
        <v>2023</v>
      </c>
      <c r="F365" s="2">
        <v>3745</v>
      </c>
      <c r="G365" s="2" t="s">
        <v>19</v>
      </c>
      <c r="H365" s="4">
        <f t="shared" si="103"/>
        <v>0.5137784540236352</v>
      </c>
    </row>
    <row r="366" spans="1:8" x14ac:dyDescent="0.3">
      <c r="A366" t="s">
        <v>4</v>
      </c>
      <c r="B366" s="3">
        <v>45026</v>
      </c>
      <c r="C366">
        <f t="shared" si="93"/>
        <v>10</v>
      </c>
      <c r="D366">
        <f t="shared" si="94"/>
        <v>4</v>
      </c>
      <c r="E366">
        <f t="shared" si="95"/>
        <v>2023</v>
      </c>
      <c r="F366" s="2">
        <v>1611</v>
      </c>
      <c r="G366" s="2" t="s">
        <v>19</v>
      </c>
      <c r="H366" s="4">
        <f t="shared" si="103"/>
        <v>0.5137784540236352</v>
      </c>
    </row>
    <row r="367" spans="1:8" x14ac:dyDescent="0.3">
      <c r="A367" t="s">
        <v>6</v>
      </c>
      <c r="B367" s="3">
        <v>45026</v>
      </c>
      <c r="C367">
        <f t="shared" si="93"/>
        <v>10</v>
      </c>
      <c r="D367">
        <f t="shared" si="94"/>
        <v>4</v>
      </c>
      <c r="E367">
        <f t="shared" si="95"/>
        <v>2023</v>
      </c>
      <c r="F367" s="2">
        <v>2554</v>
      </c>
      <c r="G367" t="s">
        <v>18</v>
      </c>
      <c r="H367" s="4">
        <f t="shared" ref="H367:H369" si="104">SUMIFS($F$2:$F$2739,$G$2:$G$2739,"Annual Contract",$E$2:$E$2739,2023)/SUMIF($E$2:$E$2739,2023,$F$2:$F$2739)</f>
        <v>0.27687421727474026</v>
      </c>
    </row>
    <row r="368" spans="1:8" x14ac:dyDescent="0.3">
      <c r="A368" t="s">
        <v>5</v>
      </c>
      <c r="B368" s="3">
        <v>45027</v>
      </c>
      <c r="C368">
        <f t="shared" si="93"/>
        <v>11</v>
      </c>
      <c r="D368">
        <f t="shared" si="94"/>
        <v>4</v>
      </c>
      <c r="E368">
        <f t="shared" si="95"/>
        <v>2023</v>
      </c>
      <c r="F368" s="2">
        <v>718</v>
      </c>
      <c r="G368" t="s">
        <v>18</v>
      </c>
      <c r="H368" s="4">
        <f t="shared" si="104"/>
        <v>0.27687421727474026</v>
      </c>
    </row>
    <row r="369" spans="1:8" x14ac:dyDescent="0.3">
      <c r="A369" t="s">
        <v>5</v>
      </c>
      <c r="B369" s="3">
        <v>45027</v>
      </c>
      <c r="C369">
        <f t="shared" si="93"/>
        <v>11</v>
      </c>
      <c r="D369">
        <f t="shared" si="94"/>
        <v>4</v>
      </c>
      <c r="E369">
        <f t="shared" si="95"/>
        <v>2023</v>
      </c>
      <c r="F369" s="2">
        <v>2692</v>
      </c>
      <c r="G369" t="s">
        <v>18</v>
      </c>
      <c r="H369" s="4">
        <f t="shared" si="104"/>
        <v>0.27687421727474026</v>
      </c>
    </row>
    <row r="370" spans="1:8" x14ac:dyDescent="0.3">
      <c r="A370" t="s">
        <v>7</v>
      </c>
      <c r="B370" s="3">
        <v>45028</v>
      </c>
      <c r="C370">
        <f t="shared" si="93"/>
        <v>12</v>
      </c>
      <c r="D370">
        <f t="shared" si="94"/>
        <v>4</v>
      </c>
      <c r="E370">
        <f t="shared" si="95"/>
        <v>2023</v>
      </c>
      <c r="F370" s="2">
        <v>2915</v>
      </c>
      <c r="G370" t="s">
        <v>17</v>
      </c>
      <c r="H370" s="4">
        <f>SUMIFS($F$2:$F$2739,$G$2:$G$2739,"No Contract",$E$2:$E$2739,2023)/SUMIF($E$2:$E$2739,2023,$F$2:$F$2739)</f>
        <v>0.20934732870162456</v>
      </c>
    </row>
    <row r="371" spans="1:8" x14ac:dyDescent="0.3">
      <c r="A371" t="s">
        <v>10</v>
      </c>
      <c r="B371" s="3">
        <v>45028</v>
      </c>
      <c r="C371">
        <f t="shared" si="93"/>
        <v>12</v>
      </c>
      <c r="D371">
        <f t="shared" si="94"/>
        <v>4</v>
      </c>
      <c r="E371">
        <f t="shared" si="95"/>
        <v>2023</v>
      </c>
      <c r="F371" s="2">
        <v>2822</v>
      </c>
      <c r="G371" t="s">
        <v>19</v>
      </c>
      <c r="H371" s="4">
        <f t="shared" ref="H371:H373" si="105">SUMIFS($F$2:$F$2739,$G$2:$G$2739,"Multi-year Contract",$E$2:$E$2739,2023)/SUMIF($E$2:$E$2739,2023,$F$2:$F$2739)</f>
        <v>0.5137784540236352</v>
      </c>
    </row>
    <row r="372" spans="1:8" x14ac:dyDescent="0.3">
      <c r="A372" t="s">
        <v>12</v>
      </c>
      <c r="B372" s="3">
        <v>45029</v>
      </c>
      <c r="C372">
        <f t="shared" si="93"/>
        <v>13</v>
      </c>
      <c r="D372">
        <f t="shared" si="94"/>
        <v>4</v>
      </c>
      <c r="E372">
        <f t="shared" si="95"/>
        <v>2023</v>
      </c>
      <c r="F372" s="2">
        <v>1630</v>
      </c>
      <c r="G372" s="2" t="s">
        <v>19</v>
      </c>
      <c r="H372" s="4">
        <f t="shared" si="105"/>
        <v>0.5137784540236352</v>
      </c>
    </row>
    <row r="373" spans="1:8" x14ac:dyDescent="0.3">
      <c r="A373" t="s">
        <v>11</v>
      </c>
      <c r="B373" s="3">
        <v>45029</v>
      </c>
      <c r="C373">
        <f t="shared" si="93"/>
        <v>13</v>
      </c>
      <c r="D373">
        <f t="shared" si="94"/>
        <v>4</v>
      </c>
      <c r="E373">
        <f t="shared" si="95"/>
        <v>2023</v>
      </c>
      <c r="F373" s="2">
        <v>1704</v>
      </c>
      <c r="G373" t="s">
        <v>19</v>
      </c>
      <c r="H373" s="4">
        <f t="shared" si="105"/>
        <v>0.5137784540236352</v>
      </c>
    </row>
    <row r="374" spans="1:8" x14ac:dyDescent="0.3">
      <c r="A374" t="s">
        <v>7</v>
      </c>
      <c r="B374" s="3">
        <v>45030</v>
      </c>
      <c r="C374">
        <f t="shared" si="93"/>
        <v>14</v>
      </c>
      <c r="D374">
        <f t="shared" si="94"/>
        <v>4</v>
      </c>
      <c r="E374">
        <f t="shared" si="95"/>
        <v>2023</v>
      </c>
      <c r="F374" s="2">
        <v>681</v>
      </c>
      <c r="G374" t="s">
        <v>17</v>
      </c>
      <c r="H374" s="4">
        <f>SUMIFS($F$2:$F$2739,$G$2:$G$2739,"No Contract",$E$2:$E$2739,2023)/SUMIF($E$2:$E$2739,2023,$F$2:$F$2739)</f>
        <v>0.20934732870162456</v>
      </c>
    </row>
    <row r="375" spans="1:8" x14ac:dyDescent="0.3">
      <c r="A375" t="s">
        <v>6</v>
      </c>
      <c r="B375" s="3">
        <v>45031</v>
      </c>
      <c r="C375">
        <f t="shared" si="93"/>
        <v>15</v>
      </c>
      <c r="D375">
        <f t="shared" si="94"/>
        <v>4</v>
      </c>
      <c r="E375">
        <f t="shared" si="95"/>
        <v>2023</v>
      </c>
      <c r="F375" s="2">
        <v>3125</v>
      </c>
      <c r="G375" t="s">
        <v>18</v>
      </c>
      <c r="H375" s="4">
        <f>SUMIFS($F$2:$F$2739,$G$2:$G$2739,"Annual Contract",$E$2:$E$2739,2023)/SUMIF($E$2:$E$2739,2023,$F$2:$F$2739)</f>
        <v>0.27687421727474026</v>
      </c>
    </row>
    <row r="376" spans="1:8" x14ac:dyDescent="0.3">
      <c r="A376" t="s">
        <v>4</v>
      </c>
      <c r="B376" s="3">
        <v>45031</v>
      </c>
      <c r="C376">
        <f t="shared" si="93"/>
        <v>15</v>
      </c>
      <c r="D376">
        <f t="shared" si="94"/>
        <v>4</v>
      </c>
      <c r="E376">
        <f t="shared" si="95"/>
        <v>2023</v>
      </c>
      <c r="F376" s="2">
        <v>2961</v>
      </c>
      <c r="G376" s="2" t="s">
        <v>19</v>
      </c>
      <c r="H376" s="4">
        <f>SUMIFS($F$2:$F$2739,$G$2:$G$2739,"Multi-year Contract",$E$2:$E$2739,2023)/SUMIF($E$2:$E$2739,2023,$F$2:$F$2739)</f>
        <v>0.5137784540236352</v>
      </c>
    </row>
    <row r="377" spans="1:8" x14ac:dyDescent="0.3">
      <c r="A377" t="s">
        <v>8</v>
      </c>
      <c r="B377" s="3">
        <v>45031</v>
      </c>
      <c r="C377">
        <f t="shared" si="93"/>
        <v>15</v>
      </c>
      <c r="D377">
        <f t="shared" si="94"/>
        <v>4</v>
      </c>
      <c r="E377">
        <f t="shared" si="95"/>
        <v>2023</v>
      </c>
      <c r="F377" s="2">
        <v>1900</v>
      </c>
      <c r="G377" s="2" t="s">
        <v>18</v>
      </c>
      <c r="H377" s="4">
        <f>SUMIFS($F$2:$F$2739,$G$2:$G$2739,"Annual Contract",$E$2:$E$2739,2023)/SUMIF($E$2:$E$2739,2023,$F$2:$F$2739)</f>
        <v>0.27687421727474026</v>
      </c>
    </row>
    <row r="378" spans="1:8" x14ac:dyDescent="0.3">
      <c r="A378" t="s">
        <v>4</v>
      </c>
      <c r="B378" s="3">
        <v>45031</v>
      </c>
      <c r="C378">
        <f t="shared" si="93"/>
        <v>15</v>
      </c>
      <c r="D378">
        <f t="shared" si="94"/>
        <v>4</v>
      </c>
      <c r="E378">
        <f t="shared" si="95"/>
        <v>2023</v>
      </c>
      <c r="F378" s="2">
        <v>3795</v>
      </c>
      <c r="G378" s="2" t="s">
        <v>19</v>
      </c>
      <c r="H378" s="4">
        <f t="shared" ref="H378:H379" si="106">SUMIFS($F$2:$F$2739,$G$2:$G$2739,"Multi-year Contract",$E$2:$E$2739,2023)/SUMIF($E$2:$E$2739,2023,$F$2:$F$2739)</f>
        <v>0.5137784540236352</v>
      </c>
    </row>
    <row r="379" spans="1:8" x14ac:dyDescent="0.3">
      <c r="A379" t="s">
        <v>11</v>
      </c>
      <c r="B379" s="3">
        <v>45031</v>
      </c>
      <c r="C379">
        <f t="shared" si="93"/>
        <v>15</v>
      </c>
      <c r="D379">
        <f t="shared" si="94"/>
        <v>4</v>
      </c>
      <c r="E379">
        <f t="shared" si="95"/>
        <v>2023</v>
      </c>
      <c r="F379" s="2">
        <v>1546</v>
      </c>
      <c r="G379" t="s">
        <v>19</v>
      </c>
      <c r="H379" s="4">
        <f t="shared" si="106"/>
        <v>0.5137784540236352</v>
      </c>
    </row>
    <row r="380" spans="1:8" x14ac:dyDescent="0.3">
      <c r="A380" t="s">
        <v>5</v>
      </c>
      <c r="B380" s="3">
        <v>45031</v>
      </c>
      <c r="C380">
        <f t="shared" si="93"/>
        <v>15</v>
      </c>
      <c r="D380">
        <f t="shared" si="94"/>
        <v>4</v>
      </c>
      <c r="E380">
        <f t="shared" si="95"/>
        <v>2023</v>
      </c>
      <c r="F380" s="2">
        <v>2389</v>
      </c>
      <c r="G380" t="s">
        <v>18</v>
      </c>
      <c r="H380" s="4">
        <f t="shared" ref="H380:H382" si="107">SUMIFS($F$2:$F$2739,$G$2:$G$2739,"Annual Contract",$E$2:$E$2739,2023)/SUMIF($E$2:$E$2739,2023,$F$2:$F$2739)</f>
        <v>0.27687421727474026</v>
      </c>
    </row>
    <row r="381" spans="1:8" x14ac:dyDescent="0.3">
      <c r="A381" t="s">
        <v>8</v>
      </c>
      <c r="B381" s="3">
        <v>45032</v>
      </c>
      <c r="C381">
        <f t="shared" si="93"/>
        <v>16</v>
      </c>
      <c r="D381">
        <f t="shared" si="94"/>
        <v>4</v>
      </c>
      <c r="E381">
        <f t="shared" si="95"/>
        <v>2023</v>
      </c>
      <c r="F381" s="2">
        <v>2833</v>
      </c>
      <c r="G381" s="2" t="s">
        <v>18</v>
      </c>
      <c r="H381" s="4">
        <f t="shared" si="107"/>
        <v>0.27687421727474026</v>
      </c>
    </row>
    <row r="382" spans="1:8" x14ac:dyDescent="0.3">
      <c r="A382" t="s">
        <v>8</v>
      </c>
      <c r="B382" s="3">
        <v>45032</v>
      </c>
      <c r="C382">
        <f t="shared" si="93"/>
        <v>16</v>
      </c>
      <c r="D382">
        <f t="shared" si="94"/>
        <v>4</v>
      </c>
      <c r="E382">
        <f t="shared" si="95"/>
        <v>2023</v>
      </c>
      <c r="F382" s="2">
        <v>1134</v>
      </c>
      <c r="G382" s="2" t="s">
        <v>18</v>
      </c>
      <c r="H382" s="4">
        <f t="shared" si="107"/>
        <v>0.27687421727474026</v>
      </c>
    </row>
    <row r="383" spans="1:8" x14ac:dyDescent="0.3">
      <c r="A383" t="s">
        <v>7</v>
      </c>
      <c r="B383" s="3">
        <v>45032</v>
      </c>
      <c r="C383">
        <f t="shared" si="93"/>
        <v>16</v>
      </c>
      <c r="D383">
        <f t="shared" si="94"/>
        <v>4</v>
      </c>
      <c r="E383">
        <f t="shared" si="95"/>
        <v>2023</v>
      </c>
      <c r="F383" s="2">
        <v>2083</v>
      </c>
      <c r="G383" t="s">
        <v>17</v>
      </c>
      <c r="H383" s="4">
        <f>SUMIFS($F$2:$F$2739,$G$2:$G$2739,"No Contract",$E$2:$E$2739,2023)/SUMIF($E$2:$E$2739,2023,$F$2:$F$2739)</f>
        <v>0.20934732870162456</v>
      </c>
    </row>
    <row r="384" spans="1:8" x14ac:dyDescent="0.3">
      <c r="A384" t="s">
        <v>4</v>
      </c>
      <c r="B384" s="3">
        <v>45032</v>
      </c>
      <c r="C384">
        <f t="shared" si="93"/>
        <v>16</v>
      </c>
      <c r="D384">
        <f t="shared" si="94"/>
        <v>4</v>
      </c>
      <c r="E384">
        <f t="shared" si="95"/>
        <v>2023</v>
      </c>
      <c r="F384" s="2">
        <v>1186</v>
      </c>
      <c r="G384" s="2" t="s">
        <v>19</v>
      </c>
      <c r="H384" s="4">
        <f>SUMIFS($F$2:$F$2739,$G$2:$G$2739,"Multi-year Contract",$E$2:$E$2739,2023)/SUMIF($E$2:$E$2739,2023,$F$2:$F$2739)</f>
        <v>0.5137784540236352</v>
      </c>
    </row>
    <row r="385" spans="1:8" x14ac:dyDescent="0.3">
      <c r="A385" t="s">
        <v>5</v>
      </c>
      <c r="B385" s="3">
        <v>45032</v>
      </c>
      <c r="C385">
        <f t="shared" si="93"/>
        <v>16</v>
      </c>
      <c r="D385">
        <f t="shared" si="94"/>
        <v>4</v>
      </c>
      <c r="E385">
        <f t="shared" si="95"/>
        <v>2023</v>
      </c>
      <c r="F385" s="2">
        <v>870</v>
      </c>
      <c r="G385" t="s">
        <v>18</v>
      </c>
      <c r="H385" s="4">
        <f t="shared" ref="H385:H387" si="108">SUMIFS($F$2:$F$2739,$G$2:$G$2739,"Annual Contract",$E$2:$E$2739,2023)/SUMIF($E$2:$E$2739,2023,$F$2:$F$2739)</f>
        <v>0.27687421727474026</v>
      </c>
    </row>
    <row r="386" spans="1:8" x14ac:dyDescent="0.3">
      <c r="A386" t="s">
        <v>6</v>
      </c>
      <c r="B386" s="3">
        <v>45032</v>
      </c>
      <c r="C386">
        <f t="shared" si="93"/>
        <v>16</v>
      </c>
      <c r="D386">
        <f t="shared" si="94"/>
        <v>4</v>
      </c>
      <c r="E386">
        <f t="shared" si="95"/>
        <v>2023</v>
      </c>
      <c r="F386" s="2">
        <v>1735</v>
      </c>
      <c r="G386" t="s">
        <v>18</v>
      </c>
      <c r="H386" s="4">
        <f t="shared" si="108"/>
        <v>0.27687421727474026</v>
      </c>
    </row>
    <row r="387" spans="1:8" x14ac:dyDescent="0.3">
      <c r="A387" t="s">
        <v>5</v>
      </c>
      <c r="B387" s="3">
        <v>45032</v>
      </c>
      <c r="C387">
        <f t="shared" ref="C387:C450" si="109">DAY(B387)</f>
        <v>16</v>
      </c>
      <c r="D387">
        <f t="shared" ref="D387:D450" si="110">MONTH(B387)</f>
        <v>4</v>
      </c>
      <c r="E387">
        <f t="shared" ref="E387:E450" si="111">YEAR(B387)</f>
        <v>2023</v>
      </c>
      <c r="F387" s="2">
        <v>3893</v>
      </c>
      <c r="G387" t="s">
        <v>18</v>
      </c>
      <c r="H387" s="4">
        <f t="shared" si="108"/>
        <v>0.27687421727474026</v>
      </c>
    </row>
    <row r="388" spans="1:8" x14ac:dyDescent="0.3">
      <c r="A388" t="s">
        <v>3</v>
      </c>
      <c r="B388" s="3">
        <v>45033</v>
      </c>
      <c r="C388">
        <f t="shared" si="109"/>
        <v>17</v>
      </c>
      <c r="D388">
        <f t="shared" si="110"/>
        <v>4</v>
      </c>
      <c r="E388">
        <f t="shared" si="111"/>
        <v>2023</v>
      </c>
      <c r="F388" s="2">
        <v>1092</v>
      </c>
      <c r="G388" t="s">
        <v>19</v>
      </c>
      <c r="H388" s="4">
        <f t="shared" ref="H388:H389" si="112">SUMIFS($F$2:$F$2739,$G$2:$G$2739,"Multi-year Contract",$E$2:$E$2739,2023)/SUMIF($E$2:$E$2739,2023,$F$2:$F$2739)</f>
        <v>0.5137784540236352</v>
      </c>
    </row>
    <row r="389" spans="1:8" x14ac:dyDescent="0.3">
      <c r="A389" t="s">
        <v>4</v>
      </c>
      <c r="B389" s="3">
        <v>45033</v>
      </c>
      <c r="C389">
        <f t="shared" si="109"/>
        <v>17</v>
      </c>
      <c r="D389">
        <f t="shared" si="110"/>
        <v>4</v>
      </c>
      <c r="E389">
        <f t="shared" si="111"/>
        <v>2023</v>
      </c>
      <c r="F389" s="2">
        <v>2851</v>
      </c>
      <c r="G389" s="2" t="s">
        <v>19</v>
      </c>
      <c r="H389" s="4">
        <f t="shared" si="112"/>
        <v>0.5137784540236352</v>
      </c>
    </row>
    <row r="390" spans="1:8" x14ac:dyDescent="0.3">
      <c r="A390" t="s">
        <v>8</v>
      </c>
      <c r="B390" s="3">
        <v>45033</v>
      </c>
      <c r="C390">
        <f t="shared" si="109"/>
        <v>17</v>
      </c>
      <c r="D390">
        <f t="shared" si="110"/>
        <v>4</v>
      </c>
      <c r="E390">
        <f t="shared" si="111"/>
        <v>2023</v>
      </c>
      <c r="F390" s="2">
        <v>859</v>
      </c>
      <c r="G390" s="2" t="s">
        <v>18</v>
      </c>
      <c r="H390" s="4">
        <f>SUMIFS($F$2:$F$2739,$G$2:$G$2739,"Annual Contract",$E$2:$E$2739,2023)/SUMIF($E$2:$E$2739,2023,$F$2:$F$2739)</f>
        <v>0.27687421727474026</v>
      </c>
    </row>
    <row r="391" spans="1:8" x14ac:dyDescent="0.3">
      <c r="A391" t="s">
        <v>9</v>
      </c>
      <c r="B391" s="3">
        <v>45033</v>
      </c>
      <c r="C391">
        <f t="shared" si="109"/>
        <v>17</v>
      </c>
      <c r="D391">
        <f t="shared" si="110"/>
        <v>4</v>
      </c>
      <c r="E391">
        <f t="shared" si="111"/>
        <v>2023</v>
      </c>
      <c r="F391" s="2">
        <v>623</v>
      </c>
      <c r="G391" t="s">
        <v>17</v>
      </c>
      <c r="H391" s="4">
        <f t="shared" ref="H391:H393" si="113">SUMIFS($F$2:$F$2739,$G$2:$G$2739,"No Contract",$E$2:$E$2739,2023)/SUMIF($E$2:$E$2739,2023,$F$2:$F$2739)</f>
        <v>0.20934732870162456</v>
      </c>
    </row>
    <row r="392" spans="1:8" x14ac:dyDescent="0.3">
      <c r="A392" t="s">
        <v>9</v>
      </c>
      <c r="B392" s="3">
        <v>45034</v>
      </c>
      <c r="C392">
        <f t="shared" si="109"/>
        <v>18</v>
      </c>
      <c r="D392">
        <f t="shared" si="110"/>
        <v>4</v>
      </c>
      <c r="E392">
        <f t="shared" si="111"/>
        <v>2023</v>
      </c>
      <c r="F392" s="2">
        <v>770</v>
      </c>
      <c r="G392" t="s">
        <v>17</v>
      </c>
      <c r="H392" s="4">
        <f t="shared" si="113"/>
        <v>0.20934732870162456</v>
      </c>
    </row>
    <row r="393" spans="1:8" x14ac:dyDescent="0.3">
      <c r="A393" t="s">
        <v>9</v>
      </c>
      <c r="B393" s="3">
        <v>45034</v>
      </c>
      <c r="C393">
        <f t="shared" si="109"/>
        <v>18</v>
      </c>
      <c r="D393">
        <f t="shared" si="110"/>
        <v>4</v>
      </c>
      <c r="E393">
        <f t="shared" si="111"/>
        <v>2023</v>
      </c>
      <c r="F393" s="2">
        <v>2347</v>
      </c>
      <c r="G393" t="s">
        <v>17</v>
      </c>
      <c r="H393" s="4">
        <f t="shared" si="113"/>
        <v>0.20934732870162456</v>
      </c>
    </row>
    <row r="394" spans="1:8" x14ac:dyDescent="0.3">
      <c r="A394" t="s">
        <v>3</v>
      </c>
      <c r="B394" s="3">
        <v>45035</v>
      </c>
      <c r="C394">
        <f t="shared" si="109"/>
        <v>19</v>
      </c>
      <c r="D394">
        <f t="shared" si="110"/>
        <v>4</v>
      </c>
      <c r="E394">
        <f t="shared" si="111"/>
        <v>2023</v>
      </c>
      <c r="F394" s="2">
        <v>3386</v>
      </c>
      <c r="G394" t="s">
        <v>19</v>
      </c>
      <c r="H394" s="4">
        <f t="shared" ref="H394:H395" si="114">SUMIFS($F$2:$F$2739,$G$2:$G$2739,"Multi-year Contract",$E$2:$E$2739,2023)/SUMIF($E$2:$E$2739,2023,$F$2:$F$2739)</f>
        <v>0.5137784540236352</v>
      </c>
    </row>
    <row r="395" spans="1:8" x14ac:dyDescent="0.3">
      <c r="A395" t="s">
        <v>3</v>
      </c>
      <c r="B395" s="3">
        <v>45035</v>
      </c>
      <c r="C395">
        <f t="shared" si="109"/>
        <v>19</v>
      </c>
      <c r="D395">
        <f t="shared" si="110"/>
        <v>4</v>
      </c>
      <c r="E395">
        <f t="shared" si="111"/>
        <v>2023</v>
      </c>
      <c r="F395" s="2">
        <v>3601</v>
      </c>
      <c r="G395" t="s">
        <v>19</v>
      </c>
      <c r="H395" s="4">
        <f t="shared" si="114"/>
        <v>0.5137784540236352</v>
      </c>
    </row>
    <row r="396" spans="1:8" x14ac:dyDescent="0.3">
      <c r="A396" t="s">
        <v>7</v>
      </c>
      <c r="B396" s="3">
        <v>45036</v>
      </c>
      <c r="C396">
        <f t="shared" si="109"/>
        <v>20</v>
      </c>
      <c r="D396">
        <f t="shared" si="110"/>
        <v>4</v>
      </c>
      <c r="E396">
        <f t="shared" si="111"/>
        <v>2023</v>
      </c>
      <c r="F396" s="2">
        <v>3759</v>
      </c>
      <c r="G396" t="s">
        <v>17</v>
      </c>
      <c r="H396" s="4">
        <f>SUMIFS($F$2:$F$2739,$G$2:$G$2739,"No Contract",$E$2:$E$2739,2023)/SUMIF($E$2:$E$2739,2023,$F$2:$F$2739)</f>
        <v>0.20934732870162456</v>
      </c>
    </row>
    <row r="397" spans="1:8" x14ac:dyDescent="0.3">
      <c r="A397" t="s">
        <v>5</v>
      </c>
      <c r="B397" s="3">
        <v>45037</v>
      </c>
      <c r="C397">
        <f t="shared" si="109"/>
        <v>21</v>
      </c>
      <c r="D397">
        <f t="shared" si="110"/>
        <v>4</v>
      </c>
      <c r="E397">
        <f t="shared" si="111"/>
        <v>2023</v>
      </c>
      <c r="F397" s="2">
        <v>2899</v>
      </c>
      <c r="G397" t="s">
        <v>18</v>
      </c>
      <c r="H397" s="4">
        <f>SUMIFS($F$2:$F$2739,$G$2:$G$2739,"Annual Contract",$E$2:$E$2739,2023)/SUMIF($E$2:$E$2739,2023,$F$2:$F$2739)</f>
        <v>0.27687421727474026</v>
      </c>
    </row>
    <row r="398" spans="1:8" x14ac:dyDescent="0.3">
      <c r="A398" t="s">
        <v>3</v>
      </c>
      <c r="B398" s="3">
        <v>45037</v>
      </c>
      <c r="C398">
        <f t="shared" si="109"/>
        <v>21</v>
      </c>
      <c r="D398">
        <f t="shared" si="110"/>
        <v>4</v>
      </c>
      <c r="E398">
        <f t="shared" si="111"/>
        <v>2023</v>
      </c>
      <c r="F398" s="2">
        <v>2864</v>
      </c>
      <c r="G398" t="s">
        <v>19</v>
      </c>
      <c r="H398" s="4">
        <f>SUMIFS($F$2:$F$2739,$G$2:$G$2739,"Multi-year Contract",$E$2:$E$2739,2023)/SUMIF($E$2:$E$2739,2023,$F$2:$F$2739)</f>
        <v>0.5137784540236352</v>
      </c>
    </row>
    <row r="399" spans="1:8" x14ac:dyDescent="0.3">
      <c r="A399" t="s">
        <v>8</v>
      </c>
      <c r="B399" s="3">
        <v>45037</v>
      </c>
      <c r="C399">
        <f t="shared" si="109"/>
        <v>21</v>
      </c>
      <c r="D399">
        <f t="shared" si="110"/>
        <v>4</v>
      </c>
      <c r="E399">
        <f t="shared" si="111"/>
        <v>2023</v>
      </c>
      <c r="F399" s="2">
        <v>944</v>
      </c>
      <c r="G399" s="2" t="s">
        <v>18</v>
      </c>
      <c r="H399" s="4">
        <f>SUMIFS($F$2:$F$2739,$G$2:$G$2739,"Annual Contract",$E$2:$E$2739,2023)/SUMIF($E$2:$E$2739,2023,$F$2:$F$2739)</f>
        <v>0.27687421727474026</v>
      </c>
    </row>
    <row r="400" spans="1:8" x14ac:dyDescent="0.3">
      <c r="A400" t="s">
        <v>12</v>
      </c>
      <c r="B400" s="3">
        <v>45037</v>
      </c>
      <c r="C400">
        <f t="shared" si="109"/>
        <v>21</v>
      </c>
      <c r="D400">
        <f t="shared" si="110"/>
        <v>4</v>
      </c>
      <c r="E400">
        <f t="shared" si="111"/>
        <v>2023</v>
      </c>
      <c r="F400" s="2">
        <v>2987</v>
      </c>
      <c r="G400" s="2" t="s">
        <v>19</v>
      </c>
      <c r="H400" s="4">
        <f>SUMIFS($F$2:$F$2739,$G$2:$G$2739,"Multi-year Contract",$E$2:$E$2739,2023)/SUMIF($E$2:$E$2739,2023,$F$2:$F$2739)</f>
        <v>0.5137784540236352</v>
      </c>
    </row>
    <row r="401" spans="1:8" x14ac:dyDescent="0.3">
      <c r="A401" t="s">
        <v>9</v>
      </c>
      <c r="B401" s="3">
        <v>45037</v>
      </c>
      <c r="C401">
        <f t="shared" si="109"/>
        <v>21</v>
      </c>
      <c r="D401">
        <f t="shared" si="110"/>
        <v>4</v>
      </c>
      <c r="E401">
        <f t="shared" si="111"/>
        <v>2023</v>
      </c>
      <c r="F401" s="2">
        <v>1070</v>
      </c>
      <c r="G401" t="s">
        <v>17</v>
      </c>
      <c r="H401" s="4">
        <f>SUMIFS($F$2:$F$2739,$G$2:$G$2739,"No Contract",$E$2:$E$2739,2023)/SUMIF($E$2:$E$2739,2023,$F$2:$F$2739)</f>
        <v>0.20934732870162456</v>
      </c>
    </row>
    <row r="402" spans="1:8" x14ac:dyDescent="0.3">
      <c r="A402" t="s">
        <v>10</v>
      </c>
      <c r="B402" s="3">
        <v>45037</v>
      </c>
      <c r="C402">
        <f t="shared" si="109"/>
        <v>21</v>
      </c>
      <c r="D402">
        <f t="shared" si="110"/>
        <v>4</v>
      </c>
      <c r="E402">
        <f t="shared" si="111"/>
        <v>2023</v>
      </c>
      <c r="F402" s="2">
        <v>562</v>
      </c>
      <c r="G402" t="s">
        <v>19</v>
      </c>
      <c r="H402" s="4">
        <f>SUMIFS($F$2:$F$2739,$G$2:$G$2739,"Multi-year Contract",$E$2:$E$2739,2023)/SUMIF($E$2:$E$2739,2023,$F$2:$F$2739)</f>
        <v>0.5137784540236352</v>
      </c>
    </row>
    <row r="403" spans="1:8" x14ac:dyDescent="0.3">
      <c r="A403" t="s">
        <v>5</v>
      </c>
      <c r="B403" s="3">
        <v>45037</v>
      </c>
      <c r="C403">
        <f t="shared" si="109"/>
        <v>21</v>
      </c>
      <c r="D403">
        <f t="shared" si="110"/>
        <v>4</v>
      </c>
      <c r="E403">
        <f t="shared" si="111"/>
        <v>2023</v>
      </c>
      <c r="F403" s="2">
        <v>2976</v>
      </c>
      <c r="G403" t="s">
        <v>18</v>
      </c>
      <c r="H403" s="4">
        <f t="shared" ref="H403:H404" si="115">SUMIFS($F$2:$F$2739,$G$2:$G$2739,"Annual Contract",$E$2:$E$2739,2023)/SUMIF($E$2:$E$2739,2023,$F$2:$F$2739)</f>
        <v>0.27687421727474026</v>
      </c>
    </row>
    <row r="404" spans="1:8" x14ac:dyDescent="0.3">
      <c r="A404" t="s">
        <v>6</v>
      </c>
      <c r="B404" s="3">
        <v>45038</v>
      </c>
      <c r="C404">
        <f t="shared" si="109"/>
        <v>22</v>
      </c>
      <c r="D404">
        <f t="shared" si="110"/>
        <v>4</v>
      </c>
      <c r="E404">
        <f t="shared" si="111"/>
        <v>2023</v>
      </c>
      <c r="F404" s="2">
        <v>1127</v>
      </c>
      <c r="G404" t="s">
        <v>18</v>
      </c>
      <c r="H404" s="4">
        <f t="shared" si="115"/>
        <v>0.27687421727474026</v>
      </c>
    </row>
    <row r="405" spans="1:8" x14ac:dyDescent="0.3">
      <c r="A405" t="s">
        <v>7</v>
      </c>
      <c r="B405" s="3">
        <v>45038</v>
      </c>
      <c r="C405">
        <f t="shared" si="109"/>
        <v>22</v>
      </c>
      <c r="D405">
        <f t="shared" si="110"/>
        <v>4</v>
      </c>
      <c r="E405">
        <f t="shared" si="111"/>
        <v>2023</v>
      </c>
      <c r="F405" s="2">
        <v>944</v>
      </c>
      <c r="G405" t="s">
        <v>17</v>
      </c>
      <c r="H405" s="4">
        <f>SUMIFS($F$2:$F$2739,$G$2:$G$2739,"No Contract",$E$2:$E$2739,2023)/SUMIF($E$2:$E$2739,2023,$F$2:$F$2739)</f>
        <v>0.20934732870162456</v>
      </c>
    </row>
    <row r="406" spans="1:8" x14ac:dyDescent="0.3">
      <c r="A406" t="s">
        <v>6</v>
      </c>
      <c r="B406" s="3">
        <v>45038</v>
      </c>
      <c r="C406">
        <f t="shared" si="109"/>
        <v>22</v>
      </c>
      <c r="D406">
        <f t="shared" si="110"/>
        <v>4</v>
      </c>
      <c r="E406">
        <f t="shared" si="111"/>
        <v>2023</v>
      </c>
      <c r="F406" s="2">
        <v>696</v>
      </c>
      <c r="G406" t="s">
        <v>18</v>
      </c>
      <c r="H406" s="4">
        <f>SUMIFS($F$2:$F$2739,$G$2:$G$2739,"Annual Contract",$E$2:$E$2739,2023)/SUMIF($E$2:$E$2739,2023,$F$2:$F$2739)</f>
        <v>0.27687421727474026</v>
      </c>
    </row>
    <row r="407" spans="1:8" x14ac:dyDescent="0.3">
      <c r="A407" t="s">
        <v>10</v>
      </c>
      <c r="B407" s="3">
        <v>45039</v>
      </c>
      <c r="C407">
        <f t="shared" si="109"/>
        <v>23</v>
      </c>
      <c r="D407">
        <f t="shared" si="110"/>
        <v>4</v>
      </c>
      <c r="E407">
        <f t="shared" si="111"/>
        <v>2023</v>
      </c>
      <c r="F407" s="2">
        <v>951</v>
      </c>
      <c r="G407" t="s">
        <v>19</v>
      </c>
      <c r="H407" s="4">
        <f t="shared" ref="H407:H408" si="116">SUMIFS($F$2:$F$2739,$G$2:$G$2739,"Multi-year Contract",$E$2:$E$2739,2023)/SUMIF($E$2:$E$2739,2023,$F$2:$F$2739)</f>
        <v>0.5137784540236352</v>
      </c>
    </row>
    <row r="408" spans="1:8" x14ac:dyDescent="0.3">
      <c r="A408" t="s">
        <v>4</v>
      </c>
      <c r="B408" s="3">
        <v>45039</v>
      </c>
      <c r="C408">
        <f t="shared" si="109"/>
        <v>23</v>
      </c>
      <c r="D408">
        <f t="shared" si="110"/>
        <v>4</v>
      </c>
      <c r="E408">
        <f t="shared" si="111"/>
        <v>2023</v>
      </c>
      <c r="F408" s="2">
        <v>3354</v>
      </c>
      <c r="G408" s="2" t="s">
        <v>19</v>
      </c>
      <c r="H408" s="4">
        <f t="shared" si="116"/>
        <v>0.5137784540236352</v>
      </c>
    </row>
    <row r="409" spans="1:8" x14ac:dyDescent="0.3">
      <c r="A409" t="s">
        <v>8</v>
      </c>
      <c r="B409" s="3">
        <v>45039</v>
      </c>
      <c r="C409">
        <f t="shared" si="109"/>
        <v>23</v>
      </c>
      <c r="D409">
        <f t="shared" si="110"/>
        <v>4</v>
      </c>
      <c r="E409">
        <f t="shared" si="111"/>
        <v>2023</v>
      </c>
      <c r="F409" s="2">
        <v>1381</v>
      </c>
      <c r="G409" s="2" t="s">
        <v>18</v>
      </c>
      <c r="H409" s="4">
        <f t="shared" ref="H409:H411" si="117">SUMIFS($F$2:$F$2739,$G$2:$G$2739,"Annual Contract",$E$2:$E$2739,2023)/SUMIF($E$2:$E$2739,2023,$F$2:$F$2739)</f>
        <v>0.27687421727474026</v>
      </c>
    </row>
    <row r="410" spans="1:8" x14ac:dyDescent="0.3">
      <c r="A410" t="s">
        <v>8</v>
      </c>
      <c r="B410" s="3">
        <v>45039</v>
      </c>
      <c r="C410">
        <f t="shared" si="109"/>
        <v>23</v>
      </c>
      <c r="D410">
        <f t="shared" si="110"/>
        <v>4</v>
      </c>
      <c r="E410">
        <f t="shared" si="111"/>
        <v>2023</v>
      </c>
      <c r="F410" s="2">
        <v>2922</v>
      </c>
      <c r="G410" s="2" t="s">
        <v>18</v>
      </c>
      <c r="H410" s="4">
        <f t="shared" si="117"/>
        <v>0.27687421727474026</v>
      </c>
    </row>
    <row r="411" spans="1:8" x14ac:dyDescent="0.3">
      <c r="A411" t="s">
        <v>8</v>
      </c>
      <c r="B411" s="3">
        <v>45039</v>
      </c>
      <c r="C411">
        <f t="shared" si="109"/>
        <v>23</v>
      </c>
      <c r="D411">
        <f t="shared" si="110"/>
        <v>4</v>
      </c>
      <c r="E411">
        <f t="shared" si="111"/>
        <v>2023</v>
      </c>
      <c r="F411" s="2">
        <v>3620</v>
      </c>
      <c r="G411" s="2" t="s">
        <v>18</v>
      </c>
      <c r="H411" s="4">
        <f t="shared" si="117"/>
        <v>0.27687421727474026</v>
      </c>
    </row>
    <row r="412" spans="1:8" x14ac:dyDescent="0.3">
      <c r="A412" t="s">
        <v>12</v>
      </c>
      <c r="B412" s="3">
        <v>45039</v>
      </c>
      <c r="C412">
        <f t="shared" si="109"/>
        <v>23</v>
      </c>
      <c r="D412">
        <f t="shared" si="110"/>
        <v>4</v>
      </c>
      <c r="E412">
        <f t="shared" si="111"/>
        <v>2023</v>
      </c>
      <c r="F412" s="2">
        <v>3010</v>
      </c>
      <c r="G412" s="2" t="s">
        <v>19</v>
      </c>
      <c r="H412" s="4">
        <f t="shared" ref="H412:H418" si="118">SUMIFS($F$2:$F$2739,$G$2:$G$2739,"Multi-year Contract",$E$2:$E$2739,2023)/SUMIF($E$2:$E$2739,2023,$F$2:$F$2739)</f>
        <v>0.5137784540236352</v>
      </c>
    </row>
    <row r="413" spans="1:8" x14ac:dyDescent="0.3">
      <c r="A413" t="s">
        <v>3</v>
      </c>
      <c r="B413" s="3">
        <v>45040</v>
      </c>
      <c r="C413">
        <f t="shared" si="109"/>
        <v>24</v>
      </c>
      <c r="D413">
        <f t="shared" si="110"/>
        <v>4</v>
      </c>
      <c r="E413">
        <f t="shared" si="111"/>
        <v>2023</v>
      </c>
      <c r="F413" s="2">
        <v>2926</v>
      </c>
      <c r="G413" t="s">
        <v>19</v>
      </c>
      <c r="H413" s="4">
        <f t="shared" si="118"/>
        <v>0.5137784540236352</v>
      </c>
    </row>
    <row r="414" spans="1:8" x14ac:dyDescent="0.3">
      <c r="A414" t="s">
        <v>11</v>
      </c>
      <c r="B414" s="3">
        <v>45040</v>
      </c>
      <c r="C414">
        <f t="shared" si="109"/>
        <v>24</v>
      </c>
      <c r="D414">
        <f t="shared" si="110"/>
        <v>4</v>
      </c>
      <c r="E414">
        <f t="shared" si="111"/>
        <v>2023</v>
      </c>
      <c r="F414" s="2">
        <v>1836</v>
      </c>
      <c r="G414" t="s">
        <v>19</v>
      </c>
      <c r="H414" s="4">
        <f t="shared" si="118"/>
        <v>0.5137784540236352</v>
      </c>
    </row>
    <row r="415" spans="1:8" x14ac:dyDescent="0.3">
      <c r="A415" t="s">
        <v>10</v>
      </c>
      <c r="B415" s="3">
        <v>45040</v>
      </c>
      <c r="C415">
        <f t="shared" si="109"/>
        <v>24</v>
      </c>
      <c r="D415">
        <f t="shared" si="110"/>
        <v>4</v>
      </c>
      <c r="E415">
        <f t="shared" si="111"/>
        <v>2023</v>
      </c>
      <c r="F415" s="2">
        <v>2838</v>
      </c>
      <c r="G415" t="s">
        <v>19</v>
      </c>
      <c r="H415" s="4">
        <f t="shared" si="118"/>
        <v>0.5137784540236352</v>
      </c>
    </row>
    <row r="416" spans="1:8" x14ac:dyDescent="0.3">
      <c r="A416" t="s">
        <v>12</v>
      </c>
      <c r="B416" s="3">
        <v>45040</v>
      </c>
      <c r="C416">
        <f t="shared" si="109"/>
        <v>24</v>
      </c>
      <c r="D416">
        <f t="shared" si="110"/>
        <v>4</v>
      </c>
      <c r="E416">
        <f t="shared" si="111"/>
        <v>2023</v>
      </c>
      <c r="F416" s="2">
        <v>1558</v>
      </c>
      <c r="G416" s="2" t="s">
        <v>19</v>
      </c>
      <c r="H416" s="4">
        <f t="shared" si="118"/>
        <v>0.5137784540236352</v>
      </c>
    </row>
    <row r="417" spans="1:8" x14ac:dyDescent="0.3">
      <c r="A417" t="s">
        <v>12</v>
      </c>
      <c r="B417" s="3">
        <v>45040</v>
      </c>
      <c r="C417">
        <f t="shared" si="109"/>
        <v>24</v>
      </c>
      <c r="D417">
        <f t="shared" si="110"/>
        <v>4</v>
      </c>
      <c r="E417">
        <f t="shared" si="111"/>
        <v>2023</v>
      </c>
      <c r="F417" s="2">
        <v>2089</v>
      </c>
      <c r="G417" s="2" t="s">
        <v>19</v>
      </c>
      <c r="H417" s="4">
        <f t="shared" si="118"/>
        <v>0.5137784540236352</v>
      </c>
    </row>
    <row r="418" spans="1:8" x14ac:dyDescent="0.3">
      <c r="A418" t="s">
        <v>12</v>
      </c>
      <c r="B418" s="3">
        <v>45040</v>
      </c>
      <c r="C418">
        <f t="shared" si="109"/>
        <v>24</v>
      </c>
      <c r="D418">
        <f t="shared" si="110"/>
        <v>4</v>
      </c>
      <c r="E418">
        <f t="shared" si="111"/>
        <v>2023</v>
      </c>
      <c r="F418" s="2">
        <v>2487</v>
      </c>
      <c r="G418" s="2" t="s">
        <v>19</v>
      </c>
      <c r="H418" s="4">
        <f t="shared" si="118"/>
        <v>0.5137784540236352</v>
      </c>
    </row>
    <row r="419" spans="1:8" x14ac:dyDescent="0.3">
      <c r="A419" t="s">
        <v>8</v>
      </c>
      <c r="B419" s="3">
        <v>45041</v>
      </c>
      <c r="C419">
        <f t="shared" si="109"/>
        <v>25</v>
      </c>
      <c r="D419">
        <f t="shared" si="110"/>
        <v>4</v>
      </c>
      <c r="E419">
        <f t="shared" si="111"/>
        <v>2023</v>
      </c>
      <c r="F419" s="2">
        <v>3667</v>
      </c>
      <c r="G419" s="2" t="s">
        <v>18</v>
      </c>
      <c r="H419" s="4">
        <f>SUMIFS($F$2:$F$2739,$G$2:$G$2739,"Annual Contract",$E$2:$E$2739,2023)/SUMIF($E$2:$E$2739,2023,$F$2:$F$2739)</f>
        <v>0.27687421727474026</v>
      </c>
    </row>
    <row r="420" spans="1:8" x14ac:dyDescent="0.3">
      <c r="A420" t="s">
        <v>9</v>
      </c>
      <c r="B420" s="3">
        <v>45041</v>
      </c>
      <c r="C420">
        <f t="shared" si="109"/>
        <v>25</v>
      </c>
      <c r="D420">
        <f t="shared" si="110"/>
        <v>4</v>
      </c>
      <c r="E420">
        <f t="shared" si="111"/>
        <v>2023</v>
      </c>
      <c r="F420" s="2">
        <v>624</v>
      </c>
      <c r="G420" t="s">
        <v>17</v>
      </c>
      <c r="H420" s="4">
        <f t="shared" ref="H420:H421" si="119">SUMIFS($F$2:$F$2739,$G$2:$G$2739,"No Contract",$E$2:$E$2739,2023)/SUMIF($E$2:$E$2739,2023,$F$2:$F$2739)</f>
        <v>0.20934732870162456</v>
      </c>
    </row>
    <row r="421" spans="1:8" x14ac:dyDescent="0.3">
      <c r="A421" t="s">
        <v>9</v>
      </c>
      <c r="B421" s="3">
        <v>45041</v>
      </c>
      <c r="C421">
        <f t="shared" si="109"/>
        <v>25</v>
      </c>
      <c r="D421">
        <f t="shared" si="110"/>
        <v>4</v>
      </c>
      <c r="E421">
        <f t="shared" si="111"/>
        <v>2023</v>
      </c>
      <c r="F421" s="2">
        <v>1581</v>
      </c>
      <c r="G421" t="s">
        <v>17</v>
      </c>
      <c r="H421" s="4">
        <f t="shared" si="119"/>
        <v>0.20934732870162456</v>
      </c>
    </row>
    <row r="422" spans="1:8" x14ac:dyDescent="0.3">
      <c r="A422" t="s">
        <v>11</v>
      </c>
      <c r="B422" s="3">
        <v>45041</v>
      </c>
      <c r="C422">
        <f t="shared" si="109"/>
        <v>25</v>
      </c>
      <c r="D422">
        <f t="shared" si="110"/>
        <v>4</v>
      </c>
      <c r="E422">
        <f t="shared" si="111"/>
        <v>2023</v>
      </c>
      <c r="F422" s="2">
        <v>2809</v>
      </c>
      <c r="G422" t="s">
        <v>19</v>
      </c>
      <c r="H422" s="4">
        <f t="shared" ref="H422:H425" si="120">SUMIFS($F$2:$F$2739,$G$2:$G$2739,"Multi-year Contract",$E$2:$E$2739,2023)/SUMIF($E$2:$E$2739,2023,$F$2:$F$2739)</f>
        <v>0.5137784540236352</v>
      </c>
    </row>
    <row r="423" spans="1:8" x14ac:dyDescent="0.3">
      <c r="A423" t="s">
        <v>3</v>
      </c>
      <c r="B423" s="3">
        <v>45041</v>
      </c>
      <c r="C423">
        <f t="shared" si="109"/>
        <v>25</v>
      </c>
      <c r="D423">
        <f t="shared" si="110"/>
        <v>4</v>
      </c>
      <c r="E423">
        <f t="shared" si="111"/>
        <v>2023</v>
      </c>
      <c r="F423" s="2">
        <v>2269</v>
      </c>
      <c r="G423" t="s">
        <v>19</v>
      </c>
      <c r="H423" s="4">
        <f t="shared" si="120"/>
        <v>0.5137784540236352</v>
      </c>
    </row>
    <row r="424" spans="1:8" x14ac:dyDescent="0.3">
      <c r="A424" t="s">
        <v>10</v>
      </c>
      <c r="B424" s="3">
        <v>45041</v>
      </c>
      <c r="C424">
        <f t="shared" si="109"/>
        <v>25</v>
      </c>
      <c r="D424">
        <f t="shared" si="110"/>
        <v>4</v>
      </c>
      <c r="E424">
        <f t="shared" si="111"/>
        <v>2023</v>
      </c>
      <c r="F424" s="2">
        <v>3745</v>
      </c>
      <c r="G424" t="s">
        <v>19</v>
      </c>
      <c r="H424" s="4">
        <f t="shared" si="120"/>
        <v>0.5137784540236352</v>
      </c>
    </row>
    <row r="425" spans="1:8" x14ac:dyDescent="0.3">
      <c r="A425" t="s">
        <v>11</v>
      </c>
      <c r="B425" s="3">
        <v>45041</v>
      </c>
      <c r="C425">
        <f t="shared" si="109"/>
        <v>25</v>
      </c>
      <c r="D425">
        <f t="shared" si="110"/>
        <v>4</v>
      </c>
      <c r="E425">
        <f t="shared" si="111"/>
        <v>2023</v>
      </c>
      <c r="F425" s="2">
        <v>1893</v>
      </c>
      <c r="G425" t="s">
        <v>19</v>
      </c>
      <c r="H425" s="4">
        <f t="shared" si="120"/>
        <v>0.5137784540236352</v>
      </c>
    </row>
    <row r="426" spans="1:8" x14ac:dyDescent="0.3">
      <c r="A426" t="s">
        <v>9</v>
      </c>
      <c r="B426" s="3">
        <v>45041</v>
      </c>
      <c r="C426">
        <f t="shared" si="109"/>
        <v>25</v>
      </c>
      <c r="D426">
        <f t="shared" si="110"/>
        <v>4</v>
      </c>
      <c r="E426">
        <f t="shared" si="111"/>
        <v>2023</v>
      </c>
      <c r="F426" s="2">
        <v>3938</v>
      </c>
      <c r="G426" t="s">
        <v>17</v>
      </c>
      <c r="H426" s="4">
        <f t="shared" ref="H426:H427" si="121">SUMIFS($F$2:$F$2739,$G$2:$G$2739,"No Contract",$E$2:$E$2739,2023)/SUMIF($E$2:$E$2739,2023,$F$2:$F$2739)</f>
        <v>0.20934732870162456</v>
      </c>
    </row>
    <row r="427" spans="1:8" x14ac:dyDescent="0.3">
      <c r="A427" t="s">
        <v>7</v>
      </c>
      <c r="B427" s="3">
        <v>45041</v>
      </c>
      <c r="C427">
        <f t="shared" si="109"/>
        <v>25</v>
      </c>
      <c r="D427">
        <f t="shared" si="110"/>
        <v>4</v>
      </c>
      <c r="E427">
        <f t="shared" si="111"/>
        <v>2023</v>
      </c>
      <c r="F427" s="2">
        <v>1839</v>
      </c>
      <c r="G427" t="s">
        <v>17</v>
      </c>
      <c r="H427" s="4">
        <f t="shared" si="121"/>
        <v>0.20934732870162456</v>
      </c>
    </row>
    <row r="428" spans="1:8" x14ac:dyDescent="0.3">
      <c r="A428" t="s">
        <v>3</v>
      </c>
      <c r="B428" s="3">
        <v>45042</v>
      </c>
      <c r="C428">
        <f t="shared" si="109"/>
        <v>26</v>
      </c>
      <c r="D428">
        <f t="shared" si="110"/>
        <v>4</v>
      </c>
      <c r="E428">
        <f t="shared" si="111"/>
        <v>2023</v>
      </c>
      <c r="F428" s="2">
        <v>1126</v>
      </c>
      <c r="G428" t="s">
        <v>19</v>
      </c>
      <c r="H428" s="4">
        <f t="shared" ref="H428:H429" si="122">SUMIFS($F$2:$F$2739,$G$2:$G$2739,"Multi-year Contract",$E$2:$E$2739,2023)/SUMIF($E$2:$E$2739,2023,$F$2:$F$2739)</f>
        <v>0.5137784540236352</v>
      </c>
    </row>
    <row r="429" spans="1:8" x14ac:dyDescent="0.3">
      <c r="A429" t="s">
        <v>12</v>
      </c>
      <c r="B429" s="3">
        <v>45043</v>
      </c>
      <c r="C429">
        <f t="shared" si="109"/>
        <v>27</v>
      </c>
      <c r="D429">
        <f t="shared" si="110"/>
        <v>4</v>
      </c>
      <c r="E429">
        <f t="shared" si="111"/>
        <v>2023</v>
      </c>
      <c r="F429" s="2">
        <v>3113</v>
      </c>
      <c r="G429" s="2" t="s">
        <v>19</v>
      </c>
      <c r="H429" s="4">
        <f t="shared" si="122"/>
        <v>0.5137784540236352</v>
      </c>
    </row>
    <row r="430" spans="1:8" x14ac:dyDescent="0.3">
      <c r="A430" t="s">
        <v>7</v>
      </c>
      <c r="B430" s="3">
        <v>45043</v>
      </c>
      <c r="C430">
        <f t="shared" si="109"/>
        <v>27</v>
      </c>
      <c r="D430">
        <f t="shared" si="110"/>
        <v>4</v>
      </c>
      <c r="E430">
        <f t="shared" si="111"/>
        <v>2023</v>
      </c>
      <c r="F430" s="2">
        <v>3600</v>
      </c>
      <c r="G430" t="s">
        <v>17</v>
      </c>
      <c r="H430" s="4">
        <f>SUMIFS($F$2:$F$2739,$G$2:$G$2739,"No Contract",$E$2:$E$2739,2023)/SUMIF($E$2:$E$2739,2023,$F$2:$F$2739)</f>
        <v>0.20934732870162456</v>
      </c>
    </row>
    <row r="431" spans="1:8" x14ac:dyDescent="0.3">
      <c r="A431" t="s">
        <v>12</v>
      </c>
      <c r="B431" s="3">
        <v>45043</v>
      </c>
      <c r="C431">
        <f t="shared" si="109"/>
        <v>27</v>
      </c>
      <c r="D431">
        <f t="shared" si="110"/>
        <v>4</v>
      </c>
      <c r="E431">
        <f t="shared" si="111"/>
        <v>2023</v>
      </c>
      <c r="F431" s="2">
        <v>1848</v>
      </c>
      <c r="G431" s="2" t="s">
        <v>19</v>
      </c>
      <c r="H431" s="4">
        <f t="shared" ref="H431:H433" si="123">SUMIFS($F$2:$F$2739,$G$2:$G$2739,"Multi-year Contract",$E$2:$E$2739,2023)/SUMIF($E$2:$E$2739,2023,$F$2:$F$2739)</f>
        <v>0.5137784540236352</v>
      </c>
    </row>
    <row r="432" spans="1:8" x14ac:dyDescent="0.3">
      <c r="A432" t="s">
        <v>3</v>
      </c>
      <c r="B432" s="3">
        <v>45043</v>
      </c>
      <c r="C432">
        <f t="shared" si="109"/>
        <v>27</v>
      </c>
      <c r="D432">
        <f t="shared" si="110"/>
        <v>4</v>
      </c>
      <c r="E432">
        <f t="shared" si="111"/>
        <v>2023</v>
      </c>
      <c r="F432" s="2">
        <v>3348</v>
      </c>
      <c r="G432" t="s">
        <v>19</v>
      </c>
      <c r="H432" s="4">
        <f t="shared" si="123"/>
        <v>0.5137784540236352</v>
      </c>
    </row>
    <row r="433" spans="1:8" x14ac:dyDescent="0.3">
      <c r="A433" t="s">
        <v>4</v>
      </c>
      <c r="B433" s="3">
        <v>45043</v>
      </c>
      <c r="C433">
        <f t="shared" si="109"/>
        <v>27</v>
      </c>
      <c r="D433">
        <f t="shared" si="110"/>
        <v>4</v>
      </c>
      <c r="E433">
        <f t="shared" si="111"/>
        <v>2023</v>
      </c>
      <c r="F433" s="2">
        <v>3293</v>
      </c>
      <c r="G433" s="2" t="s">
        <v>19</v>
      </c>
      <c r="H433" s="4">
        <f t="shared" si="123"/>
        <v>0.5137784540236352</v>
      </c>
    </row>
    <row r="434" spans="1:8" x14ac:dyDescent="0.3">
      <c r="A434" t="s">
        <v>8</v>
      </c>
      <c r="B434" s="3">
        <v>45043</v>
      </c>
      <c r="C434">
        <f t="shared" si="109"/>
        <v>27</v>
      </c>
      <c r="D434">
        <f t="shared" si="110"/>
        <v>4</v>
      </c>
      <c r="E434">
        <f t="shared" si="111"/>
        <v>2023</v>
      </c>
      <c r="F434" s="2">
        <v>2917</v>
      </c>
      <c r="G434" s="2" t="s">
        <v>18</v>
      </c>
      <c r="H434" s="4">
        <f>SUMIFS($F$2:$F$2739,$G$2:$G$2739,"Annual Contract",$E$2:$E$2739,2023)/SUMIF($E$2:$E$2739,2023,$F$2:$F$2739)</f>
        <v>0.27687421727474026</v>
      </c>
    </row>
    <row r="435" spans="1:8" x14ac:dyDescent="0.3">
      <c r="A435" t="s">
        <v>10</v>
      </c>
      <c r="B435" s="3">
        <v>45044</v>
      </c>
      <c r="C435">
        <f t="shared" si="109"/>
        <v>28</v>
      </c>
      <c r="D435">
        <f t="shared" si="110"/>
        <v>4</v>
      </c>
      <c r="E435">
        <f t="shared" si="111"/>
        <v>2023</v>
      </c>
      <c r="F435" s="2">
        <v>4000</v>
      </c>
      <c r="G435" t="s">
        <v>19</v>
      </c>
      <c r="H435" s="4">
        <f t="shared" ref="H435:H436" si="124">SUMIFS($F$2:$F$2739,$G$2:$G$2739,"Multi-year Contract",$E$2:$E$2739,2023)/SUMIF($E$2:$E$2739,2023,$F$2:$F$2739)</f>
        <v>0.5137784540236352</v>
      </c>
    </row>
    <row r="436" spans="1:8" x14ac:dyDescent="0.3">
      <c r="A436" t="s">
        <v>12</v>
      </c>
      <c r="B436" s="3">
        <v>45046</v>
      </c>
      <c r="C436">
        <f t="shared" si="109"/>
        <v>30</v>
      </c>
      <c r="D436">
        <f t="shared" si="110"/>
        <v>4</v>
      </c>
      <c r="E436">
        <f t="shared" si="111"/>
        <v>2023</v>
      </c>
      <c r="F436" s="2">
        <v>2907</v>
      </c>
      <c r="G436" s="2" t="s">
        <v>19</v>
      </c>
      <c r="H436" s="4">
        <f t="shared" si="124"/>
        <v>0.5137784540236352</v>
      </c>
    </row>
    <row r="437" spans="1:8" x14ac:dyDescent="0.3">
      <c r="A437" t="s">
        <v>5</v>
      </c>
      <c r="B437" s="3">
        <v>45046</v>
      </c>
      <c r="C437">
        <f t="shared" si="109"/>
        <v>30</v>
      </c>
      <c r="D437">
        <f t="shared" si="110"/>
        <v>4</v>
      </c>
      <c r="E437">
        <f t="shared" si="111"/>
        <v>2023</v>
      </c>
      <c r="F437" s="2">
        <v>3516</v>
      </c>
      <c r="G437" t="s">
        <v>18</v>
      </c>
      <c r="H437" s="4">
        <f>SUMIFS($F$2:$F$2739,$G$2:$G$2739,"Annual Contract",$E$2:$E$2739,2023)/SUMIF($E$2:$E$2739,2023,$F$2:$F$2739)</f>
        <v>0.27687421727474026</v>
      </c>
    </row>
    <row r="438" spans="1:8" x14ac:dyDescent="0.3">
      <c r="A438" t="s">
        <v>4</v>
      </c>
      <c r="B438" s="3">
        <v>45046</v>
      </c>
      <c r="C438">
        <f t="shared" si="109"/>
        <v>30</v>
      </c>
      <c r="D438">
        <f t="shared" si="110"/>
        <v>4</v>
      </c>
      <c r="E438">
        <f t="shared" si="111"/>
        <v>2023</v>
      </c>
      <c r="F438" s="2">
        <v>1639</v>
      </c>
      <c r="G438" s="2" t="s">
        <v>19</v>
      </c>
      <c r="H438" s="4">
        <f t="shared" ref="H438:H441" si="125">SUMIFS($F$2:$F$2739,$G$2:$G$2739,"Multi-year Contract",$E$2:$E$2739,2023)/SUMIF($E$2:$E$2739,2023,$F$2:$F$2739)</f>
        <v>0.5137784540236352</v>
      </c>
    </row>
    <row r="439" spans="1:8" x14ac:dyDescent="0.3">
      <c r="A439" t="s">
        <v>12</v>
      </c>
      <c r="B439" s="3">
        <v>45046</v>
      </c>
      <c r="C439">
        <f t="shared" si="109"/>
        <v>30</v>
      </c>
      <c r="D439">
        <f t="shared" si="110"/>
        <v>4</v>
      </c>
      <c r="E439">
        <f t="shared" si="111"/>
        <v>2023</v>
      </c>
      <c r="F439" s="2">
        <v>2581</v>
      </c>
      <c r="G439" s="2" t="s">
        <v>19</v>
      </c>
      <c r="H439" s="4">
        <f t="shared" si="125"/>
        <v>0.5137784540236352</v>
      </c>
    </row>
    <row r="440" spans="1:8" x14ac:dyDescent="0.3">
      <c r="A440" t="s">
        <v>4</v>
      </c>
      <c r="B440" s="3">
        <v>45046</v>
      </c>
      <c r="C440">
        <f t="shared" si="109"/>
        <v>30</v>
      </c>
      <c r="D440">
        <f t="shared" si="110"/>
        <v>4</v>
      </c>
      <c r="E440">
        <f t="shared" si="111"/>
        <v>2023</v>
      </c>
      <c r="F440" s="2">
        <v>1690</v>
      </c>
      <c r="G440" s="2" t="s">
        <v>19</v>
      </c>
      <c r="H440" s="4">
        <f t="shared" si="125"/>
        <v>0.5137784540236352</v>
      </c>
    </row>
    <row r="441" spans="1:8" x14ac:dyDescent="0.3">
      <c r="A441" t="s">
        <v>11</v>
      </c>
      <c r="B441" s="3">
        <v>45047</v>
      </c>
      <c r="C441">
        <f t="shared" si="109"/>
        <v>1</v>
      </c>
      <c r="D441">
        <f t="shared" si="110"/>
        <v>5</v>
      </c>
      <c r="E441">
        <f t="shared" si="111"/>
        <v>2023</v>
      </c>
      <c r="F441" s="2">
        <v>736</v>
      </c>
      <c r="G441" t="s">
        <v>19</v>
      </c>
      <c r="H441" s="4">
        <f t="shared" si="125"/>
        <v>0.5137784540236352</v>
      </c>
    </row>
    <row r="442" spans="1:8" x14ac:dyDescent="0.3">
      <c r="A442" t="s">
        <v>9</v>
      </c>
      <c r="B442" s="3">
        <v>45048</v>
      </c>
      <c r="C442">
        <f t="shared" si="109"/>
        <v>2</v>
      </c>
      <c r="D442">
        <f t="shared" si="110"/>
        <v>5</v>
      </c>
      <c r="E442">
        <f t="shared" si="111"/>
        <v>2023</v>
      </c>
      <c r="F442" s="2">
        <v>3367</v>
      </c>
      <c r="G442" t="s">
        <v>17</v>
      </c>
      <c r="H442" s="4">
        <f t="shared" ref="H442:H443" si="126">SUMIFS($F$2:$F$2739,$G$2:$G$2739,"No Contract",$E$2:$E$2739,2023)/SUMIF($E$2:$E$2739,2023,$F$2:$F$2739)</f>
        <v>0.20934732870162456</v>
      </c>
    </row>
    <row r="443" spans="1:8" x14ac:dyDescent="0.3">
      <c r="A443" t="s">
        <v>9</v>
      </c>
      <c r="B443" s="3">
        <v>45048</v>
      </c>
      <c r="C443">
        <f t="shared" si="109"/>
        <v>2</v>
      </c>
      <c r="D443">
        <f t="shared" si="110"/>
        <v>5</v>
      </c>
      <c r="E443">
        <f t="shared" si="111"/>
        <v>2023</v>
      </c>
      <c r="F443" s="2">
        <v>623</v>
      </c>
      <c r="G443" t="s">
        <v>17</v>
      </c>
      <c r="H443" s="4">
        <f t="shared" si="126"/>
        <v>0.20934732870162456</v>
      </c>
    </row>
    <row r="444" spans="1:8" x14ac:dyDescent="0.3">
      <c r="A444" t="s">
        <v>10</v>
      </c>
      <c r="B444" s="3">
        <v>45048</v>
      </c>
      <c r="C444">
        <f t="shared" si="109"/>
        <v>2</v>
      </c>
      <c r="D444">
        <f t="shared" si="110"/>
        <v>5</v>
      </c>
      <c r="E444">
        <f t="shared" si="111"/>
        <v>2023</v>
      </c>
      <c r="F444" s="2">
        <v>2831</v>
      </c>
      <c r="G444" t="s">
        <v>19</v>
      </c>
      <c r="H444" s="4">
        <f t="shared" ref="H444:H446" si="127">SUMIFS($F$2:$F$2739,$G$2:$G$2739,"Multi-year Contract",$E$2:$E$2739,2023)/SUMIF($E$2:$E$2739,2023,$F$2:$F$2739)</f>
        <v>0.5137784540236352</v>
      </c>
    </row>
    <row r="445" spans="1:8" x14ac:dyDescent="0.3">
      <c r="A445" t="s">
        <v>10</v>
      </c>
      <c r="B445" s="3">
        <v>45049</v>
      </c>
      <c r="C445">
        <f t="shared" si="109"/>
        <v>3</v>
      </c>
      <c r="D445">
        <f t="shared" si="110"/>
        <v>5</v>
      </c>
      <c r="E445">
        <f t="shared" si="111"/>
        <v>2023</v>
      </c>
      <c r="F445" s="2">
        <v>1950</v>
      </c>
      <c r="G445" t="s">
        <v>19</v>
      </c>
      <c r="H445" s="4">
        <f t="shared" si="127"/>
        <v>0.5137784540236352</v>
      </c>
    </row>
    <row r="446" spans="1:8" x14ac:dyDescent="0.3">
      <c r="A446" t="s">
        <v>12</v>
      </c>
      <c r="B446" s="3">
        <v>45049</v>
      </c>
      <c r="C446">
        <f t="shared" si="109"/>
        <v>3</v>
      </c>
      <c r="D446">
        <f t="shared" si="110"/>
        <v>5</v>
      </c>
      <c r="E446">
        <f t="shared" si="111"/>
        <v>2023</v>
      </c>
      <c r="F446" s="2">
        <v>3364</v>
      </c>
      <c r="G446" s="2" t="s">
        <v>19</v>
      </c>
      <c r="H446" s="4">
        <f t="shared" si="127"/>
        <v>0.5137784540236352</v>
      </c>
    </row>
    <row r="447" spans="1:8" x14ac:dyDescent="0.3">
      <c r="A447" t="s">
        <v>8</v>
      </c>
      <c r="B447" s="3">
        <v>45049</v>
      </c>
      <c r="C447">
        <f t="shared" si="109"/>
        <v>3</v>
      </c>
      <c r="D447">
        <f t="shared" si="110"/>
        <v>5</v>
      </c>
      <c r="E447">
        <f t="shared" si="111"/>
        <v>2023</v>
      </c>
      <c r="F447" s="2">
        <v>2664</v>
      </c>
      <c r="G447" s="2" t="s">
        <v>18</v>
      </c>
      <c r="H447" s="4">
        <f t="shared" ref="H447:H448" si="128">SUMIFS($F$2:$F$2739,$G$2:$G$2739,"Annual Contract",$E$2:$E$2739,2023)/SUMIF($E$2:$E$2739,2023,$F$2:$F$2739)</f>
        <v>0.27687421727474026</v>
      </c>
    </row>
    <row r="448" spans="1:8" x14ac:dyDescent="0.3">
      <c r="A448" t="s">
        <v>6</v>
      </c>
      <c r="B448" s="3">
        <v>45049</v>
      </c>
      <c r="C448">
        <f t="shared" si="109"/>
        <v>3</v>
      </c>
      <c r="D448">
        <f t="shared" si="110"/>
        <v>5</v>
      </c>
      <c r="E448">
        <f t="shared" si="111"/>
        <v>2023</v>
      </c>
      <c r="F448" s="2">
        <v>940</v>
      </c>
      <c r="G448" t="s">
        <v>18</v>
      </c>
      <c r="H448" s="4">
        <f t="shared" si="128"/>
        <v>0.27687421727474026</v>
      </c>
    </row>
    <row r="449" spans="1:8" x14ac:dyDescent="0.3">
      <c r="A449" t="s">
        <v>3</v>
      </c>
      <c r="B449" s="3">
        <v>45050</v>
      </c>
      <c r="C449">
        <f t="shared" si="109"/>
        <v>4</v>
      </c>
      <c r="D449">
        <f t="shared" si="110"/>
        <v>5</v>
      </c>
      <c r="E449">
        <f t="shared" si="111"/>
        <v>2023</v>
      </c>
      <c r="F449" s="2">
        <v>2352</v>
      </c>
      <c r="G449" t="s">
        <v>19</v>
      </c>
      <c r="H449" s="4">
        <f>SUMIFS($F$2:$F$2739,$G$2:$G$2739,"Multi-year Contract",$E$2:$E$2739,2023)/SUMIF($E$2:$E$2739,2023,$F$2:$F$2739)</f>
        <v>0.5137784540236352</v>
      </c>
    </row>
    <row r="450" spans="1:8" x14ac:dyDescent="0.3">
      <c r="A450" t="s">
        <v>6</v>
      </c>
      <c r="B450" s="3">
        <v>45050</v>
      </c>
      <c r="C450">
        <f t="shared" si="109"/>
        <v>4</v>
      </c>
      <c r="D450">
        <f t="shared" si="110"/>
        <v>5</v>
      </c>
      <c r="E450">
        <f t="shared" si="111"/>
        <v>2023</v>
      </c>
      <c r="F450" s="2">
        <v>2343</v>
      </c>
      <c r="G450" t="s">
        <v>18</v>
      </c>
      <c r="H450" s="4">
        <f>SUMIFS($F$2:$F$2739,$G$2:$G$2739,"Annual Contract",$E$2:$E$2739,2023)/SUMIF($E$2:$E$2739,2023,$F$2:$F$2739)</f>
        <v>0.27687421727474026</v>
      </c>
    </row>
    <row r="451" spans="1:8" x14ac:dyDescent="0.3">
      <c r="A451" t="s">
        <v>3</v>
      </c>
      <c r="B451" s="3">
        <v>45050</v>
      </c>
      <c r="C451">
        <f t="shared" ref="C451:C514" si="129">DAY(B451)</f>
        <v>4</v>
      </c>
      <c r="D451">
        <f t="shared" ref="D451:D514" si="130">MONTH(B451)</f>
        <v>5</v>
      </c>
      <c r="E451">
        <f t="shared" ref="E451:E514" si="131">YEAR(B451)</f>
        <v>2023</v>
      </c>
      <c r="F451" s="2">
        <v>1853</v>
      </c>
      <c r="G451" t="s">
        <v>19</v>
      </c>
      <c r="H451" s="4">
        <f t="shared" ref="H451:H453" si="132">SUMIFS($F$2:$F$2739,$G$2:$G$2739,"Multi-year Contract",$E$2:$E$2739,2023)/SUMIF($E$2:$E$2739,2023,$F$2:$F$2739)</f>
        <v>0.5137784540236352</v>
      </c>
    </row>
    <row r="452" spans="1:8" x14ac:dyDescent="0.3">
      <c r="A452" t="s">
        <v>12</v>
      </c>
      <c r="B452" s="3">
        <v>45050</v>
      </c>
      <c r="C452">
        <f t="shared" si="129"/>
        <v>4</v>
      </c>
      <c r="D452">
        <f t="shared" si="130"/>
        <v>5</v>
      </c>
      <c r="E452">
        <f t="shared" si="131"/>
        <v>2023</v>
      </c>
      <c r="F452" s="2">
        <v>2012</v>
      </c>
      <c r="G452" s="2" t="s">
        <v>19</v>
      </c>
      <c r="H452" s="4">
        <f t="shared" si="132"/>
        <v>0.5137784540236352</v>
      </c>
    </row>
    <row r="453" spans="1:8" x14ac:dyDescent="0.3">
      <c r="A453" t="s">
        <v>11</v>
      </c>
      <c r="B453" s="3">
        <v>45050</v>
      </c>
      <c r="C453">
        <f t="shared" si="129"/>
        <v>4</v>
      </c>
      <c r="D453">
        <f t="shared" si="130"/>
        <v>5</v>
      </c>
      <c r="E453">
        <f t="shared" si="131"/>
        <v>2023</v>
      </c>
      <c r="F453" s="2">
        <v>2739</v>
      </c>
      <c r="G453" t="s">
        <v>19</v>
      </c>
      <c r="H453" s="4">
        <f t="shared" si="132"/>
        <v>0.5137784540236352</v>
      </c>
    </row>
    <row r="454" spans="1:8" x14ac:dyDescent="0.3">
      <c r="A454" t="s">
        <v>7</v>
      </c>
      <c r="B454" s="3">
        <v>45050</v>
      </c>
      <c r="C454">
        <f t="shared" si="129"/>
        <v>4</v>
      </c>
      <c r="D454">
        <f t="shared" si="130"/>
        <v>5</v>
      </c>
      <c r="E454">
        <f t="shared" si="131"/>
        <v>2023</v>
      </c>
      <c r="F454" s="2">
        <v>2183</v>
      </c>
      <c r="G454" t="s">
        <v>17</v>
      </c>
      <c r="H454" s="4">
        <f>SUMIFS($F$2:$F$2739,$G$2:$G$2739,"No Contract",$E$2:$E$2739,2023)/SUMIF($E$2:$E$2739,2023,$F$2:$F$2739)</f>
        <v>0.20934732870162456</v>
      </c>
    </row>
    <row r="455" spans="1:8" x14ac:dyDescent="0.3">
      <c r="A455" t="s">
        <v>4</v>
      </c>
      <c r="B455" s="3">
        <v>45050</v>
      </c>
      <c r="C455">
        <f t="shared" si="129"/>
        <v>4</v>
      </c>
      <c r="D455">
        <f t="shared" si="130"/>
        <v>5</v>
      </c>
      <c r="E455">
        <f t="shared" si="131"/>
        <v>2023</v>
      </c>
      <c r="F455" s="2">
        <v>2598</v>
      </c>
      <c r="G455" s="2" t="s">
        <v>19</v>
      </c>
      <c r="H455" s="4">
        <f t="shared" ref="H455:H456" si="133">SUMIFS($F$2:$F$2739,$G$2:$G$2739,"Multi-year Contract",$E$2:$E$2739,2023)/SUMIF($E$2:$E$2739,2023,$F$2:$F$2739)</f>
        <v>0.5137784540236352</v>
      </c>
    </row>
    <row r="456" spans="1:8" x14ac:dyDescent="0.3">
      <c r="A456" t="s">
        <v>12</v>
      </c>
      <c r="B456" s="3">
        <v>45051</v>
      </c>
      <c r="C456">
        <f t="shared" si="129"/>
        <v>5</v>
      </c>
      <c r="D456">
        <f t="shared" si="130"/>
        <v>5</v>
      </c>
      <c r="E456">
        <f t="shared" si="131"/>
        <v>2023</v>
      </c>
      <c r="F456" s="2">
        <v>926</v>
      </c>
      <c r="G456" s="2" t="s">
        <v>19</v>
      </c>
      <c r="H456" s="4">
        <f t="shared" si="133"/>
        <v>0.5137784540236352</v>
      </c>
    </row>
    <row r="457" spans="1:8" x14ac:dyDescent="0.3">
      <c r="A457" t="s">
        <v>5</v>
      </c>
      <c r="B457" s="3">
        <v>45051</v>
      </c>
      <c r="C457">
        <f t="shared" si="129"/>
        <v>5</v>
      </c>
      <c r="D457">
        <f t="shared" si="130"/>
        <v>5</v>
      </c>
      <c r="E457">
        <f t="shared" si="131"/>
        <v>2023</v>
      </c>
      <c r="F457" s="2">
        <v>3323</v>
      </c>
      <c r="G457" t="s">
        <v>18</v>
      </c>
      <c r="H457" s="4">
        <f>SUMIFS($F$2:$F$2739,$G$2:$G$2739,"Annual Contract",$E$2:$E$2739,2023)/SUMIF($E$2:$E$2739,2023,$F$2:$F$2739)</f>
        <v>0.27687421727474026</v>
      </c>
    </row>
    <row r="458" spans="1:8" x14ac:dyDescent="0.3">
      <c r="A458" t="s">
        <v>10</v>
      </c>
      <c r="B458" s="3">
        <v>45051</v>
      </c>
      <c r="C458">
        <f t="shared" si="129"/>
        <v>5</v>
      </c>
      <c r="D458">
        <f t="shared" si="130"/>
        <v>5</v>
      </c>
      <c r="E458">
        <f t="shared" si="131"/>
        <v>2023</v>
      </c>
      <c r="F458" s="2">
        <v>1280</v>
      </c>
      <c r="G458" t="s">
        <v>19</v>
      </c>
      <c r="H458" s="4">
        <f>SUMIFS($F$2:$F$2739,$G$2:$G$2739,"Multi-year Contract",$E$2:$E$2739,2023)/SUMIF($E$2:$E$2739,2023,$F$2:$F$2739)</f>
        <v>0.5137784540236352</v>
      </c>
    </row>
    <row r="459" spans="1:8" x14ac:dyDescent="0.3">
      <c r="A459" t="s">
        <v>5</v>
      </c>
      <c r="B459" s="3">
        <v>45051</v>
      </c>
      <c r="C459">
        <f t="shared" si="129"/>
        <v>5</v>
      </c>
      <c r="D459">
        <f t="shared" si="130"/>
        <v>5</v>
      </c>
      <c r="E459">
        <f t="shared" si="131"/>
        <v>2023</v>
      </c>
      <c r="F459" s="2">
        <v>883</v>
      </c>
      <c r="G459" t="s">
        <v>18</v>
      </c>
      <c r="H459" s="4">
        <f>SUMIFS($F$2:$F$2739,$G$2:$G$2739,"Annual Contract",$E$2:$E$2739,2023)/SUMIF($E$2:$E$2739,2023,$F$2:$F$2739)</f>
        <v>0.27687421727474026</v>
      </c>
    </row>
    <row r="460" spans="1:8" x14ac:dyDescent="0.3">
      <c r="A460" t="s">
        <v>12</v>
      </c>
      <c r="B460" s="3">
        <v>45052</v>
      </c>
      <c r="C460">
        <f t="shared" si="129"/>
        <v>6</v>
      </c>
      <c r="D460">
        <f t="shared" si="130"/>
        <v>5</v>
      </c>
      <c r="E460">
        <f t="shared" si="131"/>
        <v>2023</v>
      </c>
      <c r="F460" s="2">
        <v>2856</v>
      </c>
      <c r="G460" s="2" t="s">
        <v>19</v>
      </c>
      <c r="H460" s="4">
        <f t="shared" ref="H460:H461" si="134">SUMIFS($F$2:$F$2739,$G$2:$G$2739,"Multi-year Contract",$E$2:$E$2739,2023)/SUMIF($E$2:$E$2739,2023,$F$2:$F$2739)</f>
        <v>0.5137784540236352</v>
      </c>
    </row>
    <row r="461" spans="1:8" x14ac:dyDescent="0.3">
      <c r="A461" t="s">
        <v>11</v>
      </c>
      <c r="B461" s="3">
        <v>45052</v>
      </c>
      <c r="C461">
        <f t="shared" si="129"/>
        <v>6</v>
      </c>
      <c r="D461">
        <f t="shared" si="130"/>
        <v>5</v>
      </c>
      <c r="E461">
        <f t="shared" si="131"/>
        <v>2023</v>
      </c>
      <c r="F461" s="2">
        <v>1157</v>
      </c>
      <c r="G461" t="s">
        <v>19</v>
      </c>
      <c r="H461" s="4">
        <f t="shared" si="134"/>
        <v>0.5137784540236352</v>
      </c>
    </row>
    <row r="462" spans="1:8" x14ac:dyDescent="0.3">
      <c r="A462" t="s">
        <v>8</v>
      </c>
      <c r="B462" s="3">
        <v>45052</v>
      </c>
      <c r="C462">
        <f t="shared" si="129"/>
        <v>6</v>
      </c>
      <c r="D462">
        <f t="shared" si="130"/>
        <v>5</v>
      </c>
      <c r="E462">
        <f t="shared" si="131"/>
        <v>2023</v>
      </c>
      <c r="F462" s="2">
        <v>764</v>
      </c>
      <c r="G462" s="2" t="s">
        <v>18</v>
      </c>
      <c r="H462" s="4">
        <f t="shared" ref="H462:H465" si="135">SUMIFS($F$2:$F$2739,$G$2:$G$2739,"Annual Contract",$E$2:$E$2739,2023)/SUMIF($E$2:$E$2739,2023,$F$2:$F$2739)</f>
        <v>0.27687421727474026</v>
      </c>
    </row>
    <row r="463" spans="1:8" x14ac:dyDescent="0.3">
      <c r="A463" t="s">
        <v>6</v>
      </c>
      <c r="B463" s="3">
        <v>45053</v>
      </c>
      <c r="C463">
        <f t="shared" si="129"/>
        <v>7</v>
      </c>
      <c r="D463">
        <f t="shared" si="130"/>
        <v>5</v>
      </c>
      <c r="E463">
        <f t="shared" si="131"/>
        <v>2023</v>
      </c>
      <c r="F463" s="2">
        <v>1757</v>
      </c>
      <c r="G463" t="s">
        <v>18</v>
      </c>
      <c r="H463" s="4">
        <f t="shared" si="135"/>
        <v>0.27687421727474026</v>
      </c>
    </row>
    <row r="464" spans="1:8" x14ac:dyDescent="0.3">
      <c r="A464" t="s">
        <v>8</v>
      </c>
      <c r="B464" s="3">
        <v>45053</v>
      </c>
      <c r="C464">
        <f t="shared" si="129"/>
        <v>7</v>
      </c>
      <c r="D464">
        <f t="shared" si="130"/>
        <v>5</v>
      </c>
      <c r="E464">
        <f t="shared" si="131"/>
        <v>2023</v>
      </c>
      <c r="F464" s="2">
        <v>1851</v>
      </c>
      <c r="G464" s="2" t="s">
        <v>18</v>
      </c>
      <c r="H464" s="4">
        <f t="shared" si="135"/>
        <v>0.27687421727474026</v>
      </c>
    </row>
    <row r="465" spans="1:8" x14ac:dyDescent="0.3">
      <c r="A465" t="s">
        <v>6</v>
      </c>
      <c r="B465" s="3">
        <v>45054</v>
      </c>
      <c r="C465">
        <f t="shared" si="129"/>
        <v>8</v>
      </c>
      <c r="D465">
        <f t="shared" si="130"/>
        <v>5</v>
      </c>
      <c r="E465">
        <f t="shared" si="131"/>
        <v>2023</v>
      </c>
      <c r="F465" s="2">
        <v>3823</v>
      </c>
      <c r="G465" t="s">
        <v>18</v>
      </c>
      <c r="H465" s="4">
        <f t="shared" si="135"/>
        <v>0.27687421727474026</v>
      </c>
    </row>
    <row r="466" spans="1:8" x14ac:dyDescent="0.3">
      <c r="A466" t="s">
        <v>3</v>
      </c>
      <c r="B466" s="3">
        <v>45054</v>
      </c>
      <c r="C466">
        <f t="shared" si="129"/>
        <v>8</v>
      </c>
      <c r="D466">
        <f t="shared" si="130"/>
        <v>5</v>
      </c>
      <c r="E466">
        <f t="shared" si="131"/>
        <v>2023</v>
      </c>
      <c r="F466" s="2">
        <v>1938</v>
      </c>
      <c r="G466" t="s">
        <v>19</v>
      </c>
      <c r="H466" s="4">
        <f t="shared" ref="H466:H476" si="136">SUMIFS($F$2:$F$2739,$G$2:$G$2739,"Multi-year Contract",$E$2:$E$2739,2023)/SUMIF($E$2:$E$2739,2023,$F$2:$F$2739)</f>
        <v>0.5137784540236352</v>
      </c>
    </row>
    <row r="467" spans="1:8" x14ac:dyDescent="0.3">
      <c r="A467" t="s">
        <v>3</v>
      </c>
      <c r="B467" s="3">
        <v>45054</v>
      </c>
      <c r="C467">
        <f t="shared" si="129"/>
        <v>8</v>
      </c>
      <c r="D467">
        <f t="shared" si="130"/>
        <v>5</v>
      </c>
      <c r="E467">
        <f t="shared" si="131"/>
        <v>2023</v>
      </c>
      <c r="F467" s="2">
        <v>1587</v>
      </c>
      <c r="G467" t="s">
        <v>19</v>
      </c>
      <c r="H467" s="4">
        <f t="shared" si="136"/>
        <v>0.5137784540236352</v>
      </c>
    </row>
    <row r="468" spans="1:8" x14ac:dyDescent="0.3">
      <c r="A468" t="s">
        <v>12</v>
      </c>
      <c r="B468" s="3">
        <v>45055</v>
      </c>
      <c r="C468">
        <f t="shared" si="129"/>
        <v>9</v>
      </c>
      <c r="D468">
        <f t="shared" si="130"/>
        <v>5</v>
      </c>
      <c r="E468">
        <f t="shared" si="131"/>
        <v>2023</v>
      </c>
      <c r="F468" s="2">
        <v>1960</v>
      </c>
      <c r="G468" s="2" t="s">
        <v>19</v>
      </c>
      <c r="H468" s="4">
        <f t="shared" si="136"/>
        <v>0.5137784540236352</v>
      </c>
    </row>
    <row r="469" spans="1:8" x14ac:dyDescent="0.3">
      <c r="A469" t="s">
        <v>12</v>
      </c>
      <c r="B469" s="3">
        <v>45055</v>
      </c>
      <c r="C469">
        <f t="shared" si="129"/>
        <v>9</v>
      </c>
      <c r="D469">
        <f t="shared" si="130"/>
        <v>5</v>
      </c>
      <c r="E469">
        <f t="shared" si="131"/>
        <v>2023</v>
      </c>
      <c r="F469" s="2">
        <v>1332</v>
      </c>
      <c r="G469" s="2" t="s">
        <v>19</v>
      </c>
      <c r="H469" s="4">
        <f t="shared" si="136"/>
        <v>0.5137784540236352</v>
      </c>
    </row>
    <row r="470" spans="1:8" x14ac:dyDescent="0.3">
      <c r="A470" t="s">
        <v>4</v>
      </c>
      <c r="B470" s="3">
        <v>45055</v>
      </c>
      <c r="C470">
        <f t="shared" si="129"/>
        <v>9</v>
      </c>
      <c r="D470">
        <f t="shared" si="130"/>
        <v>5</v>
      </c>
      <c r="E470">
        <f t="shared" si="131"/>
        <v>2023</v>
      </c>
      <c r="F470" s="2">
        <v>2882</v>
      </c>
      <c r="G470" s="2" t="s">
        <v>19</v>
      </c>
      <c r="H470" s="4">
        <f t="shared" si="136"/>
        <v>0.5137784540236352</v>
      </c>
    </row>
    <row r="471" spans="1:8" x14ac:dyDescent="0.3">
      <c r="A471" t="s">
        <v>12</v>
      </c>
      <c r="B471" s="3">
        <v>45056</v>
      </c>
      <c r="C471">
        <f t="shared" si="129"/>
        <v>10</v>
      </c>
      <c r="D471">
        <f t="shared" si="130"/>
        <v>5</v>
      </c>
      <c r="E471">
        <f t="shared" si="131"/>
        <v>2023</v>
      </c>
      <c r="F471" s="2">
        <v>1787</v>
      </c>
      <c r="G471" s="2" t="s">
        <v>19</v>
      </c>
      <c r="H471" s="4">
        <f t="shared" si="136"/>
        <v>0.5137784540236352</v>
      </c>
    </row>
    <row r="472" spans="1:8" x14ac:dyDescent="0.3">
      <c r="A472" t="s">
        <v>10</v>
      </c>
      <c r="B472" s="3">
        <v>45056</v>
      </c>
      <c r="C472">
        <f t="shared" si="129"/>
        <v>10</v>
      </c>
      <c r="D472">
        <f t="shared" si="130"/>
        <v>5</v>
      </c>
      <c r="E472">
        <f t="shared" si="131"/>
        <v>2023</v>
      </c>
      <c r="F472" s="2">
        <v>650</v>
      </c>
      <c r="G472" t="s">
        <v>19</v>
      </c>
      <c r="H472" s="4">
        <f t="shared" si="136"/>
        <v>0.5137784540236352</v>
      </c>
    </row>
    <row r="473" spans="1:8" x14ac:dyDescent="0.3">
      <c r="A473" t="s">
        <v>3</v>
      </c>
      <c r="B473" s="3">
        <v>45056</v>
      </c>
      <c r="C473">
        <f t="shared" si="129"/>
        <v>10</v>
      </c>
      <c r="D473">
        <f t="shared" si="130"/>
        <v>5</v>
      </c>
      <c r="E473">
        <f t="shared" si="131"/>
        <v>2023</v>
      </c>
      <c r="F473" s="2">
        <v>2923</v>
      </c>
      <c r="G473" t="s">
        <v>19</v>
      </c>
      <c r="H473" s="4">
        <f t="shared" si="136"/>
        <v>0.5137784540236352</v>
      </c>
    </row>
    <row r="474" spans="1:8" x14ac:dyDescent="0.3">
      <c r="A474" t="s">
        <v>3</v>
      </c>
      <c r="B474" s="3">
        <v>45056</v>
      </c>
      <c r="C474">
        <f t="shared" si="129"/>
        <v>10</v>
      </c>
      <c r="D474">
        <f t="shared" si="130"/>
        <v>5</v>
      </c>
      <c r="E474">
        <f t="shared" si="131"/>
        <v>2023</v>
      </c>
      <c r="F474" s="2">
        <v>721</v>
      </c>
      <c r="G474" t="s">
        <v>19</v>
      </c>
      <c r="H474" s="4">
        <f t="shared" si="136"/>
        <v>0.5137784540236352</v>
      </c>
    </row>
    <row r="475" spans="1:8" x14ac:dyDescent="0.3">
      <c r="A475" t="s">
        <v>10</v>
      </c>
      <c r="B475" s="3">
        <v>45057</v>
      </c>
      <c r="C475">
        <f t="shared" si="129"/>
        <v>11</v>
      </c>
      <c r="D475">
        <f t="shared" si="130"/>
        <v>5</v>
      </c>
      <c r="E475">
        <f t="shared" si="131"/>
        <v>2023</v>
      </c>
      <c r="F475" s="2">
        <v>1875</v>
      </c>
      <c r="G475" t="s">
        <v>19</v>
      </c>
      <c r="H475" s="4">
        <f t="shared" si="136"/>
        <v>0.5137784540236352</v>
      </c>
    </row>
    <row r="476" spans="1:8" x14ac:dyDescent="0.3">
      <c r="A476" t="s">
        <v>4</v>
      </c>
      <c r="B476" s="3">
        <v>45057</v>
      </c>
      <c r="C476">
        <f t="shared" si="129"/>
        <v>11</v>
      </c>
      <c r="D476">
        <f t="shared" si="130"/>
        <v>5</v>
      </c>
      <c r="E476">
        <f t="shared" si="131"/>
        <v>2023</v>
      </c>
      <c r="F476" s="2">
        <v>2249</v>
      </c>
      <c r="G476" s="2" t="s">
        <v>19</v>
      </c>
      <c r="H476" s="4">
        <f t="shared" si="136"/>
        <v>0.5137784540236352</v>
      </c>
    </row>
    <row r="477" spans="1:8" x14ac:dyDescent="0.3">
      <c r="A477" t="s">
        <v>8</v>
      </c>
      <c r="B477" s="3">
        <v>45057</v>
      </c>
      <c r="C477">
        <f t="shared" si="129"/>
        <v>11</v>
      </c>
      <c r="D477">
        <f t="shared" si="130"/>
        <v>5</v>
      </c>
      <c r="E477">
        <f t="shared" si="131"/>
        <v>2023</v>
      </c>
      <c r="F477" s="2">
        <v>1554</v>
      </c>
      <c r="G477" s="2" t="s">
        <v>18</v>
      </c>
      <c r="H477" s="4">
        <f>SUMIFS($F$2:$F$2739,$G$2:$G$2739,"Annual Contract",$E$2:$E$2739,2023)/SUMIF($E$2:$E$2739,2023,$F$2:$F$2739)</f>
        <v>0.27687421727474026</v>
      </c>
    </row>
    <row r="478" spans="1:8" x14ac:dyDescent="0.3">
      <c r="A478" t="s">
        <v>9</v>
      </c>
      <c r="B478" s="3">
        <v>45057</v>
      </c>
      <c r="C478">
        <f t="shared" si="129"/>
        <v>11</v>
      </c>
      <c r="D478">
        <f t="shared" si="130"/>
        <v>5</v>
      </c>
      <c r="E478">
        <f t="shared" si="131"/>
        <v>2023</v>
      </c>
      <c r="F478" s="2">
        <v>3570</v>
      </c>
      <c r="G478" t="s">
        <v>17</v>
      </c>
      <c r="H478" s="4">
        <f>SUMIFS($F$2:$F$2739,$G$2:$G$2739,"No Contract",$E$2:$E$2739,2023)/SUMIF($E$2:$E$2739,2023,$F$2:$F$2739)</f>
        <v>0.20934732870162456</v>
      </c>
    </row>
    <row r="479" spans="1:8" x14ac:dyDescent="0.3">
      <c r="A479" t="s">
        <v>6</v>
      </c>
      <c r="B479" s="3">
        <v>45058</v>
      </c>
      <c r="C479">
        <f t="shared" si="129"/>
        <v>12</v>
      </c>
      <c r="D479">
        <f t="shared" si="130"/>
        <v>5</v>
      </c>
      <c r="E479">
        <f t="shared" si="131"/>
        <v>2023</v>
      </c>
      <c r="F479" s="2">
        <v>2318</v>
      </c>
      <c r="G479" t="s">
        <v>18</v>
      </c>
      <c r="H479" s="4">
        <f t="shared" ref="H479:H480" si="137">SUMIFS($F$2:$F$2739,$G$2:$G$2739,"Annual Contract",$E$2:$E$2739,2023)/SUMIF($E$2:$E$2739,2023,$F$2:$F$2739)</f>
        <v>0.27687421727474026</v>
      </c>
    </row>
    <row r="480" spans="1:8" x14ac:dyDescent="0.3">
      <c r="A480" t="s">
        <v>6</v>
      </c>
      <c r="B480" s="3">
        <v>45058</v>
      </c>
      <c r="C480">
        <f t="shared" si="129"/>
        <v>12</v>
      </c>
      <c r="D480">
        <f t="shared" si="130"/>
        <v>5</v>
      </c>
      <c r="E480">
        <f t="shared" si="131"/>
        <v>2023</v>
      </c>
      <c r="F480" s="2">
        <v>2115</v>
      </c>
      <c r="G480" t="s">
        <v>18</v>
      </c>
      <c r="H480" s="4">
        <f t="shared" si="137"/>
        <v>0.27687421727474026</v>
      </c>
    </row>
    <row r="481" spans="1:8" x14ac:dyDescent="0.3">
      <c r="A481" t="s">
        <v>10</v>
      </c>
      <c r="B481" s="3">
        <v>45058</v>
      </c>
      <c r="C481">
        <f t="shared" si="129"/>
        <v>12</v>
      </c>
      <c r="D481">
        <f t="shared" si="130"/>
        <v>5</v>
      </c>
      <c r="E481">
        <f t="shared" si="131"/>
        <v>2023</v>
      </c>
      <c r="F481" s="2">
        <v>1661</v>
      </c>
      <c r="G481" t="s">
        <v>19</v>
      </c>
      <c r="H481" s="4">
        <f>SUMIFS($F$2:$F$2739,$G$2:$G$2739,"Multi-year Contract",$E$2:$E$2739,2023)/SUMIF($E$2:$E$2739,2023,$F$2:$F$2739)</f>
        <v>0.5137784540236352</v>
      </c>
    </row>
    <row r="482" spans="1:8" x14ac:dyDescent="0.3">
      <c r="A482" t="s">
        <v>6</v>
      </c>
      <c r="B482" s="3">
        <v>45058</v>
      </c>
      <c r="C482">
        <f t="shared" si="129"/>
        <v>12</v>
      </c>
      <c r="D482">
        <f t="shared" si="130"/>
        <v>5</v>
      </c>
      <c r="E482">
        <f t="shared" si="131"/>
        <v>2023</v>
      </c>
      <c r="F482" s="2">
        <v>3798</v>
      </c>
      <c r="G482" t="s">
        <v>18</v>
      </c>
      <c r="H482" s="4">
        <f t="shared" ref="H482:H483" si="138">SUMIFS($F$2:$F$2739,$G$2:$G$2739,"Annual Contract",$E$2:$E$2739,2023)/SUMIF($E$2:$E$2739,2023,$F$2:$F$2739)</f>
        <v>0.27687421727474026</v>
      </c>
    </row>
    <row r="483" spans="1:8" x14ac:dyDescent="0.3">
      <c r="A483" t="s">
        <v>8</v>
      </c>
      <c r="B483" s="3">
        <v>45058</v>
      </c>
      <c r="C483">
        <f t="shared" si="129"/>
        <v>12</v>
      </c>
      <c r="D483">
        <f t="shared" si="130"/>
        <v>5</v>
      </c>
      <c r="E483">
        <f t="shared" si="131"/>
        <v>2023</v>
      </c>
      <c r="F483" s="2">
        <v>2590</v>
      </c>
      <c r="G483" s="2" t="s">
        <v>18</v>
      </c>
      <c r="H483" s="4">
        <f t="shared" si="138"/>
        <v>0.27687421727474026</v>
      </c>
    </row>
    <row r="484" spans="1:8" x14ac:dyDescent="0.3">
      <c r="A484" t="s">
        <v>3</v>
      </c>
      <c r="B484" s="3">
        <v>45058</v>
      </c>
      <c r="C484">
        <f t="shared" si="129"/>
        <v>12</v>
      </c>
      <c r="D484">
        <f t="shared" si="130"/>
        <v>5</v>
      </c>
      <c r="E484">
        <f t="shared" si="131"/>
        <v>2023</v>
      </c>
      <c r="F484" s="2">
        <v>2885</v>
      </c>
      <c r="G484" t="s">
        <v>19</v>
      </c>
      <c r="H484" s="4">
        <f t="shared" ref="H484:H487" si="139">SUMIFS($F$2:$F$2739,$G$2:$G$2739,"Multi-year Contract",$E$2:$E$2739,2023)/SUMIF($E$2:$E$2739,2023,$F$2:$F$2739)</f>
        <v>0.5137784540236352</v>
      </c>
    </row>
    <row r="485" spans="1:8" x14ac:dyDescent="0.3">
      <c r="A485" t="s">
        <v>4</v>
      </c>
      <c r="B485" s="3">
        <v>45059</v>
      </c>
      <c r="C485">
        <f t="shared" si="129"/>
        <v>13</v>
      </c>
      <c r="D485">
        <f t="shared" si="130"/>
        <v>5</v>
      </c>
      <c r="E485">
        <f t="shared" si="131"/>
        <v>2023</v>
      </c>
      <c r="F485" s="2">
        <v>2049</v>
      </c>
      <c r="G485" s="2" t="s">
        <v>19</v>
      </c>
      <c r="H485" s="4">
        <f t="shared" si="139"/>
        <v>0.5137784540236352</v>
      </c>
    </row>
    <row r="486" spans="1:8" x14ac:dyDescent="0.3">
      <c r="A486" t="s">
        <v>3</v>
      </c>
      <c r="B486" s="3">
        <v>45060</v>
      </c>
      <c r="C486">
        <f t="shared" si="129"/>
        <v>14</v>
      </c>
      <c r="D486">
        <f t="shared" si="130"/>
        <v>5</v>
      </c>
      <c r="E486">
        <f t="shared" si="131"/>
        <v>2023</v>
      </c>
      <c r="F486" s="2">
        <v>922</v>
      </c>
      <c r="G486" t="s">
        <v>19</v>
      </c>
      <c r="H486" s="4">
        <f t="shared" si="139"/>
        <v>0.5137784540236352</v>
      </c>
    </row>
    <row r="487" spans="1:8" x14ac:dyDescent="0.3">
      <c r="A487" t="s">
        <v>10</v>
      </c>
      <c r="B487" s="3">
        <v>45061</v>
      </c>
      <c r="C487">
        <f t="shared" si="129"/>
        <v>15</v>
      </c>
      <c r="D487">
        <f t="shared" si="130"/>
        <v>5</v>
      </c>
      <c r="E487">
        <f t="shared" si="131"/>
        <v>2023</v>
      </c>
      <c r="F487" s="2">
        <v>2368</v>
      </c>
      <c r="G487" t="s">
        <v>19</v>
      </c>
      <c r="H487" s="4">
        <f t="shared" si="139"/>
        <v>0.5137784540236352</v>
      </c>
    </row>
    <row r="488" spans="1:8" x14ac:dyDescent="0.3">
      <c r="A488" t="s">
        <v>9</v>
      </c>
      <c r="B488" s="3">
        <v>45061</v>
      </c>
      <c r="C488">
        <f t="shared" si="129"/>
        <v>15</v>
      </c>
      <c r="D488">
        <f t="shared" si="130"/>
        <v>5</v>
      </c>
      <c r="E488">
        <f t="shared" si="131"/>
        <v>2023</v>
      </c>
      <c r="F488" s="2">
        <v>3936</v>
      </c>
      <c r="G488" t="s">
        <v>17</v>
      </c>
      <c r="H488" s="4">
        <f t="shared" ref="H488:H489" si="140">SUMIFS($F$2:$F$2739,$G$2:$G$2739,"No Contract",$E$2:$E$2739,2023)/SUMIF($E$2:$E$2739,2023,$F$2:$F$2739)</f>
        <v>0.20934732870162456</v>
      </c>
    </row>
    <row r="489" spans="1:8" x14ac:dyDescent="0.3">
      <c r="A489" t="s">
        <v>7</v>
      </c>
      <c r="B489" s="3">
        <v>45061</v>
      </c>
      <c r="C489">
        <f t="shared" si="129"/>
        <v>15</v>
      </c>
      <c r="D489">
        <f t="shared" si="130"/>
        <v>5</v>
      </c>
      <c r="E489">
        <f t="shared" si="131"/>
        <v>2023</v>
      </c>
      <c r="F489" s="2">
        <v>1756</v>
      </c>
      <c r="G489" t="s">
        <v>17</v>
      </c>
      <c r="H489" s="4">
        <f t="shared" si="140"/>
        <v>0.20934732870162456</v>
      </c>
    </row>
    <row r="490" spans="1:8" x14ac:dyDescent="0.3">
      <c r="A490" t="s">
        <v>6</v>
      </c>
      <c r="B490" s="3">
        <v>45061</v>
      </c>
      <c r="C490">
        <f t="shared" si="129"/>
        <v>15</v>
      </c>
      <c r="D490">
        <f t="shared" si="130"/>
        <v>5</v>
      </c>
      <c r="E490">
        <f t="shared" si="131"/>
        <v>2023</v>
      </c>
      <c r="F490" s="2">
        <v>1532</v>
      </c>
      <c r="G490" t="s">
        <v>18</v>
      </c>
      <c r="H490" s="4">
        <f>SUMIFS($F$2:$F$2739,$G$2:$G$2739,"Annual Contract",$E$2:$E$2739,2023)/SUMIF($E$2:$E$2739,2023,$F$2:$F$2739)</f>
        <v>0.27687421727474026</v>
      </c>
    </row>
    <row r="491" spans="1:8" x14ac:dyDescent="0.3">
      <c r="A491" t="s">
        <v>4</v>
      </c>
      <c r="B491" s="3">
        <v>45062</v>
      </c>
      <c r="C491">
        <f t="shared" si="129"/>
        <v>16</v>
      </c>
      <c r="D491">
        <f t="shared" si="130"/>
        <v>5</v>
      </c>
      <c r="E491">
        <f t="shared" si="131"/>
        <v>2023</v>
      </c>
      <c r="F491" s="2">
        <v>2933</v>
      </c>
      <c r="G491" s="2" t="s">
        <v>19</v>
      </c>
      <c r="H491" s="4">
        <f>SUMIFS($F$2:$F$2739,$G$2:$G$2739,"Multi-year Contract",$E$2:$E$2739,2023)/SUMIF($E$2:$E$2739,2023,$F$2:$F$2739)</f>
        <v>0.5137784540236352</v>
      </c>
    </row>
    <row r="492" spans="1:8" x14ac:dyDescent="0.3">
      <c r="A492" t="s">
        <v>5</v>
      </c>
      <c r="B492" s="3">
        <v>45062</v>
      </c>
      <c r="C492">
        <f t="shared" si="129"/>
        <v>16</v>
      </c>
      <c r="D492">
        <f t="shared" si="130"/>
        <v>5</v>
      </c>
      <c r="E492">
        <f t="shared" si="131"/>
        <v>2023</v>
      </c>
      <c r="F492" s="2">
        <v>1227</v>
      </c>
      <c r="G492" t="s">
        <v>18</v>
      </c>
      <c r="H492" s="4">
        <f>SUMIFS($F$2:$F$2739,$G$2:$G$2739,"Annual Contract",$E$2:$E$2739,2023)/SUMIF($E$2:$E$2739,2023,$F$2:$F$2739)</f>
        <v>0.27687421727474026</v>
      </c>
    </row>
    <row r="493" spans="1:8" x14ac:dyDescent="0.3">
      <c r="A493" t="s">
        <v>9</v>
      </c>
      <c r="B493" s="3">
        <v>45062</v>
      </c>
      <c r="C493">
        <f t="shared" si="129"/>
        <v>16</v>
      </c>
      <c r="D493">
        <f t="shared" si="130"/>
        <v>5</v>
      </c>
      <c r="E493">
        <f t="shared" si="131"/>
        <v>2023</v>
      </c>
      <c r="F493" s="2">
        <v>3772</v>
      </c>
      <c r="G493" t="s">
        <v>17</v>
      </c>
      <c r="H493" s="4">
        <f>SUMIFS($F$2:$F$2739,$G$2:$G$2739,"No Contract",$E$2:$E$2739,2023)/SUMIF($E$2:$E$2739,2023,$F$2:$F$2739)</f>
        <v>0.20934732870162456</v>
      </c>
    </row>
    <row r="494" spans="1:8" x14ac:dyDescent="0.3">
      <c r="A494" t="s">
        <v>8</v>
      </c>
      <c r="B494" s="3">
        <v>45062</v>
      </c>
      <c r="C494">
        <f t="shared" si="129"/>
        <v>16</v>
      </c>
      <c r="D494">
        <f t="shared" si="130"/>
        <v>5</v>
      </c>
      <c r="E494">
        <f t="shared" si="131"/>
        <v>2023</v>
      </c>
      <c r="F494" s="2">
        <v>3962</v>
      </c>
      <c r="G494" s="2" t="s">
        <v>18</v>
      </c>
      <c r="H494" s="4">
        <f>SUMIFS($F$2:$F$2739,$G$2:$G$2739,"Annual Contract",$E$2:$E$2739,2023)/SUMIF($E$2:$E$2739,2023,$F$2:$F$2739)</f>
        <v>0.27687421727474026</v>
      </c>
    </row>
    <row r="495" spans="1:8" x14ac:dyDescent="0.3">
      <c r="A495" t="s">
        <v>7</v>
      </c>
      <c r="B495" s="3">
        <v>45062</v>
      </c>
      <c r="C495">
        <f t="shared" si="129"/>
        <v>16</v>
      </c>
      <c r="D495">
        <f t="shared" si="130"/>
        <v>5</v>
      </c>
      <c r="E495">
        <f t="shared" si="131"/>
        <v>2023</v>
      </c>
      <c r="F495" s="2">
        <v>1714</v>
      </c>
      <c r="G495" t="s">
        <v>17</v>
      </c>
      <c r="H495" s="4">
        <f>SUMIFS($F$2:$F$2739,$G$2:$G$2739,"No Contract",$E$2:$E$2739,2023)/SUMIF($E$2:$E$2739,2023,$F$2:$F$2739)</f>
        <v>0.20934732870162456</v>
      </c>
    </row>
    <row r="496" spans="1:8" x14ac:dyDescent="0.3">
      <c r="A496" t="s">
        <v>4</v>
      </c>
      <c r="B496" s="3">
        <v>45063</v>
      </c>
      <c r="C496">
        <f t="shared" si="129"/>
        <v>17</v>
      </c>
      <c r="D496">
        <f t="shared" si="130"/>
        <v>5</v>
      </c>
      <c r="E496">
        <f t="shared" si="131"/>
        <v>2023</v>
      </c>
      <c r="F496" s="2">
        <v>1795</v>
      </c>
      <c r="G496" s="2" t="s">
        <v>19</v>
      </c>
      <c r="H496" s="4">
        <f t="shared" ref="H496:H498" si="141">SUMIFS($F$2:$F$2739,$G$2:$G$2739,"Multi-year Contract",$E$2:$E$2739,2023)/SUMIF($E$2:$E$2739,2023,$F$2:$F$2739)</f>
        <v>0.5137784540236352</v>
      </c>
    </row>
    <row r="497" spans="1:8" x14ac:dyDescent="0.3">
      <c r="A497" t="s">
        <v>4</v>
      </c>
      <c r="B497" s="3">
        <v>45063</v>
      </c>
      <c r="C497">
        <f t="shared" si="129"/>
        <v>17</v>
      </c>
      <c r="D497">
        <f t="shared" si="130"/>
        <v>5</v>
      </c>
      <c r="E497">
        <f t="shared" si="131"/>
        <v>2023</v>
      </c>
      <c r="F497" s="2">
        <v>2182</v>
      </c>
      <c r="G497" s="2" t="s">
        <v>19</v>
      </c>
      <c r="H497" s="4">
        <f t="shared" si="141"/>
        <v>0.5137784540236352</v>
      </c>
    </row>
    <row r="498" spans="1:8" x14ac:dyDescent="0.3">
      <c r="A498" t="s">
        <v>12</v>
      </c>
      <c r="B498" s="3">
        <v>45063</v>
      </c>
      <c r="C498">
        <f t="shared" si="129"/>
        <v>17</v>
      </c>
      <c r="D498">
        <f t="shared" si="130"/>
        <v>5</v>
      </c>
      <c r="E498">
        <f t="shared" si="131"/>
        <v>2023</v>
      </c>
      <c r="F498" s="2">
        <v>3861</v>
      </c>
      <c r="G498" s="2" t="s">
        <v>19</v>
      </c>
      <c r="H498" s="4">
        <f t="shared" si="141"/>
        <v>0.5137784540236352</v>
      </c>
    </row>
    <row r="499" spans="1:8" x14ac:dyDescent="0.3">
      <c r="A499" t="s">
        <v>7</v>
      </c>
      <c r="B499" s="3">
        <v>45064</v>
      </c>
      <c r="C499">
        <f t="shared" si="129"/>
        <v>18</v>
      </c>
      <c r="D499">
        <f t="shared" si="130"/>
        <v>5</v>
      </c>
      <c r="E499">
        <f t="shared" si="131"/>
        <v>2023</v>
      </c>
      <c r="F499" s="2">
        <v>2174</v>
      </c>
      <c r="G499" t="s">
        <v>17</v>
      </c>
      <c r="H499" s="4">
        <f>SUMIFS($F$2:$F$2739,$G$2:$G$2739,"No Contract",$E$2:$E$2739,2023)/SUMIF($E$2:$E$2739,2023,$F$2:$F$2739)</f>
        <v>0.20934732870162456</v>
      </c>
    </row>
    <row r="500" spans="1:8" x14ac:dyDescent="0.3">
      <c r="A500" t="s">
        <v>4</v>
      </c>
      <c r="B500" s="3">
        <v>45064</v>
      </c>
      <c r="C500">
        <f t="shared" si="129"/>
        <v>18</v>
      </c>
      <c r="D500">
        <f t="shared" si="130"/>
        <v>5</v>
      </c>
      <c r="E500">
        <f t="shared" si="131"/>
        <v>2023</v>
      </c>
      <c r="F500" s="2">
        <v>3836</v>
      </c>
      <c r="G500" s="2" t="s">
        <v>19</v>
      </c>
      <c r="H500" s="4">
        <f>SUMIFS($F$2:$F$2739,$G$2:$G$2739,"Multi-year Contract",$E$2:$E$2739,2023)/SUMIF($E$2:$E$2739,2023,$F$2:$F$2739)</f>
        <v>0.5137784540236352</v>
      </c>
    </row>
    <row r="501" spans="1:8" x14ac:dyDescent="0.3">
      <c r="A501" t="s">
        <v>7</v>
      </c>
      <c r="B501" s="3">
        <v>45064</v>
      </c>
      <c r="C501">
        <f t="shared" si="129"/>
        <v>18</v>
      </c>
      <c r="D501">
        <f t="shared" si="130"/>
        <v>5</v>
      </c>
      <c r="E501">
        <f t="shared" si="131"/>
        <v>2023</v>
      </c>
      <c r="F501" s="2">
        <v>2211</v>
      </c>
      <c r="G501" t="s">
        <v>17</v>
      </c>
      <c r="H501" s="4">
        <f>SUMIFS($F$2:$F$2739,$G$2:$G$2739,"No Contract",$E$2:$E$2739,2023)/SUMIF($E$2:$E$2739,2023,$F$2:$F$2739)</f>
        <v>0.20934732870162456</v>
      </c>
    </row>
    <row r="502" spans="1:8" x14ac:dyDescent="0.3">
      <c r="A502" t="s">
        <v>4</v>
      </c>
      <c r="B502" s="3">
        <v>45064</v>
      </c>
      <c r="C502">
        <f t="shared" si="129"/>
        <v>18</v>
      </c>
      <c r="D502">
        <f t="shared" si="130"/>
        <v>5</v>
      </c>
      <c r="E502">
        <f t="shared" si="131"/>
        <v>2023</v>
      </c>
      <c r="F502" s="2">
        <v>3625</v>
      </c>
      <c r="G502" s="2" t="s">
        <v>19</v>
      </c>
      <c r="H502" s="4">
        <f>SUMIFS($F$2:$F$2739,$G$2:$G$2739,"Multi-year Contract",$E$2:$E$2739,2023)/SUMIF($E$2:$E$2739,2023,$F$2:$F$2739)</f>
        <v>0.5137784540236352</v>
      </c>
    </row>
    <row r="503" spans="1:8" x14ac:dyDescent="0.3">
      <c r="A503" t="s">
        <v>7</v>
      </c>
      <c r="B503" s="3">
        <v>45064</v>
      </c>
      <c r="C503">
        <f t="shared" si="129"/>
        <v>18</v>
      </c>
      <c r="D503">
        <f t="shared" si="130"/>
        <v>5</v>
      </c>
      <c r="E503">
        <f t="shared" si="131"/>
        <v>2023</v>
      </c>
      <c r="F503" s="2">
        <v>944</v>
      </c>
      <c r="G503" t="s">
        <v>17</v>
      </c>
      <c r="H503" s="4">
        <f>SUMIFS($F$2:$F$2739,$G$2:$G$2739,"No Contract",$E$2:$E$2739,2023)/SUMIF($E$2:$E$2739,2023,$F$2:$F$2739)</f>
        <v>0.20934732870162456</v>
      </c>
    </row>
    <row r="504" spans="1:8" x14ac:dyDescent="0.3">
      <c r="A504" t="s">
        <v>5</v>
      </c>
      <c r="B504" s="3">
        <v>45065</v>
      </c>
      <c r="C504">
        <f t="shared" si="129"/>
        <v>19</v>
      </c>
      <c r="D504">
        <f t="shared" si="130"/>
        <v>5</v>
      </c>
      <c r="E504">
        <f t="shared" si="131"/>
        <v>2023</v>
      </c>
      <c r="F504" s="2">
        <v>2815</v>
      </c>
      <c r="G504" t="s">
        <v>18</v>
      </c>
      <c r="H504" s="4">
        <f>SUMIFS($F$2:$F$2739,$G$2:$G$2739,"Annual Contract",$E$2:$E$2739,2023)/SUMIF($E$2:$E$2739,2023,$F$2:$F$2739)</f>
        <v>0.27687421727474026</v>
      </c>
    </row>
    <row r="505" spans="1:8" x14ac:dyDescent="0.3">
      <c r="A505" t="s">
        <v>4</v>
      </c>
      <c r="B505" s="3">
        <v>45067</v>
      </c>
      <c r="C505">
        <f t="shared" si="129"/>
        <v>21</v>
      </c>
      <c r="D505">
        <f t="shared" si="130"/>
        <v>5</v>
      </c>
      <c r="E505">
        <f t="shared" si="131"/>
        <v>2023</v>
      </c>
      <c r="F505" s="2">
        <v>2937</v>
      </c>
      <c r="G505" s="2" t="s">
        <v>19</v>
      </c>
      <c r="H505" s="4">
        <f t="shared" ref="H505:H509" si="142">SUMIFS($F$2:$F$2739,$G$2:$G$2739,"Multi-year Contract",$E$2:$E$2739,2023)/SUMIF($E$2:$E$2739,2023,$F$2:$F$2739)</f>
        <v>0.5137784540236352</v>
      </c>
    </row>
    <row r="506" spans="1:8" x14ac:dyDescent="0.3">
      <c r="A506" t="s">
        <v>10</v>
      </c>
      <c r="B506" s="3">
        <v>45067</v>
      </c>
      <c r="C506">
        <f t="shared" si="129"/>
        <v>21</v>
      </c>
      <c r="D506">
        <f t="shared" si="130"/>
        <v>5</v>
      </c>
      <c r="E506">
        <f t="shared" si="131"/>
        <v>2023</v>
      </c>
      <c r="F506" s="2">
        <v>2107</v>
      </c>
      <c r="G506" t="s">
        <v>19</v>
      </c>
      <c r="H506" s="4">
        <f t="shared" si="142"/>
        <v>0.5137784540236352</v>
      </c>
    </row>
    <row r="507" spans="1:8" x14ac:dyDescent="0.3">
      <c r="A507" t="s">
        <v>3</v>
      </c>
      <c r="B507" s="3">
        <v>45067</v>
      </c>
      <c r="C507">
        <f t="shared" si="129"/>
        <v>21</v>
      </c>
      <c r="D507">
        <f t="shared" si="130"/>
        <v>5</v>
      </c>
      <c r="E507">
        <f t="shared" si="131"/>
        <v>2023</v>
      </c>
      <c r="F507" s="2">
        <v>3642</v>
      </c>
      <c r="G507" t="s">
        <v>19</v>
      </c>
      <c r="H507" s="4">
        <f t="shared" si="142"/>
        <v>0.5137784540236352</v>
      </c>
    </row>
    <row r="508" spans="1:8" x14ac:dyDescent="0.3">
      <c r="A508" t="s">
        <v>12</v>
      </c>
      <c r="B508" s="3">
        <v>45067</v>
      </c>
      <c r="C508">
        <f t="shared" si="129"/>
        <v>21</v>
      </c>
      <c r="D508">
        <f t="shared" si="130"/>
        <v>5</v>
      </c>
      <c r="E508">
        <f t="shared" si="131"/>
        <v>2023</v>
      </c>
      <c r="F508" s="2">
        <v>671</v>
      </c>
      <c r="G508" s="2" t="s">
        <v>19</v>
      </c>
      <c r="H508" s="4">
        <f t="shared" si="142"/>
        <v>0.5137784540236352</v>
      </c>
    </row>
    <row r="509" spans="1:8" x14ac:dyDescent="0.3">
      <c r="A509" t="s">
        <v>4</v>
      </c>
      <c r="B509" s="3">
        <v>45067</v>
      </c>
      <c r="C509">
        <f t="shared" si="129"/>
        <v>21</v>
      </c>
      <c r="D509">
        <f t="shared" si="130"/>
        <v>5</v>
      </c>
      <c r="E509">
        <f t="shared" si="131"/>
        <v>2023</v>
      </c>
      <c r="F509" s="2">
        <v>3278</v>
      </c>
      <c r="G509" s="2" t="s">
        <v>19</v>
      </c>
      <c r="H509" s="4">
        <f t="shared" si="142"/>
        <v>0.5137784540236352</v>
      </c>
    </row>
    <row r="510" spans="1:8" x14ac:dyDescent="0.3">
      <c r="A510" t="s">
        <v>6</v>
      </c>
      <c r="B510" s="3">
        <v>45067</v>
      </c>
      <c r="C510">
        <f t="shared" si="129"/>
        <v>21</v>
      </c>
      <c r="D510">
        <f t="shared" si="130"/>
        <v>5</v>
      </c>
      <c r="E510">
        <f t="shared" si="131"/>
        <v>2023</v>
      </c>
      <c r="F510" s="2">
        <v>1918</v>
      </c>
      <c r="G510" t="s">
        <v>18</v>
      </c>
      <c r="H510" s="4">
        <f t="shared" ref="H510:H513" si="143">SUMIFS($F$2:$F$2739,$G$2:$G$2739,"Annual Contract",$E$2:$E$2739,2023)/SUMIF($E$2:$E$2739,2023,$F$2:$F$2739)</f>
        <v>0.27687421727474026</v>
      </c>
    </row>
    <row r="511" spans="1:8" x14ac:dyDescent="0.3">
      <c r="A511" t="s">
        <v>6</v>
      </c>
      <c r="B511" s="3">
        <v>45067</v>
      </c>
      <c r="C511">
        <f t="shared" si="129"/>
        <v>21</v>
      </c>
      <c r="D511">
        <f t="shared" si="130"/>
        <v>5</v>
      </c>
      <c r="E511">
        <f t="shared" si="131"/>
        <v>2023</v>
      </c>
      <c r="F511" s="2">
        <v>2644</v>
      </c>
      <c r="G511" t="s">
        <v>18</v>
      </c>
      <c r="H511" s="4">
        <f t="shared" si="143"/>
        <v>0.27687421727474026</v>
      </c>
    </row>
    <row r="512" spans="1:8" x14ac:dyDescent="0.3">
      <c r="A512" t="s">
        <v>6</v>
      </c>
      <c r="B512" s="3">
        <v>45068</v>
      </c>
      <c r="C512">
        <f t="shared" si="129"/>
        <v>22</v>
      </c>
      <c r="D512">
        <f t="shared" si="130"/>
        <v>5</v>
      </c>
      <c r="E512">
        <f t="shared" si="131"/>
        <v>2023</v>
      </c>
      <c r="F512" s="2">
        <v>3804</v>
      </c>
      <c r="G512" t="s">
        <v>18</v>
      </c>
      <c r="H512" s="4">
        <f t="shared" si="143"/>
        <v>0.27687421727474026</v>
      </c>
    </row>
    <row r="513" spans="1:8" x14ac:dyDescent="0.3">
      <c r="A513" t="s">
        <v>6</v>
      </c>
      <c r="B513" s="3">
        <v>45068</v>
      </c>
      <c r="C513">
        <f t="shared" si="129"/>
        <v>22</v>
      </c>
      <c r="D513">
        <f t="shared" si="130"/>
        <v>5</v>
      </c>
      <c r="E513">
        <f t="shared" si="131"/>
        <v>2023</v>
      </c>
      <c r="F513" s="2">
        <v>3686</v>
      </c>
      <c r="G513" t="s">
        <v>18</v>
      </c>
      <c r="H513" s="4">
        <f t="shared" si="143"/>
        <v>0.27687421727474026</v>
      </c>
    </row>
    <row r="514" spans="1:8" x14ac:dyDescent="0.3">
      <c r="A514" t="s">
        <v>3</v>
      </c>
      <c r="B514" s="3">
        <v>45068</v>
      </c>
      <c r="C514">
        <f t="shared" si="129"/>
        <v>22</v>
      </c>
      <c r="D514">
        <f t="shared" si="130"/>
        <v>5</v>
      </c>
      <c r="E514">
        <f t="shared" si="131"/>
        <v>2023</v>
      </c>
      <c r="F514" s="2">
        <v>1964</v>
      </c>
      <c r="G514" t="s">
        <v>19</v>
      </c>
      <c r="H514" s="4">
        <f>SUMIFS($F$2:$F$2739,$G$2:$G$2739,"Multi-year Contract",$E$2:$E$2739,2023)/SUMIF($E$2:$E$2739,2023,$F$2:$F$2739)</f>
        <v>0.5137784540236352</v>
      </c>
    </row>
    <row r="515" spans="1:8" x14ac:dyDescent="0.3">
      <c r="A515" t="s">
        <v>6</v>
      </c>
      <c r="B515" s="3">
        <v>45068</v>
      </c>
      <c r="C515">
        <f t="shared" ref="C515:C578" si="144">DAY(B515)</f>
        <v>22</v>
      </c>
      <c r="D515">
        <f t="shared" ref="D515:D578" si="145">MONTH(B515)</f>
        <v>5</v>
      </c>
      <c r="E515">
        <f t="shared" ref="E515:E578" si="146">YEAR(B515)</f>
        <v>2023</v>
      </c>
      <c r="F515" s="2">
        <v>1097</v>
      </c>
      <c r="G515" t="s">
        <v>18</v>
      </c>
      <c r="H515" s="4">
        <f t="shared" ref="H515:H516" si="147">SUMIFS($F$2:$F$2739,$G$2:$G$2739,"Annual Contract",$E$2:$E$2739,2023)/SUMIF($E$2:$E$2739,2023,$F$2:$F$2739)</f>
        <v>0.27687421727474026</v>
      </c>
    </row>
    <row r="516" spans="1:8" x14ac:dyDescent="0.3">
      <c r="A516" t="s">
        <v>5</v>
      </c>
      <c r="B516" s="3">
        <v>45069</v>
      </c>
      <c r="C516">
        <f t="shared" si="144"/>
        <v>23</v>
      </c>
      <c r="D516">
        <f t="shared" si="145"/>
        <v>5</v>
      </c>
      <c r="E516">
        <f t="shared" si="146"/>
        <v>2023</v>
      </c>
      <c r="F516" s="2">
        <v>2711</v>
      </c>
      <c r="G516" t="s">
        <v>18</v>
      </c>
      <c r="H516" s="4">
        <f t="shared" si="147"/>
        <v>0.27687421727474026</v>
      </c>
    </row>
    <row r="517" spans="1:8" x14ac:dyDescent="0.3">
      <c r="A517" t="s">
        <v>10</v>
      </c>
      <c r="B517" s="3">
        <v>45070</v>
      </c>
      <c r="C517">
        <f t="shared" si="144"/>
        <v>24</v>
      </c>
      <c r="D517">
        <f t="shared" si="145"/>
        <v>5</v>
      </c>
      <c r="E517">
        <f t="shared" si="146"/>
        <v>2023</v>
      </c>
      <c r="F517" s="2">
        <v>1141</v>
      </c>
      <c r="G517" t="s">
        <v>19</v>
      </c>
      <c r="H517" s="4">
        <f t="shared" ref="H517:H519" si="148">SUMIFS($F$2:$F$2739,$G$2:$G$2739,"Multi-year Contract",$E$2:$E$2739,2023)/SUMIF($E$2:$E$2739,2023,$F$2:$F$2739)</f>
        <v>0.5137784540236352</v>
      </c>
    </row>
    <row r="518" spans="1:8" x14ac:dyDescent="0.3">
      <c r="A518" t="s">
        <v>4</v>
      </c>
      <c r="B518" s="3">
        <v>45070</v>
      </c>
      <c r="C518">
        <f t="shared" si="144"/>
        <v>24</v>
      </c>
      <c r="D518">
        <f t="shared" si="145"/>
        <v>5</v>
      </c>
      <c r="E518">
        <f t="shared" si="146"/>
        <v>2023</v>
      </c>
      <c r="F518" s="2">
        <v>773</v>
      </c>
      <c r="G518" s="2" t="s">
        <v>19</v>
      </c>
      <c r="H518" s="4">
        <f t="shared" si="148"/>
        <v>0.5137784540236352</v>
      </c>
    </row>
    <row r="519" spans="1:8" x14ac:dyDescent="0.3">
      <c r="A519" t="s">
        <v>4</v>
      </c>
      <c r="B519" s="3">
        <v>45071</v>
      </c>
      <c r="C519">
        <f t="shared" si="144"/>
        <v>25</v>
      </c>
      <c r="D519">
        <f t="shared" si="145"/>
        <v>5</v>
      </c>
      <c r="E519">
        <f t="shared" si="146"/>
        <v>2023</v>
      </c>
      <c r="F519" s="2">
        <v>2096</v>
      </c>
      <c r="G519" s="2" t="s">
        <v>19</v>
      </c>
      <c r="H519" s="4">
        <f t="shared" si="148"/>
        <v>0.5137784540236352</v>
      </c>
    </row>
    <row r="520" spans="1:8" x14ac:dyDescent="0.3">
      <c r="A520" t="s">
        <v>7</v>
      </c>
      <c r="B520" s="3">
        <v>45071</v>
      </c>
      <c r="C520">
        <f t="shared" si="144"/>
        <v>25</v>
      </c>
      <c r="D520">
        <f t="shared" si="145"/>
        <v>5</v>
      </c>
      <c r="E520">
        <f t="shared" si="146"/>
        <v>2023</v>
      </c>
      <c r="F520" s="2">
        <v>2714</v>
      </c>
      <c r="G520" t="s">
        <v>17</v>
      </c>
      <c r="H520" s="4">
        <f>SUMIFS($F$2:$F$2739,$G$2:$G$2739,"No Contract",$E$2:$E$2739,2023)/SUMIF($E$2:$E$2739,2023,$F$2:$F$2739)</f>
        <v>0.20934732870162456</v>
      </c>
    </row>
    <row r="521" spans="1:8" x14ac:dyDescent="0.3">
      <c r="A521" t="s">
        <v>11</v>
      </c>
      <c r="B521" s="3">
        <v>45071</v>
      </c>
      <c r="C521">
        <f t="shared" si="144"/>
        <v>25</v>
      </c>
      <c r="D521">
        <f t="shared" si="145"/>
        <v>5</v>
      </c>
      <c r="E521">
        <f t="shared" si="146"/>
        <v>2023</v>
      </c>
      <c r="F521" s="2">
        <v>3375</v>
      </c>
      <c r="G521" t="s">
        <v>19</v>
      </c>
      <c r="H521" s="4">
        <f t="shared" ref="H521:H522" si="149">SUMIFS($F$2:$F$2739,$G$2:$G$2739,"Multi-year Contract",$E$2:$E$2739,2023)/SUMIF($E$2:$E$2739,2023,$F$2:$F$2739)</f>
        <v>0.5137784540236352</v>
      </c>
    </row>
    <row r="522" spans="1:8" x14ac:dyDescent="0.3">
      <c r="A522" t="s">
        <v>12</v>
      </c>
      <c r="B522" s="3">
        <v>45071</v>
      </c>
      <c r="C522">
        <f t="shared" si="144"/>
        <v>25</v>
      </c>
      <c r="D522">
        <f t="shared" si="145"/>
        <v>5</v>
      </c>
      <c r="E522">
        <f t="shared" si="146"/>
        <v>2023</v>
      </c>
      <c r="F522" s="2">
        <v>2859</v>
      </c>
      <c r="G522" s="2" t="s">
        <v>19</v>
      </c>
      <c r="H522" s="4">
        <f t="shared" si="149"/>
        <v>0.5137784540236352</v>
      </c>
    </row>
    <row r="523" spans="1:8" x14ac:dyDescent="0.3">
      <c r="A523" t="s">
        <v>5</v>
      </c>
      <c r="B523" s="3">
        <v>45071</v>
      </c>
      <c r="C523">
        <f t="shared" si="144"/>
        <v>25</v>
      </c>
      <c r="D523">
        <f t="shared" si="145"/>
        <v>5</v>
      </c>
      <c r="E523">
        <f t="shared" si="146"/>
        <v>2023</v>
      </c>
      <c r="F523" s="2">
        <v>2902</v>
      </c>
      <c r="G523" t="s">
        <v>18</v>
      </c>
      <c r="H523" s="4">
        <f>SUMIFS($F$2:$F$2739,$G$2:$G$2739,"Annual Contract",$E$2:$E$2739,2023)/SUMIF($E$2:$E$2739,2023,$F$2:$F$2739)</f>
        <v>0.27687421727474026</v>
      </c>
    </row>
    <row r="524" spans="1:8" x14ac:dyDescent="0.3">
      <c r="A524" t="s">
        <v>9</v>
      </c>
      <c r="B524" s="3">
        <v>45073</v>
      </c>
      <c r="C524">
        <f t="shared" si="144"/>
        <v>27</v>
      </c>
      <c r="D524">
        <f t="shared" si="145"/>
        <v>5</v>
      </c>
      <c r="E524">
        <f t="shared" si="146"/>
        <v>2023</v>
      </c>
      <c r="F524" s="2">
        <v>653</v>
      </c>
      <c r="G524" t="s">
        <v>17</v>
      </c>
      <c r="H524" s="4">
        <f>SUMIFS($F$2:$F$2739,$G$2:$G$2739,"No Contract",$E$2:$E$2739,2023)/SUMIF($E$2:$E$2739,2023,$F$2:$F$2739)</f>
        <v>0.20934732870162456</v>
      </c>
    </row>
    <row r="525" spans="1:8" x14ac:dyDescent="0.3">
      <c r="A525" t="s">
        <v>6</v>
      </c>
      <c r="B525" s="3">
        <v>45073</v>
      </c>
      <c r="C525">
        <f t="shared" si="144"/>
        <v>27</v>
      </c>
      <c r="D525">
        <f t="shared" si="145"/>
        <v>5</v>
      </c>
      <c r="E525">
        <f t="shared" si="146"/>
        <v>2023</v>
      </c>
      <c r="F525" s="2">
        <v>1202</v>
      </c>
      <c r="G525" t="s">
        <v>18</v>
      </c>
      <c r="H525" s="4">
        <f>SUMIFS($F$2:$F$2739,$G$2:$G$2739,"Annual Contract",$E$2:$E$2739,2023)/SUMIF($E$2:$E$2739,2023,$F$2:$F$2739)</f>
        <v>0.27687421727474026</v>
      </c>
    </row>
    <row r="526" spans="1:8" x14ac:dyDescent="0.3">
      <c r="A526" t="s">
        <v>11</v>
      </c>
      <c r="B526" s="3">
        <v>45073</v>
      </c>
      <c r="C526">
        <f t="shared" si="144"/>
        <v>27</v>
      </c>
      <c r="D526">
        <f t="shared" si="145"/>
        <v>5</v>
      </c>
      <c r="E526">
        <f t="shared" si="146"/>
        <v>2023</v>
      </c>
      <c r="F526" s="2">
        <v>3436</v>
      </c>
      <c r="G526" t="s">
        <v>19</v>
      </c>
      <c r="H526" s="4">
        <f>SUMIFS($F$2:$F$2739,$G$2:$G$2739,"Multi-year Contract",$E$2:$E$2739,2023)/SUMIF($E$2:$E$2739,2023,$F$2:$F$2739)</f>
        <v>0.5137784540236352</v>
      </c>
    </row>
    <row r="527" spans="1:8" x14ac:dyDescent="0.3">
      <c r="A527" t="s">
        <v>9</v>
      </c>
      <c r="B527" s="3">
        <v>45074</v>
      </c>
      <c r="C527">
        <f t="shared" si="144"/>
        <v>28</v>
      </c>
      <c r="D527">
        <f t="shared" si="145"/>
        <v>5</v>
      </c>
      <c r="E527">
        <f t="shared" si="146"/>
        <v>2023</v>
      </c>
      <c r="F527" s="2">
        <v>1275</v>
      </c>
      <c r="G527" t="s">
        <v>17</v>
      </c>
      <c r="H527" s="4">
        <f>SUMIFS($F$2:$F$2739,$G$2:$G$2739,"No Contract",$E$2:$E$2739,2023)/SUMIF($E$2:$E$2739,2023,$F$2:$F$2739)</f>
        <v>0.20934732870162456</v>
      </c>
    </row>
    <row r="528" spans="1:8" x14ac:dyDescent="0.3">
      <c r="A528" t="s">
        <v>4</v>
      </c>
      <c r="B528" s="3">
        <v>45074</v>
      </c>
      <c r="C528">
        <f t="shared" si="144"/>
        <v>28</v>
      </c>
      <c r="D528">
        <f t="shared" si="145"/>
        <v>5</v>
      </c>
      <c r="E528">
        <f t="shared" si="146"/>
        <v>2023</v>
      </c>
      <c r="F528" s="2">
        <v>2715</v>
      </c>
      <c r="G528" s="2" t="s">
        <v>19</v>
      </c>
      <c r="H528" s="4">
        <f t="shared" ref="H528:H530" si="150">SUMIFS($F$2:$F$2739,$G$2:$G$2739,"Multi-year Contract",$E$2:$E$2739,2023)/SUMIF($E$2:$E$2739,2023,$F$2:$F$2739)</f>
        <v>0.5137784540236352</v>
      </c>
    </row>
    <row r="529" spans="1:8" x14ac:dyDescent="0.3">
      <c r="A529" t="s">
        <v>4</v>
      </c>
      <c r="B529" s="3">
        <v>45074</v>
      </c>
      <c r="C529">
        <f t="shared" si="144"/>
        <v>28</v>
      </c>
      <c r="D529">
        <f t="shared" si="145"/>
        <v>5</v>
      </c>
      <c r="E529">
        <f t="shared" si="146"/>
        <v>2023</v>
      </c>
      <c r="F529" s="2">
        <v>1722</v>
      </c>
      <c r="G529" s="2" t="s">
        <v>19</v>
      </c>
      <c r="H529" s="4">
        <f t="shared" si="150"/>
        <v>0.5137784540236352</v>
      </c>
    </row>
    <row r="530" spans="1:8" x14ac:dyDescent="0.3">
      <c r="A530" t="s">
        <v>4</v>
      </c>
      <c r="B530" s="3">
        <v>45074</v>
      </c>
      <c r="C530">
        <f t="shared" si="144"/>
        <v>28</v>
      </c>
      <c r="D530">
        <f t="shared" si="145"/>
        <v>5</v>
      </c>
      <c r="E530">
        <f t="shared" si="146"/>
        <v>2023</v>
      </c>
      <c r="F530" s="2">
        <v>2864</v>
      </c>
      <c r="G530" s="2" t="s">
        <v>19</v>
      </c>
      <c r="H530" s="4">
        <f t="shared" si="150"/>
        <v>0.5137784540236352</v>
      </c>
    </row>
    <row r="531" spans="1:8" x14ac:dyDescent="0.3">
      <c r="A531" t="s">
        <v>9</v>
      </c>
      <c r="B531" s="3">
        <v>45074</v>
      </c>
      <c r="C531">
        <f t="shared" si="144"/>
        <v>28</v>
      </c>
      <c r="D531">
        <f t="shared" si="145"/>
        <v>5</v>
      </c>
      <c r="E531">
        <f t="shared" si="146"/>
        <v>2023</v>
      </c>
      <c r="F531" s="2">
        <v>1583</v>
      </c>
      <c r="G531" t="s">
        <v>17</v>
      </c>
      <c r="H531" s="4">
        <f>SUMIFS($F$2:$F$2739,$G$2:$G$2739,"No Contract",$E$2:$E$2739,2023)/SUMIF($E$2:$E$2739,2023,$F$2:$F$2739)</f>
        <v>0.20934732870162456</v>
      </c>
    </row>
    <row r="532" spans="1:8" x14ac:dyDescent="0.3">
      <c r="A532" t="s">
        <v>8</v>
      </c>
      <c r="B532" s="3">
        <v>45075</v>
      </c>
      <c r="C532">
        <f t="shared" si="144"/>
        <v>29</v>
      </c>
      <c r="D532">
        <f t="shared" si="145"/>
        <v>5</v>
      </c>
      <c r="E532">
        <f t="shared" si="146"/>
        <v>2023</v>
      </c>
      <c r="F532" s="2">
        <v>1261</v>
      </c>
      <c r="G532" s="2" t="s">
        <v>18</v>
      </c>
      <c r="H532" s="4">
        <f>SUMIFS($F$2:$F$2739,$G$2:$G$2739,"Annual Contract",$E$2:$E$2739,2023)/SUMIF($E$2:$E$2739,2023,$F$2:$F$2739)</f>
        <v>0.27687421727474026</v>
      </c>
    </row>
    <row r="533" spans="1:8" x14ac:dyDescent="0.3">
      <c r="A533" t="s">
        <v>11</v>
      </c>
      <c r="B533" s="3">
        <v>45076</v>
      </c>
      <c r="C533">
        <f t="shared" si="144"/>
        <v>30</v>
      </c>
      <c r="D533">
        <f t="shared" si="145"/>
        <v>5</v>
      </c>
      <c r="E533">
        <f t="shared" si="146"/>
        <v>2023</v>
      </c>
      <c r="F533" s="2">
        <v>3553</v>
      </c>
      <c r="G533" t="s">
        <v>19</v>
      </c>
      <c r="H533" s="4">
        <f t="shared" ref="H533:H537" si="151">SUMIFS($F$2:$F$2739,$G$2:$G$2739,"Multi-year Contract",$E$2:$E$2739,2023)/SUMIF($E$2:$E$2739,2023,$F$2:$F$2739)</f>
        <v>0.5137784540236352</v>
      </c>
    </row>
    <row r="534" spans="1:8" x14ac:dyDescent="0.3">
      <c r="A534" t="s">
        <v>4</v>
      </c>
      <c r="B534" s="3">
        <v>45077</v>
      </c>
      <c r="C534">
        <f t="shared" si="144"/>
        <v>31</v>
      </c>
      <c r="D534">
        <f t="shared" si="145"/>
        <v>5</v>
      </c>
      <c r="E534">
        <f t="shared" si="146"/>
        <v>2023</v>
      </c>
      <c r="F534" s="2">
        <v>3040</v>
      </c>
      <c r="G534" s="2" t="s">
        <v>19</v>
      </c>
      <c r="H534" s="4">
        <f t="shared" si="151"/>
        <v>0.5137784540236352</v>
      </c>
    </row>
    <row r="535" spans="1:8" x14ac:dyDescent="0.3">
      <c r="A535" t="s">
        <v>11</v>
      </c>
      <c r="B535" s="3">
        <v>45077</v>
      </c>
      <c r="C535">
        <f t="shared" si="144"/>
        <v>31</v>
      </c>
      <c r="D535">
        <f t="shared" si="145"/>
        <v>5</v>
      </c>
      <c r="E535">
        <f t="shared" si="146"/>
        <v>2023</v>
      </c>
      <c r="F535" s="2">
        <v>1846</v>
      </c>
      <c r="G535" t="s">
        <v>19</v>
      </c>
      <c r="H535" s="4">
        <f t="shared" si="151"/>
        <v>0.5137784540236352</v>
      </c>
    </row>
    <row r="536" spans="1:8" x14ac:dyDescent="0.3">
      <c r="A536" t="s">
        <v>10</v>
      </c>
      <c r="B536" s="3">
        <v>45077</v>
      </c>
      <c r="C536">
        <f t="shared" si="144"/>
        <v>31</v>
      </c>
      <c r="D536">
        <f t="shared" si="145"/>
        <v>5</v>
      </c>
      <c r="E536">
        <f t="shared" si="146"/>
        <v>2023</v>
      </c>
      <c r="F536" s="2">
        <v>1483</v>
      </c>
      <c r="G536" t="s">
        <v>19</v>
      </c>
      <c r="H536" s="4">
        <f t="shared" si="151"/>
        <v>0.5137784540236352</v>
      </c>
    </row>
    <row r="537" spans="1:8" x14ac:dyDescent="0.3">
      <c r="A537" t="s">
        <v>11</v>
      </c>
      <c r="B537" s="3">
        <v>45077</v>
      </c>
      <c r="C537">
        <f t="shared" si="144"/>
        <v>31</v>
      </c>
      <c r="D537">
        <f t="shared" si="145"/>
        <v>5</v>
      </c>
      <c r="E537">
        <f t="shared" si="146"/>
        <v>2023</v>
      </c>
      <c r="F537" s="2">
        <v>2811</v>
      </c>
      <c r="G537" t="s">
        <v>19</v>
      </c>
      <c r="H537" s="4">
        <f t="shared" si="151"/>
        <v>0.5137784540236352</v>
      </c>
    </row>
    <row r="538" spans="1:8" x14ac:dyDescent="0.3">
      <c r="A538" t="s">
        <v>8</v>
      </c>
      <c r="B538" s="3">
        <v>45078</v>
      </c>
      <c r="C538">
        <f t="shared" si="144"/>
        <v>1</v>
      </c>
      <c r="D538">
        <f t="shared" si="145"/>
        <v>6</v>
      </c>
      <c r="E538">
        <f t="shared" si="146"/>
        <v>2023</v>
      </c>
      <c r="F538" s="2">
        <v>2802</v>
      </c>
      <c r="G538" s="2" t="s">
        <v>18</v>
      </c>
      <c r="H538" s="4">
        <f t="shared" ref="H538:H543" si="152">SUMIFS($F$2:$F$2739,$G$2:$G$2739,"Annual Contract",$E$2:$E$2739,2023)/SUMIF($E$2:$E$2739,2023,$F$2:$F$2739)</f>
        <v>0.27687421727474026</v>
      </c>
    </row>
    <row r="539" spans="1:8" x14ac:dyDescent="0.3">
      <c r="A539" t="s">
        <v>5</v>
      </c>
      <c r="B539" s="3">
        <v>45078</v>
      </c>
      <c r="C539">
        <f t="shared" si="144"/>
        <v>1</v>
      </c>
      <c r="D539">
        <f t="shared" si="145"/>
        <v>6</v>
      </c>
      <c r="E539">
        <f t="shared" si="146"/>
        <v>2023</v>
      </c>
      <c r="F539" s="2">
        <v>1896</v>
      </c>
      <c r="G539" t="s">
        <v>18</v>
      </c>
      <c r="H539" s="4">
        <f t="shared" si="152"/>
        <v>0.27687421727474026</v>
      </c>
    </row>
    <row r="540" spans="1:8" x14ac:dyDescent="0.3">
      <c r="A540" t="s">
        <v>8</v>
      </c>
      <c r="B540" s="3">
        <v>45078</v>
      </c>
      <c r="C540">
        <f t="shared" si="144"/>
        <v>1</v>
      </c>
      <c r="D540">
        <f t="shared" si="145"/>
        <v>6</v>
      </c>
      <c r="E540">
        <f t="shared" si="146"/>
        <v>2023</v>
      </c>
      <c r="F540" s="2">
        <v>1153</v>
      </c>
      <c r="G540" s="2" t="s">
        <v>18</v>
      </c>
      <c r="H540" s="4">
        <f t="shared" si="152"/>
        <v>0.27687421727474026</v>
      </c>
    </row>
    <row r="541" spans="1:8" x14ac:dyDescent="0.3">
      <c r="A541" t="s">
        <v>8</v>
      </c>
      <c r="B541" s="3">
        <v>45078</v>
      </c>
      <c r="C541">
        <f t="shared" si="144"/>
        <v>1</v>
      </c>
      <c r="D541">
        <f t="shared" si="145"/>
        <v>6</v>
      </c>
      <c r="E541">
        <f t="shared" si="146"/>
        <v>2023</v>
      </c>
      <c r="F541" s="2">
        <v>2291</v>
      </c>
      <c r="G541" s="2" t="s">
        <v>18</v>
      </c>
      <c r="H541" s="4">
        <f t="shared" si="152"/>
        <v>0.27687421727474026</v>
      </c>
    </row>
    <row r="542" spans="1:8" x14ac:dyDescent="0.3">
      <c r="A542" t="s">
        <v>6</v>
      </c>
      <c r="B542" s="3">
        <v>45078</v>
      </c>
      <c r="C542">
        <f t="shared" si="144"/>
        <v>1</v>
      </c>
      <c r="D542">
        <f t="shared" si="145"/>
        <v>6</v>
      </c>
      <c r="E542">
        <f t="shared" si="146"/>
        <v>2023</v>
      </c>
      <c r="F542" s="2">
        <v>3137</v>
      </c>
      <c r="G542" t="s">
        <v>18</v>
      </c>
      <c r="H542" s="4">
        <f t="shared" si="152"/>
        <v>0.27687421727474026</v>
      </c>
    </row>
    <row r="543" spans="1:8" x14ac:dyDescent="0.3">
      <c r="A543" t="s">
        <v>5</v>
      </c>
      <c r="B543" s="3">
        <v>45078</v>
      </c>
      <c r="C543">
        <f t="shared" si="144"/>
        <v>1</v>
      </c>
      <c r="D543">
        <f t="shared" si="145"/>
        <v>6</v>
      </c>
      <c r="E543">
        <f t="shared" si="146"/>
        <v>2023</v>
      </c>
      <c r="F543" s="2">
        <v>1047</v>
      </c>
      <c r="G543" t="s">
        <v>18</v>
      </c>
      <c r="H543" s="4">
        <f t="shared" si="152"/>
        <v>0.27687421727474026</v>
      </c>
    </row>
    <row r="544" spans="1:8" x14ac:dyDescent="0.3">
      <c r="A544" t="s">
        <v>9</v>
      </c>
      <c r="B544" s="3">
        <v>45078</v>
      </c>
      <c r="C544">
        <f t="shared" si="144"/>
        <v>1</v>
      </c>
      <c r="D544">
        <f t="shared" si="145"/>
        <v>6</v>
      </c>
      <c r="E544">
        <f t="shared" si="146"/>
        <v>2023</v>
      </c>
      <c r="F544" s="2">
        <v>1041</v>
      </c>
      <c r="G544" t="s">
        <v>17</v>
      </c>
      <c r="H544" s="4">
        <f>SUMIFS($F$2:$F$2739,$G$2:$G$2739,"No Contract",$E$2:$E$2739,2023)/SUMIF($E$2:$E$2739,2023,$F$2:$F$2739)</f>
        <v>0.20934732870162456</v>
      </c>
    </row>
    <row r="545" spans="1:8" x14ac:dyDescent="0.3">
      <c r="A545" t="s">
        <v>5</v>
      </c>
      <c r="B545" s="3">
        <v>45078</v>
      </c>
      <c r="C545">
        <f t="shared" si="144"/>
        <v>1</v>
      </c>
      <c r="D545">
        <f t="shared" si="145"/>
        <v>6</v>
      </c>
      <c r="E545">
        <f t="shared" si="146"/>
        <v>2023</v>
      </c>
      <c r="F545" s="2">
        <v>3681</v>
      </c>
      <c r="G545" t="s">
        <v>18</v>
      </c>
      <c r="H545" s="4">
        <f>SUMIFS($F$2:$F$2739,$G$2:$G$2739,"Annual Contract",$E$2:$E$2739,2023)/SUMIF($E$2:$E$2739,2023,$F$2:$F$2739)</f>
        <v>0.27687421727474026</v>
      </c>
    </row>
    <row r="546" spans="1:8" x14ac:dyDescent="0.3">
      <c r="A546" t="s">
        <v>12</v>
      </c>
      <c r="B546" s="3">
        <v>45079</v>
      </c>
      <c r="C546">
        <f t="shared" si="144"/>
        <v>2</v>
      </c>
      <c r="D546">
        <f t="shared" si="145"/>
        <v>6</v>
      </c>
      <c r="E546">
        <f t="shared" si="146"/>
        <v>2023</v>
      </c>
      <c r="F546" s="2">
        <v>1450</v>
      </c>
      <c r="G546" s="2" t="s">
        <v>19</v>
      </c>
      <c r="H546" s="4">
        <f>SUMIFS($F$2:$F$2739,$G$2:$G$2739,"Multi-year Contract",$E$2:$E$2739,2023)/SUMIF($E$2:$E$2739,2023,$F$2:$F$2739)</f>
        <v>0.5137784540236352</v>
      </c>
    </row>
    <row r="547" spans="1:8" x14ac:dyDescent="0.3">
      <c r="A547" t="s">
        <v>5</v>
      </c>
      <c r="B547" s="3">
        <v>45079</v>
      </c>
      <c r="C547">
        <f t="shared" si="144"/>
        <v>2</v>
      </c>
      <c r="D547">
        <f t="shared" si="145"/>
        <v>6</v>
      </c>
      <c r="E547">
        <f t="shared" si="146"/>
        <v>2023</v>
      </c>
      <c r="F547" s="2">
        <v>3363</v>
      </c>
      <c r="G547" t="s">
        <v>18</v>
      </c>
      <c r="H547" s="4">
        <f>SUMIFS($F$2:$F$2739,$G$2:$G$2739,"Annual Contract",$E$2:$E$2739,2023)/SUMIF($E$2:$E$2739,2023,$F$2:$F$2739)</f>
        <v>0.27687421727474026</v>
      </c>
    </row>
    <row r="548" spans="1:8" x14ac:dyDescent="0.3">
      <c r="A548" t="s">
        <v>7</v>
      </c>
      <c r="B548" s="3">
        <v>45079</v>
      </c>
      <c r="C548">
        <f t="shared" si="144"/>
        <v>2</v>
      </c>
      <c r="D548">
        <f t="shared" si="145"/>
        <v>6</v>
      </c>
      <c r="E548">
        <f t="shared" si="146"/>
        <v>2023</v>
      </c>
      <c r="F548" s="2">
        <v>1847</v>
      </c>
      <c r="G548" t="s">
        <v>17</v>
      </c>
      <c r="H548" s="4">
        <f>SUMIFS($F$2:$F$2739,$G$2:$G$2739,"No Contract",$E$2:$E$2739,2023)/SUMIF($E$2:$E$2739,2023,$F$2:$F$2739)</f>
        <v>0.20934732870162456</v>
      </c>
    </row>
    <row r="549" spans="1:8" x14ac:dyDescent="0.3">
      <c r="A549" t="s">
        <v>12</v>
      </c>
      <c r="B549" s="3">
        <v>45079</v>
      </c>
      <c r="C549">
        <f t="shared" si="144"/>
        <v>2</v>
      </c>
      <c r="D549">
        <f t="shared" si="145"/>
        <v>6</v>
      </c>
      <c r="E549">
        <f t="shared" si="146"/>
        <v>2023</v>
      </c>
      <c r="F549" s="2">
        <v>3883</v>
      </c>
      <c r="G549" s="2" t="s">
        <v>19</v>
      </c>
      <c r="H549" s="4">
        <f t="shared" ref="H549:H553" si="153">SUMIFS($F$2:$F$2739,$G$2:$G$2739,"Multi-year Contract",$E$2:$E$2739,2023)/SUMIF($E$2:$E$2739,2023,$F$2:$F$2739)</f>
        <v>0.5137784540236352</v>
      </c>
    </row>
    <row r="550" spans="1:8" x14ac:dyDescent="0.3">
      <c r="A550" t="s">
        <v>4</v>
      </c>
      <c r="B550" s="3">
        <v>45079</v>
      </c>
      <c r="C550">
        <f t="shared" si="144"/>
        <v>2</v>
      </c>
      <c r="D550">
        <f t="shared" si="145"/>
        <v>6</v>
      </c>
      <c r="E550">
        <f t="shared" si="146"/>
        <v>2023</v>
      </c>
      <c r="F550" s="2">
        <v>3353</v>
      </c>
      <c r="G550" s="2" t="s">
        <v>19</v>
      </c>
      <c r="H550" s="4">
        <f t="shared" si="153"/>
        <v>0.5137784540236352</v>
      </c>
    </row>
    <row r="551" spans="1:8" x14ac:dyDescent="0.3">
      <c r="A551" t="s">
        <v>4</v>
      </c>
      <c r="B551" s="3">
        <v>45080</v>
      </c>
      <c r="C551">
        <f t="shared" si="144"/>
        <v>3</v>
      </c>
      <c r="D551">
        <f t="shared" si="145"/>
        <v>6</v>
      </c>
      <c r="E551">
        <f t="shared" si="146"/>
        <v>2023</v>
      </c>
      <c r="F551" s="2">
        <v>1124</v>
      </c>
      <c r="G551" s="2" t="s">
        <v>19</v>
      </c>
      <c r="H551" s="4">
        <f t="shared" si="153"/>
        <v>0.5137784540236352</v>
      </c>
    </row>
    <row r="552" spans="1:8" x14ac:dyDescent="0.3">
      <c r="A552" t="s">
        <v>11</v>
      </c>
      <c r="B552" s="3">
        <v>45080</v>
      </c>
      <c r="C552">
        <f t="shared" si="144"/>
        <v>3</v>
      </c>
      <c r="D552">
        <f t="shared" si="145"/>
        <v>6</v>
      </c>
      <c r="E552">
        <f t="shared" si="146"/>
        <v>2023</v>
      </c>
      <c r="F552" s="2">
        <v>649</v>
      </c>
      <c r="G552" t="s">
        <v>19</v>
      </c>
      <c r="H552" s="4">
        <f t="shared" si="153"/>
        <v>0.5137784540236352</v>
      </c>
    </row>
    <row r="553" spans="1:8" x14ac:dyDescent="0.3">
      <c r="A553" t="s">
        <v>10</v>
      </c>
      <c r="B553" s="3">
        <v>45080</v>
      </c>
      <c r="C553">
        <f t="shared" si="144"/>
        <v>3</v>
      </c>
      <c r="D553">
        <f t="shared" si="145"/>
        <v>6</v>
      </c>
      <c r="E553">
        <f t="shared" si="146"/>
        <v>2023</v>
      </c>
      <c r="F553" s="2">
        <v>3368</v>
      </c>
      <c r="G553" t="s">
        <v>19</v>
      </c>
      <c r="H553" s="4">
        <f t="shared" si="153"/>
        <v>0.5137784540236352</v>
      </c>
    </row>
    <row r="554" spans="1:8" x14ac:dyDescent="0.3">
      <c r="A554" t="s">
        <v>9</v>
      </c>
      <c r="B554" s="3">
        <v>45080</v>
      </c>
      <c r="C554">
        <f t="shared" si="144"/>
        <v>3</v>
      </c>
      <c r="D554">
        <f t="shared" si="145"/>
        <v>6</v>
      </c>
      <c r="E554">
        <f t="shared" si="146"/>
        <v>2023</v>
      </c>
      <c r="F554" s="2">
        <v>2988</v>
      </c>
      <c r="G554" t="s">
        <v>17</v>
      </c>
      <c r="H554" s="4">
        <f>SUMIFS($F$2:$F$2739,$G$2:$G$2739,"No Contract",$E$2:$E$2739,2023)/SUMIF($E$2:$E$2739,2023,$F$2:$F$2739)</f>
        <v>0.20934732870162456</v>
      </c>
    </row>
    <row r="555" spans="1:8" x14ac:dyDescent="0.3">
      <c r="A555" t="s">
        <v>4</v>
      </c>
      <c r="B555" s="3">
        <v>45080</v>
      </c>
      <c r="C555">
        <f t="shared" si="144"/>
        <v>3</v>
      </c>
      <c r="D555">
        <f t="shared" si="145"/>
        <v>6</v>
      </c>
      <c r="E555">
        <f t="shared" si="146"/>
        <v>2023</v>
      </c>
      <c r="F555" s="2">
        <v>2657</v>
      </c>
      <c r="G555" s="2" t="s">
        <v>19</v>
      </c>
      <c r="H555" s="4">
        <f t="shared" ref="H555:H556" si="154">SUMIFS($F$2:$F$2739,$G$2:$G$2739,"Multi-year Contract",$E$2:$E$2739,2023)/SUMIF($E$2:$E$2739,2023,$F$2:$F$2739)</f>
        <v>0.5137784540236352</v>
      </c>
    </row>
    <row r="556" spans="1:8" x14ac:dyDescent="0.3">
      <c r="A556" t="s">
        <v>11</v>
      </c>
      <c r="B556" s="3">
        <v>45080</v>
      </c>
      <c r="C556">
        <f t="shared" si="144"/>
        <v>3</v>
      </c>
      <c r="D556">
        <f t="shared" si="145"/>
        <v>6</v>
      </c>
      <c r="E556">
        <f t="shared" si="146"/>
        <v>2023</v>
      </c>
      <c r="F556" s="2">
        <v>1026</v>
      </c>
      <c r="G556" t="s">
        <v>19</v>
      </c>
      <c r="H556" s="4">
        <f t="shared" si="154"/>
        <v>0.5137784540236352</v>
      </c>
    </row>
    <row r="557" spans="1:8" x14ac:dyDescent="0.3">
      <c r="A557" t="s">
        <v>5</v>
      </c>
      <c r="B557" s="3">
        <v>45080</v>
      </c>
      <c r="C557">
        <f t="shared" si="144"/>
        <v>3</v>
      </c>
      <c r="D557">
        <f t="shared" si="145"/>
        <v>6</v>
      </c>
      <c r="E557">
        <f t="shared" si="146"/>
        <v>2023</v>
      </c>
      <c r="F557" s="2">
        <v>969</v>
      </c>
      <c r="G557" t="s">
        <v>18</v>
      </c>
      <c r="H557" s="4">
        <f>SUMIFS($F$2:$F$2739,$G$2:$G$2739,"Annual Contract",$E$2:$E$2739,2023)/SUMIF($E$2:$E$2739,2023,$F$2:$F$2739)</f>
        <v>0.27687421727474026</v>
      </c>
    </row>
    <row r="558" spans="1:8" x14ac:dyDescent="0.3">
      <c r="A558" t="s">
        <v>4</v>
      </c>
      <c r="B558" s="3">
        <v>45081</v>
      </c>
      <c r="C558">
        <f t="shared" si="144"/>
        <v>4</v>
      </c>
      <c r="D558">
        <f t="shared" si="145"/>
        <v>6</v>
      </c>
      <c r="E558">
        <f t="shared" si="146"/>
        <v>2023</v>
      </c>
      <c r="F558" s="2">
        <v>3624</v>
      </c>
      <c r="G558" s="2" t="s">
        <v>19</v>
      </c>
      <c r="H558" s="4">
        <f t="shared" ref="H558:H559" si="155">SUMIFS($F$2:$F$2739,$G$2:$G$2739,"Multi-year Contract",$E$2:$E$2739,2023)/SUMIF($E$2:$E$2739,2023,$F$2:$F$2739)</f>
        <v>0.5137784540236352</v>
      </c>
    </row>
    <row r="559" spans="1:8" x14ac:dyDescent="0.3">
      <c r="A559" t="s">
        <v>10</v>
      </c>
      <c r="B559" s="3">
        <v>45081</v>
      </c>
      <c r="C559">
        <f t="shared" si="144"/>
        <v>4</v>
      </c>
      <c r="D559">
        <f t="shared" si="145"/>
        <v>6</v>
      </c>
      <c r="E559">
        <f t="shared" si="146"/>
        <v>2023</v>
      </c>
      <c r="F559" s="2">
        <v>2077</v>
      </c>
      <c r="G559" t="s">
        <v>19</v>
      </c>
      <c r="H559" s="4">
        <f t="shared" si="155"/>
        <v>0.5137784540236352</v>
      </c>
    </row>
    <row r="560" spans="1:8" x14ac:dyDescent="0.3">
      <c r="A560" t="s">
        <v>6</v>
      </c>
      <c r="B560" s="3">
        <v>45081</v>
      </c>
      <c r="C560">
        <f t="shared" si="144"/>
        <v>4</v>
      </c>
      <c r="D560">
        <f t="shared" si="145"/>
        <v>6</v>
      </c>
      <c r="E560">
        <f t="shared" si="146"/>
        <v>2023</v>
      </c>
      <c r="F560" s="2">
        <v>2390</v>
      </c>
      <c r="G560" t="s">
        <v>18</v>
      </c>
      <c r="H560" s="4">
        <f>SUMIFS($F$2:$F$2739,$G$2:$G$2739,"Annual Contract",$E$2:$E$2739,2023)/SUMIF($E$2:$E$2739,2023,$F$2:$F$2739)</f>
        <v>0.27687421727474026</v>
      </c>
    </row>
    <row r="561" spans="1:8" x14ac:dyDescent="0.3">
      <c r="A561" t="s">
        <v>4</v>
      </c>
      <c r="B561" s="3">
        <v>45081</v>
      </c>
      <c r="C561">
        <f t="shared" si="144"/>
        <v>4</v>
      </c>
      <c r="D561">
        <f t="shared" si="145"/>
        <v>6</v>
      </c>
      <c r="E561">
        <f t="shared" si="146"/>
        <v>2023</v>
      </c>
      <c r="F561" s="2">
        <v>2302</v>
      </c>
      <c r="G561" s="2" t="s">
        <v>19</v>
      </c>
      <c r="H561" s="4">
        <f>SUMIFS($F$2:$F$2739,$G$2:$G$2739,"Multi-year Contract",$E$2:$E$2739,2023)/SUMIF($E$2:$E$2739,2023,$F$2:$F$2739)</f>
        <v>0.5137784540236352</v>
      </c>
    </row>
    <row r="562" spans="1:8" x14ac:dyDescent="0.3">
      <c r="A562" t="s">
        <v>9</v>
      </c>
      <c r="B562" s="3">
        <v>45082</v>
      </c>
      <c r="C562">
        <f t="shared" si="144"/>
        <v>5</v>
      </c>
      <c r="D562">
        <f t="shared" si="145"/>
        <v>6</v>
      </c>
      <c r="E562">
        <f t="shared" si="146"/>
        <v>2023</v>
      </c>
      <c r="F562" s="2">
        <v>2458</v>
      </c>
      <c r="G562" t="s">
        <v>17</v>
      </c>
      <c r="H562" s="4">
        <f>SUMIFS($F$2:$F$2739,$G$2:$G$2739,"No Contract",$E$2:$E$2739,2023)/SUMIF($E$2:$E$2739,2023,$F$2:$F$2739)</f>
        <v>0.20934732870162456</v>
      </c>
    </row>
    <row r="563" spans="1:8" x14ac:dyDescent="0.3">
      <c r="A563" t="s">
        <v>10</v>
      </c>
      <c r="B563" s="3">
        <v>45082</v>
      </c>
      <c r="C563">
        <f t="shared" si="144"/>
        <v>5</v>
      </c>
      <c r="D563">
        <f t="shared" si="145"/>
        <v>6</v>
      </c>
      <c r="E563">
        <f t="shared" si="146"/>
        <v>2023</v>
      </c>
      <c r="F563" s="2">
        <v>1109</v>
      </c>
      <c r="G563" t="s">
        <v>19</v>
      </c>
      <c r="H563" s="4">
        <f>SUMIFS($F$2:$F$2739,$G$2:$G$2739,"Multi-year Contract",$E$2:$E$2739,2023)/SUMIF($E$2:$E$2739,2023,$F$2:$F$2739)</f>
        <v>0.5137784540236352</v>
      </c>
    </row>
    <row r="564" spans="1:8" x14ac:dyDescent="0.3">
      <c r="A564" t="s">
        <v>9</v>
      </c>
      <c r="B564" s="3">
        <v>45082</v>
      </c>
      <c r="C564">
        <f t="shared" si="144"/>
        <v>5</v>
      </c>
      <c r="D564">
        <f t="shared" si="145"/>
        <v>6</v>
      </c>
      <c r="E564">
        <f t="shared" si="146"/>
        <v>2023</v>
      </c>
      <c r="F564" s="2">
        <v>3101</v>
      </c>
      <c r="G564" t="s">
        <v>17</v>
      </c>
      <c r="H564" s="4">
        <f>SUMIFS($F$2:$F$2739,$G$2:$G$2739,"No Contract",$E$2:$E$2739,2023)/SUMIF($E$2:$E$2739,2023,$F$2:$F$2739)</f>
        <v>0.20934732870162456</v>
      </c>
    </row>
    <row r="565" spans="1:8" x14ac:dyDescent="0.3">
      <c r="A565" t="s">
        <v>8</v>
      </c>
      <c r="B565" s="3">
        <v>45082</v>
      </c>
      <c r="C565">
        <f t="shared" si="144"/>
        <v>5</v>
      </c>
      <c r="D565">
        <f t="shared" si="145"/>
        <v>6</v>
      </c>
      <c r="E565">
        <f t="shared" si="146"/>
        <v>2023</v>
      </c>
      <c r="F565" s="2">
        <v>2845</v>
      </c>
      <c r="G565" s="2" t="s">
        <v>18</v>
      </c>
      <c r="H565" s="4">
        <f t="shared" ref="H565:H567" si="156">SUMIFS($F$2:$F$2739,$G$2:$G$2739,"Annual Contract",$E$2:$E$2739,2023)/SUMIF($E$2:$E$2739,2023,$F$2:$F$2739)</f>
        <v>0.27687421727474026</v>
      </c>
    </row>
    <row r="566" spans="1:8" x14ac:dyDescent="0.3">
      <c r="A566" t="s">
        <v>8</v>
      </c>
      <c r="B566" s="3">
        <v>45082</v>
      </c>
      <c r="C566">
        <f t="shared" si="144"/>
        <v>5</v>
      </c>
      <c r="D566">
        <f t="shared" si="145"/>
        <v>6</v>
      </c>
      <c r="E566">
        <f t="shared" si="146"/>
        <v>2023</v>
      </c>
      <c r="F566" s="2">
        <v>3460</v>
      </c>
      <c r="G566" s="2" t="s">
        <v>18</v>
      </c>
      <c r="H566" s="4">
        <f t="shared" si="156"/>
        <v>0.27687421727474026</v>
      </c>
    </row>
    <row r="567" spans="1:8" x14ac:dyDescent="0.3">
      <c r="A567" t="s">
        <v>8</v>
      </c>
      <c r="B567" s="3">
        <v>45082</v>
      </c>
      <c r="C567">
        <f t="shared" si="144"/>
        <v>5</v>
      </c>
      <c r="D567">
        <f t="shared" si="145"/>
        <v>6</v>
      </c>
      <c r="E567">
        <f t="shared" si="146"/>
        <v>2023</v>
      </c>
      <c r="F567" s="2">
        <v>1354</v>
      </c>
      <c r="G567" s="2" t="s">
        <v>18</v>
      </c>
      <c r="H567" s="4">
        <f t="shared" si="156"/>
        <v>0.27687421727474026</v>
      </c>
    </row>
    <row r="568" spans="1:8" x14ac:dyDescent="0.3">
      <c r="A568" t="s">
        <v>4</v>
      </c>
      <c r="B568" s="3">
        <v>45083</v>
      </c>
      <c r="C568">
        <f t="shared" si="144"/>
        <v>6</v>
      </c>
      <c r="D568">
        <f t="shared" si="145"/>
        <v>6</v>
      </c>
      <c r="E568">
        <f t="shared" si="146"/>
        <v>2023</v>
      </c>
      <c r="F568" s="2">
        <v>1068</v>
      </c>
      <c r="G568" s="2" t="s">
        <v>19</v>
      </c>
      <c r="H568" s="4">
        <f>SUMIFS($F$2:$F$2739,$G$2:$G$2739,"Multi-year Contract",$E$2:$E$2739,2023)/SUMIF($E$2:$E$2739,2023,$F$2:$F$2739)</f>
        <v>0.5137784540236352</v>
      </c>
    </row>
    <row r="569" spans="1:8" x14ac:dyDescent="0.3">
      <c r="A569" t="s">
        <v>9</v>
      </c>
      <c r="B569" s="3">
        <v>45083</v>
      </c>
      <c r="C569">
        <f t="shared" si="144"/>
        <v>6</v>
      </c>
      <c r="D569">
        <f t="shared" si="145"/>
        <v>6</v>
      </c>
      <c r="E569">
        <f t="shared" si="146"/>
        <v>2023</v>
      </c>
      <c r="F569" s="2">
        <v>2746</v>
      </c>
      <c r="G569" t="s">
        <v>17</v>
      </c>
      <c r="H569" s="4">
        <f>SUMIFS($F$2:$F$2739,$G$2:$G$2739,"No Contract",$E$2:$E$2739,2023)/SUMIF($E$2:$E$2739,2023,$F$2:$F$2739)</f>
        <v>0.20934732870162456</v>
      </c>
    </row>
    <row r="570" spans="1:8" x14ac:dyDescent="0.3">
      <c r="A570" t="s">
        <v>12</v>
      </c>
      <c r="B570" s="3">
        <v>45083</v>
      </c>
      <c r="C570">
        <f t="shared" si="144"/>
        <v>6</v>
      </c>
      <c r="D570">
        <f t="shared" si="145"/>
        <v>6</v>
      </c>
      <c r="E570">
        <f t="shared" si="146"/>
        <v>2023</v>
      </c>
      <c r="F570" s="2">
        <v>2839</v>
      </c>
      <c r="G570" s="2" t="s">
        <v>19</v>
      </c>
      <c r="H570" s="4">
        <f t="shared" ref="H570:H573" si="157">SUMIFS($F$2:$F$2739,$G$2:$G$2739,"Multi-year Contract",$E$2:$E$2739,2023)/SUMIF($E$2:$E$2739,2023,$F$2:$F$2739)</f>
        <v>0.5137784540236352</v>
      </c>
    </row>
    <row r="571" spans="1:8" x14ac:dyDescent="0.3">
      <c r="A571" t="s">
        <v>10</v>
      </c>
      <c r="B571" s="3">
        <v>45083</v>
      </c>
      <c r="C571">
        <f t="shared" si="144"/>
        <v>6</v>
      </c>
      <c r="D571">
        <f t="shared" si="145"/>
        <v>6</v>
      </c>
      <c r="E571">
        <f t="shared" si="146"/>
        <v>2023</v>
      </c>
      <c r="F571" s="2">
        <v>2939</v>
      </c>
      <c r="G571" t="s">
        <v>19</v>
      </c>
      <c r="H571" s="4">
        <f t="shared" si="157"/>
        <v>0.5137784540236352</v>
      </c>
    </row>
    <row r="572" spans="1:8" x14ac:dyDescent="0.3">
      <c r="A572" t="s">
        <v>10</v>
      </c>
      <c r="B572" s="3">
        <v>45083</v>
      </c>
      <c r="C572">
        <f t="shared" si="144"/>
        <v>6</v>
      </c>
      <c r="D572">
        <f t="shared" si="145"/>
        <v>6</v>
      </c>
      <c r="E572">
        <f t="shared" si="146"/>
        <v>2023</v>
      </c>
      <c r="F572" s="2">
        <v>2599</v>
      </c>
      <c r="G572" t="s">
        <v>19</v>
      </c>
      <c r="H572" s="4">
        <f t="shared" si="157"/>
        <v>0.5137784540236352</v>
      </c>
    </row>
    <row r="573" spans="1:8" x14ac:dyDescent="0.3">
      <c r="A573" t="s">
        <v>11</v>
      </c>
      <c r="B573" s="3">
        <v>45083</v>
      </c>
      <c r="C573">
        <f t="shared" si="144"/>
        <v>6</v>
      </c>
      <c r="D573">
        <f t="shared" si="145"/>
        <v>6</v>
      </c>
      <c r="E573">
        <f t="shared" si="146"/>
        <v>2023</v>
      </c>
      <c r="F573" s="2">
        <v>2176</v>
      </c>
      <c r="G573" t="s">
        <v>19</v>
      </c>
      <c r="H573" s="4">
        <f t="shared" si="157"/>
        <v>0.5137784540236352</v>
      </c>
    </row>
    <row r="574" spans="1:8" x14ac:dyDescent="0.3">
      <c r="A574" t="s">
        <v>8</v>
      </c>
      <c r="B574" s="3">
        <v>45084</v>
      </c>
      <c r="C574">
        <f t="shared" si="144"/>
        <v>7</v>
      </c>
      <c r="D574">
        <f t="shared" si="145"/>
        <v>6</v>
      </c>
      <c r="E574">
        <f t="shared" si="146"/>
        <v>2023</v>
      </c>
      <c r="F574" s="2">
        <v>1431</v>
      </c>
      <c r="G574" s="2" t="s">
        <v>18</v>
      </c>
      <c r="H574" s="4">
        <f>SUMIFS($F$2:$F$2739,$G$2:$G$2739,"Annual Contract",$E$2:$E$2739,2023)/SUMIF($E$2:$E$2739,2023,$F$2:$F$2739)</f>
        <v>0.27687421727474026</v>
      </c>
    </row>
    <row r="575" spans="1:8" x14ac:dyDescent="0.3">
      <c r="A575" t="s">
        <v>10</v>
      </c>
      <c r="B575" s="3">
        <v>45084</v>
      </c>
      <c r="C575">
        <f t="shared" si="144"/>
        <v>7</v>
      </c>
      <c r="D575">
        <f t="shared" si="145"/>
        <v>6</v>
      </c>
      <c r="E575">
        <f t="shared" si="146"/>
        <v>2023</v>
      </c>
      <c r="F575" s="2">
        <v>2339</v>
      </c>
      <c r="G575" t="s">
        <v>19</v>
      </c>
      <c r="H575" s="4">
        <f>SUMIFS($F$2:$F$2739,$G$2:$G$2739,"Multi-year Contract",$E$2:$E$2739,2023)/SUMIF($E$2:$E$2739,2023,$F$2:$F$2739)</f>
        <v>0.5137784540236352</v>
      </c>
    </row>
    <row r="576" spans="1:8" x14ac:dyDescent="0.3">
      <c r="A576" t="s">
        <v>7</v>
      </c>
      <c r="B576" s="3">
        <v>45084</v>
      </c>
      <c r="C576">
        <f t="shared" si="144"/>
        <v>7</v>
      </c>
      <c r="D576">
        <f t="shared" si="145"/>
        <v>6</v>
      </c>
      <c r="E576">
        <f t="shared" si="146"/>
        <v>2023</v>
      </c>
      <c r="F576" s="2">
        <v>729</v>
      </c>
      <c r="G576" t="s">
        <v>17</v>
      </c>
      <c r="H576" s="4">
        <f t="shared" ref="H576:H578" si="158">SUMIFS($F$2:$F$2739,$G$2:$G$2739,"No Contract",$E$2:$E$2739,2023)/SUMIF($E$2:$E$2739,2023,$F$2:$F$2739)</f>
        <v>0.20934732870162456</v>
      </c>
    </row>
    <row r="577" spans="1:8" x14ac:dyDescent="0.3">
      <c r="A577" t="s">
        <v>7</v>
      </c>
      <c r="B577" s="3">
        <v>45084</v>
      </c>
      <c r="C577">
        <f t="shared" si="144"/>
        <v>7</v>
      </c>
      <c r="D577">
        <f t="shared" si="145"/>
        <v>6</v>
      </c>
      <c r="E577">
        <f t="shared" si="146"/>
        <v>2023</v>
      </c>
      <c r="F577" s="2">
        <v>3787</v>
      </c>
      <c r="G577" t="s">
        <v>17</v>
      </c>
      <c r="H577" s="4">
        <f t="shared" si="158"/>
        <v>0.20934732870162456</v>
      </c>
    </row>
    <row r="578" spans="1:8" x14ac:dyDescent="0.3">
      <c r="A578" t="s">
        <v>9</v>
      </c>
      <c r="B578" s="3">
        <v>45085</v>
      </c>
      <c r="C578">
        <f t="shared" si="144"/>
        <v>8</v>
      </c>
      <c r="D578">
        <f t="shared" si="145"/>
        <v>6</v>
      </c>
      <c r="E578">
        <f t="shared" si="146"/>
        <v>2023</v>
      </c>
      <c r="F578" s="2">
        <v>1677</v>
      </c>
      <c r="G578" t="s">
        <v>17</v>
      </c>
      <c r="H578" s="4">
        <f t="shared" si="158"/>
        <v>0.20934732870162456</v>
      </c>
    </row>
    <row r="579" spans="1:8" x14ac:dyDescent="0.3">
      <c r="A579" t="s">
        <v>4</v>
      </c>
      <c r="B579" s="3">
        <v>45085</v>
      </c>
      <c r="C579">
        <f t="shared" ref="C579:C642" si="159">DAY(B579)</f>
        <v>8</v>
      </c>
      <c r="D579">
        <f t="shared" ref="D579:D642" si="160">MONTH(B579)</f>
        <v>6</v>
      </c>
      <c r="E579">
        <f t="shared" ref="E579:E642" si="161">YEAR(B579)</f>
        <v>2023</v>
      </c>
      <c r="F579" s="2">
        <v>2114</v>
      </c>
      <c r="G579" s="2" t="s">
        <v>19</v>
      </c>
      <c r="H579" s="4">
        <f>SUMIFS($F$2:$F$2739,$G$2:$G$2739,"Multi-year Contract",$E$2:$E$2739,2023)/SUMIF($E$2:$E$2739,2023,$F$2:$F$2739)</f>
        <v>0.5137784540236352</v>
      </c>
    </row>
    <row r="580" spans="1:8" x14ac:dyDescent="0.3">
      <c r="A580" t="s">
        <v>8</v>
      </c>
      <c r="B580" s="3">
        <v>45085</v>
      </c>
      <c r="C580">
        <f t="shared" si="159"/>
        <v>8</v>
      </c>
      <c r="D580">
        <f t="shared" si="160"/>
        <v>6</v>
      </c>
      <c r="E580">
        <f t="shared" si="161"/>
        <v>2023</v>
      </c>
      <c r="F580" s="2">
        <v>3650</v>
      </c>
      <c r="G580" s="2" t="s">
        <v>18</v>
      </c>
      <c r="H580" s="4">
        <f>SUMIFS($F$2:$F$2739,$G$2:$G$2739,"Annual Contract",$E$2:$E$2739,2023)/SUMIF($E$2:$E$2739,2023,$F$2:$F$2739)</f>
        <v>0.27687421727474026</v>
      </c>
    </row>
    <row r="581" spans="1:8" x14ac:dyDescent="0.3">
      <c r="A581" t="s">
        <v>11</v>
      </c>
      <c r="B581" s="3">
        <v>45085</v>
      </c>
      <c r="C581">
        <f t="shared" si="159"/>
        <v>8</v>
      </c>
      <c r="D581">
        <f t="shared" si="160"/>
        <v>6</v>
      </c>
      <c r="E581">
        <f t="shared" si="161"/>
        <v>2023</v>
      </c>
      <c r="F581" s="2">
        <v>3328</v>
      </c>
      <c r="G581" t="s">
        <v>19</v>
      </c>
      <c r="H581" s="4">
        <f t="shared" ref="H581:H582" si="162">SUMIFS($F$2:$F$2739,$G$2:$G$2739,"Multi-year Contract",$E$2:$E$2739,2023)/SUMIF($E$2:$E$2739,2023,$F$2:$F$2739)</f>
        <v>0.5137784540236352</v>
      </c>
    </row>
    <row r="582" spans="1:8" x14ac:dyDescent="0.3">
      <c r="A582" t="s">
        <v>4</v>
      </c>
      <c r="B582" s="3">
        <v>45085</v>
      </c>
      <c r="C582">
        <f t="shared" si="159"/>
        <v>8</v>
      </c>
      <c r="D582">
        <f t="shared" si="160"/>
        <v>6</v>
      </c>
      <c r="E582">
        <f t="shared" si="161"/>
        <v>2023</v>
      </c>
      <c r="F582" s="2">
        <v>2428</v>
      </c>
      <c r="G582" s="2" t="s">
        <v>19</v>
      </c>
      <c r="H582" s="4">
        <f t="shared" si="162"/>
        <v>0.5137784540236352</v>
      </c>
    </row>
    <row r="583" spans="1:8" x14ac:dyDescent="0.3">
      <c r="A583" t="s">
        <v>5</v>
      </c>
      <c r="B583" s="3">
        <v>45085</v>
      </c>
      <c r="C583">
        <f t="shared" si="159"/>
        <v>8</v>
      </c>
      <c r="D583">
        <f t="shared" si="160"/>
        <v>6</v>
      </c>
      <c r="E583">
        <f t="shared" si="161"/>
        <v>2023</v>
      </c>
      <c r="F583" s="2">
        <v>3401</v>
      </c>
      <c r="G583" t="s">
        <v>18</v>
      </c>
      <c r="H583" s="4">
        <f>SUMIFS($F$2:$F$2739,$G$2:$G$2739,"Annual Contract",$E$2:$E$2739,2023)/SUMIF($E$2:$E$2739,2023,$F$2:$F$2739)</f>
        <v>0.27687421727474026</v>
      </c>
    </row>
    <row r="584" spans="1:8" x14ac:dyDescent="0.3">
      <c r="A584" t="s">
        <v>4</v>
      </c>
      <c r="B584" s="3">
        <v>45086</v>
      </c>
      <c r="C584">
        <f t="shared" si="159"/>
        <v>9</v>
      </c>
      <c r="D584">
        <f t="shared" si="160"/>
        <v>6</v>
      </c>
      <c r="E584">
        <f t="shared" si="161"/>
        <v>2023</v>
      </c>
      <c r="F584" s="2">
        <v>2760</v>
      </c>
      <c r="G584" s="2" t="s">
        <v>19</v>
      </c>
      <c r="H584" s="4">
        <f t="shared" ref="H584:H587" si="163">SUMIFS($F$2:$F$2739,$G$2:$G$2739,"Multi-year Contract",$E$2:$E$2739,2023)/SUMIF($E$2:$E$2739,2023,$F$2:$F$2739)</f>
        <v>0.5137784540236352</v>
      </c>
    </row>
    <row r="585" spans="1:8" x14ac:dyDescent="0.3">
      <c r="A585" t="s">
        <v>3</v>
      </c>
      <c r="B585" s="3">
        <v>45086</v>
      </c>
      <c r="C585">
        <f t="shared" si="159"/>
        <v>9</v>
      </c>
      <c r="D585">
        <f t="shared" si="160"/>
        <v>6</v>
      </c>
      <c r="E585">
        <f t="shared" si="161"/>
        <v>2023</v>
      </c>
      <c r="F585" s="2">
        <v>1357</v>
      </c>
      <c r="G585" t="s">
        <v>19</v>
      </c>
      <c r="H585" s="4">
        <f t="shared" si="163"/>
        <v>0.5137784540236352</v>
      </c>
    </row>
    <row r="586" spans="1:8" x14ac:dyDescent="0.3">
      <c r="A586" t="s">
        <v>10</v>
      </c>
      <c r="B586" s="3">
        <v>45086</v>
      </c>
      <c r="C586">
        <f t="shared" si="159"/>
        <v>9</v>
      </c>
      <c r="D586">
        <f t="shared" si="160"/>
        <v>6</v>
      </c>
      <c r="E586">
        <f t="shared" si="161"/>
        <v>2023</v>
      </c>
      <c r="F586" s="2">
        <v>863</v>
      </c>
      <c r="G586" t="s">
        <v>19</v>
      </c>
      <c r="H586" s="4">
        <f t="shared" si="163"/>
        <v>0.5137784540236352</v>
      </c>
    </row>
    <row r="587" spans="1:8" x14ac:dyDescent="0.3">
      <c r="A587" t="s">
        <v>3</v>
      </c>
      <c r="B587" s="3">
        <v>45086</v>
      </c>
      <c r="C587">
        <f t="shared" si="159"/>
        <v>9</v>
      </c>
      <c r="D587">
        <f t="shared" si="160"/>
        <v>6</v>
      </c>
      <c r="E587">
        <f t="shared" si="161"/>
        <v>2023</v>
      </c>
      <c r="F587" s="2">
        <v>3454</v>
      </c>
      <c r="G587" t="s">
        <v>19</v>
      </c>
      <c r="H587" s="4">
        <f t="shared" si="163"/>
        <v>0.5137784540236352</v>
      </c>
    </row>
    <row r="588" spans="1:8" x14ac:dyDescent="0.3">
      <c r="A588" t="s">
        <v>9</v>
      </c>
      <c r="B588" s="3">
        <v>45086</v>
      </c>
      <c r="C588">
        <f t="shared" si="159"/>
        <v>9</v>
      </c>
      <c r="D588">
        <f t="shared" si="160"/>
        <v>6</v>
      </c>
      <c r="E588">
        <f t="shared" si="161"/>
        <v>2023</v>
      </c>
      <c r="F588" s="2">
        <v>2118</v>
      </c>
      <c r="G588" t="s">
        <v>17</v>
      </c>
      <c r="H588" s="4">
        <f>SUMIFS($F$2:$F$2739,$G$2:$G$2739,"No Contract",$E$2:$E$2739,2023)/SUMIF($E$2:$E$2739,2023,$F$2:$F$2739)</f>
        <v>0.20934732870162456</v>
      </c>
    </row>
    <row r="589" spans="1:8" x14ac:dyDescent="0.3">
      <c r="A589" t="s">
        <v>6</v>
      </c>
      <c r="B589" s="3">
        <v>45086</v>
      </c>
      <c r="C589">
        <f t="shared" si="159"/>
        <v>9</v>
      </c>
      <c r="D589">
        <f t="shared" si="160"/>
        <v>6</v>
      </c>
      <c r="E589">
        <f t="shared" si="161"/>
        <v>2023</v>
      </c>
      <c r="F589" s="2">
        <v>2509</v>
      </c>
      <c r="G589" t="s">
        <v>18</v>
      </c>
      <c r="H589" s="4">
        <f t="shared" ref="H589:H590" si="164">SUMIFS($F$2:$F$2739,$G$2:$G$2739,"Annual Contract",$E$2:$E$2739,2023)/SUMIF($E$2:$E$2739,2023,$F$2:$F$2739)</f>
        <v>0.27687421727474026</v>
      </c>
    </row>
    <row r="590" spans="1:8" x14ac:dyDescent="0.3">
      <c r="A590" t="s">
        <v>6</v>
      </c>
      <c r="B590" s="3">
        <v>45086</v>
      </c>
      <c r="C590">
        <f t="shared" si="159"/>
        <v>9</v>
      </c>
      <c r="D590">
        <f t="shared" si="160"/>
        <v>6</v>
      </c>
      <c r="E590">
        <f t="shared" si="161"/>
        <v>2023</v>
      </c>
      <c r="F590" s="2">
        <v>2999</v>
      </c>
      <c r="G590" t="s">
        <v>18</v>
      </c>
      <c r="H590" s="4">
        <f t="shared" si="164"/>
        <v>0.27687421727474026</v>
      </c>
    </row>
    <row r="591" spans="1:8" x14ac:dyDescent="0.3">
      <c r="A591" t="s">
        <v>11</v>
      </c>
      <c r="B591" s="3">
        <v>45086</v>
      </c>
      <c r="C591">
        <f t="shared" si="159"/>
        <v>9</v>
      </c>
      <c r="D591">
        <f t="shared" si="160"/>
        <v>6</v>
      </c>
      <c r="E591">
        <f t="shared" si="161"/>
        <v>2023</v>
      </c>
      <c r="F591" s="2">
        <v>878</v>
      </c>
      <c r="G591" t="s">
        <v>19</v>
      </c>
      <c r="H591" s="4">
        <f t="shared" ref="H591:H592" si="165">SUMIFS($F$2:$F$2739,$G$2:$G$2739,"Multi-year Contract",$E$2:$E$2739,2023)/SUMIF($E$2:$E$2739,2023,$F$2:$F$2739)</f>
        <v>0.5137784540236352</v>
      </c>
    </row>
    <row r="592" spans="1:8" x14ac:dyDescent="0.3">
      <c r="A592" t="s">
        <v>3</v>
      </c>
      <c r="B592" s="3">
        <v>45086</v>
      </c>
      <c r="C592">
        <f t="shared" si="159"/>
        <v>9</v>
      </c>
      <c r="D592">
        <f t="shared" si="160"/>
        <v>6</v>
      </c>
      <c r="E592">
        <f t="shared" si="161"/>
        <v>2023</v>
      </c>
      <c r="F592" s="2">
        <v>2773</v>
      </c>
      <c r="G592" t="s">
        <v>19</v>
      </c>
      <c r="H592" s="4">
        <f t="shared" si="165"/>
        <v>0.5137784540236352</v>
      </c>
    </row>
    <row r="593" spans="1:8" x14ac:dyDescent="0.3">
      <c r="A593" t="s">
        <v>5</v>
      </c>
      <c r="B593" s="3">
        <v>45087</v>
      </c>
      <c r="C593">
        <f t="shared" si="159"/>
        <v>10</v>
      </c>
      <c r="D593">
        <f t="shared" si="160"/>
        <v>6</v>
      </c>
      <c r="E593">
        <f t="shared" si="161"/>
        <v>2023</v>
      </c>
      <c r="F593" s="2">
        <v>2252</v>
      </c>
      <c r="G593" t="s">
        <v>18</v>
      </c>
      <c r="H593" s="4">
        <f t="shared" ref="H593:H594" si="166">SUMIFS($F$2:$F$2739,$G$2:$G$2739,"Annual Contract",$E$2:$E$2739,2023)/SUMIF($E$2:$E$2739,2023,$F$2:$F$2739)</f>
        <v>0.27687421727474026</v>
      </c>
    </row>
    <row r="594" spans="1:8" x14ac:dyDescent="0.3">
      <c r="A594" t="s">
        <v>5</v>
      </c>
      <c r="B594" s="3">
        <v>45087</v>
      </c>
      <c r="C594">
        <f t="shared" si="159"/>
        <v>10</v>
      </c>
      <c r="D594">
        <f t="shared" si="160"/>
        <v>6</v>
      </c>
      <c r="E594">
        <f t="shared" si="161"/>
        <v>2023</v>
      </c>
      <c r="F594" s="2">
        <v>3621</v>
      </c>
      <c r="G594" t="s">
        <v>18</v>
      </c>
      <c r="H594" s="4">
        <f t="shared" si="166"/>
        <v>0.27687421727474026</v>
      </c>
    </row>
    <row r="595" spans="1:8" x14ac:dyDescent="0.3">
      <c r="A595" t="s">
        <v>10</v>
      </c>
      <c r="B595" s="3">
        <v>45087</v>
      </c>
      <c r="C595">
        <f t="shared" si="159"/>
        <v>10</v>
      </c>
      <c r="D595">
        <f t="shared" si="160"/>
        <v>6</v>
      </c>
      <c r="E595">
        <f t="shared" si="161"/>
        <v>2023</v>
      </c>
      <c r="F595" s="2">
        <v>1778</v>
      </c>
      <c r="G595" t="s">
        <v>19</v>
      </c>
      <c r="H595" s="4">
        <f>SUMIFS($F$2:$F$2739,$G$2:$G$2739,"Multi-year Contract",$E$2:$E$2739,2023)/SUMIF($E$2:$E$2739,2023,$F$2:$F$2739)</f>
        <v>0.5137784540236352</v>
      </c>
    </row>
    <row r="596" spans="1:8" x14ac:dyDescent="0.3">
      <c r="A596" t="s">
        <v>7</v>
      </c>
      <c r="B596" s="3">
        <v>45087</v>
      </c>
      <c r="C596">
        <f t="shared" si="159"/>
        <v>10</v>
      </c>
      <c r="D596">
        <f t="shared" si="160"/>
        <v>6</v>
      </c>
      <c r="E596">
        <f t="shared" si="161"/>
        <v>2023</v>
      </c>
      <c r="F596" s="2">
        <v>1572</v>
      </c>
      <c r="G596" t="s">
        <v>17</v>
      </c>
      <c r="H596" s="4">
        <f>SUMIFS($F$2:$F$2739,$G$2:$G$2739,"No Contract",$E$2:$E$2739,2023)/SUMIF($E$2:$E$2739,2023,$F$2:$F$2739)</f>
        <v>0.20934732870162456</v>
      </c>
    </row>
    <row r="597" spans="1:8" x14ac:dyDescent="0.3">
      <c r="A597" t="s">
        <v>5</v>
      </c>
      <c r="B597" s="3">
        <v>45088</v>
      </c>
      <c r="C597">
        <f t="shared" si="159"/>
        <v>11</v>
      </c>
      <c r="D597">
        <f t="shared" si="160"/>
        <v>6</v>
      </c>
      <c r="E597">
        <f t="shared" si="161"/>
        <v>2023</v>
      </c>
      <c r="F597" s="2">
        <v>754</v>
      </c>
      <c r="G597" t="s">
        <v>18</v>
      </c>
      <c r="H597" s="4">
        <f>SUMIFS($F$2:$F$2739,$G$2:$G$2739,"Annual Contract",$E$2:$E$2739,2023)/SUMIF($E$2:$E$2739,2023,$F$2:$F$2739)</f>
        <v>0.27687421727474026</v>
      </c>
    </row>
    <row r="598" spans="1:8" x14ac:dyDescent="0.3">
      <c r="A598" t="s">
        <v>4</v>
      </c>
      <c r="B598" s="3">
        <v>45088</v>
      </c>
      <c r="C598">
        <f t="shared" si="159"/>
        <v>11</v>
      </c>
      <c r="D598">
        <f t="shared" si="160"/>
        <v>6</v>
      </c>
      <c r="E598">
        <f t="shared" si="161"/>
        <v>2023</v>
      </c>
      <c r="F598" s="2">
        <v>1834</v>
      </c>
      <c r="G598" s="2" t="s">
        <v>19</v>
      </c>
      <c r="H598" s="4">
        <f t="shared" ref="H598:H600" si="167">SUMIFS($F$2:$F$2739,$G$2:$G$2739,"Multi-year Contract",$E$2:$E$2739,2023)/SUMIF($E$2:$E$2739,2023,$F$2:$F$2739)</f>
        <v>0.5137784540236352</v>
      </c>
    </row>
    <row r="599" spans="1:8" x14ac:dyDescent="0.3">
      <c r="A599" t="s">
        <v>4</v>
      </c>
      <c r="B599" s="3">
        <v>45088</v>
      </c>
      <c r="C599">
        <f t="shared" si="159"/>
        <v>11</v>
      </c>
      <c r="D599">
        <f t="shared" si="160"/>
        <v>6</v>
      </c>
      <c r="E599">
        <f t="shared" si="161"/>
        <v>2023</v>
      </c>
      <c r="F599" s="2">
        <v>3834</v>
      </c>
      <c r="G599" s="2" t="s">
        <v>19</v>
      </c>
      <c r="H599" s="4">
        <f t="shared" si="167"/>
        <v>0.5137784540236352</v>
      </c>
    </row>
    <row r="600" spans="1:8" x14ac:dyDescent="0.3">
      <c r="A600" t="s">
        <v>10</v>
      </c>
      <c r="B600" s="3">
        <v>45088</v>
      </c>
      <c r="C600">
        <f t="shared" si="159"/>
        <v>11</v>
      </c>
      <c r="D600">
        <f t="shared" si="160"/>
        <v>6</v>
      </c>
      <c r="E600">
        <f t="shared" si="161"/>
        <v>2023</v>
      </c>
      <c r="F600" s="2">
        <v>1093</v>
      </c>
      <c r="G600" t="s">
        <v>19</v>
      </c>
      <c r="H600" s="4">
        <f t="shared" si="167"/>
        <v>0.5137784540236352</v>
      </c>
    </row>
    <row r="601" spans="1:8" x14ac:dyDescent="0.3">
      <c r="A601" t="s">
        <v>6</v>
      </c>
      <c r="B601" s="3">
        <v>45088</v>
      </c>
      <c r="C601">
        <f t="shared" si="159"/>
        <v>11</v>
      </c>
      <c r="D601">
        <f t="shared" si="160"/>
        <v>6</v>
      </c>
      <c r="E601">
        <f t="shared" si="161"/>
        <v>2023</v>
      </c>
      <c r="F601" s="2">
        <v>1570</v>
      </c>
      <c r="G601" t="s">
        <v>18</v>
      </c>
      <c r="H601" s="4">
        <f>SUMIFS($F$2:$F$2739,$G$2:$G$2739,"Annual Contract",$E$2:$E$2739,2023)/SUMIF($E$2:$E$2739,2023,$F$2:$F$2739)</f>
        <v>0.27687421727474026</v>
      </c>
    </row>
    <row r="602" spans="1:8" x14ac:dyDescent="0.3">
      <c r="A602" t="s">
        <v>11</v>
      </c>
      <c r="B602" s="3">
        <v>45088</v>
      </c>
      <c r="C602">
        <f t="shared" si="159"/>
        <v>11</v>
      </c>
      <c r="D602">
        <f t="shared" si="160"/>
        <v>6</v>
      </c>
      <c r="E602">
        <f t="shared" si="161"/>
        <v>2023</v>
      </c>
      <c r="F602" s="2">
        <v>1251</v>
      </c>
      <c r="G602" t="s">
        <v>19</v>
      </c>
      <c r="H602" s="4">
        <f>SUMIFS($F$2:$F$2739,$G$2:$G$2739,"Multi-year Contract",$E$2:$E$2739,2023)/SUMIF($E$2:$E$2739,2023,$F$2:$F$2739)</f>
        <v>0.5137784540236352</v>
      </c>
    </row>
    <row r="603" spans="1:8" x14ac:dyDescent="0.3">
      <c r="A603" t="s">
        <v>9</v>
      </c>
      <c r="B603" s="3">
        <v>45089</v>
      </c>
      <c r="C603">
        <f t="shared" si="159"/>
        <v>12</v>
      </c>
      <c r="D603">
        <f t="shared" si="160"/>
        <v>6</v>
      </c>
      <c r="E603">
        <f t="shared" si="161"/>
        <v>2023</v>
      </c>
      <c r="F603" s="2">
        <v>3338</v>
      </c>
      <c r="G603" t="s">
        <v>17</v>
      </c>
      <c r="H603" s="4">
        <f>SUMIFS($F$2:$F$2739,$G$2:$G$2739,"No Contract",$E$2:$E$2739,2023)/SUMIF($E$2:$E$2739,2023,$F$2:$F$2739)</f>
        <v>0.20934732870162456</v>
      </c>
    </row>
    <row r="604" spans="1:8" x14ac:dyDescent="0.3">
      <c r="A604" t="s">
        <v>10</v>
      </c>
      <c r="B604" s="3">
        <v>45089</v>
      </c>
      <c r="C604">
        <f t="shared" si="159"/>
        <v>12</v>
      </c>
      <c r="D604">
        <f t="shared" si="160"/>
        <v>6</v>
      </c>
      <c r="E604">
        <f t="shared" si="161"/>
        <v>2023</v>
      </c>
      <c r="F604" s="2">
        <v>1056</v>
      </c>
      <c r="G604" t="s">
        <v>19</v>
      </c>
      <c r="H604" s="4">
        <f>SUMIFS($F$2:$F$2739,$G$2:$G$2739,"Multi-year Contract",$E$2:$E$2739,2023)/SUMIF($E$2:$E$2739,2023,$F$2:$F$2739)</f>
        <v>0.5137784540236352</v>
      </c>
    </row>
    <row r="605" spans="1:8" x14ac:dyDescent="0.3">
      <c r="A605" t="s">
        <v>7</v>
      </c>
      <c r="B605" s="3">
        <v>45089</v>
      </c>
      <c r="C605">
        <f t="shared" si="159"/>
        <v>12</v>
      </c>
      <c r="D605">
        <f t="shared" si="160"/>
        <v>6</v>
      </c>
      <c r="E605">
        <f t="shared" si="161"/>
        <v>2023</v>
      </c>
      <c r="F605" s="2">
        <v>1929</v>
      </c>
      <c r="G605" t="s">
        <v>17</v>
      </c>
      <c r="H605" s="4">
        <f t="shared" ref="H605:H606" si="168">SUMIFS($F$2:$F$2739,$G$2:$G$2739,"No Contract",$E$2:$E$2739,2023)/SUMIF($E$2:$E$2739,2023,$F$2:$F$2739)</f>
        <v>0.20934732870162456</v>
      </c>
    </row>
    <row r="606" spans="1:8" x14ac:dyDescent="0.3">
      <c r="A606" t="s">
        <v>7</v>
      </c>
      <c r="B606" s="3">
        <v>45090</v>
      </c>
      <c r="C606">
        <f t="shared" si="159"/>
        <v>13</v>
      </c>
      <c r="D606">
        <f t="shared" si="160"/>
        <v>6</v>
      </c>
      <c r="E606">
        <f t="shared" si="161"/>
        <v>2023</v>
      </c>
      <c r="F606" s="2">
        <v>2197</v>
      </c>
      <c r="G606" t="s">
        <v>17</v>
      </c>
      <c r="H606" s="4">
        <f t="shared" si="168"/>
        <v>0.20934732870162456</v>
      </c>
    </row>
    <row r="607" spans="1:8" x14ac:dyDescent="0.3">
      <c r="A607" t="s">
        <v>4</v>
      </c>
      <c r="B607" s="3">
        <v>45091</v>
      </c>
      <c r="C607">
        <f t="shared" si="159"/>
        <v>14</v>
      </c>
      <c r="D607">
        <f t="shared" si="160"/>
        <v>6</v>
      </c>
      <c r="E607">
        <f t="shared" si="161"/>
        <v>2023</v>
      </c>
      <c r="F607" s="2">
        <v>797</v>
      </c>
      <c r="G607" s="2" t="s">
        <v>19</v>
      </c>
      <c r="H607" s="4">
        <f>SUMIFS($F$2:$F$2739,$G$2:$G$2739,"Multi-year Contract",$E$2:$E$2739,2023)/SUMIF($E$2:$E$2739,2023,$F$2:$F$2739)</f>
        <v>0.5137784540236352</v>
      </c>
    </row>
    <row r="608" spans="1:8" x14ac:dyDescent="0.3">
      <c r="A608" t="s">
        <v>9</v>
      </c>
      <c r="B608" s="3">
        <v>45091</v>
      </c>
      <c r="C608">
        <f t="shared" si="159"/>
        <v>14</v>
      </c>
      <c r="D608">
        <f t="shared" si="160"/>
        <v>6</v>
      </c>
      <c r="E608">
        <f t="shared" si="161"/>
        <v>2023</v>
      </c>
      <c r="F608" s="2">
        <v>1045</v>
      </c>
      <c r="G608" t="s">
        <v>17</v>
      </c>
      <c r="H608" s="4">
        <f>SUMIFS($F$2:$F$2739,$G$2:$G$2739,"No Contract",$E$2:$E$2739,2023)/SUMIF($E$2:$E$2739,2023,$F$2:$F$2739)</f>
        <v>0.20934732870162456</v>
      </c>
    </row>
    <row r="609" spans="1:8" x14ac:dyDescent="0.3">
      <c r="A609" t="s">
        <v>12</v>
      </c>
      <c r="B609" s="3">
        <v>45091</v>
      </c>
      <c r="C609">
        <f t="shared" si="159"/>
        <v>14</v>
      </c>
      <c r="D609">
        <f t="shared" si="160"/>
        <v>6</v>
      </c>
      <c r="E609">
        <f t="shared" si="161"/>
        <v>2023</v>
      </c>
      <c r="F609" s="2">
        <v>1749</v>
      </c>
      <c r="G609" s="2" t="s">
        <v>19</v>
      </c>
      <c r="H609" s="4">
        <f>SUMIFS($F$2:$F$2739,$G$2:$G$2739,"Multi-year Contract",$E$2:$E$2739,2023)/SUMIF($E$2:$E$2739,2023,$F$2:$F$2739)</f>
        <v>0.5137784540236352</v>
      </c>
    </row>
    <row r="610" spans="1:8" x14ac:dyDescent="0.3">
      <c r="A610" t="s">
        <v>6</v>
      </c>
      <c r="B610" s="3">
        <v>45091</v>
      </c>
      <c r="C610">
        <f t="shared" si="159"/>
        <v>14</v>
      </c>
      <c r="D610">
        <f t="shared" si="160"/>
        <v>6</v>
      </c>
      <c r="E610">
        <f t="shared" si="161"/>
        <v>2023</v>
      </c>
      <c r="F610" s="2">
        <v>2443</v>
      </c>
      <c r="G610" t="s">
        <v>18</v>
      </c>
      <c r="H610" s="4">
        <f t="shared" ref="H610:H611" si="169">SUMIFS($F$2:$F$2739,$G$2:$G$2739,"Annual Contract",$E$2:$E$2739,2023)/SUMIF($E$2:$E$2739,2023,$F$2:$F$2739)</f>
        <v>0.27687421727474026</v>
      </c>
    </row>
    <row r="611" spans="1:8" x14ac:dyDescent="0.3">
      <c r="A611" t="s">
        <v>5</v>
      </c>
      <c r="B611" s="3">
        <v>45091</v>
      </c>
      <c r="C611">
        <f t="shared" si="159"/>
        <v>14</v>
      </c>
      <c r="D611">
        <f t="shared" si="160"/>
        <v>6</v>
      </c>
      <c r="E611">
        <f t="shared" si="161"/>
        <v>2023</v>
      </c>
      <c r="F611" s="2">
        <v>3118</v>
      </c>
      <c r="G611" t="s">
        <v>18</v>
      </c>
      <c r="H611" s="4">
        <f t="shared" si="169"/>
        <v>0.27687421727474026</v>
      </c>
    </row>
    <row r="612" spans="1:8" x14ac:dyDescent="0.3">
      <c r="A612" t="s">
        <v>4</v>
      </c>
      <c r="B612" s="3">
        <v>45091</v>
      </c>
      <c r="C612">
        <f t="shared" si="159"/>
        <v>14</v>
      </c>
      <c r="D612">
        <f t="shared" si="160"/>
        <v>6</v>
      </c>
      <c r="E612">
        <f t="shared" si="161"/>
        <v>2023</v>
      </c>
      <c r="F612" s="2">
        <v>2189</v>
      </c>
      <c r="G612" s="2" t="s">
        <v>19</v>
      </c>
      <c r="H612" s="4">
        <f>SUMIFS($F$2:$F$2739,$G$2:$G$2739,"Multi-year Contract",$E$2:$E$2739,2023)/SUMIF($E$2:$E$2739,2023,$F$2:$F$2739)</f>
        <v>0.5137784540236352</v>
      </c>
    </row>
    <row r="613" spans="1:8" x14ac:dyDescent="0.3">
      <c r="A613" t="s">
        <v>9</v>
      </c>
      <c r="B613" s="3">
        <v>45091</v>
      </c>
      <c r="C613">
        <f t="shared" si="159"/>
        <v>14</v>
      </c>
      <c r="D613">
        <f t="shared" si="160"/>
        <v>6</v>
      </c>
      <c r="E613">
        <f t="shared" si="161"/>
        <v>2023</v>
      </c>
      <c r="F613" s="2">
        <v>560</v>
      </c>
      <c r="G613" t="s">
        <v>17</v>
      </c>
      <c r="H613" s="4">
        <f>SUMIFS($F$2:$F$2739,$G$2:$G$2739,"No Contract",$E$2:$E$2739,2023)/SUMIF($E$2:$E$2739,2023,$F$2:$F$2739)</f>
        <v>0.20934732870162456</v>
      </c>
    </row>
    <row r="614" spans="1:8" x14ac:dyDescent="0.3">
      <c r="A614" t="s">
        <v>11</v>
      </c>
      <c r="B614" s="3">
        <v>45093</v>
      </c>
      <c r="C614">
        <f t="shared" si="159"/>
        <v>16</v>
      </c>
      <c r="D614">
        <f t="shared" si="160"/>
        <v>6</v>
      </c>
      <c r="E614">
        <f t="shared" si="161"/>
        <v>2023</v>
      </c>
      <c r="F614" s="2">
        <v>1809</v>
      </c>
      <c r="G614" t="s">
        <v>19</v>
      </c>
      <c r="H614" s="4">
        <f t="shared" ref="H614:H618" si="170">SUMIFS($F$2:$F$2739,$G$2:$G$2739,"Multi-year Contract",$E$2:$E$2739,2023)/SUMIF($E$2:$E$2739,2023,$F$2:$F$2739)</f>
        <v>0.5137784540236352</v>
      </c>
    </row>
    <row r="615" spans="1:8" x14ac:dyDescent="0.3">
      <c r="A615" t="s">
        <v>11</v>
      </c>
      <c r="B615" s="3">
        <v>45093</v>
      </c>
      <c r="C615">
        <f t="shared" si="159"/>
        <v>16</v>
      </c>
      <c r="D615">
        <f t="shared" si="160"/>
        <v>6</v>
      </c>
      <c r="E615">
        <f t="shared" si="161"/>
        <v>2023</v>
      </c>
      <c r="F615" s="2">
        <v>3082</v>
      </c>
      <c r="G615" t="s">
        <v>19</v>
      </c>
      <c r="H615" s="4">
        <f t="shared" si="170"/>
        <v>0.5137784540236352</v>
      </c>
    </row>
    <row r="616" spans="1:8" x14ac:dyDescent="0.3">
      <c r="A616" t="s">
        <v>4</v>
      </c>
      <c r="B616" s="3">
        <v>45093</v>
      </c>
      <c r="C616">
        <f t="shared" si="159"/>
        <v>16</v>
      </c>
      <c r="D616">
        <f t="shared" si="160"/>
        <v>6</v>
      </c>
      <c r="E616">
        <f t="shared" si="161"/>
        <v>2023</v>
      </c>
      <c r="F616" s="2">
        <v>2357</v>
      </c>
      <c r="G616" s="2" t="s">
        <v>19</v>
      </c>
      <c r="H616" s="4">
        <f t="shared" si="170"/>
        <v>0.5137784540236352</v>
      </c>
    </row>
    <row r="617" spans="1:8" x14ac:dyDescent="0.3">
      <c r="A617" t="s">
        <v>4</v>
      </c>
      <c r="B617" s="3">
        <v>45093</v>
      </c>
      <c r="C617">
        <f t="shared" si="159"/>
        <v>16</v>
      </c>
      <c r="D617">
        <f t="shared" si="160"/>
        <v>6</v>
      </c>
      <c r="E617">
        <f t="shared" si="161"/>
        <v>2023</v>
      </c>
      <c r="F617" s="2">
        <v>871</v>
      </c>
      <c r="G617" s="2" t="s">
        <v>19</v>
      </c>
      <c r="H617" s="4">
        <f t="shared" si="170"/>
        <v>0.5137784540236352</v>
      </c>
    </row>
    <row r="618" spans="1:8" x14ac:dyDescent="0.3">
      <c r="A618" t="s">
        <v>12</v>
      </c>
      <c r="B618" s="3">
        <v>45094</v>
      </c>
      <c r="C618">
        <f t="shared" si="159"/>
        <v>17</v>
      </c>
      <c r="D618">
        <f t="shared" si="160"/>
        <v>6</v>
      </c>
      <c r="E618">
        <f t="shared" si="161"/>
        <v>2023</v>
      </c>
      <c r="F618" s="2">
        <v>2614</v>
      </c>
      <c r="G618" s="2" t="s">
        <v>19</v>
      </c>
      <c r="H618" s="4">
        <f t="shared" si="170"/>
        <v>0.5137784540236352</v>
      </c>
    </row>
    <row r="619" spans="1:8" x14ac:dyDescent="0.3">
      <c r="A619" t="s">
        <v>5</v>
      </c>
      <c r="B619" s="3">
        <v>45094</v>
      </c>
      <c r="C619">
        <f t="shared" si="159"/>
        <v>17</v>
      </c>
      <c r="D619">
        <f t="shared" si="160"/>
        <v>6</v>
      </c>
      <c r="E619">
        <f t="shared" si="161"/>
        <v>2023</v>
      </c>
      <c r="F619" s="2">
        <v>3624</v>
      </c>
      <c r="G619" t="s">
        <v>18</v>
      </c>
      <c r="H619" s="4">
        <f t="shared" ref="H619:H621" si="171">SUMIFS($F$2:$F$2739,$G$2:$G$2739,"Annual Contract",$E$2:$E$2739,2023)/SUMIF($E$2:$E$2739,2023,$F$2:$F$2739)</f>
        <v>0.27687421727474026</v>
      </c>
    </row>
    <row r="620" spans="1:8" x14ac:dyDescent="0.3">
      <c r="A620" t="s">
        <v>8</v>
      </c>
      <c r="B620" s="3">
        <v>45094</v>
      </c>
      <c r="C620">
        <f t="shared" si="159"/>
        <v>17</v>
      </c>
      <c r="D620">
        <f t="shared" si="160"/>
        <v>6</v>
      </c>
      <c r="E620">
        <f t="shared" si="161"/>
        <v>2023</v>
      </c>
      <c r="F620" s="2">
        <v>3620</v>
      </c>
      <c r="G620" s="2" t="s">
        <v>18</v>
      </c>
      <c r="H620" s="4">
        <f t="shared" si="171"/>
        <v>0.27687421727474026</v>
      </c>
    </row>
    <row r="621" spans="1:8" x14ac:dyDescent="0.3">
      <c r="A621" t="s">
        <v>8</v>
      </c>
      <c r="B621" s="3">
        <v>45094</v>
      </c>
      <c r="C621">
        <f t="shared" si="159"/>
        <v>17</v>
      </c>
      <c r="D621">
        <f t="shared" si="160"/>
        <v>6</v>
      </c>
      <c r="E621">
        <f t="shared" si="161"/>
        <v>2023</v>
      </c>
      <c r="F621" s="2">
        <v>3722</v>
      </c>
      <c r="G621" s="2" t="s">
        <v>18</v>
      </c>
      <c r="H621" s="4">
        <f t="shared" si="171"/>
        <v>0.27687421727474026</v>
      </c>
    </row>
    <row r="622" spans="1:8" x14ac:dyDescent="0.3">
      <c r="A622" t="s">
        <v>3</v>
      </c>
      <c r="B622" s="3">
        <v>45095</v>
      </c>
      <c r="C622">
        <f t="shared" si="159"/>
        <v>18</v>
      </c>
      <c r="D622">
        <f t="shared" si="160"/>
        <v>6</v>
      </c>
      <c r="E622">
        <f t="shared" si="161"/>
        <v>2023</v>
      </c>
      <c r="F622" s="2">
        <v>2596</v>
      </c>
      <c r="G622" t="s">
        <v>19</v>
      </c>
      <c r="H622" s="4">
        <f>SUMIFS($F$2:$F$2739,$G$2:$G$2739,"Multi-year Contract",$E$2:$E$2739,2023)/SUMIF($E$2:$E$2739,2023,$F$2:$F$2739)</f>
        <v>0.5137784540236352</v>
      </c>
    </row>
    <row r="623" spans="1:8" x14ac:dyDescent="0.3">
      <c r="A623" t="s">
        <v>6</v>
      </c>
      <c r="B623" s="3">
        <v>45095</v>
      </c>
      <c r="C623">
        <f t="shared" si="159"/>
        <v>18</v>
      </c>
      <c r="D623">
        <f t="shared" si="160"/>
        <v>6</v>
      </c>
      <c r="E623">
        <f t="shared" si="161"/>
        <v>2023</v>
      </c>
      <c r="F623" s="2">
        <v>771</v>
      </c>
      <c r="G623" t="s">
        <v>18</v>
      </c>
      <c r="H623" s="4">
        <f>SUMIFS($F$2:$F$2739,$G$2:$G$2739,"Annual Contract",$E$2:$E$2739,2023)/SUMIF($E$2:$E$2739,2023,$F$2:$F$2739)</f>
        <v>0.27687421727474026</v>
      </c>
    </row>
    <row r="624" spans="1:8" x14ac:dyDescent="0.3">
      <c r="A624" t="s">
        <v>7</v>
      </c>
      <c r="B624" s="3">
        <v>45095</v>
      </c>
      <c r="C624">
        <f t="shared" si="159"/>
        <v>18</v>
      </c>
      <c r="D624">
        <f t="shared" si="160"/>
        <v>6</v>
      </c>
      <c r="E624">
        <f t="shared" si="161"/>
        <v>2023</v>
      </c>
      <c r="F624" s="2">
        <v>1751</v>
      </c>
      <c r="G624" t="s">
        <v>17</v>
      </c>
      <c r="H624" s="4">
        <f>SUMIFS($F$2:$F$2739,$G$2:$G$2739,"No Contract",$E$2:$E$2739,2023)/SUMIF($E$2:$E$2739,2023,$F$2:$F$2739)</f>
        <v>0.20934732870162456</v>
      </c>
    </row>
    <row r="625" spans="1:8" x14ac:dyDescent="0.3">
      <c r="A625" t="s">
        <v>12</v>
      </c>
      <c r="B625" s="3">
        <v>45095</v>
      </c>
      <c r="C625">
        <f t="shared" si="159"/>
        <v>18</v>
      </c>
      <c r="D625">
        <f t="shared" si="160"/>
        <v>6</v>
      </c>
      <c r="E625">
        <f t="shared" si="161"/>
        <v>2023</v>
      </c>
      <c r="F625" s="2">
        <v>2530</v>
      </c>
      <c r="G625" s="2" t="s">
        <v>19</v>
      </c>
      <c r="H625" s="4">
        <f>SUMIFS($F$2:$F$2739,$G$2:$G$2739,"Multi-year Contract",$E$2:$E$2739,2023)/SUMIF($E$2:$E$2739,2023,$F$2:$F$2739)</f>
        <v>0.5137784540236352</v>
      </c>
    </row>
    <row r="626" spans="1:8" x14ac:dyDescent="0.3">
      <c r="A626" t="s">
        <v>9</v>
      </c>
      <c r="B626" s="3">
        <v>45095</v>
      </c>
      <c r="C626">
        <f t="shared" si="159"/>
        <v>18</v>
      </c>
      <c r="D626">
        <f t="shared" si="160"/>
        <v>6</v>
      </c>
      <c r="E626">
        <f t="shared" si="161"/>
        <v>2023</v>
      </c>
      <c r="F626" s="2">
        <v>3893</v>
      </c>
      <c r="G626" t="s">
        <v>17</v>
      </c>
      <c r="H626" s="4">
        <f>SUMIFS($F$2:$F$2739,$G$2:$G$2739,"No Contract",$E$2:$E$2739,2023)/SUMIF($E$2:$E$2739,2023,$F$2:$F$2739)</f>
        <v>0.20934732870162456</v>
      </c>
    </row>
    <row r="627" spans="1:8" x14ac:dyDescent="0.3">
      <c r="A627" t="s">
        <v>4</v>
      </c>
      <c r="B627" s="3">
        <v>45095</v>
      </c>
      <c r="C627">
        <f t="shared" si="159"/>
        <v>18</v>
      </c>
      <c r="D627">
        <f t="shared" si="160"/>
        <v>6</v>
      </c>
      <c r="E627">
        <f t="shared" si="161"/>
        <v>2023</v>
      </c>
      <c r="F627" s="2">
        <v>1370</v>
      </c>
      <c r="G627" s="2" t="s">
        <v>19</v>
      </c>
      <c r="H627" s="4">
        <f>SUMIFS($F$2:$F$2739,$G$2:$G$2739,"Multi-year Contract",$E$2:$E$2739,2023)/SUMIF($E$2:$E$2739,2023,$F$2:$F$2739)</f>
        <v>0.5137784540236352</v>
      </c>
    </row>
    <row r="628" spans="1:8" x14ac:dyDescent="0.3">
      <c r="A628" t="s">
        <v>5</v>
      </c>
      <c r="B628" s="3">
        <v>45096</v>
      </c>
      <c r="C628">
        <f t="shared" si="159"/>
        <v>19</v>
      </c>
      <c r="D628">
        <f t="shared" si="160"/>
        <v>6</v>
      </c>
      <c r="E628">
        <f t="shared" si="161"/>
        <v>2023</v>
      </c>
      <c r="F628" s="2">
        <v>1181</v>
      </c>
      <c r="G628" t="s">
        <v>18</v>
      </c>
      <c r="H628" s="4">
        <f t="shared" ref="H628:H629" si="172">SUMIFS($F$2:$F$2739,$G$2:$G$2739,"Annual Contract",$E$2:$E$2739,2023)/SUMIF($E$2:$E$2739,2023,$F$2:$F$2739)</f>
        <v>0.27687421727474026</v>
      </c>
    </row>
    <row r="629" spans="1:8" x14ac:dyDescent="0.3">
      <c r="A629" t="s">
        <v>6</v>
      </c>
      <c r="B629" s="3">
        <v>45096</v>
      </c>
      <c r="C629">
        <f t="shared" si="159"/>
        <v>19</v>
      </c>
      <c r="D629">
        <f t="shared" si="160"/>
        <v>6</v>
      </c>
      <c r="E629">
        <f t="shared" si="161"/>
        <v>2023</v>
      </c>
      <c r="F629" s="2">
        <v>2594</v>
      </c>
      <c r="G629" t="s">
        <v>18</v>
      </c>
      <c r="H629" s="4">
        <f t="shared" si="172"/>
        <v>0.27687421727474026</v>
      </c>
    </row>
    <row r="630" spans="1:8" x14ac:dyDescent="0.3">
      <c r="A630" t="s">
        <v>7</v>
      </c>
      <c r="B630" s="3">
        <v>45096</v>
      </c>
      <c r="C630">
        <f t="shared" si="159"/>
        <v>19</v>
      </c>
      <c r="D630">
        <f t="shared" si="160"/>
        <v>6</v>
      </c>
      <c r="E630">
        <f t="shared" si="161"/>
        <v>2023</v>
      </c>
      <c r="F630" s="2">
        <v>1875</v>
      </c>
      <c r="G630" t="s">
        <v>17</v>
      </c>
      <c r="H630" s="4">
        <f>SUMIFS($F$2:$F$2739,$G$2:$G$2739,"No Contract",$E$2:$E$2739,2023)/SUMIF($E$2:$E$2739,2023,$F$2:$F$2739)</f>
        <v>0.20934732870162456</v>
      </c>
    </row>
    <row r="631" spans="1:8" x14ac:dyDescent="0.3">
      <c r="A631" t="s">
        <v>3</v>
      </c>
      <c r="B631" s="3">
        <v>45097</v>
      </c>
      <c r="C631">
        <f t="shared" si="159"/>
        <v>20</v>
      </c>
      <c r="D631">
        <f t="shared" si="160"/>
        <v>6</v>
      </c>
      <c r="E631">
        <f t="shared" si="161"/>
        <v>2023</v>
      </c>
      <c r="F631" s="2">
        <v>3260</v>
      </c>
      <c r="G631" t="s">
        <v>19</v>
      </c>
      <c r="H631" s="4">
        <f>SUMIFS($F$2:$F$2739,$G$2:$G$2739,"Multi-year Contract",$E$2:$E$2739,2023)/SUMIF($E$2:$E$2739,2023,$F$2:$F$2739)</f>
        <v>0.5137784540236352</v>
      </c>
    </row>
    <row r="632" spans="1:8" x14ac:dyDescent="0.3">
      <c r="A632" t="s">
        <v>7</v>
      </c>
      <c r="B632" s="3">
        <v>45097</v>
      </c>
      <c r="C632">
        <f t="shared" si="159"/>
        <v>20</v>
      </c>
      <c r="D632">
        <f t="shared" si="160"/>
        <v>6</v>
      </c>
      <c r="E632">
        <f t="shared" si="161"/>
        <v>2023</v>
      </c>
      <c r="F632" s="2">
        <v>3594</v>
      </c>
      <c r="G632" t="s">
        <v>17</v>
      </c>
      <c r="H632" s="4">
        <f>SUMIFS($F$2:$F$2739,$G$2:$G$2739,"No Contract",$E$2:$E$2739,2023)/SUMIF($E$2:$E$2739,2023,$F$2:$F$2739)</f>
        <v>0.20934732870162456</v>
      </c>
    </row>
    <row r="633" spans="1:8" x14ac:dyDescent="0.3">
      <c r="A633" t="s">
        <v>10</v>
      </c>
      <c r="B633" s="3">
        <v>45097</v>
      </c>
      <c r="C633">
        <f t="shared" si="159"/>
        <v>20</v>
      </c>
      <c r="D633">
        <f t="shared" si="160"/>
        <v>6</v>
      </c>
      <c r="E633">
        <f t="shared" si="161"/>
        <v>2023</v>
      </c>
      <c r="F633" s="2">
        <v>1925</v>
      </c>
      <c r="G633" t="s">
        <v>19</v>
      </c>
      <c r="H633" s="4">
        <f>SUMIFS($F$2:$F$2739,$G$2:$G$2739,"Multi-year Contract",$E$2:$E$2739,2023)/SUMIF($E$2:$E$2739,2023,$F$2:$F$2739)</f>
        <v>0.5137784540236352</v>
      </c>
    </row>
    <row r="634" spans="1:8" x14ac:dyDescent="0.3">
      <c r="A634" t="s">
        <v>6</v>
      </c>
      <c r="B634" s="3">
        <v>45097</v>
      </c>
      <c r="C634">
        <f t="shared" si="159"/>
        <v>20</v>
      </c>
      <c r="D634">
        <f t="shared" si="160"/>
        <v>6</v>
      </c>
      <c r="E634">
        <f t="shared" si="161"/>
        <v>2023</v>
      </c>
      <c r="F634" s="2">
        <v>3292</v>
      </c>
      <c r="G634" t="s">
        <v>18</v>
      </c>
      <c r="H634" s="4">
        <f>SUMIFS($F$2:$F$2739,$G$2:$G$2739,"Annual Contract",$E$2:$E$2739,2023)/SUMIF($E$2:$E$2739,2023,$F$2:$F$2739)</f>
        <v>0.27687421727474026</v>
      </c>
    </row>
    <row r="635" spans="1:8" x14ac:dyDescent="0.3">
      <c r="A635" t="s">
        <v>3</v>
      </c>
      <c r="B635" s="3">
        <v>45098</v>
      </c>
      <c r="C635">
        <f t="shared" si="159"/>
        <v>21</v>
      </c>
      <c r="D635">
        <f t="shared" si="160"/>
        <v>6</v>
      </c>
      <c r="E635">
        <f t="shared" si="161"/>
        <v>2023</v>
      </c>
      <c r="F635" s="2">
        <v>2754</v>
      </c>
      <c r="G635" t="s">
        <v>19</v>
      </c>
      <c r="H635" s="4">
        <f>SUMIFS($F$2:$F$2739,$G$2:$G$2739,"Multi-year Contract",$E$2:$E$2739,2023)/SUMIF($E$2:$E$2739,2023,$F$2:$F$2739)</f>
        <v>0.5137784540236352</v>
      </c>
    </row>
    <row r="636" spans="1:8" x14ac:dyDescent="0.3">
      <c r="A636" t="s">
        <v>9</v>
      </c>
      <c r="B636" s="3">
        <v>45099</v>
      </c>
      <c r="C636">
        <f t="shared" si="159"/>
        <v>22</v>
      </c>
      <c r="D636">
        <f t="shared" si="160"/>
        <v>6</v>
      </c>
      <c r="E636">
        <f t="shared" si="161"/>
        <v>2023</v>
      </c>
      <c r="F636" s="2">
        <v>3475</v>
      </c>
      <c r="G636" t="s">
        <v>17</v>
      </c>
      <c r="H636" s="4">
        <f>SUMIFS($F$2:$F$2739,$G$2:$G$2739,"No Contract",$E$2:$E$2739,2023)/SUMIF($E$2:$E$2739,2023,$F$2:$F$2739)</f>
        <v>0.20934732870162456</v>
      </c>
    </row>
    <row r="637" spans="1:8" x14ac:dyDescent="0.3">
      <c r="A637" t="s">
        <v>5</v>
      </c>
      <c r="B637" s="3">
        <v>45100</v>
      </c>
      <c r="C637">
        <f t="shared" si="159"/>
        <v>23</v>
      </c>
      <c r="D637">
        <f t="shared" si="160"/>
        <v>6</v>
      </c>
      <c r="E637">
        <f t="shared" si="161"/>
        <v>2023</v>
      </c>
      <c r="F637" s="2">
        <v>3415</v>
      </c>
      <c r="G637" t="s">
        <v>18</v>
      </c>
      <c r="H637" s="4">
        <f>SUMIFS($F$2:$F$2739,$G$2:$G$2739,"Annual Contract",$E$2:$E$2739,2023)/SUMIF($E$2:$E$2739,2023,$F$2:$F$2739)</f>
        <v>0.27687421727474026</v>
      </c>
    </row>
    <row r="638" spans="1:8" x14ac:dyDescent="0.3">
      <c r="A638" t="s">
        <v>11</v>
      </c>
      <c r="B638" s="3">
        <v>45100</v>
      </c>
      <c r="C638">
        <f t="shared" si="159"/>
        <v>23</v>
      </c>
      <c r="D638">
        <f t="shared" si="160"/>
        <v>6</v>
      </c>
      <c r="E638">
        <f t="shared" si="161"/>
        <v>2023</v>
      </c>
      <c r="F638" s="2">
        <v>803</v>
      </c>
      <c r="G638" t="s">
        <v>19</v>
      </c>
      <c r="H638" s="4">
        <f t="shared" ref="H638:H641" si="173">SUMIFS($F$2:$F$2739,$G$2:$G$2739,"Multi-year Contract",$E$2:$E$2739,2023)/SUMIF($E$2:$E$2739,2023,$F$2:$F$2739)</f>
        <v>0.5137784540236352</v>
      </c>
    </row>
    <row r="639" spans="1:8" x14ac:dyDescent="0.3">
      <c r="A639" t="s">
        <v>3</v>
      </c>
      <c r="B639" s="3">
        <v>45100</v>
      </c>
      <c r="C639">
        <f t="shared" si="159"/>
        <v>23</v>
      </c>
      <c r="D639">
        <f t="shared" si="160"/>
        <v>6</v>
      </c>
      <c r="E639">
        <f t="shared" si="161"/>
        <v>2023</v>
      </c>
      <c r="F639" s="2">
        <v>645</v>
      </c>
      <c r="G639" t="s">
        <v>19</v>
      </c>
      <c r="H639" s="4">
        <f t="shared" si="173"/>
        <v>0.5137784540236352</v>
      </c>
    </row>
    <row r="640" spans="1:8" x14ac:dyDescent="0.3">
      <c r="A640" t="s">
        <v>12</v>
      </c>
      <c r="B640" s="3">
        <v>45100</v>
      </c>
      <c r="C640">
        <f t="shared" si="159"/>
        <v>23</v>
      </c>
      <c r="D640">
        <f t="shared" si="160"/>
        <v>6</v>
      </c>
      <c r="E640">
        <f t="shared" si="161"/>
        <v>2023</v>
      </c>
      <c r="F640" s="2">
        <v>3320</v>
      </c>
      <c r="G640" s="2" t="s">
        <v>19</v>
      </c>
      <c r="H640" s="4">
        <f t="shared" si="173"/>
        <v>0.5137784540236352</v>
      </c>
    </row>
    <row r="641" spans="1:8" x14ac:dyDescent="0.3">
      <c r="A641" t="s">
        <v>12</v>
      </c>
      <c r="B641" s="3">
        <v>45100</v>
      </c>
      <c r="C641">
        <f t="shared" si="159"/>
        <v>23</v>
      </c>
      <c r="D641">
        <f t="shared" si="160"/>
        <v>6</v>
      </c>
      <c r="E641">
        <f t="shared" si="161"/>
        <v>2023</v>
      </c>
      <c r="F641" s="2">
        <v>1862</v>
      </c>
      <c r="G641" s="2" t="s">
        <v>19</v>
      </c>
      <c r="H641" s="4">
        <f t="shared" si="173"/>
        <v>0.5137784540236352</v>
      </c>
    </row>
    <row r="642" spans="1:8" x14ac:dyDescent="0.3">
      <c r="A642" t="s">
        <v>8</v>
      </c>
      <c r="B642" s="3">
        <v>45100</v>
      </c>
      <c r="C642">
        <f t="shared" si="159"/>
        <v>23</v>
      </c>
      <c r="D642">
        <f t="shared" si="160"/>
        <v>6</v>
      </c>
      <c r="E642">
        <f t="shared" si="161"/>
        <v>2023</v>
      </c>
      <c r="F642" s="2">
        <v>1573</v>
      </c>
      <c r="G642" s="2" t="s">
        <v>18</v>
      </c>
      <c r="H642" s="4">
        <f t="shared" ref="H642:H643" si="174">SUMIFS($F$2:$F$2739,$G$2:$G$2739,"Annual Contract",$E$2:$E$2739,2023)/SUMIF($E$2:$E$2739,2023,$F$2:$F$2739)</f>
        <v>0.27687421727474026</v>
      </c>
    </row>
    <row r="643" spans="1:8" x14ac:dyDescent="0.3">
      <c r="A643" t="s">
        <v>5</v>
      </c>
      <c r="B643" s="3">
        <v>45100</v>
      </c>
      <c r="C643">
        <f t="shared" ref="C643:C706" si="175">DAY(B643)</f>
        <v>23</v>
      </c>
      <c r="D643">
        <f t="shared" ref="D643:D706" si="176">MONTH(B643)</f>
        <v>6</v>
      </c>
      <c r="E643">
        <f t="shared" ref="E643:E706" si="177">YEAR(B643)</f>
        <v>2023</v>
      </c>
      <c r="F643" s="2">
        <v>3274</v>
      </c>
      <c r="G643" t="s">
        <v>18</v>
      </c>
      <c r="H643" s="4">
        <f t="shared" si="174"/>
        <v>0.27687421727474026</v>
      </c>
    </row>
    <row r="644" spans="1:8" x14ac:dyDescent="0.3">
      <c r="A644" t="s">
        <v>4</v>
      </c>
      <c r="B644" s="3">
        <v>45101</v>
      </c>
      <c r="C644">
        <f t="shared" si="175"/>
        <v>24</v>
      </c>
      <c r="D644">
        <f t="shared" si="176"/>
        <v>6</v>
      </c>
      <c r="E644">
        <f t="shared" si="177"/>
        <v>2023</v>
      </c>
      <c r="F644" s="2">
        <v>2595</v>
      </c>
      <c r="G644" s="2" t="s">
        <v>19</v>
      </c>
      <c r="H644" s="4">
        <f>SUMIFS($F$2:$F$2739,$G$2:$G$2739,"Multi-year Contract",$E$2:$E$2739,2023)/SUMIF($E$2:$E$2739,2023,$F$2:$F$2739)</f>
        <v>0.5137784540236352</v>
      </c>
    </row>
    <row r="645" spans="1:8" x14ac:dyDescent="0.3">
      <c r="A645" t="s">
        <v>9</v>
      </c>
      <c r="B645" s="3">
        <v>45101</v>
      </c>
      <c r="C645">
        <f t="shared" si="175"/>
        <v>24</v>
      </c>
      <c r="D645">
        <f t="shared" si="176"/>
        <v>6</v>
      </c>
      <c r="E645">
        <f t="shared" si="177"/>
        <v>2023</v>
      </c>
      <c r="F645" s="2">
        <v>2039</v>
      </c>
      <c r="G645" t="s">
        <v>17</v>
      </c>
      <c r="H645" s="4">
        <f>SUMIFS($F$2:$F$2739,$G$2:$G$2739,"No Contract",$E$2:$E$2739,2023)/SUMIF($E$2:$E$2739,2023,$F$2:$F$2739)</f>
        <v>0.20934732870162456</v>
      </c>
    </row>
    <row r="646" spans="1:8" x14ac:dyDescent="0.3">
      <c r="A646" t="s">
        <v>12</v>
      </c>
      <c r="B646" s="3">
        <v>45101</v>
      </c>
      <c r="C646">
        <f t="shared" si="175"/>
        <v>24</v>
      </c>
      <c r="D646">
        <f t="shared" si="176"/>
        <v>6</v>
      </c>
      <c r="E646">
        <f t="shared" si="177"/>
        <v>2023</v>
      </c>
      <c r="F646" s="2">
        <v>2193</v>
      </c>
      <c r="G646" s="2" t="s">
        <v>19</v>
      </c>
      <c r="H646" s="4">
        <f>SUMIFS($F$2:$F$2739,$G$2:$G$2739,"Multi-year Contract",$E$2:$E$2739,2023)/SUMIF($E$2:$E$2739,2023,$F$2:$F$2739)</f>
        <v>0.5137784540236352</v>
      </c>
    </row>
    <row r="647" spans="1:8" x14ac:dyDescent="0.3">
      <c r="A647" t="s">
        <v>9</v>
      </c>
      <c r="B647" s="3">
        <v>45102</v>
      </c>
      <c r="C647">
        <f t="shared" si="175"/>
        <v>25</v>
      </c>
      <c r="D647">
        <f t="shared" si="176"/>
        <v>6</v>
      </c>
      <c r="E647">
        <f t="shared" si="177"/>
        <v>2023</v>
      </c>
      <c r="F647" s="2">
        <v>2588</v>
      </c>
      <c r="G647" t="s">
        <v>17</v>
      </c>
      <c r="H647" s="4">
        <f>SUMIFS($F$2:$F$2739,$G$2:$G$2739,"No Contract",$E$2:$E$2739,2023)/SUMIF($E$2:$E$2739,2023,$F$2:$F$2739)</f>
        <v>0.20934732870162456</v>
      </c>
    </row>
    <row r="648" spans="1:8" x14ac:dyDescent="0.3">
      <c r="A648" t="s">
        <v>12</v>
      </c>
      <c r="B648" s="3">
        <v>45102</v>
      </c>
      <c r="C648">
        <f t="shared" si="175"/>
        <v>25</v>
      </c>
      <c r="D648">
        <f t="shared" si="176"/>
        <v>6</v>
      </c>
      <c r="E648">
        <f t="shared" si="177"/>
        <v>2023</v>
      </c>
      <c r="F648" s="2">
        <v>3580</v>
      </c>
      <c r="G648" s="2" t="s">
        <v>19</v>
      </c>
      <c r="H648" s="4">
        <f>SUMIFS($F$2:$F$2739,$G$2:$G$2739,"Multi-year Contract",$E$2:$E$2739,2023)/SUMIF($E$2:$E$2739,2023,$F$2:$F$2739)</f>
        <v>0.5137784540236352</v>
      </c>
    </row>
    <row r="649" spans="1:8" x14ac:dyDescent="0.3">
      <c r="A649" t="s">
        <v>6</v>
      </c>
      <c r="B649" s="3">
        <v>45102</v>
      </c>
      <c r="C649">
        <f t="shared" si="175"/>
        <v>25</v>
      </c>
      <c r="D649">
        <f t="shared" si="176"/>
        <v>6</v>
      </c>
      <c r="E649">
        <f t="shared" si="177"/>
        <v>2023</v>
      </c>
      <c r="F649" s="2">
        <v>2972</v>
      </c>
      <c r="G649" t="s">
        <v>18</v>
      </c>
      <c r="H649" s="4">
        <f t="shared" ref="H649:H651" si="178">SUMIFS($F$2:$F$2739,$G$2:$G$2739,"Annual Contract",$E$2:$E$2739,2023)/SUMIF($E$2:$E$2739,2023,$F$2:$F$2739)</f>
        <v>0.27687421727474026</v>
      </c>
    </row>
    <row r="650" spans="1:8" x14ac:dyDescent="0.3">
      <c r="A650" t="s">
        <v>6</v>
      </c>
      <c r="B650" s="3">
        <v>45103</v>
      </c>
      <c r="C650">
        <f t="shared" si="175"/>
        <v>26</v>
      </c>
      <c r="D650">
        <f t="shared" si="176"/>
        <v>6</v>
      </c>
      <c r="E650">
        <f t="shared" si="177"/>
        <v>2023</v>
      </c>
      <c r="F650" s="2">
        <v>3189</v>
      </c>
      <c r="G650" t="s">
        <v>18</v>
      </c>
      <c r="H650" s="4">
        <f t="shared" si="178"/>
        <v>0.27687421727474026</v>
      </c>
    </row>
    <row r="651" spans="1:8" x14ac:dyDescent="0.3">
      <c r="A651" t="s">
        <v>8</v>
      </c>
      <c r="B651" s="3">
        <v>45103</v>
      </c>
      <c r="C651">
        <f t="shared" si="175"/>
        <v>26</v>
      </c>
      <c r="D651">
        <f t="shared" si="176"/>
        <v>6</v>
      </c>
      <c r="E651">
        <f t="shared" si="177"/>
        <v>2023</v>
      </c>
      <c r="F651" s="2">
        <v>2235</v>
      </c>
      <c r="G651" s="2" t="s">
        <v>18</v>
      </c>
      <c r="H651" s="4">
        <f t="shared" si="178"/>
        <v>0.27687421727474026</v>
      </c>
    </row>
    <row r="652" spans="1:8" x14ac:dyDescent="0.3">
      <c r="A652" t="s">
        <v>3</v>
      </c>
      <c r="B652" s="3">
        <v>45103</v>
      </c>
      <c r="C652">
        <f t="shared" si="175"/>
        <v>26</v>
      </c>
      <c r="D652">
        <f t="shared" si="176"/>
        <v>6</v>
      </c>
      <c r="E652">
        <f t="shared" si="177"/>
        <v>2023</v>
      </c>
      <c r="F652" s="2">
        <v>1464</v>
      </c>
      <c r="G652" t="s">
        <v>19</v>
      </c>
      <c r="H652" s="4">
        <f t="shared" ref="H652:H658" si="179">SUMIFS($F$2:$F$2739,$G$2:$G$2739,"Multi-year Contract",$E$2:$E$2739,2023)/SUMIF($E$2:$E$2739,2023,$F$2:$F$2739)</f>
        <v>0.5137784540236352</v>
      </c>
    </row>
    <row r="653" spans="1:8" x14ac:dyDescent="0.3">
      <c r="A653" t="s">
        <v>11</v>
      </c>
      <c r="B653" s="3">
        <v>45103</v>
      </c>
      <c r="C653">
        <f t="shared" si="175"/>
        <v>26</v>
      </c>
      <c r="D653">
        <f t="shared" si="176"/>
        <v>6</v>
      </c>
      <c r="E653">
        <f t="shared" si="177"/>
        <v>2023</v>
      </c>
      <c r="F653" s="2">
        <v>1563</v>
      </c>
      <c r="G653" t="s">
        <v>19</v>
      </c>
      <c r="H653" s="4">
        <f t="shared" si="179"/>
        <v>0.5137784540236352</v>
      </c>
    </row>
    <row r="654" spans="1:8" x14ac:dyDescent="0.3">
      <c r="A654" t="s">
        <v>11</v>
      </c>
      <c r="B654" s="3">
        <v>45103</v>
      </c>
      <c r="C654">
        <f t="shared" si="175"/>
        <v>26</v>
      </c>
      <c r="D654">
        <f t="shared" si="176"/>
        <v>6</v>
      </c>
      <c r="E654">
        <f t="shared" si="177"/>
        <v>2023</v>
      </c>
      <c r="F654" s="2">
        <v>2242</v>
      </c>
      <c r="G654" t="s">
        <v>19</v>
      </c>
      <c r="H654" s="4">
        <f t="shared" si="179"/>
        <v>0.5137784540236352</v>
      </c>
    </row>
    <row r="655" spans="1:8" x14ac:dyDescent="0.3">
      <c r="A655" t="s">
        <v>12</v>
      </c>
      <c r="B655" s="3">
        <v>45104</v>
      </c>
      <c r="C655">
        <f t="shared" si="175"/>
        <v>27</v>
      </c>
      <c r="D655">
        <f t="shared" si="176"/>
        <v>6</v>
      </c>
      <c r="E655">
        <f t="shared" si="177"/>
        <v>2023</v>
      </c>
      <c r="F655" s="2">
        <v>1458</v>
      </c>
      <c r="G655" s="2" t="s">
        <v>19</v>
      </c>
      <c r="H655" s="4">
        <f t="shared" si="179"/>
        <v>0.5137784540236352</v>
      </c>
    </row>
    <row r="656" spans="1:8" x14ac:dyDescent="0.3">
      <c r="A656" t="s">
        <v>10</v>
      </c>
      <c r="B656" s="3">
        <v>45104</v>
      </c>
      <c r="C656">
        <f t="shared" si="175"/>
        <v>27</v>
      </c>
      <c r="D656">
        <f t="shared" si="176"/>
        <v>6</v>
      </c>
      <c r="E656">
        <f t="shared" si="177"/>
        <v>2023</v>
      </c>
      <c r="F656" s="2">
        <v>2578</v>
      </c>
      <c r="G656" t="s">
        <v>19</v>
      </c>
      <c r="H656" s="4">
        <f t="shared" si="179"/>
        <v>0.5137784540236352</v>
      </c>
    </row>
    <row r="657" spans="1:8" x14ac:dyDescent="0.3">
      <c r="A657" t="s">
        <v>11</v>
      </c>
      <c r="B657" s="3">
        <v>45105</v>
      </c>
      <c r="C657">
        <f t="shared" si="175"/>
        <v>28</v>
      </c>
      <c r="D657">
        <f t="shared" si="176"/>
        <v>6</v>
      </c>
      <c r="E657">
        <f t="shared" si="177"/>
        <v>2023</v>
      </c>
      <c r="F657" s="2">
        <v>1785</v>
      </c>
      <c r="G657" t="s">
        <v>19</v>
      </c>
      <c r="H657" s="4">
        <f t="shared" si="179"/>
        <v>0.5137784540236352</v>
      </c>
    </row>
    <row r="658" spans="1:8" x14ac:dyDescent="0.3">
      <c r="A658" t="s">
        <v>11</v>
      </c>
      <c r="B658" s="3">
        <v>45105</v>
      </c>
      <c r="C658">
        <f t="shared" si="175"/>
        <v>28</v>
      </c>
      <c r="D658">
        <f t="shared" si="176"/>
        <v>6</v>
      </c>
      <c r="E658">
        <f t="shared" si="177"/>
        <v>2023</v>
      </c>
      <c r="F658" s="2">
        <v>1565</v>
      </c>
      <c r="G658" t="s">
        <v>19</v>
      </c>
      <c r="H658" s="4">
        <f t="shared" si="179"/>
        <v>0.5137784540236352</v>
      </c>
    </row>
    <row r="659" spans="1:8" x14ac:dyDescent="0.3">
      <c r="A659" t="s">
        <v>7</v>
      </c>
      <c r="B659" s="3">
        <v>45105</v>
      </c>
      <c r="C659">
        <f t="shared" si="175"/>
        <v>28</v>
      </c>
      <c r="D659">
        <f t="shared" si="176"/>
        <v>6</v>
      </c>
      <c r="E659">
        <f t="shared" si="177"/>
        <v>2023</v>
      </c>
      <c r="F659" s="2">
        <v>2308</v>
      </c>
      <c r="G659" t="s">
        <v>17</v>
      </c>
      <c r="H659" s="4">
        <f>SUMIFS($F$2:$F$2739,$G$2:$G$2739,"No Contract",$E$2:$E$2739,2023)/SUMIF($E$2:$E$2739,2023,$F$2:$F$2739)</f>
        <v>0.20934732870162456</v>
      </c>
    </row>
    <row r="660" spans="1:8" x14ac:dyDescent="0.3">
      <c r="A660" t="s">
        <v>6</v>
      </c>
      <c r="B660" s="3">
        <v>45106</v>
      </c>
      <c r="C660">
        <f t="shared" si="175"/>
        <v>29</v>
      </c>
      <c r="D660">
        <f t="shared" si="176"/>
        <v>6</v>
      </c>
      <c r="E660">
        <f t="shared" si="177"/>
        <v>2023</v>
      </c>
      <c r="F660" s="2">
        <v>3991</v>
      </c>
      <c r="G660" t="s">
        <v>18</v>
      </c>
      <c r="H660" s="4">
        <f>SUMIFS($F$2:$F$2739,$G$2:$G$2739,"Annual Contract",$E$2:$E$2739,2023)/SUMIF($E$2:$E$2739,2023,$F$2:$F$2739)</f>
        <v>0.27687421727474026</v>
      </c>
    </row>
    <row r="661" spans="1:8" x14ac:dyDescent="0.3">
      <c r="A661" t="s">
        <v>12</v>
      </c>
      <c r="B661" s="3">
        <v>45106</v>
      </c>
      <c r="C661">
        <f t="shared" si="175"/>
        <v>29</v>
      </c>
      <c r="D661">
        <f t="shared" si="176"/>
        <v>6</v>
      </c>
      <c r="E661">
        <f t="shared" si="177"/>
        <v>2023</v>
      </c>
      <c r="F661" s="2">
        <v>3501</v>
      </c>
      <c r="G661" s="2" t="s">
        <v>19</v>
      </c>
      <c r="H661" s="4">
        <f>SUMIFS($F$2:$F$2739,$G$2:$G$2739,"Multi-year Contract",$E$2:$E$2739,2023)/SUMIF($E$2:$E$2739,2023,$F$2:$F$2739)</f>
        <v>0.5137784540236352</v>
      </c>
    </row>
    <row r="662" spans="1:8" x14ac:dyDescent="0.3">
      <c r="A662" t="s">
        <v>7</v>
      </c>
      <c r="B662" s="3">
        <v>45107</v>
      </c>
      <c r="C662">
        <f t="shared" si="175"/>
        <v>30</v>
      </c>
      <c r="D662">
        <f t="shared" si="176"/>
        <v>6</v>
      </c>
      <c r="E662">
        <f t="shared" si="177"/>
        <v>2023</v>
      </c>
      <c r="F662" s="2">
        <v>2869</v>
      </c>
      <c r="G662" t="s">
        <v>17</v>
      </c>
      <c r="H662" s="4">
        <f>SUMIFS($F$2:$F$2739,$G$2:$G$2739,"No Contract",$E$2:$E$2739,2023)/SUMIF($E$2:$E$2739,2023,$F$2:$F$2739)</f>
        <v>0.20934732870162456</v>
      </c>
    </row>
    <row r="663" spans="1:8" x14ac:dyDescent="0.3">
      <c r="A663" t="s">
        <v>10</v>
      </c>
      <c r="B663" s="3">
        <v>45107</v>
      </c>
      <c r="C663">
        <f t="shared" si="175"/>
        <v>30</v>
      </c>
      <c r="D663">
        <f t="shared" si="176"/>
        <v>6</v>
      </c>
      <c r="E663">
        <f t="shared" si="177"/>
        <v>2023</v>
      </c>
      <c r="F663" s="2">
        <v>2064</v>
      </c>
      <c r="G663" t="s">
        <v>19</v>
      </c>
      <c r="H663" s="4">
        <f>SUMIFS($F$2:$F$2739,$G$2:$G$2739,"Multi-year Contract",$E$2:$E$2739,2023)/SUMIF($E$2:$E$2739,2023,$F$2:$F$2739)</f>
        <v>0.5137784540236352</v>
      </c>
    </row>
    <row r="664" spans="1:8" x14ac:dyDescent="0.3">
      <c r="A664" t="s">
        <v>9</v>
      </c>
      <c r="B664" s="3">
        <v>45107</v>
      </c>
      <c r="C664">
        <f t="shared" si="175"/>
        <v>30</v>
      </c>
      <c r="D664">
        <f t="shared" si="176"/>
        <v>6</v>
      </c>
      <c r="E664">
        <f t="shared" si="177"/>
        <v>2023</v>
      </c>
      <c r="F664" s="2">
        <v>1199</v>
      </c>
      <c r="G664" t="s">
        <v>17</v>
      </c>
      <c r="H664" s="4">
        <f>SUMIFS($F$2:$F$2739,$G$2:$G$2739,"No Contract",$E$2:$E$2739,2023)/SUMIF($E$2:$E$2739,2023,$F$2:$F$2739)</f>
        <v>0.20934732870162456</v>
      </c>
    </row>
    <row r="665" spans="1:8" x14ac:dyDescent="0.3">
      <c r="A665" t="s">
        <v>4</v>
      </c>
      <c r="B665" s="3">
        <v>45107</v>
      </c>
      <c r="C665">
        <f t="shared" si="175"/>
        <v>30</v>
      </c>
      <c r="D665">
        <f t="shared" si="176"/>
        <v>6</v>
      </c>
      <c r="E665">
        <f t="shared" si="177"/>
        <v>2023</v>
      </c>
      <c r="F665" s="2">
        <v>3793</v>
      </c>
      <c r="G665" s="2" t="s">
        <v>19</v>
      </c>
      <c r="H665" s="4">
        <f t="shared" ref="H665:H666" si="180">SUMIFS($F$2:$F$2739,$G$2:$G$2739,"Multi-year Contract",$E$2:$E$2739,2023)/SUMIF($E$2:$E$2739,2023,$F$2:$F$2739)</f>
        <v>0.5137784540236352</v>
      </c>
    </row>
    <row r="666" spans="1:8" x14ac:dyDescent="0.3">
      <c r="A666" t="s">
        <v>10</v>
      </c>
      <c r="B666" s="3">
        <v>45107</v>
      </c>
      <c r="C666">
        <f t="shared" si="175"/>
        <v>30</v>
      </c>
      <c r="D666">
        <f t="shared" si="176"/>
        <v>6</v>
      </c>
      <c r="E666">
        <f t="shared" si="177"/>
        <v>2023</v>
      </c>
      <c r="F666" s="2">
        <v>3570</v>
      </c>
      <c r="G666" t="s">
        <v>19</v>
      </c>
      <c r="H666" s="4">
        <f t="shared" si="180"/>
        <v>0.5137784540236352</v>
      </c>
    </row>
    <row r="667" spans="1:8" x14ac:dyDescent="0.3">
      <c r="A667" t="s">
        <v>5</v>
      </c>
      <c r="B667" s="3">
        <v>45108</v>
      </c>
      <c r="C667">
        <f t="shared" si="175"/>
        <v>1</v>
      </c>
      <c r="D667">
        <f t="shared" si="176"/>
        <v>7</v>
      </c>
      <c r="E667">
        <f t="shared" si="177"/>
        <v>2023</v>
      </c>
      <c r="F667" s="2">
        <v>946</v>
      </c>
      <c r="G667" t="s">
        <v>18</v>
      </c>
      <c r="H667" s="4">
        <f t="shared" ref="H667:H669" si="181">SUMIFS($F$2:$F$2739,$G$2:$G$2739,"Annual Contract",$E$2:$E$2739,2023)/SUMIF($E$2:$E$2739,2023,$F$2:$F$2739)</f>
        <v>0.27687421727474026</v>
      </c>
    </row>
    <row r="668" spans="1:8" x14ac:dyDescent="0.3">
      <c r="A668" t="s">
        <v>8</v>
      </c>
      <c r="B668" s="3">
        <v>45108</v>
      </c>
      <c r="C668">
        <f t="shared" si="175"/>
        <v>1</v>
      </c>
      <c r="D668">
        <f t="shared" si="176"/>
        <v>7</v>
      </c>
      <c r="E668">
        <f t="shared" si="177"/>
        <v>2023</v>
      </c>
      <c r="F668" s="2">
        <v>1522</v>
      </c>
      <c r="G668" s="2" t="s">
        <v>18</v>
      </c>
      <c r="H668" s="4">
        <f t="shared" si="181"/>
        <v>0.27687421727474026</v>
      </c>
    </row>
    <row r="669" spans="1:8" x14ac:dyDescent="0.3">
      <c r="A669" t="s">
        <v>6</v>
      </c>
      <c r="B669" s="3">
        <v>45108</v>
      </c>
      <c r="C669">
        <f t="shared" si="175"/>
        <v>1</v>
      </c>
      <c r="D669">
        <f t="shared" si="176"/>
        <v>7</v>
      </c>
      <c r="E669">
        <f t="shared" si="177"/>
        <v>2023</v>
      </c>
      <c r="F669" s="2">
        <v>2808</v>
      </c>
      <c r="G669" t="s">
        <v>18</v>
      </c>
      <c r="H669" s="4">
        <f t="shared" si="181"/>
        <v>0.27687421727474026</v>
      </c>
    </row>
    <row r="670" spans="1:8" x14ac:dyDescent="0.3">
      <c r="A670" t="s">
        <v>9</v>
      </c>
      <c r="B670" s="3">
        <v>45108</v>
      </c>
      <c r="C670">
        <f t="shared" si="175"/>
        <v>1</v>
      </c>
      <c r="D670">
        <f t="shared" si="176"/>
        <v>7</v>
      </c>
      <c r="E670">
        <f t="shared" si="177"/>
        <v>2023</v>
      </c>
      <c r="F670" s="2">
        <v>1249</v>
      </c>
      <c r="G670" t="s">
        <v>17</v>
      </c>
      <c r="H670" s="4">
        <f>SUMIFS($F$2:$F$2739,$G$2:$G$2739,"No Contract",$E$2:$E$2739,2023)/SUMIF($E$2:$E$2739,2023,$F$2:$F$2739)</f>
        <v>0.20934732870162456</v>
      </c>
    </row>
    <row r="671" spans="1:8" x14ac:dyDescent="0.3">
      <c r="A671" t="s">
        <v>5</v>
      </c>
      <c r="B671" s="3">
        <v>45108</v>
      </c>
      <c r="C671">
        <f t="shared" si="175"/>
        <v>1</v>
      </c>
      <c r="D671">
        <f t="shared" si="176"/>
        <v>7</v>
      </c>
      <c r="E671">
        <f t="shared" si="177"/>
        <v>2023</v>
      </c>
      <c r="F671" s="2">
        <v>2801</v>
      </c>
      <c r="G671" t="s">
        <v>18</v>
      </c>
      <c r="H671" s="4">
        <f>SUMIFS($F$2:$F$2739,$G$2:$G$2739,"Annual Contract",$E$2:$E$2739,2023)/SUMIF($E$2:$E$2739,2023,$F$2:$F$2739)</f>
        <v>0.27687421727474026</v>
      </c>
    </row>
    <row r="672" spans="1:8" x14ac:dyDescent="0.3">
      <c r="A672" t="s">
        <v>9</v>
      </c>
      <c r="B672" s="3">
        <v>45109</v>
      </c>
      <c r="C672">
        <f t="shared" si="175"/>
        <v>2</v>
      </c>
      <c r="D672">
        <f t="shared" si="176"/>
        <v>7</v>
      </c>
      <c r="E672">
        <f t="shared" si="177"/>
        <v>2023</v>
      </c>
      <c r="F672" s="2">
        <v>3055</v>
      </c>
      <c r="G672" t="s">
        <v>17</v>
      </c>
      <c r="H672" s="4">
        <f>SUMIFS($F$2:$F$2739,$G$2:$G$2739,"No Contract",$E$2:$E$2739,2023)/SUMIF($E$2:$E$2739,2023,$F$2:$F$2739)</f>
        <v>0.20934732870162456</v>
      </c>
    </row>
    <row r="673" spans="1:8" x14ac:dyDescent="0.3">
      <c r="A673" t="s">
        <v>10</v>
      </c>
      <c r="B673" s="3">
        <v>45109</v>
      </c>
      <c r="C673">
        <f t="shared" si="175"/>
        <v>2</v>
      </c>
      <c r="D673">
        <f t="shared" si="176"/>
        <v>7</v>
      </c>
      <c r="E673">
        <f t="shared" si="177"/>
        <v>2023</v>
      </c>
      <c r="F673" s="2">
        <v>3432</v>
      </c>
      <c r="G673" t="s">
        <v>19</v>
      </c>
      <c r="H673" s="4">
        <f>SUMIFS($F$2:$F$2739,$G$2:$G$2739,"Multi-year Contract",$E$2:$E$2739,2023)/SUMIF($E$2:$E$2739,2023,$F$2:$F$2739)</f>
        <v>0.5137784540236352</v>
      </c>
    </row>
    <row r="674" spans="1:8" x14ac:dyDescent="0.3">
      <c r="A674" t="s">
        <v>9</v>
      </c>
      <c r="B674" s="3">
        <v>45109</v>
      </c>
      <c r="C674">
        <f t="shared" si="175"/>
        <v>2</v>
      </c>
      <c r="D674">
        <f t="shared" si="176"/>
        <v>7</v>
      </c>
      <c r="E674">
        <f t="shared" si="177"/>
        <v>2023</v>
      </c>
      <c r="F674" s="2">
        <v>584</v>
      </c>
      <c r="G674" t="s">
        <v>17</v>
      </c>
      <c r="H674" s="4">
        <f>SUMIFS($F$2:$F$2739,$G$2:$G$2739,"No Contract",$E$2:$E$2739,2023)/SUMIF($E$2:$E$2739,2023,$F$2:$F$2739)</f>
        <v>0.20934732870162456</v>
      </c>
    </row>
    <row r="675" spans="1:8" x14ac:dyDescent="0.3">
      <c r="A675" t="s">
        <v>11</v>
      </c>
      <c r="B675" s="3">
        <v>45109</v>
      </c>
      <c r="C675">
        <f t="shared" si="175"/>
        <v>2</v>
      </c>
      <c r="D675">
        <f t="shared" si="176"/>
        <v>7</v>
      </c>
      <c r="E675">
        <f t="shared" si="177"/>
        <v>2023</v>
      </c>
      <c r="F675" s="2">
        <v>1295</v>
      </c>
      <c r="G675" t="s">
        <v>19</v>
      </c>
      <c r="H675" s="4">
        <f t="shared" ref="H675:H676" si="182">SUMIFS($F$2:$F$2739,$G$2:$G$2739,"Multi-year Contract",$E$2:$E$2739,2023)/SUMIF($E$2:$E$2739,2023,$F$2:$F$2739)</f>
        <v>0.5137784540236352</v>
      </c>
    </row>
    <row r="676" spans="1:8" x14ac:dyDescent="0.3">
      <c r="A676" t="s">
        <v>12</v>
      </c>
      <c r="B676" s="3">
        <v>45109</v>
      </c>
      <c r="C676">
        <f t="shared" si="175"/>
        <v>2</v>
      </c>
      <c r="D676">
        <f t="shared" si="176"/>
        <v>7</v>
      </c>
      <c r="E676">
        <f t="shared" si="177"/>
        <v>2023</v>
      </c>
      <c r="F676" s="2">
        <v>3923</v>
      </c>
      <c r="G676" s="2" t="s">
        <v>19</v>
      </c>
      <c r="H676" s="4">
        <f t="shared" si="182"/>
        <v>0.5137784540236352</v>
      </c>
    </row>
    <row r="677" spans="1:8" x14ac:dyDescent="0.3">
      <c r="A677" t="s">
        <v>6</v>
      </c>
      <c r="B677" s="3">
        <v>45110</v>
      </c>
      <c r="C677">
        <f t="shared" si="175"/>
        <v>3</v>
      </c>
      <c r="D677">
        <f t="shared" si="176"/>
        <v>7</v>
      </c>
      <c r="E677">
        <f t="shared" si="177"/>
        <v>2023</v>
      </c>
      <c r="F677" s="2">
        <v>1530</v>
      </c>
      <c r="G677" t="s">
        <v>18</v>
      </c>
      <c r="H677" s="4">
        <f>SUMIFS($F$2:$F$2739,$G$2:$G$2739,"Annual Contract",$E$2:$E$2739,2023)/SUMIF($E$2:$E$2739,2023,$F$2:$F$2739)</f>
        <v>0.27687421727474026</v>
      </c>
    </row>
    <row r="678" spans="1:8" x14ac:dyDescent="0.3">
      <c r="A678" t="s">
        <v>12</v>
      </c>
      <c r="B678" s="3">
        <v>45110</v>
      </c>
      <c r="C678">
        <f t="shared" si="175"/>
        <v>3</v>
      </c>
      <c r="D678">
        <f t="shared" si="176"/>
        <v>7</v>
      </c>
      <c r="E678">
        <f t="shared" si="177"/>
        <v>2023</v>
      </c>
      <c r="F678" s="2">
        <v>3367</v>
      </c>
      <c r="G678" s="2" t="s">
        <v>19</v>
      </c>
      <c r="H678" s="4">
        <f>SUMIFS($F$2:$F$2739,$G$2:$G$2739,"Multi-year Contract",$E$2:$E$2739,2023)/SUMIF($E$2:$E$2739,2023,$F$2:$F$2739)</f>
        <v>0.5137784540236352</v>
      </c>
    </row>
    <row r="679" spans="1:8" x14ac:dyDescent="0.3">
      <c r="A679" t="s">
        <v>8</v>
      </c>
      <c r="B679" s="3">
        <v>45110</v>
      </c>
      <c r="C679">
        <f t="shared" si="175"/>
        <v>3</v>
      </c>
      <c r="D679">
        <f t="shared" si="176"/>
        <v>7</v>
      </c>
      <c r="E679">
        <f t="shared" si="177"/>
        <v>2023</v>
      </c>
      <c r="F679" s="2">
        <v>1802</v>
      </c>
      <c r="G679" s="2" t="s">
        <v>18</v>
      </c>
      <c r="H679" s="4">
        <f t="shared" ref="H679:H680" si="183">SUMIFS($F$2:$F$2739,$G$2:$G$2739,"Annual Contract",$E$2:$E$2739,2023)/SUMIF($E$2:$E$2739,2023,$F$2:$F$2739)</f>
        <v>0.27687421727474026</v>
      </c>
    </row>
    <row r="680" spans="1:8" x14ac:dyDescent="0.3">
      <c r="A680" t="s">
        <v>6</v>
      </c>
      <c r="B680" s="3">
        <v>45111</v>
      </c>
      <c r="C680">
        <f t="shared" si="175"/>
        <v>4</v>
      </c>
      <c r="D680">
        <f t="shared" si="176"/>
        <v>7</v>
      </c>
      <c r="E680">
        <f t="shared" si="177"/>
        <v>2023</v>
      </c>
      <c r="F680" s="2">
        <v>2041</v>
      </c>
      <c r="G680" t="s">
        <v>18</v>
      </c>
      <c r="H680" s="4">
        <f t="shared" si="183"/>
        <v>0.27687421727474026</v>
      </c>
    </row>
    <row r="681" spans="1:8" x14ac:dyDescent="0.3">
      <c r="A681" t="s">
        <v>7</v>
      </c>
      <c r="B681" s="3">
        <v>45111</v>
      </c>
      <c r="C681">
        <f t="shared" si="175"/>
        <v>4</v>
      </c>
      <c r="D681">
        <f t="shared" si="176"/>
        <v>7</v>
      </c>
      <c r="E681">
        <f t="shared" si="177"/>
        <v>2023</v>
      </c>
      <c r="F681" s="2">
        <v>653</v>
      </c>
      <c r="G681" t="s">
        <v>17</v>
      </c>
      <c r="H681" s="4">
        <f>SUMIFS($F$2:$F$2739,$G$2:$G$2739,"No Contract",$E$2:$E$2739,2023)/SUMIF($E$2:$E$2739,2023,$F$2:$F$2739)</f>
        <v>0.20934732870162456</v>
      </c>
    </row>
    <row r="682" spans="1:8" x14ac:dyDescent="0.3">
      <c r="A682" t="s">
        <v>4</v>
      </c>
      <c r="B682" s="3">
        <v>45111</v>
      </c>
      <c r="C682">
        <f t="shared" si="175"/>
        <v>4</v>
      </c>
      <c r="D682">
        <f t="shared" si="176"/>
        <v>7</v>
      </c>
      <c r="E682">
        <f t="shared" si="177"/>
        <v>2023</v>
      </c>
      <c r="F682" s="2">
        <v>2411</v>
      </c>
      <c r="G682" s="2" t="s">
        <v>19</v>
      </c>
      <c r="H682" s="4">
        <f>SUMIFS($F$2:$F$2739,$G$2:$G$2739,"Multi-year Contract",$E$2:$E$2739,2023)/SUMIF($E$2:$E$2739,2023,$F$2:$F$2739)</f>
        <v>0.5137784540236352</v>
      </c>
    </row>
    <row r="683" spans="1:8" x14ac:dyDescent="0.3">
      <c r="A683" t="s">
        <v>6</v>
      </c>
      <c r="B683" s="3">
        <v>45111</v>
      </c>
      <c r="C683">
        <f t="shared" si="175"/>
        <v>4</v>
      </c>
      <c r="D683">
        <f t="shared" si="176"/>
        <v>7</v>
      </c>
      <c r="E683">
        <f t="shared" si="177"/>
        <v>2023</v>
      </c>
      <c r="F683" s="2">
        <v>1489</v>
      </c>
      <c r="G683" t="s">
        <v>18</v>
      </c>
      <c r="H683" s="4">
        <f t="shared" ref="H683:H684" si="184">SUMIFS($F$2:$F$2739,$G$2:$G$2739,"Annual Contract",$E$2:$E$2739,2023)/SUMIF($E$2:$E$2739,2023,$F$2:$F$2739)</f>
        <v>0.27687421727474026</v>
      </c>
    </row>
    <row r="684" spans="1:8" x14ac:dyDescent="0.3">
      <c r="A684" t="s">
        <v>6</v>
      </c>
      <c r="B684" s="3">
        <v>45111</v>
      </c>
      <c r="C684">
        <f t="shared" si="175"/>
        <v>4</v>
      </c>
      <c r="D684">
        <f t="shared" si="176"/>
        <v>7</v>
      </c>
      <c r="E684">
        <f t="shared" si="177"/>
        <v>2023</v>
      </c>
      <c r="F684" s="2">
        <v>1813</v>
      </c>
      <c r="G684" t="s">
        <v>18</v>
      </c>
      <c r="H684" s="4">
        <f t="shared" si="184"/>
        <v>0.27687421727474026</v>
      </c>
    </row>
    <row r="685" spans="1:8" x14ac:dyDescent="0.3">
      <c r="A685" t="s">
        <v>7</v>
      </c>
      <c r="B685" s="3">
        <v>45111</v>
      </c>
      <c r="C685">
        <f t="shared" si="175"/>
        <v>4</v>
      </c>
      <c r="D685">
        <f t="shared" si="176"/>
        <v>7</v>
      </c>
      <c r="E685">
        <f t="shared" si="177"/>
        <v>2023</v>
      </c>
      <c r="F685" s="2">
        <v>3994</v>
      </c>
      <c r="G685" t="s">
        <v>17</v>
      </c>
      <c r="H685" s="4">
        <f>SUMIFS($F$2:$F$2739,$G$2:$G$2739,"No Contract",$E$2:$E$2739,2023)/SUMIF($E$2:$E$2739,2023,$F$2:$F$2739)</f>
        <v>0.20934732870162456</v>
      </c>
    </row>
    <row r="686" spans="1:8" x14ac:dyDescent="0.3">
      <c r="A686" t="s">
        <v>12</v>
      </c>
      <c r="B686" s="3">
        <v>45111</v>
      </c>
      <c r="C686">
        <f t="shared" si="175"/>
        <v>4</v>
      </c>
      <c r="D686">
        <f t="shared" si="176"/>
        <v>7</v>
      </c>
      <c r="E686">
        <f t="shared" si="177"/>
        <v>2023</v>
      </c>
      <c r="F686" s="2">
        <v>677</v>
      </c>
      <c r="G686" s="2" t="s">
        <v>19</v>
      </c>
      <c r="H686" s="4">
        <f t="shared" ref="H686:H689" si="185">SUMIFS($F$2:$F$2739,$G$2:$G$2739,"Multi-year Contract",$E$2:$E$2739,2023)/SUMIF($E$2:$E$2739,2023,$F$2:$F$2739)</f>
        <v>0.5137784540236352</v>
      </c>
    </row>
    <row r="687" spans="1:8" x14ac:dyDescent="0.3">
      <c r="A687" t="s">
        <v>3</v>
      </c>
      <c r="B687" s="3">
        <v>45111</v>
      </c>
      <c r="C687">
        <f t="shared" si="175"/>
        <v>4</v>
      </c>
      <c r="D687">
        <f t="shared" si="176"/>
        <v>7</v>
      </c>
      <c r="E687">
        <f t="shared" si="177"/>
        <v>2023</v>
      </c>
      <c r="F687" s="2">
        <v>982</v>
      </c>
      <c r="G687" t="s">
        <v>19</v>
      </c>
      <c r="H687" s="4">
        <f t="shared" si="185"/>
        <v>0.5137784540236352</v>
      </c>
    </row>
    <row r="688" spans="1:8" x14ac:dyDescent="0.3">
      <c r="A688" t="s">
        <v>3</v>
      </c>
      <c r="B688" s="3">
        <v>45112</v>
      </c>
      <c r="C688">
        <f t="shared" si="175"/>
        <v>5</v>
      </c>
      <c r="D688">
        <f t="shared" si="176"/>
        <v>7</v>
      </c>
      <c r="E688">
        <f t="shared" si="177"/>
        <v>2023</v>
      </c>
      <c r="F688" s="2">
        <v>1058</v>
      </c>
      <c r="G688" t="s">
        <v>19</v>
      </c>
      <c r="H688" s="4">
        <f t="shared" si="185"/>
        <v>0.5137784540236352</v>
      </c>
    </row>
    <row r="689" spans="1:8" x14ac:dyDescent="0.3">
      <c r="A689" t="s">
        <v>3</v>
      </c>
      <c r="B689" s="3">
        <v>45112</v>
      </c>
      <c r="C689">
        <f t="shared" si="175"/>
        <v>5</v>
      </c>
      <c r="D689">
        <f t="shared" si="176"/>
        <v>7</v>
      </c>
      <c r="E689">
        <f t="shared" si="177"/>
        <v>2023</v>
      </c>
      <c r="F689" s="2">
        <v>3984</v>
      </c>
      <c r="G689" t="s">
        <v>19</v>
      </c>
      <c r="H689" s="4">
        <f t="shared" si="185"/>
        <v>0.5137784540236352</v>
      </c>
    </row>
    <row r="690" spans="1:8" x14ac:dyDescent="0.3">
      <c r="A690" t="s">
        <v>8</v>
      </c>
      <c r="B690" s="3">
        <v>45112</v>
      </c>
      <c r="C690">
        <f t="shared" si="175"/>
        <v>5</v>
      </c>
      <c r="D690">
        <f t="shared" si="176"/>
        <v>7</v>
      </c>
      <c r="E690">
        <f t="shared" si="177"/>
        <v>2023</v>
      </c>
      <c r="F690" s="2">
        <v>3066</v>
      </c>
      <c r="G690" s="2" t="s">
        <v>18</v>
      </c>
      <c r="H690" s="4">
        <f>SUMIFS($F$2:$F$2739,$G$2:$G$2739,"Annual Contract",$E$2:$E$2739,2023)/SUMIF($E$2:$E$2739,2023,$F$2:$F$2739)</f>
        <v>0.27687421727474026</v>
      </c>
    </row>
    <row r="691" spans="1:8" x14ac:dyDescent="0.3">
      <c r="A691" t="s">
        <v>4</v>
      </c>
      <c r="B691" s="3">
        <v>45112</v>
      </c>
      <c r="C691">
        <f t="shared" si="175"/>
        <v>5</v>
      </c>
      <c r="D691">
        <f t="shared" si="176"/>
        <v>7</v>
      </c>
      <c r="E691">
        <f t="shared" si="177"/>
        <v>2023</v>
      </c>
      <c r="F691" s="2">
        <v>611</v>
      </c>
      <c r="G691" s="2" t="s">
        <v>19</v>
      </c>
      <c r="H691" s="4">
        <f>SUMIFS($F$2:$F$2739,$G$2:$G$2739,"Multi-year Contract",$E$2:$E$2739,2023)/SUMIF($E$2:$E$2739,2023,$F$2:$F$2739)</f>
        <v>0.5137784540236352</v>
      </c>
    </row>
    <row r="692" spans="1:8" x14ac:dyDescent="0.3">
      <c r="A692" t="s">
        <v>6</v>
      </c>
      <c r="B692" s="3">
        <v>45112</v>
      </c>
      <c r="C692">
        <f t="shared" si="175"/>
        <v>5</v>
      </c>
      <c r="D692">
        <f t="shared" si="176"/>
        <v>7</v>
      </c>
      <c r="E692">
        <f t="shared" si="177"/>
        <v>2023</v>
      </c>
      <c r="F692" s="2">
        <v>3352</v>
      </c>
      <c r="G692" t="s">
        <v>18</v>
      </c>
      <c r="H692" s="4">
        <f>SUMIFS($F$2:$F$2739,$G$2:$G$2739,"Annual Contract",$E$2:$E$2739,2023)/SUMIF($E$2:$E$2739,2023,$F$2:$F$2739)</f>
        <v>0.27687421727474026</v>
      </c>
    </row>
    <row r="693" spans="1:8" x14ac:dyDescent="0.3">
      <c r="A693" t="s">
        <v>4</v>
      </c>
      <c r="B693" s="3">
        <v>45112</v>
      </c>
      <c r="C693">
        <f t="shared" si="175"/>
        <v>5</v>
      </c>
      <c r="D693">
        <f t="shared" si="176"/>
        <v>7</v>
      </c>
      <c r="E693">
        <f t="shared" si="177"/>
        <v>2023</v>
      </c>
      <c r="F693" s="2">
        <v>1150</v>
      </c>
      <c r="G693" s="2" t="s">
        <v>19</v>
      </c>
      <c r="H693" s="4">
        <f t="shared" ref="H693:H694" si="186">SUMIFS($F$2:$F$2739,$G$2:$G$2739,"Multi-year Contract",$E$2:$E$2739,2023)/SUMIF($E$2:$E$2739,2023,$F$2:$F$2739)</f>
        <v>0.5137784540236352</v>
      </c>
    </row>
    <row r="694" spans="1:8" x14ac:dyDescent="0.3">
      <c r="A694" t="s">
        <v>3</v>
      </c>
      <c r="B694" s="3">
        <v>45113</v>
      </c>
      <c r="C694">
        <f t="shared" si="175"/>
        <v>6</v>
      </c>
      <c r="D694">
        <f t="shared" si="176"/>
        <v>7</v>
      </c>
      <c r="E694">
        <f t="shared" si="177"/>
        <v>2023</v>
      </c>
      <c r="F694" s="2">
        <v>3681</v>
      </c>
      <c r="G694" t="s">
        <v>19</v>
      </c>
      <c r="H694" s="4">
        <f t="shared" si="186"/>
        <v>0.5137784540236352</v>
      </c>
    </row>
    <row r="695" spans="1:8" x14ac:dyDescent="0.3">
      <c r="A695" t="s">
        <v>6</v>
      </c>
      <c r="B695" s="3">
        <v>45113</v>
      </c>
      <c r="C695">
        <f t="shared" si="175"/>
        <v>6</v>
      </c>
      <c r="D695">
        <f t="shared" si="176"/>
        <v>7</v>
      </c>
      <c r="E695">
        <f t="shared" si="177"/>
        <v>2023</v>
      </c>
      <c r="F695" s="2">
        <v>965</v>
      </c>
      <c r="G695" t="s">
        <v>18</v>
      </c>
      <c r="H695" s="4">
        <f>SUMIFS($F$2:$F$2739,$G$2:$G$2739,"Annual Contract",$E$2:$E$2739,2023)/SUMIF($E$2:$E$2739,2023,$F$2:$F$2739)</f>
        <v>0.27687421727474026</v>
      </c>
    </row>
    <row r="696" spans="1:8" x14ac:dyDescent="0.3">
      <c r="A696" t="s">
        <v>4</v>
      </c>
      <c r="B696" s="3">
        <v>45114</v>
      </c>
      <c r="C696">
        <f t="shared" si="175"/>
        <v>7</v>
      </c>
      <c r="D696">
        <f t="shared" si="176"/>
        <v>7</v>
      </c>
      <c r="E696">
        <f t="shared" si="177"/>
        <v>2023</v>
      </c>
      <c r="F696" s="2">
        <v>1994</v>
      </c>
      <c r="G696" s="2" t="s">
        <v>19</v>
      </c>
      <c r="H696" s="4">
        <f>SUMIFS($F$2:$F$2739,$G$2:$G$2739,"Multi-year Contract",$E$2:$E$2739,2023)/SUMIF($E$2:$E$2739,2023,$F$2:$F$2739)</f>
        <v>0.5137784540236352</v>
      </c>
    </row>
    <row r="697" spans="1:8" x14ac:dyDescent="0.3">
      <c r="A697" t="s">
        <v>5</v>
      </c>
      <c r="B697" s="3">
        <v>45114</v>
      </c>
      <c r="C697">
        <f t="shared" si="175"/>
        <v>7</v>
      </c>
      <c r="D697">
        <f t="shared" si="176"/>
        <v>7</v>
      </c>
      <c r="E697">
        <f t="shared" si="177"/>
        <v>2023</v>
      </c>
      <c r="F697" s="2">
        <v>992</v>
      </c>
      <c r="G697" t="s">
        <v>18</v>
      </c>
      <c r="H697" s="4">
        <f>SUMIFS($F$2:$F$2739,$G$2:$G$2739,"Annual Contract",$E$2:$E$2739,2023)/SUMIF($E$2:$E$2739,2023,$F$2:$F$2739)</f>
        <v>0.27687421727474026</v>
      </c>
    </row>
    <row r="698" spans="1:8" x14ac:dyDescent="0.3">
      <c r="A698" t="s">
        <v>9</v>
      </c>
      <c r="B698" s="3">
        <v>45114</v>
      </c>
      <c r="C698">
        <f t="shared" si="175"/>
        <v>7</v>
      </c>
      <c r="D698">
        <f t="shared" si="176"/>
        <v>7</v>
      </c>
      <c r="E698">
        <f t="shared" si="177"/>
        <v>2023</v>
      </c>
      <c r="F698" s="2">
        <v>3108</v>
      </c>
      <c r="G698" t="s">
        <v>17</v>
      </c>
      <c r="H698" s="4">
        <f>SUMIFS($F$2:$F$2739,$G$2:$G$2739,"No Contract",$E$2:$E$2739,2023)/SUMIF($E$2:$E$2739,2023,$F$2:$F$2739)</f>
        <v>0.20934732870162456</v>
      </c>
    </row>
    <row r="699" spans="1:8" x14ac:dyDescent="0.3">
      <c r="A699" t="s">
        <v>11</v>
      </c>
      <c r="B699" s="3">
        <v>45114</v>
      </c>
      <c r="C699">
        <f t="shared" si="175"/>
        <v>7</v>
      </c>
      <c r="D699">
        <f t="shared" si="176"/>
        <v>7</v>
      </c>
      <c r="E699">
        <f t="shared" si="177"/>
        <v>2023</v>
      </c>
      <c r="F699" s="2">
        <v>1245</v>
      </c>
      <c r="G699" t="s">
        <v>19</v>
      </c>
      <c r="H699" s="4">
        <f t="shared" ref="H699:H700" si="187">SUMIFS($F$2:$F$2739,$G$2:$G$2739,"Multi-year Contract",$E$2:$E$2739,2023)/SUMIF($E$2:$E$2739,2023,$F$2:$F$2739)</f>
        <v>0.5137784540236352</v>
      </c>
    </row>
    <row r="700" spans="1:8" x14ac:dyDescent="0.3">
      <c r="A700" t="s">
        <v>10</v>
      </c>
      <c r="B700" s="3">
        <v>45115</v>
      </c>
      <c r="C700">
        <f t="shared" si="175"/>
        <v>8</v>
      </c>
      <c r="D700">
        <f t="shared" si="176"/>
        <v>7</v>
      </c>
      <c r="E700">
        <f t="shared" si="177"/>
        <v>2023</v>
      </c>
      <c r="F700" s="2">
        <v>2414</v>
      </c>
      <c r="G700" t="s">
        <v>19</v>
      </c>
      <c r="H700" s="4">
        <f t="shared" si="187"/>
        <v>0.5137784540236352</v>
      </c>
    </row>
    <row r="701" spans="1:8" x14ac:dyDescent="0.3">
      <c r="A701" t="s">
        <v>5</v>
      </c>
      <c r="B701" s="3">
        <v>45116</v>
      </c>
      <c r="C701">
        <f t="shared" si="175"/>
        <v>9</v>
      </c>
      <c r="D701">
        <f t="shared" si="176"/>
        <v>7</v>
      </c>
      <c r="E701">
        <f t="shared" si="177"/>
        <v>2023</v>
      </c>
      <c r="F701" s="2">
        <v>2998</v>
      </c>
      <c r="G701" t="s">
        <v>18</v>
      </c>
      <c r="H701" s="4">
        <f>SUMIFS($F$2:$F$2739,$G$2:$G$2739,"Annual Contract",$E$2:$E$2739,2023)/SUMIF($E$2:$E$2739,2023,$F$2:$F$2739)</f>
        <v>0.27687421727474026</v>
      </c>
    </row>
    <row r="702" spans="1:8" x14ac:dyDescent="0.3">
      <c r="A702" t="s">
        <v>12</v>
      </c>
      <c r="B702" s="3">
        <v>45116</v>
      </c>
      <c r="C702">
        <f t="shared" si="175"/>
        <v>9</v>
      </c>
      <c r="D702">
        <f t="shared" si="176"/>
        <v>7</v>
      </c>
      <c r="E702">
        <f t="shared" si="177"/>
        <v>2023</v>
      </c>
      <c r="F702" s="2">
        <v>1877</v>
      </c>
      <c r="G702" s="2" t="s">
        <v>19</v>
      </c>
      <c r="H702" s="4">
        <f t="shared" ref="H702:H706" si="188">SUMIFS($F$2:$F$2739,$G$2:$G$2739,"Multi-year Contract",$E$2:$E$2739,2023)/SUMIF($E$2:$E$2739,2023,$F$2:$F$2739)</f>
        <v>0.5137784540236352</v>
      </c>
    </row>
    <row r="703" spans="1:8" x14ac:dyDescent="0.3">
      <c r="A703" t="s">
        <v>11</v>
      </c>
      <c r="B703" s="3">
        <v>45117</v>
      </c>
      <c r="C703">
        <f t="shared" si="175"/>
        <v>10</v>
      </c>
      <c r="D703">
        <f t="shared" si="176"/>
        <v>7</v>
      </c>
      <c r="E703">
        <f t="shared" si="177"/>
        <v>2023</v>
      </c>
      <c r="F703" s="2">
        <v>3669</v>
      </c>
      <c r="G703" t="s">
        <v>19</v>
      </c>
      <c r="H703" s="4">
        <f t="shared" si="188"/>
        <v>0.5137784540236352</v>
      </c>
    </row>
    <row r="704" spans="1:8" x14ac:dyDescent="0.3">
      <c r="A704" t="s">
        <v>12</v>
      </c>
      <c r="B704" s="3">
        <v>45117</v>
      </c>
      <c r="C704">
        <f t="shared" si="175"/>
        <v>10</v>
      </c>
      <c r="D704">
        <f t="shared" si="176"/>
        <v>7</v>
      </c>
      <c r="E704">
        <f t="shared" si="177"/>
        <v>2023</v>
      </c>
      <c r="F704" s="2">
        <v>3059</v>
      </c>
      <c r="G704" s="2" t="s">
        <v>19</v>
      </c>
      <c r="H704" s="4">
        <f t="shared" si="188"/>
        <v>0.5137784540236352</v>
      </c>
    </row>
    <row r="705" spans="1:8" x14ac:dyDescent="0.3">
      <c r="A705" t="s">
        <v>12</v>
      </c>
      <c r="B705" s="3">
        <v>45117</v>
      </c>
      <c r="C705">
        <f t="shared" si="175"/>
        <v>10</v>
      </c>
      <c r="D705">
        <f t="shared" si="176"/>
        <v>7</v>
      </c>
      <c r="E705">
        <f t="shared" si="177"/>
        <v>2023</v>
      </c>
      <c r="F705" s="2">
        <v>720</v>
      </c>
      <c r="G705" s="2" t="s">
        <v>19</v>
      </c>
      <c r="H705" s="4">
        <f t="shared" si="188"/>
        <v>0.5137784540236352</v>
      </c>
    </row>
    <row r="706" spans="1:8" x14ac:dyDescent="0.3">
      <c r="A706" t="s">
        <v>3</v>
      </c>
      <c r="B706" s="3">
        <v>45118</v>
      </c>
      <c r="C706">
        <f t="shared" si="175"/>
        <v>11</v>
      </c>
      <c r="D706">
        <f t="shared" si="176"/>
        <v>7</v>
      </c>
      <c r="E706">
        <f t="shared" si="177"/>
        <v>2023</v>
      </c>
      <c r="F706" s="2">
        <v>2000</v>
      </c>
      <c r="G706" t="s">
        <v>19</v>
      </c>
      <c r="H706" s="4">
        <f t="shared" si="188"/>
        <v>0.5137784540236352</v>
      </c>
    </row>
    <row r="707" spans="1:8" x14ac:dyDescent="0.3">
      <c r="A707" t="s">
        <v>6</v>
      </c>
      <c r="B707" s="3">
        <v>45118</v>
      </c>
      <c r="C707">
        <f t="shared" ref="C707:C770" si="189">DAY(B707)</f>
        <v>11</v>
      </c>
      <c r="D707">
        <f t="shared" ref="D707:D770" si="190">MONTH(B707)</f>
        <v>7</v>
      </c>
      <c r="E707">
        <f t="shared" ref="E707:E770" si="191">YEAR(B707)</f>
        <v>2023</v>
      </c>
      <c r="F707" s="2">
        <v>1941</v>
      </c>
      <c r="G707" t="s">
        <v>18</v>
      </c>
      <c r="H707" s="4">
        <f>SUMIFS($F$2:$F$2739,$G$2:$G$2739,"Annual Contract",$E$2:$E$2739,2023)/SUMIF($E$2:$E$2739,2023,$F$2:$F$2739)</f>
        <v>0.27687421727474026</v>
      </c>
    </row>
    <row r="708" spans="1:8" x14ac:dyDescent="0.3">
      <c r="A708" t="s">
        <v>7</v>
      </c>
      <c r="B708" s="3">
        <v>45118</v>
      </c>
      <c r="C708">
        <f t="shared" si="189"/>
        <v>11</v>
      </c>
      <c r="D708">
        <f t="shared" si="190"/>
        <v>7</v>
      </c>
      <c r="E708">
        <f t="shared" si="191"/>
        <v>2023</v>
      </c>
      <c r="F708" s="2">
        <v>2644</v>
      </c>
      <c r="G708" t="s">
        <v>17</v>
      </c>
      <c r="H708" s="4">
        <f>SUMIFS($F$2:$F$2739,$G$2:$G$2739,"No Contract",$E$2:$E$2739,2023)/SUMIF($E$2:$E$2739,2023,$F$2:$F$2739)</f>
        <v>0.20934732870162456</v>
      </c>
    </row>
    <row r="709" spans="1:8" x14ac:dyDescent="0.3">
      <c r="A709" t="s">
        <v>4</v>
      </c>
      <c r="B709" s="3">
        <v>45119</v>
      </c>
      <c r="C709">
        <f t="shared" si="189"/>
        <v>12</v>
      </c>
      <c r="D709">
        <f t="shared" si="190"/>
        <v>7</v>
      </c>
      <c r="E709">
        <f t="shared" si="191"/>
        <v>2023</v>
      </c>
      <c r="F709" s="2">
        <v>3080</v>
      </c>
      <c r="G709" s="2" t="s">
        <v>19</v>
      </c>
      <c r="H709" s="4">
        <f>SUMIFS($F$2:$F$2739,$G$2:$G$2739,"Multi-year Contract",$E$2:$E$2739,2023)/SUMIF($E$2:$E$2739,2023,$F$2:$F$2739)</f>
        <v>0.5137784540236352</v>
      </c>
    </row>
    <row r="710" spans="1:8" x14ac:dyDescent="0.3">
      <c r="A710" t="s">
        <v>7</v>
      </c>
      <c r="B710" s="3">
        <v>45119</v>
      </c>
      <c r="C710">
        <f t="shared" si="189"/>
        <v>12</v>
      </c>
      <c r="D710">
        <f t="shared" si="190"/>
        <v>7</v>
      </c>
      <c r="E710">
        <f t="shared" si="191"/>
        <v>2023</v>
      </c>
      <c r="F710" s="2">
        <v>3806</v>
      </c>
      <c r="G710" t="s">
        <v>17</v>
      </c>
      <c r="H710" s="4">
        <f>SUMIFS($F$2:$F$2739,$G$2:$G$2739,"No Contract",$E$2:$E$2739,2023)/SUMIF($E$2:$E$2739,2023,$F$2:$F$2739)</f>
        <v>0.20934732870162456</v>
      </c>
    </row>
    <row r="711" spans="1:8" x14ac:dyDescent="0.3">
      <c r="A711" t="s">
        <v>6</v>
      </c>
      <c r="B711" s="3">
        <v>45119</v>
      </c>
      <c r="C711">
        <f t="shared" si="189"/>
        <v>12</v>
      </c>
      <c r="D711">
        <f t="shared" si="190"/>
        <v>7</v>
      </c>
      <c r="E711">
        <f t="shared" si="191"/>
        <v>2023</v>
      </c>
      <c r="F711" s="2">
        <v>1380</v>
      </c>
      <c r="G711" t="s">
        <v>18</v>
      </c>
      <c r="H711" s="4">
        <f>SUMIFS($F$2:$F$2739,$G$2:$G$2739,"Annual Contract",$E$2:$E$2739,2023)/SUMIF($E$2:$E$2739,2023,$F$2:$F$2739)</f>
        <v>0.27687421727474026</v>
      </c>
    </row>
    <row r="712" spans="1:8" x14ac:dyDescent="0.3">
      <c r="A712" t="s">
        <v>4</v>
      </c>
      <c r="B712" s="3">
        <v>45119</v>
      </c>
      <c r="C712">
        <f t="shared" si="189"/>
        <v>12</v>
      </c>
      <c r="D712">
        <f t="shared" si="190"/>
        <v>7</v>
      </c>
      <c r="E712">
        <f t="shared" si="191"/>
        <v>2023</v>
      </c>
      <c r="F712" s="2">
        <v>2365</v>
      </c>
      <c r="G712" s="2" t="s">
        <v>19</v>
      </c>
      <c r="H712" s="4">
        <f t="shared" ref="H712:H714" si="192">SUMIFS($F$2:$F$2739,$G$2:$G$2739,"Multi-year Contract",$E$2:$E$2739,2023)/SUMIF($E$2:$E$2739,2023,$F$2:$F$2739)</f>
        <v>0.5137784540236352</v>
      </c>
    </row>
    <row r="713" spans="1:8" x14ac:dyDescent="0.3">
      <c r="A713" t="s">
        <v>10</v>
      </c>
      <c r="B713" s="3">
        <v>45119</v>
      </c>
      <c r="C713">
        <f t="shared" si="189"/>
        <v>12</v>
      </c>
      <c r="D713">
        <f t="shared" si="190"/>
        <v>7</v>
      </c>
      <c r="E713">
        <f t="shared" si="191"/>
        <v>2023</v>
      </c>
      <c r="F713" s="2">
        <v>3520</v>
      </c>
      <c r="G713" t="s">
        <v>19</v>
      </c>
      <c r="H713" s="4">
        <f t="shared" si="192"/>
        <v>0.5137784540236352</v>
      </c>
    </row>
    <row r="714" spans="1:8" x14ac:dyDescent="0.3">
      <c r="A714" t="s">
        <v>12</v>
      </c>
      <c r="B714" s="3">
        <v>45119</v>
      </c>
      <c r="C714">
        <f t="shared" si="189"/>
        <v>12</v>
      </c>
      <c r="D714">
        <f t="shared" si="190"/>
        <v>7</v>
      </c>
      <c r="E714">
        <f t="shared" si="191"/>
        <v>2023</v>
      </c>
      <c r="F714" s="2">
        <v>1195</v>
      </c>
      <c r="G714" s="2" t="s">
        <v>19</v>
      </c>
      <c r="H714" s="4">
        <f t="shared" si="192"/>
        <v>0.5137784540236352</v>
      </c>
    </row>
    <row r="715" spans="1:8" x14ac:dyDescent="0.3">
      <c r="A715" t="s">
        <v>9</v>
      </c>
      <c r="B715" s="3">
        <v>45120</v>
      </c>
      <c r="C715">
        <f t="shared" si="189"/>
        <v>13</v>
      </c>
      <c r="D715">
        <f t="shared" si="190"/>
        <v>7</v>
      </c>
      <c r="E715">
        <f t="shared" si="191"/>
        <v>2023</v>
      </c>
      <c r="F715" s="2">
        <v>964</v>
      </c>
      <c r="G715" t="s">
        <v>17</v>
      </c>
      <c r="H715" s="4">
        <f>SUMIFS($F$2:$F$2739,$G$2:$G$2739,"No Contract",$E$2:$E$2739,2023)/SUMIF($E$2:$E$2739,2023,$F$2:$F$2739)</f>
        <v>0.20934732870162456</v>
      </c>
    </row>
    <row r="716" spans="1:8" x14ac:dyDescent="0.3">
      <c r="A716" t="s">
        <v>6</v>
      </c>
      <c r="B716" s="3">
        <v>45120</v>
      </c>
      <c r="C716">
        <f t="shared" si="189"/>
        <v>13</v>
      </c>
      <c r="D716">
        <f t="shared" si="190"/>
        <v>7</v>
      </c>
      <c r="E716">
        <f t="shared" si="191"/>
        <v>2023</v>
      </c>
      <c r="F716" s="2">
        <v>1598</v>
      </c>
      <c r="G716" t="s">
        <v>18</v>
      </c>
      <c r="H716" s="4">
        <f>SUMIFS($F$2:$F$2739,$G$2:$G$2739,"Annual Contract",$E$2:$E$2739,2023)/SUMIF($E$2:$E$2739,2023,$F$2:$F$2739)</f>
        <v>0.27687421727474026</v>
      </c>
    </row>
    <row r="717" spans="1:8" x14ac:dyDescent="0.3">
      <c r="A717" t="s">
        <v>3</v>
      </c>
      <c r="B717" s="3">
        <v>45120</v>
      </c>
      <c r="C717">
        <f t="shared" si="189"/>
        <v>13</v>
      </c>
      <c r="D717">
        <f t="shared" si="190"/>
        <v>7</v>
      </c>
      <c r="E717">
        <f t="shared" si="191"/>
        <v>2023</v>
      </c>
      <c r="F717" s="2">
        <v>3928</v>
      </c>
      <c r="G717" t="s">
        <v>19</v>
      </c>
      <c r="H717" s="4">
        <f t="shared" ref="H717:H719" si="193">SUMIFS($F$2:$F$2739,$G$2:$G$2739,"Multi-year Contract",$E$2:$E$2739,2023)/SUMIF($E$2:$E$2739,2023,$F$2:$F$2739)</f>
        <v>0.5137784540236352</v>
      </c>
    </row>
    <row r="718" spans="1:8" x14ac:dyDescent="0.3">
      <c r="A718" t="s">
        <v>10</v>
      </c>
      <c r="B718" s="3">
        <v>45121</v>
      </c>
      <c r="C718">
        <f t="shared" si="189"/>
        <v>14</v>
      </c>
      <c r="D718">
        <f t="shared" si="190"/>
        <v>7</v>
      </c>
      <c r="E718">
        <f t="shared" si="191"/>
        <v>2023</v>
      </c>
      <c r="F718" s="2">
        <v>3433</v>
      </c>
      <c r="G718" t="s">
        <v>19</v>
      </c>
      <c r="H718" s="4">
        <f t="shared" si="193"/>
        <v>0.5137784540236352</v>
      </c>
    </row>
    <row r="719" spans="1:8" x14ac:dyDescent="0.3">
      <c r="A719" t="s">
        <v>4</v>
      </c>
      <c r="B719" s="3">
        <v>45121</v>
      </c>
      <c r="C719">
        <f t="shared" si="189"/>
        <v>14</v>
      </c>
      <c r="D719">
        <f t="shared" si="190"/>
        <v>7</v>
      </c>
      <c r="E719">
        <f t="shared" si="191"/>
        <v>2023</v>
      </c>
      <c r="F719" s="2">
        <v>2328</v>
      </c>
      <c r="G719" s="2" t="s">
        <v>19</v>
      </c>
      <c r="H719" s="4">
        <f t="shared" si="193"/>
        <v>0.5137784540236352</v>
      </c>
    </row>
    <row r="720" spans="1:8" x14ac:dyDescent="0.3">
      <c r="A720" t="s">
        <v>5</v>
      </c>
      <c r="B720" s="3">
        <v>45121</v>
      </c>
      <c r="C720">
        <f t="shared" si="189"/>
        <v>14</v>
      </c>
      <c r="D720">
        <f t="shared" si="190"/>
        <v>7</v>
      </c>
      <c r="E720">
        <f t="shared" si="191"/>
        <v>2023</v>
      </c>
      <c r="F720" s="2">
        <v>1501</v>
      </c>
      <c r="G720" t="s">
        <v>18</v>
      </c>
      <c r="H720" s="4">
        <f t="shared" ref="H720:H721" si="194">SUMIFS($F$2:$F$2739,$G$2:$G$2739,"Annual Contract",$E$2:$E$2739,2023)/SUMIF($E$2:$E$2739,2023,$F$2:$F$2739)</f>
        <v>0.27687421727474026</v>
      </c>
    </row>
    <row r="721" spans="1:8" x14ac:dyDescent="0.3">
      <c r="A721" t="s">
        <v>5</v>
      </c>
      <c r="B721" s="3">
        <v>45121</v>
      </c>
      <c r="C721">
        <f t="shared" si="189"/>
        <v>14</v>
      </c>
      <c r="D721">
        <f t="shared" si="190"/>
        <v>7</v>
      </c>
      <c r="E721">
        <f t="shared" si="191"/>
        <v>2023</v>
      </c>
      <c r="F721" s="2">
        <v>1141</v>
      </c>
      <c r="G721" t="s">
        <v>18</v>
      </c>
      <c r="H721" s="4">
        <f t="shared" si="194"/>
        <v>0.27687421727474026</v>
      </c>
    </row>
    <row r="722" spans="1:8" x14ac:dyDescent="0.3">
      <c r="A722" t="s">
        <v>3</v>
      </c>
      <c r="B722" s="3">
        <v>45121</v>
      </c>
      <c r="C722">
        <f t="shared" si="189"/>
        <v>14</v>
      </c>
      <c r="D722">
        <f t="shared" si="190"/>
        <v>7</v>
      </c>
      <c r="E722">
        <f t="shared" si="191"/>
        <v>2023</v>
      </c>
      <c r="F722" s="2">
        <v>3667</v>
      </c>
      <c r="G722" t="s">
        <v>19</v>
      </c>
      <c r="H722" s="4">
        <f t="shared" ref="H722:H725" si="195">SUMIFS($F$2:$F$2739,$G$2:$G$2739,"Multi-year Contract",$E$2:$E$2739,2023)/SUMIF($E$2:$E$2739,2023,$F$2:$F$2739)</f>
        <v>0.5137784540236352</v>
      </c>
    </row>
    <row r="723" spans="1:8" x14ac:dyDescent="0.3">
      <c r="A723" t="s">
        <v>10</v>
      </c>
      <c r="B723" s="3">
        <v>45122</v>
      </c>
      <c r="C723">
        <f t="shared" si="189"/>
        <v>15</v>
      </c>
      <c r="D723">
        <f t="shared" si="190"/>
        <v>7</v>
      </c>
      <c r="E723">
        <f t="shared" si="191"/>
        <v>2023</v>
      </c>
      <c r="F723" s="2">
        <v>3082</v>
      </c>
      <c r="G723" t="s">
        <v>19</v>
      </c>
      <c r="H723" s="4">
        <f t="shared" si="195"/>
        <v>0.5137784540236352</v>
      </c>
    </row>
    <row r="724" spans="1:8" x14ac:dyDescent="0.3">
      <c r="A724" t="s">
        <v>4</v>
      </c>
      <c r="B724" s="3">
        <v>45122</v>
      </c>
      <c r="C724">
        <f t="shared" si="189"/>
        <v>15</v>
      </c>
      <c r="D724">
        <f t="shared" si="190"/>
        <v>7</v>
      </c>
      <c r="E724">
        <f t="shared" si="191"/>
        <v>2023</v>
      </c>
      <c r="F724" s="2">
        <v>1556</v>
      </c>
      <c r="G724" s="2" t="s">
        <v>19</v>
      </c>
      <c r="H724" s="4">
        <f t="shared" si="195"/>
        <v>0.5137784540236352</v>
      </c>
    </row>
    <row r="725" spans="1:8" x14ac:dyDescent="0.3">
      <c r="A725" t="s">
        <v>3</v>
      </c>
      <c r="B725" s="3">
        <v>45122</v>
      </c>
      <c r="C725">
        <f t="shared" si="189"/>
        <v>15</v>
      </c>
      <c r="D725">
        <f t="shared" si="190"/>
        <v>7</v>
      </c>
      <c r="E725">
        <f t="shared" si="191"/>
        <v>2023</v>
      </c>
      <c r="F725" s="2">
        <v>1173</v>
      </c>
      <c r="G725" t="s">
        <v>19</v>
      </c>
      <c r="H725" s="4">
        <f t="shared" si="195"/>
        <v>0.5137784540236352</v>
      </c>
    </row>
    <row r="726" spans="1:8" x14ac:dyDescent="0.3">
      <c r="A726" t="s">
        <v>8</v>
      </c>
      <c r="B726" s="3">
        <v>45123</v>
      </c>
      <c r="C726">
        <f t="shared" si="189"/>
        <v>16</v>
      </c>
      <c r="D726">
        <f t="shared" si="190"/>
        <v>7</v>
      </c>
      <c r="E726">
        <f t="shared" si="191"/>
        <v>2023</v>
      </c>
      <c r="F726" s="2">
        <v>3018</v>
      </c>
      <c r="G726" s="2" t="s">
        <v>18</v>
      </c>
      <c r="H726" s="4">
        <f>SUMIFS($F$2:$F$2739,$G$2:$G$2739,"Annual Contract",$E$2:$E$2739,2023)/SUMIF($E$2:$E$2739,2023,$F$2:$F$2739)</f>
        <v>0.27687421727474026</v>
      </c>
    </row>
    <row r="727" spans="1:8" x14ac:dyDescent="0.3">
      <c r="A727" t="s">
        <v>4</v>
      </c>
      <c r="B727" s="3">
        <v>45123</v>
      </c>
      <c r="C727">
        <f t="shared" si="189"/>
        <v>16</v>
      </c>
      <c r="D727">
        <f t="shared" si="190"/>
        <v>7</v>
      </c>
      <c r="E727">
        <f t="shared" si="191"/>
        <v>2023</v>
      </c>
      <c r="F727" s="2">
        <v>2405</v>
      </c>
      <c r="G727" s="2" t="s">
        <v>19</v>
      </c>
      <c r="H727" s="4">
        <f>SUMIFS($F$2:$F$2739,$G$2:$G$2739,"Multi-year Contract",$E$2:$E$2739,2023)/SUMIF($E$2:$E$2739,2023,$F$2:$F$2739)</f>
        <v>0.5137784540236352</v>
      </c>
    </row>
    <row r="728" spans="1:8" x14ac:dyDescent="0.3">
      <c r="A728" t="s">
        <v>9</v>
      </c>
      <c r="B728" s="3">
        <v>45123</v>
      </c>
      <c r="C728">
        <f t="shared" si="189"/>
        <v>16</v>
      </c>
      <c r="D728">
        <f t="shared" si="190"/>
        <v>7</v>
      </c>
      <c r="E728">
        <f t="shared" si="191"/>
        <v>2023</v>
      </c>
      <c r="F728" s="2">
        <v>3914</v>
      </c>
      <c r="G728" t="s">
        <v>17</v>
      </c>
      <c r="H728" s="4">
        <f t="shared" ref="H728:H729" si="196">SUMIFS($F$2:$F$2739,$G$2:$G$2739,"No Contract",$E$2:$E$2739,2023)/SUMIF($E$2:$E$2739,2023,$F$2:$F$2739)</f>
        <v>0.20934732870162456</v>
      </c>
    </row>
    <row r="729" spans="1:8" x14ac:dyDescent="0.3">
      <c r="A729" t="s">
        <v>9</v>
      </c>
      <c r="B729" s="3">
        <v>45123</v>
      </c>
      <c r="C729">
        <f t="shared" si="189"/>
        <v>16</v>
      </c>
      <c r="D729">
        <f t="shared" si="190"/>
        <v>7</v>
      </c>
      <c r="E729">
        <f t="shared" si="191"/>
        <v>2023</v>
      </c>
      <c r="F729" s="2">
        <v>3788</v>
      </c>
      <c r="G729" t="s">
        <v>17</v>
      </c>
      <c r="H729" s="4">
        <f t="shared" si="196"/>
        <v>0.20934732870162456</v>
      </c>
    </row>
    <row r="730" spans="1:8" x14ac:dyDescent="0.3">
      <c r="A730" t="s">
        <v>12</v>
      </c>
      <c r="B730" s="3">
        <v>45123</v>
      </c>
      <c r="C730">
        <f t="shared" si="189"/>
        <v>16</v>
      </c>
      <c r="D730">
        <f t="shared" si="190"/>
        <v>7</v>
      </c>
      <c r="E730">
        <f t="shared" si="191"/>
        <v>2023</v>
      </c>
      <c r="F730" s="2">
        <v>1567</v>
      </c>
      <c r="G730" s="2" t="s">
        <v>19</v>
      </c>
      <c r="H730" s="4">
        <f>SUMIFS($F$2:$F$2739,$G$2:$G$2739,"Multi-year Contract",$E$2:$E$2739,2023)/SUMIF($E$2:$E$2739,2023,$F$2:$F$2739)</f>
        <v>0.5137784540236352</v>
      </c>
    </row>
    <row r="731" spans="1:8" x14ac:dyDescent="0.3">
      <c r="A731" t="s">
        <v>9</v>
      </c>
      <c r="B731" s="3">
        <v>45124</v>
      </c>
      <c r="C731">
        <f t="shared" si="189"/>
        <v>17</v>
      </c>
      <c r="D731">
        <f t="shared" si="190"/>
        <v>7</v>
      </c>
      <c r="E731">
        <f t="shared" si="191"/>
        <v>2023</v>
      </c>
      <c r="F731" s="2">
        <v>2770</v>
      </c>
      <c r="G731" t="s">
        <v>17</v>
      </c>
      <c r="H731" s="4">
        <f>SUMIFS($F$2:$F$2739,$G$2:$G$2739,"No Contract",$E$2:$E$2739,2023)/SUMIF($E$2:$E$2739,2023,$F$2:$F$2739)</f>
        <v>0.20934732870162456</v>
      </c>
    </row>
    <row r="732" spans="1:8" x14ac:dyDescent="0.3">
      <c r="A732" t="s">
        <v>11</v>
      </c>
      <c r="B732" s="3">
        <v>45124</v>
      </c>
      <c r="C732">
        <f t="shared" si="189"/>
        <v>17</v>
      </c>
      <c r="D732">
        <f t="shared" si="190"/>
        <v>7</v>
      </c>
      <c r="E732">
        <f t="shared" si="191"/>
        <v>2023</v>
      </c>
      <c r="F732" s="2">
        <v>1145</v>
      </c>
      <c r="G732" t="s">
        <v>19</v>
      </c>
      <c r="H732" s="4">
        <f t="shared" ref="H732:H740" si="197">SUMIFS($F$2:$F$2739,$G$2:$G$2739,"Multi-year Contract",$E$2:$E$2739,2023)/SUMIF($E$2:$E$2739,2023,$F$2:$F$2739)</f>
        <v>0.5137784540236352</v>
      </c>
    </row>
    <row r="733" spans="1:8" x14ac:dyDescent="0.3">
      <c r="A733" t="s">
        <v>4</v>
      </c>
      <c r="B733" s="3">
        <v>45124</v>
      </c>
      <c r="C733">
        <f t="shared" si="189"/>
        <v>17</v>
      </c>
      <c r="D733">
        <f t="shared" si="190"/>
        <v>7</v>
      </c>
      <c r="E733">
        <f t="shared" si="191"/>
        <v>2023</v>
      </c>
      <c r="F733" s="2">
        <v>3904</v>
      </c>
      <c r="G733" s="2" t="s">
        <v>19</v>
      </c>
      <c r="H733" s="4">
        <f t="shared" si="197"/>
        <v>0.5137784540236352</v>
      </c>
    </row>
    <row r="734" spans="1:8" x14ac:dyDescent="0.3">
      <c r="A734" t="s">
        <v>3</v>
      </c>
      <c r="B734" s="3">
        <v>45124</v>
      </c>
      <c r="C734">
        <f t="shared" si="189"/>
        <v>17</v>
      </c>
      <c r="D734">
        <f t="shared" si="190"/>
        <v>7</v>
      </c>
      <c r="E734">
        <f t="shared" si="191"/>
        <v>2023</v>
      </c>
      <c r="F734" s="2">
        <v>3545</v>
      </c>
      <c r="G734" t="s">
        <v>19</v>
      </c>
      <c r="H734" s="4">
        <f t="shared" si="197"/>
        <v>0.5137784540236352</v>
      </c>
    </row>
    <row r="735" spans="1:8" x14ac:dyDescent="0.3">
      <c r="A735" t="s">
        <v>10</v>
      </c>
      <c r="B735" s="3">
        <v>45124</v>
      </c>
      <c r="C735">
        <f t="shared" si="189"/>
        <v>17</v>
      </c>
      <c r="D735">
        <f t="shared" si="190"/>
        <v>7</v>
      </c>
      <c r="E735">
        <f t="shared" si="191"/>
        <v>2023</v>
      </c>
      <c r="F735" s="2">
        <v>2750</v>
      </c>
      <c r="G735" t="s">
        <v>19</v>
      </c>
      <c r="H735" s="4">
        <f t="shared" si="197"/>
        <v>0.5137784540236352</v>
      </c>
    </row>
    <row r="736" spans="1:8" x14ac:dyDescent="0.3">
      <c r="A736" t="s">
        <v>4</v>
      </c>
      <c r="B736" s="3">
        <v>45125</v>
      </c>
      <c r="C736">
        <f t="shared" si="189"/>
        <v>18</v>
      </c>
      <c r="D736">
        <f t="shared" si="190"/>
        <v>7</v>
      </c>
      <c r="E736">
        <f t="shared" si="191"/>
        <v>2023</v>
      </c>
      <c r="F736" s="2">
        <v>1324</v>
      </c>
      <c r="G736" s="2" t="s">
        <v>19</v>
      </c>
      <c r="H736" s="4">
        <f t="shared" si="197"/>
        <v>0.5137784540236352</v>
      </c>
    </row>
    <row r="737" spans="1:8" x14ac:dyDescent="0.3">
      <c r="A737" t="s">
        <v>4</v>
      </c>
      <c r="B737" s="3">
        <v>45125</v>
      </c>
      <c r="C737">
        <f t="shared" si="189"/>
        <v>18</v>
      </c>
      <c r="D737">
        <f t="shared" si="190"/>
        <v>7</v>
      </c>
      <c r="E737">
        <f t="shared" si="191"/>
        <v>2023</v>
      </c>
      <c r="F737" s="2">
        <v>2503</v>
      </c>
      <c r="G737" s="2" t="s">
        <v>19</v>
      </c>
      <c r="H737" s="4">
        <f t="shared" si="197"/>
        <v>0.5137784540236352</v>
      </c>
    </row>
    <row r="738" spans="1:8" x14ac:dyDescent="0.3">
      <c r="A738" t="s">
        <v>3</v>
      </c>
      <c r="B738" s="3">
        <v>45125</v>
      </c>
      <c r="C738">
        <f t="shared" si="189"/>
        <v>18</v>
      </c>
      <c r="D738">
        <f t="shared" si="190"/>
        <v>7</v>
      </c>
      <c r="E738">
        <f t="shared" si="191"/>
        <v>2023</v>
      </c>
      <c r="F738" s="2">
        <v>3257</v>
      </c>
      <c r="G738" t="s">
        <v>19</v>
      </c>
      <c r="H738" s="4">
        <f t="shared" si="197"/>
        <v>0.5137784540236352</v>
      </c>
    </row>
    <row r="739" spans="1:8" x14ac:dyDescent="0.3">
      <c r="A739" t="s">
        <v>3</v>
      </c>
      <c r="B739" s="3">
        <v>45125</v>
      </c>
      <c r="C739">
        <f t="shared" si="189"/>
        <v>18</v>
      </c>
      <c r="D739">
        <f t="shared" si="190"/>
        <v>7</v>
      </c>
      <c r="E739">
        <f t="shared" si="191"/>
        <v>2023</v>
      </c>
      <c r="F739" s="2">
        <v>3098</v>
      </c>
      <c r="G739" t="s">
        <v>19</v>
      </c>
      <c r="H739" s="4">
        <f t="shared" si="197"/>
        <v>0.5137784540236352</v>
      </c>
    </row>
    <row r="740" spans="1:8" x14ac:dyDescent="0.3">
      <c r="A740" t="s">
        <v>12</v>
      </c>
      <c r="B740" s="3">
        <v>45125</v>
      </c>
      <c r="C740">
        <f t="shared" si="189"/>
        <v>18</v>
      </c>
      <c r="D740">
        <f t="shared" si="190"/>
        <v>7</v>
      </c>
      <c r="E740">
        <f t="shared" si="191"/>
        <v>2023</v>
      </c>
      <c r="F740" s="2">
        <v>740</v>
      </c>
      <c r="G740" s="2" t="s">
        <v>19</v>
      </c>
      <c r="H740" s="4">
        <f t="shared" si="197"/>
        <v>0.5137784540236352</v>
      </c>
    </row>
    <row r="741" spans="1:8" x14ac:dyDescent="0.3">
      <c r="A741" t="s">
        <v>9</v>
      </c>
      <c r="B741" s="3">
        <v>45125</v>
      </c>
      <c r="C741">
        <f t="shared" si="189"/>
        <v>18</v>
      </c>
      <c r="D741">
        <f t="shared" si="190"/>
        <v>7</v>
      </c>
      <c r="E741">
        <f t="shared" si="191"/>
        <v>2023</v>
      </c>
      <c r="F741" s="2">
        <v>3602</v>
      </c>
      <c r="G741" t="s">
        <v>17</v>
      </c>
      <c r="H741" s="4">
        <f t="shared" ref="H741:H743" si="198">SUMIFS($F$2:$F$2739,$G$2:$G$2739,"No Contract",$E$2:$E$2739,2023)/SUMIF($E$2:$E$2739,2023,$F$2:$F$2739)</f>
        <v>0.20934732870162456</v>
      </c>
    </row>
    <row r="742" spans="1:8" x14ac:dyDescent="0.3">
      <c r="A742" t="s">
        <v>9</v>
      </c>
      <c r="B742" s="3">
        <v>45126</v>
      </c>
      <c r="C742">
        <f t="shared" si="189"/>
        <v>19</v>
      </c>
      <c r="D742">
        <f t="shared" si="190"/>
        <v>7</v>
      </c>
      <c r="E742">
        <f t="shared" si="191"/>
        <v>2023</v>
      </c>
      <c r="F742" s="2">
        <v>3890</v>
      </c>
      <c r="G742" t="s">
        <v>17</v>
      </c>
      <c r="H742" s="4">
        <f t="shared" si="198"/>
        <v>0.20934732870162456</v>
      </c>
    </row>
    <row r="743" spans="1:8" x14ac:dyDescent="0.3">
      <c r="A743" t="s">
        <v>7</v>
      </c>
      <c r="B743" s="3">
        <v>45128</v>
      </c>
      <c r="C743">
        <f t="shared" si="189"/>
        <v>21</v>
      </c>
      <c r="D743">
        <f t="shared" si="190"/>
        <v>7</v>
      </c>
      <c r="E743">
        <f t="shared" si="191"/>
        <v>2023</v>
      </c>
      <c r="F743" s="2">
        <v>2098</v>
      </c>
      <c r="G743" t="s">
        <v>17</v>
      </c>
      <c r="H743" s="4">
        <f t="shared" si="198"/>
        <v>0.20934732870162456</v>
      </c>
    </row>
    <row r="744" spans="1:8" x14ac:dyDescent="0.3">
      <c r="A744" t="s">
        <v>10</v>
      </c>
      <c r="B744" s="3">
        <v>45128</v>
      </c>
      <c r="C744">
        <f t="shared" si="189"/>
        <v>21</v>
      </c>
      <c r="D744">
        <f t="shared" si="190"/>
        <v>7</v>
      </c>
      <c r="E744">
        <f t="shared" si="191"/>
        <v>2023</v>
      </c>
      <c r="F744" s="2">
        <v>1662</v>
      </c>
      <c r="G744" t="s">
        <v>19</v>
      </c>
      <c r="H744" s="4">
        <f>SUMIFS($F$2:$F$2739,$G$2:$G$2739,"Multi-year Contract",$E$2:$E$2739,2023)/SUMIF($E$2:$E$2739,2023,$F$2:$F$2739)</f>
        <v>0.5137784540236352</v>
      </c>
    </row>
    <row r="745" spans="1:8" x14ac:dyDescent="0.3">
      <c r="A745" t="s">
        <v>6</v>
      </c>
      <c r="B745" s="3">
        <v>45128</v>
      </c>
      <c r="C745">
        <f t="shared" si="189"/>
        <v>21</v>
      </c>
      <c r="D745">
        <f t="shared" si="190"/>
        <v>7</v>
      </c>
      <c r="E745">
        <f t="shared" si="191"/>
        <v>2023</v>
      </c>
      <c r="F745" s="2">
        <v>3471</v>
      </c>
      <c r="G745" t="s">
        <v>18</v>
      </c>
      <c r="H745" s="4">
        <f t="shared" ref="H745:H746" si="199">SUMIFS($F$2:$F$2739,$G$2:$G$2739,"Annual Contract",$E$2:$E$2739,2023)/SUMIF($E$2:$E$2739,2023,$F$2:$F$2739)</f>
        <v>0.27687421727474026</v>
      </c>
    </row>
    <row r="746" spans="1:8" x14ac:dyDescent="0.3">
      <c r="A746" t="s">
        <v>5</v>
      </c>
      <c r="B746" s="3">
        <v>45129</v>
      </c>
      <c r="C746">
        <f t="shared" si="189"/>
        <v>22</v>
      </c>
      <c r="D746">
        <f t="shared" si="190"/>
        <v>7</v>
      </c>
      <c r="E746">
        <f t="shared" si="191"/>
        <v>2023</v>
      </c>
      <c r="F746" s="2">
        <v>1547</v>
      </c>
      <c r="G746" t="s">
        <v>18</v>
      </c>
      <c r="H746" s="4">
        <f t="shared" si="199"/>
        <v>0.27687421727474026</v>
      </c>
    </row>
    <row r="747" spans="1:8" x14ac:dyDescent="0.3">
      <c r="A747" t="s">
        <v>11</v>
      </c>
      <c r="B747" s="3">
        <v>45129</v>
      </c>
      <c r="C747">
        <f t="shared" si="189"/>
        <v>22</v>
      </c>
      <c r="D747">
        <f t="shared" si="190"/>
        <v>7</v>
      </c>
      <c r="E747">
        <f t="shared" si="191"/>
        <v>2023</v>
      </c>
      <c r="F747" s="2">
        <v>3245</v>
      </c>
      <c r="G747" t="s">
        <v>19</v>
      </c>
      <c r="H747" s="4">
        <f>SUMIFS($F$2:$F$2739,$G$2:$G$2739,"Multi-year Contract",$E$2:$E$2739,2023)/SUMIF($E$2:$E$2739,2023,$F$2:$F$2739)</f>
        <v>0.5137784540236352</v>
      </c>
    </row>
    <row r="748" spans="1:8" x14ac:dyDescent="0.3">
      <c r="A748" t="s">
        <v>9</v>
      </c>
      <c r="B748" s="3">
        <v>45129</v>
      </c>
      <c r="C748">
        <f t="shared" si="189"/>
        <v>22</v>
      </c>
      <c r="D748">
        <f t="shared" si="190"/>
        <v>7</v>
      </c>
      <c r="E748">
        <f t="shared" si="191"/>
        <v>2023</v>
      </c>
      <c r="F748" s="2">
        <v>2189</v>
      </c>
      <c r="G748" t="s">
        <v>17</v>
      </c>
      <c r="H748" s="4">
        <f>SUMIFS($F$2:$F$2739,$G$2:$G$2739,"No Contract",$E$2:$E$2739,2023)/SUMIF($E$2:$E$2739,2023,$F$2:$F$2739)</f>
        <v>0.20934732870162456</v>
      </c>
    </row>
    <row r="749" spans="1:8" x14ac:dyDescent="0.3">
      <c r="A749" t="s">
        <v>12</v>
      </c>
      <c r="B749" s="3">
        <v>45129</v>
      </c>
      <c r="C749">
        <f t="shared" si="189"/>
        <v>22</v>
      </c>
      <c r="D749">
        <f t="shared" si="190"/>
        <v>7</v>
      </c>
      <c r="E749">
        <f t="shared" si="191"/>
        <v>2023</v>
      </c>
      <c r="F749" s="2">
        <v>1838</v>
      </c>
      <c r="G749" s="2" t="s">
        <v>19</v>
      </c>
      <c r="H749" s="4">
        <f>SUMIFS($F$2:$F$2739,$G$2:$G$2739,"Multi-year Contract",$E$2:$E$2739,2023)/SUMIF($E$2:$E$2739,2023,$F$2:$F$2739)</f>
        <v>0.5137784540236352</v>
      </c>
    </row>
    <row r="750" spans="1:8" x14ac:dyDescent="0.3">
      <c r="A750" t="s">
        <v>8</v>
      </c>
      <c r="B750" s="3">
        <v>45129</v>
      </c>
      <c r="C750">
        <f t="shared" si="189"/>
        <v>22</v>
      </c>
      <c r="D750">
        <f t="shared" si="190"/>
        <v>7</v>
      </c>
      <c r="E750">
        <f t="shared" si="191"/>
        <v>2023</v>
      </c>
      <c r="F750" s="2">
        <v>3241</v>
      </c>
      <c r="G750" s="2" t="s">
        <v>18</v>
      </c>
      <c r="H750" s="4">
        <f>SUMIFS($F$2:$F$2739,$G$2:$G$2739,"Annual Contract",$E$2:$E$2739,2023)/SUMIF($E$2:$E$2739,2023,$F$2:$F$2739)</f>
        <v>0.27687421727474026</v>
      </c>
    </row>
    <row r="751" spans="1:8" x14ac:dyDescent="0.3">
      <c r="A751" t="s">
        <v>3</v>
      </c>
      <c r="B751" s="3">
        <v>45130</v>
      </c>
      <c r="C751">
        <f t="shared" si="189"/>
        <v>23</v>
      </c>
      <c r="D751">
        <f t="shared" si="190"/>
        <v>7</v>
      </c>
      <c r="E751">
        <f t="shared" si="191"/>
        <v>2023</v>
      </c>
      <c r="F751" s="2">
        <v>671</v>
      </c>
      <c r="G751" t="s">
        <v>19</v>
      </c>
      <c r="H751" s="4">
        <f t="shared" ref="H751:H754" si="200">SUMIFS($F$2:$F$2739,$G$2:$G$2739,"Multi-year Contract",$E$2:$E$2739,2023)/SUMIF($E$2:$E$2739,2023,$F$2:$F$2739)</f>
        <v>0.5137784540236352</v>
      </c>
    </row>
    <row r="752" spans="1:8" x14ac:dyDescent="0.3">
      <c r="A752" t="s">
        <v>3</v>
      </c>
      <c r="B752" s="3">
        <v>45130</v>
      </c>
      <c r="C752">
        <f t="shared" si="189"/>
        <v>23</v>
      </c>
      <c r="D752">
        <f t="shared" si="190"/>
        <v>7</v>
      </c>
      <c r="E752">
        <f t="shared" si="191"/>
        <v>2023</v>
      </c>
      <c r="F752" s="2">
        <v>2336</v>
      </c>
      <c r="G752" t="s">
        <v>19</v>
      </c>
      <c r="H752" s="4">
        <f t="shared" si="200"/>
        <v>0.5137784540236352</v>
      </c>
    </row>
    <row r="753" spans="1:8" x14ac:dyDescent="0.3">
      <c r="A753" t="s">
        <v>3</v>
      </c>
      <c r="B753" s="3">
        <v>45130</v>
      </c>
      <c r="C753">
        <f t="shared" si="189"/>
        <v>23</v>
      </c>
      <c r="D753">
        <f t="shared" si="190"/>
        <v>7</v>
      </c>
      <c r="E753">
        <f t="shared" si="191"/>
        <v>2023</v>
      </c>
      <c r="F753" s="2">
        <v>2213</v>
      </c>
      <c r="G753" t="s">
        <v>19</v>
      </c>
      <c r="H753" s="4">
        <f t="shared" si="200"/>
        <v>0.5137784540236352</v>
      </c>
    </row>
    <row r="754" spans="1:8" x14ac:dyDescent="0.3">
      <c r="A754" t="s">
        <v>11</v>
      </c>
      <c r="B754" s="3">
        <v>45131</v>
      </c>
      <c r="C754">
        <f t="shared" si="189"/>
        <v>24</v>
      </c>
      <c r="D754">
        <f t="shared" si="190"/>
        <v>7</v>
      </c>
      <c r="E754">
        <f t="shared" si="191"/>
        <v>2023</v>
      </c>
      <c r="F754" s="2">
        <v>2570</v>
      </c>
      <c r="G754" t="s">
        <v>19</v>
      </c>
      <c r="H754" s="4">
        <f t="shared" si="200"/>
        <v>0.5137784540236352</v>
      </c>
    </row>
    <row r="755" spans="1:8" x14ac:dyDescent="0.3">
      <c r="A755" t="s">
        <v>7</v>
      </c>
      <c r="B755" s="3">
        <v>45131</v>
      </c>
      <c r="C755">
        <f t="shared" si="189"/>
        <v>24</v>
      </c>
      <c r="D755">
        <f t="shared" si="190"/>
        <v>7</v>
      </c>
      <c r="E755">
        <f t="shared" si="191"/>
        <v>2023</v>
      </c>
      <c r="F755" s="2">
        <v>3282</v>
      </c>
      <c r="G755" t="s">
        <v>17</v>
      </c>
      <c r="H755" s="4">
        <f t="shared" ref="H755:H756" si="201">SUMIFS($F$2:$F$2739,$G$2:$G$2739,"No Contract",$E$2:$E$2739,2023)/SUMIF($E$2:$E$2739,2023,$F$2:$F$2739)</f>
        <v>0.20934732870162456</v>
      </c>
    </row>
    <row r="756" spans="1:8" x14ac:dyDescent="0.3">
      <c r="A756" t="s">
        <v>9</v>
      </c>
      <c r="B756" s="3">
        <v>45131</v>
      </c>
      <c r="C756">
        <f t="shared" si="189"/>
        <v>24</v>
      </c>
      <c r="D756">
        <f t="shared" si="190"/>
        <v>7</v>
      </c>
      <c r="E756">
        <f t="shared" si="191"/>
        <v>2023</v>
      </c>
      <c r="F756" s="2">
        <v>1590</v>
      </c>
      <c r="G756" t="s">
        <v>17</v>
      </c>
      <c r="H756" s="4">
        <f t="shared" si="201"/>
        <v>0.20934732870162456</v>
      </c>
    </row>
    <row r="757" spans="1:8" x14ac:dyDescent="0.3">
      <c r="A757" t="s">
        <v>12</v>
      </c>
      <c r="B757" s="3">
        <v>45131</v>
      </c>
      <c r="C757">
        <f t="shared" si="189"/>
        <v>24</v>
      </c>
      <c r="D757">
        <f t="shared" si="190"/>
        <v>7</v>
      </c>
      <c r="E757">
        <f t="shared" si="191"/>
        <v>2023</v>
      </c>
      <c r="F757" s="2">
        <v>1189</v>
      </c>
      <c r="G757" s="2" t="s">
        <v>19</v>
      </c>
      <c r="H757" s="4">
        <f t="shared" ref="H757:H758" si="202">SUMIFS($F$2:$F$2739,$G$2:$G$2739,"Multi-year Contract",$E$2:$E$2739,2023)/SUMIF($E$2:$E$2739,2023,$F$2:$F$2739)</f>
        <v>0.5137784540236352</v>
      </c>
    </row>
    <row r="758" spans="1:8" x14ac:dyDescent="0.3">
      <c r="A758" t="s">
        <v>11</v>
      </c>
      <c r="B758" s="3">
        <v>45132</v>
      </c>
      <c r="C758">
        <f t="shared" si="189"/>
        <v>25</v>
      </c>
      <c r="D758">
        <f t="shared" si="190"/>
        <v>7</v>
      </c>
      <c r="E758">
        <f t="shared" si="191"/>
        <v>2023</v>
      </c>
      <c r="F758" s="2">
        <v>2932</v>
      </c>
      <c r="G758" t="s">
        <v>19</v>
      </c>
      <c r="H758" s="4">
        <f t="shared" si="202"/>
        <v>0.5137784540236352</v>
      </c>
    </row>
    <row r="759" spans="1:8" x14ac:dyDescent="0.3">
      <c r="A759" t="s">
        <v>5</v>
      </c>
      <c r="B759" s="3">
        <v>45132</v>
      </c>
      <c r="C759">
        <f t="shared" si="189"/>
        <v>25</v>
      </c>
      <c r="D759">
        <f t="shared" si="190"/>
        <v>7</v>
      </c>
      <c r="E759">
        <f t="shared" si="191"/>
        <v>2023</v>
      </c>
      <c r="F759" s="2">
        <v>3477</v>
      </c>
      <c r="G759" t="s">
        <v>18</v>
      </c>
      <c r="H759" s="4">
        <f t="shared" ref="H759:H760" si="203">SUMIFS($F$2:$F$2739,$G$2:$G$2739,"Annual Contract",$E$2:$E$2739,2023)/SUMIF($E$2:$E$2739,2023,$F$2:$F$2739)</f>
        <v>0.27687421727474026</v>
      </c>
    </row>
    <row r="760" spans="1:8" x14ac:dyDescent="0.3">
      <c r="A760" t="s">
        <v>8</v>
      </c>
      <c r="B760" s="3">
        <v>45132</v>
      </c>
      <c r="C760">
        <f t="shared" si="189"/>
        <v>25</v>
      </c>
      <c r="D760">
        <f t="shared" si="190"/>
        <v>7</v>
      </c>
      <c r="E760">
        <f t="shared" si="191"/>
        <v>2023</v>
      </c>
      <c r="F760" s="2">
        <v>1976</v>
      </c>
      <c r="G760" s="2" t="s">
        <v>18</v>
      </c>
      <c r="H760" s="4">
        <f t="shared" si="203"/>
        <v>0.27687421727474026</v>
      </c>
    </row>
    <row r="761" spans="1:8" x14ac:dyDescent="0.3">
      <c r="A761" t="s">
        <v>7</v>
      </c>
      <c r="B761" s="3">
        <v>45132</v>
      </c>
      <c r="C761">
        <f t="shared" si="189"/>
        <v>25</v>
      </c>
      <c r="D761">
        <f t="shared" si="190"/>
        <v>7</v>
      </c>
      <c r="E761">
        <f t="shared" si="191"/>
        <v>2023</v>
      </c>
      <c r="F761" s="2">
        <v>1075</v>
      </c>
      <c r="G761" t="s">
        <v>17</v>
      </c>
      <c r="H761" s="4">
        <f>SUMIFS($F$2:$F$2739,$G$2:$G$2739,"No Contract",$E$2:$E$2739,2023)/SUMIF($E$2:$E$2739,2023,$F$2:$F$2739)</f>
        <v>0.20934732870162456</v>
      </c>
    </row>
    <row r="762" spans="1:8" x14ac:dyDescent="0.3">
      <c r="A762" t="s">
        <v>5</v>
      </c>
      <c r="B762" s="3">
        <v>45132</v>
      </c>
      <c r="C762">
        <f t="shared" si="189"/>
        <v>25</v>
      </c>
      <c r="D762">
        <f t="shared" si="190"/>
        <v>7</v>
      </c>
      <c r="E762">
        <f t="shared" si="191"/>
        <v>2023</v>
      </c>
      <c r="F762" s="2">
        <v>1311</v>
      </c>
      <c r="G762" t="s">
        <v>18</v>
      </c>
      <c r="H762" s="4">
        <f t="shared" ref="H762:H763" si="204">SUMIFS($F$2:$F$2739,$G$2:$G$2739,"Annual Contract",$E$2:$E$2739,2023)/SUMIF($E$2:$E$2739,2023,$F$2:$F$2739)</f>
        <v>0.27687421727474026</v>
      </c>
    </row>
    <row r="763" spans="1:8" x14ac:dyDescent="0.3">
      <c r="A763" t="s">
        <v>8</v>
      </c>
      <c r="B763" s="3">
        <v>45132</v>
      </c>
      <c r="C763">
        <f t="shared" si="189"/>
        <v>25</v>
      </c>
      <c r="D763">
        <f t="shared" si="190"/>
        <v>7</v>
      </c>
      <c r="E763">
        <f t="shared" si="191"/>
        <v>2023</v>
      </c>
      <c r="F763" s="2">
        <v>3070</v>
      </c>
      <c r="G763" s="2" t="s">
        <v>18</v>
      </c>
      <c r="H763" s="4">
        <f t="shared" si="204"/>
        <v>0.27687421727474026</v>
      </c>
    </row>
    <row r="764" spans="1:8" x14ac:dyDescent="0.3">
      <c r="A764" t="s">
        <v>9</v>
      </c>
      <c r="B764" s="3">
        <v>45133</v>
      </c>
      <c r="C764">
        <f t="shared" si="189"/>
        <v>26</v>
      </c>
      <c r="D764">
        <f t="shared" si="190"/>
        <v>7</v>
      </c>
      <c r="E764">
        <f t="shared" si="191"/>
        <v>2023</v>
      </c>
      <c r="F764" s="2">
        <v>1623</v>
      </c>
      <c r="G764" t="s">
        <v>17</v>
      </c>
      <c r="H764" s="4">
        <f t="shared" ref="H764:H765" si="205">SUMIFS($F$2:$F$2739,$G$2:$G$2739,"No Contract",$E$2:$E$2739,2023)/SUMIF($E$2:$E$2739,2023,$F$2:$F$2739)</f>
        <v>0.20934732870162456</v>
      </c>
    </row>
    <row r="765" spans="1:8" x14ac:dyDescent="0.3">
      <c r="A765" t="s">
        <v>9</v>
      </c>
      <c r="B765" s="3">
        <v>45133</v>
      </c>
      <c r="C765">
        <f t="shared" si="189"/>
        <v>26</v>
      </c>
      <c r="D765">
        <f t="shared" si="190"/>
        <v>7</v>
      </c>
      <c r="E765">
        <f t="shared" si="191"/>
        <v>2023</v>
      </c>
      <c r="F765" s="2">
        <v>3075</v>
      </c>
      <c r="G765" t="s">
        <v>17</v>
      </c>
      <c r="H765" s="4">
        <f t="shared" si="205"/>
        <v>0.20934732870162456</v>
      </c>
    </row>
    <row r="766" spans="1:8" x14ac:dyDescent="0.3">
      <c r="A766" t="s">
        <v>5</v>
      </c>
      <c r="B766" s="3">
        <v>45133</v>
      </c>
      <c r="C766">
        <f t="shared" si="189"/>
        <v>26</v>
      </c>
      <c r="D766">
        <f t="shared" si="190"/>
        <v>7</v>
      </c>
      <c r="E766">
        <f t="shared" si="191"/>
        <v>2023</v>
      </c>
      <c r="F766" s="2">
        <v>1661</v>
      </c>
      <c r="G766" t="s">
        <v>18</v>
      </c>
      <c r="H766" s="4">
        <f>SUMIFS($F$2:$F$2739,$G$2:$G$2739,"Annual Contract",$E$2:$E$2739,2023)/SUMIF($E$2:$E$2739,2023,$F$2:$F$2739)</f>
        <v>0.27687421727474026</v>
      </c>
    </row>
    <row r="767" spans="1:8" x14ac:dyDescent="0.3">
      <c r="A767" t="s">
        <v>11</v>
      </c>
      <c r="B767" s="3">
        <v>45133</v>
      </c>
      <c r="C767">
        <f t="shared" si="189"/>
        <v>26</v>
      </c>
      <c r="D767">
        <f t="shared" si="190"/>
        <v>7</v>
      </c>
      <c r="E767">
        <f t="shared" si="191"/>
        <v>2023</v>
      </c>
      <c r="F767" s="2">
        <v>1847</v>
      </c>
      <c r="G767" t="s">
        <v>19</v>
      </c>
      <c r="H767" s="4">
        <f>SUMIFS($F$2:$F$2739,$G$2:$G$2739,"Multi-year Contract",$E$2:$E$2739,2023)/SUMIF($E$2:$E$2739,2023,$F$2:$F$2739)</f>
        <v>0.5137784540236352</v>
      </c>
    </row>
    <row r="768" spans="1:8" x14ac:dyDescent="0.3">
      <c r="A768" t="s">
        <v>7</v>
      </c>
      <c r="B768" s="3">
        <v>45134</v>
      </c>
      <c r="C768">
        <f t="shared" si="189"/>
        <v>27</v>
      </c>
      <c r="D768">
        <f t="shared" si="190"/>
        <v>7</v>
      </c>
      <c r="E768">
        <f t="shared" si="191"/>
        <v>2023</v>
      </c>
      <c r="F768" s="2">
        <v>2229</v>
      </c>
      <c r="G768" t="s">
        <v>17</v>
      </c>
      <c r="H768" s="4">
        <f>SUMIFS($F$2:$F$2739,$G$2:$G$2739,"No Contract",$E$2:$E$2739,2023)/SUMIF($E$2:$E$2739,2023,$F$2:$F$2739)</f>
        <v>0.20934732870162456</v>
      </c>
    </row>
    <row r="769" spans="1:8" x14ac:dyDescent="0.3">
      <c r="A769" t="s">
        <v>6</v>
      </c>
      <c r="B769" s="3">
        <v>45134</v>
      </c>
      <c r="C769">
        <f t="shared" si="189"/>
        <v>27</v>
      </c>
      <c r="D769">
        <f t="shared" si="190"/>
        <v>7</v>
      </c>
      <c r="E769">
        <f t="shared" si="191"/>
        <v>2023</v>
      </c>
      <c r="F769" s="2">
        <v>1457</v>
      </c>
      <c r="G769" t="s">
        <v>18</v>
      </c>
      <c r="H769" s="4">
        <f>SUMIFS($F$2:$F$2739,$G$2:$G$2739,"Annual Contract",$E$2:$E$2739,2023)/SUMIF($E$2:$E$2739,2023,$F$2:$F$2739)</f>
        <v>0.27687421727474026</v>
      </c>
    </row>
    <row r="770" spans="1:8" x14ac:dyDescent="0.3">
      <c r="A770" t="s">
        <v>12</v>
      </c>
      <c r="B770" s="3">
        <v>45135</v>
      </c>
      <c r="C770">
        <f t="shared" si="189"/>
        <v>28</v>
      </c>
      <c r="D770">
        <f t="shared" si="190"/>
        <v>7</v>
      </c>
      <c r="E770">
        <f t="shared" si="191"/>
        <v>2023</v>
      </c>
      <c r="F770" s="2">
        <v>956</v>
      </c>
      <c r="G770" s="2" t="s">
        <v>19</v>
      </c>
      <c r="H770" s="4">
        <f>SUMIFS($F$2:$F$2739,$G$2:$G$2739,"Multi-year Contract",$E$2:$E$2739,2023)/SUMIF($E$2:$E$2739,2023,$F$2:$F$2739)</f>
        <v>0.5137784540236352</v>
      </c>
    </row>
    <row r="771" spans="1:8" x14ac:dyDescent="0.3">
      <c r="A771" t="s">
        <v>9</v>
      </c>
      <c r="B771" s="3">
        <v>45135</v>
      </c>
      <c r="C771">
        <f t="shared" ref="C771:C834" si="206">DAY(B771)</f>
        <v>28</v>
      </c>
      <c r="D771">
        <f t="shared" ref="D771:D834" si="207">MONTH(B771)</f>
        <v>7</v>
      </c>
      <c r="E771">
        <f t="shared" ref="E771:E834" si="208">YEAR(B771)</f>
        <v>2023</v>
      </c>
      <c r="F771" s="2">
        <v>3408</v>
      </c>
      <c r="G771" t="s">
        <v>17</v>
      </c>
      <c r="H771" s="4">
        <f>SUMIFS($F$2:$F$2739,$G$2:$G$2739,"No Contract",$E$2:$E$2739,2023)/SUMIF($E$2:$E$2739,2023,$F$2:$F$2739)</f>
        <v>0.20934732870162456</v>
      </c>
    </row>
    <row r="772" spans="1:8" x14ac:dyDescent="0.3">
      <c r="A772" t="s">
        <v>10</v>
      </c>
      <c r="B772" s="3">
        <v>45135</v>
      </c>
      <c r="C772">
        <f t="shared" si="206"/>
        <v>28</v>
      </c>
      <c r="D772">
        <f t="shared" si="207"/>
        <v>7</v>
      </c>
      <c r="E772">
        <f t="shared" si="208"/>
        <v>2023</v>
      </c>
      <c r="F772" s="2">
        <v>775</v>
      </c>
      <c r="G772" t="s">
        <v>19</v>
      </c>
      <c r="H772" s="4">
        <f>SUMIFS($F$2:$F$2739,$G$2:$G$2739,"Multi-year Contract",$E$2:$E$2739,2023)/SUMIF($E$2:$E$2739,2023,$F$2:$F$2739)</f>
        <v>0.5137784540236352</v>
      </c>
    </row>
    <row r="773" spans="1:8" x14ac:dyDescent="0.3">
      <c r="A773" t="s">
        <v>9</v>
      </c>
      <c r="B773" s="3">
        <v>45135</v>
      </c>
      <c r="C773">
        <f t="shared" si="206"/>
        <v>28</v>
      </c>
      <c r="D773">
        <f t="shared" si="207"/>
        <v>7</v>
      </c>
      <c r="E773">
        <f t="shared" si="208"/>
        <v>2023</v>
      </c>
      <c r="F773" s="2">
        <v>3759</v>
      </c>
      <c r="G773" t="s">
        <v>17</v>
      </c>
      <c r="H773" s="4">
        <f>SUMIFS($F$2:$F$2739,$G$2:$G$2739,"No Contract",$E$2:$E$2739,2023)/SUMIF($E$2:$E$2739,2023,$F$2:$F$2739)</f>
        <v>0.20934732870162456</v>
      </c>
    </row>
    <row r="774" spans="1:8" x14ac:dyDescent="0.3">
      <c r="A774" t="s">
        <v>6</v>
      </c>
      <c r="B774" s="3">
        <v>45135</v>
      </c>
      <c r="C774">
        <f t="shared" si="206"/>
        <v>28</v>
      </c>
      <c r="D774">
        <f t="shared" si="207"/>
        <v>7</v>
      </c>
      <c r="E774">
        <f t="shared" si="208"/>
        <v>2023</v>
      </c>
      <c r="F774" s="2">
        <v>3683</v>
      </c>
      <c r="G774" t="s">
        <v>18</v>
      </c>
      <c r="H774" s="4">
        <f>SUMIFS($F$2:$F$2739,$G$2:$G$2739,"Annual Contract",$E$2:$E$2739,2023)/SUMIF($E$2:$E$2739,2023,$F$2:$F$2739)</f>
        <v>0.27687421727474026</v>
      </c>
    </row>
    <row r="775" spans="1:8" x14ac:dyDescent="0.3">
      <c r="A775" t="s">
        <v>10</v>
      </c>
      <c r="B775" s="3">
        <v>45135</v>
      </c>
      <c r="C775">
        <f t="shared" si="206"/>
        <v>28</v>
      </c>
      <c r="D775">
        <f t="shared" si="207"/>
        <v>7</v>
      </c>
      <c r="E775">
        <f t="shared" si="208"/>
        <v>2023</v>
      </c>
      <c r="F775" s="2">
        <v>3848</v>
      </c>
      <c r="G775" t="s">
        <v>19</v>
      </c>
      <c r="H775" s="4">
        <f>SUMIFS($F$2:$F$2739,$G$2:$G$2739,"Multi-year Contract",$E$2:$E$2739,2023)/SUMIF($E$2:$E$2739,2023,$F$2:$F$2739)</f>
        <v>0.5137784540236352</v>
      </c>
    </row>
    <row r="776" spans="1:8" x14ac:dyDescent="0.3">
      <c r="A776" t="s">
        <v>8</v>
      </c>
      <c r="B776" s="3">
        <v>45136</v>
      </c>
      <c r="C776">
        <f t="shared" si="206"/>
        <v>29</v>
      </c>
      <c r="D776">
        <f t="shared" si="207"/>
        <v>7</v>
      </c>
      <c r="E776">
        <f t="shared" si="208"/>
        <v>2023</v>
      </c>
      <c r="F776" s="2">
        <v>2386</v>
      </c>
      <c r="G776" s="2" t="s">
        <v>18</v>
      </c>
      <c r="H776" s="4">
        <f t="shared" ref="H776:H777" si="209">SUMIFS($F$2:$F$2739,$G$2:$G$2739,"Annual Contract",$E$2:$E$2739,2023)/SUMIF($E$2:$E$2739,2023,$F$2:$F$2739)</f>
        <v>0.27687421727474026</v>
      </c>
    </row>
    <row r="777" spans="1:8" x14ac:dyDescent="0.3">
      <c r="A777" t="s">
        <v>6</v>
      </c>
      <c r="B777" s="3">
        <v>45136</v>
      </c>
      <c r="C777">
        <f t="shared" si="206"/>
        <v>29</v>
      </c>
      <c r="D777">
        <f t="shared" si="207"/>
        <v>7</v>
      </c>
      <c r="E777">
        <f t="shared" si="208"/>
        <v>2023</v>
      </c>
      <c r="F777" s="2">
        <v>3855</v>
      </c>
      <c r="G777" t="s">
        <v>18</v>
      </c>
      <c r="H777" s="4">
        <f t="shared" si="209"/>
        <v>0.27687421727474026</v>
      </c>
    </row>
    <row r="778" spans="1:8" x14ac:dyDescent="0.3">
      <c r="A778" t="s">
        <v>10</v>
      </c>
      <c r="B778" s="3">
        <v>45136</v>
      </c>
      <c r="C778">
        <f t="shared" si="206"/>
        <v>29</v>
      </c>
      <c r="D778">
        <f t="shared" si="207"/>
        <v>7</v>
      </c>
      <c r="E778">
        <f t="shared" si="208"/>
        <v>2023</v>
      </c>
      <c r="F778" s="2">
        <v>1847</v>
      </c>
      <c r="G778" t="s">
        <v>19</v>
      </c>
      <c r="H778" s="4">
        <f t="shared" ref="H778:H779" si="210">SUMIFS($F$2:$F$2739,$G$2:$G$2739,"Multi-year Contract",$E$2:$E$2739,2023)/SUMIF($E$2:$E$2739,2023,$F$2:$F$2739)</f>
        <v>0.5137784540236352</v>
      </c>
    </row>
    <row r="779" spans="1:8" x14ac:dyDescent="0.3">
      <c r="A779" t="s">
        <v>3</v>
      </c>
      <c r="B779" s="3">
        <v>45136</v>
      </c>
      <c r="C779">
        <f t="shared" si="206"/>
        <v>29</v>
      </c>
      <c r="D779">
        <f t="shared" si="207"/>
        <v>7</v>
      </c>
      <c r="E779">
        <f t="shared" si="208"/>
        <v>2023</v>
      </c>
      <c r="F779" s="2">
        <v>1350</v>
      </c>
      <c r="G779" t="s">
        <v>19</v>
      </c>
      <c r="H779" s="4">
        <f t="shared" si="210"/>
        <v>0.5137784540236352</v>
      </c>
    </row>
    <row r="780" spans="1:8" x14ac:dyDescent="0.3">
      <c r="A780" t="s">
        <v>8</v>
      </c>
      <c r="B780" s="3">
        <v>45137</v>
      </c>
      <c r="C780">
        <f t="shared" si="206"/>
        <v>30</v>
      </c>
      <c r="D780">
        <f t="shared" si="207"/>
        <v>7</v>
      </c>
      <c r="E780">
        <f t="shared" si="208"/>
        <v>2023</v>
      </c>
      <c r="F780" s="2">
        <v>2681</v>
      </c>
      <c r="G780" s="2" t="s">
        <v>18</v>
      </c>
      <c r="H780" s="4">
        <f>SUMIFS($F$2:$F$2739,$G$2:$G$2739,"Annual Contract",$E$2:$E$2739,2023)/SUMIF($E$2:$E$2739,2023,$F$2:$F$2739)</f>
        <v>0.27687421727474026</v>
      </c>
    </row>
    <row r="781" spans="1:8" x14ac:dyDescent="0.3">
      <c r="A781" t="s">
        <v>3</v>
      </c>
      <c r="B781" s="3">
        <v>45137</v>
      </c>
      <c r="C781">
        <f t="shared" si="206"/>
        <v>30</v>
      </c>
      <c r="D781">
        <f t="shared" si="207"/>
        <v>7</v>
      </c>
      <c r="E781">
        <f t="shared" si="208"/>
        <v>2023</v>
      </c>
      <c r="F781" s="2">
        <v>1533</v>
      </c>
      <c r="G781" t="s">
        <v>19</v>
      </c>
      <c r="H781" s="4">
        <f>SUMIFS($F$2:$F$2739,$G$2:$G$2739,"Multi-year Contract",$E$2:$E$2739,2023)/SUMIF($E$2:$E$2739,2023,$F$2:$F$2739)</f>
        <v>0.5137784540236352</v>
      </c>
    </row>
    <row r="782" spans="1:8" x14ac:dyDescent="0.3">
      <c r="A782" t="s">
        <v>8</v>
      </c>
      <c r="B782" s="3">
        <v>45137</v>
      </c>
      <c r="C782">
        <f t="shared" si="206"/>
        <v>30</v>
      </c>
      <c r="D782">
        <f t="shared" si="207"/>
        <v>7</v>
      </c>
      <c r="E782">
        <f t="shared" si="208"/>
        <v>2023</v>
      </c>
      <c r="F782" s="2">
        <v>3668</v>
      </c>
      <c r="G782" s="2" t="s">
        <v>18</v>
      </c>
      <c r="H782" s="4">
        <f>SUMIFS($F$2:$F$2739,$G$2:$G$2739,"Annual Contract",$E$2:$E$2739,2023)/SUMIF($E$2:$E$2739,2023,$F$2:$F$2739)</f>
        <v>0.27687421727474026</v>
      </c>
    </row>
    <row r="783" spans="1:8" x14ac:dyDescent="0.3">
      <c r="A783" t="s">
        <v>11</v>
      </c>
      <c r="B783" s="3">
        <v>45137</v>
      </c>
      <c r="C783">
        <f t="shared" si="206"/>
        <v>30</v>
      </c>
      <c r="D783">
        <f t="shared" si="207"/>
        <v>7</v>
      </c>
      <c r="E783">
        <f t="shared" si="208"/>
        <v>2023</v>
      </c>
      <c r="F783" s="2">
        <v>3331</v>
      </c>
      <c r="G783" t="s">
        <v>19</v>
      </c>
      <c r="H783" s="4">
        <f>SUMIFS($F$2:$F$2739,$G$2:$G$2739,"Multi-year Contract",$E$2:$E$2739,2023)/SUMIF($E$2:$E$2739,2023,$F$2:$F$2739)</f>
        <v>0.5137784540236352</v>
      </c>
    </row>
    <row r="784" spans="1:8" x14ac:dyDescent="0.3">
      <c r="A784" t="s">
        <v>7</v>
      </c>
      <c r="B784" s="3">
        <v>45137</v>
      </c>
      <c r="C784">
        <f t="shared" si="206"/>
        <v>30</v>
      </c>
      <c r="D784">
        <f t="shared" si="207"/>
        <v>7</v>
      </c>
      <c r="E784">
        <f t="shared" si="208"/>
        <v>2023</v>
      </c>
      <c r="F784" s="2">
        <v>1167</v>
      </c>
      <c r="G784" t="s">
        <v>17</v>
      </c>
      <c r="H784" s="4">
        <f>SUMIFS($F$2:$F$2739,$G$2:$G$2739,"No Contract",$E$2:$E$2739,2023)/SUMIF($E$2:$E$2739,2023,$F$2:$F$2739)</f>
        <v>0.20934732870162456</v>
      </c>
    </row>
    <row r="785" spans="1:8" x14ac:dyDescent="0.3">
      <c r="A785" t="s">
        <v>8</v>
      </c>
      <c r="B785" s="3">
        <v>45138</v>
      </c>
      <c r="C785">
        <f t="shared" si="206"/>
        <v>31</v>
      </c>
      <c r="D785">
        <f t="shared" si="207"/>
        <v>7</v>
      </c>
      <c r="E785">
        <f t="shared" si="208"/>
        <v>2023</v>
      </c>
      <c r="F785" s="2">
        <v>3274</v>
      </c>
      <c r="G785" s="2" t="s">
        <v>18</v>
      </c>
      <c r="H785" s="4">
        <f t="shared" ref="H785:H786" si="211">SUMIFS($F$2:$F$2739,$G$2:$G$2739,"Annual Contract",$E$2:$E$2739,2023)/SUMIF($E$2:$E$2739,2023,$F$2:$F$2739)</f>
        <v>0.27687421727474026</v>
      </c>
    </row>
    <row r="786" spans="1:8" x14ac:dyDescent="0.3">
      <c r="A786" t="s">
        <v>5</v>
      </c>
      <c r="B786" s="3">
        <v>45138</v>
      </c>
      <c r="C786">
        <f t="shared" si="206"/>
        <v>31</v>
      </c>
      <c r="D786">
        <f t="shared" si="207"/>
        <v>7</v>
      </c>
      <c r="E786">
        <f t="shared" si="208"/>
        <v>2023</v>
      </c>
      <c r="F786" s="2">
        <v>1549</v>
      </c>
      <c r="G786" t="s">
        <v>18</v>
      </c>
      <c r="H786" s="4">
        <f t="shared" si="211"/>
        <v>0.27687421727474026</v>
      </c>
    </row>
    <row r="787" spans="1:8" x14ac:dyDescent="0.3">
      <c r="A787" t="s">
        <v>12</v>
      </c>
      <c r="B787" s="3">
        <v>45138</v>
      </c>
      <c r="C787">
        <f t="shared" si="206"/>
        <v>31</v>
      </c>
      <c r="D787">
        <f t="shared" si="207"/>
        <v>7</v>
      </c>
      <c r="E787">
        <f t="shared" si="208"/>
        <v>2023</v>
      </c>
      <c r="F787" s="2">
        <v>2421</v>
      </c>
      <c r="G787" s="2" t="s">
        <v>19</v>
      </c>
      <c r="H787" s="4">
        <f t="shared" ref="H787:H794" si="212">SUMIFS($F$2:$F$2739,$G$2:$G$2739,"Multi-year Contract",$E$2:$E$2739,2023)/SUMIF($E$2:$E$2739,2023,$F$2:$F$2739)</f>
        <v>0.5137784540236352</v>
      </c>
    </row>
    <row r="788" spans="1:8" x14ac:dyDescent="0.3">
      <c r="A788" t="s">
        <v>3</v>
      </c>
      <c r="B788" s="3">
        <v>45138</v>
      </c>
      <c r="C788">
        <f t="shared" si="206"/>
        <v>31</v>
      </c>
      <c r="D788">
        <f t="shared" si="207"/>
        <v>7</v>
      </c>
      <c r="E788">
        <f t="shared" si="208"/>
        <v>2023</v>
      </c>
      <c r="F788" s="2">
        <v>881</v>
      </c>
      <c r="G788" t="s">
        <v>19</v>
      </c>
      <c r="H788" s="4">
        <f t="shared" si="212"/>
        <v>0.5137784540236352</v>
      </c>
    </row>
    <row r="789" spans="1:8" x14ac:dyDescent="0.3">
      <c r="A789" t="s">
        <v>11</v>
      </c>
      <c r="B789" s="3">
        <v>45138</v>
      </c>
      <c r="C789">
        <f t="shared" si="206"/>
        <v>31</v>
      </c>
      <c r="D789">
        <f t="shared" si="207"/>
        <v>7</v>
      </c>
      <c r="E789">
        <f t="shared" si="208"/>
        <v>2023</v>
      </c>
      <c r="F789" s="2">
        <v>3584</v>
      </c>
      <c r="G789" t="s">
        <v>19</v>
      </c>
      <c r="H789" s="4">
        <f t="shared" si="212"/>
        <v>0.5137784540236352</v>
      </c>
    </row>
    <row r="790" spans="1:8" x14ac:dyDescent="0.3">
      <c r="A790" t="s">
        <v>12</v>
      </c>
      <c r="B790" s="3">
        <v>45138</v>
      </c>
      <c r="C790">
        <f t="shared" si="206"/>
        <v>31</v>
      </c>
      <c r="D790">
        <f t="shared" si="207"/>
        <v>7</v>
      </c>
      <c r="E790">
        <f t="shared" si="208"/>
        <v>2023</v>
      </c>
      <c r="F790" s="2">
        <v>3459</v>
      </c>
      <c r="G790" s="2" t="s">
        <v>19</v>
      </c>
      <c r="H790" s="4">
        <f t="shared" si="212"/>
        <v>0.5137784540236352</v>
      </c>
    </row>
    <row r="791" spans="1:8" x14ac:dyDescent="0.3">
      <c r="A791" t="s">
        <v>3</v>
      </c>
      <c r="B791" s="3">
        <v>45138</v>
      </c>
      <c r="C791">
        <f t="shared" si="206"/>
        <v>31</v>
      </c>
      <c r="D791">
        <f t="shared" si="207"/>
        <v>7</v>
      </c>
      <c r="E791">
        <f t="shared" si="208"/>
        <v>2023</v>
      </c>
      <c r="F791" s="2">
        <v>3650</v>
      </c>
      <c r="G791" t="s">
        <v>19</v>
      </c>
      <c r="H791" s="4">
        <f t="shared" si="212"/>
        <v>0.5137784540236352</v>
      </c>
    </row>
    <row r="792" spans="1:8" x14ac:dyDescent="0.3">
      <c r="A792" t="s">
        <v>12</v>
      </c>
      <c r="B792" s="3">
        <v>45139</v>
      </c>
      <c r="C792">
        <f t="shared" si="206"/>
        <v>1</v>
      </c>
      <c r="D792">
        <f t="shared" si="207"/>
        <v>8</v>
      </c>
      <c r="E792">
        <f t="shared" si="208"/>
        <v>2023</v>
      </c>
      <c r="F792" s="2">
        <v>2060</v>
      </c>
      <c r="G792" s="2" t="s">
        <v>19</v>
      </c>
      <c r="H792" s="4">
        <f t="shared" si="212"/>
        <v>0.5137784540236352</v>
      </c>
    </row>
    <row r="793" spans="1:8" x14ac:dyDescent="0.3">
      <c r="A793" t="s">
        <v>3</v>
      </c>
      <c r="B793" s="3">
        <v>45139</v>
      </c>
      <c r="C793">
        <f t="shared" si="206"/>
        <v>1</v>
      </c>
      <c r="D793">
        <f t="shared" si="207"/>
        <v>8</v>
      </c>
      <c r="E793">
        <f t="shared" si="208"/>
        <v>2023</v>
      </c>
      <c r="F793" s="2">
        <v>1247</v>
      </c>
      <c r="G793" t="s">
        <v>19</v>
      </c>
      <c r="H793" s="4">
        <f t="shared" si="212"/>
        <v>0.5137784540236352</v>
      </c>
    </row>
    <row r="794" spans="1:8" x14ac:dyDescent="0.3">
      <c r="A794" t="s">
        <v>10</v>
      </c>
      <c r="B794" s="3">
        <v>45139</v>
      </c>
      <c r="C794">
        <f t="shared" si="206"/>
        <v>1</v>
      </c>
      <c r="D794">
        <f t="shared" si="207"/>
        <v>8</v>
      </c>
      <c r="E794">
        <f t="shared" si="208"/>
        <v>2023</v>
      </c>
      <c r="F794" s="2">
        <v>2155</v>
      </c>
      <c r="G794" t="s">
        <v>19</v>
      </c>
      <c r="H794" s="4">
        <f t="shared" si="212"/>
        <v>0.5137784540236352</v>
      </c>
    </row>
    <row r="795" spans="1:8" x14ac:dyDescent="0.3">
      <c r="A795" t="s">
        <v>7</v>
      </c>
      <c r="B795" s="3">
        <v>45140</v>
      </c>
      <c r="C795">
        <f t="shared" si="206"/>
        <v>2</v>
      </c>
      <c r="D795">
        <f t="shared" si="207"/>
        <v>8</v>
      </c>
      <c r="E795">
        <f t="shared" si="208"/>
        <v>2023</v>
      </c>
      <c r="F795" s="2">
        <v>1199</v>
      </c>
      <c r="G795" t="s">
        <v>17</v>
      </c>
      <c r="H795" s="4">
        <f>SUMIFS($F$2:$F$2739,$G$2:$G$2739,"No Contract",$E$2:$E$2739,2023)/SUMIF($E$2:$E$2739,2023,$F$2:$F$2739)</f>
        <v>0.20934732870162456</v>
      </c>
    </row>
    <row r="796" spans="1:8" x14ac:dyDescent="0.3">
      <c r="A796" t="s">
        <v>5</v>
      </c>
      <c r="B796" s="3">
        <v>45140</v>
      </c>
      <c r="C796">
        <f t="shared" si="206"/>
        <v>2</v>
      </c>
      <c r="D796">
        <f t="shared" si="207"/>
        <v>8</v>
      </c>
      <c r="E796">
        <f t="shared" si="208"/>
        <v>2023</v>
      </c>
      <c r="F796" s="2">
        <v>1026</v>
      </c>
      <c r="G796" t="s">
        <v>18</v>
      </c>
      <c r="H796" s="4">
        <f t="shared" ref="H796:H797" si="213">SUMIFS($F$2:$F$2739,$G$2:$G$2739,"Annual Contract",$E$2:$E$2739,2023)/SUMIF($E$2:$E$2739,2023,$F$2:$F$2739)</f>
        <v>0.27687421727474026</v>
      </c>
    </row>
    <row r="797" spans="1:8" x14ac:dyDescent="0.3">
      <c r="A797" t="s">
        <v>5</v>
      </c>
      <c r="B797" s="3">
        <v>45140</v>
      </c>
      <c r="C797">
        <f t="shared" si="206"/>
        <v>2</v>
      </c>
      <c r="D797">
        <f t="shared" si="207"/>
        <v>8</v>
      </c>
      <c r="E797">
        <f t="shared" si="208"/>
        <v>2023</v>
      </c>
      <c r="F797" s="2">
        <v>3876</v>
      </c>
      <c r="G797" t="s">
        <v>18</v>
      </c>
      <c r="H797" s="4">
        <f t="shared" si="213"/>
        <v>0.27687421727474026</v>
      </c>
    </row>
    <row r="798" spans="1:8" x14ac:dyDescent="0.3">
      <c r="A798" t="s">
        <v>11</v>
      </c>
      <c r="B798" s="3">
        <v>45140</v>
      </c>
      <c r="C798">
        <f t="shared" si="206"/>
        <v>2</v>
      </c>
      <c r="D798">
        <f t="shared" si="207"/>
        <v>8</v>
      </c>
      <c r="E798">
        <f t="shared" si="208"/>
        <v>2023</v>
      </c>
      <c r="F798" s="2">
        <v>1012</v>
      </c>
      <c r="G798" t="s">
        <v>19</v>
      </c>
      <c r="H798" s="4">
        <f t="shared" ref="H798:H800" si="214">SUMIFS($F$2:$F$2739,$G$2:$G$2739,"Multi-year Contract",$E$2:$E$2739,2023)/SUMIF($E$2:$E$2739,2023,$F$2:$F$2739)</f>
        <v>0.5137784540236352</v>
      </c>
    </row>
    <row r="799" spans="1:8" x14ac:dyDescent="0.3">
      <c r="A799" t="s">
        <v>3</v>
      </c>
      <c r="B799" s="3">
        <v>45140</v>
      </c>
      <c r="C799">
        <f t="shared" si="206"/>
        <v>2</v>
      </c>
      <c r="D799">
        <f t="shared" si="207"/>
        <v>8</v>
      </c>
      <c r="E799">
        <f t="shared" si="208"/>
        <v>2023</v>
      </c>
      <c r="F799" s="2">
        <v>850</v>
      </c>
      <c r="G799" t="s">
        <v>19</v>
      </c>
      <c r="H799" s="4">
        <f t="shared" si="214"/>
        <v>0.5137784540236352</v>
      </c>
    </row>
    <row r="800" spans="1:8" x14ac:dyDescent="0.3">
      <c r="A800" t="s">
        <v>11</v>
      </c>
      <c r="B800" s="3">
        <v>45140</v>
      </c>
      <c r="C800">
        <f t="shared" si="206"/>
        <v>2</v>
      </c>
      <c r="D800">
        <f t="shared" si="207"/>
        <v>8</v>
      </c>
      <c r="E800">
        <f t="shared" si="208"/>
        <v>2023</v>
      </c>
      <c r="F800" s="2">
        <v>3635</v>
      </c>
      <c r="G800" t="s">
        <v>19</v>
      </c>
      <c r="H800" s="4">
        <f t="shared" si="214"/>
        <v>0.5137784540236352</v>
      </c>
    </row>
    <row r="801" spans="1:8" x14ac:dyDescent="0.3">
      <c r="A801" t="s">
        <v>7</v>
      </c>
      <c r="B801" s="3">
        <v>45140</v>
      </c>
      <c r="C801">
        <f t="shared" si="206"/>
        <v>2</v>
      </c>
      <c r="D801">
        <f t="shared" si="207"/>
        <v>8</v>
      </c>
      <c r="E801">
        <f t="shared" si="208"/>
        <v>2023</v>
      </c>
      <c r="F801" s="2">
        <v>2679</v>
      </c>
      <c r="G801" t="s">
        <v>17</v>
      </c>
      <c r="H801" s="4">
        <f t="shared" ref="H801:H803" si="215">SUMIFS($F$2:$F$2739,$G$2:$G$2739,"No Contract",$E$2:$E$2739,2023)/SUMIF($E$2:$E$2739,2023,$F$2:$F$2739)</f>
        <v>0.20934732870162456</v>
      </c>
    </row>
    <row r="802" spans="1:8" x14ac:dyDescent="0.3">
      <c r="A802" t="s">
        <v>7</v>
      </c>
      <c r="B802" s="3">
        <v>45141</v>
      </c>
      <c r="C802">
        <f t="shared" si="206"/>
        <v>3</v>
      </c>
      <c r="D802">
        <f t="shared" si="207"/>
        <v>8</v>
      </c>
      <c r="E802">
        <f t="shared" si="208"/>
        <v>2023</v>
      </c>
      <c r="F802" s="2">
        <v>2467</v>
      </c>
      <c r="G802" t="s">
        <v>17</v>
      </c>
      <c r="H802" s="4">
        <f t="shared" si="215"/>
        <v>0.20934732870162456</v>
      </c>
    </row>
    <row r="803" spans="1:8" x14ac:dyDescent="0.3">
      <c r="A803" t="s">
        <v>9</v>
      </c>
      <c r="B803" s="3">
        <v>45141</v>
      </c>
      <c r="C803">
        <f t="shared" si="206"/>
        <v>3</v>
      </c>
      <c r="D803">
        <f t="shared" si="207"/>
        <v>8</v>
      </c>
      <c r="E803">
        <f t="shared" si="208"/>
        <v>2023</v>
      </c>
      <c r="F803" s="2">
        <v>3824</v>
      </c>
      <c r="G803" t="s">
        <v>17</v>
      </c>
      <c r="H803" s="4">
        <f t="shared" si="215"/>
        <v>0.20934732870162456</v>
      </c>
    </row>
    <row r="804" spans="1:8" x14ac:dyDescent="0.3">
      <c r="A804" t="s">
        <v>5</v>
      </c>
      <c r="B804" s="3">
        <v>45142</v>
      </c>
      <c r="C804">
        <f t="shared" si="206"/>
        <v>4</v>
      </c>
      <c r="D804">
        <f t="shared" si="207"/>
        <v>8</v>
      </c>
      <c r="E804">
        <f t="shared" si="208"/>
        <v>2023</v>
      </c>
      <c r="F804" s="2">
        <v>1712</v>
      </c>
      <c r="G804" t="s">
        <v>18</v>
      </c>
      <c r="H804" s="4">
        <f t="shared" ref="H804:H805" si="216">SUMIFS($F$2:$F$2739,$G$2:$G$2739,"Annual Contract",$E$2:$E$2739,2023)/SUMIF($E$2:$E$2739,2023,$F$2:$F$2739)</f>
        <v>0.27687421727474026</v>
      </c>
    </row>
    <row r="805" spans="1:8" x14ac:dyDescent="0.3">
      <c r="A805" t="s">
        <v>5</v>
      </c>
      <c r="B805" s="3">
        <v>45142</v>
      </c>
      <c r="C805">
        <f t="shared" si="206"/>
        <v>4</v>
      </c>
      <c r="D805">
        <f t="shared" si="207"/>
        <v>8</v>
      </c>
      <c r="E805">
        <f t="shared" si="208"/>
        <v>2023</v>
      </c>
      <c r="F805" s="2">
        <v>2917</v>
      </c>
      <c r="G805" t="s">
        <v>18</v>
      </c>
      <c r="H805" s="4">
        <f t="shared" si="216"/>
        <v>0.27687421727474026</v>
      </c>
    </row>
    <row r="806" spans="1:8" x14ac:dyDescent="0.3">
      <c r="A806" t="s">
        <v>7</v>
      </c>
      <c r="B806" s="3">
        <v>45142</v>
      </c>
      <c r="C806">
        <f t="shared" si="206"/>
        <v>4</v>
      </c>
      <c r="D806">
        <f t="shared" si="207"/>
        <v>8</v>
      </c>
      <c r="E806">
        <f t="shared" si="208"/>
        <v>2023</v>
      </c>
      <c r="F806" s="2">
        <v>2205</v>
      </c>
      <c r="G806" t="s">
        <v>17</v>
      </c>
      <c r="H806" s="4">
        <f t="shared" ref="H806:H807" si="217">SUMIFS($F$2:$F$2739,$G$2:$G$2739,"No Contract",$E$2:$E$2739,2023)/SUMIF($E$2:$E$2739,2023,$F$2:$F$2739)</f>
        <v>0.20934732870162456</v>
      </c>
    </row>
    <row r="807" spans="1:8" x14ac:dyDescent="0.3">
      <c r="A807" t="s">
        <v>9</v>
      </c>
      <c r="B807" s="3">
        <v>45143</v>
      </c>
      <c r="C807">
        <f t="shared" si="206"/>
        <v>5</v>
      </c>
      <c r="D807">
        <f t="shared" si="207"/>
        <v>8</v>
      </c>
      <c r="E807">
        <f t="shared" si="208"/>
        <v>2023</v>
      </c>
      <c r="F807" s="2">
        <v>2542</v>
      </c>
      <c r="G807" t="s">
        <v>17</v>
      </c>
      <c r="H807" s="4">
        <f t="shared" si="217"/>
        <v>0.20934732870162456</v>
      </c>
    </row>
    <row r="808" spans="1:8" x14ac:dyDescent="0.3">
      <c r="A808" t="s">
        <v>11</v>
      </c>
      <c r="B808" s="3">
        <v>45143</v>
      </c>
      <c r="C808">
        <f t="shared" si="206"/>
        <v>5</v>
      </c>
      <c r="D808">
        <f t="shared" si="207"/>
        <v>8</v>
      </c>
      <c r="E808">
        <f t="shared" si="208"/>
        <v>2023</v>
      </c>
      <c r="F808" s="2">
        <v>2814</v>
      </c>
      <c r="G808" t="s">
        <v>19</v>
      </c>
      <c r="H808" s="4">
        <f>SUMIFS($F$2:$F$2739,$G$2:$G$2739,"Multi-year Contract",$E$2:$E$2739,2023)/SUMIF($E$2:$E$2739,2023,$F$2:$F$2739)</f>
        <v>0.5137784540236352</v>
      </c>
    </row>
    <row r="809" spans="1:8" x14ac:dyDescent="0.3">
      <c r="A809" t="s">
        <v>5</v>
      </c>
      <c r="B809" s="3">
        <v>45143</v>
      </c>
      <c r="C809">
        <f t="shared" si="206"/>
        <v>5</v>
      </c>
      <c r="D809">
        <f t="shared" si="207"/>
        <v>8</v>
      </c>
      <c r="E809">
        <f t="shared" si="208"/>
        <v>2023</v>
      </c>
      <c r="F809" s="2">
        <v>1476</v>
      </c>
      <c r="G809" t="s">
        <v>18</v>
      </c>
      <c r="H809" s="4">
        <f>SUMIFS($F$2:$F$2739,$G$2:$G$2739,"Annual Contract",$E$2:$E$2739,2023)/SUMIF($E$2:$E$2739,2023,$F$2:$F$2739)</f>
        <v>0.27687421727474026</v>
      </c>
    </row>
    <row r="810" spans="1:8" x14ac:dyDescent="0.3">
      <c r="A810" t="s">
        <v>12</v>
      </c>
      <c r="B810" s="3">
        <v>45143</v>
      </c>
      <c r="C810">
        <f t="shared" si="206"/>
        <v>5</v>
      </c>
      <c r="D810">
        <f t="shared" si="207"/>
        <v>8</v>
      </c>
      <c r="E810">
        <f t="shared" si="208"/>
        <v>2023</v>
      </c>
      <c r="F810" s="2">
        <v>1728</v>
      </c>
      <c r="G810" s="2" t="s">
        <v>19</v>
      </c>
      <c r="H810" s="4">
        <f t="shared" ref="H810:H815" si="218">SUMIFS($F$2:$F$2739,$G$2:$G$2739,"Multi-year Contract",$E$2:$E$2739,2023)/SUMIF($E$2:$E$2739,2023,$F$2:$F$2739)</f>
        <v>0.5137784540236352</v>
      </c>
    </row>
    <row r="811" spans="1:8" x14ac:dyDescent="0.3">
      <c r="A811" t="s">
        <v>4</v>
      </c>
      <c r="B811" s="3">
        <v>45143</v>
      </c>
      <c r="C811">
        <f t="shared" si="206"/>
        <v>5</v>
      </c>
      <c r="D811">
        <f t="shared" si="207"/>
        <v>8</v>
      </c>
      <c r="E811">
        <f t="shared" si="208"/>
        <v>2023</v>
      </c>
      <c r="F811" s="2">
        <v>3188</v>
      </c>
      <c r="G811" s="2" t="s">
        <v>19</v>
      </c>
      <c r="H811" s="4">
        <f t="shared" si="218"/>
        <v>0.5137784540236352</v>
      </c>
    </row>
    <row r="812" spans="1:8" x14ac:dyDescent="0.3">
      <c r="A812" t="s">
        <v>12</v>
      </c>
      <c r="B812" s="3">
        <v>45144</v>
      </c>
      <c r="C812">
        <f t="shared" si="206"/>
        <v>6</v>
      </c>
      <c r="D812">
        <f t="shared" si="207"/>
        <v>8</v>
      </c>
      <c r="E812">
        <f t="shared" si="208"/>
        <v>2023</v>
      </c>
      <c r="F812" s="2">
        <v>3809</v>
      </c>
      <c r="G812" s="2" t="s">
        <v>19</v>
      </c>
      <c r="H812" s="4">
        <f t="shared" si="218"/>
        <v>0.5137784540236352</v>
      </c>
    </row>
    <row r="813" spans="1:8" x14ac:dyDescent="0.3">
      <c r="A813" t="s">
        <v>4</v>
      </c>
      <c r="B813" s="3">
        <v>45145</v>
      </c>
      <c r="C813">
        <f t="shared" si="206"/>
        <v>7</v>
      </c>
      <c r="D813">
        <f t="shared" si="207"/>
        <v>8</v>
      </c>
      <c r="E813">
        <f t="shared" si="208"/>
        <v>2023</v>
      </c>
      <c r="F813" s="2">
        <v>2485</v>
      </c>
      <c r="G813" s="2" t="s">
        <v>19</v>
      </c>
      <c r="H813" s="4">
        <f t="shared" si="218"/>
        <v>0.5137784540236352</v>
      </c>
    </row>
    <row r="814" spans="1:8" x14ac:dyDescent="0.3">
      <c r="A814" t="s">
        <v>10</v>
      </c>
      <c r="B814" s="3">
        <v>45145</v>
      </c>
      <c r="C814">
        <f t="shared" si="206"/>
        <v>7</v>
      </c>
      <c r="D814">
        <f t="shared" si="207"/>
        <v>8</v>
      </c>
      <c r="E814">
        <f t="shared" si="208"/>
        <v>2023</v>
      </c>
      <c r="F814" s="2">
        <v>2397</v>
      </c>
      <c r="G814" t="s">
        <v>19</v>
      </c>
      <c r="H814" s="4">
        <f t="shared" si="218"/>
        <v>0.5137784540236352</v>
      </c>
    </row>
    <row r="815" spans="1:8" x14ac:dyDescent="0.3">
      <c r="A815" t="s">
        <v>10</v>
      </c>
      <c r="B815" s="3">
        <v>45145</v>
      </c>
      <c r="C815">
        <f t="shared" si="206"/>
        <v>7</v>
      </c>
      <c r="D815">
        <f t="shared" si="207"/>
        <v>8</v>
      </c>
      <c r="E815">
        <f t="shared" si="208"/>
        <v>2023</v>
      </c>
      <c r="F815" s="2">
        <v>855</v>
      </c>
      <c r="G815" t="s">
        <v>19</v>
      </c>
      <c r="H815" s="4">
        <f t="shared" si="218"/>
        <v>0.5137784540236352</v>
      </c>
    </row>
    <row r="816" spans="1:8" x14ac:dyDescent="0.3">
      <c r="A816" t="s">
        <v>7</v>
      </c>
      <c r="B816" s="3">
        <v>45145</v>
      </c>
      <c r="C816">
        <f t="shared" si="206"/>
        <v>7</v>
      </c>
      <c r="D816">
        <f t="shared" si="207"/>
        <v>8</v>
      </c>
      <c r="E816">
        <f t="shared" si="208"/>
        <v>2023</v>
      </c>
      <c r="F816" s="2">
        <v>1887</v>
      </c>
      <c r="G816" t="s">
        <v>17</v>
      </c>
      <c r="H816" s="4">
        <f t="shared" ref="H816:H817" si="219">SUMIFS($F$2:$F$2739,$G$2:$G$2739,"No Contract",$E$2:$E$2739,2023)/SUMIF($E$2:$E$2739,2023,$F$2:$F$2739)</f>
        <v>0.20934732870162456</v>
      </c>
    </row>
    <row r="817" spans="1:8" x14ac:dyDescent="0.3">
      <c r="A817" t="s">
        <v>7</v>
      </c>
      <c r="B817" s="3">
        <v>45145</v>
      </c>
      <c r="C817">
        <f t="shared" si="206"/>
        <v>7</v>
      </c>
      <c r="D817">
        <f t="shared" si="207"/>
        <v>8</v>
      </c>
      <c r="E817">
        <f t="shared" si="208"/>
        <v>2023</v>
      </c>
      <c r="F817" s="2">
        <v>825</v>
      </c>
      <c r="G817" t="s">
        <v>17</v>
      </c>
      <c r="H817" s="4">
        <f t="shared" si="219"/>
        <v>0.20934732870162456</v>
      </c>
    </row>
    <row r="818" spans="1:8" x14ac:dyDescent="0.3">
      <c r="A818" t="s">
        <v>8</v>
      </c>
      <c r="B818" s="3">
        <v>45145</v>
      </c>
      <c r="C818">
        <f t="shared" si="206"/>
        <v>7</v>
      </c>
      <c r="D818">
        <f t="shared" si="207"/>
        <v>8</v>
      </c>
      <c r="E818">
        <f t="shared" si="208"/>
        <v>2023</v>
      </c>
      <c r="F818" s="2">
        <v>2089</v>
      </c>
      <c r="G818" s="2" t="s">
        <v>18</v>
      </c>
      <c r="H818" s="4">
        <f>SUMIFS($F$2:$F$2739,$G$2:$G$2739,"Annual Contract",$E$2:$E$2739,2023)/SUMIF($E$2:$E$2739,2023,$F$2:$F$2739)</f>
        <v>0.27687421727474026</v>
      </c>
    </row>
    <row r="819" spans="1:8" x14ac:dyDescent="0.3">
      <c r="A819" t="s">
        <v>7</v>
      </c>
      <c r="B819" s="3">
        <v>45146</v>
      </c>
      <c r="C819">
        <f t="shared" si="206"/>
        <v>8</v>
      </c>
      <c r="D819">
        <f t="shared" si="207"/>
        <v>8</v>
      </c>
      <c r="E819">
        <f t="shared" si="208"/>
        <v>2023</v>
      </c>
      <c r="F819" s="2">
        <v>3567</v>
      </c>
      <c r="G819" t="s">
        <v>17</v>
      </c>
      <c r="H819" s="4">
        <f>SUMIFS($F$2:$F$2739,$G$2:$G$2739,"No Contract",$E$2:$E$2739,2023)/SUMIF($E$2:$E$2739,2023,$F$2:$F$2739)</f>
        <v>0.20934732870162456</v>
      </c>
    </row>
    <row r="820" spans="1:8" x14ac:dyDescent="0.3">
      <c r="A820" t="s">
        <v>8</v>
      </c>
      <c r="B820" s="3">
        <v>45146</v>
      </c>
      <c r="C820">
        <f t="shared" si="206"/>
        <v>8</v>
      </c>
      <c r="D820">
        <f t="shared" si="207"/>
        <v>8</v>
      </c>
      <c r="E820">
        <f t="shared" si="208"/>
        <v>2023</v>
      </c>
      <c r="F820" s="2">
        <v>3688</v>
      </c>
      <c r="G820" s="2" t="s">
        <v>18</v>
      </c>
      <c r="H820" s="4">
        <f>SUMIFS($F$2:$F$2739,$G$2:$G$2739,"Annual Contract",$E$2:$E$2739,2023)/SUMIF($E$2:$E$2739,2023,$F$2:$F$2739)</f>
        <v>0.27687421727474026</v>
      </c>
    </row>
    <row r="821" spans="1:8" x14ac:dyDescent="0.3">
      <c r="A821" t="s">
        <v>12</v>
      </c>
      <c r="B821" s="3">
        <v>45146</v>
      </c>
      <c r="C821">
        <f t="shared" si="206"/>
        <v>8</v>
      </c>
      <c r="D821">
        <f t="shared" si="207"/>
        <v>8</v>
      </c>
      <c r="E821">
        <f t="shared" si="208"/>
        <v>2023</v>
      </c>
      <c r="F821" s="2">
        <v>791</v>
      </c>
      <c r="G821" s="2" t="s">
        <v>19</v>
      </c>
      <c r="H821" s="4">
        <f>SUMIFS($F$2:$F$2739,$G$2:$G$2739,"Multi-year Contract",$E$2:$E$2739,2023)/SUMIF($E$2:$E$2739,2023,$F$2:$F$2739)</f>
        <v>0.5137784540236352</v>
      </c>
    </row>
    <row r="822" spans="1:8" x14ac:dyDescent="0.3">
      <c r="A822" t="s">
        <v>9</v>
      </c>
      <c r="B822" s="3">
        <v>45147</v>
      </c>
      <c r="C822">
        <f t="shared" si="206"/>
        <v>9</v>
      </c>
      <c r="D822">
        <f t="shared" si="207"/>
        <v>8</v>
      </c>
      <c r="E822">
        <f t="shared" si="208"/>
        <v>2023</v>
      </c>
      <c r="F822" s="2">
        <v>2370</v>
      </c>
      <c r="G822" t="s">
        <v>17</v>
      </c>
      <c r="H822" s="4">
        <f t="shared" ref="H822:H823" si="220">SUMIFS($F$2:$F$2739,$G$2:$G$2739,"No Contract",$E$2:$E$2739,2023)/SUMIF($E$2:$E$2739,2023,$F$2:$F$2739)</f>
        <v>0.20934732870162456</v>
      </c>
    </row>
    <row r="823" spans="1:8" x14ac:dyDescent="0.3">
      <c r="A823" t="s">
        <v>7</v>
      </c>
      <c r="B823" s="3">
        <v>45147</v>
      </c>
      <c r="C823">
        <f t="shared" si="206"/>
        <v>9</v>
      </c>
      <c r="D823">
        <f t="shared" si="207"/>
        <v>8</v>
      </c>
      <c r="E823">
        <f t="shared" si="208"/>
        <v>2023</v>
      </c>
      <c r="F823" s="2">
        <v>1793</v>
      </c>
      <c r="G823" t="s">
        <v>17</v>
      </c>
      <c r="H823" s="4">
        <f t="shared" si="220"/>
        <v>0.20934732870162456</v>
      </c>
    </row>
    <row r="824" spans="1:8" x14ac:dyDescent="0.3">
      <c r="A824" t="s">
        <v>8</v>
      </c>
      <c r="B824" s="3">
        <v>45147</v>
      </c>
      <c r="C824">
        <f t="shared" si="206"/>
        <v>9</v>
      </c>
      <c r="D824">
        <f t="shared" si="207"/>
        <v>8</v>
      </c>
      <c r="E824">
        <f t="shared" si="208"/>
        <v>2023</v>
      </c>
      <c r="F824" s="2">
        <v>1940</v>
      </c>
      <c r="G824" s="2" t="s">
        <v>18</v>
      </c>
      <c r="H824" s="4">
        <f>SUMIFS($F$2:$F$2739,$G$2:$G$2739,"Annual Contract",$E$2:$E$2739,2023)/SUMIF($E$2:$E$2739,2023,$F$2:$F$2739)</f>
        <v>0.27687421727474026</v>
      </c>
    </row>
    <row r="825" spans="1:8" x14ac:dyDescent="0.3">
      <c r="A825" t="s">
        <v>10</v>
      </c>
      <c r="B825" s="3">
        <v>45147</v>
      </c>
      <c r="C825">
        <f t="shared" si="206"/>
        <v>9</v>
      </c>
      <c r="D825">
        <f t="shared" si="207"/>
        <v>8</v>
      </c>
      <c r="E825">
        <f t="shared" si="208"/>
        <v>2023</v>
      </c>
      <c r="F825" s="2">
        <v>995</v>
      </c>
      <c r="G825" t="s">
        <v>19</v>
      </c>
      <c r="H825" s="4">
        <f t="shared" ref="H825:H827" si="221">SUMIFS($F$2:$F$2739,$G$2:$G$2739,"Multi-year Contract",$E$2:$E$2739,2023)/SUMIF($E$2:$E$2739,2023,$F$2:$F$2739)</f>
        <v>0.5137784540236352</v>
      </c>
    </row>
    <row r="826" spans="1:8" x14ac:dyDescent="0.3">
      <c r="A826" t="s">
        <v>11</v>
      </c>
      <c r="B826" s="3">
        <v>45147</v>
      </c>
      <c r="C826">
        <f t="shared" si="206"/>
        <v>9</v>
      </c>
      <c r="D826">
        <f t="shared" si="207"/>
        <v>8</v>
      </c>
      <c r="E826">
        <f t="shared" si="208"/>
        <v>2023</v>
      </c>
      <c r="F826" s="2">
        <v>1513</v>
      </c>
      <c r="G826" t="s">
        <v>19</v>
      </c>
      <c r="H826" s="4">
        <f t="shared" si="221"/>
        <v>0.5137784540236352</v>
      </c>
    </row>
    <row r="827" spans="1:8" x14ac:dyDescent="0.3">
      <c r="A827" t="s">
        <v>4</v>
      </c>
      <c r="B827" s="3">
        <v>45148</v>
      </c>
      <c r="C827">
        <f t="shared" si="206"/>
        <v>10</v>
      </c>
      <c r="D827">
        <f t="shared" si="207"/>
        <v>8</v>
      </c>
      <c r="E827">
        <f t="shared" si="208"/>
        <v>2023</v>
      </c>
      <c r="F827" s="2">
        <v>2118</v>
      </c>
      <c r="G827" s="2" t="s">
        <v>19</v>
      </c>
      <c r="H827" s="4">
        <f t="shared" si="221"/>
        <v>0.5137784540236352</v>
      </c>
    </row>
    <row r="828" spans="1:8" x14ac:dyDescent="0.3">
      <c r="A828" t="s">
        <v>9</v>
      </c>
      <c r="B828" s="3">
        <v>45148</v>
      </c>
      <c r="C828">
        <f t="shared" si="206"/>
        <v>10</v>
      </c>
      <c r="D828">
        <f t="shared" si="207"/>
        <v>8</v>
      </c>
      <c r="E828">
        <f t="shared" si="208"/>
        <v>2023</v>
      </c>
      <c r="F828" s="2">
        <v>3604</v>
      </c>
      <c r="G828" t="s">
        <v>17</v>
      </c>
      <c r="H828" s="4">
        <f>SUMIFS($F$2:$F$2739,$G$2:$G$2739,"No Contract",$E$2:$E$2739,2023)/SUMIF($E$2:$E$2739,2023,$F$2:$F$2739)</f>
        <v>0.20934732870162456</v>
      </c>
    </row>
    <row r="829" spans="1:8" x14ac:dyDescent="0.3">
      <c r="A829" t="s">
        <v>5</v>
      </c>
      <c r="B829" s="3">
        <v>45148</v>
      </c>
      <c r="C829">
        <f t="shared" si="206"/>
        <v>10</v>
      </c>
      <c r="D829">
        <f t="shared" si="207"/>
        <v>8</v>
      </c>
      <c r="E829">
        <f t="shared" si="208"/>
        <v>2023</v>
      </c>
      <c r="F829" s="2">
        <v>1878</v>
      </c>
      <c r="G829" t="s">
        <v>18</v>
      </c>
      <c r="H829" s="4">
        <f t="shared" ref="H829:H830" si="222">SUMIFS($F$2:$F$2739,$G$2:$G$2739,"Annual Contract",$E$2:$E$2739,2023)/SUMIF($E$2:$E$2739,2023,$F$2:$F$2739)</f>
        <v>0.27687421727474026</v>
      </c>
    </row>
    <row r="830" spans="1:8" x14ac:dyDescent="0.3">
      <c r="A830" t="s">
        <v>8</v>
      </c>
      <c r="B830" s="3">
        <v>45149</v>
      </c>
      <c r="C830">
        <f t="shared" si="206"/>
        <v>11</v>
      </c>
      <c r="D830">
        <f t="shared" si="207"/>
        <v>8</v>
      </c>
      <c r="E830">
        <f t="shared" si="208"/>
        <v>2023</v>
      </c>
      <c r="F830" s="2">
        <v>707</v>
      </c>
      <c r="G830" s="2" t="s">
        <v>18</v>
      </c>
      <c r="H830" s="4">
        <f t="shared" si="222"/>
        <v>0.27687421727474026</v>
      </c>
    </row>
    <row r="831" spans="1:8" x14ac:dyDescent="0.3">
      <c r="A831" t="s">
        <v>10</v>
      </c>
      <c r="B831" s="3">
        <v>45149</v>
      </c>
      <c r="C831">
        <f t="shared" si="206"/>
        <v>11</v>
      </c>
      <c r="D831">
        <f t="shared" si="207"/>
        <v>8</v>
      </c>
      <c r="E831">
        <f t="shared" si="208"/>
        <v>2023</v>
      </c>
      <c r="F831" s="2">
        <v>2540</v>
      </c>
      <c r="G831" t="s">
        <v>19</v>
      </c>
      <c r="H831" s="4">
        <f>SUMIFS($F$2:$F$2739,$G$2:$G$2739,"Multi-year Contract",$E$2:$E$2739,2023)/SUMIF($E$2:$E$2739,2023,$F$2:$F$2739)</f>
        <v>0.5137784540236352</v>
      </c>
    </row>
    <row r="832" spans="1:8" x14ac:dyDescent="0.3">
      <c r="A832" t="s">
        <v>5</v>
      </c>
      <c r="B832" s="3">
        <v>45149</v>
      </c>
      <c r="C832">
        <f t="shared" si="206"/>
        <v>11</v>
      </c>
      <c r="D832">
        <f t="shared" si="207"/>
        <v>8</v>
      </c>
      <c r="E832">
        <f t="shared" si="208"/>
        <v>2023</v>
      </c>
      <c r="F832" s="2">
        <v>2074</v>
      </c>
      <c r="G832" t="s">
        <v>18</v>
      </c>
      <c r="H832" s="4">
        <f>SUMIFS($F$2:$F$2739,$G$2:$G$2739,"Annual Contract",$E$2:$E$2739,2023)/SUMIF($E$2:$E$2739,2023,$F$2:$F$2739)</f>
        <v>0.27687421727474026</v>
      </c>
    </row>
    <row r="833" spans="1:8" x14ac:dyDescent="0.3">
      <c r="A833" t="s">
        <v>9</v>
      </c>
      <c r="B833" s="3">
        <v>45149</v>
      </c>
      <c r="C833">
        <f t="shared" si="206"/>
        <v>11</v>
      </c>
      <c r="D833">
        <f t="shared" si="207"/>
        <v>8</v>
      </c>
      <c r="E833">
        <f t="shared" si="208"/>
        <v>2023</v>
      </c>
      <c r="F833" s="2">
        <v>981</v>
      </c>
      <c r="G833" t="s">
        <v>17</v>
      </c>
      <c r="H833" s="4">
        <f>SUMIFS($F$2:$F$2739,$G$2:$G$2739,"No Contract",$E$2:$E$2739,2023)/SUMIF($E$2:$E$2739,2023,$F$2:$F$2739)</f>
        <v>0.20934732870162456</v>
      </c>
    </row>
    <row r="834" spans="1:8" x14ac:dyDescent="0.3">
      <c r="A834" t="s">
        <v>10</v>
      </c>
      <c r="B834" s="3">
        <v>45149</v>
      </c>
      <c r="C834">
        <f t="shared" si="206"/>
        <v>11</v>
      </c>
      <c r="D834">
        <f t="shared" si="207"/>
        <v>8</v>
      </c>
      <c r="E834">
        <f t="shared" si="208"/>
        <v>2023</v>
      </c>
      <c r="F834" s="2">
        <v>1434</v>
      </c>
      <c r="G834" t="s">
        <v>19</v>
      </c>
      <c r="H834" s="4">
        <f t="shared" ref="H834:H836" si="223">SUMIFS($F$2:$F$2739,$G$2:$G$2739,"Multi-year Contract",$E$2:$E$2739,2023)/SUMIF($E$2:$E$2739,2023,$F$2:$F$2739)</f>
        <v>0.5137784540236352</v>
      </c>
    </row>
    <row r="835" spans="1:8" x14ac:dyDescent="0.3">
      <c r="A835" t="s">
        <v>12</v>
      </c>
      <c r="B835" s="3">
        <v>45149</v>
      </c>
      <c r="C835">
        <f t="shared" ref="C835:C898" si="224">DAY(B835)</f>
        <v>11</v>
      </c>
      <c r="D835">
        <f t="shared" ref="D835:D898" si="225">MONTH(B835)</f>
        <v>8</v>
      </c>
      <c r="E835">
        <f t="shared" ref="E835:E898" si="226">YEAR(B835)</f>
        <v>2023</v>
      </c>
      <c r="F835" s="2">
        <v>573</v>
      </c>
      <c r="G835" s="2" t="s">
        <v>19</v>
      </c>
      <c r="H835" s="4">
        <f t="shared" si="223"/>
        <v>0.5137784540236352</v>
      </c>
    </row>
    <row r="836" spans="1:8" x14ac:dyDescent="0.3">
      <c r="A836" t="s">
        <v>3</v>
      </c>
      <c r="B836" s="3">
        <v>45150</v>
      </c>
      <c r="C836">
        <f t="shared" si="224"/>
        <v>12</v>
      </c>
      <c r="D836">
        <f t="shared" si="225"/>
        <v>8</v>
      </c>
      <c r="E836">
        <f t="shared" si="226"/>
        <v>2023</v>
      </c>
      <c r="F836" s="2">
        <v>1097</v>
      </c>
      <c r="G836" t="s">
        <v>19</v>
      </c>
      <c r="H836" s="4">
        <f t="shared" si="223"/>
        <v>0.5137784540236352</v>
      </c>
    </row>
    <row r="837" spans="1:8" x14ac:dyDescent="0.3">
      <c r="A837" t="s">
        <v>7</v>
      </c>
      <c r="B837" s="3">
        <v>45150</v>
      </c>
      <c r="C837">
        <f t="shared" si="224"/>
        <v>12</v>
      </c>
      <c r="D837">
        <f t="shared" si="225"/>
        <v>8</v>
      </c>
      <c r="E837">
        <f t="shared" si="226"/>
        <v>2023</v>
      </c>
      <c r="F837" s="2">
        <v>3241</v>
      </c>
      <c r="G837" t="s">
        <v>17</v>
      </c>
      <c r="H837" s="4">
        <f>SUMIFS($F$2:$F$2739,$G$2:$G$2739,"No Contract",$E$2:$E$2739,2023)/SUMIF($E$2:$E$2739,2023,$F$2:$F$2739)</f>
        <v>0.20934732870162456</v>
      </c>
    </row>
    <row r="838" spans="1:8" x14ac:dyDescent="0.3">
      <c r="A838" t="s">
        <v>12</v>
      </c>
      <c r="B838" s="3">
        <v>45150</v>
      </c>
      <c r="C838">
        <f t="shared" si="224"/>
        <v>12</v>
      </c>
      <c r="D838">
        <f t="shared" si="225"/>
        <v>8</v>
      </c>
      <c r="E838">
        <f t="shared" si="226"/>
        <v>2023</v>
      </c>
      <c r="F838" s="2">
        <v>2727</v>
      </c>
      <c r="G838" s="2" t="s">
        <v>19</v>
      </c>
      <c r="H838" s="4">
        <f t="shared" ref="H838:H840" si="227">SUMIFS($F$2:$F$2739,$G$2:$G$2739,"Multi-year Contract",$E$2:$E$2739,2023)/SUMIF($E$2:$E$2739,2023,$F$2:$F$2739)</f>
        <v>0.5137784540236352</v>
      </c>
    </row>
    <row r="839" spans="1:8" x14ac:dyDescent="0.3">
      <c r="A839" t="s">
        <v>3</v>
      </c>
      <c r="B839" s="3">
        <v>45151</v>
      </c>
      <c r="C839">
        <f t="shared" si="224"/>
        <v>13</v>
      </c>
      <c r="D839">
        <f t="shared" si="225"/>
        <v>8</v>
      </c>
      <c r="E839">
        <f t="shared" si="226"/>
        <v>2023</v>
      </c>
      <c r="F839" s="2">
        <v>3078</v>
      </c>
      <c r="G839" t="s">
        <v>19</v>
      </c>
      <c r="H839" s="4">
        <f t="shared" si="227"/>
        <v>0.5137784540236352</v>
      </c>
    </row>
    <row r="840" spans="1:8" x14ac:dyDescent="0.3">
      <c r="A840" t="s">
        <v>4</v>
      </c>
      <c r="B840" s="3">
        <v>45151</v>
      </c>
      <c r="C840">
        <f t="shared" si="224"/>
        <v>13</v>
      </c>
      <c r="D840">
        <f t="shared" si="225"/>
        <v>8</v>
      </c>
      <c r="E840">
        <f t="shared" si="226"/>
        <v>2023</v>
      </c>
      <c r="F840" s="2">
        <v>688</v>
      </c>
      <c r="G840" s="2" t="s">
        <v>19</v>
      </c>
      <c r="H840" s="4">
        <f t="shared" si="227"/>
        <v>0.5137784540236352</v>
      </c>
    </row>
    <row r="841" spans="1:8" x14ac:dyDescent="0.3">
      <c r="A841" t="s">
        <v>7</v>
      </c>
      <c r="B841" s="3">
        <v>45151</v>
      </c>
      <c r="C841">
        <f t="shared" si="224"/>
        <v>13</v>
      </c>
      <c r="D841">
        <f t="shared" si="225"/>
        <v>8</v>
      </c>
      <c r="E841">
        <f t="shared" si="226"/>
        <v>2023</v>
      </c>
      <c r="F841" s="2">
        <v>1566</v>
      </c>
      <c r="G841" t="s">
        <v>17</v>
      </c>
      <c r="H841" s="4">
        <f>SUMIFS($F$2:$F$2739,$G$2:$G$2739,"No Contract",$E$2:$E$2739,2023)/SUMIF($E$2:$E$2739,2023,$F$2:$F$2739)</f>
        <v>0.20934732870162456</v>
      </c>
    </row>
    <row r="842" spans="1:8" x14ac:dyDescent="0.3">
      <c r="A842" t="s">
        <v>12</v>
      </c>
      <c r="B842" s="3">
        <v>45151</v>
      </c>
      <c r="C842">
        <f t="shared" si="224"/>
        <v>13</v>
      </c>
      <c r="D842">
        <f t="shared" si="225"/>
        <v>8</v>
      </c>
      <c r="E842">
        <f t="shared" si="226"/>
        <v>2023</v>
      </c>
      <c r="F842" s="2">
        <v>1596</v>
      </c>
      <c r="G842" s="2" t="s">
        <v>19</v>
      </c>
      <c r="H842" s="4">
        <f t="shared" ref="H842:H843" si="228">SUMIFS($F$2:$F$2739,$G$2:$G$2739,"Multi-year Contract",$E$2:$E$2739,2023)/SUMIF($E$2:$E$2739,2023,$F$2:$F$2739)</f>
        <v>0.5137784540236352</v>
      </c>
    </row>
    <row r="843" spans="1:8" x14ac:dyDescent="0.3">
      <c r="A843" t="s">
        <v>11</v>
      </c>
      <c r="B843" s="3">
        <v>45151</v>
      </c>
      <c r="C843">
        <f t="shared" si="224"/>
        <v>13</v>
      </c>
      <c r="D843">
        <f t="shared" si="225"/>
        <v>8</v>
      </c>
      <c r="E843">
        <f t="shared" si="226"/>
        <v>2023</v>
      </c>
      <c r="F843" s="2">
        <v>550</v>
      </c>
      <c r="G843" t="s">
        <v>19</v>
      </c>
      <c r="H843" s="4">
        <f t="shared" si="228"/>
        <v>0.5137784540236352</v>
      </c>
    </row>
    <row r="844" spans="1:8" x14ac:dyDescent="0.3">
      <c r="A844" t="s">
        <v>8</v>
      </c>
      <c r="B844" s="3">
        <v>45151</v>
      </c>
      <c r="C844">
        <f t="shared" si="224"/>
        <v>13</v>
      </c>
      <c r="D844">
        <f t="shared" si="225"/>
        <v>8</v>
      </c>
      <c r="E844">
        <f t="shared" si="226"/>
        <v>2023</v>
      </c>
      <c r="F844" s="2">
        <v>1205</v>
      </c>
      <c r="G844" s="2" t="s">
        <v>18</v>
      </c>
      <c r="H844" s="4">
        <f t="shared" ref="H844:H845" si="229">SUMIFS($F$2:$F$2739,$G$2:$G$2739,"Annual Contract",$E$2:$E$2739,2023)/SUMIF($E$2:$E$2739,2023,$F$2:$F$2739)</f>
        <v>0.27687421727474026</v>
      </c>
    </row>
    <row r="845" spans="1:8" x14ac:dyDescent="0.3">
      <c r="A845" t="s">
        <v>8</v>
      </c>
      <c r="B845" s="3">
        <v>45152</v>
      </c>
      <c r="C845">
        <f t="shared" si="224"/>
        <v>14</v>
      </c>
      <c r="D845">
        <f t="shared" si="225"/>
        <v>8</v>
      </c>
      <c r="E845">
        <f t="shared" si="226"/>
        <v>2023</v>
      </c>
      <c r="F845" s="2">
        <v>3698</v>
      </c>
      <c r="G845" s="2" t="s">
        <v>18</v>
      </c>
      <c r="H845" s="4">
        <f t="shared" si="229"/>
        <v>0.27687421727474026</v>
      </c>
    </row>
    <row r="846" spans="1:8" x14ac:dyDescent="0.3">
      <c r="A846" t="s">
        <v>12</v>
      </c>
      <c r="B846" s="3">
        <v>45152</v>
      </c>
      <c r="C846">
        <f t="shared" si="224"/>
        <v>14</v>
      </c>
      <c r="D846">
        <f t="shared" si="225"/>
        <v>8</v>
      </c>
      <c r="E846">
        <f t="shared" si="226"/>
        <v>2023</v>
      </c>
      <c r="F846" s="2">
        <v>2444</v>
      </c>
      <c r="G846" s="2" t="s">
        <v>19</v>
      </c>
      <c r="H846" s="4">
        <f>SUMIFS($F$2:$F$2739,$G$2:$G$2739,"Multi-year Contract",$E$2:$E$2739,2023)/SUMIF($E$2:$E$2739,2023,$F$2:$F$2739)</f>
        <v>0.5137784540236352</v>
      </c>
    </row>
    <row r="847" spans="1:8" x14ac:dyDescent="0.3">
      <c r="A847" t="s">
        <v>6</v>
      </c>
      <c r="B847" s="3">
        <v>45152</v>
      </c>
      <c r="C847">
        <f t="shared" si="224"/>
        <v>14</v>
      </c>
      <c r="D847">
        <f t="shared" si="225"/>
        <v>8</v>
      </c>
      <c r="E847">
        <f t="shared" si="226"/>
        <v>2023</v>
      </c>
      <c r="F847" s="2">
        <v>1822</v>
      </c>
      <c r="G847" t="s">
        <v>18</v>
      </c>
      <c r="H847" s="4">
        <f t="shared" ref="H847:H848" si="230">SUMIFS($F$2:$F$2739,$G$2:$G$2739,"Annual Contract",$E$2:$E$2739,2023)/SUMIF($E$2:$E$2739,2023,$F$2:$F$2739)</f>
        <v>0.27687421727474026</v>
      </c>
    </row>
    <row r="848" spans="1:8" x14ac:dyDescent="0.3">
      <c r="A848" t="s">
        <v>5</v>
      </c>
      <c r="B848" s="3">
        <v>45152</v>
      </c>
      <c r="C848">
        <f t="shared" si="224"/>
        <v>14</v>
      </c>
      <c r="D848">
        <f t="shared" si="225"/>
        <v>8</v>
      </c>
      <c r="E848">
        <f t="shared" si="226"/>
        <v>2023</v>
      </c>
      <c r="F848" s="2">
        <v>2251</v>
      </c>
      <c r="G848" t="s">
        <v>18</v>
      </c>
      <c r="H848" s="4">
        <f t="shared" si="230"/>
        <v>0.27687421727474026</v>
      </c>
    </row>
    <row r="849" spans="1:8" x14ac:dyDescent="0.3">
      <c r="A849" t="s">
        <v>9</v>
      </c>
      <c r="B849" s="3">
        <v>45152</v>
      </c>
      <c r="C849">
        <f t="shared" si="224"/>
        <v>14</v>
      </c>
      <c r="D849">
        <f t="shared" si="225"/>
        <v>8</v>
      </c>
      <c r="E849">
        <f t="shared" si="226"/>
        <v>2023</v>
      </c>
      <c r="F849" s="2">
        <v>1375</v>
      </c>
      <c r="G849" t="s">
        <v>17</v>
      </c>
      <c r="H849" s="4">
        <f>SUMIFS($F$2:$F$2739,$G$2:$G$2739,"No Contract",$E$2:$E$2739,2023)/SUMIF($E$2:$E$2739,2023,$F$2:$F$2739)</f>
        <v>0.20934732870162456</v>
      </c>
    </row>
    <row r="850" spans="1:8" x14ac:dyDescent="0.3">
      <c r="A850" t="s">
        <v>3</v>
      </c>
      <c r="B850" s="3">
        <v>45152</v>
      </c>
      <c r="C850">
        <f t="shared" si="224"/>
        <v>14</v>
      </c>
      <c r="D850">
        <f t="shared" si="225"/>
        <v>8</v>
      </c>
      <c r="E850">
        <f t="shared" si="226"/>
        <v>2023</v>
      </c>
      <c r="F850" s="2">
        <v>1387</v>
      </c>
      <c r="G850" t="s">
        <v>19</v>
      </c>
      <c r="H850" s="4">
        <f t="shared" ref="H850:H854" si="231">SUMIFS($F$2:$F$2739,$G$2:$G$2739,"Multi-year Contract",$E$2:$E$2739,2023)/SUMIF($E$2:$E$2739,2023,$F$2:$F$2739)</f>
        <v>0.5137784540236352</v>
      </c>
    </row>
    <row r="851" spans="1:8" x14ac:dyDescent="0.3">
      <c r="A851" t="s">
        <v>3</v>
      </c>
      <c r="B851" s="3">
        <v>45152</v>
      </c>
      <c r="C851">
        <f t="shared" si="224"/>
        <v>14</v>
      </c>
      <c r="D851">
        <f t="shared" si="225"/>
        <v>8</v>
      </c>
      <c r="E851">
        <f t="shared" si="226"/>
        <v>2023</v>
      </c>
      <c r="F851" s="2">
        <v>3146</v>
      </c>
      <c r="G851" t="s">
        <v>19</v>
      </c>
      <c r="H851" s="4">
        <f t="shared" si="231"/>
        <v>0.5137784540236352</v>
      </c>
    </row>
    <row r="852" spans="1:8" x14ac:dyDescent="0.3">
      <c r="A852" t="s">
        <v>4</v>
      </c>
      <c r="B852" s="3">
        <v>45153</v>
      </c>
      <c r="C852">
        <f t="shared" si="224"/>
        <v>15</v>
      </c>
      <c r="D852">
        <f t="shared" si="225"/>
        <v>8</v>
      </c>
      <c r="E852">
        <f t="shared" si="226"/>
        <v>2023</v>
      </c>
      <c r="F852" s="2">
        <v>3385</v>
      </c>
      <c r="G852" s="2" t="s">
        <v>19</v>
      </c>
      <c r="H852" s="4">
        <f t="shared" si="231"/>
        <v>0.5137784540236352</v>
      </c>
    </row>
    <row r="853" spans="1:8" x14ac:dyDescent="0.3">
      <c r="A853" t="s">
        <v>12</v>
      </c>
      <c r="B853" s="3">
        <v>45153</v>
      </c>
      <c r="C853">
        <f t="shared" si="224"/>
        <v>15</v>
      </c>
      <c r="D853">
        <f t="shared" si="225"/>
        <v>8</v>
      </c>
      <c r="E853">
        <f t="shared" si="226"/>
        <v>2023</v>
      </c>
      <c r="F853" s="2">
        <v>2337</v>
      </c>
      <c r="G853" s="2" t="s">
        <v>19</v>
      </c>
      <c r="H853" s="4">
        <f t="shared" si="231"/>
        <v>0.5137784540236352</v>
      </c>
    </row>
    <row r="854" spans="1:8" x14ac:dyDescent="0.3">
      <c r="A854" t="s">
        <v>10</v>
      </c>
      <c r="B854" s="3">
        <v>45153</v>
      </c>
      <c r="C854">
        <f t="shared" si="224"/>
        <v>15</v>
      </c>
      <c r="D854">
        <f t="shared" si="225"/>
        <v>8</v>
      </c>
      <c r="E854">
        <f t="shared" si="226"/>
        <v>2023</v>
      </c>
      <c r="F854" s="2">
        <v>949</v>
      </c>
      <c r="G854" t="s">
        <v>19</v>
      </c>
      <c r="H854" s="4">
        <f t="shared" si="231"/>
        <v>0.5137784540236352</v>
      </c>
    </row>
    <row r="855" spans="1:8" x14ac:dyDescent="0.3">
      <c r="A855" t="s">
        <v>5</v>
      </c>
      <c r="B855" s="3">
        <v>45153</v>
      </c>
      <c r="C855">
        <f t="shared" si="224"/>
        <v>15</v>
      </c>
      <c r="D855">
        <f t="shared" si="225"/>
        <v>8</v>
      </c>
      <c r="E855">
        <f t="shared" si="226"/>
        <v>2023</v>
      </c>
      <c r="F855" s="2">
        <v>2233</v>
      </c>
      <c r="G855" t="s">
        <v>18</v>
      </c>
      <c r="H855" s="4">
        <f t="shared" ref="H855:H857" si="232">SUMIFS($F$2:$F$2739,$G$2:$G$2739,"Annual Contract",$E$2:$E$2739,2023)/SUMIF($E$2:$E$2739,2023,$F$2:$F$2739)</f>
        <v>0.27687421727474026</v>
      </c>
    </row>
    <row r="856" spans="1:8" x14ac:dyDescent="0.3">
      <c r="A856" t="s">
        <v>6</v>
      </c>
      <c r="B856" s="3">
        <v>45153</v>
      </c>
      <c r="C856">
        <f t="shared" si="224"/>
        <v>15</v>
      </c>
      <c r="D856">
        <f t="shared" si="225"/>
        <v>8</v>
      </c>
      <c r="E856">
        <f t="shared" si="226"/>
        <v>2023</v>
      </c>
      <c r="F856" s="2">
        <v>901</v>
      </c>
      <c r="G856" t="s">
        <v>18</v>
      </c>
      <c r="H856" s="4">
        <f t="shared" si="232"/>
        <v>0.27687421727474026</v>
      </c>
    </row>
    <row r="857" spans="1:8" x14ac:dyDescent="0.3">
      <c r="A857" t="s">
        <v>5</v>
      </c>
      <c r="B857" s="3">
        <v>45154</v>
      </c>
      <c r="C857">
        <f t="shared" si="224"/>
        <v>16</v>
      </c>
      <c r="D857">
        <f t="shared" si="225"/>
        <v>8</v>
      </c>
      <c r="E857">
        <f t="shared" si="226"/>
        <v>2023</v>
      </c>
      <c r="F857" s="2">
        <v>1306</v>
      </c>
      <c r="G857" t="s">
        <v>18</v>
      </c>
      <c r="H857" s="4">
        <f t="shared" si="232"/>
        <v>0.27687421727474026</v>
      </c>
    </row>
    <row r="858" spans="1:8" x14ac:dyDescent="0.3">
      <c r="A858" t="s">
        <v>11</v>
      </c>
      <c r="B858" s="3">
        <v>45155</v>
      </c>
      <c r="C858">
        <f t="shared" si="224"/>
        <v>17</v>
      </c>
      <c r="D858">
        <f t="shared" si="225"/>
        <v>8</v>
      </c>
      <c r="E858">
        <f t="shared" si="226"/>
        <v>2023</v>
      </c>
      <c r="F858" s="2">
        <v>3126</v>
      </c>
      <c r="G858" t="s">
        <v>19</v>
      </c>
      <c r="H858" s="4">
        <f t="shared" ref="H858:H859" si="233">SUMIFS($F$2:$F$2739,$G$2:$G$2739,"Multi-year Contract",$E$2:$E$2739,2023)/SUMIF($E$2:$E$2739,2023,$F$2:$F$2739)</f>
        <v>0.5137784540236352</v>
      </c>
    </row>
    <row r="859" spans="1:8" x14ac:dyDescent="0.3">
      <c r="A859" t="s">
        <v>10</v>
      </c>
      <c r="B859" s="3">
        <v>45155</v>
      </c>
      <c r="C859">
        <f t="shared" si="224"/>
        <v>17</v>
      </c>
      <c r="D859">
        <f t="shared" si="225"/>
        <v>8</v>
      </c>
      <c r="E859">
        <f t="shared" si="226"/>
        <v>2023</v>
      </c>
      <c r="F859" s="2">
        <v>1161</v>
      </c>
      <c r="G859" t="s">
        <v>19</v>
      </c>
      <c r="H859" s="4">
        <f t="shared" si="233"/>
        <v>0.5137784540236352</v>
      </c>
    </row>
    <row r="860" spans="1:8" x14ac:dyDescent="0.3">
      <c r="A860" t="s">
        <v>5</v>
      </c>
      <c r="B860" s="3">
        <v>45155</v>
      </c>
      <c r="C860">
        <f t="shared" si="224"/>
        <v>17</v>
      </c>
      <c r="D860">
        <f t="shared" si="225"/>
        <v>8</v>
      </c>
      <c r="E860">
        <f t="shared" si="226"/>
        <v>2023</v>
      </c>
      <c r="F860" s="2">
        <v>1473</v>
      </c>
      <c r="G860" t="s">
        <v>18</v>
      </c>
      <c r="H860" s="4">
        <f t="shared" ref="H860:H862" si="234">SUMIFS($F$2:$F$2739,$G$2:$G$2739,"Annual Contract",$E$2:$E$2739,2023)/SUMIF($E$2:$E$2739,2023,$F$2:$F$2739)</f>
        <v>0.27687421727474026</v>
      </c>
    </row>
    <row r="861" spans="1:8" x14ac:dyDescent="0.3">
      <c r="A861" t="s">
        <v>8</v>
      </c>
      <c r="B861" s="3">
        <v>45155</v>
      </c>
      <c r="C861">
        <f t="shared" si="224"/>
        <v>17</v>
      </c>
      <c r="D861">
        <f t="shared" si="225"/>
        <v>8</v>
      </c>
      <c r="E861">
        <f t="shared" si="226"/>
        <v>2023</v>
      </c>
      <c r="F861" s="2">
        <v>2339</v>
      </c>
      <c r="G861" s="2" t="s">
        <v>18</v>
      </c>
      <c r="H861" s="4">
        <f t="shared" si="234"/>
        <v>0.27687421727474026</v>
      </c>
    </row>
    <row r="862" spans="1:8" x14ac:dyDescent="0.3">
      <c r="A862" t="s">
        <v>5</v>
      </c>
      <c r="B862" s="3">
        <v>45155</v>
      </c>
      <c r="C862">
        <f t="shared" si="224"/>
        <v>17</v>
      </c>
      <c r="D862">
        <f t="shared" si="225"/>
        <v>8</v>
      </c>
      <c r="E862">
        <f t="shared" si="226"/>
        <v>2023</v>
      </c>
      <c r="F862" s="2">
        <v>1702</v>
      </c>
      <c r="G862" t="s">
        <v>18</v>
      </c>
      <c r="H862" s="4">
        <f t="shared" si="234"/>
        <v>0.27687421727474026</v>
      </c>
    </row>
    <row r="863" spans="1:8" x14ac:dyDescent="0.3">
      <c r="A863" t="s">
        <v>12</v>
      </c>
      <c r="B863" s="3">
        <v>45155</v>
      </c>
      <c r="C863">
        <f t="shared" si="224"/>
        <v>17</v>
      </c>
      <c r="D863">
        <f t="shared" si="225"/>
        <v>8</v>
      </c>
      <c r="E863">
        <f t="shared" si="226"/>
        <v>2023</v>
      </c>
      <c r="F863" s="2">
        <v>2979</v>
      </c>
      <c r="G863" s="2" t="s">
        <v>19</v>
      </c>
      <c r="H863" s="4">
        <f>SUMIFS($F$2:$F$2739,$G$2:$G$2739,"Multi-year Contract",$E$2:$E$2739,2023)/SUMIF($E$2:$E$2739,2023,$F$2:$F$2739)</f>
        <v>0.5137784540236352</v>
      </c>
    </row>
    <row r="864" spans="1:8" x14ac:dyDescent="0.3">
      <c r="A864" t="s">
        <v>7</v>
      </c>
      <c r="B864" s="3">
        <v>45155</v>
      </c>
      <c r="C864">
        <f t="shared" si="224"/>
        <v>17</v>
      </c>
      <c r="D864">
        <f t="shared" si="225"/>
        <v>8</v>
      </c>
      <c r="E864">
        <f t="shared" si="226"/>
        <v>2023</v>
      </c>
      <c r="F864" s="2">
        <v>2003</v>
      </c>
      <c r="G864" t="s">
        <v>17</v>
      </c>
      <c r="H864" s="4">
        <f>SUMIFS($F$2:$F$2739,$G$2:$G$2739,"No Contract",$E$2:$E$2739,2023)/SUMIF($E$2:$E$2739,2023,$F$2:$F$2739)</f>
        <v>0.20934732870162456</v>
      </c>
    </row>
    <row r="865" spans="1:8" x14ac:dyDescent="0.3">
      <c r="A865" t="s">
        <v>12</v>
      </c>
      <c r="B865" s="3">
        <v>45156</v>
      </c>
      <c r="C865">
        <f t="shared" si="224"/>
        <v>18</v>
      </c>
      <c r="D865">
        <f t="shared" si="225"/>
        <v>8</v>
      </c>
      <c r="E865">
        <f t="shared" si="226"/>
        <v>2023</v>
      </c>
      <c r="F865" s="2">
        <v>3992</v>
      </c>
      <c r="G865" s="2" t="s">
        <v>19</v>
      </c>
      <c r="H865" s="4">
        <f t="shared" ref="H865:H866" si="235">SUMIFS($F$2:$F$2739,$G$2:$G$2739,"Multi-year Contract",$E$2:$E$2739,2023)/SUMIF($E$2:$E$2739,2023,$F$2:$F$2739)</f>
        <v>0.5137784540236352</v>
      </c>
    </row>
    <row r="866" spans="1:8" x14ac:dyDescent="0.3">
      <c r="A866" t="s">
        <v>3</v>
      </c>
      <c r="B866" s="3">
        <v>45156</v>
      </c>
      <c r="C866">
        <f t="shared" si="224"/>
        <v>18</v>
      </c>
      <c r="D866">
        <f t="shared" si="225"/>
        <v>8</v>
      </c>
      <c r="E866">
        <f t="shared" si="226"/>
        <v>2023</v>
      </c>
      <c r="F866" s="2">
        <v>2998</v>
      </c>
      <c r="G866" t="s">
        <v>19</v>
      </c>
      <c r="H866" s="4">
        <f t="shared" si="235"/>
        <v>0.5137784540236352</v>
      </c>
    </row>
    <row r="867" spans="1:8" x14ac:dyDescent="0.3">
      <c r="A867" t="s">
        <v>9</v>
      </c>
      <c r="B867" s="3">
        <v>45156</v>
      </c>
      <c r="C867">
        <f t="shared" si="224"/>
        <v>18</v>
      </c>
      <c r="D867">
        <f t="shared" si="225"/>
        <v>8</v>
      </c>
      <c r="E867">
        <f t="shared" si="226"/>
        <v>2023</v>
      </c>
      <c r="F867" s="2">
        <v>3220</v>
      </c>
      <c r="G867" t="s">
        <v>17</v>
      </c>
      <c r="H867" s="4">
        <f>SUMIFS($F$2:$F$2739,$G$2:$G$2739,"No Contract",$E$2:$E$2739,2023)/SUMIF($E$2:$E$2739,2023,$F$2:$F$2739)</f>
        <v>0.20934732870162456</v>
      </c>
    </row>
    <row r="868" spans="1:8" x14ac:dyDescent="0.3">
      <c r="A868" t="s">
        <v>6</v>
      </c>
      <c r="B868" s="3">
        <v>45157</v>
      </c>
      <c r="C868">
        <f t="shared" si="224"/>
        <v>19</v>
      </c>
      <c r="D868">
        <f t="shared" si="225"/>
        <v>8</v>
      </c>
      <c r="E868">
        <f t="shared" si="226"/>
        <v>2023</v>
      </c>
      <c r="F868" s="2">
        <v>3120</v>
      </c>
      <c r="G868" t="s">
        <v>18</v>
      </c>
      <c r="H868" s="4">
        <f>SUMIFS($F$2:$F$2739,$G$2:$G$2739,"Annual Contract",$E$2:$E$2739,2023)/SUMIF($E$2:$E$2739,2023,$F$2:$F$2739)</f>
        <v>0.27687421727474026</v>
      </c>
    </row>
    <row r="869" spans="1:8" x14ac:dyDescent="0.3">
      <c r="A869" t="s">
        <v>9</v>
      </c>
      <c r="B869" s="3">
        <v>45157</v>
      </c>
      <c r="C869">
        <f t="shared" si="224"/>
        <v>19</v>
      </c>
      <c r="D869">
        <f t="shared" si="225"/>
        <v>8</v>
      </c>
      <c r="E869">
        <f t="shared" si="226"/>
        <v>2023</v>
      </c>
      <c r="F869" s="2">
        <v>2350</v>
      </c>
      <c r="G869" t="s">
        <v>17</v>
      </c>
      <c r="H869" s="4">
        <f>SUMIFS($F$2:$F$2739,$G$2:$G$2739,"No Contract",$E$2:$E$2739,2023)/SUMIF($E$2:$E$2739,2023,$F$2:$F$2739)</f>
        <v>0.20934732870162456</v>
      </c>
    </row>
    <row r="870" spans="1:8" x14ac:dyDescent="0.3">
      <c r="A870" t="s">
        <v>6</v>
      </c>
      <c r="B870" s="3">
        <v>45157</v>
      </c>
      <c r="C870">
        <f t="shared" si="224"/>
        <v>19</v>
      </c>
      <c r="D870">
        <f t="shared" si="225"/>
        <v>8</v>
      </c>
      <c r="E870">
        <f t="shared" si="226"/>
        <v>2023</v>
      </c>
      <c r="F870" s="2">
        <v>1828</v>
      </c>
      <c r="G870" t="s">
        <v>18</v>
      </c>
      <c r="H870" s="4">
        <f>SUMIFS($F$2:$F$2739,$G$2:$G$2739,"Annual Contract",$E$2:$E$2739,2023)/SUMIF($E$2:$E$2739,2023,$F$2:$F$2739)</f>
        <v>0.27687421727474026</v>
      </c>
    </row>
    <row r="871" spans="1:8" x14ac:dyDescent="0.3">
      <c r="A871" t="s">
        <v>4</v>
      </c>
      <c r="B871" s="3">
        <v>45157</v>
      </c>
      <c r="C871">
        <f t="shared" si="224"/>
        <v>19</v>
      </c>
      <c r="D871">
        <f t="shared" si="225"/>
        <v>8</v>
      </c>
      <c r="E871">
        <f t="shared" si="226"/>
        <v>2023</v>
      </c>
      <c r="F871" s="2">
        <v>1057</v>
      </c>
      <c r="G871" s="2" t="s">
        <v>19</v>
      </c>
      <c r="H871" s="4">
        <f t="shared" ref="H871:H873" si="236">SUMIFS($F$2:$F$2739,$G$2:$G$2739,"Multi-year Contract",$E$2:$E$2739,2023)/SUMIF($E$2:$E$2739,2023,$F$2:$F$2739)</f>
        <v>0.5137784540236352</v>
      </c>
    </row>
    <row r="872" spans="1:8" x14ac:dyDescent="0.3">
      <c r="A872" t="s">
        <v>11</v>
      </c>
      <c r="B872" s="3">
        <v>45157</v>
      </c>
      <c r="C872">
        <f t="shared" si="224"/>
        <v>19</v>
      </c>
      <c r="D872">
        <f t="shared" si="225"/>
        <v>8</v>
      </c>
      <c r="E872">
        <f t="shared" si="226"/>
        <v>2023</v>
      </c>
      <c r="F872" s="2">
        <v>867</v>
      </c>
      <c r="G872" t="s">
        <v>19</v>
      </c>
      <c r="H872" s="4">
        <f t="shared" si="236"/>
        <v>0.5137784540236352</v>
      </c>
    </row>
    <row r="873" spans="1:8" x14ac:dyDescent="0.3">
      <c r="A873" t="s">
        <v>12</v>
      </c>
      <c r="B873" s="3">
        <v>45157</v>
      </c>
      <c r="C873">
        <f t="shared" si="224"/>
        <v>19</v>
      </c>
      <c r="D873">
        <f t="shared" si="225"/>
        <v>8</v>
      </c>
      <c r="E873">
        <f t="shared" si="226"/>
        <v>2023</v>
      </c>
      <c r="F873" s="2">
        <v>3231</v>
      </c>
      <c r="G873" s="2" t="s">
        <v>19</v>
      </c>
      <c r="H873" s="4">
        <f t="shared" si="236"/>
        <v>0.5137784540236352</v>
      </c>
    </row>
    <row r="874" spans="1:8" x14ac:dyDescent="0.3">
      <c r="A874" t="s">
        <v>8</v>
      </c>
      <c r="B874" s="3">
        <v>45157</v>
      </c>
      <c r="C874">
        <f t="shared" si="224"/>
        <v>19</v>
      </c>
      <c r="D874">
        <f t="shared" si="225"/>
        <v>8</v>
      </c>
      <c r="E874">
        <f t="shared" si="226"/>
        <v>2023</v>
      </c>
      <c r="F874" s="2">
        <v>3169</v>
      </c>
      <c r="G874" s="2" t="s">
        <v>18</v>
      </c>
      <c r="H874" s="4">
        <f>SUMIFS($F$2:$F$2739,$G$2:$G$2739,"Annual Contract",$E$2:$E$2739,2023)/SUMIF($E$2:$E$2739,2023,$F$2:$F$2739)</f>
        <v>0.27687421727474026</v>
      </c>
    </row>
    <row r="875" spans="1:8" x14ac:dyDescent="0.3">
      <c r="A875" t="s">
        <v>10</v>
      </c>
      <c r="B875" s="3">
        <v>45157</v>
      </c>
      <c r="C875">
        <f t="shared" si="224"/>
        <v>19</v>
      </c>
      <c r="D875">
        <f t="shared" si="225"/>
        <v>8</v>
      </c>
      <c r="E875">
        <f t="shared" si="226"/>
        <v>2023</v>
      </c>
      <c r="F875" s="2">
        <v>2569</v>
      </c>
      <c r="G875" t="s">
        <v>19</v>
      </c>
      <c r="H875" s="4">
        <f t="shared" ref="H875:H876" si="237">SUMIFS($F$2:$F$2739,$G$2:$G$2739,"Multi-year Contract",$E$2:$E$2739,2023)/SUMIF($E$2:$E$2739,2023,$F$2:$F$2739)</f>
        <v>0.5137784540236352</v>
      </c>
    </row>
    <row r="876" spans="1:8" x14ac:dyDescent="0.3">
      <c r="A876" t="s">
        <v>12</v>
      </c>
      <c r="B876" s="3">
        <v>45159</v>
      </c>
      <c r="C876">
        <f t="shared" si="224"/>
        <v>21</v>
      </c>
      <c r="D876">
        <f t="shared" si="225"/>
        <v>8</v>
      </c>
      <c r="E876">
        <f t="shared" si="226"/>
        <v>2023</v>
      </c>
      <c r="F876" s="2">
        <v>1455</v>
      </c>
      <c r="G876" s="2" t="s">
        <v>19</v>
      </c>
      <c r="H876" s="4">
        <f t="shared" si="237"/>
        <v>0.5137784540236352</v>
      </c>
    </row>
    <row r="877" spans="1:8" x14ac:dyDescent="0.3">
      <c r="A877" t="s">
        <v>5</v>
      </c>
      <c r="B877" s="3">
        <v>45159</v>
      </c>
      <c r="C877">
        <f t="shared" si="224"/>
        <v>21</v>
      </c>
      <c r="D877">
        <f t="shared" si="225"/>
        <v>8</v>
      </c>
      <c r="E877">
        <f t="shared" si="226"/>
        <v>2023</v>
      </c>
      <c r="F877" s="2">
        <v>3362</v>
      </c>
      <c r="G877" t="s">
        <v>18</v>
      </c>
      <c r="H877" s="4">
        <f>SUMIFS($F$2:$F$2739,$G$2:$G$2739,"Annual Contract",$E$2:$E$2739,2023)/SUMIF($E$2:$E$2739,2023,$F$2:$F$2739)</f>
        <v>0.27687421727474026</v>
      </c>
    </row>
    <row r="878" spans="1:8" x14ac:dyDescent="0.3">
      <c r="A878" t="s">
        <v>12</v>
      </c>
      <c r="B878" s="3">
        <v>45159</v>
      </c>
      <c r="C878">
        <f t="shared" si="224"/>
        <v>21</v>
      </c>
      <c r="D878">
        <f t="shared" si="225"/>
        <v>8</v>
      </c>
      <c r="E878">
        <f t="shared" si="226"/>
        <v>2023</v>
      </c>
      <c r="F878" s="2">
        <v>3241</v>
      </c>
      <c r="G878" s="2" t="s">
        <v>19</v>
      </c>
      <c r="H878" s="4">
        <f t="shared" ref="H878:H881" si="238">SUMIFS($F$2:$F$2739,$G$2:$G$2739,"Multi-year Contract",$E$2:$E$2739,2023)/SUMIF($E$2:$E$2739,2023,$F$2:$F$2739)</f>
        <v>0.5137784540236352</v>
      </c>
    </row>
    <row r="879" spans="1:8" x14ac:dyDescent="0.3">
      <c r="A879" t="s">
        <v>12</v>
      </c>
      <c r="B879" s="3">
        <v>45160</v>
      </c>
      <c r="C879">
        <f t="shared" si="224"/>
        <v>22</v>
      </c>
      <c r="D879">
        <f t="shared" si="225"/>
        <v>8</v>
      </c>
      <c r="E879">
        <f t="shared" si="226"/>
        <v>2023</v>
      </c>
      <c r="F879" s="2">
        <v>3881</v>
      </c>
      <c r="G879" s="2" t="s">
        <v>19</v>
      </c>
      <c r="H879" s="4">
        <f t="shared" si="238"/>
        <v>0.5137784540236352</v>
      </c>
    </row>
    <row r="880" spans="1:8" x14ac:dyDescent="0.3">
      <c r="A880" t="s">
        <v>4</v>
      </c>
      <c r="B880" s="3">
        <v>45161</v>
      </c>
      <c r="C880">
        <f t="shared" si="224"/>
        <v>23</v>
      </c>
      <c r="D880">
        <f t="shared" si="225"/>
        <v>8</v>
      </c>
      <c r="E880">
        <f t="shared" si="226"/>
        <v>2023</v>
      </c>
      <c r="F880" s="2">
        <v>1058</v>
      </c>
      <c r="G880" s="2" t="s">
        <v>19</v>
      </c>
      <c r="H880" s="4">
        <f t="shared" si="238"/>
        <v>0.5137784540236352</v>
      </c>
    </row>
    <row r="881" spans="1:8" x14ac:dyDescent="0.3">
      <c r="A881" t="s">
        <v>10</v>
      </c>
      <c r="B881" s="3">
        <v>45161</v>
      </c>
      <c r="C881">
        <f t="shared" si="224"/>
        <v>23</v>
      </c>
      <c r="D881">
        <f t="shared" si="225"/>
        <v>8</v>
      </c>
      <c r="E881">
        <f t="shared" si="226"/>
        <v>2023</v>
      </c>
      <c r="F881" s="2">
        <v>1960</v>
      </c>
      <c r="G881" t="s">
        <v>19</v>
      </c>
      <c r="H881" s="4">
        <f t="shared" si="238"/>
        <v>0.5137784540236352</v>
      </c>
    </row>
    <row r="882" spans="1:8" x14ac:dyDescent="0.3">
      <c r="A882" t="s">
        <v>9</v>
      </c>
      <c r="B882" s="3">
        <v>45161</v>
      </c>
      <c r="C882">
        <f t="shared" si="224"/>
        <v>23</v>
      </c>
      <c r="D882">
        <f t="shared" si="225"/>
        <v>8</v>
      </c>
      <c r="E882">
        <f t="shared" si="226"/>
        <v>2023</v>
      </c>
      <c r="F882" s="2">
        <v>1822</v>
      </c>
      <c r="G882" t="s">
        <v>17</v>
      </c>
      <c r="H882" s="4">
        <f>SUMIFS($F$2:$F$2739,$G$2:$G$2739,"No Contract",$E$2:$E$2739,2023)/SUMIF($E$2:$E$2739,2023,$F$2:$F$2739)</f>
        <v>0.20934732870162456</v>
      </c>
    </row>
    <row r="883" spans="1:8" x14ac:dyDescent="0.3">
      <c r="A883" t="s">
        <v>10</v>
      </c>
      <c r="B883" s="3">
        <v>45161</v>
      </c>
      <c r="C883">
        <f t="shared" si="224"/>
        <v>23</v>
      </c>
      <c r="D883">
        <f t="shared" si="225"/>
        <v>8</v>
      </c>
      <c r="E883">
        <f t="shared" si="226"/>
        <v>2023</v>
      </c>
      <c r="F883" s="2">
        <v>3171</v>
      </c>
      <c r="G883" t="s">
        <v>19</v>
      </c>
      <c r="H883" s="4">
        <f>SUMIFS($F$2:$F$2739,$G$2:$G$2739,"Multi-year Contract",$E$2:$E$2739,2023)/SUMIF($E$2:$E$2739,2023,$F$2:$F$2739)</f>
        <v>0.5137784540236352</v>
      </c>
    </row>
    <row r="884" spans="1:8" x14ac:dyDescent="0.3">
      <c r="A884" t="s">
        <v>7</v>
      </c>
      <c r="B884" s="3">
        <v>45161</v>
      </c>
      <c r="C884">
        <f t="shared" si="224"/>
        <v>23</v>
      </c>
      <c r="D884">
        <f t="shared" si="225"/>
        <v>8</v>
      </c>
      <c r="E884">
        <f t="shared" si="226"/>
        <v>2023</v>
      </c>
      <c r="F884" s="2">
        <v>3357</v>
      </c>
      <c r="G884" t="s">
        <v>17</v>
      </c>
      <c r="H884" s="4">
        <f>SUMIFS($F$2:$F$2739,$G$2:$G$2739,"No Contract",$E$2:$E$2739,2023)/SUMIF($E$2:$E$2739,2023,$F$2:$F$2739)</f>
        <v>0.20934732870162456</v>
      </c>
    </row>
    <row r="885" spans="1:8" x14ac:dyDescent="0.3">
      <c r="A885" t="s">
        <v>10</v>
      </c>
      <c r="B885" s="3">
        <v>45162</v>
      </c>
      <c r="C885">
        <f t="shared" si="224"/>
        <v>24</v>
      </c>
      <c r="D885">
        <f t="shared" si="225"/>
        <v>8</v>
      </c>
      <c r="E885">
        <f t="shared" si="226"/>
        <v>2023</v>
      </c>
      <c r="F885" s="2">
        <v>1930</v>
      </c>
      <c r="G885" t="s">
        <v>19</v>
      </c>
      <c r="H885" s="4">
        <f t="shared" ref="H885:H886" si="239">SUMIFS($F$2:$F$2739,$G$2:$G$2739,"Multi-year Contract",$E$2:$E$2739,2023)/SUMIF($E$2:$E$2739,2023,$F$2:$F$2739)</f>
        <v>0.5137784540236352</v>
      </c>
    </row>
    <row r="886" spans="1:8" x14ac:dyDescent="0.3">
      <c r="A886" t="s">
        <v>12</v>
      </c>
      <c r="B886" s="3">
        <v>45162</v>
      </c>
      <c r="C886">
        <f t="shared" si="224"/>
        <v>24</v>
      </c>
      <c r="D886">
        <f t="shared" si="225"/>
        <v>8</v>
      </c>
      <c r="E886">
        <f t="shared" si="226"/>
        <v>2023</v>
      </c>
      <c r="F886" s="2">
        <v>1517</v>
      </c>
      <c r="G886" s="2" t="s">
        <v>19</v>
      </c>
      <c r="H886" s="4">
        <f t="shared" si="239"/>
        <v>0.5137784540236352</v>
      </c>
    </row>
    <row r="887" spans="1:8" x14ac:dyDescent="0.3">
      <c r="A887" t="s">
        <v>7</v>
      </c>
      <c r="B887" s="3">
        <v>45162</v>
      </c>
      <c r="C887">
        <f t="shared" si="224"/>
        <v>24</v>
      </c>
      <c r="D887">
        <f t="shared" si="225"/>
        <v>8</v>
      </c>
      <c r="E887">
        <f t="shared" si="226"/>
        <v>2023</v>
      </c>
      <c r="F887" s="2">
        <v>3683</v>
      </c>
      <c r="G887" t="s">
        <v>17</v>
      </c>
      <c r="H887" s="4">
        <f>SUMIFS($F$2:$F$2739,$G$2:$G$2739,"No Contract",$E$2:$E$2739,2023)/SUMIF($E$2:$E$2739,2023,$F$2:$F$2739)</f>
        <v>0.20934732870162456</v>
      </c>
    </row>
    <row r="888" spans="1:8" x14ac:dyDescent="0.3">
      <c r="A888" t="s">
        <v>3</v>
      </c>
      <c r="B888" s="3">
        <v>45163</v>
      </c>
      <c r="C888">
        <f t="shared" si="224"/>
        <v>25</v>
      </c>
      <c r="D888">
        <f t="shared" si="225"/>
        <v>8</v>
      </c>
      <c r="E888">
        <f t="shared" si="226"/>
        <v>2023</v>
      </c>
      <c r="F888" s="2">
        <v>3757</v>
      </c>
      <c r="G888" t="s">
        <v>19</v>
      </c>
      <c r="H888" s="4">
        <f t="shared" ref="H888:H889" si="240">SUMIFS($F$2:$F$2739,$G$2:$G$2739,"Multi-year Contract",$E$2:$E$2739,2023)/SUMIF($E$2:$E$2739,2023,$F$2:$F$2739)</f>
        <v>0.5137784540236352</v>
      </c>
    </row>
    <row r="889" spans="1:8" x14ac:dyDescent="0.3">
      <c r="A889" t="s">
        <v>3</v>
      </c>
      <c r="B889" s="3">
        <v>45163</v>
      </c>
      <c r="C889">
        <f t="shared" si="224"/>
        <v>25</v>
      </c>
      <c r="D889">
        <f t="shared" si="225"/>
        <v>8</v>
      </c>
      <c r="E889">
        <f t="shared" si="226"/>
        <v>2023</v>
      </c>
      <c r="F889" s="2">
        <v>1178</v>
      </c>
      <c r="G889" t="s">
        <v>19</v>
      </c>
      <c r="H889" s="4">
        <f t="shared" si="240"/>
        <v>0.5137784540236352</v>
      </c>
    </row>
    <row r="890" spans="1:8" x14ac:dyDescent="0.3">
      <c r="A890" t="s">
        <v>6</v>
      </c>
      <c r="B890" s="3">
        <v>45163</v>
      </c>
      <c r="C890">
        <f t="shared" si="224"/>
        <v>25</v>
      </c>
      <c r="D890">
        <f t="shared" si="225"/>
        <v>8</v>
      </c>
      <c r="E890">
        <f t="shared" si="226"/>
        <v>2023</v>
      </c>
      <c r="F890" s="2">
        <v>3274</v>
      </c>
      <c r="G890" t="s">
        <v>18</v>
      </c>
      <c r="H890" s="4">
        <f t="shared" ref="H890:H891" si="241">SUMIFS($F$2:$F$2739,$G$2:$G$2739,"Annual Contract",$E$2:$E$2739,2023)/SUMIF($E$2:$E$2739,2023,$F$2:$F$2739)</f>
        <v>0.27687421727474026</v>
      </c>
    </row>
    <row r="891" spans="1:8" x14ac:dyDescent="0.3">
      <c r="A891" t="s">
        <v>6</v>
      </c>
      <c r="B891" s="3">
        <v>45164</v>
      </c>
      <c r="C891">
        <f t="shared" si="224"/>
        <v>26</v>
      </c>
      <c r="D891">
        <f t="shared" si="225"/>
        <v>8</v>
      </c>
      <c r="E891">
        <f t="shared" si="226"/>
        <v>2023</v>
      </c>
      <c r="F891" s="2">
        <v>1501</v>
      </c>
      <c r="G891" t="s">
        <v>18</v>
      </c>
      <c r="H891" s="4">
        <f t="shared" si="241"/>
        <v>0.27687421727474026</v>
      </c>
    </row>
    <row r="892" spans="1:8" x14ac:dyDescent="0.3">
      <c r="A892" t="s">
        <v>9</v>
      </c>
      <c r="B892" s="3">
        <v>45164</v>
      </c>
      <c r="C892">
        <f t="shared" si="224"/>
        <v>26</v>
      </c>
      <c r="D892">
        <f t="shared" si="225"/>
        <v>8</v>
      </c>
      <c r="E892">
        <f t="shared" si="226"/>
        <v>2023</v>
      </c>
      <c r="F892" s="2">
        <v>580</v>
      </c>
      <c r="G892" t="s">
        <v>17</v>
      </c>
      <c r="H892" s="4">
        <f>SUMIFS($F$2:$F$2739,$G$2:$G$2739,"No Contract",$E$2:$E$2739,2023)/SUMIF($E$2:$E$2739,2023,$F$2:$F$2739)</f>
        <v>0.20934732870162456</v>
      </c>
    </row>
    <row r="893" spans="1:8" x14ac:dyDescent="0.3">
      <c r="A893" t="s">
        <v>5</v>
      </c>
      <c r="B893" s="3">
        <v>45164</v>
      </c>
      <c r="C893">
        <f t="shared" si="224"/>
        <v>26</v>
      </c>
      <c r="D893">
        <f t="shared" si="225"/>
        <v>8</v>
      </c>
      <c r="E893">
        <f t="shared" si="226"/>
        <v>2023</v>
      </c>
      <c r="F893" s="2">
        <v>1143</v>
      </c>
      <c r="G893" t="s">
        <v>18</v>
      </c>
      <c r="H893" s="4">
        <f>SUMIFS($F$2:$F$2739,$G$2:$G$2739,"Annual Contract",$E$2:$E$2739,2023)/SUMIF($E$2:$E$2739,2023,$F$2:$F$2739)</f>
        <v>0.27687421727474026</v>
      </c>
    </row>
    <row r="894" spans="1:8" x14ac:dyDescent="0.3">
      <c r="A894" t="s">
        <v>4</v>
      </c>
      <c r="B894" s="3">
        <v>45165</v>
      </c>
      <c r="C894">
        <f t="shared" si="224"/>
        <v>27</v>
      </c>
      <c r="D894">
        <f t="shared" si="225"/>
        <v>8</v>
      </c>
      <c r="E894">
        <f t="shared" si="226"/>
        <v>2023</v>
      </c>
      <c r="F894" s="2">
        <v>567</v>
      </c>
      <c r="G894" s="2" t="s">
        <v>19</v>
      </c>
      <c r="H894" s="4">
        <f t="shared" ref="H894:H898" si="242">SUMIFS($F$2:$F$2739,$G$2:$G$2739,"Multi-year Contract",$E$2:$E$2739,2023)/SUMIF($E$2:$E$2739,2023,$F$2:$F$2739)</f>
        <v>0.5137784540236352</v>
      </c>
    </row>
    <row r="895" spans="1:8" x14ac:dyDescent="0.3">
      <c r="A895" t="s">
        <v>12</v>
      </c>
      <c r="B895" s="3">
        <v>45165</v>
      </c>
      <c r="C895">
        <f t="shared" si="224"/>
        <v>27</v>
      </c>
      <c r="D895">
        <f t="shared" si="225"/>
        <v>8</v>
      </c>
      <c r="E895">
        <f t="shared" si="226"/>
        <v>2023</v>
      </c>
      <c r="F895" s="2">
        <v>622</v>
      </c>
      <c r="G895" s="2" t="s">
        <v>19</v>
      </c>
      <c r="H895" s="4">
        <f t="shared" si="242"/>
        <v>0.5137784540236352</v>
      </c>
    </row>
    <row r="896" spans="1:8" x14ac:dyDescent="0.3">
      <c r="A896" t="s">
        <v>4</v>
      </c>
      <c r="B896" s="3">
        <v>45165</v>
      </c>
      <c r="C896">
        <f t="shared" si="224"/>
        <v>27</v>
      </c>
      <c r="D896">
        <f t="shared" si="225"/>
        <v>8</v>
      </c>
      <c r="E896">
        <f t="shared" si="226"/>
        <v>2023</v>
      </c>
      <c r="F896" s="2">
        <v>3965</v>
      </c>
      <c r="G896" s="2" t="s">
        <v>19</v>
      </c>
      <c r="H896" s="4">
        <f t="shared" si="242"/>
        <v>0.5137784540236352</v>
      </c>
    </row>
    <row r="897" spans="1:8" x14ac:dyDescent="0.3">
      <c r="A897" t="s">
        <v>4</v>
      </c>
      <c r="B897" s="3">
        <v>45166</v>
      </c>
      <c r="C897">
        <f t="shared" si="224"/>
        <v>28</v>
      </c>
      <c r="D897">
        <f t="shared" si="225"/>
        <v>8</v>
      </c>
      <c r="E897">
        <f t="shared" si="226"/>
        <v>2023</v>
      </c>
      <c r="F897" s="2">
        <v>2094</v>
      </c>
      <c r="G897" s="2" t="s">
        <v>19</v>
      </c>
      <c r="H897" s="4">
        <f t="shared" si="242"/>
        <v>0.5137784540236352</v>
      </c>
    </row>
    <row r="898" spans="1:8" x14ac:dyDescent="0.3">
      <c r="A898" t="s">
        <v>12</v>
      </c>
      <c r="B898" s="3">
        <v>45166</v>
      </c>
      <c r="C898">
        <f t="shared" si="224"/>
        <v>28</v>
      </c>
      <c r="D898">
        <f t="shared" si="225"/>
        <v>8</v>
      </c>
      <c r="E898">
        <f t="shared" si="226"/>
        <v>2023</v>
      </c>
      <c r="F898" s="2">
        <v>940</v>
      </c>
      <c r="G898" s="2" t="s">
        <v>19</v>
      </c>
      <c r="H898" s="4">
        <f t="shared" si="242"/>
        <v>0.5137784540236352</v>
      </c>
    </row>
    <row r="899" spans="1:8" x14ac:dyDescent="0.3">
      <c r="A899" t="s">
        <v>5</v>
      </c>
      <c r="B899" s="3">
        <v>45166</v>
      </c>
      <c r="C899">
        <f t="shared" ref="C899:C962" si="243">DAY(B899)</f>
        <v>28</v>
      </c>
      <c r="D899">
        <f t="shared" ref="D899:D962" si="244">MONTH(B899)</f>
        <v>8</v>
      </c>
      <c r="E899">
        <f t="shared" ref="E899:E962" si="245">YEAR(B899)</f>
        <v>2023</v>
      </c>
      <c r="F899" s="2">
        <v>1020</v>
      </c>
      <c r="G899" t="s">
        <v>18</v>
      </c>
      <c r="H899" s="4">
        <f>SUMIFS($F$2:$F$2739,$G$2:$G$2739,"Annual Contract",$E$2:$E$2739,2023)/SUMIF($E$2:$E$2739,2023,$F$2:$F$2739)</f>
        <v>0.27687421727474026</v>
      </c>
    </row>
    <row r="900" spans="1:8" x14ac:dyDescent="0.3">
      <c r="A900" t="s">
        <v>4</v>
      </c>
      <c r="B900" s="3">
        <v>45166</v>
      </c>
      <c r="C900">
        <f t="shared" si="243"/>
        <v>28</v>
      </c>
      <c r="D900">
        <f t="shared" si="244"/>
        <v>8</v>
      </c>
      <c r="E900">
        <f t="shared" si="245"/>
        <v>2023</v>
      </c>
      <c r="F900" s="2">
        <v>3429</v>
      </c>
      <c r="G900" s="2" t="s">
        <v>19</v>
      </c>
      <c r="H900" s="4">
        <f>SUMIFS($F$2:$F$2739,$G$2:$G$2739,"Multi-year Contract",$E$2:$E$2739,2023)/SUMIF($E$2:$E$2739,2023,$F$2:$F$2739)</f>
        <v>0.5137784540236352</v>
      </c>
    </row>
    <row r="901" spans="1:8" x14ac:dyDescent="0.3">
      <c r="A901" t="s">
        <v>7</v>
      </c>
      <c r="B901" s="3">
        <v>45166</v>
      </c>
      <c r="C901">
        <f t="shared" si="243"/>
        <v>28</v>
      </c>
      <c r="D901">
        <f t="shared" si="244"/>
        <v>8</v>
      </c>
      <c r="E901">
        <f t="shared" si="245"/>
        <v>2023</v>
      </c>
      <c r="F901" s="2">
        <v>3739</v>
      </c>
      <c r="G901" t="s">
        <v>17</v>
      </c>
      <c r="H901" s="4">
        <f>SUMIFS($F$2:$F$2739,$G$2:$G$2739,"No Contract",$E$2:$E$2739,2023)/SUMIF($E$2:$E$2739,2023,$F$2:$F$2739)</f>
        <v>0.20934732870162456</v>
      </c>
    </row>
    <row r="902" spans="1:8" x14ac:dyDescent="0.3">
      <c r="A902" t="s">
        <v>3</v>
      </c>
      <c r="B902" s="3">
        <v>45167</v>
      </c>
      <c r="C902">
        <f t="shared" si="243"/>
        <v>29</v>
      </c>
      <c r="D902">
        <f t="shared" si="244"/>
        <v>8</v>
      </c>
      <c r="E902">
        <f t="shared" si="245"/>
        <v>2023</v>
      </c>
      <c r="F902" s="2">
        <v>1847</v>
      </c>
      <c r="G902" t="s">
        <v>19</v>
      </c>
      <c r="H902" s="4">
        <f t="shared" ref="H902:H903" si="246">SUMIFS($F$2:$F$2739,$G$2:$G$2739,"Multi-year Contract",$E$2:$E$2739,2023)/SUMIF($E$2:$E$2739,2023,$F$2:$F$2739)</f>
        <v>0.5137784540236352</v>
      </c>
    </row>
    <row r="903" spans="1:8" x14ac:dyDescent="0.3">
      <c r="A903" t="s">
        <v>10</v>
      </c>
      <c r="B903" s="3">
        <v>45167</v>
      </c>
      <c r="C903">
        <f t="shared" si="243"/>
        <v>29</v>
      </c>
      <c r="D903">
        <f t="shared" si="244"/>
        <v>8</v>
      </c>
      <c r="E903">
        <f t="shared" si="245"/>
        <v>2023</v>
      </c>
      <c r="F903" s="2">
        <v>2536</v>
      </c>
      <c r="G903" t="s">
        <v>19</v>
      </c>
      <c r="H903" s="4">
        <f t="shared" si="246"/>
        <v>0.5137784540236352</v>
      </c>
    </row>
    <row r="904" spans="1:8" x14ac:dyDescent="0.3">
      <c r="A904" t="s">
        <v>5</v>
      </c>
      <c r="B904" s="3">
        <v>45167</v>
      </c>
      <c r="C904">
        <f t="shared" si="243"/>
        <v>29</v>
      </c>
      <c r="D904">
        <f t="shared" si="244"/>
        <v>8</v>
      </c>
      <c r="E904">
        <f t="shared" si="245"/>
        <v>2023</v>
      </c>
      <c r="F904" s="2">
        <v>1976</v>
      </c>
      <c r="G904" t="s">
        <v>18</v>
      </c>
      <c r="H904" s="4">
        <f>SUMIFS($F$2:$F$2739,$G$2:$G$2739,"Annual Contract",$E$2:$E$2739,2023)/SUMIF($E$2:$E$2739,2023,$F$2:$F$2739)</f>
        <v>0.27687421727474026</v>
      </c>
    </row>
    <row r="905" spans="1:8" x14ac:dyDescent="0.3">
      <c r="A905" t="s">
        <v>10</v>
      </c>
      <c r="B905" s="3">
        <v>45167</v>
      </c>
      <c r="C905">
        <f t="shared" si="243"/>
        <v>29</v>
      </c>
      <c r="D905">
        <f t="shared" si="244"/>
        <v>8</v>
      </c>
      <c r="E905">
        <f t="shared" si="245"/>
        <v>2023</v>
      </c>
      <c r="F905" s="2">
        <v>2781</v>
      </c>
      <c r="G905" t="s">
        <v>19</v>
      </c>
      <c r="H905" s="4">
        <f>SUMIFS($F$2:$F$2739,$G$2:$G$2739,"Multi-year Contract",$E$2:$E$2739,2023)/SUMIF($E$2:$E$2739,2023,$F$2:$F$2739)</f>
        <v>0.5137784540236352</v>
      </c>
    </row>
    <row r="906" spans="1:8" x14ac:dyDescent="0.3">
      <c r="A906" t="s">
        <v>7</v>
      </c>
      <c r="B906" s="3">
        <v>45168</v>
      </c>
      <c r="C906">
        <f t="shared" si="243"/>
        <v>30</v>
      </c>
      <c r="D906">
        <f t="shared" si="244"/>
        <v>8</v>
      </c>
      <c r="E906">
        <f t="shared" si="245"/>
        <v>2023</v>
      </c>
      <c r="F906" s="2">
        <v>3254</v>
      </c>
      <c r="G906" t="s">
        <v>17</v>
      </c>
      <c r="H906" s="4">
        <f t="shared" ref="H906:H907" si="247">SUMIFS($F$2:$F$2739,$G$2:$G$2739,"No Contract",$E$2:$E$2739,2023)/SUMIF($E$2:$E$2739,2023,$F$2:$F$2739)</f>
        <v>0.20934732870162456</v>
      </c>
    </row>
    <row r="907" spans="1:8" x14ac:dyDescent="0.3">
      <c r="A907" t="s">
        <v>7</v>
      </c>
      <c r="B907" s="3">
        <v>45168</v>
      </c>
      <c r="C907">
        <f t="shared" si="243"/>
        <v>30</v>
      </c>
      <c r="D907">
        <f t="shared" si="244"/>
        <v>8</v>
      </c>
      <c r="E907">
        <f t="shared" si="245"/>
        <v>2023</v>
      </c>
      <c r="F907" s="2">
        <v>1908</v>
      </c>
      <c r="G907" t="s">
        <v>17</v>
      </c>
      <c r="H907" s="4">
        <f t="shared" si="247"/>
        <v>0.20934732870162456</v>
      </c>
    </row>
    <row r="908" spans="1:8" x14ac:dyDescent="0.3">
      <c r="A908" t="s">
        <v>6</v>
      </c>
      <c r="B908" s="3">
        <v>45168</v>
      </c>
      <c r="C908">
        <f t="shared" si="243"/>
        <v>30</v>
      </c>
      <c r="D908">
        <f t="shared" si="244"/>
        <v>8</v>
      </c>
      <c r="E908">
        <f t="shared" si="245"/>
        <v>2023</v>
      </c>
      <c r="F908" s="2">
        <v>2028</v>
      </c>
      <c r="G908" t="s">
        <v>18</v>
      </c>
      <c r="H908" s="4">
        <f>SUMIFS($F$2:$F$2739,$G$2:$G$2739,"Annual Contract",$E$2:$E$2739,2023)/SUMIF($E$2:$E$2739,2023,$F$2:$F$2739)</f>
        <v>0.27687421727474026</v>
      </c>
    </row>
    <row r="909" spans="1:8" x14ac:dyDescent="0.3">
      <c r="A909" t="s">
        <v>7</v>
      </c>
      <c r="B909" s="3">
        <v>45168</v>
      </c>
      <c r="C909">
        <f t="shared" si="243"/>
        <v>30</v>
      </c>
      <c r="D909">
        <f t="shared" si="244"/>
        <v>8</v>
      </c>
      <c r="E909">
        <f t="shared" si="245"/>
        <v>2023</v>
      </c>
      <c r="F909" s="2">
        <v>3109</v>
      </c>
      <c r="G909" t="s">
        <v>17</v>
      </c>
      <c r="H909" s="4">
        <f t="shared" ref="H909:H910" si="248">SUMIFS($F$2:$F$2739,$G$2:$G$2739,"No Contract",$E$2:$E$2739,2023)/SUMIF($E$2:$E$2739,2023,$F$2:$F$2739)</f>
        <v>0.20934732870162456</v>
      </c>
    </row>
    <row r="910" spans="1:8" x14ac:dyDescent="0.3">
      <c r="A910" t="s">
        <v>9</v>
      </c>
      <c r="B910" s="3">
        <v>45168</v>
      </c>
      <c r="C910">
        <f t="shared" si="243"/>
        <v>30</v>
      </c>
      <c r="D910">
        <f t="shared" si="244"/>
        <v>8</v>
      </c>
      <c r="E910">
        <f t="shared" si="245"/>
        <v>2023</v>
      </c>
      <c r="F910" s="2">
        <v>685</v>
      </c>
      <c r="G910" t="s">
        <v>17</v>
      </c>
      <c r="H910" s="4">
        <f t="shared" si="248"/>
        <v>0.20934732870162456</v>
      </c>
    </row>
    <row r="911" spans="1:8" x14ac:dyDescent="0.3">
      <c r="A911" t="s">
        <v>6</v>
      </c>
      <c r="B911" s="3">
        <v>45169</v>
      </c>
      <c r="C911">
        <f t="shared" si="243"/>
        <v>31</v>
      </c>
      <c r="D911">
        <f t="shared" si="244"/>
        <v>8</v>
      </c>
      <c r="E911">
        <f t="shared" si="245"/>
        <v>2023</v>
      </c>
      <c r="F911" s="2">
        <v>1778</v>
      </c>
      <c r="G911" t="s">
        <v>18</v>
      </c>
      <c r="H911" s="4">
        <f>SUMIFS($F$2:$F$2739,$G$2:$G$2739,"Annual Contract",$E$2:$E$2739,2023)/SUMIF($E$2:$E$2739,2023,$F$2:$F$2739)</f>
        <v>0.27687421727474026</v>
      </c>
    </row>
    <row r="912" spans="1:8" x14ac:dyDescent="0.3">
      <c r="A912" t="s">
        <v>10</v>
      </c>
      <c r="B912" s="3">
        <v>45169</v>
      </c>
      <c r="C912">
        <f t="shared" si="243"/>
        <v>31</v>
      </c>
      <c r="D912">
        <f t="shared" si="244"/>
        <v>8</v>
      </c>
      <c r="E912">
        <f t="shared" si="245"/>
        <v>2023</v>
      </c>
      <c r="F912" s="2">
        <v>2795</v>
      </c>
      <c r="G912" t="s">
        <v>19</v>
      </c>
      <c r="H912" s="4">
        <f t="shared" ref="H912:H913" si="249">SUMIFS($F$2:$F$2739,$G$2:$G$2739,"Multi-year Contract",$E$2:$E$2739,2023)/SUMIF($E$2:$E$2739,2023,$F$2:$F$2739)</f>
        <v>0.5137784540236352</v>
      </c>
    </row>
    <row r="913" spans="1:8" x14ac:dyDescent="0.3">
      <c r="A913" t="s">
        <v>12</v>
      </c>
      <c r="B913" s="3">
        <v>45169</v>
      </c>
      <c r="C913">
        <f t="shared" si="243"/>
        <v>31</v>
      </c>
      <c r="D913">
        <f t="shared" si="244"/>
        <v>8</v>
      </c>
      <c r="E913">
        <f t="shared" si="245"/>
        <v>2023</v>
      </c>
      <c r="F913" s="2">
        <v>1907</v>
      </c>
      <c r="G913" s="2" t="s">
        <v>19</v>
      </c>
      <c r="H913" s="4">
        <f t="shared" si="249"/>
        <v>0.5137784540236352</v>
      </c>
    </row>
    <row r="914" spans="1:8" x14ac:dyDescent="0.3">
      <c r="A914" t="s">
        <v>9</v>
      </c>
      <c r="B914" s="3">
        <v>45169</v>
      </c>
      <c r="C914">
        <f t="shared" si="243"/>
        <v>31</v>
      </c>
      <c r="D914">
        <f t="shared" si="244"/>
        <v>8</v>
      </c>
      <c r="E914">
        <f t="shared" si="245"/>
        <v>2023</v>
      </c>
      <c r="F914" s="2">
        <v>3380</v>
      </c>
      <c r="G914" t="s">
        <v>17</v>
      </c>
      <c r="H914" s="4">
        <f t="shared" ref="H914:H915" si="250">SUMIFS($F$2:$F$2739,$G$2:$G$2739,"No Contract",$E$2:$E$2739,2023)/SUMIF($E$2:$E$2739,2023,$F$2:$F$2739)</f>
        <v>0.20934732870162456</v>
      </c>
    </row>
    <row r="915" spans="1:8" x14ac:dyDescent="0.3">
      <c r="A915" t="s">
        <v>9</v>
      </c>
      <c r="B915" s="3">
        <v>45169</v>
      </c>
      <c r="C915">
        <f t="shared" si="243"/>
        <v>31</v>
      </c>
      <c r="D915">
        <f t="shared" si="244"/>
        <v>8</v>
      </c>
      <c r="E915">
        <f t="shared" si="245"/>
        <v>2023</v>
      </c>
      <c r="F915" s="2">
        <v>1133</v>
      </c>
      <c r="G915" t="s">
        <v>17</v>
      </c>
      <c r="H915" s="4">
        <f t="shared" si="250"/>
        <v>0.20934732870162456</v>
      </c>
    </row>
    <row r="916" spans="1:8" x14ac:dyDescent="0.3">
      <c r="A916" t="s">
        <v>3</v>
      </c>
      <c r="B916" s="3">
        <v>45169</v>
      </c>
      <c r="C916">
        <f t="shared" si="243"/>
        <v>31</v>
      </c>
      <c r="D916">
        <f t="shared" si="244"/>
        <v>8</v>
      </c>
      <c r="E916">
        <f t="shared" si="245"/>
        <v>2023</v>
      </c>
      <c r="F916" s="2">
        <v>1763</v>
      </c>
      <c r="G916" t="s">
        <v>19</v>
      </c>
      <c r="H916" s="4">
        <f>SUMIFS($F$2:$F$2739,$G$2:$G$2739,"Multi-year Contract",$E$2:$E$2739,2023)/SUMIF($E$2:$E$2739,2023,$F$2:$F$2739)</f>
        <v>0.5137784540236352</v>
      </c>
    </row>
    <row r="917" spans="1:8" x14ac:dyDescent="0.3">
      <c r="A917" t="s">
        <v>7</v>
      </c>
      <c r="B917" s="3">
        <v>45170</v>
      </c>
      <c r="C917">
        <f t="shared" si="243"/>
        <v>1</v>
      </c>
      <c r="D917">
        <f t="shared" si="244"/>
        <v>9</v>
      </c>
      <c r="E917">
        <f t="shared" si="245"/>
        <v>2023</v>
      </c>
      <c r="F917" s="2">
        <v>2832</v>
      </c>
      <c r="G917" t="s">
        <v>17</v>
      </c>
      <c r="H917" s="4">
        <f>SUMIFS($F$2:$F$2739,$G$2:$G$2739,"No Contract",$E$2:$E$2739,2023)/SUMIF($E$2:$E$2739,2023,$F$2:$F$2739)</f>
        <v>0.20934732870162456</v>
      </c>
    </row>
    <row r="918" spans="1:8" x14ac:dyDescent="0.3">
      <c r="A918" t="s">
        <v>5</v>
      </c>
      <c r="B918" s="3">
        <v>45170</v>
      </c>
      <c r="C918">
        <f t="shared" si="243"/>
        <v>1</v>
      </c>
      <c r="D918">
        <f t="shared" si="244"/>
        <v>9</v>
      </c>
      <c r="E918">
        <f t="shared" si="245"/>
        <v>2023</v>
      </c>
      <c r="F918" s="2">
        <v>1245</v>
      </c>
      <c r="G918" t="s">
        <v>18</v>
      </c>
      <c r="H918" s="4">
        <f>SUMIFS($F$2:$F$2739,$G$2:$G$2739,"Annual Contract",$E$2:$E$2739,2023)/SUMIF($E$2:$E$2739,2023,$F$2:$F$2739)</f>
        <v>0.27687421727474026</v>
      </c>
    </row>
    <row r="919" spans="1:8" x14ac:dyDescent="0.3">
      <c r="A919" t="s">
        <v>3</v>
      </c>
      <c r="B919" s="3">
        <v>45170</v>
      </c>
      <c r="C919">
        <f t="shared" si="243"/>
        <v>1</v>
      </c>
      <c r="D919">
        <f t="shared" si="244"/>
        <v>9</v>
      </c>
      <c r="E919">
        <f t="shared" si="245"/>
        <v>2023</v>
      </c>
      <c r="F919" s="2">
        <v>1857</v>
      </c>
      <c r="G919" t="s">
        <v>19</v>
      </c>
      <c r="H919" s="4">
        <f t="shared" ref="H919:H921" si="251">SUMIFS($F$2:$F$2739,$G$2:$G$2739,"Multi-year Contract",$E$2:$E$2739,2023)/SUMIF($E$2:$E$2739,2023,$F$2:$F$2739)</f>
        <v>0.5137784540236352</v>
      </c>
    </row>
    <row r="920" spans="1:8" x14ac:dyDescent="0.3">
      <c r="A920" t="s">
        <v>12</v>
      </c>
      <c r="B920" s="3">
        <v>45171</v>
      </c>
      <c r="C920">
        <f t="shared" si="243"/>
        <v>2</v>
      </c>
      <c r="D920">
        <f t="shared" si="244"/>
        <v>9</v>
      </c>
      <c r="E920">
        <f t="shared" si="245"/>
        <v>2023</v>
      </c>
      <c r="F920" s="2">
        <v>1334</v>
      </c>
      <c r="G920" s="2" t="s">
        <v>19</v>
      </c>
      <c r="H920" s="4">
        <f t="shared" si="251"/>
        <v>0.5137784540236352</v>
      </c>
    </row>
    <row r="921" spans="1:8" x14ac:dyDescent="0.3">
      <c r="A921" t="s">
        <v>3</v>
      </c>
      <c r="B921" s="3">
        <v>45171</v>
      </c>
      <c r="C921">
        <f t="shared" si="243"/>
        <v>2</v>
      </c>
      <c r="D921">
        <f t="shared" si="244"/>
        <v>9</v>
      </c>
      <c r="E921">
        <f t="shared" si="245"/>
        <v>2023</v>
      </c>
      <c r="F921" s="2">
        <v>556</v>
      </c>
      <c r="G921" t="s">
        <v>19</v>
      </c>
      <c r="H921" s="4">
        <f t="shared" si="251"/>
        <v>0.5137784540236352</v>
      </c>
    </row>
    <row r="922" spans="1:8" x14ac:dyDescent="0.3">
      <c r="A922" t="s">
        <v>9</v>
      </c>
      <c r="B922" s="3">
        <v>45171</v>
      </c>
      <c r="C922">
        <f t="shared" si="243"/>
        <v>2</v>
      </c>
      <c r="D922">
        <f t="shared" si="244"/>
        <v>9</v>
      </c>
      <c r="E922">
        <f t="shared" si="245"/>
        <v>2023</v>
      </c>
      <c r="F922" s="2">
        <v>3447</v>
      </c>
      <c r="G922" t="s">
        <v>17</v>
      </c>
      <c r="H922" s="4">
        <f>SUMIFS($F$2:$F$2739,$G$2:$G$2739,"No Contract",$E$2:$E$2739,2023)/SUMIF($E$2:$E$2739,2023,$F$2:$F$2739)</f>
        <v>0.20934732870162456</v>
      </c>
    </row>
    <row r="923" spans="1:8" x14ac:dyDescent="0.3">
      <c r="A923" t="s">
        <v>3</v>
      </c>
      <c r="B923" s="3">
        <v>45172</v>
      </c>
      <c r="C923">
        <f t="shared" si="243"/>
        <v>3</v>
      </c>
      <c r="D923">
        <f t="shared" si="244"/>
        <v>9</v>
      </c>
      <c r="E923">
        <f t="shared" si="245"/>
        <v>2023</v>
      </c>
      <c r="F923" s="2">
        <v>1567</v>
      </c>
      <c r="G923" t="s">
        <v>19</v>
      </c>
      <c r="H923" s="4">
        <f>SUMIFS($F$2:$F$2739,$G$2:$G$2739,"Multi-year Contract",$E$2:$E$2739,2023)/SUMIF($E$2:$E$2739,2023,$F$2:$F$2739)</f>
        <v>0.5137784540236352</v>
      </c>
    </row>
    <row r="924" spans="1:8" x14ac:dyDescent="0.3">
      <c r="A924" t="s">
        <v>8</v>
      </c>
      <c r="B924" s="3">
        <v>45172</v>
      </c>
      <c r="C924">
        <f t="shared" si="243"/>
        <v>3</v>
      </c>
      <c r="D924">
        <f t="shared" si="244"/>
        <v>9</v>
      </c>
      <c r="E924">
        <f t="shared" si="245"/>
        <v>2023</v>
      </c>
      <c r="F924" s="2">
        <v>3999</v>
      </c>
      <c r="G924" s="2" t="s">
        <v>18</v>
      </c>
      <c r="H924" s="4">
        <f>SUMIFS($F$2:$F$2739,$G$2:$G$2739,"Annual Contract",$E$2:$E$2739,2023)/SUMIF($E$2:$E$2739,2023,$F$2:$F$2739)</f>
        <v>0.27687421727474026</v>
      </c>
    </row>
    <row r="925" spans="1:8" x14ac:dyDescent="0.3">
      <c r="A925" t="s">
        <v>9</v>
      </c>
      <c r="B925" s="3">
        <v>45172</v>
      </c>
      <c r="C925">
        <f t="shared" si="243"/>
        <v>3</v>
      </c>
      <c r="D925">
        <f t="shared" si="244"/>
        <v>9</v>
      </c>
      <c r="E925">
        <f t="shared" si="245"/>
        <v>2023</v>
      </c>
      <c r="F925" s="2">
        <v>1051</v>
      </c>
      <c r="G925" t="s">
        <v>17</v>
      </c>
      <c r="H925" s="4">
        <f t="shared" ref="H925:H927" si="252">SUMIFS($F$2:$F$2739,$G$2:$G$2739,"No Contract",$E$2:$E$2739,2023)/SUMIF($E$2:$E$2739,2023,$F$2:$F$2739)</f>
        <v>0.20934732870162456</v>
      </c>
    </row>
    <row r="926" spans="1:8" x14ac:dyDescent="0.3">
      <c r="A926" t="s">
        <v>9</v>
      </c>
      <c r="B926" s="3">
        <v>45173</v>
      </c>
      <c r="C926">
        <f t="shared" si="243"/>
        <v>4</v>
      </c>
      <c r="D926">
        <f t="shared" si="244"/>
        <v>9</v>
      </c>
      <c r="E926">
        <f t="shared" si="245"/>
        <v>2023</v>
      </c>
      <c r="F926" s="2">
        <v>2411</v>
      </c>
      <c r="G926" t="s">
        <v>17</v>
      </c>
      <c r="H926" s="4">
        <f t="shared" si="252"/>
        <v>0.20934732870162456</v>
      </c>
    </row>
    <row r="927" spans="1:8" x14ac:dyDescent="0.3">
      <c r="A927" t="s">
        <v>7</v>
      </c>
      <c r="B927" s="3">
        <v>45173</v>
      </c>
      <c r="C927">
        <f t="shared" si="243"/>
        <v>4</v>
      </c>
      <c r="D927">
        <f t="shared" si="244"/>
        <v>9</v>
      </c>
      <c r="E927">
        <f t="shared" si="245"/>
        <v>2023</v>
      </c>
      <c r="F927" s="2">
        <v>2362</v>
      </c>
      <c r="G927" t="s">
        <v>17</v>
      </c>
      <c r="H927" s="4">
        <f t="shared" si="252"/>
        <v>0.20934732870162456</v>
      </c>
    </row>
    <row r="928" spans="1:8" x14ac:dyDescent="0.3">
      <c r="A928" t="s">
        <v>4</v>
      </c>
      <c r="B928" s="3">
        <v>45173</v>
      </c>
      <c r="C928">
        <f t="shared" si="243"/>
        <v>4</v>
      </c>
      <c r="D928">
        <f t="shared" si="244"/>
        <v>9</v>
      </c>
      <c r="E928">
        <f t="shared" si="245"/>
        <v>2023</v>
      </c>
      <c r="F928" s="2">
        <v>1369</v>
      </c>
      <c r="G928" s="2" t="s">
        <v>19</v>
      </c>
      <c r="H928" s="4">
        <f>SUMIFS($F$2:$F$2739,$G$2:$G$2739,"Multi-year Contract",$E$2:$E$2739,2023)/SUMIF($E$2:$E$2739,2023,$F$2:$F$2739)</f>
        <v>0.5137784540236352</v>
      </c>
    </row>
    <row r="929" spans="1:8" x14ac:dyDescent="0.3">
      <c r="A929" t="s">
        <v>7</v>
      </c>
      <c r="B929" s="3">
        <v>45173</v>
      </c>
      <c r="C929">
        <f t="shared" si="243"/>
        <v>4</v>
      </c>
      <c r="D929">
        <f t="shared" si="244"/>
        <v>9</v>
      </c>
      <c r="E929">
        <f t="shared" si="245"/>
        <v>2023</v>
      </c>
      <c r="F929" s="2">
        <v>1500</v>
      </c>
      <c r="G929" t="s">
        <v>17</v>
      </c>
      <c r="H929" s="4">
        <f>SUMIFS($F$2:$F$2739,$G$2:$G$2739,"No Contract",$E$2:$E$2739,2023)/SUMIF($E$2:$E$2739,2023,$F$2:$F$2739)</f>
        <v>0.20934732870162456</v>
      </c>
    </row>
    <row r="930" spans="1:8" x14ac:dyDescent="0.3">
      <c r="A930" t="s">
        <v>12</v>
      </c>
      <c r="B930" s="3">
        <v>45173</v>
      </c>
      <c r="C930">
        <f t="shared" si="243"/>
        <v>4</v>
      </c>
      <c r="D930">
        <f t="shared" si="244"/>
        <v>9</v>
      </c>
      <c r="E930">
        <f t="shared" si="245"/>
        <v>2023</v>
      </c>
      <c r="F930" s="2">
        <v>3008</v>
      </c>
      <c r="G930" s="2" t="s">
        <v>19</v>
      </c>
      <c r="H930" s="4">
        <f t="shared" ref="H930:H931" si="253">SUMIFS($F$2:$F$2739,$G$2:$G$2739,"Multi-year Contract",$E$2:$E$2739,2023)/SUMIF($E$2:$E$2739,2023,$F$2:$F$2739)</f>
        <v>0.5137784540236352</v>
      </c>
    </row>
    <row r="931" spans="1:8" x14ac:dyDescent="0.3">
      <c r="A931" t="s">
        <v>12</v>
      </c>
      <c r="B931" s="3">
        <v>45173</v>
      </c>
      <c r="C931">
        <f t="shared" si="243"/>
        <v>4</v>
      </c>
      <c r="D931">
        <f t="shared" si="244"/>
        <v>9</v>
      </c>
      <c r="E931">
        <f t="shared" si="245"/>
        <v>2023</v>
      </c>
      <c r="F931" s="2">
        <v>3021</v>
      </c>
      <c r="G931" s="2" t="s">
        <v>19</v>
      </c>
      <c r="H931" s="4">
        <f t="shared" si="253"/>
        <v>0.5137784540236352</v>
      </c>
    </row>
    <row r="932" spans="1:8" x14ac:dyDescent="0.3">
      <c r="A932" t="s">
        <v>9</v>
      </c>
      <c r="B932" s="3">
        <v>45174</v>
      </c>
      <c r="C932">
        <f t="shared" si="243"/>
        <v>5</v>
      </c>
      <c r="D932">
        <f t="shared" si="244"/>
        <v>9</v>
      </c>
      <c r="E932">
        <f t="shared" si="245"/>
        <v>2023</v>
      </c>
      <c r="F932" s="2">
        <v>764</v>
      </c>
      <c r="G932" t="s">
        <v>17</v>
      </c>
      <c r="H932" s="4">
        <f t="shared" ref="H932:H935" si="254">SUMIFS($F$2:$F$2739,$G$2:$G$2739,"No Contract",$E$2:$E$2739,2023)/SUMIF($E$2:$E$2739,2023,$F$2:$F$2739)</f>
        <v>0.20934732870162456</v>
      </c>
    </row>
    <row r="933" spans="1:8" x14ac:dyDescent="0.3">
      <c r="A933" t="s">
        <v>9</v>
      </c>
      <c r="B933" s="3">
        <v>45174</v>
      </c>
      <c r="C933">
        <f t="shared" si="243"/>
        <v>5</v>
      </c>
      <c r="D933">
        <f t="shared" si="244"/>
        <v>9</v>
      </c>
      <c r="E933">
        <f t="shared" si="245"/>
        <v>2023</v>
      </c>
      <c r="F933" s="2">
        <v>1875</v>
      </c>
      <c r="G933" t="s">
        <v>17</v>
      </c>
      <c r="H933" s="4">
        <f t="shared" si="254"/>
        <v>0.20934732870162456</v>
      </c>
    </row>
    <row r="934" spans="1:8" x14ac:dyDescent="0.3">
      <c r="A934" t="s">
        <v>7</v>
      </c>
      <c r="B934" s="3">
        <v>45174</v>
      </c>
      <c r="C934">
        <f t="shared" si="243"/>
        <v>5</v>
      </c>
      <c r="D934">
        <f t="shared" si="244"/>
        <v>9</v>
      </c>
      <c r="E934">
        <f t="shared" si="245"/>
        <v>2023</v>
      </c>
      <c r="F934" s="2">
        <v>2290</v>
      </c>
      <c r="G934" t="s">
        <v>17</v>
      </c>
      <c r="H934" s="4">
        <f t="shared" si="254"/>
        <v>0.20934732870162456</v>
      </c>
    </row>
    <row r="935" spans="1:8" x14ac:dyDescent="0.3">
      <c r="A935" t="s">
        <v>9</v>
      </c>
      <c r="B935" s="3">
        <v>45174</v>
      </c>
      <c r="C935">
        <f t="shared" si="243"/>
        <v>5</v>
      </c>
      <c r="D935">
        <f t="shared" si="244"/>
        <v>9</v>
      </c>
      <c r="E935">
        <f t="shared" si="245"/>
        <v>2023</v>
      </c>
      <c r="F935" s="2">
        <v>2412</v>
      </c>
      <c r="G935" t="s">
        <v>17</v>
      </c>
      <c r="H935" s="4">
        <f t="shared" si="254"/>
        <v>0.20934732870162456</v>
      </c>
    </row>
    <row r="936" spans="1:8" x14ac:dyDescent="0.3">
      <c r="A936" t="s">
        <v>8</v>
      </c>
      <c r="B936" s="3">
        <v>45174</v>
      </c>
      <c r="C936">
        <f t="shared" si="243"/>
        <v>5</v>
      </c>
      <c r="D936">
        <f t="shared" si="244"/>
        <v>9</v>
      </c>
      <c r="E936">
        <f t="shared" si="245"/>
        <v>2023</v>
      </c>
      <c r="F936" s="2">
        <v>2460</v>
      </c>
      <c r="G936" s="2" t="s">
        <v>18</v>
      </c>
      <c r="H936" s="4">
        <f>SUMIFS($F$2:$F$2739,$G$2:$G$2739,"Annual Contract",$E$2:$E$2739,2023)/SUMIF($E$2:$E$2739,2023,$F$2:$F$2739)</f>
        <v>0.27687421727474026</v>
      </c>
    </row>
    <row r="937" spans="1:8" x14ac:dyDescent="0.3">
      <c r="A937" t="s">
        <v>4</v>
      </c>
      <c r="B937" s="3">
        <v>45174</v>
      </c>
      <c r="C937">
        <f t="shared" si="243"/>
        <v>5</v>
      </c>
      <c r="D937">
        <f t="shared" si="244"/>
        <v>9</v>
      </c>
      <c r="E937">
        <f t="shared" si="245"/>
        <v>2023</v>
      </c>
      <c r="F937" s="2">
        <v>1225</v>
      </c>
      <c r="G937" s="2" t="s">
        <v>19</v>
      </c>
      <c r="H937" s="4">
        <f t="shared" ref="H937:H940" si="255">SUMIFS($F$2:$F$2739,$G$2:$G$2739,"Multi-year Contract",$E$2:$E$2739,2023)/SUMIF($E$2:$E$2739,2023,$F$2:$F$2739)</f>
        <v>0.5137784540236352</v>
      </c>
    </row>
    <row r="938" spans="1:8" x14ac:dyDescent="0.3">
      <c r="A938" t="s">
        <v>3</v>
      </c>
      <c r="B938" s="3">
        <v>45175</v>
      </c>
      <c r="C938">
        <f t="shared" si="243"/>
        <v>6</v>
      </c>
      <c r="D938">
        <f t="shared" si="244"/>
        <v>9</v>
      </c>
      <c r="E938">
        <f t="shared" si="245"/>
        <v>2023</v>
      </c>
      <c r="F938" s="2">
        <v>1137</v>
      </c>
      <c r="G938" t="s">
        <v>19</v>
      </c>
      <c r="H938" s="4">
        <f t="shared" si="255"/>
        <v>0.5137784540236352</v>
      </c>
    </row>
    <row r="939" spans="1:8" x14ac:dyDescent="0.3">
      <c r="A939" t="s">
        <v>11</v>
      </c>
      <c r="B939" s="3">
        <v>45175</v>
      </c>
      <c r="C939">
        <f t="shared" si="243"/>
        <v>6</v>
      </c>
      <c r="D939">
        <f t="shared" si="244"/>
        <v>9</v>
      </c>
      <c r="E939">
        <f t="shared" si="245"/>
        <v>2023</v>
      </c>
      <c r="F939" s="2">
        <v>702</v>
      </c>
      <c r="G939" t="s">
        <v>19</v>
      </c>
      <c r="H939" s="4">
        <f t="shared" si="255"/>
        <v>0.5137784540236352</v>
      </c>
    </row>
    <row r="940" spans="1:8" x14ac:dyDescent="0.3">
      <c r="A940" t="s">
        <v>3</v>
      </c>
      <c r="B940" s="3">
        <v>45177</v>
      </c>
      <c r="C940">
        <f t="shared" si="243"/>
        <v>8</v>
      </c>
      <c r="D940">
        <f t="shared" si="244"/>
        <v>9</v>
      </c>
      <c r="E940">
        <f t="shared" si="245"/>
        <v>2023</v>
      </c>
      <c r="F940" s="2">
        <v>911</v>
      </c>
      <c r="G940" t="s">
        <v>19</v>
      </c>
      <c r="H940" s="4">
        <f t="shared" si="255"/>
        <v>0.5137784540236352</v>
      </c>
    </row>
    <row r="941" spans="1:8" x14ac:dyDescent="0.3">
      <c r="A941" t="s">
        <v>6</v>
      </c>
      <c r="B941" s="3">
        <v>45177</v>
      </c>
      <c r="C941">
        <f t="shared" si="243"/>
        <v>8</v>
      </c>
      <c r="D941">
        <f t="shared" si="244"/>
        <v>9</v>
      </c>
      <c r="E941">
        <f t="shared" si="245"/>
        <v>2023</v>
      </c>
      <c r="F941" s="2">
        <v>2319</v>
      </c>
      <c r="G941" t="s">
        <v>18</v>
      </c>
      <c r="H941" s="4">
        <f>SUMIFS($F$2:$F$2739,$G$2:$G$2739,"Annual Contract",$E$2:$E$2739,2023)/SUMIF($E$2:$E$2739,2023,$F$2:$F$2739)</f>
        <v>0.27687421727474026</v>
      </c>
    </row>
    <row r="942" spans="1:8" x14ac:dyDescent="0.3">
      <c r="A942" t="s">
        <v>9</v>
      </c>
      <c r="B942" s="3">
        <v>45177</v>
      </c>
      <c r="C942">
        <f t="shared" si="243"/>
        <v>8</v>
      </c>
      <c r="D942">
        <f t="shared" si="244"/>
        <v>9</v>
      </c>
      <c r="E942">
        <f t="shared" si="245"/>
        <v>2023</v>
      </c>
      <c r="F942" s="2">
        <v>2691</v>
      </c>
      <c r="G942" t="s">
        <v>17</v>
      </c>
      <c r="H942" s="4">
        <f t="shared" ref="H942:H943" si="256">SUMIFS($F$2:$F$2739,$G$2:$G$2739,"No Contract",$E$2:$E$2739,2023)/SUMIF($E$2:$E$2739,2023,$F$2:$F$2739)</f>
        <v>0.20934732870162456</v>
      </c>
    </row>
    <row r="943" spans="1:8" x14ac:dyDescent="0.3">
      <c r="A943" t="s">
        <v>9</v>
      </c>
      <c r="B943" s="3">
        <v>45177</v>
      </c>
      <c r="C943">
        <f t="shared" si="243"/>
        <v>8</v>
      </c>
      <c r="D943">
        <f t="shared" si="244"/>
        <v>9</v>
      </c>
      <c r="E943">
        <f t="shared" si="245"/>
        <v>2023</v>
      </c>
      <c r="F943" s="2">
        <v>3264</v>
      </c>
      <c r="G943" t="s">
        <v>17</v>
      </c>
      <c r="H943" s="4">
        <f t="shared" si="256"/>
        <v>0.20934732870162456</v>
      </c>
    </row>
    <row r="944" spans="1:8" x14ac:dyDescent="0.3">
      <c r="A944" t="s">
        <v>3</v>
      </c>
      <c r="B944" s="3">
        <v>45177</v>
      </c>
      <c r="C944">
        <f t="shared" si="243"/>
        <v>8</v>
      </c>
      <c r="D944">
        <f t="shared" si="244"/>
        <v>9</v>
      </c>
      <c r="E944">
        <f t="shared" si="245"/>
        <v>2023</v>
      </c>
      <c r="F944" s="2">
        <v>3000</v>
      </c>
      <c r="G944" t="s">
        <v>19</v>
      </c>
      <c r="H944" s="4">
        <f>SUMIFS($F$2:$F$2739,$G$2:$G$2739,"Multi-year Contract",$E$2:$E$2739,2023)/SUMIF($E$2:$E$2739,2023,$F$2:$F$2739)</f>
        <v>0.5137784540236352</v>
      </c>
    </row>
    <row r="945" spans="1:8" x14ac:dyDescent="0.3">
      <c r="A945" t="s">
        <v>8</v>
      </c>
      <c r="B945" s="3">
        <v>45177</v>
      </c>
      <c r="C945">
        <f t="shared" si="243"/>
        <v>8</v>
      </c>
      <c r="D945">
        <f t="shared" si="244"/>
        <v>9</v>
      </c>
      <c r="E945">
        <f t="shared" si="245"/>
        <v>2023</v>
      </c>
      <c r="F945" s="2">
        <v>1844</v>
      </c>
      <c r="G945" s="2" t="s">
        <v>18</v>
      </c>
      <c r="H945" s="4">
        <f>SUMIFS($F$2:$F$2739,$G$2:$G$2739,"Annual Contract",$E$2:$E$2739,2023)/SUMIF($E$2:$E$2739,2023,$F$2:$F$2739)</f>
        <v>0.27687421727474026</v>
      </c>
    </row>
    <row r="946" spans="1:8" x14ac:dyDescent="0.3">
      <c r="A946" t="s">
        <v>10</v>
      </c>
      <c r="B946" s="3">
        <v>45178</v>
      </c>
      <c r="C946">
        <f t="shared" si="243"/>
        <v>9</v>
      </c>
      <c r="D946">
        <f t="shared" si="244"/>
        <v>9</v>
      </c>
      <c r="E946">
        <f t="shared" si="245"/>
        <v>2023</v>
      </c>
      <c r="F946" s="2">
        <v>2375</v>
      </c>
      <c r="G946" t="s">
        <v>19</v>
      </c>
      <c r="H946" s="4">
        <f t="shared" ref="H946:H947" si="257">SUMIFS($F$2:$F$2739,$G$2:$G$2739,"Multi-year Contract",$E$2:$E$2739,2023)/SUMIF($E$2:$E$2739,2023,$F$2:$F$2739)</f>
        <v>0.5137784540236352</v>
      </c>
    </row>
    <row r="947" spans="1:8" x14ac:dyDescent="0.3">
      <c r="A947" t="s">
        <v>10</v>
      </c>
      <c r="B947" s="3">
        <v>45178</v>
      </c>
      <c r="C947">
        <f t="shared" si="243"/>
        <v>9</v>
      </c>
      <c r="D947">
        <f t="shared" si="244"/>
        <v>9</v>
      </c>
      <c r="E947">
        <f t="shared" si="245"/>
        <v>2023</v>
      </c>
      <c r="F947" s="2">
        <v>1677</v>
      </c>
      <c r="G947" t="s">
        <v>19</v>
      </c>
      <c r="H947" s="4">
        <f t="shared" si="257"/>
        <v>0.5137784540236352</v>
      </c>
    </row>
    <row r="948" spans="1:8" x14ac:dyDescent="0.3">
      <c r="A948" t="s">
        <v>9</v>
      </c>
      <c r="B948" s="3">
        <v>45179</v>
      </c>
      <c r="C948">
        <f t="shared" si="243"/>
        <v>10</v>
      </c>
      <c r="D948">
        <f t="shared" si="244"/>
        <v>9</v>
      </c>
      <c r="E948">
        <f t="shared" si="245"/>
        <v>2023</v>
      </c>
      <c r="F948" s="2">
        <v>1972</v>
      </c>
      <c r="G948" t="s">
        <v>17</v>
      </c>
      <c r="H948" s="4">
        <f>SUMIFS($F$2:$F$2739,$G$2:$G$2739,"No Contract",$E$2:$E$2739,2023)/SUMIF($E$2:$E$2739,2023,$F$2:$F$2739)</f>
        <v>0.20934732870162456</v>
      </c>
    </row>
    <row r="949" spans="1:8" x14ac:dyDescent="0.3">
      <c r="A949" t="s">
        <v>4</v>
      </c>
      <c r="B949" s="3">
        <v>45179</v>
      </c>
      <c r="C949">
        <f t="shared" si="243"/>
        <v>10</v>
      </c>
      <c r="D949">
        <f t="shared" si="244"/>
        <v>9</v>
      </c>
      <c r="E949">
        <f t="shared" si="245"/>
        <v>2023</v>
      </c>
      <c r="F949" s="2">
        <v>889</v>
      </c>
      <c r="G949" s="2" t="s">
        <v>19</v>
      </c>
      <c r="H949" s="4">
        <f t="shared" ref="H949:H953" si="258">SUMIFS($F$2:$F$2739,$G$2:$G$2739,"Multi-year Contract",$E$2:$E$2739,2023)/SUMIF($E$2:$E$2739,2023,$F$2:$F$2739)</f>
        <v>0.5137784540236352</v>
      </c>
    </row>
    <row r="950" spans="1:8" x14ac:dyDescent="0.3">
      <c r="A950" t="s">
        <v>10</v>
      </c>
      <c r="B950" s="3">
        <v>45179</v>
      </c>
      <c r="C950">
        <f t="shared" si="243"/>
        <v>10</v>
      </c>
      <c r="D950">
        <f t="shared" si="244"/>
        <v>9</v>
      </c>
      <c r="E950">
        <f t="shared" si="245"/>
        <v>2023</v>
      </c>
      <c r="F950" s="2">
        <v>890</v>
      </c>
      <c r="G950" t="s">
        <v>19</v>
      </c>
      <c r="H950" s="4">
        <f t="shared" si="258"/>
        <v>0.5137784540236352</v>
      </c>
    </row>
    <row r="951" spans="1:8" x14ac:dyDescent="0.3">
      <c r="A951" t="s">
        <v>4</v>
      </c>
      <c r="B951" s="3">
        <v>45179</v>
      </c>
      <c r="C951">
        <f t="shared" si="243"/>
        <v>10</v>
      </c>
      <c r="D951">
        <f t="shared" si="244"/>
        <v>9</v>
      </c>
      <c r="E951">
        <f t="shared" si="245"/>
        <v>2023</v>
      </c>
      <c r="F951" s="2">
        <v>3837</v>
      </c>
      <c r="G951" s="2" t="s">
        <v>19</v>
      </c>
      <c r="H951" s="4">
        <f t="shared" si="258"/>
        <v>0.5137784540236352</v>
      </c>
    </row>
    <row r="952" spans="1:8" x14ac:dyDescent="0.3">
      <c r="A952" t="s">
        <v>11</v>
      </c>
      <c r="B952" s="3">
        <v>45180</v>
      </c>
      <c r="C952">
        <f t="shared" si="243"/>
        <v>11</v>
      </c>
      <c r="D952">
        <f t="shared" si="244"/>
        <v>9</v>
      </c>
      <c r="E952">
        <f t="shared" si="245"/>
        <v>2023</v>
      </c>
      <c r="F952" s="2">
        <v>2198</v>
      </c>
      <c r="G952" t="s">
        <v>19</v>
      </c>
      <c r="H952" s="4">
        <f t="shared" si="258"/>
        <v>0.5137784540236352</v>
      </c>
    </row>
    <row r="953" spans="1:8" x14ac:dyDescent="0.3">
      <c r="A953" t="s">
        <v>12</v>
      </c>
      <c r="B953" s="3">
        <v>45180</v>
      </c>
      <c r="C953">
        <f t="shared" si="243"/>
        <v>11</v>
      </c>
      <c r="D953">
        <f t="shared" si="244"/>
        <v>9</v>
      </c>
      <c r="E953">
        <f t="shared" si="245"/>
        <v>2023</v>
      </c>
      <c r="F953" s="2">
        <v>2611</v>
      </c>
      <c r="G953" s="2" t="s">
        <v>19</v>
      </c>
      <c r="H953" s="4">
        <f t="shared" si="258"/>
        <v>0.5137784540236352</v>
      </c>
    </row>
    <row r="954" spans="1:8" x14ac:dyDescent="0.3">
      <c r="A954" t="s">
        <v>7</v>
      </c>
      <c r="B954" s="3">
        <v>45180</v>
      </c>
      <c r="C954">
        <f t="shared" si="243"/>
        <v>11</v>
      </c>
      <c r="D954">
        <f t="shared" si="244"/>
        <v>9</v>
      </c>
      <c r="E954">
        <f t="shared" si="245"/>
        <v>2023</v>
      </c>
      <c r="F954" s="2">
        <v>3009</v>
      </c>
      <c r="G954" t="s">
        <v>17</v>
      </c>
      <c r="H954" s="4">
        <f t="shared" ref="H954:H956" si="259">SUMIFS($F$2:$F$2739,$G$2:$G$2739,"No Contract",$E$2:$E$2739,2023)/SUMIF($E$2:$E$2739,2023,$F$2:$F$2739)</f>
        <v>0.20934732870162456</v>
      </c>
    </row>
    <row r="955" spans="1:8" x14ac:dyDescent="0.3">
      <c r="A955" t="s">
        <v>9</v>
      </c>
      <c r="B955" s="3">
        <v>45180</v>
      </c>
      <c r="C955">
        <f t="shared" si="243"/>
        <v>11</v>
      </c>
      <c r="D955">
        <f t="shared" si="244"/>
        <v>9</v>
      </c>
      <c r="E955">
        <f t="shared" si="245"/>
        <v>2023</v>
      </c>
      <c r="F955" s="2">
        <v>933</v>
      </c>
      <c r="G955" t="s">
        <v>17</v>
      </c>
      <c r="H955" s="4">
        <f t="shared" si="259"/>
        <v>0.20934732870162456</v>
      </c>
    </row>
    <row r="956" spans="1:8" x14ac:dyDescent="0.3">
      <c r="A956" t="s">
        <v>9</v>
      </c>
      <c r="B956" s="3">
        <v>45180</v>
      </c>
      <c r="C956">
        <f t="shared" si="243"/>
        <v>11</v>
      </c>
      <c r="D956">
        <f t="shared" si="244"/>
        <v>9</v>
      </c>
      <c r="E956">
        <f t="shared" si="245"/>
        <v>2023</v>
      </c>
      <c r="F956" s="2">
        <v>2078</v>
      </c>
      <c r="G956" t="s">
        <v>17</v>
      </c>
      <c r="H956" s="4">
        <f t="shared" si="259"/>
        <v>0.20934732870162456</v>
      </c>
    </row>
    <row r="957" spans="1:8" x14ac:dyDescent="0.3">
      <c r="A957" t="s">
        <v>8</v>
      </c>
      <c r="B957" s="3">
        <v>45181</v>
      </c>
      <c r="C957">
        <f t="shared" si="243"/>
        <v>12</v>
      </c>
      <c r="D957">
        <f t="shared" si="244"/>
        <v>9</v>
      </c>
      <c r="E957">
        <f t="shared" si="245"/>
        <v>2023</v>
      </c>
      <c r="F957" s="2">
        <v>3572</v>
      </c>
      <c r="G957" s="2" t="s">
        <v>18</v>
      </c>
      <c r="H957" s="4">
        <f>SUMIFS($F$2:$F$2739,$G$2:$G$2739,"Annual Contract",$E$2:$E$2739,2023)/SUMIF($E$2:$E$2739,2023,$F$2:$F$2739)</f>
        <v>0.27687421727474026</v>
      </c>
    </row>
    <row r="958" spans="1:8" x14ac:dyDescent="0.3">
      <c r="A958" t="s">
        <v>12</v>
      </c>
      <c r="B958" s="3">
        <v>45181</v>
      </c>
      <c r="C958">
        <f t="shared" si="243"/>
        <v>12</v>
      </c>
      <c r="D958">
        <f t="shared" si="244"/>
        <v>9</v>
      </c>
      <c r="E958">
        <f t="shared" si="245"/>
        <v>2023</v>
      </c>
      <c r="F958" s="2">
        <v>1280</v>
      </c>
      <c r="G958" s="2" t="s">
        <v>19</v>
      </c>
      <c r="H958" s="4">
        <f t="shared" ref="H958:H960" si="260">SUMIFS($F$2:$F$2739,$G$2:$G$2739,"Multi-year Contract",$E$2:$E$2739,2023)/SUMIF($E$2:$E$2739,2023,$F$2:$F$2739)</f>
        <v>0.5137784540236352</v>
      </c>
    </row>
    <row r="959" spans="1:8" x14ac:dyDescent="0.3">
      <c r="A959" t="s">
        <v>12</v>
      </c>
      <c r="B959" s="3">
        <v>45181</v>
      </c>
      <c r="C959">
        <f t="shared" si="243"/>
        <v>12</v>
      </c>
      <c r="D959">
        <f t="shared" si="244"/>
        <v>9</v>
      </c>
      <c r="E959">
        <f t="shared" si="245"/>
        <v>2023</v>
      </c>
      <c r="F959" s="2">
        <v>2569</v>
      </c>
      <c r="G959" s="2" t="s">
        <v>19</v>
      </c>
      <c r="H959" s="4">
        <f t="shared" si="260"/>
        <v>0.5137784540236352</v>
      </c>
    </row>
    <row r="960" spans="1:8" x14ac:dyDescent="0.3">
      <c r="A960" t="s">
        <v>10</v>
      </c>
      <c r="B960" s="3">
        <v>45182</v>
      </c>
      <c r="C960">
        <f t="shared" si="243"/>
        <v>13</v>
      </c>
      <c r="D960">
        <f t="shared" si="244"/>
        <v>9</v>
      </c>
      <c r="E960">
        <f t="shared" si="245"/>
        <v>2023</v>
      </c>
      <c r="F960" s="2">
        <v>803</v>
      </c>
      <c r="G960" t="s">
        <v>19</v>
      </c>
      <c r="H960" s="4">
        <f t="shared" si="260"/>
        <v>0.5137784540236352</v>
      </c>
    </row>
    <row r="961" spans="1:8" x14ac:dyDescent="0.3">
      <c r="A961" t="s">
        <v>6</v>
      </c>
      <c r="B961" s="3">
        <v>45182</v>
      </c>
      <c r="C961">
        <f t="shared" si="243"/>
        <v>13</v>
      </c>
      <c r="D961">
        <f t="shared" si="244"/>
        <v>9</v>
      </c>
      <c r="E961">
        <f t="shared" si="245"/>
        <v>2023</v>
      </c>
      <c r="F961" s="2">
        <v>924</v>
      </c>
      <c r="G961" t="s">
        <v>18</v>
      </c>
      <c r="H961" s="4">
        <f>SUMIFS($F$2:$F$2739,$G$2:$G$2739,"Annual Contract",$E$2:$E$2739,2023)/SUMIF($E$2:$E$2739,2023,$F$2:$F$2739)</f>
        <v>0.27687421727474026</v>
      </c>
    </row>
    <row r="962" spans="1:8" x14ac:dyDescent="0.3">
      <c r="A962" t="s">
        <v>9</v>
      </c>
      <c r="B962" s="3">
        <v>45182</v>
      </c>
      <c r="C962">
        <f t="shared" si="243"/>
        <v>13</v>
      </c>
      <c r="D962">
        <f t="shared" si="244"/>
        <v>9</v>
      </c>
      <c r="E962">
        <f t="shared" si="245"/>
        <v>2023</v>
      </c>
      <c r="F962" s="2">
        <v>3355</v>
      </c>
      <c r="G962" t="s">
        <v>17</v>
      </c>
      <c r="H962" s="4">
        <f>SUMIFS($F$2:$F$2739,$G$2:$G$2739,"No Contract",$E$2:$E$2739,2023)/SUMIF($E$2:$E$2739,2023,$F$2:$F$2739)</f>
        <v>0.20934732870162456</v>
      </c>
    </row>
    <row r="963" spans="1:8" x14ac:dyDescent="0.3">
      <c r="A963" t="s">
        <v>4</v>
      </c>
      <c r="B963" s="3">
        <v>45183</v>
      </c>
      <c r="C963">
        <f t="shared" ref="C963:C1026" si="261">DAY(B963)</f>
        <v>14</v>
      </c>
      <c r="D963">
        <f t="shared" ref="D963:D1026" si="262">MONTH(B963)</f>
        <v>9</v>
      </c>
      <c r="E963">
        <f t="shared" ref="E963:E1026" si="263">YEAR(B963)</f>
        <v>2023</v>
      </c>
      <c r="F963" s="2">
        <v>2069</v>
      </c>
      <c r="G963" s="2" t="s">
        <v>19</v>
      </c>
      <c r="H963" s="4">
        <f t="shared" ref="H963:H964" si="264">SUMIFS($F$2:$F$2739,$G$2:$G$2739,"Multi-year Contract",$E$2:$E$2739,2023)/SUMIF($E$2:$E$2739,2023,$F$2:$F$2739)</f>
        <v>0.5137784540236352</v>
      </c>
    </row>
    <row r="964" spans="1:8" x14ac:dyDescent="0.3">
      <c r="A964" t="s">
        <v>4</v>
      </c>
      <c r="B964" s="3">
        <v>45183</v>
      </c>
      <c r="C964">
        <f t="shared" si="261"/>
        <v>14</v>
      </c>
      <c r="D964">
        <f t="shared" si="262"/>
        <v>9</v>
      </c>
      <c r="E964">
        <f t="shared" si="263"/>
        <v>2023</v>
      </c>
      <c r="F964" s="2">
        <v>3969</v>
      </c>
      <c r="G964" s="2" t="s">
        <v>19</v>
      </c>
      <c r="H964" s="4">
        <f t="shared" si="264"/>
        <v>0.5137784540236352</v>
      </c>
    </row>
    <row r="965" spans="1:8" x14ac:dyDescent="0.3">
      <c r="A965" t="s">
        <v>8</v>
      </c>
      <c r="B965" s="3">
        <v>45184</v>
      </c>
      <c r="C965">
        <f t="shared" si="261"/>
        <v>15</v>
      </c>
      <c r="D965">
        <f t="shared" si="262"/>
        <v>9</v>
      </c>
      <c r="E965">
        <f t="shared" si="263"/>
        <v>2023</v>
      </c>
      <c r="F965" s="2">
        <v>1212</v>
      </c>
      <c r="G965" s="2" t="s">
        <v>18</v>
      </c>
      <c r="H965" s="4">
        <f>SUMIFS($F$2:$F$2739,$G$2:$G$2739,"Annual Contract",$E$2:$E$2739,2023)/SUMIF($E$2:$E$2739,2023,$F$2:$F$2739)</f>
        <v>0.27687421727474026</v>
      </c>
    </row>
    <row r="966" spans="1:8" x14ac:dyDescent="0.3">
      <c r="A966" t="s">
        <v>11</v>
      </c>
      <c r="B966" s="3">
        <v>45184</v>
      </c>
      <c r="C966">
        <f t="shared" si="261"/>
        <v>15</v>
      </c>
      <c r="D966">
        <f t="shared" si="262"/>
        <v>9</v>
      </c>
      <c r="E966">
        <f t="shared" si="263"/>
        <v>2023</v>
      </c>
      <c r="F966" s="2">
        <v>3896</v>
      </c>
      <c r="G966" t="s">
        <v>19</v>
      </c>
      <c r="H966" s="4">
        <f t="shared" ref="H966:H967" si="265">SUMIFS($F$2:$F$2739,$G$2:$G$2739,"Multi-year Contract",$E$2:$E$2739,2023)/SUMIF($E$2:$E$2739,2023,$F$2:$F$2739)</f>
        <v>0.5137784540236352</v>
      </c>
    </row>
    <row r="967" spans="1:8" x14ac:dyDescent="0.3">
      <c r="A967" t="s">
        <v>10</v>
      </c>
      <c r="B967" s="3">
        <v>45185</v>
      </c>
      <c r="C967">
        <f t="shared" si="261"/>
        <v>16</v>
      </c>
      <c r="D967">
        <f t="shared" si="262"/>
        <v>9</v>
      </c>
      <c r="E967">
        <f t="shared" si="263"/>
        <v>2023</v>
      </c>
      <c r="F967" s="2">
        <v>754</v>
      </c>
      <c r="G967" t="s">
        <v>19</v>
      </c>
      <c r="H967" s="4">
        <f t="shared" si="265"/>
        <v>0.5137784540236352</v>
      </c>
    </row>
    <row r="968" spans="1:8" x14ac:dyDescent="0.3">
      <c r="A968" t="s">
        <v>7</v>
      </c>
      <c r="B968" s="3">
        <v>45185</v>
      </c>
      <c r="C968">
        <f t="shared" si="261"/>
        <v>16</v>
      </c>
      <c r="D968">
        <f t="shared" si="262"/>
        <v>9</v>
      </c>
      <c r="E968">
        <f t="shared" si="263"/>
        <v>2023</v>
      </c>
      <c r="F968" s="2">
        <v>2643</v>
      </c>
      <c r="G968" t="s">
        <v>17</v>
      </c>
      <c r="H968" s="4">
        <f>SUMIFS($F$2:$F$2739,$G$2:$G$2739,"No Contract",$E$2:$E$2739,2023)/SUMIF($E$2:$E$2739,2023,$F$2:$F$2739)</f>
        <v>0.20934732870162456</v>
      </c>
    </row>
    <row r="969" spans="1:8" x14ac:dyDescent="0.3">
      <c r="A969" t="s">
        <v>3</v>
      </c>
      <c r="B969" s="3">
        <v>45186</v>
      </c>
      <c r="C969">
        <f t="shared" si="261"/>
        <v>17</v>
      </c>
      <c r="D969">
        <f t="shared" si="262"/>
        <v>9</v>
      </c>
      <c r="E969">
        <f t="shared" si="263"/>
        <v>2023</v>
      </c>
      <c r="F969" s="2">
        <v>1049</v>
      </c>
      <c r="G969" t="s">
        <v>19</v>
      </c>
      <c r="H969" s="4">
        <f>SUMIFS($F$2:$F$2739,$G$2:$G$2739,"Multi-year Contract",$E$2:$E$2739,2023)/SUMIF($E$2:$E$2739,2023,$F$2:$F$2739)</f>
        <v>0.5137784540236352</v>
      </c>
    </row>
    <row r="970" spans="1:8" x14ac:dyDescent="0.3">
      <c r="A970" t="s">
        <v>8</v>
      </c>
      <c r="B970" s="3">
        <v>45188</v>
      </c>
      <c r="C970">
        <f t="shared" si="261"/>
        <v>19</v>
      </c>
      <c r="D970">
        <f t="shared" si="262"/>
        <v>9</v>
      </c>
      <c r="E970">
        <f t="shared" si="263"/>
        <v>2023</v>
      </c>
      <c r="F970" s="2">
        <v>1877</v>
      </c>
      <c r="G970" s="2" t="s">
        <v>18</v>
      </c>
      <c r="H970" s="4">
        <f t="shared" ref="H970:H971" si="266">SUMIFS($F$2:$F$2739,$G$2:$G$2739,"Annual Contract",$E$2:$E$2739,2023)/SUMIF($E$2:$E$2739,2023,$F$2:$F$2739)</f>
        <v>0.27687421727474026</v>
      </c>
    </row>
    <row r="971" spans="1:8" x14ac:dyDescent="0.3">
      <c r="A971" t="s">
        <v>6</v>
      </c>
      <c r="B971" s="3">
        <v>45189</v>
      </c>
      <c r="C971">
        <f t="shared" si="261"/>
        <v>20</v>
      </c>
      <c r="D971">
        <f t="shared" si="262"/>
        <v>9</v>
      </c>
      <c r="E971">
        <f t="shared" si="263"/>
        <v>2023</v>
      </c>
      <c r="F971" s="2">
        <v>611</v>
      </c>
      <c r="G971" t="s">
        <v>18</v>
      </c>
      <c r="H971" s="4">
        <f t="shared" si="266"/>
        <v>0.27687421727474026</v>
      </c>
    </row>
    <row r="972" spans="1:8" x14ac:dyDescent="0.3">
      <c r="A972" t="s">
        <v>11</v>
      </c>
      <c r="B972" s="3">
        <v>45189</v>
      </c>
      <c r="C972">
        <f t="shared" si="261"/>
        <v>20</v>
      </c>
      <c r="D972">
        <f t="shared" si="262"/>
        <v>9</v>
      </c>
      <c r="E972">
        <f t="shared" si="263"/>
        <v>2023</v>
      </c>
      <c r="F972" s="2">
        <v>1684</v>
      </c>
      <c r="G972" t="s">
        <v>19</v>
      </c>
      <c r="H972" s="4">
        <f t="shared" ref="H972:H976" si="267">SUMIFS($F$2:$F$2739,$G$2:$G$2739,"Multi-year Contract",$E$2:$E$2739,2023)/SUMIF($E$2:$E$2739,2023,$F$2:$F$2739)</f>
        <v>0.5137784540236352</v>
      </c>
    </row>
    <row r="973" spans="1:8" x14ac:dyDescent="0.3">
      <c r="A973" t="s">
        <v>3</v>
      </c>
      <c r="B973" s="3">
        <v>45189</v>
      </c>
      <c r="C973">
        <f t="shared" si="261"/>
        <v>20</v>
      </c>
      <c r="D973">
        <f t="shared" si="262"/>
        <v>9</v>
      </c>
      <c r="E973">
        <f t="shared" si="263"/>
        <v>2023</v>
      </c>
      <c r="F973" s="2">
        <v>2688</v>
      </c>
      <c r="G973" t="s">
        <v>19</v>
      </c>
      <c r="H973" s="4">
        <f t="shared" si="267"/>
        <v>0.5137784540236352</v>
      </c>
    </row>
    <row r="974" spans="1:8" x14ac:dyDescent="0.3">
      <c r="A974" t="s">
        <v>10</v>
      </c>
      <c r="B974" s="3">
        <v>45189</v>
      </c>
      <c r="C974">
        <f t="shared" si="261"/>
        <v>20</v>
      </c>
      <c r="D974">
        <f t="shared" si="262"/>
        <v>9</v>
      </c>
      <c r="E974">
        <f t="shared" si="263"/>
        <v>2023</v>
      </c>
      <c r="F974" s="2">
        <v>604</v>
      </c>
      <c r="G974" t="s">
        <v>19</v>
      </c>
      <c r="H974" s="4">
        <f t="shared" si="267"/>
        <v>0.5137784540236352</v>
      </c>
    </row>
    <row r="975" spans="1:8" x14ac:dyDescent="0.3">
      <c r="A975" t="s">
        <v>3</v>
      </c>
      <c r="B975" s="3">
        <v>45189</v>
      </c>
      <c r="C975">
        <f t="shared" si="261"/>
        <v>20</v>
      </c>
      <c r="D975">
        <f t="shared" si="262"/>
        <v>9</v>
      </c>
      <c r="E975">
        <f t="shared" si="263"/>
        <v>2023</v>
      </c>
      <c r="F975" s="2">
        <v>3881</v>
      </c>
      <c r="G975" t="s">
        <v>19</v>
      </c>
      <c r="H975" s="4">
        <f t="shared" si="267"/>
        <v>0.5137784540236352</v>
      </c>
    </row>
    <row r="976" spans="1:8" x14ac:dyDescent="0.3">
      <c r="A976" t="s">
        <v>10</v>
      </c>
      <c r="B976" s="3">
        <v>45190</v>
      </c>
      <c r="C976">
        <f t="shared" si="261"/>
        <v>21</v>
      </c>
      <c r="D976">
        <f t="shared" si="262"/>
        <v>9</v>
      </c>
      <c r="E976">
        <f t="shared" si="263"/>
        <v>2023</v>
      </c>
      <c r="F976" s="2">
        <v>3837</v>
      </c>
      <c r="G976" t="s">
        <v>19</v>
      </c>
      <c r="H976" s="4">
        <f t="shared" si="267"/>
        <v>0.5137784540236352</v>
      </c>
    </row>
    <row r="977" spans="1:8" x14ac:dyDescent="0.3">
      <c r="A977" t="s">
        <v>6</v>
      </c>
      <c r="B977" s="3">
        <v>45190</v>
      </c>
      <c r="C977">
        <f t="shared" si="261"/>
        <v>21</v>
      </c>
      <c r="D977">
        <f t="shared" si="262"/>
        <v>9</v>
      </c>
      <c r="E977">
        <f t="shared" si="263"/>
        <v>2023</v>
      </c>
      <c r="F977" s="2">
        <v>590</v>
      </c>
      <c r="G977" t="s">
        <v>18</v>
      </c>
      <c r="H977" s="4">
        <f>SUMIFS($F$2:$F$2739,$G$2:$G$2739,"Annual Contract",$E$2:$E$2739,2023)/SUMIF($E$2:$E$2739,2023,$F$2:$F$2739)</f>
        <v>0.27687421727474026</v>
      </c>
    </row>
    <row r="978" spans="1:8" x14ac:dyDescent="0.3">
      <c r="A978" t="s">
        <v>9</v>
      </c>
      <c r="B978" s="3">
        <v>45190</v>
      </c>
      <c r="C978">
        <f t="shared" si="261"/>
        <v>21</v>
      </c>
      <c r="D978">
        <f t="shared" si="262"/>
        <v>9</v>
      </c>
      <c r="E978">
        <f t="shared" si="263"/>
        <v>2023</v>
      </c>
      <c r="F978" s="2">
        <v>2247</v>
      </c>
      <c r="G978" t="s">
        <v>17</v>
      </c>
      <c r="H978" s="4">
        <f>SUMIFS($F$2:$F$2739,$G$2:$G$2739,"No Contract",$E$2:$E$2739,2023)/SUMIF($E$2:$E$2739,2023,$F$2:$F$2739)</f>
        <v>0.20934732870162456</v>
      </c>
    </row>
    <row r="979" spans="1:8" x14ac:dyDescent="0.3">
      <c r="A979" t="s">
        <v>12</v>
      </c>
      <c r="B979" s="3">
        <v>45191</v>
      </c>
      <c r="C979">
        <f t="shared" si="261"/>
        <v>22</v>
      </c>
      <c r="D979">
        <f t="shared" si="262"/>
        <v>9</v>
      </c>
      <c r="E979">
        <f t="shared" si="263"/>
        <v>2023</v>
      </c>
      <c r="F979" s="2">
        <v>3898</v>
      </c>
      <c r="G979" s="2" t="s">
        <v>19</v>
      </c>
      <c r="H979" s="4">
        <f t="shared" ref="H979:H980" si="268">SUMIFS($F$2:$F$2739,$G$2:$G$2739,"Multi-year Contract",$E$2:$E$2739,2023)/SUMIF($E$2:$E$2739,2023,$F$2:$F$2739)</f>
        <v>0.5137784540236352</v>
      </c>
    </row>
    <row r="980" spans="1:8" x14ac:dyDescent="0.3">
      <c r="A980" t="s">
        <v>11</v>
      </c>
      <c r="B980" s="3">
        <v>45191</v>
      </c>
      <c r="C980">
        <f t="shared" si="261"/>
        <v>22</v>
      </c>
      <c r="D980">
        <f t="shared" si="262"/>
        <v>9</v>
      </c>
      <c r="E980">
        <f t="shared" si="263"/>
        <v>2023</v>
      </c>
      <c r="F980" s="2">
        <v>1662</v>
      </c>
      <c r="G980" t="s">
        <v>19</v>
      </c>
      <c r="H980" s="4">
        <f t="shared" si="268"/>
        <v>0.5137784540236352</v>
      </c>
    </row>
    <row r="981" spans="1:8" x14ac:dyDescent="0.3">
      <c r="A981" t="s">
        <v>8</v>
      </c>
      <c r="B981" s="3">
        <v>45192</v>
      </c>
      <c r="C981">
        <f t="shared" si="261"/>
        <v>23</v>
      </c>
      <c r="D981">
        <f t="shared" si="262"/>
        <v>9</v>
      </c>
      <c r="E981">
        <f t="shared" si="263"/>
        <v>2023</v>
      </c>
      <c r="F981" s="2">
        <v>2849</v>
      </c>
      <c r="G981" s="2" t="s">
        <v>18</v>
      </c>
      <c r="H981" s="4">
        <f t="shared" ref="H981:H982" si="269">SUMIFS($F$2:$F$2739,$G$2:$G$2739,"Annual Contract",$E$2:$E$2739,2023)/SUMIF($E$2:$E$2739,2023,$F$2:$F$2739)</f>
        <v>0.27687421727474026</v>
      </c>
    </row>
    <row r="982" spans="1:8" x14ac:dyDescent="0.3">
      <c r="A982" t="s">
        <v>8</v>
      </c>
      <c r="B982" s="3">
        <v>45192</v>
      </c>
      <c r="C982">
        <f t="shared" si="261"/>
        <v>23</v>
      </c>
      <c r="D982">
        <f t="shared" si="262"/>
        <v>9</v>
      </c>
      <c r="E982">
        <f t="shared" si="263"/>
        <v>2023</v>
      </c>
      <c r="F982" s="2">
        <v>3296</v>
      </c>
      <c r="G982" s="2" t="s">
        <v>18</v>
      </c>
      <c r="H982" s="4">
        <f t="shared" si="269"/>
        <v>0.27687421727474026</v>
      </c>
    </row>
    <row r="983" spans="1:8" x14ac:dyDescent="0.3">
      <c r="A983" t="s">
        <v>9</v>
      </c>
      <c r="B983" s="3">
        <v>45192</v>
      </c>
      <c r="C983">
        <f t="shared" si="261"/>
        <v>23</v>
      </c>
      <c r="D983">
        <f t="shared" si="262"/>
        <v>9</v>
      </c>
      <c r="E983">
        <f t="shared" si="263"/>
        <v>2023</v>
      </c>
      <c r="F983" s="2">
        <v>1483</v>
      </c>
      <c r="G983" t="s">
        <v>17</v>
      </c>
      <c r="H983" s="4">
        <f>SUMIFS($F$2:$F$2739,$G$2:$G$2739,"No Contract",$E$2:$E$2739,2023)/SUMIF($E$2:$E$2739,2023,$F$2:$F$2739)</f>
        <v>0.20934732870162456</v>
      </c>
    </row>
    <row r="984" spans="1:8" x14ac:dyDescent="0.3">
      <c r="A984" t="s">
        <v>3</v>
      </c>
      <c r="B984" s="3">
        <v>45193</v>
      </c>
      <c r="C984">
        <f t="shared" si="261"/>
        <v>24</v>
      </c>
      <c r="D984">
        <f t="shared" si="262"/>
        <v>9</v>
      </c>
      <c r="E984">
        <f t="shared" si="263"/>
        <v>2023</v>
      </c>
      <c r="F984" s="2">
        <v>3685</v>
      </c>
      <c r="G984" t="s">
        <v>19</v>
      </c>
      <c r="H984" s="4">
        <f t="shared" ref="H984:H988" si="270">SUMIFS($F$2:$F$2739,$G$2:$G$2739,"Multi-year Contract",$E$2:$E$2739,2023)/SUMIF($E$2:$E$2739,2023,$F$2:$F$2739)</f>
        <v>0.5137784540236352</v>
      </c>
    </row>
    <row r="985" spans="1:8" x14ac:dyDescent="0.3">
      <c r="A985" t="s">
        <v>12</v>
      </c>
      <c r="B985" s="3">
        <v>45193</v>
      </c>
      <c r="C985">
        <f t="shared" si="261"/>
        <v>24</v>
      </c>
      <c r="D985">
        <f t="shared" si="262"/>
        <v>9</v>
      </c>
      <c r="E985">
        <f t="shared" si="263"/>
        <v>2023</v>
      </c>
      <c r="F985" s="2">
        <v>2176</v>
      </c>
      <c r="G985" s="2" t="s">
        <v>19</v>
      </c>
      <c r="H985" s="4">
        <f t="shared" si="270"/>
        <v>0.5137784540236352</v>
      </c>
    </row>
    <row r="986" spans="1:8" x14ac:dyDescent="0.3">
      <c r="A986" t="s">
        <v>10</v>
      </c>
      <c r="B986" s="3">
        <v>45194</v>
      </c>
      <c r="C986">
        <f t="shared" si="261"/>
        <v>25</v>
      </c>
      <c r="D986">
        <f t="shared" si="262"/>
        <v>9</v>
      </c>
      <c r="E986">
        <f t="shared" si="263"/>
        <v>2023</v>
      </c>
      <c r="F986" s="2">
        <v>744</v>
      </c>
      <c r="G986" t="s">
        <v>19</v>
      </c>
      <c r="H986" s="4">
        <f t="shared" si="270"/>
        <v>0.5137784540236352</v>
      </c>
    </row>
    <row r="987" spans="1:8" x14ac:dyDescent="0.3">
      <c r="A987" t="s">
        <v>12</v>
      </c>
      <c r="B987" s="3">
        <v>45194</v>
      </c>
      <c r="C987">
        <f t="shared" si="261"/>
        <v>25</v>
      </c>
      <c r="D987">
        <f t="shared" si="262"/>
        <v>9</v>
      </c>
      <c r="E987">
        <f t="shared" si="263"/>
        <v>2023</v>
      </c>
      <c r="F987" s="2">
        <v>1341</v>
      </c>
      <c r="G987" s="2" t="s">
        <v>19</v>
      </c>
      <c r="H987" s="4">
        <f t="shared" si="270"/>
        <v>0.5137784540236352</v>
      </c>
    </row>
    <row r="988" spans="1:8" x14ac:dyDescent="0.3">
      <c r="A988" t="s">
        <v>10</v>
      </c>
      <c r="B988" s="3">
        <v>45194</v>
      </c>
      <c r="C988">
        <f t="shared" si="261"/>
        <v>25</v>
      </c>
      <c r="D988">
        <f t="shared" si="262"/>
        <v>9</v>
      </c>
      <c r="E988">
        <f t="shared" si="263"/>
        <v>2023</v>
      </c>
      <c r="F988" s="2">
        <v>1657</v>
      </c>
      <c r="G988" t="s">
        <v>19</v>
      </c>
      <c r="H988" s="4">
        <f t="shared" si="270"/>
        <v>0.5137784540236352</v>
      </c>
    </row>
    <row r="989" spans="1:8" x14ac:dyDescent="0.3">
      <c r="A989" t="s">
        <v>5</v>
      </c>
      <c r="B989" s="3">
        <v>45194</v>
      </c>
      <c r="C989">
        <f t="shared" si="261"/>
        <v>25</v>
      </c>
      <c r="D989">
        <f t="shared" si="262"/>
        <v>9</v>
      </c>
      <c r="E989">
        <f t="shared" si="263"/>
        <v>2023</v>
      </c>
      <c r="F989" s="2">
        <v>3955</v>
      </c>
      <c r="G989" t="s">
        <v>18</v>
      </c>
      <c r="H989" s="4">
        <f>SUMIFS($F$2:$F$2739,$G$2:$G$2739,"Annual Contract",$E$2:$E$2739,2023)/SUMIF($E$2:$E$2739,2023,$F$2:$F$2739)</f>
        <v>0.27687421727474026</v>
      </c>
    </row>
    <row r="990" spans="1:8" x14ac:dyDescent="0.3">
      <c r="A990" t="s">
        <v>12</v>
      </c>
      <c r="B990" s="3">
        <v>45194</v>
      </c>
      <c r="C990">
        <f t="shared" si="261"/>
        <v>25</v>
      </c>
      <c r="D990">
        <f t="shared" si="262"/>
        <v>9</v>
      </c>
      <c r="E990">
        <f t="shared" si="263"/>
        <v>2023</v>
      </c>
      <c r="F990" s="2">
        <v>3695</v>
      </c>
      <c r="G990" s="2" t="s">
        <v>19</v>
      </c>
      <c r="H990" s="4">
        <f>SUMIFS($F$2:$F$2739,$G$2:$G$2739,"Multi-year Contract",$E$2:$E$2739,2023)/SUMIF($E$2:$E$2739,2023,$F$2:$F$2739)</f>
        <v>0.5137784540236352</v>
      </c>
    </row>
    <row r="991" spans="1:8" x14ac:dyDescent="0.3">
      <c r="A991" t="s">
        <v>8</v>
      </c>
      <c r="B991" s="3">
        <v>45194</v>
      </c>
      <c r="C991">
        <f t="shared" si="261"/>
        <v>25</v>
      </c>
      <c r="D991">
        <f t="shared" si="262"/>
        <v>9</v>
      </c>
      <c r="E991">
        <f t="shared" si="263"/>
        <v>2023</v>
      </c>
      <c r="F991" s="2">
        <v>749</v>
      </c>
      <c r="G991" s="2" t="s">
        <v>18</v>
      </c>
      <c r="H991" s="4">
        <f>SUMIFS($F$2:$F$2739,$G$2:$G$2739,"Annual Contract",$E$2:$E$2739,2023)/SUMIF($E$2:$E$2739,2023,$F$2:$F$2739)</f>
        <v>0.27687421727474026</v>
      </c>
    </row>
    <row r="992" spans="1:8" x14ac:dyDescent="0.3">
      <c r="A992" t="s">
        <v>3</v>
      </c>
      <c r="B992" s="3">
        <v>45194</v>
      </c>
      <c r="C992">
        <f t="shared" si="261"/>
        <v>25</v>
      </c>
      <c r="D992">
        <f t="shared" si="262"/>
        <v>9</v>
      </c>
      <c r="E992">
        <f t="shared" si="263"/>
        <v>2023</v>
      </c>
      <c r="F992" s="2">
        <v>2697</v>
      </c>
      <c r="G992" t="s">
        <v>19</v>
      </c>
      <c r="H992" s="4">
        <f>SUMIFS($F$2:$F$2739,$G$2:$G$2739,"Multi-year Contract",$E$2:$E$2739,2023)/SUMIF($E$2:$E$2739,2023,$F$2:$F$2739)</f>
        <v>0.5137784540236352</v>
      </c>
    </row>
    <row r="993" spans="1:8" x14ac:dyDescent="0.3">
      <c r="A993" t="s">
        <v>5</v>
      </c>
      <c r="B993" s="3">
        <v>45194</v>
      </c>
      <c r="C993">
        <f t="shared" si="261"/>
        <v>25</v>
      </c>
      <c r="D993">
        <f t="shared" si="262"/>
        <v>9</v>
      </c>
      <c r="E993">
        <f t="shared" si="263"/>
        <v>2023</v>
      </c>
      <c r="F993" s="2">
        <v>2657</v>
      </c>
      <c r="G993" t="s">
        <v>18</v>
      </c>
      <c r="H993" s="4">
        <f>SUMIFS($F$2:$F$2739,$G$2:$G$2739,"Annual Contract",$E$2:$E$2739,2023)/SUMIF($E$2:$E$2739,2023,$F$2:$F$2739)</f>
        <v>0.27687421727474026</v>
      </c>
    </row>
    <row r="994" spans="1:8" x14ac:dyDescent="0.3">
      <c r="A994" t="s">
        <v>7</v>
      </c>
      <c r="B994" s="3">
        <v>45195</v>
      </c>
      <c r="C994">
        <f t="shared" si="261"/>
        <v>26</v>
      </c>
      <c r="D994">
        <f t="shared" si="262"/>
        <v>9</v>
      </c>
      <c r="E994">
        <f t="shared" si="263"/>
        <v>2023</v>
      </c>
      <c r="F994" s="2">
        <v>891</v>
      </c>
      <c r="G994" t="s">
        <v>17</v>
      </c>
      <c r="H994" s="4">
        <f>SUMIFS($F$2:$F$2739,$G$2:$G$2739,"No Contract",$E$2:$E$2739,2023)/SUMIF($E$2:$E$2739,2023,$F$2:$F$2739)</f>
        <v>0.20934732870162456</v>
      </c>
    </row>
    <row r="995" spans="1:8" x14ac:dyDescent="0.3">
      <c r="A995" t="s">
        <v>8</v>
      </c>
      <c r="B995" s="3">
        <v>45195</v>
      </c>
      <c r="C995">
        <f t="shared" si="261"/>
        <v>26</v>
      </c>
      <c r="D995">
        <f t="shared" si="262"/>
        <v>9</v>
      </c>
      <c r="E995">
        <f t="shared" si="263"/>
        <v>2023</v>
      </c>
      <c r="F995" s="2">
        <v>3058</v>
      </c>
      <c r="G995" s="2" t="s">
        <v>18</v>
      </c>
      <c r="H995" s="4">
        <f>SUMIFS($F$2:$F$2739,$G$2:$G$2739,"Annual Contract",$E$2:$E$2739,2023)/SUMIF($E$2:$E$2739,2023,$F$2:$F$2739)</f>
        <v>0.27687421727474026</v>
      </c>
    </row>
    <row r="996" spans="1:8" x14ac:dyDescent="0.3">
      <c r="A996" t="s">
        <v>9</v>
      </c>
      <c r="B996" s="3">
        <v>45196</v>
      </c>
      <c r="C996">
        <f t="shared" si="261"/>
        <v>27</v>
      </c>
      <c r="D996">
        <f t="shared" si="262"/>
        <v>9</v>
      </c>
      <c r="E996">
        <f t="shared" si="263"/>
        <v>2023</v>
      </c>
      <c r="F996" s="2">
        <v>967</v>
      </c>
      <c r="G996" t="s">
        <v>17</v>
      </c>
      <c r="H996" s="4">
        <f>SUMIFS($F$2:$F$2739,$G$2:$G$2739,"No Contract",$E$2:$E$2739,2023)/SUMIF($E$2:$E$2739,2023,$F$2:$F$2739)</f>
        <v>0.20934732870162456</v>
      </c>
    </row>
    <row r="997" spans="1:8" x14ac:dyDescent="0.3">
      <c r="A997" t="s">
        <v>5</v>
      </c>
      <c r="B997" s="3">
        <v>45196</v>
      </c>
      <c r="C997">
        <f t="shared" si="261"/>
        <v>27</v>
      </c>
      <c r="D997">
        <f t="shared" si="262"/>
        <v>9</v>
      </c>
      <c r="E997">
        <f t="shared" si="263"/>
        <v>2023</v>
      </c>
      <c r="F997" s="2">
        <v>2436</v>
      </c>
      <c r="G997" t="s">
        <v>18</v>
      </c>
      <c r="H997" s="4">
        <f t="shared" ref="H997:H999" si="271">SUMIFS($F$2:$F$2739,$G$2:$G$2739,"Annual Contract",$E$2:$E$2739,2023)/SUMIF($E$2:$E$2739,2023,$F$2:$F$2739)</f>
        <v>0.27687421727474026</v>
      </c>
    </row>
    <row r="998" spans="1:8" x14ac:dyDescent="0.3">
      <c r="A998" t="s">
        <v>8</v>
      </c>
      <c r="B998" s="3">
        <v>45197</v>
      </c>
      <c r="C998">
        <f t="shared" si="261"/>
        <v>28</v>
      </c>
      <c r="D998">
        <f t="shared" si="262"/>
        <v>9</v>
      </c>
      <c r="E998">
        <f t="shared" si="263"/>
        <v>2023</v>
      </c>
      <c r="F998" s="2">
        <v>978</v>
      </c>
      <c r="G998" s="2" t="s">
        <v>18</v>
      </c>
      <c r="H998" s="4">
        <f t="shared" si="271"/>
        <v>0.27687421727474026</v>
      </c>
    </row>
    <row r="999" spans="1:8" x14ac:dyDescent="0.3">
      <c r="A999" t="s">
        <v>8</v>
      </c>
      <c r="B999" s="3">
        <v>45197</v>
      </c>
      <c r="C999">
        <f t="shared" si="261"/>
        <v>28</v>
      </c>
      <c r="D999">
        <f t="shared" si="262"/>
        <v>9</v>
      </c>
      <c r="E999">
        <f t="shared" si="263"/>
        <v>2023</v>
      </c>
      <c r="F999" s="2">
        <v>1262</v>
      </c>
      <c r="G999" s="2" t="s">
        <v>18</v>
      </c>
      <c r="H999" s="4">
        <f t="shared" si="271"/>
        <v>0.27687421727474026</v>
      </c>
    </row>
    <row r="1000" spans="1:8" x14ac:dyDescent="0.3">
      <c r="A1000" t="s">
        <v>10</v>
      </c>
      <c r="B1000" s="3">
        <v>45197</v>
      </c>
      <c r="C1000">
        <f t="shared" si="261"/>
        <v>28</v>
      </c>
      <c r="D1000">
        <f t="shared" si="262"/>
        <v>9</v>
      </c>
      <c r="E1000">
        <f t="shared" si="263"/>
        <v>2023</v>
      </c>
      <c r="F1000" s="2">
        <v>2572</v>
      </c>
      <c r="G1000" t="s">
        <v>19</v>
      </c>
      <c r="H1000" s="4">
        <f>SUMIFS($F$2:$F$2739,$G$2:$G$2739,"Multi-year Contract",$E$2:$E$2739,2023)/SUMIF($E$2:$E$2739,2023,$F$2:$F$2739)</f>
        <v>0.5137784540236352</v>
      </c>
    </row>
    <row r="1001" spans="1:8" x14ac:dyDescent="0.3">
      <c r="A1001" t="s">
        <v>9</v>
      </c>
      <c r="B1001" s="3">
        <v>45198</v>
      </c>
      <c r="C1001">
        <f t="shared" si="261"/>
        <v>29</v>
      </c>
      <c r="D1001">
        <f t="shared" si="262"/>
        <v>9</v>
      </c>
      <c r="E1001">
        <f t="shared" si="263"/>
        <v>2023</v>
      </c>
      <c r="F1001" s="2">
        <v>2905</v>
      </c>
      <c r="G1001" t="s">
        <v>17</v>
      </c>
      <c r="H1001" s="4">
        <f>SUMIFS($F$2:$F$2739,$G$2:$G$2739,"No Contract",$E$2:$E$2739,2023)/SUMIF($E$2:$E$2739,2023,$F$2:$F$2739)</f>
        <v>0.20934732870162456</v>
      </c>
    </row>
    <row r="1002" spans="1:8" x14ac:dyDescent="0.3">
      <c r="A1002" t="s">
        <v>11</v>
      </c>
      <c r="B1002" s="3">
        <v>45198</v>
      </c>
      <c r="C1002">
        <f t="shared" si="261"/>
        <v>29</v>
      </c>
      <c r="D1002">
        <f t="shared" si="262"/>
        <v>9</v>
      </c>
      <c r="E1002">
        <f t="shared" si="263"/>
        <v>2023</v>
      </c>
      <c r="F1002" s="2">
        <v>2864</v>
      </c>
      <c r="G1002" t="s">
        <v>19</v>
      </c>
      <c r="H1002" s="4">
        <f>SUMIFS($F$2:$F$2739,$G$2:$G$2739,"Multi-year Contract",$E$2:$E$2739,2023)/SUMIF($E$2:$E$2739,2023,$F$2:$F$2739)</f>
        <v>0.5137784540236352</v>
      </c>
    </row>
    <row r="1003" spans="1:8" x14ac:dyDescent="0.3">
      <c r="A1003" t="s">
        <v>6</v>
      </c>
      <c r="B1003" s="3">
        <v>45199</v>
      </c>
      <c r="C1003">
        <f t="shared" si="261"/>
        <v>30</v>
      </c>
      <c r="D1003">
        <f t="shared" si="262"/>
        <v>9</v>
      </c>
      <c r="E1003">
        <f t="shared" si="263"/>
        <v>2023</v>
      </c>
      <c r="F1003" s="2">
        <v>1977</v>
      </c>
      <c r="G1003" t="s">
        <v>18</v>
      </c>
      <c r="H1003" s="4">
        <f>SUMIFS($F$2:$F$2739,$G$2:$G$2739,"Annual Contract",$E$2:$E$2739,2023)/SUMIF($E$2:$E$2739,2023,$F$2:$F$2739)</f>
        <v>0.27687421727474026</v>
      </c>
    </row>
    <row r="1004" spans="1:8" x14ac:dyDescent="0.3">
      <c r="A1004" t="s">
        <v>11</v>
      </c>
      <c r="B1004" s="3">
        <v>45199</v>
      </c>
      <c r="C1004">
        <f t="shared" si="261"/>
        <v>30</v>
      </c>
      <c r="D1004">
        <f t="shared" si="262"/>
        <v>9</v>
      </c>
      <c r="E1004">
        <f t="shared" si="263"/>
        <v>2023</v>
      </c>
      <c r="F1004" s="2">
        <v>3609</v>
      </c>
      <c r="G1004" t="s">
        <v>19</v>
      </c>
      <c r="H1004" s="4">
        <f>SUMIFS($F$2:$F$2739,$G$2:$G$2739,"Multi-year Contract",$E$2:$E$2739,2023)/SUMIF($E$2:$E$2739,2023,$F$2:$F$2739)</f>
        <v>0.5137784540236352</v>
      </c>
    </row>
    <row r="1005" spans="1:8" x14ac:dyDescent="0.3">
      <c r="A1005" t="s">
        <v>9</v>
      </c>
      <c r="B1005" s="3">
        <v>45199</v>
      </c>
      <c r="C1005">
        <f t="shared" si="261"/>
        <v>30</v>
      </c>
      <c r="D1005">
        <f t="shared" si="262"/>
        <v>9</v>
      </c>
      <c r="E1005">
        <f t="shared" si="263"/>
        <v>2023</v>
      </c>
      <c r="F1005" s="2">
        <v>3619</v>
      </c>
      <c r="G1005" t="s">
        <v>17</v>
      </c>
      <c r="H1005" s="4">
        <f t="shared" ref="H1005:H1006" si="272">SUMIFS($F$2:$F$2739,$G$2:$G$2739,"No Contract",$E$2:$E$2739,2023)/SUMIF($E$2:$E$2739,2023,$F$2:$F$2739)</f>
        <v>0.20934732870162456</v>
      </c>
    </row>
    <row r="1006" spans="1:8" x14ac:dyDescent="0.3">
      <c r="A1006" t="s">
        <v>9</v>
      </c>
      <c r="B1006" s="3">
        <v>45200</v>
      </c>
      <c r="C1006">
        <f t="shared" si="261"/>
        <v>1</v>
      </c>
      <c r="D1006">
        <f t="shared" si="262"/>
        <v>10</v>
      </c>
      <c r="E1006">
        <f t="shared" si="263"/>
        <v>2023</v>
      </c>
      <c r="F1006" s="2">
        <v>3317</v>
      </c>
      <c r="G1006" t="s">
        <v>17</v>
      </c>
      <c r="H1006" s="4">
        <f t="shared" si="272"/>
        <v>0.20934732870162456</v>
      </c>
    </row>
    <row r="1007" spans="1:8" x14ac:dyDescent="0.3">
      <c r="A1007" t="s">
        <v>4</v>
      </c>
      <c r="B1007" s="3">
        <v>45200</v>
      </c>
      <c r="C1007">
        <f t="shared" si="261"/>
        <v>1</v>
      </c>
      <c r="D1007">
        <f t="shared" si="262"/>
        <v>10</v>
      </c>
      <c r="E1007">
        <f t="shared" si="263"/>
        <v>2023</v>
      </c>
      <c r="F1007" s="2">
        <v>974</v>
      </c>
      <c r="G1007" s="2" t="s">
        <v>19</v>
      </c>
      <c r="H1007" s="4">
        <f t="shared" ref="H1007:H1011" si="273">SUMIFS($F$2:$F$2739,$G$2:$G$2739,"Multi-year Contract",$E$2:$E$2739,2023)/SUMIF($E$2:$E$2739,2023,$F$2:$F$2739)</f>
        <v>0.5137784540236352</v>
      </c>
    </row>
    <row r="1008" spans="1:8" x14ac:dyDescent="0.3">
      <c r="A1008" t="s">
        <v>12</v>
      </c>
      <c r="B1008" s="3">
        <v>45200</v>
      </c>
      <c r="C1008">
        <f t="shared" si="261"/>
        <v>1</v>
      </c>
      <c r="D1008">
        <f t="shared" si="262"/>
        <v>10</v>
      </c>
      <c r="E1008">
        <f t="shared" si="263"/>
        <v>2023</v>
      </c>
      <c r="F1008" s="2">
        <v>3335</v>
      </c>
      <c r="G1008" s="2" t="s">
        <v>19</v>
      </c>
      <c r="H1008" s="4">
        <f t="shared" si="273"/>
        <v>0.5137784540236352</v>
      </c>
    </row>
    <row r="1009" spans="1:8" x14ac:dyDescent="0.3">
      <c r="A1009" t="s">
        <v>3</v>
      </c>
      <c r="B1009" s="3">
        <v>45201</v>
      </c>
      <c r="C1009">
        <f t="shared" si="261"/>
        <v>2</v>
      </c>
      <c r="D1009">
        <f t="shared" si="262"/>
        <v>10</v>
      </c>
      <c r="E1009">
        <f t="shared" si="263"/>
        <v>2023</v>
      </c>
      <c r="F1009" s="2">
        <v>3966</v>
      </c>
      <c r="G1009" t="s">
        <v>19</v>
      </c>
      <c r="H1009" s="4">
        <f t="shared" si="273"/>
        <v>0.5137784540236352</v>
      </c>
    </row>
    <row r="1010" spans="1:8" x14ac:dyDescent="0.3">
      <c r="A1010" t="s">
        <v>12</v>
      </c>
      <c r="B1010" s="3">
        <v>45201</v>
      </c>
      <c r="C1010">
        <f t="shared" si="261"/>
        <v>2</v>
      </c>
      <c r="D1010">
        <f t="shared" si="262"/>
        <v>10</v>
      </c>
      <c r="E1010">
        <f t="shared" si="263"/>
        <v>2023</v>
      </c>
      <c r="F1010" s="2">
        <v>2666</v>
      </c>
      <c r="G1010" s="2" t="s">
        <v>19</v>
      </c>
      <c r="H1010" s="4">
        <f t="shared" si="273"/>
        <v>0.5137784540236352</v>
      </c>
    </row>
    <row r="1011" spans="1:8" x14ac:dyDescent="0.3">
      <c r="A1011" t="s">
        <v>3</v>
      </c>
      <c r="B1011" s="3">
        <v>45201</v>
      </c>
      <c r="C1011">
        <f t="shared" si="261"/>
        <v>2</v>
      </c>
      <c r="D1011">
        <f t="shared" si="262"/>
        <v>10</v>
      </c>
      <c r="E1011">
        <f t="shared" si="263"/>
        <v>2023</v>
      </c>
      <c r="F1011" s="2">
        <v>573</v>
      </c>
      <c r="G1011" t="s">
        <v>19</v>
      </c>
      <c r="H1011" s="4">
        <f t="shared" si="273"/>
        <v>0.5137784540236352</v>
      </c>
    </row>
    <row r="1012" spans="1:8" x14ac:dyDescent="0.3">
      <c r="A1012" t="s">
        <v>9</v>
      </c>
      <c r="B1012" s="3">
        <v>45202</v>
      </c>
      <c r="C1012">
        <f t="shared" si="261"/>
        <v>3</v>
      </c>
      <c r="D1012">
        <f t="shared" si="262"/>
        <v>10</v>
      </c>
      <c r="E1012">
        <f t="shared" si="263"/>
        <v>2023</v>
      </c>
      <c r="F1012" s="2">
        <v>1176</v>
      </c>
      <c r="G1012" t="s">
        <v>17</v>
      </c>
      <c r="H1012" s="4">
        <f>SUMIFS($F$2:$F$2739,$G$2:$G$2739,"No Contract",$E$2:$E$2739,2023)/SUMIF($E$2:$E$2739,2023,$F$2:$F$2739)</f>
        <v>0.20934732870162456</v>
      </c>
    </row>
    <row r="1013" spans="1:8" x14ac:dyDescent="0.3">
      <c r="A1013" t="s">
        <v>8</v>
      </c>
      <c r="B1013" s="3">
        <v>45202</v>
      </c>
      <c r="C1013">
        <f t="shared" si="261"/>
        <v>3</v>
      </c>
      <c r="D1013">
        <f t="shared" si="262"/>
        <v>10</v>
      </c>
      <c r="E1013">
        <f t="shared" si="263"/>
        <v>2023</v>
      </c>
      <c r="F1013" s="2">
        <v>2267</v>
      </c>
      <c r="G1013" s="2" t="s">
        <v>18</v>
      </c>
      <c r="H1013" s="4">
        <f>SUMIFS($F$2:$F$2739,$G$2:$G$2739,"Annual Contract",$E$2:$E$2739,2023)/SUMIF($E$2:$E$2739,2023,$F$2:$F$2739)</f>
        <v>0.27687421727474026</v>
      </c>
    </row>
    <row r="1014" spans="1:8" x14ac:dyDescent="0.3">
      <c r="A1014" t="s">
        <v>11</v>
      </c>
      <c r="B1014" s="3">
        <v>45202</v>
      </c>
      <c r="C1014">
        <f t="shared" si="261"/>
        <v>3</v>
      </c>
      <c r="D1014">
        <f t="shared" si="262"/>
        <v>10</v>
      </c>
      <c r="E1014">
        <f t="shared" si="263"/>
        <v>2023</v>
      </c>
      <c r="F1014" s="2">
        <v>1609</v>
      </c>
      <c r="G1014" t="s">
        <v>19</v>
      </c>
      <c r="H1014" s="4">
        <f t="shared" ref="H1014:H1015" si="274">SUMIFS($F$2:$F$2739,$G$2:$G$2739,"Multi-year Contract",$E$2:$E$2739,2023)/SUMIF($E$2:$E$2739,2023,$F$2:$F$2739)</f>
        <v>0.5137784540236352</v>
      </c>
    </row>
    <row r="1015" spans="1:8" x14ac:dyDescent="0.3">
      <c r="A1015" t="s">
        <v>3</v>
      </c>
      <c r="B1015" s="3">
        <v>45203</v>
      </c>
      <c r="C1015">
        <f t="shared" si="261"/>
        <v>4</v>
      </c>
      <c r="D1015">
        <f t="shared" si="262"/>
        <v>10</v>
      </c>
      <c r="E1015">
        <f t="shared" si="263"/>
        <v>2023</v>
      </c>
      <c r="F1015" s="2">
        <v>2342</v>
      </c>
      <c r="G1015" t="s">
        <v>19</v>
      </c>
      <c r="H1015" s="4">
        <f t="shared" si="274"/>
        <v>0.5137784540236352</v>
      </c>
    </row>
    <row r="1016" spans="1:8" x14ac:dyDescent="0.3">
      <c r="A1016" t="s">
        <v>6</v>
      </c>
      <c r="B1016" s="3">
        <v>45203</v>
      </c>
      <c r="C1016">
        <f t="shared" si="261"/>
        <v>4</v>
      </c>
      <c r="D1016">
        <f t="shared" si="262"/>
        <v>10</v>
      </c>
      <c r="E1016">
        <f t="shared" si="263"/>
        <v>2023</v>
      </c>
      <c r="F1016" s="2">
        <v>1953</v>
      </c>
      <c r="G1016" t="s">
        <v>18</v>
      </c>
      <c r="H1016" s="4">
        <f>SUMIFS($F$2:$F$2739,$G$2:$G$2739,"Annual Contract",$E$2:$E$2739,2023)/SUMIF($E$2:$E$2739,2023,$F$2:$F$2739)</f>
        <v>0.27687421727474026</v>
      </c>
    </row>
    <row r="1017" spans="1:8" x14ac:dyDescent="0.3">
      <c r="A1017" t="s">
        <v>7</v>
      </c>
      <c r="B1017" s="3">
        <v>45203</v>
      </c>
      <c r="C1017">
        <f t="shared" si="261"/>
        <v>4</v>
      </c>
      <c r="D1017">
        <f t="shared" si="262"/>
        <v>10</v>
      </c>
      <c r="E1017">
        <f t="shared" si="263"/>
        <v>2023</v>
      </c>
      <c r="F1017" s="2">
        <v>567</v>
      </c>
      <c r="G1017" t="s">
        <v>17</v>
      </c>
      <c r="H1017" s="4">
        <f>SUMIFS($F$2:$F$2739,$G$2:$G$2739,"No Contract",$E$2:$E$2739,2023)/SUMIF($E$2:$E$2739,2023,$F$2:$F$2739)</f>
        <v>0.20934732870162456</v>
      </c>
    </row>
    <row r="1018" spans="1:8" x14ac:dyDescent="0.3">
      <c r="A1018" t="s">
        <v>8</v>
      </c>
      <c r="B1018" s="3">
        <v>45204</v>
      </c>
      <c r="C1018">
        <f t="shared" si="261"/>
        <v>5</v>
      </c>
      <c r="D1018">
        <f t="shared" si="262"/>
        <v>10</v>
      </c>
      <c r="E1018">
        <f t="shared" si="263"/>
        <v>2023</v>
      </c>
      <c r="F1018" s="2">
        <v>3867</v>
      </c>
      <c r="G1018" s="2" t="s">
        <v>18</v>
      </c>
      <c r="H1018" s="4">
        <f>SUMIFS($F$2:$F$2739,$G$2:$G$2739,"Annual Contract",$E$2:$E$2739,2023)/SUMIF($E$2:$E$2739,2023,$F$2:$F$2739)</f>
        <v>0.27687421727474026</v>
      </c>
    </row>
    <row r="1019" spans="1:8" x14ac:dyDescent="0.3">
      <c r="A1019" t="s">
        <v>7</v>
      </c>
      <c r="B1019" s="3">
        <v>45204</v>
      </c>
      <c r="C1019">
        <f t="shared" si="261"/>
        <v>5</v>
      </c>
      <c r="D1019">
        <f t="shared" si="262"/>
        <v>10</v>
      </c>
      <c r="E1019">
        <f t="shared" si="263"/>
        <v>2023</v>
      </c>
      <c r="F1019" s="2">
        <v>2614</v>
      </c>
      <c r="G1019" t="s">
        <v>17</v>
      </c>
      <c r="H1019" s="4">
        <f>SUMIFS($F$2:$F$2739,$G$2:$G$2739,"No Contract",$E$2:$E$2739,2023)/SUMIF($E$2:$E$2739,2023,$F$2:$F$2739)</f>
        <v>0.20934732870162456</v>
      </c>
    </row>
    <row r="1020" spans="1:8" x14ac:dyDescent="0.3">
      <c r="A1020" t="s">
        <v>11</v>
      </c>
      <c r="B1020" s="3">
        <v>45204</v>
      </c>
      <c r="C1020">
        <f t="shared" si="261"/>
        <v>5</v>
      </c>
      <c r="D1020">
        <f t="shared" si="262"/>
        <v>10</v>
      </c>
      <c r="E1020">
        <f t="shared" si="263"/>
        <v>2023</v>
      </c>
      <c r="F1020" s="2">
        <v>2996</v>
      </c>
      <c r="G1020" t="s">
        <v>19</v>
      </c>
      <c r="H1020" s="4">
        <f t="shared" ref="H1020:H1021" si="275">SUMIFS($F$2:$F$2739,$G$2:$G$2739,"Multi-year Contract",$E$2:$E$2739,2023)/SUMIF($E$2:$E$2739,2023,$F$2:$F$2739)</f>
        <v>0.5137784540236352</v>
      </c>
    </row>
    <row r="1021" spans="1:8" x14ac:dyDescent="0.3">
      <c r="A1021" t="s">
        <v>3</v>
      </c>
      <c r="B1021" s="3">
        <v>45204</v>
      </c>
      <c r="C1021">
        <f t="shared" si="261"/>
        <v>5</v>
      </c>
      <c r="D1021">
        <f t="shared" si="262"/>
        <v>10</v>
      </c>
      <c r="E1021">
        <f t="shared" si="263"/>
        <v>2023</v>
      </c>
      <c r="F1021" s="2">
        <v>2586</v>
      </c>
      <c r="G1021" t="s">
        <v>19</v>
      </c>
      <c r="H1021" s="4">
        <f t="shared" si="275"/>
        <v>0.5137784540236352</v>
      </c>
    </row>
    <row r="1022" spans="1:8" x14ac:dyDescent="0.3">
      <c r="A1022" t="s">
        <v>8</v>
      </c>
      <c r="B1022" s="3">
        <v>45204</v>
      </c>
      <c r="C1022">
        <f t="shared" si="261"/>
        <v>5</v>
      </c>
      <c r="D1022">
        <f t="shared" si="262"/>
        <v>10</v>
      </c>
      <c r="E1022">
        <f t="shared" si="263"/>
        <v>2023</v>
      </c>
      <c r="F1022" s="2">
        <v>2822</v>
      </c>
      <c r="G1022" s="2" t="s">
        <v>18</v>
      </c>
      <c r="H1022" s="4">
        <f>SUMIFS($F$2:$F$2739,$G$2:$G$2739,"Annual Contract",$E$2:$E$2739,2023)/SUMIF($E$2:$E$2739,2023,$F$2:$F$2739)</f>
        <v>0.27687421727474026</v>
      </c>
    </row>
    <row r="1023" spans="1:8" x14ac:dyDescent="0.3">
      <c r="A1023" t="s">
        <v>12</v>
      </c>
      <c r="B1023" s="3">
        <v>45205</v>
      </c>
      <c r="C1023">
        <f t="shared" si="261"/>
        <v>6</v>
      </c>
      <c r="D1023">
        <f t="shared" si="262"/>
        <v>10</v>
      </c>
      <c r="E1023">
        <f t="shared" si="263"/>
        <v>2023</v>
      </c>
      <c r="F1023" s="2">
        <v>3273</v>
      </c>
      <c r="G1023" s="2" t="s">
        <v>19</v>
      </c>
      <c r="H1023" s="4">
        <f>SUMIFS($F$2:$F$2739,$G$2:$G$2739,"Multi-year Contract",$E$2:$E$2739,2023)/SUMIF($E$2:$E$2739,2023,$F$2:$F$2739)</f>
        <v>0.5137784540236352</v>
      </c>
    </row>
    <row r="1024" spans="1:8" x14ac:dyDescent="0.3">
      <c r="A1024" t="s">
        <v>9</v>
      </c>
      <c r="B1024" s="3">
        <v>45206</v>
      </c>
      <c r="C1024">
        <f t="shared" si="261"/>
        <v>7</v>
      </c>
      <c r="D1024">
        <f t="shared" si="262"/>
        <v>10</v>
      </c>
      <c r="E1024">
        <f t="shared" si="263"/>
        <v>2023</v>
      </c>
      <c r="F1024" s="2">
        <v>2580</v>
      </c>
      <c r="G1024" t="s">
        <v>17</v>
      </c>
      <c r="H1024" s="4">
        <f t="shared" ref="H1024:H1025" si="276">SUMIFS($F$2:$F$2739,$G$2:$G$2739,"No Contract",$E$2:$E$2739,2023)/SUMIF($E$2:$E$2739,2023,$F$2:$F$2739)</f>
        <v>0.20934732870162456</v>
      </c>
    </row>
    <row r="1025" spans="1:8" x14ac:dyDescent="0.3">
      <c r="A1025" t="s">
        <v>7</v>
      </c>
      <c r="B1025" s="3">
        <v>45206</v>
      </c>
      <c r="C1025">
        <f t="shared" si="261"/>
        <v>7</v>
      </c>
      <c r="D1025">
        <f t="shared" si="262"/>
        <v>10</v>
      </c>
      <c r="E1025">
        <f t="shared" si="263"/>
        <v>2023</v>
      </c>
      <c r="F1025" s="2">
        <v>2155</v>
      </c>
      <c r="G1025" t="s">
        <v>17</v>
      </c>
      <c r="H1025" s="4">
        <f t="shared" si="276"/>
        <v>0.20934732870162456</v>
      </c>
    </row>
    <row r="1026" spans="1:8" x14ac:dyDescent="0.3">
      <c r="A1026" t="s">
        <v>11</v>
      </c>
      <c r="B1026" s="3">
        <v>45207</v>
      </c>
      <c r="C1026">
        <f t="shared" si="261"/>
        <v>8</v>
      </c>
      <c r="D1026">
        <f t="shared" si="262"/>
        <v>10</v>
      </c>
      <c r="E1026">
        <f t="shared" si="263"/>
        <v>2023</v>
      </c>
      <c r="F1026" s="2">
        <v>677</v>
      </c>
      <c r="G1026" t="s">
        <v>19</v>
      </c>
      <c r="H1026" s="4">
        <f t="shared" ref="H1026:H1027" si="277">SUMIFS($F$2:$F$2739,$G$2:$G$2739,"Multi-year Contract",$E$2:$E$2739,2023)/SUMIF($E$2:$E$2739,2023,$F$2:$F$2739)</f>
        <v>0.5137784540236352</v>
      </c>
    </row>
    <row r="1027" spans="1:8" x14ac:dyDescent="0.3">
      <c r="A1027" t="s">
        <v>12</v>
      </c>
      <c r="B1027" s="3">
        <v>45207</v>
      </c>
      <c r="C1027">
        <f t="shared" ref="C1027:C1090" si="278">DAY(B1027)</f>
        <v>8</v>
      </c>
      <c r="D1027">
        <f t="shared" ref="D1027:D1090" si="279">MONTH(B1027)</f>
        <v>10</v>
      </c>
      <c r="E1027">
        <f t="shared" ref="E1027:E1090" si="280">YEAR(B1027)</f>
        <v>2023</v>
      </c>
      <c r="F1027" s="2">
        <v>1471</v>
      </c>
      <c r="G1027" s="2" t="s">
        <v>19</v>
      </c>
      <c r="H1027" s="4">
        <f t="shared" si="277"/>
        <v>0.5137784540236352</v>
      </c>
    </row>
    <row r="1028" spans="1:8" x14ac:dyDescent="0.3">
      <c r="A1028" t="s">
        <v>5</v>
      </c>
      <c r="B1028" s="3">
        <v>45207</v>
      </c>
      <c r="C1028">
        <f t="shared" si="278"/>
        <v>8</v>
      </c>
      <c r="D1028">
        <f t="shared" si="279"/>
        <v>10</v>
      </c>
      <c r="E1028">
        <f t="shared" si="280"/>
        <v>2023</v>
      </c>
      <c r="F1028" s="2">
        <v>2957</v>
      </c>
      <c r="G1028" t="s">
        <v>18</v>
      </c>
      <c r="H1028" s="4">
        <f>SUMIFS($F$2:$F$2739,$G$2:$G$2739,"Annual Contract",$E$2:$E$2739,2023)/SUMIF($E$2:$E$2739,2023,$F$2:$F$2739)</f>
        <v>0.27687421727474026</v>
      </c>
    </row>
    <row r="1029" spans="1:8" x14ac:dyDescent="0.3">
      <c r="A1029" t="s">
        <v>12</v>
      </c>
      <c r="B1029" s="3">
        <v>45207</v>
      </c>
      <c r="C1029">
        <f t="shared" si="278"/>
        <v>8</v>
      </c>
      <c r="D1029">
        <f t="shared" si="279"/>
        <v>10</v>
      </c>
      <c r="E1029">
        <f t="shared" si="280"/>
        <v>2023</v>
      </c>
      <c r="F1029" s="2">
        <v>2998</v>
      </c>
      <c r="G1029" s="2" t="s">
        <v>19</v>
      </c>
      <c r="H1029" s="4">
        <f t="shared" ref="H1029:H1032" si="281">SUMIFS($F$2:$F$2739,$G$2:$G$2739,"Multi-year Contract",$E$2:$E$2739,2023)/SUMIF($E$2:$E$2739,2023,$F$2:$F$2739)</f>
        <v>0.5137784540236352</v>
      </c>
    </row>
    <row r="1030" spans="1:8" x14ac:dyDescent="0.3">
      <c r="A1030" t="s">
        <v>12</v>
      </c>
      <c r="B1030" s="3">
        <v>45208</v>
      </c>
      <c r="C1030">
        <f t="shared" si="278"/>
        <v>9</v>
      </c>
      <c r="D1030">
        <f t="shared" si="279"/>
        <v>10</v>
      </c>
      <c r="E1030">
        <f t="shared" si="280"/>
        <v>2023</v>
      </c>
      <c r="F1030" s="2">
        <v>3759</v>
      </c>
      <c r="G1030" s="2" t="s">
        <v>19</v>
      </c>
      <c r="H1030" s="4">
        <f t="shared" si="281"/>
        <v>0.5137784540236352</v>
      </c>
    </row>
    <row r="1031" spans="1:8" x14ac:dyDescent="0.3">
      <c r="A1031" t="s">
        <v>4</v>
      </c>
      <c r="B1031" s="3">
        <v>45208</v>
      </c>
      <c r="C1031">
        <f t="shared" si="278"/>
        <v>9</v>
      </c>
      <c r="D1031">
        <f t="shared" si="279"/>
        <v>10</v>
      </c>
      <c r="E1031">
        <f t="shared" si="280"/>
        <v>2023</v>
      </c>
      <c r="F1031" s="2">
        <v>3249</v>
      </c>
      <c r="G1031" s="2" t="s">
        <v>19</v>
      </c>
      <c r="H1031" s="4">
        <f t="shared" si="281"/>
        <v>0.5137784540236352</v>
      </c>
    </row>
    <row r="1032" spans="1:8" x14ac:dyDescent="0.3">
      <c r="A1032" t="s">
        <v>11</v>
      </c>
      <c r="B1032" s="3">
        <v>45208</v>
      </c>
      <c r="C1032">
        <f t="shared" si="278"/>
        <v>9</v>
      </c>
      <c r="D1032">
        <f t="shared" si="279"/>
        <v>10</v>
      </c>
      <c r="E1032">
        <f t="shared" si="280"/>
        <v>2023</v>
      </c>
      <c r="F1032" s="2">
        <v>710</v>
      </c>
      <c r="G1032" t="s">
        <v>19</v>
      </c>
      <c r="H1032" s="4">
        <f t="shared" si="281"/>
        <v>0.5137784540236352</v>
      </c>
    </row>
    <row r="1033" spans="1:8" x14ac:dyDescent="0.3">
      <c r="A1033" t="s">
        <v>5</v>
      </c>
      <c r="B1033" s="3">
        <v>45208</v>
      </c>
      <c r="C1033">
        <f t="shared" si="278"/>
        <v>9</v>
      </c>
      <c r="D1033">
        <f t="shared" si="279"/>
        <v>10</v>
      </c>
      <c r="E1033">
        <f t="shared" si="280"/>
        <v>2023</v>
      </c>
      <c r="F1033" s="2">
        <v>2357</v>
      </c>
      <c r="G1033" t="s">
        <v>18</v>
      </c>
      <c r="H1033" s="4">
        <f>SUMIFS($F$2:$F$2739,$G$2:$G$2739,"Annual Contract",$E$2:$E$2739,2023)/SUMIF($E$2:$E$2739,2023,$F$2:$F$2739)</f>
        <v>0.27687421727474026</v>
      </c>
    </row>
    <row r="1034" spans="1:8" x14ac:dyDescent="0.3">
      <c r="A1034" t="s">
        <v>11</v>
      </c>
      <c r="B1034" s="3">
        <v>45208</v>
      </c>
      <c r="C1034">
        <f t="shared" si="278"/>
        <v>9</v>
      </c>
      <c r="D1034">
        <f t="shared" si="279"/>
        <v>10</v>
      </c>
      <c r="E1034">
        <f t="shared" si="280"/>
        <v>2023</v>
      </c>
      <c r="F1034" s="2">
        <v>1207</v>
      </c>
      <c r="G1034" t="s">
        <v>19</v>
      </c>
      <c r="H1034" s="4">
        <f>SUMIFS($F$2:$F$2739,$G$2:$G$2739,"Multi-year Contract",$E$2:$E$2739,2023)/SUMIF($E$2:$E$2739,2023,$F$2:$F$2739)</f>
        <v>0.5137784540236352</v>
      </c>
    </row>
    <row r="1035" spans="1:8" x14ac:dyDescent="0.3">
      <c r="A1035" t="s">
        <v>5</v>
      </c>
      <c r="B1035" s="3">
        <v>45209</v>
      </c>
      <c r="C1035">
        <f t="shared" si="278"/>
        <v>10</v>
      </c>
      <c r="D1035">
        <f t="shared" si="279"/>
        <v>10</v>
      </c>
      <c r="E1035">
        <f t="shared" si="280"/>
        <v>2023</v>
      </c>
      <c r="F1035" s="2">
        <v>876</v>
      </c>
      <c r="G1035" t="s">
        <v>18</v>
      </c>
      <c r="H1035" s="4">
        <f>SUMIFS($F$2:$F$2739,$G$2:$G$2739,"Annual Contract",$E$2:$E$2739,2023)/SUMIF($E$2:$E$2739,2023,$F$2:$F$2739)</f>
        <v>0.27687421727474026</v>
      </c>
    </row>
    <row r="1036" spans="1:8" x14ac:dyDescent="0.3">
      <c r="A1036" t="s">
        <v>7</v>
      </c>
      <c r="B1036" s="3">
        <v>45209</v>
      </c>
      <c r="C1036">
        <f t="shared" si="278"/>
        <v>10</v>
      </c>
      <c r="D1036">
        <f t="shared" si="279"/>
        <v>10</v>
      </c>
      <c r="E1036">
        <f t="shared" si="280"/>
        <v>2023</v>
      </c>
      <c r="F1036" s="2">
        <v>3700</v>
      </c>
      <c r="G1036" t="s">
        <v>17</v>
      </c>
      <c r="H1036" s="4">
        <f t="shared" ref="H1036:H1037" si="282">SUMIFS($F$2:$F$2739,$G$2:$G$2739,"No Contract",$E$2:$E$2739,2023)/SUMIF($E$2:$E$2739,2023,$F$2:$F$2739)</f>
        <v>0.20934732870162456</v>
      </c>
    </row>
    <row r="1037" spans="1:8" x14ac:dyDescent="0.3">
      <c r="A1037" t="s">
        <v>9</v>
      </c>
      <c r="B1037" s="3">
        <v>45210</v>
      </c>
      <c r="C1037">
        <f t="shared" si="278"/>
        <v>11</v>
      </c>
      <c r="D1037">
        <f t="shared" si="279"/>
        <v>10</v>
      </c>
      <c r="E1037">
        <f t="shared" si="280"/>
        <v>2023</v>
      </c>
      <c r="F1037" s="2">
        <v>1646</v>
      </c>
      <c r="G1037" t="s">
        <v>17</v>
      </c>
      <c r="H1037" s="4">
        <f t="shared" si="282"/>
        <v>0.20934732870162456</v>
      </c>
    </row>
    <row r="1038" spans="1:8" x14ac:dyDescent="0.3">
      <c r="A1038" t="s">
        <v>4</v>
      </c>
      <c r="B1038" s="3">
        <v>45210</v>
      </c>
      <c r="C1038">
        <f t="shared" si="278"/>
        <v>11</v>
      </c>
      <c r="D1038">
        <f t="shared" si="279"/>
        <v>10</v>
      </c>
      <c r="E1038">
        <f t="shared" si="280"/>
        <v>2023</v>
      </c>
      <c r="F1038" s="2">
        <v>825</v>
      </c>
      <c r="G1038" s="2" t="s">
        <v>19</v>
      </c>
      <c r="H1038" s="4">
        <f t="shared" ref="H1038:H1041" si="283">SUMIFS($F$2:$F$2739,$G$2:$G$2739,"Multi-year Contract",$E$2:$E$2739,2023)/SUMIF($E$2:$E$2739,2023,$F$2:$F$2739)</f>
        <v>0.5137784540236352</v>
      </c>
    </row>
    <row r="1039" spans="1:8" x14ac:dyDescent="0.3">
      <c r="A1039" t="s">
        <v>10</v>
      </c>
      <c r="B1039" s="3">
        <v>45211</v>
      </c>
      <c r="C1039">
        <f t="shared" si="278"/>
        <v>12</v>
      </c>
      <c r="D1039">
        <f t="shared" si="279"/>
        <v>10</v>
      </c>
      <c r="E1039">
        <f t="shared" si="280"/>
        <v>2023</v>
      </c>
      <c r="F1039" s="2">
        <v>2332</v>
      </c>
      <c r="G1039" t="s">
        <v>19</v>
      </c>
      <c r="H1039" s="4">
        <f t="shared" si="283"/>
        <v>0.5137784540236352</v>
      </c>
    </row>
    <row r="1040" spans="1:8" x14ac:dyDescent="0.3">
      <c r="A1040" t="s">
        <v>10</v>
      </c>
      <c r="B1040" s="3">
        <v>45211</v>
      </c>
      <c r="C1040">
        <f t="shared" si="278"/>
        <v>12</v>
      </c>
      <c r="D1040">
        <f t="shared" si="279"/>
        <v>10</v>
      </c>
      <c r="E1040">
        <f t="shared" si="280"/>
        <v>2023</v>
      </c>
      <c r="F1040" s="2">
        <v>3981</v>
      </c>
      <c r="G1040" t="s">
        <v>19</v>
      </c>
      <c r="H1040" s="4">
        <f t="shared" si="283"/>
        <v>0.5137784540236352</v>
      </c>
    </row>
    <row r="1041" spans="1:8" x14ac:dyDescent="0.3">
      <c r="A1041" t="s">
        <v>4</v>
      </c>
      <c r="B1041" s="3">
        <v>45211</v>
      </c>
      <c r="C1041">
        <f t="shared" si="278"/>
        <v>12</v>
      </c>
      <c r="D1041">
        <f t="shared" si="279"/>
        <v>10</v>
      </c>
      <c r="E1041">
        <f t="shared" si="280"/>
        <v>2023</v>
      </c>
      <c r="F1041" s="2">
        <v>1216</v>
      </c>
      <c r="G1041" s="2" t="s">
        <v>19</v>
      </c>
      <c r="H1041" s="4">
        <f t="shared" si="283"/>
        <v>0.5137784540236352</v>
      </c>
    </row>
    <row r="1042" spans="1:8" x14ac:dyDescent="0.3">
      <c r="A1042" t="s">
        <v>9</v>
      </c>
      <c r="B1042" s="3">
        <v>45212</v>
      </c>
      <c r="C1042">
        <f t="shared" si="278"/>
        <v>13</v>
      </c>
      <c r="D1042">
        <f t="shared" si="279"/>
        <v>10</v>
      </c>
      <c r="E1042">
        <f t="shared" si="280"/>
        <v>2023</v>
      </c>
      <c r="F1042" s="2">
        <v>2462</v>
      </c>
      <c r="G1042" t="s">
        <v>17</v>
      </c>
      <c r="H1042" s="4">
        <f>SUMIFS($F$2:$F$2739,$G$2:$G$2739,"No Contract",$E$2:$E$2739,2023)/SUMIF($E$2:$E$2739,2023,$F$2:$F$2739)</f>
        <v>0.20934732870162456</v>
      </c>
    </row>
    <row r="1043" spans="1:8" x14ac:dyDescent="0.3">
      <c r="A1043" t="s">
        <v>4</v>
      </c>
      <c r="B1043" s="3">
        <v>45212</v>
      </c>
      <c r="C1043">
        <f t="shared" si="278"/>
        <v>13</v>
      </c>
      <c r="D1043">
        <f t="shared" si="279"/>
        <v>10</v>
      </c>
      <c r="E1043">
        <f t="shared" si="280"/>
        <v>2023</v>
      </c>
      <c r="F1043" s="2">
        <v>3457</v>
      </c>
      <c r="G1043" s="2" t="s">
        <v>19</v>
      </c>
      <c r="H1043" s="4">
        <f t="shared" ref="H1043:H1045" si="284">SUMIFS($F$2:$F$2739,$G$2:$G$2739,"Multi-year Contract",$E$2:$E$2739,2023)/SUMIF($E$2:$E$2739,2023,$F$2:$F$2739)</f>
        <v>0.5137784540236352</v>
      </c>
    </row>
    <row r="1044" spans="1:8" x14ac:dyDescent="0.3">
      <c r="A1044" t="s">
        <v>11</v>
      </c>
      <c r="B1044" s="3">
        <v>45212</v>
      </c>
      <c r="C1044">
        <f t="shared" si="278"/>
        <v>13</v>
      </c>
      <c r="D1044">
        <f t="shared" si="279"/>
        <v>10</v>
      </c>
      <c r="E1044">
        <f t="shared" si="280"/>
        <v>2023</v>
      </c>
      <c r="F1044" s="2">
        <v>2077</v>
      </c>
      <c r="G1044" t="s">
        <v>19</v>
      </c>
      <c r="H1044" s="4">
        <f t="shared" si="284"/>
        <v>0.5137784540236352</v>
      </c>
    </row>
    <row r="1045" spans="1:8" x14ac:dyDescent="0.3">
      <c r="A1045" t="s">
        <v>11</v>
      </c>
      <c r="B1045" s="3">
        <v>45212</v>
      </c>
      <c r="C1045">
        <f t="shared" si="278"/>
        <v>13</v>
      </c>
      <c r="D1045">
        <f t="shared" si="279"/>
        <v>10</v>
      </c>
      <c r="E1045">
        <f t="shared" si="280"/>
        <v>2023</v>
      </c>
      <c r="F1045" s="2">
        <v>1955</v>
      </c>
      <c r="G1045" t="s">
        <v>19</v>
      </c>
      <c r="H1045" s="4">
        <f t="shared" si="284"/>
        <v>0.5137784540236352</v>
      </c>
    </row>
    <row r="1046" spans="1:8" x14ac:dyDescent="0.3">
      <c r="A1046" t="s">
        <v>9</v>
      </c>
      <c r="B1046" s="3">
        <v>45213</v>
      </c>
      <c r="C1046">
        <f t="shared" si="278"/>
        <v>14</v>
      </c>
      <c r="D1046">
        <f t="shared" si="279"/>
        <v>10</v>
      </c>
      <c r="E1046">
        <f t="shared" si="280"/>
        <v>2023</v>
      </c>
      <c r="F1046" s="2">
        <v>2299</v>
      </c>
      <c r="G1046" t="s">
        <v>17</v>
      </c>
      <c r="H1046" s="4">
        <f>SUMIFS($F$2:$F$2739,$G$2:$G$2739,"No Contract",$E$2:$E$2739,2023)/SUMIF($E$2:$E$2739,2023,$F$2:$F$2739)</f>
        <v>0.20934732870162456</v>
      </c>
    </row>
    <row r="1047" spans="1:8" x14ac:dyDescent="0.3">
      <c r="A1047" t="s">
        <v>5</v>
      </c>
      <c r="B1047" s="3">
        <v>45213</v>
      </c>
      <c r="C1047">
        <f t="shared" si="278"/>
        <v>14</v>
      </c>
      <c r="D1047">
        <f t="shared" si="279"/>
        <v>10</v>
      </c>
      <c r="E1047">
        <f t="shared" si="280"/>
        <v>2023</v>
      </c>
      <c r="F1047" s="2">
        <v>2062</v>
      </c>
      <c r="G1047" t="s">
        <v>18</v>
      </c>
      <c r="H1047" s="4">
        <f>SUMIFS($F$2:$F$2739,$G$2:$G$2739,"Annual Contract",$E$2:$E$2739,2023)/SUMIF($E$2:$E$2739,2023,$F$2:$F$2739)</f>
        <v>0.27687421727474026</v>
      </c>
    </row>
    <row r="1048" spans="1:8" x14ac:dyDescent="0.3">
      <c r="A1048" t="s">
        <v>7</v>
      </c>
      <c r="B1048" s="3">
        <v>45213</v>
      </c>
      <c r="C1048">
        <f t="shared" si="278"/>
        <v>14</v>
      </c>
      <c r="D1048">
        <f t="shared" si="279"/>
        <v>10</v>
      </c>
      <c r="E1048">
        <f t="shared" si="280"/>
        <v>2023</v>
      </c>
      <c r="F1048" s="2">
        <v>3793</v>
      </c>
      <c r="G1048" t="s">
        <v>17</v>
      </c>
      <c r="H1048" s="4">
        <f>SUMIFS($F$2:$F$2739,$G$2:$G$2739,"No Contract",$E$2:$E$2739,2023)/SUMIF($E$2:$E$2739,2023,$F$2:$F$2739)</f>
        <v>0.20934732870162456</v>
      </c>
    </row>
    <row r="1049" spans="1:8" x14ac:dyDescent="0.3">
      <c r="A1049" t="s">
        <v>3</v>
      </c>
      <c r="B1049" s="3">
        <v>45213</v>
      </c>
      <c r="C1049">
        <f t="shared" si="278"/>
        <v>14</v>
      </c>
      <c r="D1049">
        <f t="shared" si="279"/>
        <v>10</v>
      </c>
      <c r="E1049">
        <f t="shared" si="280"/>
        <v>2023</v>
      </c>
      <c r="F1049" s="2">
        <v>3174</v>
      </c>
      <c r="G1049" t="s">
        <v>19</v>
      </c>
      <c r="H1049" s="4">
        <f>SUMIFS($F$2:$F$2739,$G$2:$G$2739,"Multi-year Contract",$E$2:$E$2739,2023)/SUMIF($E$2:$E$2739,2023,$F$2:$F$2739)</f>
        <v>0.5137784540236352</v>
      </c>
    </row>
    <row r="1050" spans="1:8" x14ac:dyDescent="0.3">
      <c r="A1050" t="s">
        <v>5</v>
      </c>
      <c r="B1050" s="3">
        <v>45214</v>
      </c>
      <c r="C1050">
        <f t="shared" si="278"/>
        <v>15</v>
      </c>
      <c r="D1050">
        <f t="shared" si="279"/>
        <v>10</v>
      </c>
      <c r="E1050">
        <f t="shared" si="280"/>
        <v>2023</v>
      </c>
      <c r="F1050" s="2">
        <v>2782</v>
      </c>
      <c r="G1050" t="s">
        <v>18</v>
      </c>
      <c r="H1050" s="4">
        <f t="shared" ref="H1050:H1051" si="285">SUMIFS($F$2:$F$2739,$G$2:$G$2739,"Annual Contract",$E$2:$E$2739,2023)/SUMIF($E$2:$E$2739,2023,$F$2:$F$2739)</f>
        <v>0.27687421727474026</v>
      </c>
    </row>
    <row r="1051" spans="1:8" x14ac:dyDescent="0.3">
      <c r="A1051" t="s">
        <v>6</v>
      </c>
      <c r="B1051" s="3">
        <v>45214</v>
      </c>
      <c r="C1051">
        <f t="shared" si="278"/>
        <v>15</v>
      </c>
      <c r="D1051">
        <f t="shared" si="279"/>
        <v>10</v>
      </c>
      <c r="E1051">
        <f t="shared" si="280"/>
        <v>2023</v>
      </c>
      <c r="F1051" s="2">
        <v>3784</v>
      </c>
      <c r="G1051" t="s">
        <v>18</v>
      </c>
      <c r="H1051" s="4">
        <f t="shared" si="285"/>
        <v>0.27687421727474026</v>
      </c>
    </row>
    <row r="1052" spans="1:8" x14ac:dyDescent="0.3">
      <c r="A1052" t="s">
        <v>10</v>
      </c>
      <c r="B1052" s="3">
        <v>45215</v>
      </c>
      <c r="C1052">
        <f t="shared" si="278"/>
        <v>16</v>
      </c>
      <c r="D1052">
        <f t="shared" si="279"/>
        <v>10</v>
      </c>
      <c r="E1052">
        <f t="shared" si="280"/>
        <v>2023</v>
      </c>
      <c r="F1052" s="2">
        <v>2980</v>
      </c>
      <c r="G1052" t="s">
        <v>19</v>
      </c>
      <c r="H1052" s="4">
        <f>SUMIFS($F$2:$F$2739,$G$2:$G$2739,"Multi-year Contract",$E$2:$E$2739,2023)/SUMIF($E$2:$E$2739,2023,$F$2:$F$2739)</f>
        <v>0.5137784540236352</v>
      </c>
    </row>
    <row r="1053" spans="1:8" x14ac:dyDescent="0.3">
      <c r="A1053" t="s">
        <v>9</v>
      </c>
      <c r="B1053" s="3">
        <v>45215</v>
      </c>
      <c r="C1053">
        <f t="shared" si="278"/>
        <v>16</v>
      </c>
      <c r="D1053">
        <f t="shared" si="279"/>
        <v>10</v>
      </c>
      <c r="E1053">
        <f t="shared" si="280"/>
        <v>2023</v>
      </c>
      <c r="F1053" s="2">
        <v>1279</v>
      </c>
      <c r="G1053" t="s">
        <v>17</v>
      </c>
      <c r="H1053" s="4">
        <f t="shared" ref="H1053:H1055" si="286">SUMIFS($F$2:$F$2739,$G$2:$G$2739,"No Contract",$E$2:$E$2739,2023)/SUMIF($E$2:$E$2739,2023,$F$2:$F$2739)</f>
        <v>0.20934732870162456</v>
      </c>
    </row>
    <row r="1054" spans="1:8" x14ac:dyDescent="0.3">
      <c r="A1054" t="s">
        <v>9</v>
      </c>
      <c r="B1054" s="3">
        <v>45215</v>
      </c>
      <c r="C1054">
        <f t="shared" si="278"/>
        <v>16</v>
      </c>
      <c r="D1054">
        <f t="shared" si="279"/>
        <v>10</v>
      </c>
      <c r="E1054">
        <f t="shared" si="280"/>
        <v>2023</v>
      </c>
      <c r="F1054" s="2">
        <v>3217</v>
      </c>
      <c r="G1054" t="s">
        <v>17</v>
      </c>
      <c r="H1054" s="4">
        <f t="shared" si="286"/>
        <v>0.20934732870162456</v>
      </c>
    </row>
    <row r="1055" spans="1:8" x14ac:dyDescent="0.3">
      <c r="A1055" t="s">
        <v>7</v>
      </c>
      <c r="B1055" s="3">
        <v>45215</v>
      </c>
      <c r="C1055">
        <f t="shared" si="278"/>
        <v>16</v>
      </c>
      <c r="D1055">
        <f t="shared" si="279"/>
        <v>10</v>
      </c>
      <c r="E1055">
        <f t="shared" si="280"/>
        <v>2023</v>
      </c>
      <c r="F1055" s="2">
        <v>3350</v>
      </c>
      <c r="G1055" t="s">
        <v>17</v>
      </c>
      <c r="H1055" s="4">
        <f t="shared" si="286"/>
        <v>0.20934732870162456</v>
      </c>
    </row>
    <row r="1056" spans="1:8" x14ac:dyDescent="0.3">
      <c r="A1056" t="s">
        <v>8</v>
      </c>
      <c r="B1056" s="3">
        <v>45215</v>
      </c>
      <c r="C1056">
        <f t="shared" si="278"/>
        <v>16</v>
      </c>
      <c r="D1056">
        <f t="shared" si="279"/>
        <v>10</v>
      </c>
      <c r="E1056">
        <f t="shared" si="280"/>
        <v>2023</v>
      </c>
      <c r="F1056" s="2">
        <v>1194</v>
      </c>
      <c r="G1056" s="2" t="s">
        <v>18</v>
      </c>
      <c r="H1056" s="4">
        <f>SUMIFS($F$2:$F$2739,$G$2:$G$2739,"Annual Contract",$E$2:$E$2739,2023)/SUMIF($E$2:$E$2739,2023,$F$2:$F$2739)</f>
        <v>0.27687421727474026</v>
      </c>
    </row>
    <row r="1057" spans="1:8" x14ac:dyDescent="0.3">
      <c r="A1057" t="s">
        <v>3</v>
      </c>
      <c r="B1057" s="3">
        <v>45216</v>
      </c>
      <c r="C1057">
        <f t="shared" si="278"/>
        <v>17</v>
      </c>
      <c r="D1057">
        <f t="shared" si="279"/>
        <v>10</v>
      </c>
      <c r="E1057">
        <f t="shared" si="280"/>
        <v>2023</v>
      </c>
      <c r="F1057" s="2">
        <v>3952</v>
      </c>
      <c r="G1057" t="s">
        <v>19</v>
      </c>
      <c r="H1057" s="4">
        <f>SUMIFS($F$2:$F$2739,$G$2:$G$2739,"Multi-year Contract",$E$2:$E$2739,2023)/SUMIF($E$2:$E$2739,2023,$F$2:$F$2739)</f>
        <v>0.5137784540236352</v>
      </c>
    </row>
    <row r="1058" spans="1:8" x14ac:dyDescent="0.3">
      <c r="A1058" t="s">
        <v>6</v>
      </c>
      <c r="B1058" s="3">
        <v>45216</v>
      </c>
      <c r="C1058">
        <f t="shared" si="278"/>
        <v>17</v>
      </c>
      <c r="D1058">
        <f t="shared" si="279"/>
        <v>10</v>
      </c>
      <c r="E1058">
        <f t="shared" si="280"/>
        <v>2023</v>
      </c>
      <c r="F1058" s="2">
        <v>2468</v>
      </c>
      <c r="G1058" t="s">
        <v>18</v>
      </c>
      <c r="H1058" s="4">
        <f>SUMIFS($F$2:$F$2739,$G$2:$G$2739,"Annual Contract",$E$2:$E$2739,2023)/SUMIF($E$2:$E$2739,2023,$F$2:$F$2739)</f>
        <v>0.27687421727474026</v>
      </c>
    </row>
    <row r="1059" spans="1:8" x14ac:dyDescent="0.3">
      <c r="A1059" t="s">
        <v>10</v>
      </c>
      <c r="B1059" s="3">
        <v>45216</v>
      </c>
      <c r="C1059">
        <f t="shared" si="278"/>
        <v>17</v>
      </c>
      <c r="D1059">
        <f t="shared" si="279"/>
        <v>10</v>
      </c>
      <c r="E1059">
        <f t="shared" si="280"/>
        <v>2023</v>
      </c>
      <c r="F1059" s="2">
        <v>3628</v>
      </c>
      <c r="G1059" t="s">
        <v>19</v>
      </c>
      <c r="H1059" s="4">
        <f t="shared" ref="H1059:H1062" si="287">SUMIFS($F$2:$F$2739,$G$2:$G$2739,"Multi-year Contract",$E$2:$E$2739,2023)/SUMIF($E$2:$E$2739,2023,$F$2:$F$2739)</f>
        <v>0.5137784540236352</v>
      </c>
    </row>
    <row r="1060" spans="1:8" x14ac:dyDescent="0.3">
      <c r="A1060" t="s">
        <v>4</v>
      </c>
      <c r="B1060" s="3">
        <v>45217</v>
      </c>
      <c r="C1060">
        <f t="shared" si="278"/>
        <v>18</v>
      </c>
      <c r="D1060">
        <f t="shared" si="279"/>
        <v>10</v>
      </c>
      <c r="E1060">
        <f t="shared" si="280"/>
        <v>2023</v>
      </c>
      <c r="F1060" s="2">
        <v>3486</v>
      </c>
      <c r="G1060" s="2" t="s">
        <v>19</v>
      </c>
      <c r="H1060" s="4">
        <f t="shared" si="287"/>
        <v>0.5137784540236352</v>
      </c>
    </row>
    <row r="1061" spans="1:8" x14ac:dyDescent="0.3">
      <c r="A1061" t="s">
        <v>12</v>
      </c>
      <c r="B1061" s="3">
        <v>45217</v>
      </c>
      <c r="C1061">
        <f t="shared" si="278"/>
        <v>18</v>
      </c>
      <c r="D1061">
        <f t="shared" si="279"/>
        <v>10</v>
      </c>
      <c r="E1061">
        <f t="shared" si="280"/>
        <v>2023</v>
      </c>
      <c r="F1061" s="2">
        <v>1284</v>
      </c>
      <c r="G1061" s="2" t="s">
        <v>19</v>
      </c>
      <c r="H1061" s="4">
        <f t="shared" si="287"/>
        <v>0.5137784540236352</v>
      </c>
    </row>
    <row r="1062" spans="1:8" x14ac:dyDescent="0.3">
      <c r="A1062" t="s">
        <v>3</v>
      </c>
      <c r="B1062" s="3">
        <v>45217</v>
      </c>
      <c r="C1062">
        <f t="shared" si="278"/>
        <v>18</v>
      </c>
      <c r="D1062">
        <f t="shared" si="279"/>
        <v>10</v>
      </c>
      <c r="E1062">
        <f t="shared" si="280"/>
        <v>2023</v>
      </c>
      <c r="F1062" s="2">
        <v>782</v>
      </c>
      <c r="G1062" t="s">
        <v>19</v>
      </c>
      <c r="H1062" s="4">
        <f t="shared" si="287"/>
        <v>0.5137784540236352</v>
      </c>
    </row>
    <row r="1063" spans="1:8" x14ac:dyDescent="0.3">
      <c r="A1063" t="s">
        <v>7</v>
      </c>
      <c r="B1063" s="3">
        <v>45217</v>
      </c>
      <c r="C1063">
        <f t="shared" si="278"/>
        <v>18</v>
      </c>
      <c r="D1063">
        <f t="shared" si="279"/>
        <v>10</v>
      </c>
      <c r="E1063">
        <f t="shared" si="280"/>
        <v>2023</v>
      </c>
      <c r="F1063" s="2">
        <v>3118</v>
      </c>
      <c r="G1063" t="s">
        <v>17</v>
      </c>
      <c r="H1063" s="4">
        <f>SUMIFS($F$2:$F$2739,$G$2:$G$2739,"No Contract",$E$2:$E$2739,2023)/SUMIF($E$2:$E$2739,2023,$F$2:$F$2739)</f>
        <v>0.20934732870162456</v>
      </c>
    </row>
    <row r="1064" spans="1:8" x14ac:dyDescent="0.3">
      <c r="A1064" t="s">
        <v>11</v>
      </c>
      <c r="B1064" s="3">
        <v>45218</v>
      </c>
      <c r="C1064">
        <f t="shared" si="278"/>
        <v>19</v>
      </c>
      <c r="D1064">
        <f t="shared" si="279"/>
        <v>10</v>
      </c>
      <c r="E1064">
        <f t="shared" si="280"/>
        <v>2023</v>
      </c>
      <c r="F1064" s="2">
        <v>681</v>
      </c>
      <c r="G1064" t="s">
        <v>19</v>
      </c>
      <c r="H1064" s="4">
        <f t="shared" ref="H1064:H1065" si="288">SUMIFS($F$2:$F$2739,$G$2:$G$2739,"Multi-year Contract",$E$2:$E$2739,2023)/SUMIF($E$2:$E$2739,2023,$F$2:$F$2739)</f>
        <v>0.5137784540236352</v>
      </c>
    </row>
    <row r="1065" spans="1:8" x14ac:dyDescent="0.3">
      <c r="A1065" t="s">
        <v>10</v>
      </c>
      <c r="B1065" s="3">
        <v>45218</v>
      </c>
      <c r="C1065">
        <f t="shared" si="278"/>
        <v>19</v>
      </c>
      <c r="D1065">
        <f t="shared" si="279"/>
        <v>10</v>
      </c>
      <c r="E1065">
        <f t="shared" si="280"/>
        <v>2023</v>
      </c>
      <c r="F1065" s="2">
        <v>2340</v>
      </c>
      <c r="G1065" t="s">
        <v>19</v>
      </c>
      <c r="H1065" s="4">
        <f t="shared" si="288"/>
        <v>0.5137784540236352</v>
      </c>
    </row>
    <row r="1066" spans="1:8" x14ac:dyDescent="0.3">
      <c r="A1066" t="s">
        <v>9</v>
      </c>
      <c r="B1066" s="3">
        <v>45218</v>
      </c>
      <c r="C1066">
        <f t="shared" si="278"/>
        <v>19</v>
      </c>
      <c r="D1066">
        <f t="shared" si="279"/>
        <v>10</v>
      </c>
      <c r="E1066">
        <f t="shared" si="280"/>
        <v>2023</v>
      </c>
      <c r="F1066" s="2">
        <v>2309</v>
      </c>
      <c r="G1066" t="s">
        <v>17</v>
      </c>
      <c r="H1066" s="4">
        <f t="shared" ref="H1066:H1067" si="289">SUMIFS($F$2:$F$2739,$G$2:$G$2739,"No Contract",$E$2:$E$2739,2023)/SUMIF($E$2:$E$2739,2023,$F$2:$F$2739)</f>
        <v>0.20934732870162456</v>
      </c>
    </row>
    <row r="1067" spans="1:8" x14ac:dyDescent="0.3">
      <c r="A1067" t="s">
        <v>9</v>
      </c>
      <c r="B1067" s="3">
        <v>45218</v>
      </c>
      <c r="C1067">
        <f t="shared" si="278"/>
        <v>19</v>
      </c>
      <c r="D1067">
        <f t="shared" si="279"/>
        <v>10</v>
      </c>
      <c r="E1067">
        <f t="shared" si="280"/>
        <v>2023</v>
      </c>
      <c r="F1067" s="2">
        <v>2443</v>
      </c>
      <c r="G1067" t="s">
        <v>17</v>
      </c>
      <c r="H1067" s="4">
        <f t="shared" si="289"/>
        <v>0.20934732870162456</v>
      </c>
    </row>
    <row r="1068" spans="1:8" x14ac:dyDescent="0.3">
      <c r="A1068" t="s">
        <v>8</v>
      </c>
      <c r="B1068" s="3">
        <v>45218</v>
      </c>
      <c r="C1068">
        <f t="shared" si="278"/>
        <v>19</v>
      </c>
      <c r="D1068">
        <f t="shared" si="279"/>
        <v>10</v>
      </c>
      <c r="E1068">
        <f t="shared" si="280"/>
        <v>2023</v>
      </c>
      <c r="F1068" s="2">
        <v>3253</v>
      </c>
      <c r="G1068" s="2" t="s">
        <v>18</v>
      </c>
      <c r="H1068" s="4">
        <f>SUMIFS($F$2:$F$2739,$G$2:$G$2739,"Annual Contract",$E$2:$E$2739,2023)/SUMIF($E$2:$E$2739,2023,$F$2:$F$2739)</f>
        <v>0.27687421727474026</v>
      </c>
    </row>
    <row r="1069" spans="1:8" x14ac:dyDescent="0.3">
      <c r="A1069" t="s">
        <v>4</v>
      </c>
      <c r="B1069" s="3">
        <v>45218</v>
      </c>
      <c r="C1069">
        <f t="shared" si="278"/>
        <v>19</v>
      </c>
      <c r="D1069">
        <f t="shared" si="279"/>
        <v>10</v>
      </c>
      <c r="E1069">
        <f t="shared" si="280"/>
        <v>2023</v>
      </c>
      <c r="F1069" s="2">
        <v>3897</v>
      </c>
      <c r="G1069" s="2" t="s">
        <v>19</v>
      </c>
      <c r="H1069" s="4">
        <f t="shared" ref="H1069:H1071" si="290">SUMIFS($F$2:$F$2739,$G$2:$G$2739,"Multi-year Contract",$E$2:$E$2739,2023)/SUMIF($E$2:$E$2739,2023,$F$2:$F$2739)</f>
        <v>0.5137784540236352</v>
      </c>
    </row>
    <row r="1070" spans="1:8" x14ac:dyDescent="0.3">
      <c r="A1070" t="s">
        <v>4</v>
      </c>
      <c r="B1070" s="3">
        <v>45218</v>
      </c>
      <c r="C1070">
        <f t="shared" si="278"/>
        <v>19</v>
      </c>
      <c r="D1070">
        <f t="shared" si="279"/>
        <v>10</v>
      </c>
      <c r="E1070">
        <f t="shared" si="280"/>
        <v>2023</v>
      </c>
      <c r="F1070" s="2">
        <v>1208</v>
      </c>
      <c r="G1070" s="2" t="s">
        <v>19</v>
      </c>
      <c r="H1070" s="4">
        <f t="shared" si="290"/>
        <v>0.5137784540236352</v>
      </c>
    </row>
    <row r="1071" spans="1:8" x14ac:dyDescent="0.3">
      <c r="A1071" t="s">
        <v>11</v>
      </c>
      <c r="B1071" s="3">
        <v>45218</v>
      </c>
      <c r="C1071">
        <f t="shared" si="278"/>
        <v>19</v>
      </c>
      <c r="D1071">
        <f t="shared" si="279"/>
        <v>10</v>
      </c>
      <c r="E1071">
        <f t="shared" si="280"/>
        <v>2023</v>
      </c>
      <c r="F1071" s="2">
        <v>708</v>
      </c>
      <c r="G1071" t="s">
        <v>19</v>
      </c>
      <c r="H1071" s="4">
        <f t="shared" si="290"/>
        <v>0.5137784540236352</v>
      </c>
    </row>
    <row r="1072" spans="1:8" x14ac:dyDescent="0.3">
      <c r="A1072" t="s">
        <v>8</v>
      </c>
      <c r="B1072" s="3">
        <v>45219</v>
      </c>
      <c r="C1072">
        <f t="shared" si="278"/>
        <v>20</v>
      </c>
      <c r="D1072">
        <f t="shared" si="279"/>
        <v>10</v>
      </c>
      <c r="E1072">
        <f t="shared" si="280"/>
        <v>2023</v>
      </c>
      <c r="F1072" s="2">
        <v>3180</v>
      </c>
      <c r="G1072" s="2" t="s">
        <v>18</v>
      </c>
      <c r="H1072" s="4">
        <f>SUMIFS($F$2:$F$2739,$G$2:$G$2739,"Annual Contract",$E$2:$E$2739,2023)/SUMIF($E$2:$E$2739,2023,$F$2:$F$2739)</f>
        <v>0.27687421727474026</v>
      </c>
    </row>
    <row r="1073" spans="1:8" x14ac:dyDescent="0.3">
      <c r="A1073" t="s">
        <v>12</v>
      </c>
      <c r="B1073" s="3">
        <v>45219</v>
      </c>
      <c r="C1073">
        <f t="shared" si="278"/>
        <v>20</v>
      </c>
      <c r="D1073">
        <f t="shared" si="279"/>
        <v>10</v>
      </c>
      <c r="E1073">
        <f t="shared" si="280"/>
        <v>2023</v>
      </c>
      <c r="F1073" s="2">
        <v>2984</v>
      </c>
      <c r="G1073" s="2" t="s">
        <v>19</v>
      </c>
      <c r="H1073" s="4">
        <f t="shared" ref="H1073:H1075" si="291">SUMIFS($F$2:$F$2739,$G$2:$G$2739,"Multi-year Contract",$E$2:$E$2739,2023)/SUMIF($E$2:$E$2739,2023,$F$2:$F$2739)</f>
        <v>0.5137784540236352</v>
      </c>
    </row>
    <row r="1074" spans="1:8" x14ac:dyDescent="0.3">
      <c r="A1074" t="s">
        <v>11</v>
      </c>
      <c r="B1074" s="3">
        <v>45220</v>
      </c>
      <c r="C1074">
        <f t="shared" si="278"/>
        <v>21</v>
      </c>
      <c r="D1074">
        <f t="shared" si="279"/>
        <v>10</v>
      </c>
      <c r="E1074">
        <f t="shared" si="280"/>
        <v>2023</v>
      </c>
      <c r="F1074" s="2">
        <v>1665</v>
      </c>
      <c r="G1074" t="s">
        <v>19</v>
      </c>
      <c r="H1074" s="4">
        <f t="shared" si="291"/>
        <v>0.5137784540236352</v>
      </c>
    </row>
    <row r="1075" spans="1:8" x14ac:dyDescent="0.3">
      <c r="A1075" t="s">
        <v>3</v>
      </c>
      <c r="B1075" s="3">
        <v>45220</v>
      </c>
      <c r="C1075">
        <f t="shared" si="278"/>
        <v>21</v>
      </c>
      <c r="D1075">
        <f t="shared" si="279"/>
        <v>10</v>
      </c>
      <c r="E1075">
        <f t="shared" si="280"/>
        <v>2023</v>
      </c>
      <c r="F1075" s="2">
        <v>3871</v>
      </c>
      <c r="G1075" t="s">
        <v>19</v>
      </c>
      <c r="H1075" s="4">
        <f t="shared" si="291"/>
        <v>0.5137784540236352</v>
      </c>
    </row>
    <row r="1076" spans="1:8" x14ac:dyDescent="0.3">
      <c r="A1076" t="s">
        <v>8</v>
      </c>
      <c r="B1076" s="3">
        <v>45220</v>
      </c>
      <c r="C1076">
        <f t="shared" si="278"/>
        <v>21</v>
      </c>
      <c r="D1076">
        <f t="shared" si="279"/>
        <v>10</v>
      </c>
      <c r="E1076">
        <f t="shared" si="280"/>
        <v>2023</v>
      </c>
      <c r="F1076" s="2">
        <v>893</v>
      </c>
      <c r="G1076" s="2" t="s">
        <v>18</v>
      </c>
      <c r="H1076" s="4">
        <f>SUMIFS($F$2:$F$2739,$G$2:$G$2739,"Annual Contract",$E$2:$E$2739,2023)/SUMIF($E$2:$E$2739,2023,$F$2:$F$2739)</f>
        <v>0.27687421727474026</v>
      </c>
    </row>
    <row r="1077" spans="1:8" x14ac:dyDescent="0.3">
      <c r="A1077" t="s">
        <v>9</v>
      </c>
      <c r="B1077" s="3">
        <v>45221</v>
      </c>
      <c r="C1077">
        <f t="shared" si="278"/>
        <v>22</v>
      </c>
      <c r="D1077">
        <f t="shared" si="279"/>
        <v>10</v>
      </c>
      <c r="E1077">
        <f t="shared" si="280"/>
        <v>2023</v>
      </c>
      <c r="F1077" s="2">
        <v>3869</v>
      </c>
      <c r="G1077" t="s">
        <v>17</v>
      </c>
      <c r="H1077" s="4">
        <f>SUMIFS($F$2:$F$2739,$G$2:$G$2739,"No Contract",$E$2:$E$2739,2023)/SUMIF($E$2:$E$2739,2023,$F$2:$F$2739)</f>
        <v>0.20934732870162456</v>
      </c>
    </row>
    <row r="1078" spans="1:8" x14ac:dyDescent="0.3">
      <c r="A1078" t="s">
        <v>10</v>
      </c>
      <c r="B1078" s="3">
        <v>45221</v>
      </c>
      <c r="C1078">
        <f t="shared" si="278"/>
        <v>22</v>
      </c>
      <c r="D1078">
        <f t="shared" si="279"/>
        <v>10</v>
      </c>
      <c r="E1078">
        <f t="shared" si="280"/>
        <v>2023</v>
      </c>
      <c r="F1078" s="2">
        <v>772</v>
      </c>
      <c r="G1078" t="s">
        <v>19</v>
      </c>
      <c r="H1078" s="4">
        <f>SUMIFS($F$2:$F$2739,$G$2:$G$2739,"Multi-year Contract",$E$2:$E$2739,2023)/SUMIF($E$2:$E$2739,2023,$F$2:$F$2739)</f>
        <v>0.5137784540236352</v>
      </c>
    </row>
    <row r="1079" spans="1:8" x14ac:dyDescent="0.3">
      <c r="A1079" t="s">
        <v>7</v>
      </c>
      <c r="B1079" s="3">
        <v>45222</v>
      </c>
      <c r="C1079">
        <f t="shared" si="278"/>
        <v>23</v>
      </c>
      <c r="D1079">
        <f t="shared" si="279"/>
        <v>10</v>
      </c>
      <c r="E1079">
        <f t="shared" si="280"/>
        <v>2023</v>
      </c>
      <c r="F1079" s="2">
        <v>637</v>
      </c>
      <c r="G1079" t="s">
        <v>17</v>
      </c>
      <c r="H1079" s="4">
        <f>SUMIFS($F$2:$F$2739,$G$2:$G$2739,"No Contract",$E$2:$E$2739,2023)/SUMIF($E$2:$E$2739,2023,$F$2:$F$2739)</f>
        <v>0.20934732870162456</v>
      </c>
    </row>
    <row r="1080" spans="1:8" x14ac:dyDescent="0.3">
      <c r="A1080" t="s">
        <v>3</v>
      </c>
      <c r="B1080" s="3">
        <v>45222</v>
      </c>
      <c r="C1080">
        <f t="shared" si="278"/>
        <v>23</v>
      </c>
      <c r="D1080">
        <f t="shared" si="279"/>
        <v>10</v>
      </c>
      <c r="E1080">
        <f t="shared" si="280"/>
        <v>2023</v>
      </c>
      <c r="F1080" s="2">
        <v>1482</v>
      </c>
      <c r="G1080" t="s">
        <v>19</v>
      </c>
      <c r="H1080" s="4">
        <f>SUMIFS($F$2:$F$2739,$G$2:$G$2739,"Multi-year Contract",$E$2:$E$2739,2023)/SUMIF($E$2:$E$2739,2023,$F$2:$F$2739)</f>
        <v>0.5137784540236352</v>
      </c>
    </row>
    <row r="1081" spans="1:8" x14ac:dyDescent="0.3">
      <c r="A1081" t="s">
        <v>9</v>
      </c>
      <c r="B1081" s="3">
        <v>45222</v>
      </c>
      <c r="C1081">
        <f t="shared" si="278"/>
        <v>23</v>
      </c>
      <c r="D1081">
        <f t="shared" si="279"/>
        <v>10</v>
      </c>
      <c r="E1081">
        <f t="shared" si="280"/>
        <v>2023</v>
      </c>
      <c r="F1081" s="2">
        <v>1740</v>
      </c>
      <c r="G1081" t="s">
        <v>17</v>
      </c>
      <c r="H1081" s="4">
        <f>SUMIFS($F$2:$F$2739,$G$2:$G$2739,"No Contract",$E$2:$E$2739,2023)/SUMIF($E$2:$E$2739,2023,$F$2:$F$2739)</f>
        <v>0.20934732870162456</v>
      </c>
    </row>
    <row r="1082" spans="1:8" x14ac:dyDescent="0.3">
      <c r="A1082" t="s">
        <v>6</v>
      </c>
      <c r="B1082" s="3">
        <v>45222</v>
      </c>
      <c r="C1082">
        <f t="shared" si="278"/>
        <v>23</v>
      </c>
      <c r="D1082">
        <f t="shared" si="279"/>
        <v>10</v>
      </c>
      <c r="E1082">
        <f t="shared" si="280"/>
        <v>2023</v>
      </c>
      <c r="F1082" s="2">
        <v>2019</v>
      </c>
      <c r="G1082" t="s">
        <v>18</v>
      </c>
      <c r="H1082" s="4">
        <f>SUMIFS($F$2:$F$2739,$G$2:$G$2739,"Annual Contract",$E$2:$E$2739,2023)/SUMIF($E$2:$E$2739,2023,$F$2:$F$2739)</f>
        <v>0.27687421727474026</v>
      </c>
    </row>
    <row r="1083" spans="1:8" x14ac:dyDescent="0.3">
      <c r="A1083" t="s">
        <v>9</v>
      </c>
      <c r="B1083" s="3">
        <v>45222</v>
      </c>
      <c r="C1083">
        <f t="shared" si="278"/>
        <v>23</v>
      </c>
      <c r="D1083">
        <f t="shared" si="279"/>
        <v>10</v>
      </c>
      <c r="E1083">
        <f t="shared" si="280"/>
        <v>2023</v>
      </c>
      <c r="F1083" s="2">
        <v>3149</v>
      </c>
      <c r="G1083" t="s">
        <v>17</v>
      </c>
      <c r="H1083" s="4">
        <f t="shared" ref="H1083:H1084" si="292">SUMIFS($F$2:$F$2739,$G$2:$G$2739,"No Contract",$E$2:$E$2739,2023)/SUMIF($E$2:$E$2739,2023,$F$2:$F$2739)</f>
        <v>0.20934732870162456</v>
      </c>
    </row>
    <row r="1084" spans="1:8" x14ac:dyDescent="0.3">
      <c r="A1084" t="s">
        <v>7</v>
      </c>
      <c r="B1084" s="3">
        <v>45222</v>
      </c>
      <c r="C1084">
        <f t="shared" si="278"/>
        <v>23</v>
      </c>
      <c r="D1084">
        <f t="shared" si="279"/>
        <v>10</v>
      </c>
      <c r="E1084">
        <f t="shared" si="280"/>
        <v>2023</v>
      </c>
      <c r="F1084" s="2">
        <v>3752</v>
      </c>
      <c r="G1084" t="s">
        <v>17</v>
      </c>
      <c r="H1084" s="4">
        <f t="shared" si="292"/>
        <v>0.20934732870162456</v>
      </c>
    </row>
    <row r="1085" spans="1:8" x14ac:dyDescent="0.3">
      <c r="A1085" t="s">
        <v>11</v>
      </c>
      <c r="B1085" s="3">
        <v>45222</v>
      </c>
      <c r="C1085">
        <f t="shared" si="278"/>
        <v>23</v>
      </c>
      <c r="D1085">
        <f t="shared" si="279"/>
        <v>10</v>
      </c>
      <c r="E1085">
        <f t="shared" si="280"/>
        <v>2023</v>
      </c>
      <c r="F1085" s="2">
        <v>3566</v>
      </c>
      <c r="G1085" t="s">
        <v>19</v>
      </c>
      <c r="H1085" s="4">
        <f>SUMIFS($F$2:$F$2739,$G$2:$G$2739,"Multi-year Contract",$E$2:$E$2739,2023)/SUMIF($E$2:$E$2739,2023,$F$2:$F$2739)</f>
        <v>0.5137784540236352</v>
      </c>
    </row>
    <row r="1086" spans="1:8" x14ac:dyDescent="0.3">
      <c r="A1086" t="s">
        <v>9</v>
      </c>
      <c r="B1086" s="3">
        <v>45223</v>
      </c>
      <c r="C1086">
        <f t="shared" si="278"/>
        <v>24</v>
      </c>
      <c r="D1086">
        <f t="shared" si="279"/>
        <v>10</v>
      </c>
      <c r="E1086">
        <f t="shared" si="280"/>
        <v>2023</v>
      </c>
      <c r="F1086" s="2">
        <v>3821</v>
      </c>
      <c r="G1086" t="s">
        <v>17</v>
      </c>
      <c r="H1086" s="4">
        <f>SUMIFS($F$2:$F$2739,$G$2:$G$2739,"No Contract",$E$2:$E$2739,2023)/SUMIF($E$2:$E$2739,2023,$F$2:$F$2739)</f>
        <v>0.20934732870162456</v>
      </c>
    </row>
    <row r="1087" spans="1:8" x14ac:dyDescent="0.3">
      <c r="A1087" t="s">
        <v>6</v>
      </c>
      <c r="B1087" s="3">
        <v>45223</v>
      </c>
      <c r="C1087">
        <f t="shared" si="278"/>
        <v>24</v>
      </c>
      <c r="D1087">
        <f t="shared" si="279"/>
        <v>10</v>
      </c>
      <c r="E1087">
        <f t="shared" si="280"/>
        <v>2023</v>
      </c>
      <c r="F1087" s="2">
        <v>2537</v>
      </c>
      <c r="G1087" t="s">
        <v>18</v>
      </c>
      <c r="H1087" s="4">
        <f>SUMIFS($F$2:$F$2739,$G$2:$G$2739,"Annual Contract",$E$2:$E$2739,2023)/SUMIF($E$2:$E$2739,2023,$F$2:$F$2739)</f>
        <v>0.27687421727474026</v>
      </c>
    </row>
    <row r="1088" spans="1:8" x14ac:dyDescent="0.3">
      <c r="A1088" t="s">
        <v>12</v>
      </c>
      <c r="B1088" s="3">
        <v>45223</v>
      </c>
      <c r="C1088">
        <f t="shared" si="278"/>
        <v>24</v>
      </c>
      <c r="D1088">
        <f t="shared" si="279"/>
        <v>10</v>
      </c>
      <c r="E1088">
        <f t="shared" si="280"/>
        <v>2023</v>
      </c>
      <c r="F1088" s="2">
        <v>1384</v>
      </c>
      <c r="G1088" s="2" t="s">
        <v>19</v>
      </c>
      <c r="H1088" s="4">
        <f t="shared" ref="H1088:H1089" si="293">SUMIFS($F$2:$F$2739,$G$2:$G$2739,"Multi-year Contract",$E$2:$E$2739,2023)/SUMIF($E$2:$E$2739,2023,$F$2:$F$2739)</f>
        <v>0.5137784540236352</v>
      </c>
    </row>
    <row r="1089" spans="1:8" x14ac:dyDescent="0.3">
      <c r="A1089" t="s">
        <v>11</v>
      </c>
      <c r="B1089" s="3">
        <v>45223</v>
      </c>
      <c r="C1089">
        <f t="shared" si="278"/>
        <v>24</v>
      </c>
      <c r="D1089">
        <f t="shared" si="279"/>
        <v>10</v>
      </c>
      <c r="E1089">
        <f t="shared" si="280"/>
        <v>2023</v>
      </c>
      <c r="F1089" s="2">
        <v>2472</v>
      </c>
      <c r="G1089" t="s">
        <v>19</v>
      </c>
      <c r="H1089" s="4">
        <f t="shared" si="293"/>
        <v>0.5137784540236352</v>
      </c>
    </row>
    <row r="1090" spans="1:8" x14ac:dyDescent="0.3">
      <c r="A1090" t="s">
        <v>5</v>
      </c>
      <c r="B1090" s="3">
        <v>45224</v>
      </c>
      <c r="C1090">
        <f t="shared" si="278"/>
        <v>25</v>
      </c>
      <c r="D1090">
        <f t="shared" si="279"/>
        <v>10</v>
      </c>
      <c r="E1090">
        <f t="shared" si="280"/>
        <v>2023</v>
      </c>
      <c r="F1090" s="2">
        <v>2569</v>
      </c>
      <c r="G1090" t="s">
        <v>18</v>
      </c>
      <c r="H1090" s="4">
        <f t="shared" ref="H1090:H1091" si="294">SUMIFS($F$2:$F$2739,$G$2:$G$2739,"Annual Contract",$E$2:$E$2739,2023)/SUMIF($E$2:$E$2739,2023,$F$2:$F$2739)</f>
        <v>0.27687421727474026</v>
      </c>
    </row>
    <row r="1091" spans="1:8" x14ac:dyDescent="0.3">
      <c r="A1091" t="s">
        <v>6</v>
      </c>
      <c r="B1091" s="3">
        <v>45224</v>
      </c>
      <c r="C1091">
        <f t="shared" ref="C1091:C1154" si="295">DAY(B1091)</f>
        <v>25</v>
      </c>
      <c r="D1091">
        <f t="shared" ref="D1091:D1154" si="296">MONTH(B1091)</f>
        <v>10</v>
      </c>
      <c r="E1091">
        <f t="shared" ref="E1091:E1154" si="297">YEAR(B1091)</f>
        <v>2023</v>
      </c>
      <c r="F1091" s="2">
        <v>1999</v>
      </c>
      <c r="G1091" t="s">
        <v>18</v>
      </c>
      <c r="H1091" s="4">
        <f t="shared" si="294"/>
        <v>0.27687421727474026</v>
      </c>
    </row>
    <row r="1092" spans="1:8" x14ac:dyDescent="0.3">
      <c r="A1092" t="s">
        <v>10</v>
      </c>
      <c r="B1092" s="3">
        <v>45225</v>
      </c>
      <c r="C1092">
        <f t="shared" si="295"/>
        <v>26</v>
      </c>
      <c r="D1092">
        <f t="shared" si="296"/>
        <v>10</v>
      </c>
      <c r="E1092">
        <f t="shared" si="297"/>
        <v>2023</v>
      </c>
      <c r="F1092" s="2">
        <v>1629</v>
      </c>
      <c r="G1092" t="s">
        <v>19</v>
      </c>
      <c r="H1092" s="4">
        <f t="shared" ref="H1092:H1093" si="298">SUMIFS($F$2:$F$2739,$G$2:$G$2739,"Multi-year Contract",$E$2:$E$2739,2023)/SUMIF($E$2:$E$2739,2023,$F$2:$F$2739)</f>
        <v>0.5137784540236352</v>
      </c>
    </row>
    <row r="1093" spans="1:8" x14ac:dyDescent="0.3">
      <c r="A1093" t="s">
        <v>11</v>
      </c>
      <c r="B1093" s="3">
        <v>45225</v>
      </c>
      <c r="C1093">
        <f t="shared" si="295"/>
        <v>26</v>
      </c>
      <c r="D1093">
        <f t="shared" si="296"/>
        <v>10</v>
      </c>
      <c r="E1093">
        <f t="shared" si="297"/>
        <v>2023</v>
      </c>
      <c r="F1093" s="2">
        <v>2108</v>
      </c>
      <c r="G1093" t="s">
        <v>19</v>
      </c>
      <c r="H1093" s="4">
        <f t="shared" si="298"/>
        <v>0.5137784540236352</v>
      </c>
    </row>
    <row r="1094" spans="1:8" x14ac:dyDescent="0.3">
      <c r="A1094" t="s">
        <v>9</v>
      </c>
      <c r="B1094" s="3">
        <v>45226</v>
      </c>
      <c r="C1094">
        <f t="shared" si="295"/>
        <v>27</v>
      </c>
      <c r="D1094">
        <f t="shared" si="296"/>
        <v>10</v>
      </c>
      <c r="E1094">
        <f t="shared" si="297"/>
        <v>2023</v>
      </c>
      <c r="F1094" s="2">
        <v>3409</v>
      </c>
      <c r="G1094" t="s">
        <v>17</v>
      </c>
      <c r="H1094" s="4">
        <f>SUMIFS($F$2:$F$2739,$G$2:$G$2739,"No Contract",$E$2:$E$2739,2023)/SUMIF($E$2:$E$2739,2023,$F$2:$F$2739)</f>
        <v>0.20934732870162456</v>
      </c>
    </row>
    <row r="1095" spans="1:8" x14ac:dyDescent="0.3">
      <c r="A1095" t="s">
        <v>11</v>
      </c>
      <c r="B1095" s="3">
        <v>45226</v>
      </c>
      <c r="C1095">
        <f t="shared" si="295"/>
        <v>27</v>
      </c>
      <c r="D1095">
        <f t="shared" si="296"/>
        <v>10</v>
      </c>
      <c r="E1095">
        <f t="shared" si="297"/>
        <v>2023</v>
      </c>
      <c r="F1095" s="2">
        <v>1868</v>
      </c>
      <c r="G1095" t="s">
        <v>19</v>
      </c>
      <c r="H1095" s="4">
        <f>SUMIFS($F$2:$F$2739,$G$2:$G$2739,"Multi-year Contract",$E$2:$E$2739,2023)/SUMIF($E$2:$E$2739,2023,$F$2:$F$2739)</f>
        <v>0.5137784540236352</v>
      </c>
    </row>
    <row r="1096" spans="1:8" x14ac:dyDescent="0.3">
      <c r="A1096" t="s">
        <v>6</v>
      </c>
      <c r="B1096" s="3">
        <v>45226</v>
      </c>
      <c r="C1096">
        <f t="shared" si="295"/>
        <v>27</v>
      </c>
      <c r="D1096">
        <f t="shared" si="296"/>
        <v>10</v>
      </c>
      <c r="E1096">
        <f t="shared" si="297"/>
        <v>2023</v>
      </c>
      <c r="F1096" s="2">
        <v>2104</v>
      </c>
      <c r="G1096" t="s">
        <v>18</v>
      </c>
      <c r="H1096" s="4">
        <f>SUMIFS($F$2:$F$2739,$G$2:$G$2739,"Annual Contract",$E$2:$E$2739,2023)/SUMIF($E$2:$E$2739,2023,$F$2:$F$2739)</f>
        <v>0.27687421727474026</v>
      </c>
    </row>
    <row r="1097" spans="1:8" x14ac:dyDescent="0.3">
      <c r="A1097" t="s">
        <v>7</v>
      </c>
      <c r="B1097" s="3">
        <v>45226</v>
      </c>
      <c r="C1097">
        <f t="shared" si="295"/>
        <v>27</v>
      </c>
      <c r="D1097">
        <f t="shared" si="296"/>
        <v>10</v>
      </c>
      <c r="E1097">
        <f t="shared" si="297"/>
        <v>2023</v>
      </c>
      <c r="F1097" s="2">
        <v>622</v>
      </c>
      <c r="G1097" t="s">
        <v>17</v>
      </c>
      <c r="H1097" s="4">
        <f>SUMIFS($F$2:$F$2739,$G$2:$G$2739,"No Contract",$E$2:$E$2739,2023)/SUMIF($E$2:$E$2739,2023,$F$2:$F$2739)</f>
        <v>0.20934732870162456</v>
      </c>
    </row>
    <row r="1098" spans="1:8" x14ac:dyDescent="0.3">
      <c r="A1098" t="s">
        <v>3</v>
      </c>
      <c r="B1098" s="3">
        <v>45226</v>
      </c>
      <c r="C1098">
        <f t="shared" si="295"/>
        <v>27</v>
      </c>
      <c r="D1098">
        <f t="shared" si="296"/>
        <v>10</v>
      </c>
      <c r="E1098">
        <f t="shared" si="297"/>
        <v>2023</v>
      </c>
      <c r="F1098" s="2">
        <v>2223</v>
      </c>
      <c r="G1098" t="s">
        <v>19</v>
      </c>
      <c r="H1098" s="4">
        <f t="shared" ref="H1098:H1102" si="299">SUMIFS($F$2:$F$2739,$G$2:$G$2739,"Multi-year Contract",$E$2:$E$2739,2023)/SUMIF($E$2:$E$2739,2023,$F$2:$F$2739)</f>
        <v>0.5137784540236352</v>
      </c>
    </row>
    <row r="1099" spans="1:8" x14ac:dyDescent="0.3">
      <c r="A1099" t="s">
        <v>4</v>
      </c>
      <c r="B1099" s="3">
        <v>45227</v>
      </c>
      <c r="C1099">
        <f t="shared" si="295"/>
        <v>28</v>
      </c>
      <c r="D1099">
        <f t="shared" si="296"/>
        <v>10</v>
      </c>
      <c r="E1099">
        <f t="shared" si="297"/>
        <v>2023</v>
      </c>
      <c r="F1099" s="2">
        <v>1582</v>
      </c>
      <c r="G1099" s="2" t="s">
        <v>19</v>
      </c>
      <c r="H1099" s="4">
        <f t="shared" si="299"/>
        <v>0.5137784540236352</v>
      </c>
    </row>
    <row r="1100" spans="1:8" x14ac:dyDescent="0.3">
      <c r="A1100" t="s">
        <v>3</v>
      </c>
      <c r="B1100" s="3">
        <v>45227</v>
      </c>
      <c r="C1100">
        <f t="shared" si="295"/>
        <v>28</v>
      </c>
      <c r="D1100">
        <f t="shared" si="296"/>
        <v>10</v>
      </c>
      <c r="E1100">
        <f t="shared" si="297"/>
        <v>2023</v>
      </c>
      <c r="F1100" s="2">
        <v>2044</v>
      </c>
      <c r="G1100" t="s">
        <v>19</v>
      </c>
      <c r="H1100" s="4">
        <f t="shared" si="299"/>
        <v>0.5137784540236352</v>
      </c>
    </row>
    <row r="1101" spans="1:8" x14ac:dyDescent="0.3">
      <c r="A1101" t="s">
        <v>3</v>
      </c>
      <c r="B1101" s="3">
        <v>45227</v>
      </c>
      <c r="C1101">
        <f t="shared" si="295"/>
        <v>28</v>
      </c>
      <c r="D1101">
        <f t="shared" si="296"/>
        <v>10</v>
      </c>
      <c r="E1101">
        <f t="shared" si="297"/>
        <v>2023</v>
      </c>
      <c r="F1101" s="2">
        <v>3124</v>
      </c>
      <c r="G1101" t="s">
        <v>19</v>
      </c>
      <c r="H1101" s="4">
        <f t="shared" si="299"/>
        <v>0.5137784540236352</v>
      </c>
    </row>
    <row r="1102" spans="1:8" x14ac:dyDescent="0.3">
      <c r="A1102" t="s">
        <v>10</v>
      </c>
      <c r="B1102" s="3">
        <v>45227</v>
      </c>
      <c r="C1102">
        <f t="shared" si="295"/>
        <v>28</v>
      </c>
      <c r="D1102">
        <f t="shared" si="296"/>
        <v>10</v>
      </c>
      <c r="E1102">
        <f t="shared" si="297"/>
        <v>2023</v>
      </c>
      <c r="F1102" s="2">
        <v>1314</v>
      </c>
      <c r="G1102" t="s">
        <v>19</v>
      </c>
      <c r="H1102" s="4">
        <f t="shared" si="299"/>
        <v>0.5137784540236352</v>
      </c>
    </row>
    <row r="1103" spans="1:8" x14ac:dyDescent="0.3">
      <c r="A1103" t="s">
        <v>6</v>
      </c>
      <c r="B1103" s="3">
        <v>45228</v>
      </c>
      <c r="C1103">
        <f t="shared" si="295"/>
        <v>29</v>
      </c>
      <c r="D1103">
        <f t="shared" si="296"/>
        <v>10</v>
      </c>
      <c r="E1103">
        <f t="shared" si="297"/>
        <v>2023</v>
      </c>
      <c r="F1103" s="2">
        <v>663</v>
      </c>
      <c r="G1103" t="s">
        <v>18</v>
      </c>
      <c r="H1103" s="4">
        <f>SUMIFS($F$2:$F$2739,$G$2:$G$2739,"Annual Contract",$E$2:$E$2739,2023)/SUMIF($E$2:$E$2739,2023,$F$2:$F$2739)</f>
        <v>0.27687421727474026</v>
      </c>
    </row>
    <row r="1104" spans="1:8" x14ac:dyDescent="0.3">
      <c r="A1104" t="s">
        <v>4</v>
      </c>
      <c r="B1104" s="3">
        <v>45228</v>
      </c>
      <c r="C1104">
        <f t="shared" si="295"/>
        <v>29</v>
      </c>
      <c r="D1104">
        <f t="shared" si="296"/>
        <v>10</v>
      </c>
      <c r="E1104">
        <f t="shared" si="297"/>
        <v>2023</v>
      </c>
      <c r="F1104" s="2">
        <v>1532</v>
      </c>
      <c r="G1104" s="2" t="s">
        <v>19</v>
      </c>
      <c r="H1104" s="4">
        <f t="shared" ref="H1104:H1105" si="300">SUMIFS($F$2:$F$2739,$G$2:$G$2739,"Multi-year Contract",$E$2:$E$2739,2023)/SUMIF($E$2:$E$2739,2023,$F$2:$F$2739)</f>
        <v>0.5137784540236352</v>
      </c>
    </row>
    <row r="1105" spans="1:8" x14ac:dyDescent="0.3">
      <c r="A1105" t="s">
        <v>10</v>
      </c>
      <c r="B1105" s="3">
        <v>45228</v>
      </c>
      <c r="C1105">
        <f t="shared" si="295"/>
        <v>29</v>
      </c>
      <c r="D1105">
        <f t="shared" si="296"/>
        <v>10</v>
      </c>
      <c r="E1105">
        <f t="shared" si="297"/>
        <v>2023</v>
      </c>
      <c r="F1105" s="2">
        <v>805</v>
      </c>
      <c r="G1105" t="s">
        <v>19</v>
      </c>
      <c r="H1105" s="4">
        <f t="shared" si="300"/>
        <v>0.5137784540236352</v>
      </c>
    </row>
    <row r="1106" spans="1:8" x14ac:dyDescent="0.3">
      <c r="A1106" t="s">
        <v>7</v>
      </c>
      <c r="B1106" s="3">
        <v>45228</v>
      </c>
      <c r="C1106">
        <f t="shared" si="295"/>
        <v>29</v>
      </c>
      <c r="D1106">
        <f t="shared" si="296"/>
        <v>10</v>
      </c>
      <c r="E1106">
        <f t="shared" si="297"/>
        <v>2023</v>
      </c>
      <c r="F1106" s="2">
        <v>3310</v>
      </c>
      <c r="G1106" t="s">
        <v>17</v>
      </c>
      <c r="H1106" s="4">
        <f>SUMIFS($F$2:$F$2739,$G$2:$G$2739,"No Contract",$E$2:$E$2739,2023)/SUMIF($E$2:$E$2739,2023,$F$2:$F$2739)</f>
        <v>0.20934732870162456</v>
      </c>
    </row>
    <row r="1107" spans="1:8" x14ac:dyDescent="0.3">
      <c r="A1107" t="s">
        <v>10</v>
      </c>
      <c r="B1107" s="3">
        <v>45228</v>
      </c>
      <c r="C1107">
        <f t="shared" si="295"/>
        <v>29</v>
      </c>
      <c r="D1107">
        <f t="shared" si="296"/>
        <v>10</v>
      </c>
      <c r="E1107">
        <f t="shared" si="297"/>
        <v>2023</v>
      </c>
      <c r="F1107" s="2">
        <v>669</v>
      </c>
      <c r="G1107" t="s">
        <v>19</v>
      </c>
      <c r="H1107" s="4">
        <f t="shared" ref="H1107:H1108" si="301">SUMIFS($F$2:$F$2739,$G$2:$G$2739,"Multi-year Contract",$E$2:$E$2739,2023)/SUMIF($E$2:$E$2739,2023,$F$2:$F$2739)</f>
        <v>0.5137784540236352</v>
      </c>
    </row>
    <row r="1108" spans="1:8" x14ac:dyDescent="0.3">
      <c r="A1108" t="s">
        <v>4</v>
      </c>
      <c r="B1108" s="3">
        <v>45229</v>
      </c>
      <c r="C1108">
        <f t="shared" si="295"/>
        <v>30</v>
      </c>
      <c r="D1108">
        <f t="shared" si="296"/>
        <v>10</v>
      </c>
      <c r="E1108">
        <f t="shared" si="297"/>
        <v>2023</v>
      </c>
      <c r="F1108" s="2">
        <v>1746</v>
      </c>
      <c r="G1108" s="2" t="s">
        <v>19</v>
      </c>
      <c r="H1108" s="4">
        <f t="shared" si="301"/>
        <v>0.5137784540236352</v>
      </c>
    </row>
    <row r="1109" spans="1:8" x14ac:dyDescent="0.3">
      <c r="A1109" t="s">
        <v>5</v>
      </c>
      <c r="B1109" s="3">
        <v>45229</v>
      </c>
      <c r="C1109">
        <f t="shared" si="295"/>
        <v>30</v>
      </c>
      <c r="D1109">
        <f t="shared" si="296"/>
        <v>10</v>
      </c>
      <c r="E1109">
        <f t="shared" si="297"/>
        <v>2023</v>
      </c>
      <c r="F1109" s="2">
        <v>3723</v>
      </c>
      <c r="G1109" t="s">
        <v>18</v>
      </c>
      <c r="H1109" s="4">
        <f t="shared" ref="H1109:H1110" si="302">SUMIFS($F$2:$F$2739,$G$2:$G$2739,"Annual Contract",$E$2:$E$2739,2023)/SUMIF($E$2:$E$2739,2023,$F$2:$F$2739)</f>
        <v>0.27687421727474026</v>
      </c>
    </row>
    <row r="1110" spans="1:8" x14ac:dyDescent="0.3">
      <c r="A1110" t="s">
        <v>5</v>
      </c>
      <c r="B1110" s="3">
        <v>45229</v>
      </c>
      <c r="C1110">
        <f t="shared" si="295"/>
        <v>30</v>
      </c>
      <c r="D1110">
        <f t="shared" si="296"/>
        <v>10</v>
      </c>
      <c r="E1110">
        <f t="shared" si="297"/>
        <v>2023</v>
      </c>
      <c r="F1110" s="2">
        <v>2193</v>
      </c>
      <c r="G1110" t="s">
        <v>18</v>
      </c>
      <c r="H1110" s="4">
        <f t="shared" si="302"/>
        <v>0.27687421727474026</v>
      </c>
    </row>
    <row r="1111" spans="1:8" x14ac:dyDescent="0.3">
      <c r="A1111" t="s">
        <v>11</v>
      </c>
      <c r="B1111" s="3">
        <v>45229</v>
      </c>
      <c r="C1111">
        <f t="shared" si="295"/>
        <v>30</v>
      </c>
      <c r="D1111">
        <f t="shared" si="296"/>
        <v>10</v>
      </c>
      <c r="E1111">
        <f t="shared" si="297"/>
        <v>2023</v>
      </c>
      <c r="F1111" s="2">
        <v>974</v>
      </c>
      <c r="G1111" t="s">
        <v>19</v>
      </c>
      <c r="H1111" s="4">
        <f>SUMIFS($F$2:$F$2739,$G$2:$G$2739,"Multi-year Contract",$E$2:$E$2739,2023)/SUMIF($E$2:$E$2739,2023,$F$2:$F$2739)</f>
        <v>0.5137784540236352</v>
      </c>
    </row>
    <row r="1112" spans="1:8" x14ac:dyDescent="0.3">
      <c r="A1112" t="s">
        <v>6</v>
      </c>
      <c r="B1112" s="3">
        <v>45229</v>
      </c>
      <c r="C1112">
        <f t="shared" si="295"/>
        <v>30</v>
      </c>
      <c r="D1112">
        <f t="shared" si="296"/>
        <v>10</v>
      </c>
      <c r="E1112">
        <f t="shared" si="297"/>
        <v>2023</v>
      </c>
      <c r="F1112" s="2">
        <v>829</v>
      </c>
      <c r="G1112" t="s">
        <v>18</v>
      </c>
      <c r="H1112" s="4">
        <f t="shared" ref="H1112:H1114" si="303">SUMIFS($F$2:$F$2739,$G$2:$G$2739,"Annual Contract",$E$2:$E$2739,2023)/SUMIF($E$2:$E$2739,2023,$F$2:$F$2739)</f>
        <v>0.27687421727474026</v>
      </c>
    </row>
    <row r="1113" spans="1:8" x14ac:dyDescent="0.3">
      <c r="A1113" t="s">
        <v>5</v>
      </c>
      <c r="B1113" s="3">
        <v>45230</v>
      </c>
      <c r="C1113">
        <f t="shared" si="295"/>
        <v>31</v>
      </c>
      <c r="D1113">
        <f t="shared" si="296"/>
        <v>10</v>
      </c>
      <c r="E1113">
        <f t="shared" si="297"/>
        <v>2023</v>
      </c>
      <c r="F1113" s="2">
        <v>1961</v>
      </c>
      <c r="G1113" t="s">
        <v>18</v>
      </c>
      <c r="H1113" s="4">
        <f t="shared" si="303"/>
        <v>0.27687421727474026</v>
      </c>
    </row>
    <row r="1114" spans="1:8" x14ac:dyDescent="0.3">
      <c r="A1114" t="s">
        <v>6</v>
      </c>
      <c r="B1114" s="3">
        <v>45230</v>
      </c>
      <c r="C1114">
        <f t="shared" si="295"/>
        <v>31</v>
      </c>
      <c r="D1114">
        <f t="shared" si="296"/>
        <v>10</v>
      </c>
      <c r="E1114">
        <f t="shared" si="297"/>
        <v>2023</v>
      </c>
      <c r="F1114" s="2">
        <v>801</v>
      </c>
      <c r="G1114" t="s">
        <v>18</v>
      </c>
      <c r="H1114" s="4">
        <f t="shared" si="303"/>
        <v>0.27687421727474026</v>
      </c>
    </row>
    <row r="1115" spans="1:8" x14ac:dyDescent="0.3">
      <c r="A1115" t="s">
        <v>11</v>
      </c>
      <c r="B1115" s="3">
        <v>45230</v>
      </c>
      <c r="C1115">
        <f t="shared" si="295"/>
        <v>31</v>
      </c>
      <c r="D1115">
        <f t="shared" si="296"/>
        <v>10</v>
      </c>
      <c r="E1115">
        <f t="shared" si="297"/>
        <v>2023</v>
      </c>
      <c r="F1115" s="2">
        <v>1798</v>
      </c>
      <c r="G1115" t="s">
        <v>19</v>
      </c>
      <c r="H1115" s="4">
        <f t="shared" ref="H1115:H1116" si="304">SUMIFS($F$2:$F$2739,$G$2:$G$2739,"Multi-year Contract",$E$2:$E$2739,2023)/SUMIF($E$2:$E$2739,2023,$F$2:$F$2739)</f>
        <v>0.5137784540236352</v>
      </c>
    </row>
    <row r="1116" spans="1:8" x14ac:dyDescent="0.3">
      <c r="A1116" t="s">
        <v>3</v>
      </c>
      <c r="B1116" s="3">
        <v>45230</v>
      </c>
      <c r="C1116">
        <f t="shared" si="295"/>
        <v>31</v>
      </c>
      <c r="D1116">
        <f t="shared" si="296"/>
        <v>10</v>
      </c>
      <c r="E1116">
        <f t="shared" si="297"/>
        <v>2023</v>
      </c>
      <c r="F1116" s="2">
        <v>3969</v>
      </c>
      <c r="G1116" t="s">
        <v>19</v>
      </c>
      <c r="H1116" s="4">
        <f t="shared" si="304"/>
        <v>0.5137784540236352</v>
      </c>
    </row>
    <row r="1117" spans="1:8" x14ac:dyDescent="0.3">
      <c r="A1117" t="s">
        <v>9</v>
      </c>
      <c r="B1117" s="3">
        <v>45231</v>
      </c>
      <c r="C1117">
        <f t="shared" si="295"/>
        <v>1</v>
      </c>
      <c r="D1117">
        <f t="shared" si="296"/>
        <v>11</v>
      </c>
      <c r="E1117">
        <f t="shared" si="297"/>
        <v>2023</v>
      </c>
      <c r="F1117" s="2">
        <v>980</v>
      </c>
      <c r="G1117" t="s">
        <v>17</v>
      </c>
      <c r="H1117" s="4">
        <f t="shared" ref="H1117:H1118" si="305">SUMIFS($F$2:$F$2739,$G$2:$G$2739,"No Contract",$E$2:$E$2739,2023)/SUMIF($E$2:$E$2739,2023,$F$2:$F$2739)</f>
        <v>0.20934732870162456</v>
      </c>
    </row>
    <row r="1118" spans="1:8" x14ac:dyDescent="0.3">
      <c r="A1118" t="s">
        <v>9</v>
      </c>
      <c r="B1118" s="3">
        <v>45231</v>
      </c>
      <c r="C1118">
        <f t="shared" si="295"/>
        <v>1</v>
      </c>
      <c r="D1118">
        <f t="shared" si="296"/>
        <v>11</v>
      </c>
      <c r="E1118">
        <f t="shared" si="297"/>
        <v>2023</v>
      </c>
      <c r="F1118" s="2">
        <v>3096</v>
      </c>
      <c r="G1118" t="s">
        <v>17</v>
      </c>
      <c r="H1118" s="4">
        <f t="shared" si="305"/>
        <v>0.20934732870162456</v>
      </c>
    </row>
    <row r="1119" spans="1:8" x14ac:dyDescent="0.3">
      <c r="A1119" t="s">
        <v>12</v>
      </c>
      <c r="B1119" s="3">
        <v>45231</v>
      </c>
      <c r="C1119">
        <f t="shared" si="295"/>
        <v>1</v>
      </c>
      <c r="D1119">
        <f t="shared" si="296"/>
        <v>11</v>
      </c>
      <c r="E1119">
        <f t="shared" si="297"/>
        <v>2023</v>
      </c>
      <c r="F1119" s="2">
        <v>3851</v>
      </c>
      <c r="G1119" s="2" t="s">
        <v>19</v>
      </c>
      <c r="H1119" s="4">
        <f t="shared" ref="H1119:H1121" si="306">SUMIFS($F$2:$F$2739,$G$2:$G$2739,"Multi-year Contract",$E$2:$E$2739,2023)/SUMIF($E$2:$E$2739,2023,$F$2:$F$2739)</f>
        <v>0.5137784540236352</v>
      </c>
    </row>
    <row r="1120" spans="1:8" x14ac:dyDescent="0.3">
      <c r="A1120" t="s">
        <v>3</v>
      </c>
      <c r="B1120" s="3">
        <v>45231</v>
      </c>
      <c r="C1120">
        <f t="shared" si="295"/>
        <v>1</v>
      </c>
      <c r="D1120">
        <f t="shared" si="296"/>
        <v>11</v>
      </c>
      <c r="E1120">
        <f t="shared" si="297"/>
        <v>2023</v>
      </c>
      <c r="F1120" s="2">
        <v>2265</v>
      </c>
      <c r="G1120" t="s">
        <v>19</v>
      </c>
      <c r="H1120" s="4">
        <f t="shared" si="306"/>
        <v>0.5137784540236352</v>
      </c>
    </row>
    <row r="1121" spans="1:8" x14ac:dyDescent="0.3">
      <c r="A1121" t="s">
        <v>12</v>
      </c>
      <c r="B1121" s="3">
        <v>45232</v>
      </c>
      <c r="C1121">
        <f t="shared" si="295"/>
        <v>2</v>
      </c>
      <c r="D1121">
        <f t="shared" si="296"/>
        <v>11</v>
      </c>
      <c r="E1121">
        <f t="shared" si="297"/>
        <v>2023</v>
      </c>
      <c r="F1121" s="2">
        <v>2357</v>
      </c>
      <c r="G1121" s="2" t="s">
        <v>19</v>
      </c>
      <c r="H1121" s="4">
        <f t="shared" si="306"/>
        <v>0.5137784540236352</v>
      </c>
    </row>
    <row r="1122" spans="1:8" x14ac:dyDescent="0.3">
      <c r="A1122" t="s">
        <v>6</v>
      </c>
      <c r="B1122" s="3">
        <v>45232</v>
      </c>
      <c r="C1122">
        <f t="shared" si="295"/>
        <v>2</v>
      </c>
      <c r="D1122">
        <f t="shared" si="296"/>
        <v>11</v>
      </c>
      <c r="E1122">
        <f t="shared" si="297"/>
        <v>2023</v>
      </c>
      <c r="F1122" s="2">
        <v>2761</v>
      </c>
      <c r="G1122" t="s">
        <v>18</v>
      </c>
      <c r="H1122" s="4">
        <f>SUMIFS($F$2:$F$2739,$G$2:$G$2739,"Annual Contract",$E$2:$E$2739,2023)/SUMIF($E$2:$E$2739,2023,$F$2:$F$2739)</f>
        <v>0.27687421727474026</v>
      </c>
    </row>
    <row r="1123" spans="1:8" x14ac:dyDescent="0.3">
      <c r="A1123" t="s">
        <v>7</v>
      </c>
      <c r="B1123" s="3">
        <v>45232</v>
      </c>
      <c r="C1123">
        <f t="shared" si="295"/>
        <v>2</v>
      </c>
      <c r="D1123">
        <f t="shared" si="296"/>
        <v>11</v>
      </c>
      <c r="E1123">
        <f t="shared" si="297"/>
        <v>2023</v>
      </c>
      <c r="F1123" s="2">
        <v>616</v>
      </c>
      <c r="G1123" t="s">
        <v>17</v>
      </c>
      <c r="H1123" s="4">
        <f t="shared" ref="H1123:H1124" si="307">SUMIFS($F$2:$F$2739,$G$2:$G$2739,"No Contract",$E$2:$E$2739,2023)/SUMIF($E$2:$E$2739,2023,$F$2:$F$2739)</f>
        <v>0.20934732870162456</v>
      </c>
    </row>
    <row r="1124" spans="1:8" x14ac:dyDescent="0.3">
      <c r="A1124" t="s">
        <v>7</v>
      </c>
      <c r="B1124" s="3">
        <v>45233</v>
      </c>
      <c r="C1124">
        <f t="shared" si="295"/>
        <v>3</v>
      </c>
      <c r="D1124">
        <f t="shared" si="296"/>
        <v>11</v>
      </c>
      <c r="E1124">
        <f t="shared" si="297"/>
        <v>2023</v>
      </c>
      <c r="F1124" s="2">
        <v>3169</v>
      </c>
      <c r="G1124" t="s">
        <v>17</v>
      </c>
      <c r="H1124" s="4">
        <f t="shared" si="307"/>
        <v>0.20934732870162456</v>
      </c>
    </row>
    <row r="1125" spans="1:8" x14ac:dyDescent="0.3">
      <c r="A1125" t="s">
        <v>5</v>
      </c>
      <c r="B1125" s="3">
        <v>45233</v>
      </c>
      <c r="C1125">
        <f t="shared" si="295"/>
        <v>3</v>
      </c>
      <c r="D1125">
        <f t="shared" si="296"/>
        <v>11</v>
      </c>
      <c r="E1125">
        <f t="shared" si="297"/>
        <v>2023</v>
      </c>
      <c r="F1125" s="2">
        <v>1231</v>
      </c>
      <c r="G1125" t="s">
        <v>18</v>
      </c>
      <c r="H1125" s="4">
        <f t="shared" ref="H1125:H1126" si="308">SUMIFS($F$2:$F$2739,$G$2:$G$2739,"Annual Contract",$E$2:$E$2739,2023)/SUMIF($E$2:$E$2739,2023,$F$2:$F$2739)</f>
        <v>0.27687421727474026</v>
      </c>
    </row>
    <row r="1126" spans="1:8" x14ac:dyDescent="0.3">
      <c r="A1126" t="s">
        <v>8</v>
      </c>
      <c r="B1126" s="3">
        <v>45233</v>
      </c>
      <c r="C1126">
        <f t="shared" si="295"/>
        <v>3</v>
      </c>
      <c r="D1126">
        <f t="shared" si="296"/>
        <v>11</v>
      </c>
      <c r="E1126">
        <f t="shared" si="297"/>
        <v>2023</v>
      </c>
      <c r="F1126" s="2">
        <v>1860</v>
      </c>
      <c r="G1126" s="2" t="s">
        <v>18</v>
      </c>
      <c r="H1126" s="4">
        <f t="shared" si="308"/>
        <v>0.27687421727474026</v>
      </c>
    </row>
    <row r="1127" spans="1:8" x14ac:dyDescent="0.3">
      <c r="A1127" t="s">
        <v>12</v>
      </c>
      <c r="B1127" s="3">
        <v>45233</v>
      </c>
      <c r="C1127">
        <f t="shared" si="295"/>
        <v>3</v>
      </c>
      <c r="D1127">
        <f t="shared" si="296"/>
        <v>11</v>
      </c>
      <c r="E1127">
        <f t="shared" si="297"/>
        <v>2023</v>
      </c>
      <c r="F1127" s="2">
        <v>3220</v>
      </c>
      <c r="G1127" s="2" t="s">
        <v>19</v>
      </c>
      <c r="H1127" s="4">
        <f>SUMIFS($F$2:$F$2739,$G$2:$G$2739,"Multi-year Contract",$E$2:$E$2739,2023)/SUMIF($E$2:$E$2739,2023,$F$2:$F$2739)</f>
        <v>0.5137784540236352</v>
      </c>
    </row>
    <row r="1128" spans="1:8" x14ac:dyDescent="0.3">
      <c r="A1128" t="s">
        <v>8</v>
      </c>
      <c r="B1128" s="3">
        <v>45233</v>
      </c>
      <c r="C1128">
        <f t="shared" si="295"/>
        <v>3</v>
      </c>
      <c r="D1128">
        <f t="shared" si="296"/>
        <v>11</v>
      </c>
      <c r="E1128">
        <f t="shared" si="297"/>
        <v>2023</v>
      </c>
      <c r="F1128" s="2">
        <v>783</v>
      </c>
      <c r="G1128" s="2" t="s">
        <v>18</v>
      </c>
      <c r="H1128" s="4">
        <f>SUMIFS($F$2:$F$2739,$G$2:$G$2739,"Annual Contract",$E$2:$E$2739,2023)/SUMIF($E$2:$E$2739,2023,$F$2:$F$2739)</f>
        <v>0.27687421727474026</v>
      </c>
    </row>
    <row r="1129" spans="1:8" x14ac:dyDescent="0.3">
      <c r="A1129" t="s">
        <v>4</v>
      </c>
      <c r="B1129" s="3">
        <v>45234</v>
      </c>
      <c r="C1129">
        <f t="shared" si="295"/>
        <v>4</v>
      </c>
      <c r="D1129">
        <f t="shared" si="296"/>
        <v>11</v>
      </c>
      <c r="E1129">
        <f t="shared" si="297"/>
        <v>2023</v>
      </c>
      <c r="F1129" s="2">
        <v>1772</v>
      </c>
      <c r="G1129" s="2" t="s">
        <v>19</v>
      </c>
      <c r="H1129" s="4">
        <f t="shared" ref="H1129:H1130" si="309">SUMIFS($F$2:$F$2739,$G$2:$G$2739,"Multi-year Contract",$E$2:$E$2739,2023)/SUMIF($E$2:$E$2739,2023,$F$2:$F$2739)</f>
        <v>0.5137784540236352</v>
      </c>
    </row>
    <row r="1130" spans="1:8" x14ac:dyDescent="0.3">
      <c r="A1130" t="s">
        <v>4</v>
      </c>
      <c r="B1130" s="3">
        <v>45234</v>
      </c>
      <c r="C1130">
        <f t="shared" si="295"/>
        <v>4</v>
      </c>
      <c r="D1130">
        <f t="shared" si="296"/>
        <v>11</v>
      </c>
      <c r="E1130">
        <f t="shared" si="297"/>
        <v>2023</v>
      </c>
      <c r="F1130" s="2">
        <v>2244</v>
      </c>
      <c r="G1130" s="2" t="s">
        <v>19</v>
      </c>
      <c r="H1130" s="4">
        <f t="shared" si="309"/>
        <v>0.5137784540236352</v>
      </c>
    </row>
    <row r="1131" spans="1:8" x14ac:dyDescent="0.3">
      <c r="A1131" t="s">
        <v>8</v>
      </c>
      <c r="B1131" s="3">
        <v>45234</v>
      </c>
      <c r="C1131">
        <f t="shared" si="295"/>
        <v>4</v>
      </c>
      <c r="D1131">
        <f t="shared" si="296"/>
        <v>11</v>
      </c>
      <c r="E1131">
        <f t="shared" si="297"/>
        <v>2023</v>
      </c>
      <c r="F1131" s="2">
        <v>3446</v>
      </c>
      <c r="G1131" s="2" t="s">
        <v>18</v>
      </c>
      <c r="H1131" s="4">
        <f t="shared" ref="H1131:H1133" si="310">SUMIFS($F$2:$F$2739,$G$2:$G$2739,"Annual Contract",$E$2:$E$2739,2023)/SUMIF($E$2:$E$2739,2023,$F$2:$F$2739)</f>
        <v>0.27687421727474026</v>
      </c>
    </row>
    <row r="1132" spans="1:8" x14ac:dyDescent="0.3">
      <c r="A1132" t="s">
        <v>8</v>
      </c>
      <c r="B1132" s="3">
        <v>45234</v>
      </c>
      <c r="C1132">
        <f t="shared" si="295"/>
        <v>4</v>
      </c>
      <c r="D1132">
        <f t="shared" si="296"/>
        <v>11</v>
      </c>
      <c r="E1132">
        <f t="shared" si="297"/>
        <v>2023</v>
      </c>
      <c r="F1132" s="2">
        <v>3303</v>
      </c>
      <c r="G1132" s="2" t="s">
        <v>18</v>
      </c>
      <c r="H1132" s="4">
        <f t="shared" si="310"/>
        <v>0.27687421727474026</v>
      </c>
    </row>
    <row r="1133" spans="1:8" x14ac:dyDescent="0.3">
      <c r="A1133" t="s">
        <v>6</v>
      </c>
      <c r="B1133" s="3">
        <v>45234</v>
      </c>
      <c r="C1133">
        <f t="shared" si="295"/>
        <v>4</v>
      </c>
      <c r="D1133">
        <f t="shared" si="296"/>
        <v>11</v>
      </c>
      <c r="E1133">
        <f t="shared" si="297"/>
        <v>2023</v>
      </c>
      <c r="F1133" s="2">
        <v>624</v>
      </c>
      <c r="G1133" t="s">
        <v>18</v>
      </c>
      <c r="H1133" s="4">
        <f t="shared" si="310"/>
        <v>0.27687421727474026</v>
      </c>
    </row>
    <row r="1134" spans="1:8" x14ac:dyDescent="0.3">
      <c r="A1134" t="s">
        <v>12</v>
      </c>
      <c r="B1134" s="3">
        <v>45235</v>
      </c>
      <c r="C1134">
        <f t="shared" si="295"/>
        <v>5</v>
      </c>
      <c r="D1134">
        <f t="shared" si="296"/>
        <v>11</v>
      </c>
      <c r="E1134">
        <f t="shared" si="297"/>
        <v>2023</v>
      </c>
      <c r="F1134" s="2">
        <v>3458</v>
      </c>
      <c r="G1134" s="2" t="s">
        <v>19</v>
      </c>
      <c r="H1134" s="4">
        <f>SUMIFS($F$2:$F$2739,$G$2:$G$2739,"Multi-year Contract",$E$2:$E$2739,2023)/SUMIF($E$2:$E$2739,2023,$F$2:$F$2739)</f>
        <v>0.5137784540236352</v>
      </c>
    </row>
    <row r="1135" spans="1:8" x14ac:dyDescent="0.3">
      <c r="A1135" t="s">
        <v>5</v>
      </c>
      <c r="B1135" s="3">
        <v>45236</v>
      </c>
      <c r="C1135">
        <f t="shared" si="295"/>
        <v>6</v>
      </c>
      <c r="D1135">
        <f t="shared" si="296"/>
        <v>11</v>
      </c>
      <c r="E1135">
        <f t="shared" si="297"/>
        <v>2023</v>
      </c>
      <c r="F1135" s="2">
        <v>1590</v>
      </c>
      <c r="G1135" t="s">
        <v>18</v>
      </c>
      <c r="H1135" s="4">
        <f>SUMIFS($F$2:$F$2739,$G$2:$G$2739,"Annual Contract",$E$2:$E$2739,2023)/SUMIF($E$2:$E$2739,2023,$F$2:$F$2739)</f>
        <v>0.27687421727474026</v>
      </c>
    </row>
    <row r="1136" spans="1:8" x14ac:dyDescent="0.3">
      <c r="A1136" t="s">
        <v>3</v>
      </c>
      <c r="B1136" s="3">
        <v>45236</v>
      </c>
      <c r="C1136">
        <f t="shared" si="295"/>
        <v>6</v>
      </c>
      <c r="D1136">
        <f t="shared" si="296"/>
        <v>11</v>
      </c>
      <c r="E1136">
        <f t="shared" si="297"/>
        <v>2023</v>
      </c>
      <c r="F1136" s="2">
        <v>3662</v>
      </c>
      <c r="G1136" t="s">
        <v>19</v>
      </c>
      <c r="H1136" s="4">
        <f t="shared" ref="H1136:H1138" si="311">SUMIFS($F$2:$F$2739,$G$2:$G$2739,"Multi-year Contract",$E$2:$E$2739,2023)/SUMIF($E$2:$E$2739,2023,$F$2:$F$2739)</f>
        <v>0.5137784540236352</v>
      </c>
    </row>
    <row r="1137" spans="1:8" x14ac:dyDescent="0.3">
      <c r="A1137" t="s">
        <v>3</v>
      </c>
      <c r="B1137" s="3">
        <v>45236</v>
      </c>
      <c r="C1137">
        <f t="shared" si="295"/>
        <v>6</v>
      </c>
      <c r="D1137">
        <f t="shared" si="296"/>
        <v>11</v>
      </c>
      <c r="E1137">
        <f t="shared" si="297"/>
        <v>2023</v>
      </c>
      <c r="F1137" s="2">
        <v>2086</v>
      </c>
      <c r="G1137" t="s">
        <v>19</v>
      </c>
      <c r="H1137" s="4">
        <f t="shared" si="311"/>
        <v>0.5137784540236352</v>
      </c>
    </row>
    <row r="1138" spans="1:8" x14ac:dyDescent="0.3">
      <c r="A1138" t="s">
        <v>10</v>
      </c>
      <c r="B1138" s="3">
        <v>45236</v>
      </c>
      <c r="C1138">
        <f t="shared" si="295"/>
        <v>6</v>
      </c>
      <c r="D1138">
        <f t="shared" si="296"/>
        <v>11</v>
      </c>
      <c r="E1138">
        <f t="shared" si="297"/>
        <v>2023</v>
      </c>
      <c r="F1138" s="2">
        <v>1821</v>
      </c>
      <c r="G1138" t="s">
        <v>19</v>
      </c>
      <c r="H1138" s="4">
        <f t="shared" si="311"/>
        <v>0.5137784540236352</v>
      </c>
    </row>
    <row r="1139" spans="1:8" x14ac:dyDescent="0.3">
      <c r="A1139" t="s">
        <v>9</v>
      </c>
      <c r="B1139" s="3">
        <v>45237</v>
      </c>
      <c r="C1139">
        <f t="shared" si="295"/>
        <v>7</v>
      </c>
      <c r="D1139">
        <f t="shared" si="296"/>
        <v>11</v>
      </c>
      <c r="E1139">
        <f t="shared" si="297"/>
        <v>2023</v>
      </c>
      <c r="F1139" s="2">
        <v>1415</v>
      </c>
      <c r="G1139" t="s">
        <v>17</v>
      </c>
      <c r="H1139" s="4">
        <f>SUMIFS($F$2:$F$2739,$G$2:$G$2739,"No Contract",$E$2:$E$2739,2023)/SUMIF($E$2:$E$2739,2023,$F$2:$F$2739)</f>
        <v>0.20934732870162456</v>
      </c>
    </row>
    <row r="1140" spans="1:8" x14ac:dyDescent="0.3">
      <c r="A1140" t="s">
        <v>12</v>
      </c>
      <c r="B1140" s="3">
        <v>45237</v>
      </c>
      <c r="C1140">
        <f t="shared" si="295"/>
        <v>7</v>
      </c>
      <c r="D1140">
        <f t="shared" si="296"/>
        <v>11</v>
      </c>
      <c r="E1140">
        <f t="shared" si="297"/>
        <v>2023</v>
      </c>
      <c r="F1140" s="2">
        <v>1350</v>
      </c>
      <c r="G1140" s="2" t="s">
        <v>19</v>
      </c>
      <c r="H1140" s="4">
        <f t="shared" ref="H1140:H1141" si="312">SUMIFS($F$2:$F$2739,$G$2:$G$2739,"Multi-year Contract",$E$2:$E$2739,2023)/SUMIF($E$2:$E$2739,2023,$F$2:$F$2739)</f>
        <v>0.5137784540236352</v>
      </c>
    </row>
    <row r="1141" spans="1:8" x14ac:dyDescent="0.3">
      <c r="A1141" t="s">
        <v>4</v>
      </c>
      <c r="B1141" s="3">
        <v>45237</v>
      </c>
      <c r="C1141">
        <f t="shared" si="295"/>
        <v>7</v>
      </c>
      <c r="D1141">
        <f t="shared" si="296"/>
        <v>11</v>
      </c>
      <c r="E1141">
        <f t="shared" si="297"/>
        <v>2023</v>
      </c>
      <c r="F1141" s="2">
        <v>855</v>
      </c>
      <c r="G1141" s="2" t="s">
        <v>19</v>
      </c>
      <c r="H1141" s="4">
        <f t="shared" si="312"/>
        <v>0.5137784540236352</v>
      </c>
    </row>
    <row r="1142" spans="1:8" x14ac:dyDescent="0.3">
      <c r="A1142" t="s">
        <v>9</v>
      </c>
      <c r="B1142" s="3">
        <v>45237</v>
      </c>
      <c r="C1142">
        <f t="shared" si="295"/>
        <v>7</v>
      </c>
      <c r="D1142">
        <f t="shared" si="296"/>
        <v>11</v>
      </c>
      <c r="E1142">
        <f t="shared" si="297"/>
        <v>2023</v>
      </c>
      <c r="F1142" s="2">
        <v>3915</v>
      </c>
      <c r="G1142" t="s">
        <v>17</v>
      </c>
      <c r="H1142" s="4">
        <f>SUMIFS($F$2:$F$2739,$G$2:$G$2739,"No Contract",$E$2:$E$2739,2023)/SUMIF($E$2:$E$2739,2023,$F$2:$F$2739)</f>
        <v>0.20934732870162456</v>
      </c>
    </row>
    <row r="1143" spans="1:8" x14ac:dyDescent="0.3">
      <c r="A1143" t="s">
        <v>10</v>
      </c>
      <c r="B1143" s="3">
        <v>45237</v>
      </c>
      <c r="C1143">
        <f t="shared" si="295"/>
        <v>7</v>
      </c>
      <c r="D1143">
        <f t="shared" si="296"/>
        <v>11</v>
      </c>
      <c r="E1143">
        <f t="shared" si="297"/>
        <v>2023</v>
      </c>
      <c r="F1143" s="2">
        <v>1846</v>
      </c>
      <c r="G1143" t="s">
        <v>19</v>
      </c>
      <c r="H1143" s="4">
        <f t="shared" ref="H1143:H1145" si="313">SUMIFS($F$2:$F$2739,$G$2:$G$2739,"Multi-year Contract",$E$2:$E$2739,2023)/SUMIF($E$2:$E$2739,2023,$F$2:$F$2739)</f>
        <v>0.5137784540236352</v>
      </c>
    </row>
    <row r="1144" spans="1:8" x14ac:dyDescent="0.3">
      <c r="A1144" t="s">
        <v>12</v>
      </c>
      <c r="B1144" s="3">
        <v>45238</v>
      </c>
      <c r="C1144">
        <f t="shared" si="295"/>
        <v>8</v>
      </c>
      <c r="D1144">
        <f t="shared" si="296"/>
        <v>11</v>
      </c>
      <c r="E1144">
        <f t="shared" si="297"/>
        <v>2023</v>
      </c>
      <c r="F1144" s="2">
        <v>628</v>
      </c>
      <c r="G1144" s="2" t="s">
        <v>19</v>
      </c>
      <c r="H1144" s="4">
        <f t="shared" si="313"/>
        <v>0.5137784540236352</v>
      </c>
    </row>
    <row r="1145" spans="1:8" x14ac:dyDescent="0.3">
      <c r="A1145" t="s">
        <v>11</v>
      </c>
      <c r="B1145" s="3">
        <v>45238</v>
      </c>
      <c r="C1145">
        <f t="shared" si="295"/>
        <v>8</v>
      </c>
      <c r="D1145">
        <f t="shared" si="296"/>
        <v>11</v>
      </c>
      <c r="E1145">
        <f t="shared" si="297"/>
        <v>2023</v>
      </c>
      <c r="F1145" s="2">
        <v>2289</v>
      </c>
      <c r="G1145" t="s">
        <v>19</v>
      </c>
      <c r="H1145" s="4">
        <f t="shared" si="313"/>
        <v>0.5137784540236352</v>
      </c>
    </row>
    <row r="1146" spans="1:8" x14ac:dyDescent="0.3">
      <c r="A1146" t="s">
        <v>7</v>
      </c>
      <c r="B1146" s="3">
        <v>45239</v>
      </c>
      <c r="C1146">
        <f t="shared" si="295"/>
        <v>9</v>
      </c>
      <c r="D1146">
        <f t="shared" si="296"/>
        <v>11</v>
      </c>
      <c r="E1146">
        <f t="shared" si="297"/>
        <v>2023</v>
      </c>
      <c r="F1146" s="2">
        <v>2460</v>
      </c>
      <c r="G1146" t="s">
        <v>17</v>
      </c>
      <c r="H1146" s="4">
        <f>SUMIFS($F$2:$F$2739,$G$2:$G$2739,"No Contract",$E$2:$E$2739,2023)/SUMIF($E$2:$E$2739,2023,$F$2:$F$2739)</f>
        <v>0.20934732870162456</v>
      </c>
    </row>
    <row r="1147" spans="1:8" x14ac:dyDescent="0.3">
      <c r="A1147" t="s">
        <v>11</v>
      </c>
      <c r="B1147" s="3">
        <v>45239</v>
      </c>
      <c r="C1147">
        <f t="shared" si="295"/>
        <v>9</v>
      </c>
      <c r="D1147">
        <f t="shared" si="296"/>
        <v>11</v>
      </c>
      <c r="E1147">
        <f t="shared" si="297"/>
        <v>2023</v>
      </c>
      <c r="F1147" s="2">
        <v>2728</v>
      </c>
      <c r="G1147" t="s">
        <v>19</v>
      </c>
      <c r="H1147" s="4">
        <f>SUMIFS($F$2:$F$2739,$G$2:$G$2739,"Multi-year Contract",$E$2:$E$2739,2023)/SUMIF($E$2:$E$2739,2023,$F$2:$F$2739)</f>
        <v>0.5137784540236352</v>
      </c>
    </row>
    <row r="1148" spans="1:8" x14ac:dyDescent="0.3">
      <c r="A1148" t="s">
        <v>7</v>
      </c>
      <c r="B1148" s="3">
        <v>45239</v>
      </c>
      <c r="C1148">
        <f t="shared" si="295"/>
        <v>9</v>
      </c>
      <c r="D1148">
        <f t="shared" si="296"/>
        <v>11</v>
      </c>
      <c r="E1148">
        <f t="shared" si="297"/>
        <v>2023</v>
      </c>
      <c r="F1148" s="2">
        <v>3874</v>
      </c>
      <c r="G1148" t="s">
        <v>17</v>
      </c>
      <c r="H1148" s="4">
        <f>SUMIFS($F$2:$F$2739,$G$2:$G$2739,"No Contract",$E$2:$E$2739,2023)/SUMIF($E$2:$E$2739,2023,$F$2:$F$2739)</f>
        <v>0.20934732870162456</v>
      </c>
    </row>
    <row r="1149" spans="1:8" x14ac:dyDescent="0.3">
      <c r="A1149" t="s">
        <v>12</v>
      </c>
      <c r="B1149" s="3">
        <v>45239</v>
      </c>
      <c r="C1149">
        <f t="shared" si="295"/>
        <v>9</v>
      </c>
      <c r="D1149">
        <f t="shared" si="296"/>
        <v>11</v>
      </c>
      <c r="E1149">
        <f t="shared" si="297"/>
        <v>2023</v>
      </c>
      <c r="F1149" s="2">
        <v>2507</v>
      </c>
      <c r="G1149" s="2" t="s">
        <v>19</v>
      </c>
      <c r="H1149" s="4">
        <f t="shared" ref="H1149:H1150" si="314">SUMIFS($F$2:$F$2739,$G$2:$G$2739,"Multi-year Contract",$E$2:$E$2739,2023)/SUMIF($E$2:$E$2739,2023,$F$2:$F$2739)</f>
        <v>0.5137784540236352</v>
      </c>
    </row>
    <row r="1150" spans="1:8" x14ac:dyDescent="0.3">
      <c r="A1150" t="s">
        <v>12</v>
      </c>
      <c r="B1150" s="3">
        <v>45240</v>
      </c>
      <c r="C1150">
        <f t="shared" si="295"/>
        <v>10</v>
      </c>
      <c r="D1150">
        <f t="shared" si="296"/>
        <v>11</v>
      </c>
      <c r="E1150">
        <f t="shared" si="297"/>
        <v>2023</v>
      </c>
      <c r="F1150" s="2">
        <v>1104</v>
      </c>
      <c r="G1150" s="2" t="s">
        <v>19</v>
      </c>
      <c r="H1150" s="4">
        <f t="shared" si="314"/>
        <v>0.5137784540236352</v>
      </c>
    </row>
    <row r="1151" spans="1:8" x14ac:dyDescent="0.3">
      <c r="A1151" t="s">
        <v>9</v>
      </c>
      <c r="B1151" s="3">
        <v>45240</v>
      </c>
      <c r="C1151">
        <f t="shared" si="295"/>
        <v>10</v>
      </c>
      <c r="D1151">
        <f t="shared" si="296"/>
        <v>11</v>
      </c>
      <c r="E1151">
        <f t="shared" si="297"/>
        <v>2023</v>
      </c>
      <c r="F1151" s="2">
        <v>2600</v>
      </c>
      <c r="G1151" t="s">
        <v>17</v>
      </c>
      <c r="H1151" s="4">
        <f>SUMIFS($F$2:$F$2739,$G$2:$G$2739,"No Contract",$E$2:$E$2739,2023)/SUMIF($E$2:$E$2739,2023,$F$2:$F$2739)</f>
        <v>0.20934732870162456</v>
      </c>
    </row>
    <row r="1152" spans="1:8" x14ac:dyDescent="0.3">
      <c r="A1152" t="s">
        <v>11</v>
      </c>
      <c r="B1152" s="3">
        <v>45240</v>
      </c>
      <c r="C1152">
        <f t="shared" si="295"/>
        <v>10</v>
      </c>
      <c r="D1152">
        <f t="shared" si="296"/>
        <v>11</v>
      </c>
      <c r="E1152">
        <f t="shared" si="297"/>
        <v>2023</v>
      </c>
      <c r="F1152" s="2">
        <v>3144</v>
      </c>
      <c r="G1152" t="s">
        <v>19</v>
      </c>
      <c r="H1152" s="4">
        <f t="shared" ref="H1152:H1156" si="315">SUMIFS($F$2:$F$2739,$G$2:$G$2739,"Multi-year Contract",$E$2:$E$2739,2023)/SUMIF($E$2:$E$2739,2023,$F$2:$F$2739)</f>
        <v>0.5137784540236352</v>
      </c>
    </row>
    <row r="1153" spans="1:8" x14ac:dyDescent="0.3">
      <c r="A1153" t="s">
        <v>11</v>
      </c>
      <c r="B1153" s="3">
        <v>45241</v>
      </c>
      <c r="C1153">
        <f t="shared" si="295"/>
        <v>11</v>
      </c>
      <c r="D1153">
        <f t="shared" si="296"/>
        <v>11</v>
      </c>
      <c r="E1153">
        <f t="shared" si="297"/>
        <v>2023</v>
      </c>
      <c r="F1153" s="2">
        <v>597</v>
      </c>
      <c r="G1153" t="s">
        <v>19</v>
      </c>
      <c r="H1153" s="4">
        <f t="shared" si="315"/>
        <v>0.5137784540236352</v>
      </c>
    </row>
    <row r="1154" spans="1:8" x14ac:dyDescent="0.3">
      <c r="A1154" t="s">
        <v>4</v>
      </c>
      <c r="B1154" s="3">
        <v>45241</v>
      </c>
      <c r="C1154">
        <f t="shared" si="295"/>
        <v>11</v>
      </c>
      <c r="D1154">
        <f t="shared" si="296"/>
        <v>11</v>
      </c>
      <c r="E1154">
        <f t="shared" si="297"/>
        <v>2023</v>
      </c>
      <c r="F1154" s="2">
        <v>2195</v>
      </c>
      <c r="G1154" s="2" t="s">
        <v>19</v>
      </c>
      <c r="H1154" s="4">
        <f t="shared" si="315"/>
        <v>0.5137784540236352</v>
      </c>
    </row>
    <row r="1155" spans="1:8" x14ac:dyDescent="0.3">
      <c r="A1155" t="s">
        <v>10</v>
      </c>
      <c r="B1155" s="3">
        <v>45241</v>
      </c>
      <c r="C1155">
        <f t="shared" ref="C1155:C1218" si="316">DAY(B1155)</f>
        <v>11</v>
      </c>
      <c r="D1155">
        <f t="shared" ref="D1155:D1218" si="317">MONTH(B1155)</f>
        <v>11</v>
      </c>
      <c r="E1155">
        <f t="shared" ref="E1155:E1218" si="318">YEAR(B1155)</f>
        <v>2023</v>
      </c>
      <c r="F1155" s="2">
        <v>568</v>
      </c>
      <c r="G1155" t="s">
        <v>19</v>
      </c>
      <c r="H1155" s="4">
        <f t="shared" si="315"/>
        <v>0.5137784540236352</v>
      </c>
    </row>
    <row r="1156" spans="1:8" x14ac:dyDescent="0.3">
      <c r="A1156" t="s">
        <v>10</v>
      </c>
      <c r="B1156" s="3">
        <v>45242</v>
      </c>
      <c r="C1156">
        <f t="shared" si="316"/>
        <v>12</v>
      </c>
      <c r="D1156">
        <f t="shared" si="317"/>
        <v>11</v>
      </c>
      <c r="E1156">
        <f t="shared" si="318"/>
        <v>2023</v>
      </c>
      <c r="F1156" s="2">
        <v>2541</v>
      </c>
      <c r="G1156" t="s">
        <v>19</v>
      </c>
      <c r="H1156" s="4">
        <f t="shared" si="315"/>
        <v>0.5137784540236352</v>
      </c>
    </row>
    <row r="1157" spans="1:8" x14ac:dyDescent="0.3">
      <c r="A1157" t="s">
        <v>9</v>
      </c>
      <c r="B1157" s="3">
        <v>45243</v>
      </c>
      <c r="C1157">
        <f t="shared" si="316"/>
        <v>13</v>
      </c>
      <c r="D1157">
        <f t="shared" si="317"/>
        <v>11</v>
      </c>
      <c r="E1157">
        <f t="shared" si="318"/>
        <v>2023</v>
      </c>
      <c r="F1157" s="2">
        <v>1188</v>
      </c>
      <c r="G1157" t="s">
        <v>17</v>
      </c>
      <c r="H1157" s="4">
        <f>SUMIFS($F$2:$F$2739,$G$2:$G$2739,"No Contract",$E$2:$E$2739,2023)/SUMIF($E$2:$E$2739,2023,$F$2:$F$2739)</f>
        <v>0.20934732870162456</v>
      </c>
    </row>
    <row r="1158" spans="1:8" x14ac:dyDescent="0.3">
      <c r="A1158" t="s">
        <v>3</v>
      </c>
      <c r="B1158" s="3">
        <v>45243</v>
      </c>
      <c r="C1158">
        <f t="shared" si="316"/>
        <v>13</v>
      </c>
      <c r="D1158">
        <f t="shared" si="317"/>
        <v>11</v>
      </c>
      <c r="E1158">
        <f t="shared" si="318"/>
        <v>2023</v>
      </c>
      <c r="F1158" s="2">
        <v>1431</v>
      </c>
      <c r="G1158" t="s">
        <v>19</v>
      </c>
      <c r="H1158" s="4">
        <f>SUMIFS($F$2:$F$2739,$G$2:$G$2739,"Multi-year Contract",$E$2:$E$2739,2023)/SUMIF($E$2:$E$2739,2023,$F$2:$F$2739)</f>
        <v>0.5137784540236352</v>
      </c>
    </row>
    <row r="1159" spans="1:8" x14ac:dyDescent="0.3">
      <c r="A1159" t="s">
        <v>6</v>
      </c>
      <c r="B1159" s="3">
        <v>45244</v>
      </c>
      <c r="C1159">
        <f t="shared" si="316"/>
        <v>14</v>
      </c>
      <c r="D1159">
        <f t="shared" si="317"/>
        <v>11</v>
      </c>
      <c r="E1159">
        <f t="shared" si="318"/>
        <v>2023</v>
      </c>
      <c r="F1159" s="2">
        <v>2588</v>
      </c>
      <c r="G1159" t="s">
        <v>18</v>
      </c>
      <c r="H1159" s="4">
        <f t="shared" ref="H1159:H1161" si="319">SUMIFS($F$2:$F$2739,$G$2:$G$2739,"Annual Contract",$E$2:$E$2739,2023)/SUMIF($E$2:$E$2739,2023,$F$2:$F$2739)</f>
        <v>0.27687421727474026</v>
      </c>
    </row>
    <row r="1160" spans="1:8" x14ac:dyDescent="0.3">
      <c r="A1160" t="s">
        <v>8</v>
      </c>
      <c r="B1160" s="3">
        <v>45244</v>
      </c>
      <c r="C1160">
        <f t="shared" si="316"/>
        <v>14</v>
      </c>
      <c r="D1160">
        <f t="shared" si="317"/>
        <v>11</v>
      </c>
      <c r="E1160">
        <f t="shared" si="318"/>
        <v>2023</v>
      </c>
      <c r="F1160" s="2">
        <v>3881</v>
      </c>
      <c r="G1160" s="2" t="s">
        <v>18</v>
      </c>
      <c r="H1160" s="4">
        <f t="shared" si="319"/>
        <v>0.27687421727474026</v>
      </c>
    </row>
    <row r="1161" spans="1:8" x14ac:dyDescent="0.3">
      <c r="A1161" t="s">
        <v>5</v>
      </c>
      <c r="B1161" s="3">
        <v>45244</v>
      </c>
      <c r="C1161">
        <f t="shared" si="316"/>
        <v>14</v>
      </c>
      <c r="D1161">
        <f t="shared" si="317"/>
        <v>11</v>
      </c>
      <c r="E1161">
        <f t="shared" si="318"/>
        <v>2023</v>
      </c>
      <c r="F1161" s="2">
        <v>2889</v>
      </c>
      <c r="G1161" t="s">
        <v>18</v>
      </c>
      <c r="H1161" s="4">
        <f t="shared" si="319"/>
        <v>0.27687421727474026</v>
      </c>
    </row>
    <row r="1162" spans="1:8" x14ac:dyDescent="0.3">
      <c r="A1162" t="s">
        <v>12</v>
      </c>
      <c r="B1162" s="3">
        <v>45244</v>
      </c>
      <c r="C1162">
        <f t="shared" si="316"/>
        <v>14</v>
      </c>
      <c r="D1162">
        <f t="shared" si="317"/>
        <v>11</v>
      </c>
      <c r="E1162">
        <f t="shared" si="318"/>
        <v>2023</v>
      </c>
      <c r="F1162" s="2">
        <v>2784</v>
      </c>
      <c r="G1162" s="2" t="s">
        <v>19</v>
      </c>
      <c r="H1162" s="4">
        <f>SUMIFS($F$2:$F$2739,$G$2:$G$2739,"Multi-year Contract",$E$2:$E$2739,2023)/SUMIF($E$2:$E$2739,2023,$F$2:$F$2739)</f>
        <v>0.5137784540236352</v>
      </c>
    </row>
    <row r="1163" spans="1:8" x14ac:dyDescent="0.3">
      <c r="A1163" t="s">
        <v>7</v>
      </c>
      <c r="B1163" s="3">
        <v>45244</v>
      </c>
      <c r="C1163">
        <f t="shared" si="316"/>
        <v>14</v>
      </c>
      <c r="D1163">
        <f t="shared" si="317"/>
        <v>11</v>
      </c>
      <c r="E1163">
        <f t="shared" si="318"/>
        <v>2023</v>
      </c>
      <c r="F1163" s="2">
        <v>591</v>
      </c>
      <c r="G1163" t="s">
        <v>17</v>
      </c>
      <c r="H1163" s="4">
        <f>SUMIFS($F$2:$F$2739,$G$2:$G$2739,"No Contract",$E$2:$E$2739,2023)/SUMIF($E$2:$E$2739,2023,$F$2:$F$2739)</f>
        <v>0.20934732870162456</v>
      </c>
    </row>
    <row r="1164" spans="1:8" x14ac:dyDescent="0.3">
      <c r="A1164" t="s">
        <v>6</v>
      </c>
      <c r="B1164" s="3">
        <v>45244</v>
      </c>
      <c r="C1164">
        <f t="shared" si="316"/>
        <v>14</v>
      </c>
      <c r="D1164">
        <f t="shared" si="317"/>
        <v>11</v>
      </c>
      <c r="E1164">
        <f t="shared" si="318"/>
        <v>2023</v>
      </c>
      <c r="F1164" s="2">
        <v>1237</v>
      </c>
      <c r="G1164" t="s">
        <v>18</v>
      </c>
      <c r="H1164" s="4">
        <f>SUMIFS($F$2:$F$2739,$G$2:$G$2739,"Annual Contract",$E$2:$E$2739,2023)/SUMIF($E$2:$E$2739,2023,$F$2:$F$2739)</f>
        <v>0.27687421727474026</v>
      </c>
    </row>
    <row r="1165" spans="1:8" x14ac:dyDescent="0.3">
      <c r="A1165" t="s">
        <v>7</v>
      </c>
      <c r="B1165" s="3">
        <v>45245</v>
      </c>
      <c r="C1165">
        <f t="shared" si="316"/>
        <v>15</v>
      </c>
      <c r="D1165">
        <f t="shared" si="317"/>
        <v>11</v>
      </c>
      <c r="E1165">
        <f t="shared" si="318"/>
        <v>2023</v>
      </c>
      <c r="F1165" s="2">
        <v>724</v>
      </c>
      <c r="G1165" t="s">
        <v>17</v>
      </c>
      <c r="H1165" s="4">
        <f>SUMIFS($F$2:$F$2739,$G$2:$G$2739,"No Contract",$E$2:$E$2739,2023)/SUMIF($E$2:$E$2739,2023,$F$2:$F$2739)</f>
        <v>0.20934732870162456</v>
      </c>
    </row>
    <row r="1166" spans="1:8" x14ac:dyDescent="0.3">
      <c r="A1166" t="s">
        <v>3</v>
      </c>
      <c r="B1166" s="3">
        <v>45245</v>
      </c>
      <c r="C1166">
        <f t="shared" si="316"/>
        <v>15</v>
      </c>
      <c r="D1166">
        <f t="shared" si="317"/>
        <v>11</v>
      </c>
      <c r="E1166">
        <f t="shared" si="318"/>
        <v>2023</v>
      </c>
      <c r="F1166" s="2">
        <v>876</v>
      </c>
      <c r="G1166" t="s">
        <v>19</v>
      </c>
      <c r="H1166" s="4">
        <f t="shared" ref="H1166:H1168" si="320">SUMIFS($F$2:$F$2739,$G$2:$G$2739,"Multi-year Contract",$E$2:$E$2739,2023)/SUMIF($E$2:$E$2739,2023,$F$2:$F$2739)</f>
        <v>0.5137784540236352</v>
      </c>
    </row>
    <row r="1167" spans="1:8" x14ac:dyDescent="0.3">
      <c r="A1167" t="s">
        <v>10</v>
      </c>
      <c r="B1167" s="3">
        <v>45246</v>
      </c>
      <c r="C1167">
        <f t="shared" si="316"/>
        <v>16</v>
      </c>
      <c r="D1167">
        <f t="shared" si="317"/>
        <v>11</v>
      </c>
      <c r="E1167">
        <f t="shared" si="318"/>
        <v>2023</v>
      </c>
      <c r="F1167" s="2">
        <v>1158</v>
      </c>
      <c r="G1167" t="s">
        <v>19</v>
      </c>
      <c r="H1167" s="4">
        <f t="shared" si="320"/>
        <v>0.5137784540236352</v>
      </c>
    </row>
    <row r="1168" spans="1:8" x14ac:dyDescent="0.3">
      <c r="A1168" t="s">
        <v>12</v>
      </c>
      <c r="B1168" s="3">
        <v>45246</v>
      </c>
      <c r="C1168">
        <f t="shared" si="316"/>
        <v>16</v>
      </c>
      <c r="D1168">
        <f t="shared" si="317"/>
        <v>11</v>
      </c>
      <c r="E1168">
        <f t="shared" si="318"/>
        <v>2023</v>
      </c>
      <c r="F1168" s="2">
        <v>818</v>
      </c>
      <c r="G1168" s="2" t="s">
        <v>19</v>
      </c>
      <c r="H1168" s="4">
        <f t="shared" si="320"/>
        <v>0.5137784540236352</v>
      </c>
    </row>
    <row r="1169" spans="1:8" x14ac:dyDescent="0.3">
      <c r="A1169" t="s">
        <v>7</v>
      </c>
      <c r="B1169" s="3">
        <v>45246</v>
      </c>
      <c r="C1169">
        <f t="shared" si="316"/>
        <v>16</v>
      </c>
      <c r="D1169">
        <f t="shared" si="317"/>
        <v>11</v>
      </c>
      <c r="E1169">
        <f t="shared" si="318"/>
        <v>2023</v>
      </c>
      <c r="F1169" s="2">
        <v>553</v>
      </c>
      <c r="G1169" t="s">
        <v>17</v>
      </c>
      <c r="H1169" s="4">
        <f>SUMIFS($F$2:$F$2739,$G$2:$G$2739,"No Contract",$E$2:$E$2739,2023)/SUMIF($E$2:$E$2739,2023,$F$2:$F$2739)</f>
        <v>0.20934732870162456</v>
      </c>
    </row>
    <row r="1170" spans="1:8" x14ac:dyDescent="0.3">
      <c r="A1170" t="s">
        <v>10</v>
      </c>
      <c r="B1170" s="3">
        <v>45246</v>
      </c>
      <c r="C1170">
        <f t="shared" si="316"/>
        <v>16</v>
      </c>
      <c r="D1170">
        <f t="shared" si="317"/>
        <v>11</v>
      </c>
      <c r="E1170">
        <f t="shared" si="318"/>
        <v>2023</v>
      </c>
      <c r="F1170" s="2">
        <v>3017</v>
      </c>
      <c r="G1170" t="s">
        <v>19</v>
      </c>
      <c r="H1170" s="4">
        <f t="shared" ref="H1170:H1171" si="321">SUMIFS($F$2:$F$2739,$G$2:$G$2739,"Multi-year Contract",$E$2:$E$2739,2023)/SUMIF($E$2:$E$2739,2023,$F$2:$F$2739)</f>
        <v>0.5137784540236352</v>
      </c>
    </row>
    <row r="1171" spans="1:8" x14ac:dyDescent="0.3">
      <c r="A1171" t="s">
        <v>11</v>
      </c>
      <c r="B1171" s="3">
        <v>45246</v>
      </c>
      <c r="C1171">
        <f t="shared" si="316"/>
        <v>16</v>
      </c>
      <c r="D1171">
        <f t="shared" si="317"/>
        <v>11</v>
      </c>
      <c r="E1171">
        <f t="shared" si="318"/>
        <v>2023</v>
      </c>
      <c r="F1171" s="2">
        <v>2103</v>
      </c>
      <c r="G1171" t="s">
        <v>19</v>
      </c>
      <c r="H1171" s="4">
        <f t="shared" si="321"/>
        <v>0.5137784540236352</v>
      </c>
    </row>
    <row r="1172" spans="1:8" x14ac:dyDescent="0.3">
      <c r="A1172" t="s">
        <v>6</v>
      </c>
      <c r="B1172" s="3">
        <v>45246</v>
      </c>
      <c r="C1172">
        <f t="shared" si="316"/>
        <v>16</v>
      </c>
      <c r="D1172">
        <f t="shared" si="317"/>
        <v>11</v>
      </c>
      <c r="E1172">
        <f t="shared" si="318"/>
        <v>2023</v>
      </c>
      <c r="F1172" s="2">
        <v>2713</v>
      </c>
      <c r="G1172" t="s">
        <v>18</v>
      </c>
      <c r="H1172" s="4">
        <f>SUMIFS($F$2:$F$2739,$G$2:$G$2739,"Annual Contract",$E$2:$E$2739,2023)/SUMIF($E$2:$E$2739,2023,$F$2:$F$2739)</f>
        <v>0.27687421727474026</v>
      </c>
    </row>
    <row r="1173" spans="1:8" x14ac:dyDescent="0.3">
      <c r="A1173" t="s">
        <v>12</v>
      </c>
      <c r="B1173" s="3">
        <v>45247</v>
      </c>
      <c r="C1173">
        <f t="shared" si="316"/>
        <v>17</v>
      </c>
      <c r="D1173">
        <f t="shared" si="317"/>
        <v>11</v>
      </c>
      <c r="E1173">
        <f t="shared" si="318"/>
        <v>2023</v>
      </c>
      <c r="F1173" s="2">
        <v>1852</v>
      </c>
      <c r="G1173" s="2" t="s">
        <v>19</v>
      </c>
      <c r="H1173" s="4">
        <f t="shared" ref="H1173:H1177" si="322">SUMIFS($F$2:$F$2739,$G$2:$G$2739,"Multi-year Contract",$E$2:$E$2739,2023)/SUMIF($E$2:$E$2739,2023,$F$2:$F$2739)</f>
        <v>0.5137784540236352</v>
      </c>
    </row>
    <row r="1174" spans="1:8" x14ac:dyDescent="0.3">
      <c r="A1174" t="s">
        <v>3</v>
      </c>
      <c r="B1174" s="3">
        <v>45247</v>
      </c>
      <c r="C1174">
        <f t="shared" si="316"/>
        <v>17</v>
      </c>
      <c r="D1174">
        <f t="shared" si="317"/>
        <v>11</v>
      </c>
      <c r="E1174">
        <f t="shared" si="318"/>
        <v>2023</v>
      </c>
      <c r="F1174" s="2">
        <v>2592</v>
      </c>
      <c r="G1174" t="s">
        <v>19</v>
      </c>
      <c r="H1174" s="4">
        <f t="shared" si="322"/>
        <v>0.5137784540236352</v>
      </c>
    </row>
    <row r="1175" spans="1:8" x14ac:dyDescent="0.3">
      <c r="A1175" t="s">
        <v>11</v>
      </c>
      <c r="B1175" s="3">
        <v>45248</v>
      </c>
      <c r="C1175">
        <f t="shared" si="316"/>
        <v>18</v>
      </c>
      <c r="D1175">
        <f t="shared" si="317"/>
        <v>11</v>
      </c>
      <c r="E1175">
        <f t="shared" si="318"/>
        <v>2023</v>
      </c>
      <c r="F1175" s="2">
        <v>3637</v>
      </c>
      <c r="G1175" t="s">
        <v>19</v>
      </c>
      <c r="H1175" s="4">
        <f t="shared" si="322"/>
        <v>0.5137784540236352</v>
      </c>
    </row>
    <row r="1176" spans="1:8" x14ac:dyDescent="0.3">
      <c r="A1176" t="s">
        <v>10</v>
      </c>
      <c r="B1176" s="3">
        <v>45248</v>
      </c>
      <c r="C1176">
        <f t="shared" si="316"/>
        <v>18</v>
      </c>
      <c r="D1176">
        <f t="shared" si="317"/>
        <v>11</v>
      </c>
      <c r="E1176">
        <f t="shared" si="318"/>
        <v>2023</v>
      </c>
      <c r="F1176" s="2">
        <v>2865</v>
      </c>
      <c r="G1176" t="s">
        <v>19</v>
      </c>
      <c r="H1176" s="4">
        <f t="shared" si="322"/>
        <v>0.5137784540236352</v>
      </c>
    </row>
    <row r="1177" spans="1:8" x14ac:dyDescent="0.3">
      <c r="A1177" t="s">
        <v>12</v>
      </c>
      <c r="B1177" s="3">
        <v>45248</v>
      </c>
      <c r="C1177">
        <f t="shared" si="316"/>
        <v>18</v>
      </c>
      <c r="D1177">
        <f t="shared" si="317"/>
        <v>11</v>
      </c>
      <c r="E1177">
        <f t="shared" si="318"/>
        <v>2023</v>
      </c>
      <c r="F1177" s="2">
        <v>1788</v>
      </c>
      <c r="G1177" s="2" t="s">
        <v>19</v>
      </c>
      <c r="H1177" s="4">
        <f t="shared" si="322"/>
        <v>0.5137784540236352</v>
      </c>
    </row>
    <row r="1178" spans="1:8" x14ac:dyDescent="0.3">
      <c r="A1178" t="s">
        <v>5</v>
      </c>
      <c r="B1178" s="3">
        <v>45248</v>
      </c>
      <c r="C1178">
        <f t="shared" si="316"/>
        <v>18</v>
      </c>
      <c r="D1178">
        <f t="shared" si="317"/>
        <v>11</v>
      </c>
      <c r="E1178">
        <f t="shared" si="318"/>
        <v>2023</v>
      </c>
      <c r="F1178" s="2">
        <v>3027</v>
      </c>
      <c r="G1178" t="s">
        <v>18</v>
      </c>
      <c r="H1178" s="4">
        <f>SUMIFS($F$2:$F$2739,$G$2:$G$2739,"Annual Contract",$E$2:$E$2739,2023)/SUMIF($E$2:$E$2739,2023,$F$2:$F$2739)</f>
        <v>0.27687421727474026</v>
      </c>
    </row>
    <row r="1179" spans="1:8" x14ac:dyDescent="0.3">
      <c r="A1179" t="s">
        <v>10</v>
      </c>
      <c r="B1179" s="3">
        <v>45248</v>
      </c>
      <c r="C1179">
        <f t="shared" si="316"/>
        <v>18</v>
      </c>
      <c r="D1179">
        <f t="shared" si="317"/>
        <v>11</v>
      </c>
      <c r="E1179">
        <f t="shared" si="318"/>
        <v>2023</v>
      </c>
      <c r="F1179" s="2">
        <v>3067</v>
      </c>
      <c r="G1179" t="s">
        <v>19</v>
      </c>
      <c r="H1179" s="4">
        <f t="shared" ref="H1179:H1181" si="323">SUMIFS($F$2:$F$2739,$G$2:$G$2739,"Multi-year Contract",$E$2:$E$2739,2023)/SUMIF($E$2:$E$2739,2023,$F$2:$F$2739)</f>
        <v>0.5137784540236352</v>
      </c>
    </row>
    <row r="1180" spans="1:8" x14ac:dyDescent="0.3">
      <c r="A1180" t="s">
        <v>3</v>
      </c>
      <c r="B1180" s="3">
        <v>45248</v>
      </c>
      <c r="C1180">
        <f t="shared" si="316"/>
        <v>18</v>
      </c>
      <c r="D1180">
        <f t="shared" si="317"/>
        <v>11</v>
      </c>
      <c r="E1180">
        <f t="shared" si="318"/>
        <v>2023</v>
      </c>
      <c r="F1180" s="2">
        <v>1903</v>
      </c>
      <c r="G1180" t="s">
        <v>19</v>
      </c>
      <c r="H1180" s="4">
        <f t="shared" si="323"/>
        <v>0.5137784540236352</v>
      </c>
    </row>
    <row r="1181" spans="1:8" x14ac:dyDescent="0.3">
      <c r="A1181" t="s">
        <v>3</v>
      </c>
      <c r="B1181" s="3">
        <v>45248</v>
      </c>
      <c r="C1181">
        <f t="shared" si="316"/>
        <v>18</v>
      </c>
      <c r="D1181">
        <f t="shared" si="317"/>
        <v>11</v>
      </c>
      <c r="E1181">
        <f t="shared" si="318"/>
        <v>2023</v>
      </c>
      <c r="F1181" s="2">
        <v>1116</v>
      </c>
      <c r="G1181" t="s">
        <v>19</v>
      </c>
      <c r="H1181" s="4">
        <f t="shared" si="323"/>
        <v>0.5137784540236352</v>
      </c>
    </row>
    <row r="1182" spans="1:8" x14ac:dyDescent="0.3">
      <c r="A1182" t="s">
        <v>7</v>
      </c>
      <c r="B1182" s="3">
        <v>45248</v>
      </c>
      <c r="C1182">
        <f t="shared" si="316"/>
        <v>18</v>
      </c>
      <c r="D1182">
        <f t="shared" si="317"/>
        <v>11</v>
      </c>
      <c r="E1182">
        <f t="shared" si="318"/>
        <v>2023</v>
      </c>
      <c r="F1182" s="2">
        <v>1953</v>
      </c>
      <c r="G1182" t="s">
        <v>17</v>
      </c>
      <c r="H1182" s="4">
        <f>SUMIFS($F$2:$F$2739,$G$2:$G$2739,"No Contract",$E$2:$E$2739,2023)/SUMIF($E$2:$E$2739,2023,$F$2:$F$2739)</f>
        <v>0.20934732870162456</v>
      </c>
    </row>
    <row r="1183" spans="1:8" x14ac:dyDescent="0.3">
      <c r="A1183" t="s">
        <v>12</v>
      </c>
      <c r="B1183" s="3">
        <v>45249</v>
      </c>
      <c r="C1183">
        <f t="shared" si="316"/>
        <v>19</v>
      </c>
      <c r="D1183">
        <f t="shared" si="317"/>
        <v>11</v>
      </c>
      <c r="E1183">
        <f t="shared" si="318"/>
        <v>2023</v>
      </c>
      <c r="F1183" s="2">
        <v>2614</v>
      </c>
      <c r="G1183" s="2" t="s">
        <v>19</v>
      </c>
      <c r="H1183" s="4">
        <f>SUMIFS($F$2:$F$2739,$G$2:$G$2739,"Multi-year Contract",$E$2:$E$2739,2023)/SUMIF($E$2:$E$2739,2023,$F$2:$F$2739)</f>
        <v>0.5137784540236352</v>
      </c>
    </row>
    <row r="1184" spans="1:8" x14ac:dyDescent="0.3">
      <c r="A1184" t="s">
        <v>6</v>
      </c>
      <c r="B1184" s="3">
        <v>45249</v>
      </c>
      <c r="C1184">
        <f t="shared" si="316"/>
        <v>19</v>
      </c>
      <c r="D1184">
        <f t="shared" si="317"/>
        <v>11</v>
      </c>
      <c r="E1184">
        <f t="shared" si="318"/>
        <v>2023</v>
      </c>
      <c r="F1184" s="2">
        <v>3197</v>
      </c>
      <c r="G1184" t="s">
        <v>18</v>
      </c>
      <c r="H1184" s="4">
        <f t="shared" ref="H1184:H1189" si="324">SUMIFS($F$2:$F$2739,$G$2:$G$2739,"Annual Contract",$E$2:$E$2739,2023)/SUMIF($E$2:$E$2739,2023,$F$2:$F$2739)</f>
        <v>0.27687421727474026</v>
      </c>
    </row>
    <row r="1185" spans="1:8" x14ac:dyDescent="0.3">
      <c r="A1185" t="s">
        <v>6</v>
      </c>
      <c r="B1185" s="3">
        <v>45249</v>
      </c>
      <c r="C1185">
        <f t="shared" si="316"/>
        <v>19</v>
      </c>
      <c r="D1185">
        <f t="shared" si="317"/>
        <v>11</v>
      </c>
      <c r="E1185">
        <f t="shared" si="318"/>
        <v>2023</v>
      </c>
      <c r="F1185" s="2">
        <v>2701</v>
      </c>
      <c r="G1185" t="s">
        <v>18</v>
      </c>
      <c r="H1185" s="4">
        <f t="shared" si="324"/>
        <v>0.27687421727474026</v>
      </c>
    </row>
    <row r="1186" spans="1:8" x14ac:dyDescent="0.3">
      <c r="A1186" t="s">
        <v>6</v>
      </c>
      <c r="B1186" s="3">
        <v>45249</v>
      </c>
      <c r="C1186">
        <f t="shared" si="316"/>
        <v>19</v>
      </c>
      <c r="D1186">
        <f t="shared" si="317"/>
        <v>11</v>
      </c>
      <c r="E1186">
        <f t="shared" si="318"/>
        <v>2023</v>
      </c>
      <c r="F1186" s="2">
        <v>3200</v>
      </c>
      <c r="G1186" t="s">
        <v>18</v>
      </c>
      <c r="H1186" s="4">
        <f t="shared" si="324"/>
        <v>0.27687421727474026</v>
      </c>
    </row>
    <row r="1187" spans="1:8" x14ac:dyDescent="0.3">
      <c r="A1187" t="s">
        <v>8</v>
      </c>
      <c r="B1187" s="3">
        <v>45249</v>
      </c>
      <c r="C1187">
        <f t="shared" si="316"/>
        <v>19</v>
      </c>
      <c r="D1187">
        <f t="shared" si="317"/>
        <v>11</v>
      </c>
      <c r="E1187">
        <f t="shared" si="318"/>
        <v>2023</v>
      </c>
      <c r="F1187" s="2">
        <v>3200</v>
      </c>
      <c r="G1187" s="2" t="s">
        <v>18</v>
      </c>
      <c r="H1187" s="4">
        <f t="shared" si="324"/>
        <v>0.27687421727474026</v>
      </c>
    </row>
    <row r="1188" spans="1:8" x14ac:dyDescent="0.3">
      <c r="A1188" t="s">
        <v>5</v>
      </c>
      <c r="B1188" s="3">
        <v>45250</v>
      </c>
      <c r="C1188">
        <f t="shared" si="316"/>
        <v>20</v>
      </c>
      <c r="D1188">
        <f t="shared" si="317"/>
        <v>11</v>
      </c>
      <c r="E1188">
        <f t="shared" si="318"/>
        <v>2023</v>
      </c>
      <c r="F1188" s="2">
        <v>2844</v>
      </c>
      <c r="G1188" t="s">
        <v>18</v>
      </c>
      <c r="H1188" s="4">
        <f t="shared" si="324"/>
        <v>0.27687421727474026</v>
      </c>
    </row>
    <row r="1189" spans="1:8" x14ac:dyDescent="0.3">
      <c r="A1189" t="s">
        <v>8</v>
      </c>
      <c r="B1189" s="3">
        <v>45251</v>
      </c>
      <c r="C1189">
        <f t="shared" si="316"/>
        <v>21</v>
      </c>
      <c r="D1189">
        <f t="shared" si="317"/>
        <v>11</v>
      </c>
      <c r="E1189">
        <f t="shared" si="318"/>
        <v>2023</v>
      </c>
      <c r="F1189" s="2">
        <v>2063</v>
      </c>
      <c r="G1189" s="2" t="s">
        <v>18</v>
      </c>
      <c r="H1189" s="4">
        <f t="shared" si="324"/>
        <v>0.27687421727474026</v>
      </c>
    </row>
    <row r="1190" spans="1:8" x14ac:dyDescent="0.3">
      <c r="A1190" t="s">
        <v>4</v>
      </c>
      <c r="B1190" s="3">
        <v>45252</v>
      </c>
      <c r="C1190">
        <f t="shared" si="316"/>
        <v>22</v>
      </c>
      <c r="D1190">
        <f t="shared" si="317"/>
        <v>11</v>
      </c>
      <c r="E1190">
        <f t="shared" si="318"/>
        <v>2023</v>
      </c>
      <c r="F1190" s="2">
        <v>2421</v>
      </c>
      <c r="G1190" s="2" t="s">
        <v>19</v>
      </c>
      <c r="H1190" s="4">
        <f>SUMIFS($F$2:$F$2739,$G$2:$G$2739,"Multi-year Contract",$E$2:$E$2739,2023)/SUMIF($E$2:$E$2739,2023,$F$2:$F$2739)</f>
        <v>0.5137784540236352</v>
      </c>
    </row>
    <row r="1191" spans="1:8" x14ac:dyDescent="0.3">
      <c r="A1191" t="s">
        <v>9</v>
      </c>
      <c r="B1191" s="3">
        <v>45252</v>
      </c>
      <c r="C1191">
        <f t="shared" si="316"/>
        <v>22</v>
      </c>
      <c r="D1191">
        <f t="shared" si="317"/>
        <v>11</v>
      </c>
      <c r="E1191">
        <f t="shared" si="318"/>
        <v>2023</v>
      </c>
      <c r="F1191" s="2">
        <v>3025</v>
      </c>
      <c r="G1191" t="s">
        <v>17</v>
      </c>
      <c r="H1191" s="4">
        <f t="shared" ref="H1191:H1192" si="325">SUMIFS($F$2:$F$2739,$G$2:$G$2739,"No Contract",$E$2:$E$2739,2023)/SUMIF($E$2:$E$2739,2023,$F$2:$F$2739)</f>
        <v>0.20934732870162456</v>
      </c>
    </row>
    <row r="1192" spans="1:8" x14ac:dyDescent="0.3">
      <c r="A1192" t="s">
        <v>9</v>
      </c>
      <c r="B1192" s="3">
        <v>45252</v>
      </c>
      <c r="C1192">
        <f t="shared" si="316"/>
        <v>22</v>
      </c>
      <c r="D1192">
        <f t="shared" si="317"/>
        <v>11</v>
      </c>
      <c r="E1192">
        <f t="shared" si="318"/>
        <v>2023</v>
      </c>
      <c r="F1192" s="2">
        <v>694</v>
      </c>
      <c r="G1192" t="s">
        <v>17</v>
      </c>
      <c r="H1192" s="4">
        <f t="shared" si="325"/>
        <v>0.20934732870162456</v>
      </c>
    </row>
    <row r="1193" spans="1:8" x14ac:dyDescent="0.3">
      <c r="A1193" t="s">
        <v>6</v>
      </c>
      <c r="B1193" s="3">
        <v>45252</v>
      </c>
      <c r="C1193">
        <f t="shared" si="316"/>
        <v>22</v>
      </c>
      <c r="D1193">
        <f t="shared" si="317"/>
        <v>11</v>
      </c>
      <c r="E1193">
        <f t="shared" si="318"/>
        <v>2023</v>
      </c>
      <c r="F1193" s="2">
        <v>854</v>
      </c>
      <c r="G1193" t="s">
        <v>18</v>
      </c>
      <c r="H1193" s="4">
        <f t="shared" ref="H1193:H1195" si="326">SUMIFS($F$2:$F$2739,$G$2:$G$2739,"Annual Contract",$E$2:$E$2739,2023)/SUMIF($E$2:$E$2739,2023,$F$2:$F$2739)</f>
        <v>0.27687421727474026</v>
      </c>
    </row>
    <row r="1194" spans="1:8" x14ac:dyDescent="0.3">
      <c r="A1194" t="s">
        <v>6</v>
      </c>
      <c r="B1194" s="3">
        <v>45252</v>
      </c>
      <c r="C1194">
        <f t="shared" si="316"/>
        <v>22</v>
      </c>
      <c r="D1194">
        <f t="shared" si="317"/>
        <v>11</v>
      </c>
      <c r="E1194">
        <f t="shared" si="318"/>
        <v>2023</v>
      </c>
      <c r="F1194" s="2">
        <v>1600</v>
      </c>
      <c r="G1194" t="s">
        <v>18</v>
      </c>
      <c r="H1194" s="4">
        <f t="shared" si="326"/>
        <v>0.27687421727474026</v>
      </c>
    </row>
    <row r="1195" spans="1:8" x14ac:dyDescent="0.3">
      <c r="A1195" t="s">
        <v>8</v>
      </c>
      <c r="B1195" s="3">
        <v>45252</v>
      </c>
      <c r="C1195">
        <f t="shared" si="316"/>
        <v>22</v>
      </c>
      <c r="D1195">
        <f t="shared" si="317"/>
        <v>11</v>
      </c>
      <c r="E1195">
        <f t="shared" si="318"/>
        <v>2023</v>
      </c>
      <c r="F1195" s="2">
        <v>2323</v>
      </c>
      <c r="G1195" s="2" t="s">
        <v>18</v>
      </c>
      <c r="H1195" s="4">
        <f t="shared" si="326"/>
        <v>0.27687421727474026</v>
      </c>
    </row>
    <row r="1196" spans="1:8" x14ac:dyDescent="0.3">
      <c r="A1196" t="s">
        <v>3</v>
      </c>
      <c r="B1196" s="3">
        <v>45253</v>
      </c>
      <c r="C1196">
        <f t="shared" si="316"/>
        <v>23</v>
      </c>
      <c r="D1196">
        <f t="shared" si="317"/>
        <v>11</v>
      </c>
      <c r="E1196">
        <f t="shared" si="318"/>
        <v>2023</v>
      </c>
      <c r="F1196" s="2">
        <v>3671</v>
      </c>
      <c r="G1196" t="s">
        <v>19</v>
      </c>
      <c r="H1196" s="4">
        <f t="shared" ref="H1196:H1200" si="327">SUMIFS($F$2:$F$2739,$G$2:$G$2739,"Multi-year Contract",$E$2:$E$2739,2023)/SUMIF($E$2:$E$2739,2023,$F$2:$F$2739)</f>
        <v>0.5137784540236352</v>
      </c>
    </row>
    <row r="1197" spans="1:8" x14ac:dyDescent="0.3">
      <c r="A1197" t="s">
        <v>3</v>
      </c>
      <c r="B1197" s="3">
        <v>45253</v>
      </c>
      <c r="C1197">
        <f t="shared" si="316"/>
        <v>23</v>
      </c>
      <c r="D1197">
        <f t="shared" si="317"/>
        <v>11</v>
      </c>
      <c r="E1197">
        <f t="shared" si="318"/>
        <v>2023</v>
      </c>
      <c r="F1197" s="2">
        <v>2145</v>
      </c>
      <c r="G1197" t="s">
        <v>19</v>
      </c>
      <c r="H1197" s="4">
        <f t="shared" si="327"/>
        <v>0.5137784540236352</v>
      </c>
    </row>
    <row r="1198" spans="1:8" x14ac:dyDescent="0.3">
      <c r="A1198" t="s">
        <v>3</v>
      </c>
      <c r="B1198" s="3">
        <v>45253</v>
      </c>
      <c r="C1198">
        <f t="shared" si="316"/>
        <v>23</v>
      </c>
      <c r="D1198">
        <f t="shared" si="317"/>
        <v>11</v>
      </c>
      <c r="E1198">
        <f t="shared" si="318"/>
        <v>2023</v>
      </c>
      <c r="F1198" s="2">
        <v>1519</v>
      </c>
      <c r="G1198" t="s">
        <v>19</v>
      </c>
      <c r="H1198" s="4">
        <f t="shared" si="327"/>
        <v>0.5137784540236352</v>
      </c>
    </row>
    <row r="1199" spans="1:8" x14ac:dyDescent="0.3">
      <c r="A1199" t="s">
        <v>12</v>
      </c>
      <c r="B1199" s="3">
        <v>45253</v>
      </c>
      <c r="C1199">
        <f t="shared" si="316"/>
        <v>23</v>
      </c>
      <c r="D1199">
        <f t="shared" si="317"/>
        <v>11</v>
      </c>
      <c r="E1199">
        <f t="shared" si="318"/>
        <v>2023</v>
      </c>
      <c r="F1199" s="2">
        <v>1035</v>
      </c>
      <c r="G1199" s="2" t="s">
        <v>19</v>
      </c>
      <c r="H1199" s="4">
        <f t="shared" si="327"/>
        <v>0.5137784540236352</v>
      </c>
    </row>
    <row r="1200" spans="1:8" x14ac:dyDescent="0.3">
      <c r="A1200" t="s">
        <v>3</v>
      </c>
      <c r="B1200" s="3">
        <v>45254</v>
      </c>
      <c r="C1200">
        <f t="shared" si="316"/>
        <v>24</v>
      </c>
      <c r="D1200">
        <f t="shared" si="317"/>
        <v>11</v>
      </c>
      <c r="E1200">
        <f t="shared" si="318"/>
        <v>2023</v>
      </c>
      <c r="F1200" s="2">
        <v>1710</v>
      </c>
      <c r="G1200" t="s">
        <v>19</v>
      </c>
      <c r="H1200" s="4">
        <f t="shared" si="327"/>
        <v>0.5137784540236352</v>
      </c>
    </row>
    <row r="1201" spans="1:8" x14ac:dyDescent="0.3">
      <c r="A1201" t="s">
        <v>9</v>
      </c>
      <c r="B1201" s="3">
        <v>45254</v>
      </c>
      <c r="C1201">
        <f t="shared" si="316"/>
        <v>24</v>
      </c>
      <c r="D1201">
        <f t="shared" si="317"/>
        <v>11</v>
      </c>
      <c r="E1201">
        <f t="shared" si="318"/>
        <v>2023</v>
      </c>
      <c r="F1201" s="2">
        <v>1966</v>
      </c>
      <c r="G1201" t="s">
        <v>17</v>
      </c>
      <c r="H1201" s="4">
        <f>SUMIFS($F$2:$F$2739,$G$2:$G$2739,"No Contract",$E$2:$E$2739,2023)/SUMIF($E$2:$E$2739,2023,$F$2:$F$2739)</f>
        <v>0.20934732870162456</v>
      </c>
    </row>
    <row r="1202" spans="1:8" x14ac:dyDescent="0.3">
      <c r="A1202" t="s">
        <v>4</v>
      </c>
      <c r="B1202" s="3">
        <v>45254</v>
      </c>
      <c r="C1202">
        <f t="shared" si="316"/>
        <v>24</v>
      </c>
      <c r="D1202">
        <f t="shared" si="317"/>
        <v>11</v>
      </c>
      <c r="E1202">
        <f t="shared" si="318"/>
        <v>2023</v>
      </c>
      <c r="F1202" s="2">
        <v>1796</v>
      </c>
      <c r="G1202" s="2" t="s">
        <v>19</v>
      </c>
      <c r="H1202" s="4">
        <f>SUMIFS($F$2:$F$2739,$G$2:$G$2739,"Multi-year Contract",$E$2:$E$2739,2023)/SUMIF($E$2:$E$2739,2023,$F$2:$F$2739)</f>
        <v>0.5137784540236352</v>
      </c>
    </row>
    <row r="1203" spans="1:8" x14ac:dyDescent="0.3">
      <c r="A1203" t="s">
        <v>5</v>
      </c>
      <c r="B1203" s="3">
        <v>45255</v>
      </c>
      <c r="C1203">
        <f t="shared" si="316"/>
        <v>25</v>
      </c>
      <c r="D1203">
        <f t="shared" si="317"/>
        <v>11</v>
      </c>
      <c r="E1203">
        <f t="shared" si="318"/>
        <v>2023</v>
      </c>
      <c r="F1203" s="2">
        <v>1202</v>
      </c>
      <c r="G1203" t="s">
        <v>18</v>
      </c>
      <c r="H1203" s="4">
        <f>SUMIFS($F$2:$F$2739,$G$2:$G$2739,"Annual Contract",$E$2:$E$2739,2023)/SUMIF($E$2:$E$2739,2023,$F$2:$F$2739)</f>
        <v>0.27687421727474026</v>
      </c>
    </row>
    <row r="1204" spans="1:8" x14ac:dyDescent="0.3">
      <c r="A1204" t="s">
        <v>3</v>
      </c>
      <c r="B1204" s="3">
        <v>45255</v>
      </c>
      <c r="C1204">
        <f t="shared" si="316"/>
        <v>25</v>
      </c>
      <c r="D1204">
        <f t="shared" si="317"/>
        <v>11</v>
      </c>
      <c r="E1204">
        <f t="shared" si="318"/>
        <v>2023</v>
      </c>
      <c r="F1204" s="2">
        <v>3237</v>
      </c>
      <c r="G1204" t="s">
        <v>19</v>
      </c>
      <c r="H1204" s="4">
        <f t="shared" ref="H1204:H1205" si="328">SUMIFS($F$2:$F$2739,$G$2:$G$2739,"Multi-year Contract",$E$2:$E$2739,2023)/SUMIF($E$2:$E$2739,2023,$F$2:$F$2739)</f>
        <v>0.5137784540236352</v>
      </c>
    </row>
    <row r="1205" spans="1:8" x14ac:dyDescent="0.3">
      <c r="A1205" t="s">
        <v>10</v>
      </c>
      <c r="B1205" s="3">
        <v>45256</v>
      </c>
      <c r="C1205">
        <f t="shared" si="316"/>
        <v>26</v>
      </c>
      <c r="D1205">
        <f t="shared" si="317"/>
        <v>11</v>
      </c>
      <c r="E1205">
        <f t="shared" si="318"/>
        <v>2023</v>
      </c>
      <c r="F1205" s="2">
        <v>875</v>
      </c>
      <c r="G1205" t="s">
        <v>19</v>
      </c>
      <c r="H1205" s="4">
        <f t="shared" si="328"/>
        <v>0.5137784540236352</v>
      </c>
    </row>
    <row r="1206" spans="1:8" x14ac:dyDescent="0.3">
      <c r="A1206" t="s">
        <v>9</v>
      </c>
      <c r="B1206" s="3">
        <v>45256</v>
      </c>
      <c r="C1206">
        <f t="shared" si="316"/>
        <v>26</v>
      </c>
      <c r="D1206">
        <f t="shared" si="317"/>
        <v>11</v>
      </c>
      <c r="E1206">
        <f t="shared" si="318"/>
        <v>2023</v>
      </c>
      <c r="F1206" s="2">
        <v>955</v>
      </c>
      <c r="G1206" t="s">
        <v>17</v>
      </c>
      <c r="H1206" s="4">
        <f>SUMIFS($F$2:$F$2739,$G$2:$G$2739,"No Contract",$E$2:$E$2739,2023)/SUMIF($E$2:$E$2739,2023,$F$2:$F$2739)</f>
        <v>0.20934732870162456</v>
      </c>
    </row>
    <row r="1207" spans="1:8" x14ac:dyDescent="0.3">
      <c r="A1207" t="s">
        <v>11</v>
      </c>
      <c r="B1207" s="3">
        <v>45256</v>
      </c>
      <c r="C1207">
        <f t="shared" si="316"/>
        <v>26</v>
      </c>
      <c r="D1207">
        <f t="shared" si="317"/>
        <v>11</v>
      </c>
      <c r="E1207">
        <f t="shared" si="318"/>
        <v>2023</v>
      </c>
      <c r="F1207" s="2">
        <v>3204</v>
      </c>
      <c r="G1207" t="s">
        <v>19</v>
      </c>
      <c r="H1207" s="4">
        <f t="shared" ref="H1207:H1209" si="329">SUMIFS($F$2:$F$2739,$G$2:$G$2739,"Multi-year Contract",$E$2:$E$2739,2023)/SUMIF($E$2:$E$2739,2023,$F$2:$F$2739)</f>
        <v>0.5137784540236352</v>
      </c>
    </row>
    <row r="1208" spans="1:8" x14ac:dyDescent="0.3">
      <c r="A1208" t="s">
        <v>12</v>
      </c>
      <c r="B1208" s="3">
        <v>45257</v>
      </c>
      <c r="C1208">
        <f t="shared" si="316"/>
        <v>27</v>
      </c>
      <c r="D1208">
        <f t="shared" si="317"/>
        <v>11</v>
      </c>
      <c r="E1208">
        <f t="shared" si="318"/>
        <v>2023</v>
      </c>
      <c r="F1208" s="2">
        <v>1652</v>
      </c>
      <c r="G1208" s="2" t="s">
        <v>19</v>
      </c>
      <c r="H1208" s="4">
        <f t="shared" si="329"/>
        <v>0.5137784540236352</v>
      </c>
    </row>
    <row r="1209" spans="1:8" x14ac:dyDescent="0.3">
      <c r="A1209" t="s">
        <v>4</v>
      </c>
      <c r="B1209" s="3">
        <v>45257</v>
      </c>
      <c r="C1209">
        <f t="shared" si="316"/>
        <v>27</v>
      </c>
      <c r="D1209">
        <f t="shared" si="317"/>
        <v>11</v>
      </c>
      <c r="E1209">
        <f t="shared" si="318"/>
        <v>2023</v>
      </c>
      <c r="F1209" s="2">
        <v>1049</v>
      </c>
      <c r="G1209" s="2" t="s">
        <v>19</v>
      </c>
      <c r="H1209" s="4">
        <f t="shared" si="329"/>
        <v>0.5137784540236352</v>
      </c>
    </row>
    <row r="1210" spans="1:8" x14ac:dyDescent="0.3">
      <c r="A1210" t="s">
        <v>8</v>
      </c>
      <c r="B1210" s="3">
        <v>45257</v>
      </c>
      <c r="C1210">
        <f t="shared" si="316"/>
        <v>27</v>
      </c>
      <c r="D1210">
        <f t="shared" si="317"/>
        <v>11</v>
      </c>
      <c r="E1210">
        <f t="shared" si="318"/>
        <v>2023</v>
      </c>
      <c r="F1210" s="2">
        <v>1082</v>
      </c>
      <c r="G1210" s="2" t="s">
        <v>18</v>
      </c>
      <c r="H1210" s="4">
        <f>SUMIFS($F$2:$F$2739,$G$2:$G$2739,"Annual Contract",$E$2:$E$2739,2023)/SUMIF($E$2:$E$2739,2023,$F$2:$F$2739)</f>
        <v>0.27687421727474026</v>
      </c>
    </row>
    <row r="1211" spans="1:8" x14ac:dyDescent="0.3">
      <c r="A1211" t="s">
        <v>7</v>
      </c>
      <c r="B1211" s="3">
        <v>45257</v>
      </c>
      <c r="C1211">
        <f t="shared" si="316"/>
        <v>27</v>
      </c>
      <c r="D1211">
        <f t="shared" si="317"/>
        <v>11</v>
      </c>
      <c r="E1211">
        <f t="shared" si="318"/>
        <v>2023</v>
      </c>
      <c r="F1211" s="2">
        <v>2593</v>
      </c>
      <c r="G1211" t="s">
        <v>17</v>
      </c>
      <c r="H1211" s="4">
        <f>SUMIFS($F$2:$F$2739,$G$2:$G$2739,"No Contract",$E$2:$E$2739,2023)/SUMIF($E$2:$E$2739,2023,$F$2:$F$2739)</f>
        <v>0.20934732870162456</v>
      </c>
    </row>
    <row r="1212" spans="1:8" x14ac:dyDescent="0.3">
      <c r="A1212" t="s">
        <v>11</v>
      </c>
      <c r="B1212" s="3">
        <v>45257</v>
      </c>
      <c r="C1212">
        <f t="shared" si="316"/>
        <v>27</v>
      </c>
      <c r="D1212">
        <f t="shared" si="317"/>
        <v>11</v>
      </c>
      <c r="E1212">
        <f t="shared" si="318"/>
        <v>2023</v>
      </c>
      <c r="F1212" s="2">
        <v>3749</v>
      </c>
      <c r="G1212" t="s">
        <v>19</v>
      </c>
      <c r="H1212" s="4">
        <f>SUMIFS($F$2:$F$2739,$G$2:$G$2739,"Multi-year Contract",$E$2:$E$2739,2023)/SUMIF($E$2:$E$2739,2023,$F$2:$F$2739)</f>
        <v>0.5137784540236352</v>
      </c>
    </row>
    <row r="1213" spans="1:8" x14ac:dyDescent="0.3">
      <c r="A1213" t="s">
        <v>6</v>
      </c>
      <c r="B1213" s="3">
        <v>45257</v>
      </c>
      <c r="C1213">
        <f t="shared" si="316"/>
        <v>27</v>
      </c>
      <c r="D1213">
        <f t="shared" si="317"/>
        <v>11</v>
      </c>
      <c r="E1213">
        <f t="shared" si="318"/>
        <v>2023</v>
      </c>
      <c r="F1213" s="2">
        <v>714</v>
      </c>
      <c r="G1213" t="s">
        <v>18</v>
      </c>
      <c r="H1213" s="4">
        <f>SUMIFS($F$2:$F$2739,$G$2:$G$2739,"Annual Contract",$E$2:$E$2739,2023)/SUMIF($E$2:$E$2739,2023,$F$2:$F$2739)</f>
        <v>0.27687421727474026</v>
      </c>
    </row>
    <row r="1214" spans="1:8" x14ac:dyDescent="0.3">
      <c r="A1214" t="s">
        <v>4</v>
      </c>
      <c r="B1214" s="3">
        <v>45257</v>
      </c>
      <c r="C1214">
        <f t="shared" si="316"/>
        <v>27</v>
      </c>
      <c r="D1214">
        <f t="shared" si="317"/>
        <v>11</v>
      </c>
      <c r="E1214">
        <f t="shared" si="318"/>
        <v>2023</v>
      </c>
      <c r="F1214" s="2">
        <v>1998</v>
      </c>
      <c r="G1214" s="2" t="s">
        <v>19</v>
      </c>
      <c r="H1214" s="4">
        <f t="shared" ref="H1214:H1223" si="330">SUMIFS($F$2:$F$2739,$G$2:$G$2739,"Multi-year Contract",$E$2:$E$2739,2023)/SUMIF($E$2:$E$2739,2023,$F$2:$F$2739)</f>
        <v>0.5137784540236352</v>
      </c>
    </row>
    <row r="1215" spans="1:8" x14ac:dyDescent="0.3">
      <c r="A1215" t="s">
        <v>11</v>
      </c>
      <c r="B1215" s="3">
        <v>45258</v>
      </c>
      <c r="C1215">
        <f t="shared" si="316"/>
        <v>28</v>
      </c>
      <c r="D1215">
        <f t="shared" si="317"/>
        <v>11</v>
      </c>
      <c r="E1215">
        <f t="shared" si="318"/>
        <v>2023</v>
      </c>
      <c r="F1215" s="2">
        <v>3015</v>
      </c>
      <c r="G1215" t="s">
        <v>19</v>
      </c>
      <c r="H1215" s="4">
        <f t="shared" si="330"/>
        <v>0.5137784540236352</v>
      </c>
    </row>
    <row r="1216" spans="1:8" x14ac:dyDescent="0.3">
      <c r="A1216" t="s">
        <v>12</v>
      </c>
      <c r="B1216" s="3">
        <v>45258</v>
      </c>
      <c r="C1216">
        <f t="shared" si="316"/>
        <v>28</v>
      </c>
      <c r="D1216">
        <f t="shared" si="317"/>
        <v>11</v>
      </c>
      <c r="E1216">
        <f t="shared" si="318"/>
        <v>2023</v>
      </c>
      <c r="F1216" s="2">
        <v>2621</v>
      </c>
      <c r="G1216" s="2" t="s">
        <v>19</v>
      </c>
      <c r="H1216" s="4">
        <f t="shared" si="330"/>
        <v>0.5137784540236352</v>
      </c>
    </row>
    <row r="1217" spans="1:8" x14ac:dyDescent="0.3">
      <c r="A1217" t="s">
        <v>12</v>
      </c>
      <c r="B1217" s="3">
        <v>45258</v>
      </c>
      <c r="C1217">
        <f t="shared" si="316"/>
        <v>28</v>
      </c>
      <c r="D1217">
        <f t="shared" si="317"/>
        <v>11</v>
      </c>
      <c r="E1217">
        <f t="shared" si="318"/>
        <v>2023</v>
      </c>
      <c r="F1217" s="2">
        <v>708</v>
      </c>
      <c r="G1217" s="2" t="s">
        <v>19</v>
      </c>
      <c r="H1217" s="4">
        <f t="shared" si="330"/>
        <v>0.5137784540236352</v>
      </c>
    </row>
    <row r="1218" spans="1:8" x14ac:dyDescent="0.3">
      <c r="A1218" t="s">
        <v>11</v>
      </c>
      <c r="B1218" s="3">
        <v>45259</v>
      </c>
      <c r="C1218">
        <f t="shared" si="316"/>
        <v>29</v>
      </c>
      <c r="D1218">
        <f t="shared" si="317"/>
        <v>11</v>
      </c>
      <c r="E1218">
        <f t="shared" si="318"/>
        <v>2023</v>
      </c>
      <c r="F1218" s="2">
        <v>2323</v>
      </c>
      <c r="G1218" t="s">
        <v>19</v>
      </c>
      <c r="H1218" s="4">
        <f t="shared" si="330"/>
        <v>0.5137784540236352</v>
      </c>
    </row>
    <row r="1219" spans="1:8" x14ac:dyDescent="0.3">
      <c r="A1219" t="s">
        <v>10</v>
      </c>
      <c r="B1219" s="3">
        <v>45259</v>
      </c>
      <c r="C1219">
        <f t="shared" ref="C1219:C1282" si="331">DAY(B1219)</f>
        <v>29</v>
      </c>
      <c r="D1219">
        <f t="shared" ref="D1219:D1282" si="332">MONTH(B1219)</f>
        <v>11</v>
      </c>
      <c r="E1219">
        <f t="shared" ref="E1219:E1282" si="333">YEAR(B1219)</f>
        <v>2023</v>
      </c>
      <c r="F1219" s="2">
        <v>1704</v>
      </c>
      <c r="G1219" t="s">
        <v>19</v>
      </c>
      <c r="H1219" s="4">
        <f t="shared" si="330"/>
        <v>0.5137784540236352</v>
      </c>
    </row>
    <row r="1220" spans="1:8" x14ac:dyDescent="0.3">
      <c r="A1220" t="s">
        <v>11</v>
      </c>
      <c r="B1220" s="3">
        <v>45260</v>
      </c>
      <c r="C1220">
        <f t="shared" si="331"/>
        <v>30</v>
      </c>
      <c r="D1220">
        <f t="shared" si="332"/>
        <v>11</v>
      </c>
      <c r="E1220">
        <f t="shared" si="333"/>
        <v>2023</v>
      </c>
      <c r="F1220" s="2">
        <v>2345</v>
      </c>
      <c r="G1220" t="s">
        <v>19</v>
      </c>
      <c r="H1220" s="4">
        <f t="shared" si="330"/>
        <v>0.5137784540236352</v>
      </c>
    </row>
    <row r="1221" spans="1:8" x14ac:dyDescent="0.3">
      <c r="A1221" t="s">
        <v>10</v>
      </c>
      <c r="B1221" s="3">
        <v>45261</v>
      </c>
      <c r="C1221">
        <f t="shared" si="331"/>
        <v>1</v>
      </c>
      <c r="D1221">
        <f t="shared" si="332"/>
        <v>12</v>
      </c>
      <c r="E1221">
        <f t="shared" si="333"/>
        <v>2023</v>
      </c>
      <c r="F1221" s="2">
        <v>2545</v>
      </c>
      <c r="G1221" t="s">
        <v>19</v>
      </c>
      <c r="H1221" s="4">
        <f t="shared" si="330"/>
        <v>0.5137784540236352</v>
      </c>
    </row>
    <row r="1222" spans="1:8" x14ac:dyDescent="0.3">
      <c r="A1222" t="s">
        <v>4</v>
      </c>
      <c r="B1222" s="3">
        <v>45261</v>
      </c>
      <c r="C1222">
        <f t="shared" si="331"/>
        <v>1</v>
      </c>
      <c r="D1222">
        <f t="shared" si="332"/>
        <v>12</v>
      </c>
      <c r="E1222">
        <f t="shared" si="333"/>
        <v>2023</v>
      </c>
      <c r="F1222" s="2">
        <v>3251</v>
      </c>
      <c r="G1222" s="2" t="s">
        <v>19</v>
      </c>
      <c r="H1222" s="4">
        <f t="shared" si="330"/>
        <v>0.5137784540236352</v>
      </c>
    </row>
    <row r="1223" spans="1:8" x14ac:dyDescent="0.3">
      <c r="A1223" t="s">
        <v>12</v>
      </c>
      <c r="B1223" s="3">
        <v>45261</v>
      </c>
      <c r="C1223">
        <f t="shared" si="331"/>
        <v>1</v>
      </c>
      <c r="D1223">
        <f t="shared" si="332"/>
        <v>12</v>
      </c>
      <c r="E1223">
        <f t="shared" si="333"/>
        <v>2023</v>
      </c>
      <c r="F1223" s="2">
        <v>2119</v>
      </c>
      <c r="G1223" s="2" t="s">
        <v>19</v>
      </c>
      <c r="H1223" s="4">
        <f t="shared" si="330"/>
        <v>0.5137784540236352</v>
      </c>
    </row>
    <row r="1224" spans="1:8" x14ac:dyDescent="0.3">
      <c r="A1224" t="s">
        <v>9</v>
      </c>
      <c r="B1224" s="3">
        <v>45261</v>
      </c>
      <c r="C1224">
        <f t="shared" si="331"/>
        <v>1</v>
      </c>
      <c r="D1224">
        <f t="shared" si="332"/>
        <v>12</v>
      </c>
      <c r="E1224">
        <f t="shared" si="333"/>
        <v>2023</v>
      </c>
      <c r="F1224" s="2">
        <v>3374</v>
      </c>
      <c r="G1224" t="s">
        <v>17</v>
      </c>
      <c r="H1224" s="4">
        <f>SUMIFS($F$2:$F$2739,$G$2:$G$2739,"No Contract",$E$2:$E$2739,2023)/SUMIF($E$2:$E$2739,2023,$F$2:$F$2739)</f>
        <v>0.20934732870162456</v>
      </c>
    </row>
    <row r="1225" spans="1:8" x14ac:dyDescent="0.3">
      <c r="A1225" t="s">
        <v>8</v>
      </c>
      <c r="B1225" s="3">
        <v>45261</v>
      </c>
      <c r="C1225">
        <f t="shared" si="331"/>
        <v>1</v>
      </c>
      <c r="D1225">
        <f t="shared" si="332"/>
        <v>12</v>
      </c>
      <c r="E1225">
        <f t="shared" si="333"/>
        <v>2023</v>
      </c>
      <c r="F1225" s="2">
        <v>1067</v>
      </c>
      <c r="G1225" s="2" t="s">
        <v>18</v>
      </c>
      <c r="H1225" s="4">
        <f t="shared" ref="H1225:H1227" si="334">SUMIFS($F$2:$F$2739,$G$2:$G$2739,"Annual Contract",$E$2:$E$2739,2023)/SUMIF($E$2:$E$2739,2023,$F$2:$F$2739)</f>
        <v>0.27687421727474026</v>
      </c>
    </row>
    <row r="1226" spans="1:8" x14ac:dyDescent="0.3">
      <c r="A1226" t="s">
        <v>6</v>
      </c>
      <c r="B1226" s="3">
        <v>45261</v>
      </c>
      <c r="C1226">
        <f t="shared" si="331"/>
        <v>1</v>
      </c>
      <c r="D1226">
        <f t="shared" si="332"/>
        <v>12</v>
      </c>
      <c r="E1226">
        <f t="shared" si="333"/>
        <v>2023</v>
      </c>
      <c r="F1226" s="2">
        <v>1244</v>
      </c>
      <c r="G1226" t="s">
        <v>18</v>
      </c>
      <c r="H1226" s="4">
        <f t="shared" si="334"/>
        <v>0.27687421727474026</v>
      </c>
    </row>
    <row r="1227" spans="1:8" x14ac:dyDescent="0.3">
      <c r="A1227" t="s">
        <v>5</v>
      </c>
      <c r="B1227" s="3">
        <v>45261</v>
      </c>
      <c r="C1227">
        <f t="shared" si="331"/>
        <v>1</v>
      </c>
      <c r="D1227">
        <f t="shared" si="332"/>
        <v>12</v>
      </c>
      <c r="E1227">
        <f t="shared" si="333"/>
        <v>2023</v>
      </c>
      <c r="F1227" s="2">
        <v>1984</v>
      </c>
      <c r="G1227" t="s">
        <v>18</v>
      </c>
      <c r="H1227" s="4">
        <f t="shared" si="334"/>
        <v>0.27687421727474026</v>
      </c>
    </row>
    <row r="1228" spans="1:8" x14ac:dyDescent="0.3">
      <c r="A1228" t="s">
        <v>7</v>
      </c>
      <c r="B1228" s="3">
        <v>45262</v>
      </c>
      <c r="C1228">
        <f t="shared" si="331"/>
        <v>2</v>
      </c>
      <c r="D1228">
        <f t="shared" si="332"/>
        <v>12</v>
      </c>
      <c r="E1228">
        <f t="shared" si="333"/>
        <v>2023</v>
      </c>
      <c r="F1228" s="2">
        <v>2183</v>
      </c>
      <c r="G1228" t="s">
        <v>17</v>
      </c>
      <c r="H1228" s="4">
        <f>SUMIFS($F$2:$F$2739,$G$2:$G$2739,"No Contract",$E$2:$E$2739,2023)/SUMIF($E$2:$E$2739,2023,$F$2:$F$2739)</f>
        <v>0.20934732870162456</v>
      </c>
    </row>
    <row r="1229" spans="1:8" x14ac:dyDescent="0.3">
      <c r="A1229" t="s">
        <v>6</v>
      </c>
      <c r="B1229" s="3">
        <v>45262</v>
      </c>
      <c r="C1229">
        <f t="shared" si="331"/>
        <v>2</v>
      </c>
      <c r="D1229">
        <f t="shared" si="332"/>
        <v>12</v>
      </c>
      <c r="E1229">
        <f t="shared" si="333"/>
        <v>2023</v>
      </c>
      <c r="F1229" s="2">
        <v>920</v>
      </c>
      <c r="G1229" t="s">
        <v>18</v>
      </c>
      <c r="H1229" s="4">
        <f>SUMIFS($F$2:$F$2739,$G$2:$G$2739,"Annual Contract",$E$2:$E$2739,2023)/SUMIF($E$2:$E$2739,2023,$F$2:$F$2739)</f>
        <v>0.27687421727474026</v>
      </c>
    </row>
    <row r="1230" spans="1:8" x14ac:dyDescent="0.3">
      <c r="A1230" t="s">
        <v>10</v>
      </c>
      <c r="B1230" s="3">
        <v>45262</v>
      </c>
      <c r="C1230">
        <f t="shared" si="331"/>
        <v>2</v>
      </c>
      <c r="D1230">
        <f t="shared" si="332"/>
        <v>12</v>
      </c>
      <c r="E1230">
        <f t="shared" si="333"/>
        <v>2023</v>
      </c>
      <c r="F1230" s="2">
        <v>3453</v>
      </c>
      <c r="G1230" t="s">
        <v>19</v>
      </c>
      <c r="H1230" s="4">
        <f t="shared" ref="H1230:H1231" si="335">SUMIFS($F$2:$F$2739,$G$2:$G$2739,"Multi-year Contract",$E$2:$E$2739,2023)/SUMIF($E$2:$E$2739,2023,$F$2:$F$2739)</f>
        <v>0.5137784540236352</v>
      </c>
    </row>
    <row r="1231" spans="1:8" x14ac:dyDescent="0.3">
      <c r="A1231" t="s">
        <v>10</v>
      </c>
      <c r="B1231" s="3">
        <v>45262</v>
      </c>
      <c r="C1231">
        <f t="shared" si="331"/>
        <v>2</v>
      </c>
      <c r="D1231">
        <f t="shared" si="332"/>
        <v>12</v>
      </c>
      <c r="E1231">
        <f t="shared" si="333"/>
        <v>2023</v>
      </c>
      <c r="F1231" s="2">
        <v>3481</v>
      </c>
      <c r="G1231" t="s">
        <v>19</v>
      </c>
      <c r="H1231" s="4">
        <f t="shared" si="335"/>
        <v>0.5137784540236352</v>
      </c>
    </row>
    <row r="1232" spans="1:8" x14ac:dyDescent="0.3">
      <c r="A1232" t="s">
        <v>7</v>
      </c>
      <c r="B1232" s="3">
        <v>45262</v>
      </c>
      <c r="C1232">
        <f t="shared" si="331"/>
        <v>2</v>
      </c>
      <c r="D1232">
        <f t="shared" si="332"/>
        <v>12</v>
      </c>
      <c r="E1232">
        <f t="shared" si="333"/>
        <v>2023</v>
      </c>
      <c r="F1232" s="2">
        <v>2085</v>
      </c>
      <c r="G1232" t="s">
        <v>17</v>
      </c>
      <c r="H1232" s="4">
        <f>SUMIFS($F$2:$F$2739,$G$2:$G$2739,"No Contract",$E$2:$E$2739,2023)/SUMIF($E$2:$E$2739,2023,$F$2:$F$2739)</f>
        <v>0.20934732870162456</v>
      </c>
    </row>
    <row r="1233" spans="1:8" x14ac:dyDescent="0.3">
      <c r="A1233" t="s">
        <v>3</v>
      </c>
      <c r="B1233" s="3">
        <v>45262</v>
      </c>
      <c r="C1233">
        <f t="shared" si="331"/>
        <v>2</v>
      </c>
      <c r="D1233">
        <f t="shared" si="332"/>
        <v>12</v>
      </c>
      <c r="E1233">
        <f t="shared" si="333"/>
        <v>2023</v>
      </c>
      <c r="F1233" s="2">
        <v>573</v>
      </c>
      <c r="G1233" t="s">
        <v>19</v>
      </c>
      <c r="H1233" s="4">
        <f t="shared" ref="H1233:H1234" si="336">SUMIFS($F$2:$F$2739,$G$2:$G$2739,"Multi-year Contract",$E$2:$E$2739,2023)/SUMIF($E$2:$E$2739,2023,$F$2:$F$2739)</f>
        <v>0.5137784540236352</v>
      </c>
    </row>
    <row r="1234" spans="1:8" x14ac:dyDescent="0.3">
      <c r="A1234" t="s">
        <v>3</v>
      </c>
      <c r="B1234" s="3">
        <v>45262</v>
      </c>
      <c r="C1234">
        <f t="shared" si="331"/>
        <v>2</v>
      </c>
      <c r="D1234">
        <f t="shared" si="332"/>
        <v>12</v>
      </c>
      <c r="E1234">
        <f t="shared" si="333"/>
        <v>2023</v>
      </c>
      <c r="F1234" s="2">
        <v>2122</v>
      </c>
      <c r="G1234" t="s">
        <v>19</v>
      </c>
      <c r="H1234" s="4">
        <f t="shared" si="336"/>
        <v>0.5137784540236352</v>
      </c>
    </row>
    <row r="1235" spans="1:8" x14ac:dyDescent="0.3">
      <c r="A1235" t="s">
        <v>9</v>
      </c>
      <c r="B1235" s="3">
        <v>45263</v>
      </c>
      <c r="C1235">
        <f t="shared" si="331"/>
        <v>3</v>
      </c>
      <c r="D1235">
        <f t="shared" si="332"/>
        <v>12</v>
      </c>
      <c r="E1235">
        <f t="shared" si="333"/>
        <v>2023</v>
      </c>
      <c r="F1235" s="2">
        <v>1780</v>
      </c>
      <c r="G1235" t="s">
        <v>17</v>
      </c>
      <c r="H1235" s="4">
        <f>SUMIFS($F$2:$F$2739,$G$2:$G$2739,"No Contract",$E$2:$E$2739,2023)/SUMIF($E$2:$E$2739,2023,$F$2:$F$2739)</f>
        <v>0.20934732870162456</v>
      </c>
    </row>
    <row r="1236" spans="1:8" x14ac:dyDescent="0.3">
      <c r="A1236" t="s">
        <v>11</v>
      </c>
      <c r="B1236" s="3">
        <v>45263</v>
      </c>
      <c r="C1236">
        <f t="shared" si="331"/>
        <v>3</v>
      </c>
      <c r="D1236">
        <f t="shared" si="332"/>
        <v>12</v>
      </c>
      <c r="E1236">
        <f t="shared" si="333"/>
        <v>2023</v>
      </c>
      <c r="F1236" s="2">
        <v>2225</v>
      </c>
      <c r="G1236" t="s">
        <v>19</v>
      </c>
      <c r="H1236" s="4">
        <f>SUMIFS($F$2:$F$2739,$G$2:$G$2739,"Multi-year Contract",$E$2:$E$2739,2023)/SUMIF($E$2:$E$2739,2023,$F$2:$F$2739)</f>
        <v>0.5137784540236352</v>
      </c>
    </row>
    <row r="1237" spans="1:8" x14ac:dyDescent="0.3">
      <c r="A1237" t="s">
        <v>5</v>
      </c>
      <c r="B1237" s="3">
        <v>45264</v>
      </c>
      <c r="C1237">
        <f t="shared" si="331"/>
        <v>4</v>
      </c>
      <c r="D1237">
        <f t="shared" si="332"/>
        <v>12</v>
      </c>
      <c r="E1237">
        <f t="shared" si="333"/>
        <v>2023</v>
      </c>
      <c r="F1237" s="2">
        <v>3717</v>
      </c>
      <c r="G1237" t="s">
        <v>18</v>
      </c>
      <c r="H1237" s="4">
        <f>SUMIFS($F$2:$F$2739,$G$2:$G$2739,"Annual Contract",$E$2:$E$2739,2023)/SUMIF($E$2:$E$2739,2023,$F$2:$F$2739)</f>
        <v>0.27687421727474026</v>
      </c>
    </row>
    <row r="1238" spans="1:8" x14ac:dyDescent="0.3">
      <c r="A1238" t="s">
        <v>10</v>
      </c>
      <c r="B1238" s="3">
        <v>45264</v>
      </c>
      <c r="C1238">
        <f t="shared" si="331"/>
        <v>4</v>
      </c>
      <c r="D1238">
        <f t="shared" si="332"/>
        <v>12</v>
      </c>
      <c r="E1238">
        <f t="shared" si="333"/>
        <v>2023</v>
      </c>
      <c r="F1238" s="2">
        <v>1989</v>
      </c>
      <c r="G1238" t="s">
        <v>19</v>
      </c>
      <c r="H1238" s="4">
        <f t="shared" ref="H1238:H1241" si="337">SUMIFS($F$2:$F$2739,$G$2:$G$2739,"Multi-year Contract",$E$2:$E$2739,2023)/SUMIF($E$2:$E$2739,2023,$F$2:$F$2739)</f>
        <v>0.5137784540236352</v>
      </c>
    </row>
    <row r="1239" spans="1:8" x14ac:dyDescent="0.3">
      <c r="A1239" t="s">
        <v>3</v>
      </c>
      <c r="B1239" s="3">
        <v>45264</v>
      </c>
      <c r="C1239">
        <f t="shared" si="331"/>
        <v>4</v>
      </c>
      <c r="D1239">
        <f t="shared" si="332"/>
        <v>12</v>
      </c>
      <c r="E1239">
        <f t="shared" si="333"/>
        <v>2023</v>
      </c>
      <c r="F1239" s="2">
        <v>925</v>
      </c>
      <c r="G1239" t="s">
        <v>19</v>
      </c>
      <c r="H1239" s="4">
        <f t="shared" si="337"/>
        <v>0.5137784540236352</v>
      </c>
    </row>
    <row r="1240" spans="1:8" x14ac:dyDescent="0.3">
      <c r="A1240" t="s">
        <v>12</v>
      </c>
      <c r="B1240" s="3">
        <v>45265</v>
      </c>
      <c r="C1240">
        <f t="shared" si="331"/>
        <v>5</v>
      </c>
      <c r="D1240">
        <f t="shared" si="332"/>
        <v>12</v>
      </c>
      <c r="E1240">
        <f t="shared" si="333"/>
        <v>2023</v>
      </c>
      <c r="F1240" s="2">
        <v>2807</v>
      </c>
      <c r="G1240" s="2" t="s">
        <v>19</v>
      </c>
      <c r="H1240" s="4">
        <f t="shared" si="337"/>
        <v>0.5137784540236352</v>
      </c>
    </row>
    <row r="1241" spans="1:8" x14ac:dyDescent="0.3">
      <c r="A1241" t="s">
        <v>12</v>
      </c>
      <c r="B1241" s="3">
        <v>45265</v>
      </c>
      <c r="C1241">
        <f t="shared" si="331"/>
        <v>5</v>
      </c>
      <c r="D1241">
        <f t="shared" si="332"/>
        <v>12</v>
      </c>
      <c r="E1241">
        <f t="shared" si="333"/>
        <v>2023</v>
      </c>
      <c r="F1241" s="2">
        <v>1061</v>
      </c>
      <c r="G1241" s="2" t="s">
        <v>19</v>
      </c>
      <c r="H1241" s="4">
        <f t="shared" si="337"/>
        <v>0.5137784540236352</v>
      </c>
    </row>
    <row r="1242" spans="1:8" x14ac:dyDescent="0.3">
      <c r="A1242" t="s">
        <v>5</v>
      </c>
      <c r="B1242" s="3">
        <v>45265</v>
      </c>
      <c r="C1242">
        <f t="shared" si="331"/>
        <v>5</v>
      </c>
      <c r="D1242">
        <f t="shared" si="332"/>
        <v>12</v>
      </c>
      <c r="E1242">
        <f t="shared" si="333"/>
        <v>2023</v>
      </c>
      <c r="F1242" s="2">
        <v>1450</v>
      </c>
      <c r="G1242" t="s">
        <v>18</v>
      </c>
      <c r="H1242" s="4">
        <f>SUMIFS($F$2:$F$2739,$G$2:$G$2739,"Annual Contract",$E$2:$E$2739,2023)/SUMIF($E$2:$E$2739,2023,$F$2:$F$2739)</f>
        <v>0.27687421727474026</v>
      </c>
    </row>
    <row r="1243" spans="1:8" x14ac:dyDescent="0.3">
      <c r="A1243" t="s">
        <v>11</v>
      </c>
      <c r="B1243" s="3">
        <v>45266</v>
      </c>
      <c r="C1243">
        <f t="shared" si="331"/>
        <v>6</v>
      </c>
      <c r="D1243">
        <f t="shared" si="332"/>
        <v>12</v>
      </c>
      <c r="E1243">
        <f t="shared" si="333"/>
        <v>2023</v>
      </c>
      <c r="F1243" s="2">
        <v>2177</v>
      </c>
      <c r="G1243" t="s">
        <v>19</v>
      </c>
      <c r="H1243" s="4">
        <f>SUMIFS($F$2:$F$2739,$G$2:$G$2739,"Multi-year Contract",$E$2:$E$2739,2023)/SUMIF($E$2:$E$2739,2023,$F$2:$F$2739)</f>
        <v>0.5137784540236352</v>
      </c>
    </row>
    <row r="1244" spans="1:8" x14ac:dyDescent="0.3">
      <c r="A1244" t="s">
        <v>5</v>
      </c>
      <c r="B1244" s="3">
        <v>45266</v>
      </c>
      <c r="C1244">
        <f t="shared" si="331"/>
        <v>6</v>
      </c>
      <c r="D1244">
        <f t="shared" si="332"/>
        <v>12</v>
      </c>
      <c r="E1244">
        <f t="shared" si="333"/>
        <v>2023</v>
      </c>
      <c r="F1244" s="2">
        <v>1636</v>
      </c>
      <c r="G1244" t="s">
        <v>18</v>
      </c>
      <c r="H1244" s="4">
        <f>SUMIFS($F$2:$F$2739,$G$2:$G$2739,"Annual Contract",$E$2:$E$2739,2023)/SUMIF($E$2:$E$2739,2023,$F$2:$F$2739)</f>
        <v>0.27687421727474026</v>
      </c>
    </row>
    <row r="1245" spans="1:8" x14ac:dyDescent="0.3">
      <c r="A1245" t="s">
        <v>12</v>
      </c>
      <c r="B1245" s="3">
        <v>45266</v>
      </c>
      <c r="C1245">
        <f t="shared" si="331"/>
        <v>6</v>
      </c>
      <c r="D1245">
        <f t="shared" si="332"/>
        <v>12</v>
      </c>
      <c r="E1245">
        <f t="shared" si="333"/>
        <v>2023</v>
      </c>
      <c r="F1245" s="2">
        <v>2276</v>
      </c>
      <c r="G1245" s="2" t="s">
        <v>19</v>
      </c>
      <c r="H1245" s="4">
        <f>SUMIFS($F$2:$F$2739,$G$2:$G$2739,"Multi-year Contract",$E$2:$E$2739,2023)/SUMIF($E$2:$E$2739,2023,$F$2:$F$2739)</f>
        <v>0.5137784540236352</v>
      </c>
    </row>
    <row r="1246" spans="1:8" x14ac:dyDescent="0.3">
      <c r="A1246" t="s">
        <v>8</v>
      </c>
      <c r="B1246" s="3">
        <v>45266</v>
      </c>
      <c r="C1246">
        <f t="shared" si="331"/>
        <v>6</v>
      </c>
      <c r="D1246">
        <f t="shared" si="332"/>
        <v>12</v>
      </c>
      <c r="E1246">
        <f t="shared" si="333"/>
        <v>2023</v>
      </c>
      <c r="F1246" s="2">
        <v>2144</v>
      </c>
      <c r="G1246" s="2" t="s">
        <v>18</v>
      </c>
      <c r="H1246" s="4">
        <f t="shared" ref="H1246:H1247" si="338">SUMIFS($F$2:$F$2739,$G$2:$G$2739,"Annual Contract",$E$2:$E$2739,2023)/SUMIF($E$2:$E$2739,2023,$F$2:$F$2739)</f>
        <v>0.27687421727474026</v>
      </c>
    </row>
    <row r="1247" spans="1:8" x14ac:dyDescent="0.3">
      <c r="A1247" t="s">
        <v>6</v>
      </c>
      <c r="B1247" s="3">
        <v>45267</v>
      </c>
      <c r="C1247">
        <f t="shared" si="331"/>
        <v>7</v>
      </c>
      <c r="D1247">
        <f t="shared" si="332"/>
        <v>12</v>
      </c>
      <c r="E1247">
        <f t="shared" si="333"/>
        <v>2023</v>
      </c>
      <c r="F1247" s="2">
        <v>1173</v>
      </c>
      <c r="G1247" t="s">
        <v>18</v>
      </c>
      <c r="H1247" s="4">
        <f t="shared" si="338"/>
        <v>0.27687421727474026</v>
      </c>
    </row>
    <row r="1248" spans="1:8" x14ac:dyDescent="0.3">
      <c r="A1248" t="s">
        <v>11</v>
      </c>
      <c r="B1248" s="3">
        <v>45267</v>
      </c>
      <c r="C1248">
        <f t="shared" si="331"/>
        <v>7</v>
      </c>
      <c r="D1248">
        <f t="shared" si="332"/>
        <v>12</v>
      </c>
      <c r="E1248">
        <f t="shared" si="333"/>
        <v>2023</v>
      </c>
      <c r="F1248" s="2">
        <v>1421</v>
      </c>
      <c r="G1248" t="s">
        <v>19</v>
      </c>
      <c r="H1248" s="4">
        <f>SUMIFS($F$2:$F$2739,$G$2:$G$2739,"Multi-year Contract",$E$2:$E$2739,2023)/SUMIF($E$2:$E$2739,2023,$F$2:$F$2739)</f>
        <v>0.5137784540236352</v>
      </c>
    </row>
    <row r="1249" spans="1:8" x14ac:dyDescent="0.3">
      <c r="A1249" t="s">
        <v>7</v>
      </c>
      <c r="B1249" s="3">
        <v>45267</v>
      </c>
      <c r="C1249">
        <f t="shared" si="331"/>
        <v>7</v>
      </c>
      <c r="D1249">
        <f t="shared" si="332"/>
        <v>12</v>
      </c>
      <c r="E1249">
        <f t="shared" si="333"/>
        <v>2023</v>
      </c>
      <c r="F1249" s="2">
        <v>2858</v>
      </c>
      <c r="G1249" t="s">
        <v>17</v>
      </c>
      <c r="H1249" s="4">
        <f>SUMIFS($F$2:$F$2739,$G$2:$G$2739,"No Contract",$E$2:$E$2739,2023)/SUMIF($E$2:$E$2739,2023,$F$2:$F$2739)</f>
        <v>0.20934732870162456</v>
      </c>
    </row>
    <row r="1250" spans="1:8" x14ac:dyDescent="0.3">
      <c r="A1250" t="s">
        <v>10</v>
      </c>
      <c r="B1250" s="3">
        <v>45267</v>
      </c>
      <c r="C1250">
        <f t="shared" si="331"/>
        <v>7</v>
      </c>
      <c r="D1250">
        <f t="shared" si="332"/>
        <v>12</v>
      </c>
      <c r="E1250">
        <f t="shared" si="333"/>
        <v>2023</v>
      </c>
      <c r="F1250" s="2">
        <v>3926</v>
      </c>
      <c r="G1250" t="s">
        <v>19</v>
      </c>
      <c r="H1250" s="4">
        <f t="shared" ref="H1250:H1252" si="339">SUMIFS($F$2:$F$2739,$G$2:$G$2739,"Multi-year Contract",$E$2:$E$2739,2023)/SUMIF($E$2:$E$2739,2023,$F$2:$F$2739)</f>
        <v>0.5137784540236352</v>
      </c>
    </row>
    <row r="1251" spans="1:8" x14ac:dyDescent="0.3">
      <c r="A1251" t="s">
        <v>4</v>
      </c>
      <c r="B1251" s="3">
        <v>45268</v>
      </c>
      <c r="C1251">
        <f t="shared" si="331"/>
        <v>8</v>
      </c>
      <c r="D1251">
        <f t="shared" si="332"/>
        <v>12</v>
      </c>
      <c r="E1251">
        <f t="shared" si="333"/>
        <v>2023</v>
      </c>
      <c r="F1251" s="2">
        <v>1115</v>
      </c>
      <c r="G1251" s="2" t="s">
        <v>19</v>
      </c>
      <c r="H1251" s="4">
        <f t="shared" si="339"/>
        <v>0.5137784540236352</v>
      </c>
    </row>
    <row r="1252" spans="1:8" x14ac:dyDescent="0.3">
      <c r="A1252" t="s">
        <v>3</v>
      </c>
      <c r="B1252" s="3">
        <v>45268</v>
      </c>
      <c r="C1252">
        <f t="shared" si="331"/>
        <v>8</v>
      </c>
      <c r="D1252">
        <f t="shared" si="332"/>
        <v>12</v>
      </c>
      <c r="E1252">
        <f t="shared" si="333"/>
        <v>2023</v>
      </c>
      <c r="F1252" s="2">
        <v>3735</v>
      </c>
      <c r="G1252" t="s">
        <v>19</v>
      </c>
      <c r="H1252" s="4">
        <f t="shared" si="339"/>
        <v>0.5137784540236352</v>
      </c>
    </row>
    <row r="1253" spans="1:8" x14ac:dyDescent="0.3">
      <c r="A1253" t="s">
        <v>6</v>
      </c>
      <c r="B1253" s="3">
        <v>45268</v>
      </c>
      <c r="C1253">
        <f t="shared" si="331"/>
        <v>8</v>
      </c>
      <c r="D1253">
        <f t="shared" si="332"/>
        <v>12</v>
      </c>
      <c r="E1253">
        <f t="shared" si="333"/>
        <v>2023</v>
      </c>
      <c r="F1253" s="2">
        <v>745</v>
      </c>
      <c r="G1253" t="s">
        <v>18</v>
      </c>
      <c r="H1253" s="4">
        <f t="shared" ref="H1253:H1254" si="340">SUMIFS($F$2:$F$2739,$G$2:$G$2739,"Annual Contract",$E$2:$E$2739,2023)/SUMIF($E$2:$E$2739,2023,$F$2:$F$2739)</f>
        <v>0.27687421727474026</v>
      </c>
    </row>
    <row r="1254" spans="1:8" x14ac:dyDescent="0.3">
      <c r="A1254" t="s">
        <v>6</v>
      </c>
      <c r="B1254" s="3">
        <v>45268</v>
      </c>
      <c r="C1254">
        <f t="shared" si="331"/>
        <v>8</v>
      </c>
      <c r="D1254">
        <f t="shared" si="332"/>
        <v>12</v>
      </c>
      <c r="E1254">
        <f t="shared" si="333"/>
        <v>2023</v>
      </c>
      <c r="F1254" s="2">
        <v>2707</v>
      </c>
      <c r="G1254" t="s">
        <v>18</v>
      </c>
      <c r="H1254" s="4">
        <f t="shared" si="340"/>
        <v>0.27687421727474026</v>
      </c>
    </row>
    <row r="1255" spans="1:8" x14ac:dyDescent="0.3">
      <c r="A1255" t="s">
        <v>10</v>
      </c>
      <c r="B1255" s="3">
        <v>45268</v>
      </c>
      <c r="C1255">
        <f t="shared" si="331"/>
        <v>8</v>
      </c>
      <c r="D1255">
        <f t="shared" si="332"/>
        <v>12</v>
      </c>
      <c r="E1255">
        <f t="shared" si="333"/>
        <v>2023</v>
      </c>
      <c r="F1255" s="2">
        <v>770</v>
      </c>
      <c r="G1255" t="s">
        <v>19</v>
      </c>
      <c r="H1255" s="4">
        <f>SUMIFS($F$2:$F$2739,$G$2:$G$2739,"Multi-year Contract",$E$2:$E$2739,2023)/SUMIF($E$2:$E$2739,2023,$F$2:$F$2739)</f>
        <v>0.5137784540236352</v>
      </c>
    </row>
    <row r="1256" spans="1:8" x14ac:dyDescent="0.3">
      <c r="A1256" t="s">
        <v>9</v>
      </c>
      <c r="B1256" s="3">
        <v>45268</v>
      </c>
      <c r="C1256">
        <f t="shared" si="331"/>
        <v>8</v>
      </c>
      <c r="D1256">
        <f t="shared" si="332"/>
        <v>12</v>
      </c>
      <c r="E1256">
        <f t="shared" si="333"/>
        <v>2023</v>
      </c>
      <c r="F1256" s="2">
        <v>1180</v>
      </c>
      <c r="G1256" t="s">
        <v>17</v>
      </c>
      <c r="H1256" s="4">
        <f>SUMIFS($F$2:$F$2739,$G$2:$G$2739,"No Contract",$E$2:$E$2739,2023)/SUMIF($E$2:$E$2739,2023,$F$2:$F$2739)</f>
        <v>0.20934732870162456</v>
      </c>
    </row>
    <row r="1257" spans="1:8" x14ac:dyDescent="0.3">
      <c r="A1257" t="s">
        <v>5</v>
      </c>
      <c r="B1257" s="3">
        <v>45268</v>
      </c>
      <c r="C1257">
        <f t="shared" si="331"/>
        <v>8</v>
      </c>
      <c r="D1257">
        <f t="shared" si="332"/>
        <v>12</v>
      </c>
      <c r="E1257">
        <f t="shared" si="333"/>
        <v>2023</v>
      </c>
      <c r="F1257" s="2">
        <v>551</v>
      </c>
      <c r="G1257" t="s">
        <v>18</v>
      </c>
      <c r="H1257" s="4">
        <f t="shared" ref="H1257:H1259" si="341">SUMIFS($F$2:$F$2739,$G$2:$G$2739,"Annual Contract",$E$2:$E$2739,2023)/SUMIF($E$2:$E$2739,2023,$F$2:$F$2739)</f>
        <v>0.27687421727474026</v>
      </c>
    </row>
    <row r="1258" spans="1:8" x14ac:dyDescent="0.3">
      <c r="A1258" t="s">
        <v>5</v>
      </c>
      <c r="B1258" s="3">
        <v>45269</v>
      </c>
      <c r="C1258">
        <f t="shared" si="331"/>
        <v>9</v>
      </c>
      <c r="D1258">
        <f t="shared" si="332"/>
        <v>12</v>
      </c>
      <c r="E1258">
        <f t="shared" si="333"/>
        <v>2023</v>
      </c>
      <c r="F1258" s="2">
        <v>3802</v>
      </c>
      <c r="G1258" t="s">
        <v>18</v>
      </c>
      <c r="H1258" s="4">
        <f t="shared" si="341"/>
        <v>0.27687421727474026</v>
      </c>
    </row>
    <row r="1259" spans="1:8" x14ac:dyDescent="0.3">
      <c r="A1259" t="s">
        <v>6</v>
      </c>
      <c r="B1259" s="3">
        <v>45269</v>
      </c>
      <c r="C1259">
        <f t="shared" si="331"/>
        <v>9</v>
      </c>
      <c r="D1259">
        <f t="shared" si="332"/>
        <v>12</v>
      </c>
      <c r="E1259">
        <f t="shared" si="333"/>
        <v>2023</v>
      </c>
      <c r="F1259" s="2">
        <v>693</v>
      </c>
      <c r="G1259" t="s">
        <v>18</v>
      </c>
      <c r="H1259" s="4">
        <f t="shared" si="341"/>
        <v>0.27687421727474026</v>
      </c>
    </row>
    <row r="1260" spans="1:8" x14ac:dyDescent="0.3">
      <c r="A1260" t="s">
        <v>11</v>
      </c>
      <c r="B1260" s="3">
        <v>45270</v>
      </c>
      <c r="C1260">
        <f t="shared" si="331"/>
        <v>10</v>
      </c>
      <c r="D1260">
        <f t="shared" si="332"/>
        <v>12</v>
      </c>
      <c r="E1260">
        <f t="shared" si="333"/>
        <v>2023</v>
      </c>
      <c r="F1260" s="2">
        <v>3033</v>
      </c>
      <c r="G1260" t="s">
        <v>19</v>
      </c>
      <c r="H1260" s="4">
        <f>SUMIFS($F$2:$F$2739,$G$2:$G$2739,"Multi-year Contract",$E$2:$E$2739,2023)/SUMIF($E$2:$E$2739,2023,$F$2:$F$2739)</f>
        <v>0.5137784540236352</v>
      </c>
    </row>
    <row r="1261" spans="1:8" x14ac:dyDescent="0.3">
      <c r="A1261" t="s">
        <v>5</v>
      </c>
      <c r="B1261" s="3">
        <v>45270</v>
      </c>
      <c r="C1261">
        <f t="shared" si="331"/>
        <v>10</v>
      </c>
      <c r="D1261">
        <f t="shared" si="332"/>
        <v>12</v>
      </c>
      <c r="E1261">
        <f t="shared" si="333"/>
        <v>2023</v>
      </c>
      <c r="F1261" s="2">
        <v>1074</v>
      </c>
      <c r="G1261" t="s">
        <v>18</v>
      </c>
      <c r="H1261" s="4">
        <f>SUMIFS($F$2:$F$2739,$G$2:$G$2739,"Annual Contract",$E$2:$E$2739,2023)/SUMIF($E$2:$E$2739,2023,$F$2:$F$2739)</f>
        <v>0.27687421727474026</v>
      </c>
    </row>
    <row r="1262" spans="1:8" x14ac:dyDescent="0.3">
      <c r="A1262" t="s">
        <v>12</v>
      </c>
      <c r="B1262" s="3">
        <v>45270</v>
      </c>
      <c r="C1262">
        <f t="shared" si="331"/>
        <v>10</v>
      </c>
      <c r="D1262">
        <f t="shared" si="332"/>
        <v>12</v>
      </c>
      <c r="E1262">
        <f t="shared" si="333"/>
        <v>2023</v>
      </c>
      <c r="F1262" s="2">
        <v>3586</v>
      </c>
      <c r="G1262" s="2" t="s">
        <v>19</v>
      </c>
      <c r="H1262" s="4">
        <f t="shared" ref="H1262:H1265" si="342">SUMIFS($F$2:$F$2739,$G$2:$G$2739,"Multi-year Contract",$E$2:$E$2739,2023)/SUMIF($E$2:$E$2739,2023,$F$2:$F$2739)</f>
        <v>0.5137784540236352</v>
      </c>
    </row>
    <row r="1263" spans="1:8" x14ac:dyDescent="0.3">
      <c r="A1263" t="s">
        <v>3</v>
      </c>
      <c r="B1263" s="3">
        <v>45270</v>
      </c>
      <c r="C1263">
        <f t="shared" si="331"/>
        <v>10</v>
      </c>
      <c r="D1263">
        <f t="shared" si="332"/>
        <v>12</v>
      </c>
      <c r="E1263">
        <f t="shared" si="333"/>
        <v>2023</v>
      </c>
      <c r="F1263" s="2">
        <v>3695</v>
      </c>
      <c r="G1263" t="s">
        <v>19</v>
      </c>
      <c r="H1263" s="4">
        <f t="shared" si="342"/>
        <v>0.5137784540236352</v>
      </c>
    </row>
    <row r="1264" spans="1:8" x14ac:dyDescent="0.3">
      <c r="A1264" t="s">
        <v>12</v>
      </c>
      <c r="B1264" s="3">
        <v>45270</v>
      </c>
      <c r="C1264">
        <f t="shared" si="331"/>
        <v>10</v>
      </c>
      <c r="D1264">
        <f t="shared" si="332"/>
        <v>12</v>
      </c>
      <c r="E1264">
        <f t="shared" si="333"/>
        <v>2023</v>
      </c>
      <c r="F1264" s="2">
        <v>3581</v>
      </c>
      <c r="G1264" s="2" t="s">
        <v>19</v>
      </c>
      <c r="H1264" s="4">
        <f t="shared" si="342"/>
        <v>0.5137784540236352</v>
      </c>
    </row>
    <row r="1265" spans="1:8" x14ac:dyDescent="0.3">
      <c r="A1265" t="s">
        <v>4</v>
      </c>
      <c r="B1265" s="3">
        <v>45271</v>
      </c>
      <c r="C1265">
        <f t="shared" si="331"/>
        <v>11</v>
      </c>
      <c r="D1265">
        <f t="shared" si="332"/>
        <v>12</v>
      </c>
      <c r="E1265">
        <f t="shared" si="333"/>
        <v>2023</v>
      </c>
      <c r="F1265" s="2">
        <v>563</v>
      </c>
      <c r="G1265" s="2" t="s">
        <v>19</v>
      </c>
      <c r="H1265" s="4">
        <f t="shared" si="342"/>
        <v>0.5137784540236352</v>
      </c>
    </row>
    <row r="1266" spans="1:8" x14ac:dyDescent="0.3">
      <c r="A1266" t="s">
        <v>8</v>
      </c>
      <c r="B1266" s="3">
        <v>45272</v>
      </c>
      <c r="C1266">
        <f t="shared" si="331"/>
        <v>12</v>
      </c>
      <c r="D1266">
        <f t="shared" si="332"/>
        <v>12</v>
      </c>
      <c r="E1266">
        <f t="shared" si="333"/>
        <v>2023</v>
      </c>
      <c r="F1266" s="2">
        <v>2445</v>
      </c>
      <c r="G1266" s="2" t="s">
        <v>18</v>
      </c>
      <c r="H1266" s="4">
        <f t="shared" ref="H1266:H1267" si="343">SUMIFS($F$2:$F$2739,$G$2:$G$2739,"Annual Contract",$E$2:$E$2739,2023)/SUMIF($E$2:$E$2739,2023,$F$2:$F$2739)</f>
        <v>0.27687421727474026</v>
      </c>
    </row>
    <row r="1267" spans="1:8" x14ac:dyDescent="0.3">
      <c r="A1267" t="s">
        <v>5</v>
      </c>
      <c r="B1267" s="3">
        <v>45272</v>
      </c>
      <c r="C1267">
        <f t="shared" si="331"/>
        <v>12</v>
      </c>
      <c r="D1267">
        <f t="shared" si="332"/>
        <v>12</v>
      </c>
      <c r="E1267">
        <f t="shared" si="333"/>
        <v>2023</v>
      </c>
      <c r="F1267" s="2">
        <v>3895</v>
      </c>
      <c r="G1267" t="s">
        <v>18</v>
      </c>
      <c r="H1267" s="4">
        <f t="shared" si="343"/>
        <v>0.27687421727474026</v>
      </c>
    </row>
    <row r="1268" spans="1:8" x14ac:dyDescent="0.3">
      <c r="A1268" t="s">
        <v>12</v>
      </c>
      <c r="B1268" s="3">
        <v>45272</v>
      </c>
      <c r="C1268">
        <f t="shared" si="331"/>
        <v>12</v>
      </c>
      <c r="D1268">
        <f t="shared" si="332"/>
        <v>12</v>
      </c>
      <c r="E1268">
        <f t="shared" si="333"/>
        <v>2023</v>
      </c>
      <c r="F1268" s="2">
        <v>1053</v>
      </c>
      <c r="G1268" s="2" t="s">
        <v>19</v>
      </c>
      <c r="H1268" s="4">
        <f t="shared" ref="H1268:H1270" si="344">SUMIFS($F$2:$F$2739,$G$2:$G$2739,"Multi-year Contract",$E$2:$E$2739,2023)/SUMIF($E$2:$E$2739,2023,$F$2:$F$2739)</f>
        <v>0.5137784540236352</v>
      </c>
    </row>
    <row r="1269" spans="1:8" x14ac:dyDescent="0.3">
      <c r="A1269" t="s">
        <v>10</v>
      </c>
      <c r="B1269" s="3">
        <v>45272</v>
      </c>
      <c r="C1269">
        <f t="shared" si="331"/>
        <v>12</v>
      </c>
      <c r="D1269">
        <f t="shared" si="332"/>
        <v>12</v>
      </c>
      <c r="E1269">
        <f t="shared" si="333"/>
        <v>2023</v>
      </c>
      <c r="F1269" s="2">
        <v>3117</v>
      </c>
      <c r="G1269" t="s">
        <v>19</v>
      </c>
      <c r="H1269" s="4">
        <f t="shared" si="344"/>
        <v>0.5137784540236352</v>
      </c>
    </row>
    <row r="1270" spans="1:8" x14ac:dyDescent="0.3">
      <c r="A1270" t="s">
        <v>11</v>
      </c>
      <c r="B1270" s="3">
        <v>45273</v>
      </c>
      <c r="C1270">
        <f t="shared" si="331"/>
        <v>13</v>
      </c>
      <c r="D1270">
        <f t="shared" si="332"/>
        <v>12</v>
      </c>
      <c r="E1270">
        <f t="shared" si="333"/>
        <v>2023</v>
      </c>
      <c r="F1270" s="2">
        <v>1543</v>
      </c>
      <c r="G1270" t="s">
        <v>19</v>
      </c>
      <c r="H1270" s="4">
        <f t="shared" si="344"/>
        <v>0.5137784540236352</v>
      </c>
    </row>
    <row r="1271" spans="1:8" x14ac:dyDescent="0.3">
      <c r="A1271" t="s">
        <v>8</v>
      </c>
      <c r="B1271" s="3">
        <v>45273</v>
      </c>
      <c r="C1271">
        <f t="shared" si="331"/>
        <v>13</v>
      </c>
      <c r="D1271">
        <f t="shared" si="332"/>
        <v>12</v>
      </c>
      <c r="E1271">
        <f t="shared" si="333"/>
        <v>2023</v>
      </c>
      <c r="F1271" s="2">
        <v>3894</v>
      </c>
      <c r="G1271" s="2" t="s">
        <v>18</v>
      </c>
      <c r="H1271" s="4">
        <f>SUMIFS($F$2:$F$2739,$G$2:$G$2739,"Annual Contract",$E$2:$E$2739,2023)/SUMIF($E$2:$E$2739,2023,$F$2:$F$2739)</f>
        <v>0.27687421727474026</v>
      </c>
    </row>
    <row r="1272" spans="1:8" x14ac:dyDescent="0.3">
      <c r="A1272" t="s">
        <v>4</v>
      </c>
      <c r="B1272" s="3">
        <v>45273</v>
      </c>
      <c r="C1272">
        <f t="shared" si="331"/>
        <v>13</v>
      </c>
      <c r="D1272">
        <f t="shared" si="332"/>
        <v>12</v>
      </c>
      <c r="E1272">
        <f t="shared" si="333"/>
        <v>2023</v>
      </c>
      <c r="F1272" s="2">
        <v>2387</v>
      </c>
      <c r="G1272" s="2" t="s">
        <v>19</v>
      </c>
      <c r="H1272" s="4">
        <f>SUMIFS($F$2:$F$2739,$G$2:$G$2739,"Multi-year Contract",$E$2:$E$2739,2023)/SUMIF($E$2:$E$2739,2023,$F$2:$F$2739)</f>
        <v>0.5137784540236352</v>
      </c>
    </row>
    <row r="1273" spans="1:8" x14ac:dyDescent="0.3">
      <c r="A1273" t="s">
        <v>6</v>
      </c>
      <c r="B1273" s="3">
        <v>45274</v>
      </c>
      <c r="C1273">
        <f t="shared" si="331"/>
        <v>14</v>
      </c>
      <c r="D1273">
        <f t="shared" si="332"/>
        <v>12</v>
      </c>
      <c r="E1273">
        <f t="shared" si="333"/>
        <v>2023</v>
      </c>
      <c r="F1273" s="2">
        <v>2298</v>
      </c>
      <c r="G1273" t="s">
        <v>18</v>
      </c>
      <c r="H1273" s="4">
        <f>SUMIFS($F$2:$F$2739,$G$2:$G$2739,"Annual Contract",$E$2:$E$2739,2023)/SUMIF($E$2:$E$2739,2023,$F$2:$F$2739)</f>
        <v>0.27687421727474026</v>
      </c>
    </row>
    <row r="1274" spans="1:8" x14ac:dyDescent="0.3">
      <c r="A1274" t="s">
        <v>7</v>
      </c>
      <c r="B1274" s="3">
        <v>45274</v>
      </c>
      <c r="C1274">
        <f t="shared" si="331"/>
        <v>14</v>
      </c>
      <c r="D1274">
        <f t="shared" si="332"/>
        <v>12</v>
      </c>
      <c r="E1274">
        <f t="shared" si="333"/>
        <v>2023</v>
      </c>
      <c r="F1274" s="2">
        <v>3155</v>
      </c>
      <c r="G1274" t="s">
        <v>17</v>
      </c>
      <c r="H1274" s="4">
        <f t="shared" ref="H1274:H1275" si="345">SUMIFS($F$2:$F$2739,$G$2:$G$2739,"No Contract",$E$2:$E$2739,2023)/SUMIF($E$2:$E$2739,2023,$F$2:$F$2739)</f>
        <v>0.20934732870162456</v>
      </c>
    </row>
    <row r="1275" spans="1:8" x14ac:dyDescent="0.3">
      <c r="A1275" t="s">
        <v>9</v>
      </c>
      <c r="B1275" s="3">
        <v>45274</v>
      </c>
      <c r="C1275">
        <f t="shared" si="331"/>
        <v>14</v>
      </c>
      <c r="D1275">
        <f t="shared" si="332"/>
        <v>12</v>
      </c>
      <c r="E1275">
        <f t="shared" si="333"/>
        <v>2023</v>
      </c>
      <c r="F1275" s="2">
        <v>3847</v>
      </c>
      <c r="G1275" t="s">
        <v>17</v>
      </c>
      <c r="H1275" s="4">
        <f t="shared" si="345"/>
        <v>0.20934732870162456</v>
      </c>
    </row>
    <row r="1276" spans="1:8" x14ac:dyDescent="0.3">
      <c r="A1276" t="s">
        <v>12</v>
      </c>
      <c r="B1276" s="3">
        <v>45274</v>
      </c>
      <c r="C1276">
        <f t="shared" si="331"/>
        <v>14</v>
      </c>
      <c r="D1276">
        <f t="shared" si="332"/>
        <v>12</v>
      </c>
      <c r="E1276">
        <f t="shared" si="333"/>
        <v>2023</v>
      </c>
      <c r="F1276" s="2">
        <v>3161</v>
      </c>
      <c r="G1276" s="2" t="s">
        <v>19</v>
      </c>
      <c r="H1276" s="4">
        <f t="shared" ref="H1276:H1278" si="346">SUMIFS($F$2:$F$2739,$G$2:$G$2739,"Multi-year Contract",$E$2:$E$2739,2023)/SUMIF($E$2:$E$2739,2023,$F$2:$F$2739)</f>
        <v>0.5137784540236352</v>
      </c>
    </row>
    <row r="1277" spans="1:8" x14ac:dyDescent="0.3">
      <c r="A1277" t="s">
        <v>12</v>
      </c>
      <c r="B1277" s="3">
        <v>45274</v>
      </c>
      <c r="C1277">
        <f t="shared" si="331"/>
        <v>14</v>
      </c>
      <c r="D1277">
        <f t="shared" si="332"/>
        <v>12</v>
      </c>
      <c r="E1277">
        <f t="shared" si="333"/>
        <v>2023</v>
      </c>
      <c r="F1277" s="2">
        <v>2735</v>
      </c>
      <c r="G1277" s="2" t="s">
        <v>19</v>
      </c>
      <c r="H1277" s="4">
        <f t="shared" si="346"/>
        <v>0.5137784540236352</v>
      </c>
    </row>
    <row r="1278" spans="1:8" x14ac:dyDescent="0.3">
      <c r="A1278" t="s">
        <v>4</v>
      </c>
      <c r="B1278" s="3">
        <v>45275</v>
      </c>
      <c r="C1278">
        <f t="shared" si="331"/>
        <v>15</v>
      </c>
      <c r="D1278">
        <f t="shared" si="332"/>
        <v>12</v>
      </c>
      <c r="E1278">
        <f t="shared" si="333"/>
        <v>2023</v>
      </c>
      <c r="F1278" s="2">
        <v>3227</v>
      </c>
      <c r="G1278" s="2" t="s">
        <v>19</v>
      </c>
      <c r="H1278" s="4">
        <f t="shared" si="346"/>
        <v>0.5137784540236352</v>
      </c>
    </row>
    <row r="1279" spans="1:8" x14ac:dyDescent="0.3">
      <c r="A1279" t="s">
        <v>6</v>
      </c>
      <c r="B1279" s="3">
        <v>45276</v>
      </c>
      <c r="C1279">
        <f t="shared" si="331"/>
        <v>16</v>
      </c>
      <c r="D1279">
        <f t="shared" si="332"/>
        <v>12</v>
      </c>
      <c r="E1279">
        <f t="shared" si="333"/>
        <v>2023</v>
      </c>
      <c r="F1279" s="2">
        <v>2811</v>
      </c>
      <c r="G1279" t="s">
        <v>18</v>
      </c>
      <c r="H1279" s="4">
        <f t="shared" ref="H1279:H1280" si="347">SUMIFS($F$2:$F$2739,$G$2:$G$2739,"Annual Contract",$E$2:$E$2739,2023)/SUMIF($E$2:$E$2739,2023,$F$2:$F$2739)</f>
        <v>0.27687421727474026</v>
      </c>
    </row>
    <row r="1280" spans="1:8" x14ac:dyDescent="0.3">
      <c r="A1280" t="s">
        <v>6</v>
      </c>
      <c r="B1280" s="3">
        <v>45276</v>
      </c>
      <c r="C1280">
        <f t="shared" si="331"/>
        <v>16</v>
      </c>
      <c r="D1280">
        <f t="shared" si="332"/>
        <v>12</v>
      </c>
      <c r="E1280">
        <f t="shared" si="333"/>
        <v>2023</v>
      </c>
      <c r="F1280" s="2">
        <v>3174</v>
      </c>
      <c r="G1280" t="s">
        <v>18</v>
      </c>
      <c r="H1280" s="4">
        <f t="shared" si="347"/>
        <v>0.27687421727474026</v>
      </c>
    </row>
    <row r="1281" spans="1:8" x14ac:dyDescent="0.3">
      <c r="A1281" t="s">
        <v>4</v>
      </c>
      <c r="B1281" s="3">
        <v>45276</v>
      </c>
      <c r="C1281">
        <f t="shared" si="331"/>
        <v>16</v>
      </c>
      <c r="D1281">
        <f t="shared" si="332"/>
        <v>12</v>
      </c>
      <c r="E1281">
        <f t="shared" si="333"/>
        <v>2023</v>
      </c>
      <c r="F1281" s="2">
        <v>890</v>
      </c>
      <c r="G1281" s="2" t="s">
        <v>19</v>
      </c>
      <c r="H1281" s="4">
        <f>SUMIFS($F$2:$F$2739,$G$2:$G$2739,"Multi-year Contract",$E$2:$E$2739,2023)/SUMIF($E$2:$E$2739,2023,$F$2:$F$2739)</f>
        <v>0.5137784540236352</v>
      </c>
    </row>
    <row r="1282" spans="1:8" x14ac:dyDescent="0.3">
      <c r="A1282" t="s">
        <v>5</v>
      </c>
      <c r="B1282" s="3">
        <v>45276</v>
      </c>
      <c r="C1282">
        <f t="shared" si="331"/>
        <v>16</v>
      </c>
      <c r="D1282">
        <f t="shared" si="332"/>
        <v>12</v>
      </c>
      <c r="E1282">
        <f t="shared" si="333"/>
        <v>2023</v>
      </c>
      <c r="F1282" s="2">
        <v>2056</v>
      </c>
      <c r="G1282" t="s">
        <v>18</v>
      </c>
      <c r="H1282" s="4">
        <f t="shared" ref="H1282:H1283" si="348">SUMIFS($F$2:$F$2739,$G$2:$G$2739,"Annual Contract",$E$2:$E$2739,2023)/SUMIF($E$2:$E$2739,2023,$F$2:$F$2739)</f>
        <v>0.27687421727474026</v>
      </c>
    </row>
    <row r="1283" spans="1:8" x14ac:dyDescent="0.3">
      <c r="A1283" t="s">
        <v>6</v>
      </c>
      <c r="B1283" s="3">
        <v>45277</v>
      </c>
      <c r="C1283">
        <f t="shared" ref="C1283:C1346" si="349">DAY(B1283)</f>
        <v>17</v>
      </c>
      <c r="D1283">
        <f t="shared" ref="D1283:D1346" si="350">MONTH(B1283)</f>
        <v>12</v>
      </c>
      <c r="E1283">
        <f t="shared" ref="E1283:E1346" si="351">YEAR(B1283)</f>
        <v>2023</v>
      </c>
      <c r="F1283" s="2">
        <v>2873</v>
      </c>
      <c r="G1283" t="s">
        <v>18</v>
      </c>
      <c r="H1283" s="4">
        <f t="shared" si="348"/>
        <v>0.27687421727474026</v>
      </c>
    </row>
    <row r="1284" spans="1:8" x14ac:dyDescent="0.3">
      <c r="A1284" t="s">
        <v>11</v>
      </c>
      <c r="B1284" s="3">
        <v>45277</v>
      </c>
      <c r="C1284">
        <f t="shared" si="349"/>
        <v>17</v>
      </c>
      <c r="D1284">
        <f t="shared" si="350"/>
        <v>12</v>
      </c>
      <c r="E1284">
        <f t="shared" si="351"/>
        <v>2023</v>
      </c>
      <c r="F1284" s="2">
        <v>2547</v>
      </c>
      <c r="G1284" t="s">
        <v>19</v>
      </c>
      <c r="H1284" s="4">
        <f t="shared" ref="H1284:H1287" si="352">SUMIFS($F$2:$F$2739,$G$2:$G$2739,"Multi-year Contract",$E$2:$E$2739,2023)/SUMIF($E$2:$E$2739,2023,$F$2:$F$2739)</f>
        <v>0.5137784540236352</v>
      </c>
    </row>
    <row r="1285" spans="1:8" x14ac:dyDescent="0.3">
      <c r="A1285" t="s">
        <v>12</v>
      </c>
      <c r="B1285" s="3">
        <v>45277</v>
      </c>
      <c r="C1285">
        <f t="shared" si="349"/>
        <v>17</v>
      </c>
      <c r="D1285">
        <f t="shared" si="350"/>
        <v>12</v>
      </c>
      <c r="E1285">
        <f t="shared" si="351"/>
        <v>2023</v>
      </c>
      <c r="F1285" s="2">
        <v>3519</v>
      </c>
      <c r="G1285" s="2" t="s">
        <v>19</v>
      </c>
      <c r="H1285" s="4">
        <f t="shared" si="352"/>
        <v>0.5137784540236352</v>
      </c>
    </row>
    <row r="1286" spans="1:8" x14ac:dyDescent="0.3">
      <c r="A1286" t="s">
        <v>3</v>
      </c>
      <c r="B1286" s="3">
        <v>45277</v>
      </c>
      <c r="C1286">
        <f t="shared" si="349"/>
        <v>17</v>
      </c>
      <c r="D1286">
        <f t="shared" si="350"/>
        <v>12</v>
      </c>
      <c r="E1286">
        <f t="shared" si="351"/>
        <v>2023</v>
      </c>
      <c r="F1286" s="2">
        <v>1775</v>
      </c>
      <c r="G1286" t="s">
        <v>19</v>
      </c>
      <c r="H1286" s="4">
        <f t="shared" si="352"/>
        <v>0.5137784540236352</v>
      </c>
    </row>
    <row r="1287" spans="1:8" x14ac:dyDescent="0.3">
      <c r="A1287" t="s">
        <v>12</v>
      </c>
      <c r="B1287" s="3">
        <v>45277</v>
      </c>
      <c r="C1287">
        <f t="shared" si="349"/>
        <v>17</v>
      </c>
      <c r="D1287">
        <f t="shared" si="350"/>
        <v>12</v>
      </c>
      <c r="E1287">
        <f t="shared" si="351"/>
        <v>2023</v>
      </c>
      <c r="F1287" s="2">
        <v>674</v>
      </c>
      <c r="G1287" s="2" t="s">
        <v>19</v>
      </c>
      <c r="H1287" s="4">
        <f t="shared" si="352"/>
        <v>0.5137784540236352</v>
      </c>
    </row>
    <row r="1288" spans="1:8" x14ac:dyDescent="0.3">
      <c r="A1288" t="s">
        <v>9</v>
      </c>
      <c r="B1288" s="3">
        <v>45277</v>
      </c>
      <c r="C1288">
        <f t="shared" si="349"/>
        <v>17</v>
      </c>
      <c r="D1288">
        <f t="shared" si="350"/>
        <v>12</v>
      </c>
      <c r="E1288">
        <f t="shared" si="351"/>
        <v>2023</v>
      </c>
      <c r="F1288" s="2">
        <v>1811</v>
      </c>
      <c r="G1288" t="s">
        <v>17</v>
      </c>
      <c r="H1288" s="4">
        <f>SUMIFS($F$2:$F$2739,$G$2:$G$2739,"No Contract",$E$2:$E$2739,2023)/SUMIF($E$2:$E$2739,2023,$F$2:$F$2739)</f>
        <v>0.20934732870162456</v>
      </c>
    </row>
    <row r="1289" spans="1:8" x14ac:dyDescent="0.3">
      <c r="A1289" t="s">
        <v>11</v>
      </c>
      <c r="B1289" s="3">
        <v>45277</v>
      </c>
      <c r="C1289">
        <f t="shared" si="349"/>
        <v>17</v>
      </c>
      <c r="D1289">
        <f t="shared" si="350"/>
        <v>12</v>
      </c>
      <c r="E1289">
        <f t="shared" si="351"/>
        <v>2023</v>
      </c>
      <c r="F1289" s="2">
        <v>3287</v>
      </c>
      <c r="G1289" t="s">
        <v>19</v>
      </c>
      <c r="H1289" s="4">
        <f>SUMIFS($F$2:$F$2739,$G$2:$G$2739,"Multi-year Contract",$E$2:$E$2739,2023)/SUMIF($E$2:$E$2739,2023,$F$2:$F$2739)</f>
        <v>0.5137784540236352</v>
      </c>
    </row>
    <row r="1290" spans="1:8" x14ac:dyDescent="0.3">
      <c r="A1290" t="s">
        <v>6</v>
      </c>
      <c r="B1290" s="3">
        <v>45278</v>
      </c>
      <c r="C1290">
        <f t="shared" si="349"/>
        <v>18</v>
      </c>
      <c r="D1290">
        <f t="shared" si="350"/>
        <v>12</v>
      </c>
      <c r="E1290">
        <f t="shared" si="351"/>
        <v>2023</v>
      </c>
      <c r="F1290" s="2">
        <v>3601</v>
      </c>
      <c r="G1290" t="s">
        <v>18</v>
      </c>
      <c r="H1290" s="4">
        <f>SUMIFS($F$2:$F$2739,$G$2:$G$2739,"Annual Contract",$E$2:$E$2739,2023)/SUMIF($E$2:$E$2739,2023,$F$2:$F$2739)</f>
        <v>0.27687421727474026</v>
      </c>
    </row>
    <row r="1291" spans="1:8" x14ac:dyDescent="0.3">
      <c r="A1291" t="s">
        <v>3</v>
      </c>
      <c r="B1291" s="3">
        <v>45278</v>
      </c>
      <c r="C1291">
        <f t="shared" si="349"/>
        <v>18</v>
      </c>
      <c r="D1291">
        <f t="shared" si="350"/>
        <v>12</v>
      </c>
      <c r="E1291">
        <f t="shared" si="351"/>
        <v>2023</v>
      </c>
      <c r="F1291" s="2">
        <v>3703</v>
      </c>
      <c r="G1291" t="s">
        <v>19</v>
      </c>
      <c r="H1291" s="4">
        <f t="shared" ref="H1291:H1293" si="353">SUMIFS($F$2:$F$2739,$G$2:$G$2739,"Multi-year Contract",$E$2:$E$2739,2023)/SUMIF($E$2:$E$2739,2023,$F$2:$F$2739)</f>
        <v>0.5137784540236352</v>
      </c>
    </row>
    <row r="1292" spans="1:8" x14ac:dyDescent="0.3">
      <c r="A1292" t="s">
        <v>12</v>
      </c>
      <c r="B1292" s="3">
        <v>45278</v>
      </c>
      <c r="C1292">
        <f t="shared" si="349"/>
        <v>18</v>
      </c>
      <c r="D1292">
        <f t="shared" si="350"/>
        <v>12</v>
      </c>
      <c r="E1292">
        <f t="shared" si="351"/>
        <v>2023</v>
      </c>
      <c r="F1292" s="2">
        <v>1707</v>
      </c>
      <c r="G1292" s="2" t="s">
        <v>19</v>
      </c>
      <c r="H1292" s="4">
        <f t="shared" si="353"/>
        <v>0.5137784540236352</v>
      </c>
    </row>
    <row r="1293" spans="1:8" x14ac:dyDescent="0.3">
      <c r="A1293" t="s">
        <v>3</v>
      </c>
      <c r="B1293" s="3">
        <v>45278</v>
      </c>
      <c r="C1293">
        <f t="shared" si="349"/>
        <v>18</v>
      </c>
      <c r="D1293">
        <f t="shared" si="350"/>
        <v>12</v>
      </c>
      <c r="E1293">
        <f t="shared" si="351"/>
        <v>2023</v>
      </c>
      <c r="F1293" s="2">
        <v>1908</v>
      </c>
      <c r="G1293" t="s">
        <v>19</v>
      </c>
      <c r="H1293" s="4">
        <f t="shared" si="353"/>
        <v>0.5137784540236352</v>
      </c>
    </row>
    <row r="1294" spans="1:8" x14ac:dyDescent="0.3">
      <c r="A1294" t="s">
        <v>5</v>
      </c>
      <c r="B1294" s="3">
        <v>45278</v>
      </c>
      <c r="C1294">
        <f t="shared" si="349"/>
        <v>18</v>
      </c>
      <c r="D1294">
        <f t="shared" si="350"/>
        <v>12</v>
      </c>
      <c r="E1294">
        <f t="shared" si="351"/>
        <v>2023</v>
      </c>
      <c r="F1294" s="2">
        <v>1910</v>
      </c>
      <c r="G1294" t="s">
        <v>18</v>
      </c>
      <c r="H1294" s="4">
        <f>SUMIFS($F$2:$F$2739,$G$2:$G$2739,"Annual Contract",$E$2:$E$2739,2023)/SUMIF($E$2:$E$2739,2023,$F$2:$F$2739)</f>
        <v>0.27687421727474026</v>
      </c>
    </row>
    <row r="1295" spans="1:8" x14ac:dyDescent="0.3">
      <c r="A1295" t="s">
        <v>9</v>
      </c>
      <c r="B1295" s="3">
        <v>45278</v>
      </c>
      <c r="C1295">
        <f t="shared" si="349"/>
        <v>18</v>
      </c>
      <c r="D1295">
        <f t="shared" si="350"/>
        <v>12</v>
      </c>
      <c r="E1295">
        <f t="shared" si="351"/>
        <v>2023</v>
      </c>
      <c r="F1295" s="2">
        <v>2088</v>
      </c>
      <c r="G1295" t="s">
        <v>17</v>
      </c>
      <c r="H1295" s="4">
        <f>SUMIFS($F$2:$F$2739,$G$2:$G$2739,"No Contract",$E$2:$E$2739,2023)/SUMIF($E$2:$E$2739,2023,$F$2:$F$2739)</f>
        <v>0.20934732870162456</v>
      </c>
    </row>
    <row r="1296" spans="1:8" x14ac:dyDescent="0.3">
      <c r="A1296" t="s">
        <v>11</v>
      </c>
      <c r="B1296" s="3">
        <v>45279</v>
      </c>
      <c r="C1296">
        <f t="shared" si="349"/>
        <v>19</v>
      </c>
      <c r="D1296">
        <f t="shared" si="350"/>
        <v>12</v>
      </c>
      <c r="E1296">
        <f t="shared" si="351"/>
        <v>2023</v>
      </c>
      <c r="F1296" s="2">
        <v>3592</v>
      </c>
      <c r="G1296" t="s">
        <v>19</v>
      </c>
      <c r="H1296" s="4">
        <f t="shared" ref="H1296:H1299" si="354">SUMIFS($F$2:$F$2739,$G$2:$G$2739,"Multi-year Contract",$E$2:$E$2739,2023)/SUMIF($E$2:$E$2739,2023,$F$2:$F$2739)</f>
        <v>0.5137784540236352</v>
      </c>
    </row>
    <row r="1297" spans="1:8" x14ac:dyDescent="0.3">
      <c r="A1297" t="s">
        <v>12</v>
      </c>
      <c r="B1297" s="3">
        <v>45279</v>
      </c>
      <c r="C1297">
        <f t="shared" si="349"/>
        <v>19</v>
      </c>
      <c r="D1297">
        <f t="shared" si="350"/>
        <v>12</v>
      </c>
      <c r="E1297">
        <f t="shared" si="351"/>
        <v>2023</v>
      </c>
      <c r="F1297" s="2">
        <v>3285</v>
      </c>
      <c r="G1297" s="2" t="s">
        <v>19</v>
      </c>
      <c r="H1297" s="4">
        <f t="shared" si="354"/>
        <v>0.5137784540236352</v>
      </c>
    </row>
    <row r="1298" spans="1:8" x14ac:dyDescent="0.3">
      <c r="A1298" t="s">
        <v>12</v>
      </c>
      <c r="B1298" s="3">
        <v>45279</v>
      </c>
      <c r="C1298">
        <f t="shared" si="349"/>
        <v>19</v>
      </c>
      <c r="D1298">
        <f t="shared" si="350"/>
        <v>12</v>
      </c>
      <c r="E1298">
        <f t="shared" si="351"/>
        <v>2023</v>
      </c>
      <c r="F1298" s="2">
        <v>1254</v>
      </c>
      <c r="G1298" s="2" t="s">
        <v>19</v>
      </c>
      <c r="H1298" s="4">
        <f t="shared" si="354"/>
        <v>0.5137784540236352</v>
      </c>
    </row>
    <row r="1299" spans="1:8" x14ac:dyDescent="0.3">
      <c r="A1299" t="s">
        <v>3</v>
      </c>
      <c r="B1299" s="3">
        <v>45279</v>
      </c>
      <c r="C1299">
        <f t="shared" si="349"/>
        <v>19</v>
      </c>
      <c r="D1299">
        <f t="shared" si="350"/>
        <v>12</v>
      </c>
      <c r="E1299">
        <f t="shared" si="351"/>
        <v>2023</v>
      </c>
      <c r="F1299" s="2">
        <v>2176</v>
      </c>
      <c r="G1299" t="s">
        <v>19</v>
      </c>
      <c r="H1299" s="4">
        <f t="shared" si="354"/>
        <v>0.5137784540236352</v>
      </c>
    </row>
    <row r="1300" spans="1:8" x14ac:dyDescent="0.3">
      <c r="A1300" t="s">
        <v>7</v>
      </c>
      <c r="B1300" s="3">
        <v>45280</v>
      </c>
      <c r="C1300">
        <f t="shared" si="349"/>
        <v>20</v>
      </c>
      <c r="D1300">
        <f t="shared" si="350"/>
        <v>12</v>
      </c>
      <c r="E1300">
        <f t="shared" si="351"/>
        <v>2023</v>
      </c>
      <c r="F1300" s="2">
        <v>1842</v>
      </c>
      <c r="G1300" t="s">
        <v>17</v>
      </c>
      <c r="H1300" s="4">
        <f>SUMIFS($F$2:$F$2739,$G$2:$G$2739,"No Contract",$E$2:$E$2739,2023)/SUMIF($E$2:$E$2739,2023,$F$2:$F$2739)</f>
        <v>0.20934732870162456</v>
      </c>
    </row>
    <row r="1301" spans="1:8" x14ac:dyDescent="0.3">
      <c r="A1301" t="s">
        <v>8</v>
      </c>
      <c r="B1301" s="3">
        <v>45280</v>
      </c>
      <c r="C1301">
        <f t="shared" si="349"/>
        <v>20</v>
      </c>
      <c r="D1301">
        <f t="shared" si="350"/>
        <v>12</v>
      </c>
      <c r="E1301">
        <f t="shared" si="351"/>
        <v>2023</v>
      </c>
      <c r="F1301" s="2">
        <v>1025</v>
      </c>
      <c r="G1301" s="2" t="s">
        <v>18</v>
      </c>
      <c r="H1301" s="4">
        <f>SUMIFS($F$2:$F$2739,$G$2:$G$2739,"Annual Contract",$E$2:$E$2739,2023)/SUMIF($E$2:$E$2739,2023,$F$2:$F$2739)</f>
        <v>0.27687421727474026</v>
      </c>
    </row>
    <row r="1302" spans="1:8" x14ac:dyDescent="0.3">
      <c r="A1302" t="s">
        <v>11</v>
      </c>
      <c r="B1302" s="3">
        <v>45280</v>
      </c>
      <c r="C1302">
        <f t="shared" si="349"/>
        <v>20</v>
      </c>
      <c r="D1302">
        <f t="shared" si="350"/>
        <v>12</v>
      </c>
      <c r="E1302">
        <f t="shared" si="351"/>
        <v>2023</v>
      </c>
      <c r="F1302" s="2">
        <v>3348</v>
      </c>
      <c r="G1302" t="s">
        <v>19</v>
      </c>
      <c r="H1302" s="4">
        <f>SUMIFS($F$2:$F$2739,$G$2:$G$2739,"Multi-year Contract",$E$2:$E$2739,2023)/SUMIF($E$2:$E$2739,2023,$F$2:$F$2739)</f>
        <v>0.5137784540236352</v>
      </c>
    </row>
    <row r="1303" spans="1:8" x14ac:dyDescent="0.3">
      <c r="A1303" t="s">
        <v>8</v>
      </c>
      <c r="B1303" s="3">
        <v>45280</v>
      </c>
      <c r="C1303">
        <f t="shared" si="349"/>
        <v>20</v>
      </c>
      <c r="D1303">
        <f t="shared" si="350"/>
        <v>12</v>
      </c>
      <c r="E1303">
        <f t="shared" si="351"/>
        <v>2023</v>
      </c>
      <c r="F1303" s="2">
        <v>1289</v>
      </c>
      <c r="G1303" s="2" t="s">
        <v>18</v>
      </c>
      <c r="H1303" s="4">
        <f>SUMIFS($F$2:$F$2739,$G$2:$G$2739,"Annual Contract",$E$2:$E$2739,2023)/SUMIF($E$2:$E$2739,2023,$F$2:$F$2739)</f>
        <v>0.27687421727474026</v>
      </c>
    </row>
    <row r="1304" spans="1:8" x14ac:dyDescent="0.3">
      <c r="A1304" t="s">
        <v>12</v>
      </c>
      <c r="B1304" s="3">
        <v>45281</v>
      </c>
      <c r="C1304">
        <f t="shared" si="349"/>
        <v>21</v>
      </c>
      <c r="D1304">
        <f t="shared" si="350"/>
        <v>12</v>
      </c>
      <c r="E1304">
        <f t="shared" si="351"/>
        <v>2023</v>
      </c>
      <c r="F1304" s="2">
        <v>2186</v>
      </c>
      <c r="G1304" s="2" t="s">
        <v>19</v>
      </c>
      <c r="H1304" s="4">
        <f>SUMIFS($F$2:$F$2739,$G$2:$G$2739,"Multi-year Contract",$E$2:$E$2739,2023)/SUMIF($E$2:$E$2739,2023,$F$2:$F$2739)</f>
        <v>0.5137784540236352</v>
      </c>
    </row>
    <row r="1305" spans="1:8" x14ac:dyDescent="0.3">
      <c r="A1305" t="s">
        <v>6</v>
      </c>
      <c r="B1305" s="3">
        <v>45281</v>
      </c>
      <c r="C1305">
        <f t="shared" si="349"/>
        <v>21</v>
      </c>
      <c r="D1305">
        <f t="shared" si="350"/>
        <v>12</v>
      </c>
      <c r="E1305">
        <f t="shared" si="351"/>
        <v>2023</v>
      </c>
      <c r="F1305" s="2">
        <v>1368</v>
      </c>
      <c r="G1305" t="s">
        <v>18</v>
      </c>
      <c r="H1305" s="4">
        <f t="shared" ref="H1305:H1306" si="355">SUMIFS($F$2:$F$2739,$G$2:$G$2739,"Annual Contract",$E$2:$E$2739,2023)/SUMIF($E$2:$E$2739,2023,$F$2:$F$2739)</f>
        <v>0.27687421727474026</v>
      </c>
    </row>
    <row r="1306" spans="1:8" x14ac:dyDescent="0.3">
      <c r="A1306" t="s">
        <v>5</v>
      </c>
      <c r="B1306" s="3">
        <v>45281</v>
      </c>
      <c r="C1306">
        <f t="shared" si="349"/>
        <v>21</v>
      </c>
      <c r="D1306">
        <f t="shared" si="350"/>
        <v>12</v>
      </c>
      <c r="E1306">
        <f t="shared" si="351"/>
        <v>2023</v>
      </c>
      <c r="F1306" s="2">
        <v>808</v>
      </c>
      <c r="G1306" t="s">
        <v>18</v>
      </c>
      <c r="H1306" s="4">
        <f t="shared" si="355"/>
        <v>0.27687421727474026</v>
      </c>
    </row>
    <row r="1307" spans="1:8" x14ac:dyDescent="0.3">
      <c r="A1307" t="s">
        <v>3</v>
      </c>
      <c r="B1307" s="3">
        <v>45281</v>
      </c>
      <c r="C1307">
        <f t="shared" si="349"/>
        <v>21</v>
      </c>
      <c r="D1307">
        <f t="shared" si="350"/>
        <v>12</v>
      </c>
      <c r="E1307">
        <f t="shared" si="351"/>
        <v>2023</v>
      </c>
      <c r="F1307" s="2">
        <v>2786</v>
      </c>
      <c r="G1307" t="s">
        <v>19</v>
      </c>
      <c r="H1307" s="4">
        <f>SUMIFS($F$2:$F$2739,$G$2:$G$2739,"Multi-year Contract",$E$2:$E$2739,2023)/SUMIF($E$2:$E$2739,2023,$F$2:$F$2739)</f>
        <v>0.5137784540236352</v>
      </c>
    </row>
    <row r="1308" spans="1:8" x14ac:dyDescent="0.3">
      <c r="A1308" t="s">
        <v>8</v>
      </c>
      <c r="B1308" s="3">
        <v>45281</v>
      </c>
      <c r="C1308">
        <f t="shared" si="349"/>
        <v>21</v>
      </c>
      <c r="D1308">
        <f t="shared" si="350"/>
        <v>12</v>
      </c>
      <c r="E1308">
        <f t="shared" si="351"/>
        <v>2023</v>
      </c>
      <c r="F1308" s="2">
        <v>3414</v>
      </c>
      <c r="G1308" s="2" t="s">
        <v>18</v>
      </c>
      <c r="H1308" s="4">
        <f t="shared" ref="H1308:H1309" si="356">SUMIFS($F$2:$F$2739,$G$2:$G$2739,"Annual Contract",$E$2:$E$2739,2023)/SUMIF($E$2:$E$2739,2023,$F$2:$F$2739)</f>
        <v>0.27687421727474026</v>
      </c>
    </row>
    <row r="1309" spans="1:8" x14ac:dyDescent="0.3">
      <c r="A1309" t="s">
        <v>5</v>
      </c>
      <c r="B1309" s="3">
        <v>45282</v>
      </c>
      <c r="C1309">
        <f t="shared" si="349"/>
        <v>22</v>
      </c>
      <c r="D1309">
        <f t="shared" si="350"/>
        <v>12</v>
      </c>
      <c r="E1309">
        <f t="shared" si="351"/>
        <v>2023</v>
      </c>
      <c r="F1309" s="2">
        <v>748</v>
      </c>
      <c r="G1309" t="s">
        <v>18</v>
      </c>
      <c r="H1309" s="4">
        <f t="shared" si="356"/>
        <v>0.27687421727474026</v>
      </c>
    </row>
    <row r="1310" spans="1:8" x14ac:dyDescent="0.3">
      <c r="A1310" t="s">
        <v>11</v>
      </c>
      <c r="B1310" s="3">
        <v>45282</v>
      </c>
      <c r="C1310">
        <f t="shared" si="349"/>
        <v>22</v>
      </c>
      <c r="D1310">
        <f t="shared" si="350"/>
        <v>12</v>
      </c>
      <c r="E1310">
        <f t="shared" si="351"/>
        <v>2023</v>
      </c>
      <c r="F1310" s="2">
        <v>3694</v>
      </c>
      <c r="G1310" t="s">
        <v>19</v>
      </c>
      <c r="H1310" s="4">
        <f>SUMIFS($F$2:$F$2739,$G$2:$G$2739,"Multi-year Contract",$E$2:$E$2739,2023)/SUMIF($E$2:$E$2739,2023,$F$2:$F$2739)</f>
        <v>0.5137784540236352</v>
      </c>
    </row>
    <row r="1311" spans="1:8" x14ac:dyDescent="0.3">
      <c r="A1311" t="s">
        <v>5</v>
      </c>
      <c r="B1311" s="3">
        <v>45282</v>
      </c>
      <c r="C1311">
        <f t="shared" si="349"/>
        <v>22</v>
      </c>
      <c r="D1311">
        <f t="shared" si="350"/>
        <v>12</v>
      </c>
      <c r="E1311">
        <f t="shared" si="351"/>
        <v>2023</v>
      </c>
      <c r="F1311" s="2">
        <v>2294</v>
      </c>
      <c r="G1311" t="s">
        <v>18</v>
      </c>
      <c r="H1311" s="4">
        <f>SUMIFS($F$2:$F$2739,$G$2:$G$2739,"Annual Contract",$E$2:$E$2739,2023)/SUMIF($E$2:$E$2739,2023,$F$2:$F$2739)</f>
        <v>0.27687421727474026</v>
      </c>
    </row>
    <row r="1312" spans="1:8" x14ac:dyDescent="0.3">
      <c r="A1312" t="s">
        <v>3</v>
      </c>
      <c r="B1312" s="3">
        <v>45283</v>
      </c>
      <c r="C1312">
        <f t="shared" si="349"/>
        <v>23</v>
      </c>
      <c r="D1312">
        <f t="shared" si="350"/>
        <v>12</v>
      </c>
      <c r="E1312">
        <f t="shared" si="351"/>
        <v>2023</v>
      </c>
      <c r="F1312" s="2">
        <v>3949</v>
      </c>
      <c r="G1312" t="s">
        <v>19</v>
      </c>
      <c r="H1312" s="4">
        <f>SUMIFS($F$2:$F$2739,$G$2:$G$2739,"Multi-year Contract",$E$2:$E$2739,2023)/SUMIF($E$2:$E$2739,2023,$F$2:$F$2739)</f>
        <v>0.5137784540236352</v>
      </c>
    </row>
    <row r="1313" spans="1:8" x14ac:dyDescent="0.3">
      <c r="A1313" t="s">
        <v>7</v>
      </c>
      <c r="B1313" s="3">
        <v>45283</v>
      </c>
      <c r="C1313">
        <f t="shared" si="349"/>
        <v>23</v>
      </c>
      <c r="D1313">
        <f t="shared" si="350"/>
        <v>12</v>
      </c>
      <c r="E1313">
        <f t="shared" si="351"/>
        <v>2023</v>
      </c>
      <c r="F1313" s="2">
        <v>2850</v>
      </c>
      <c r="G1313" t="s">
        <v>17</v>
      </c>
      <c r="H1313" s="4">
        <f t="shared" ref="H1313:H1315" si="357">SUMIFS($F$2:$F$2739,$G$2:$G$2739,"No Contract",$E$2:$E$2739,2023)/SUMIF($E$2:$E$2739,2023,$F$2:$F$2739)</f>
        <v>0.20934732870162456</v>
      </c>
    </row>
    <row r="1314" spans="1:8" x14ac:dyDescent="0.3">
      <c r="A1314" t="s">
        <v>7</v>
      </c>
      <c r="B1314" s="3">
        <v>45283</v>
      </c>
      <c r="C1314">
        <f t="shared" si="349"/>
        <v>23</v>
      </c>
      <c r="D1314">
        <f t="shared" si="350"/>
        <v>12</v>
      </c>
      <c r="E1314">
        <f t="shared" si="351"/>
        <v>2023</v>
      </c>
      <c r="F1314" s="2">
        <v>2314</v>
      </c>
      <c r="G1314" t="s">
        <v>17</v>
      </c>
      <c r="H1314" s="4">
        <f t="shared" si="357"/>
        <v>0.20934732870162456</v>
      </c>
    </row>
    <row r="1315" spans="1:8" x14ac:dyDescent="0.3">
      <c r="A1315" t="s">
        <v>7</v>
      </c>
      <c r="B1315" s="3">
        <v>45283</v>
      </c>
      <c r="C1315">
        <f t="shared" si="349"/>
        <v>23</v>
      </c>
      <c r="D1315">
        <f t="shared" si="350"/>
        <v>12</v>
      </c>
      <c r="E1315">
        <f t="shared" si="351"/>
        <v>2023</v>
      </c>
      <c r="F1315" s="2">
        <v>898</v>
      </c>
      <c r="G1315" t="s">
        <v>17</v>
      </c>
      <c r="H1315" s="4">
        <f t="shared" si="357"/>
        <v>0.20934732870162456</v>
      </c>
    </row>
    <row r="1316" spans="1:8" x14ac:dyDescent="0.3">
      <c r="A1316" t="s">
        <v>5</v>
      </c>
      <c r="B1316" s="3">
        <v>45283</v>
      </c>
      <c r="C1316">
        <f t="shared" si="349"/>
        <v>23</v>
      </c>
      <c r="D1316">
        <f t="shared" si="350"/>
        <v>12</v>
      </c>
      <c r="E1316">
        <f t="shared" si="351"/>
        <v>2023</v>
      </c>
      <c r="F1316" s="2">
        <v>2978</v>
      </c>
      <c r="G1316" t="s">
        <v>18</v>
      </c>
      <c r="H1316" s="4">
        <f t="shared" ref="H1316:H1319" si="358">SUMIFS($F$2:$F$2739,$G$2:$G$2739,"Annual Contract",$E$2:$E$2739,2023)/SUMIF($E$2:$E$2739,2023,$F$2:$F$2739)</f>
        <v>0.27687421727474026</v>
      </c>
    </row>
    <row r="1317" spans="1:8" x14ac:dyDescent="0.3">
      <c r="A1317" t="s">
        <v>5</v>
      </c>
      <c r="B1317" s="3">
        <v>45284</v>
      </c>
      <c r="C1317">
        <f t="shared" si="349"/>
        <v>24</v>
      </c>
      <c r="D1317">
        <f t="shared" si="350"/>
        <v>12</v>
      </c>
      <c r="E1317">
        <f t="shared" si="351"/>
        <v>2023</v>
      </c>
      <c r="F1317" s="2">
        <v>3298</v>
      </c>
      <c r="G1317" t="s">
        <v>18</v>
      </c>
      <c r="H1317" s="4">
        <f t="shared" si="358"/>
        <v>0.27687421727474026</v>
      </c>
    </row>
    <row r="1318" spans="1:8" x14ac:dyDescent="0.3">
      <c r="A1318" t="s">
        <v>6</v>
      </c>
      <c r="B1318" s="3">
        <v>45284</v>
      </c>
      <c r="C1318">
        <f t="shared" si="349"/>
        <v>24</v>
      </c>
      <c r="D1318">
        <f t="shared" si="350"/>
        <v>12</v>
      </c>
      <c r="E1318">
        <f t="shared" si="351"/>
        <v>2023</v>
      </c>
      <c r="F1318" s="2">
        <v>3436</v>
      </c>
      <c r="G1318" t="s">
        <v>18</v>
      </c>
      <c r="H1318" s="4">
        <f t="shared" si="358"/>
        <v>0.27687421727474026</v>
      </c>
    </row>
    <row r="1319" spans="1:8" x14ac:dyDescent="0.3">
      <c r="A1319" t="s">
        <v>8</v>
      </c>
      <c r="B1319" s="3">
        <v>45284</v>
      </c>
      <c r="C1319">
        <f t="shared" si="349"/>
        <v>24</v>
      </c>
      <c r="D1319">
        <f t="shared" si="350"/>
        <v>12</v>
      </c>
      <c r="E1319">
        <f t="shared" si="351"/>
        <v>2023</v>
      </c>
      <c r="F1319" s="2">
        <v>3468</v>
      </c>
      <c r="G1319" s="2" t="s">
        <v>18</v>
      </c>
      <c r="H1319" s="4">
        <f t="shared" si="358"/>
        <v>0.27687421727474026</v>
      </c>
    </row>
    <row r="1320" spans="1:8" x14ac:dyDescent="0.3">
      <c r="A1320" t="s">
        <v>4</v>
      </c>
      <c r="B1320" s="3">
        <v>45284</v>
      </c>
      <c r="C1320">
        <f t="shared" si="349"/>
        <v>24</v>
      </c>
      <c r="D1320">
        <f t="shared" si="350"/>
        <v>12</v>
      </c>
      <c r="E1320">
        <f t="shared" si="351"/>
        <v>2023</v>
      </c>
      <c r="F1320" s="2">
        <v>1210</v>
      </c>
      <c r="G1320" s="2" t="s">
        <v>19</v>
      </c>
      <c r="H1320" s="4">
        <f t="shared" ref="H1320:H1321" si="359">SUMIFS($F$2:$F$2739,$G$2:$G$2739,"Multi-year Contract",$E$2:$E$2739,2023)/SUMIF($E$2:$E$2739,2023,$F$2:$F$2739)</f>
        <v>0.5137784540236352</v>
      </c>
    </row>
    <row r="1321" spans="1:8" x14ac:dyDescent="0.3">
      <c r="A1321" t="s">
        <v>12</v>
      </c>
      <c r="B1321" s="3">
        <v>45284</v>
      </c>
      <c r="C1321">
        <f t="shared" si="349"/>
        <v>24</v>
      </c>
      <c r="D1321">
        <f t="shared" si="350"/>
        <v>12</v>
      </c>
      <c r="E1321">
        <f t="shared" si="351"/>
        <v>2023</v>
      </c>
      <c r="F1321" s="2">
        <v>1267</v>
      </c>
      <c r="G1321" s="2" t="s">
        <v>19</v>
      </c>
      <c r="H1321" s="4">
        <f t="shared" si="359"/>
        <v>0.5137784540236352</v>
      </c>
    </row>
    <row r="1322" spans="1:8" x14ac:dyDescent="0.3">
      <c r="A1322" t="s">
        <v>9</v>
      </c>
      <c r="B1322" s="3">
        <v>45284</v>
      </c>
      <c r="C1322">
        <f t="shared" si="349"/>
        <v>24</v>
      </c>
      <c r="D1322">
        <f t="shared" si="350"/>
        <v>12</v>
      </c>
      <c r="E1322">
        <f t="shared" si="351"/>
        <v>2023</v>
      </c>
      <c r="F1322" s="2">
        <v>2172</v>
      </c>
      <c r="G1322" t="s">
        <v>17</v>
      </c>
      <c r="H1322" s="4">
        <f>SUMIFS($F$2:$F$2739,$G$2:$G$2739,"No Contract",$E$2:$E$2739,2023)/SUMIF($E$2:$E$2739,2023,$F$2:$F$2739)</f>
        <v>0.20934732870162456</v>
      </c>
    </row>
    <row r="1323" spans="1:8" x14ac:dyDescent="0.3">
      <c r="A1323" t="s">
        <v>3</v>
      </c>
      <c r="B1323" s="3">
        <v>45284</v>
      </c>
      <c r="C1323">
        <f t="shared" si="349"/>
        <v>24</v>
      </c>
      <c r="D1323">
        <f t="shared" si="350"/>
        <v>12</v>
      </c>
      <c r="E1323">
        <f t="shared" si="351"/>
        <v>2023</v>
      </c>
      <c r="F1323" s="2">
        <v>3973</v>
      </c>
      <c r="G1323" t="s">
        <v>19</v>
      </c>
      <c r="H1323" s="4">
        <f t="shared" ref="H1323:H1326" si="360">SUMIFS($F$2:$F$2739,$G$2:$G$2739,"Multi-year Contract",$E$2:$E$2739,2023)/SUMIF($E$2:$E$2739,2023,$F$2:$F$2739)</f>
        <v>0.5137784540236352</v>
      </c>
    </row>
    <row r="1324" spans="1:8" x14ac:dyDescent="0.3">
      <c r="A1324" t="s">
        <v>11</v>
      </c>
      <c r="B1324" s="3">
        <v>45284</v>
      </c>
      <c r="C1324">
        <f t="shared" si="349"/>
        <v>24</v>
      </c>
      <c r="D1324">
        <f t="shared" si="350"/>
        <v>12</v>
      </c>
      <c r="E1324">
        <f t="shared" si="351"/>
        <v>2023</v>
      </c>
      <c r="F1324" s="2">
        <v>3669</v>
      </c>
      <c r="G1324" t="s">
        <v>19</v>
      </c>
      <c r="H1324" s="4">
        <f t="shared" si="360"/>
        <v>0.5137784540236352</v>
      </c>
    </row>
    <row r="1325" spans="1:8" x14ac:dyDescent="0.3">
      <c r="A1325" t="s">
        <v>11</v>
      </c>
      <c r="B1325" s="3">
        <v>45284</v>
      </c>
      <c r="C1325">
        <f t="shared" si="349"/>
        <v>24</v>
      </c>
      <c r="D1325">
        <f t="shared" si="350"/>
        <v>12</v>
      </c>
      <c r="E1325">
        <f t="shared" si="351"/>
        <v>2023</v>
      </c>
      <c r="F1325" s="2">
        <v>3262</v>
      </c>
      <c r="G1325" t="s">
        <v>19</v>
      </c>
      <c r="H1325" s="4">
        <f t="shared" si="360"/>
        <v>0.5137784540236352</v>
      </c>
    </row>
    <row r="1326" spans="1:8" x14ac:dyDescent="0.3">
      <c r="A1326" t="s">
        <v>12</v>
      </c>
      <c r="B1326" s="3">
        <v>45285</v>
      </c>
      <c r="C1326">
        <f t="shared" si="349"/>
        <v>25</v>
      </c>
      <c r="D1326">
        <f t="shared" si="350"/>
        <v>12</v>
      </c>
      <c r="E1326">
        <f t="shared" si="351"/>
        <v>2023</v>
      </c>
      <c r="F1326" s="2">
        <v>642</v>
      </c>
      <c r="G1326" s="2" t="s">
        <v>19</v>
      </c>
      <c r="H1326" s="4">
        <f t="shared" si="360"/>
        <v>0.5137784540236352</v>
      </c>
    </row>
    <row r="1327" spans="1:8" x14ac:dyDescent="0.3">
      <c r="A1327" t="s">
        <v>5</v>
      </c>
      <c r="B1327" s="3">
        <v>45285</v>
      </c>
      <c r="C1327">
        <f t="shared" si="349"/>
        <v>25</v>
      </c>
      <c r="D1327">
        <f t="shared" si="350"/>
        <v>12</v>
      </c>
      <c r="E1327">
        <f t="shared" si="351"/>
        <v>2023</v>
      </c>
      <c r="F1327" s="2">
        <v>3212</v>
      </c>
      <c r="G1327" t="s">
        <v>18</v>
      </c>
      <c r="H1327" s="4">
        <f t="shared" ref="H1327:H1328" si="361">SUMIFS($F$2:$F$2739,$G$2:$G$2739,"Annual Contract",$E$2:$E$2739,2023)/SUMIF($E$2:$E$2739,2023,$F$2:$F$2739)</f>
        <v>0.27687421727474026</v>
      </c>
    </row>
    <row r="1328" spans="1:8" x14ac:dyDescent="0.3">
      <c r="A1328" t="s">
        <v>5</v>
      </c>
      <c r="B1328" s="3">
        <v>45285</v>
      </c>
      <c r="C1328">
        <f t="shared" si="349"/>
        <v>25</v>
      </c>
      <c r="D1328">
        <f t="shared" si="350"/>
        <v>12</v>
      </c>
      <c r="E1328">
        <f t="shared" si="351"/>
        <v>2023</v>
      </c>
      <c r="F1328" s="2">
        <v>1580</v>
      </c>
      <c r="G1328" t="s">
        <v>18</v>
      </c>
      <c r="H1328" s="4">
        <f t="shared" si="361"/>
        <v>0.27687421727474026</v>
      </c>
    </row>
    <row r="1329" spans="1:8" x14ac:dyDescent="0.3">
      <c r="A1329" t="s">
        <v>11</v>
      </c>
      <c r="B1329" s="3">
        <v>45285</v>
      </c>
      <c r="C1329">
        <f t="shared" si="349"/>
        <v>25</v>
      </c>
      <c r="D1329">
        <f t="shared" si="350"/>
        <v>12</v>
      </c>
      <c r="E1329">
        <f t="shared" si="351"/>
        <v>2023</v>
      </c>
      <c r="F1329" s="2">
        <v>2124</v>
      </c>
      <c r="G1329" t="s">
        <v>19</v>
      </c>
      <c r="H1329" s="4">
        <f t="shared" ref="H1329:H1330" si="362">SUMIFS($F$2:$F$2739,$G$2:$G$2739,"Multi-year Contract",$E$2:$E$2739,2023)/SUMIF($E$2:$E$2739,2023,$F$2:$F$2739)</f>
        <v>0.5137784540236352</v>
      </c>
    </row>
    <row r="1330" spans="1:8" x14ac:dyDescent="0.3">
      <c r="A1330" t="s">
        <v>12</v>
      </c>
      <c r="B1330" s="3">
        <v>45285</v>
      </c>
      <c r="C1330">
        <f t="shared" si="349"/>
        <v>25</v>
      </c>
      <c r="D1330">
        <f t="shared" si="350"/>
        <v>12</v>
      </c>
      <c r="E1330">
        <f t="shared" si="351"/>
        <v>2023</v>
      </c>
      <c r="F1330" s="2">
        <v>1360</v>
      </c>
      <c r="G1330" s="2" t="s">
        <v>19</v>
      </c>
      <c r="H1330" s="4">
        <f t="shared" si="362"/>
        <v>0.5137784540236352</v>
      </c>
    </row>
    <row r="1331" spans="1:8" x14ac:dyDescent="0.3">
      <c r="A1331" t="s">
        <v>5</v>
      </c>
      <c r="B1331" s="3">
        <v>45286</v>
      </c>
      <c r="C1331">
        <f t="shared" si="349"/>
        <v>26</v>
      </c>
      <c r="D1331">
        <f t="shared" si="350"/>
        <v>12</v>
      </c>
      <c r="E1331">
        <f t="shared" si="351"/>
        <v>2023</v>
      </c>
      <c r="F1331" s="2">
        <v>1141</v>
      </c>
      <c r="G1331" t="s">
        <v>18</v>
      </c>
      <c r="H1331" s="4">
        <f>SUMIFS($F$2:$F$2739,$G$2:$G$2739,"Annual Contract",$E$2:$E$2739,2023)/SUMIF($E$2:$E$2739,2023,$F$2:$F$2739)</f>
        <v>0.27687421727474026</v>
      </c>
    </row>
    <row r="1332" spans="1:8" x14ac:dyDescent="0.3">
      <c r="A1332" t="s">
        <v>9</v>
      </c>
      <c r="B1332" s="3">
        <v>45286</v>
      </c>
      <c r="C1332">
        <f t="shared" si="349"/>
        <v>26</v>
      </c>
      <c r="D1332">
        <f t="shared" si="350"/>
        <v>12</v>
      </c>
      <c r="E1332">
        <f t="shared" si="351"/>
        <v>2023</v>
      </c>
      <c r="F1332" s="2">
        <v>3626</v>
      </c>
      <c r="G1332" t="s">
        <v>17</v>
      </c>
      <c r="H1332" s="4">
        <f t="shared" ref="H1332:H1333" si="363">SUMIFS($F$2:$F$2739,$G$2:$G$2739,"No Contract",$E$2:$E$2739,2023)/SUMIF($E$2:$E$2739,2023,$F$2:$F$2739)</f>
        <v>0.20934732870162456</v>
      </c>
    </row>
    <row r="1333" spans="1:8" x14ac:dyDescent="0.3">
      <c r="A1333" t="s">
        <v>7</v>
      </c>
      <c r="B1333" s="3">
        <v>45287</v>
      </c>
      <c r="C1333">
        <f t="shared" si="349"/>
        <v>27</v>
      </c>
      <c r="D1333">
        <f t="shared" si="350"/>
        <v>12</v>
      </c>
      <c r="E1333">
        <f t="shared" si="351"/>
        <v>2023</v>
      </c>
      <c r="F1333" s="2">
        <v>3078</v>
      </c>
      <c r="G1333" t="s">
        <v>17</v>
      </c>
      <c r="H1333" s="4">
        <f t="shared" si="363"/>
        <v>0.20934732870162456</v>
      </c>
    </row>
    <row r="1334" spans="1:8" x14ac:dyDescent="0.3">
      <c r="A1334" t="s">
        <v>11</v>
      </c>
      <c r="B1334" s="3">
        <v>45287</v>
      </c>
      <c r="C1334">
        <f t="shared" si="349"/>
        <v>27</v>
      </c>
      <c r="D1334">
        <f t="shared" si="350"/>
        <v>12</v>
      </c>
      <c r="E1334">
        <f t="shared" si="351"/>
        <v>2023</v>
      </c>
      <c r="F1334" s="2">
        <v>1399</v>
      </c>
      <c r="G1334" t="s">
        <v>19</v>
      </c>
      <c r="H1334" s="4">
        <f>SUMIFS($F$2:$F$2739,$G$2:$G$2739,"Multi-year Contract",$E$2:$E$2739,2023)/SUMIF($E$2:$E$2739,2023,$F$2:$F$2739)</f>
        <v>0.5137784540236352</v>
      </c>
    </row>
    <row r="1335" spans="1:8" x14ac:dyDescent="0.3">
      <c r="A1335" t="s">
        <v>8</v>
      </c>
      <c r="B1335" s="3">
        <v>45288</v>
      </c>
      <c r="C1335">
        <f t="shared" si="349"/>
        <v>28</v>
      </c>
      <c r="D1335">
        <f t="shared" si="350"/>
        <v>12</v>
      </c>
      <c r="E1335">
        <f t="shared" si="351"/>
        <v>2023</v>
      </c>
      <c r="F1335" s="2">
        <v>1444</v>
      </c>
      <c r="G1335" s="2" t="s">
        <v>18</v>
      </c>
      <c r="H1335" s="4">
        <f>SUMIFS($F$2:$F$2739,$G$2:$G$2739,"Annual Contract",$E$2:$E$2739,2023)/SUMIF($E$2:$E$2739,2023,$F$2:$F$2739)</f>
        <v>0.27687421727474026</v>
      </c>
    </row>
    <row r="1336" spans="1:8" x14ac:dyDescent="0.3">
      <c r="A1336" t="s">
        <v>9</v>
      </c>
      <c r="B1336" s="3">
        <v>45288</v>
      </c>
      <c r="C1336">
        <f t="shared" si="349"/>
        <v>28</v>
      </c>
      <c r="D1336">
        <f t="shared" si="350"/>
        <v>12</v>
      </c>
      <c r="E1336">
        <f t="shared" si="351"/>
        <v>2023</v>
      </c>
      <c r="F1336" s="2">
        <v>3195</v>
      </c>
      <c r="G1336" t="s">
        <v>17</v>
      </c>
      <c r="H1336" s="4">
        <f>SUMIFS($F$2:$F$2739,$G$2:$G$2739,"No Contract",$E$2:$E$2739,2023)/SUMIF($E$2:$E$2739,2023,$F$2:$F$2739)</f>
        <v>0.20934732870162456</v>
      </c>
    </row>
    <row r="1337" spans="1:8" x14ac:dyDescent="0.3">
      <c r="A1337" t="s">
        <v>4</v>
      </c>
      <c r="B1337" s="3">
        <v>45288</v>
      </c>
      <c r="C1337">
        <f t="shared" si="349"/>
        <v>28</v>
      </c>
      <c r="D1337">
        <f t="shared" si="350"/>
        <v>12</v>
      </c>
      <c r="E1337">
        <f t="shared" si="351"/>
        <v>2023</v>
      </c>
      <c r="F1337" s="2">
        <v>1257</v>
      </c>
      <c r="G1337" s="2" t="s">
        <v>19</v>
      </c>
      <c r="H1337" s="4">
        <f t="shared" ref="H1337:H1342" si="364">SUMIFS($F$2:$F$2739,$G$2:$G$2739,"Multi-year Contract",$E$2:$E$2739,2023)/SUMIF($E$2:$E$2739,2023,$F$2:$F$2739)</f>
        <v>0.5137784540236352</v>
      </c>
    </row>
    <row r="1338" spans="1:8" x14ac:dyDescent="0.3">
      <c r="A1338" t="s">
        <v>11</v>
      </c>
      <c r="B1338" s="3">
        <v>45288</v>
      </c>
      <c r="C1338">
        <f t="shared" si="349"/>
        <v>28</v>
      </c>
      <c r="D1338">
        <f t="shared" si="350"/>
        <v>12</v>
      </c>
      <c r="E1338">
        <f t="shared" si="351"/>
        <v>2023</v>
      </c>
      <c r="F1338" s="2">
        <v>2917</v>
      </c>
      <c r="G1338" t="s">
        <v>19</v>
      </c>
      <c r="H1338" s="4">
        <f t="shared" si="364"/>
        <v>0.5137784540236352</v>
      </c>
    </row>
    <row r="1339" spans="1:8" x14ac:dyDescent="0.3">
      <c r="A1339" t="s">
        <v>3</v>
      </c>
      <c r="B1339" s="3">
        <v>45288</v>
      </c>
      <c r="C1339">
        <f t="shared" si="349"/>
        <v>28</v>
      </c>
      <c r="D1339">
        <f t="shared" si="350"/>
        <v>12</v>
      </c>
      <c r="E1339">
        <f t="shared" si="351"/>
        <v>2023</v>
      </c>
      <c r="F1339" s="2">
        <v>2358</v>
      </c>
      <c r="G1339" t="s">
        <v>19</v>
      </c>
      <c r="H1339" s="4">
        <f t="shared" si="364"/>
        <v>0.5137784540236352</v>
      </c>
    </row>
    <row r="1340" spans="1:8" x14ac:dyDescent="0.3">
      <c r="A1340" t="s">
        <v>3</v>
      </c>
      <c r="B1340" s="3">
        <v>45289</v>
      </c>
      <c r="C1340">
        <f t="shared" si="349"/>
        <v>29</v>
      </c>
      <c r="D1340">
        <f t="shared" si="350"/>
        <v>12</v>
      </c>
      <c r="E1340">
        <f t="shared" si="351"/>
        <v>2023</v>
      </c>
      <c r="F1340" s="2">
        <v>2553</v>
      </c>
      <c r="G1340" t="s">
        <v>19</v>
      </c>
      <c r="H1340" s="4">
        <f t="shared" si="364"/>
        <v>0.5137784540236352</v>
      </c>
    </row>
    <row r="1341" spans="1:8" x14ac:dyDescent="0.3">
      <c r="A1341" t="s">
        <v>10</v>
      </c>
      <c r="B1341" s="3">
        <v>45289</v>
      </c>
      <c r="C1341">
        <f t="shared" si="349"/>
        <v>29</v>
      </c>
      <c r="D1341">
        <f t="shared" si="350"/>
        <v>12</v>
      </c>
      <c r="E1341">
        <f t="shared" si="351"/>
        <v>2023</v>
      </c>
      <c r="F1341" s="2">
        <v>2343</v>
      </c>
      <c r="G1341" t="s">
        <v>19</v>
      </c>
      <c r="H1341" s="4">
        <f t="shared" si="364"/>
        <v>0.5137784540236352</v>
      </c>
    </row>
    <row r="1342" spans="1:8" x14ac:dyDescent="0.3">
      <c r="A1342" t="s">
        <v>11</v>
      </c>
      <c r="B1342" s="3">
        <v>45289</v>
      </c>
      <c r="C1342">
        <f t="shared" si="349"/>
        <v>29</v>
      </c>
      <c r="D1342">
        <f t="shared" si="350"/>
        <v>12</v>
      </c>
      <c r="E1342">
        <f t="shared" si="351"/>
        <v>2023</v>
      </c>
      <c r="F1342" s="2">
        <v>2831</v>
      </c>
      <c r="G1342" t="s">
        <v>19</v>
      </c>
      <c r="H1342" s="4">
        <f t="shared" si="364"/>
        <v>0.5137784540236352</v>
      </c>
    </row>
    <row r="1343" spans="1:8" x14ac:dyDescent="0.3">
      <c r="A1343" t="s">
        <v>7</v>
      </c>
      <c r="B1343" s="3">
        <v>45290</v>
      </c>
      <c r="C1343">
        <f t="shared" si="349"/>
        <v>30</v>
      </c>
      <c r="D1343">
        <f t="shared" si="350"/>
        <v>12</v>
      </c>
      <c r="E1343">
        <f t="shared" si="351"/>
        <v>2023</v>
      </c>
      <c r="F1343" s="2">
        <v>2094</v>
      </c>
      <c r="G1343" t="s">
        <v>17</v>
      </c>
      <c r="H1343" s="4">
        <f t="shared" ref="H1343:H1344" si="365">SUMIFS($F$2:$F$2739,$G$2:$G$2739,"No Contract",$E$2:$E$2739,2023)/SUMIF($E$2:$E$2739,2023,$F$2:$F$2739)</f>
        <v>0.20934732870162456</v>
      </c>
    </row>
    <row r="1344" spans="1:8" x14ac:dyDescent="0.3">
      <c r="A1344" t="s">
        <v>9</v>
      </c>
      <c r="B1344" s="3">
        <v>45290</v>
      </c>
      <c r="C1344">
        <f t="shared" si="349"/>
        <v>30</v>
      </c>
      <c r="D1344">
        <f t="shared" si="350"/>
        <v>12</v>
      </c>
      <c r="E1344">
        <f t="shared" si="351"/>
        <v>2023</v>
      </c>
      <c r="F1344" s="2">
        <v>1333</v>
      </c>
      <c r="G1344" t="s">
        <v>17</v>
      </c>
      <c r="H1344" s="4">
        <f t="shared" si="365"/>
        <v>0.20934732870162456</v>
      </c>
    </row>
    <row r="1345" spans="1:9" x14ac:dyDescent="0.3">
      <c r="A1345" t="s">
        <v>12</v>
      </c>
      <c r="B1345" s="3">
        <v>45290</v>
      </c>
      <c r="C1345">
        <f t="shared" si="349"/>
        <v>30</v>
      </c>
      <c r="D1345">
        <f t="shared" si="350"/>
        <v>12</v>
      </c>
      <c r="E1345">
        <f t="shared" si="351"/>
        <v>2023</v>
      </c>
      <c r="F1345" s="2">
        <v>1982</v>
      </c>
      <c r="G1345" s="2" t="s">
        <v>19</v>
      </c>
      <c r="H1345" s="4">
        <f t="shared" ref="H1345:H1346" si="366">SUMIFS($F$2:$F$2739,$G$2:$G$2739,"Multi-year Contract",$E$2:$E$2739,2023)/SUMIF($E$2:$E$2739,2023,$F$2:$F$2739)</f>
        <v>0.5137784540236352</v>
      </c>
    </row>
    <row r="1346" spans="1:9" x14ac:dyDescent="0.3">
      <c r="A1346" t="s">
        <v>11</v>
      </c>
      <c r="B1346" s="3">
        <v>45290</v>
      </c>
      <c r="C1346">
        <f t="shared" si="349"/>
        <v>30</v>
      </c>
      <c r="D1346">
        <f t="shared" si="350"/>
        <v>12</v>
      </c>
      <c r="E1346">
        <f t="shared" si="351"/>
        <v>2023</v>
      </c>
      <c r="F1346" s="2">
        <v>1641</v>
      </c>
      <c r="G1346" t="s">
        <v>19</v>
      </c>
      <c r="H1346" s="4">
        <f t="shared" si="366"/>
        <v>0.5137784540236352</v>
      </c>
    </row>
    <row r="1347" spans="1:9" x14ac:dyDescent="0.3">
      <c r="A1347" t="s">
        <v>9</v>
      </c>
      <c r="B1347" s="3">
        <v>45291</v>
      </c>
      <c r="C1347">
        <f t="shared" ref="C1347:C1410" si="367">DAY(B1347)</f>
        <v>31</v>
      </c>
      <c r="D1347">
        <f t="shared" ref="D1347:D1410" si="368">MONTH(B1347)</f>
        <v>12</v>
      </c>
      <c r="E1347">
        <f t="shared" ref="E1347:E1410" si="369">YEAR(B1347)</f>
        <v>2023</v>
      </c>
      <c r="F1347" s="2">
        <v>1501</v>
      </c>
      <c r="G1347" t="s">
        <v>17</v>
      </c>
      <c r="H1347" s="4">
        <f>SUMIFS($F$2:$F$2739,$G$2:$G$2739,"No Contract",$E$2:$E$2739,2023)/SUMIF($E$2:$E$2739,2023,$F$2:$F$2739)</f>
        <v>0.20934732870162456</v>
      </c>
    </row>
    <row r="1348" spans="1:9" x14ac:dyDescent="0.3">
      <c r="A1348" t="s">
        <v>5</v>
      </c>
      <c r="B1348" s="3">
        <v>45291</v>
      </c>
      <c r="C1348">
        <f t="shared" si="367"/>
        <v>31</v>
      </c>
      <c r="D1348">
        <f t="shared" si="368"/>
        <v>12</v>
      </c>
      <c r="E1348">
        <f t="shared" si="369"/>
        <v>2023</v>
      </c>
      <c r="F1348" s="2">
        <v>969</v>
      </c>
      <c r="G1348" t="s">
        <v>18</v>
      </c>
      <c r="H1348" s="4">
        <f>SUMIFS($F$2:$F$2739,$G$2:$G$2739,"Annual Contract",$E$2:$E$2739,2023)/SUMIF($E$2:$E$2739,2023,$F$2:$F$2739)</f>
        <v>0.27687421727474026</v>
      </c>
    </row>
    <row r="1349" spans="1:9" x14ac:dyDescent="0.3">
      <c r="A1349" t="s">
        <v>11</v>
      </c>
      <c r="B1349" s="3">
        <v>45291</v>
      </c>
      <c r="C1349">
        <f t="shared" si="367"/>
        <v>31</v>
      </c>
      <c r="D1349">
        <f t="shared" si="368"/>
        <v>12</v>
      </c>
      <c r="E1349">
        <f t="shared" si="369"/>
        <v>2023</v>
      </c>
      <c r="F1349" s="2">
        <v>3377</v>
      </c>
      <c r="G1349" t="s">
        <v>19</v>
      </c>
      <c r="H1349" s="4">
        <f>SUMIFS($F$2:$F$2739,$G$2:$G$2739,"Multi-year Contract",$E$2:$E$2739,2023)/SUMIF($E$2:$E$2739,2023,$F$2:$F$2739)</f>
        <v>0.5137784540236352</v>
      </c>
    </row>
    <row r="1350" spans="1:9" x14ac:dyDescent="0.3">
      <c r="A1350" t="s">
        <v>8</v>
      </c>
      <c r="B1350" s="3">
        <v>45291</v>
      </c>
      <c r="C1350">
        <f t="shared" si="367"/>
        <v>31</v>
      </c>
      <c r="D1350">
        <f t="shared" si="368"/>
        <v>12</v>
      </c>
      <c r="E1350">
        <f t="shared" si="369"/>
        <v>2023</v>
      </c>
      <c r="F1350" s="2">
        <v>2623</v>
      </c>
      <c r="G1350" s="2" t="s">
        <v>18</v>
      </c>
      <c r="H1350" s="4">
        <f>SUMIFS($F$2:$F$2739,$G$2:$G$2739,"Annual Contract",$E$2:$E$2739,2023)/SUMIF($E$2:$E$2739,2023,$F$2:$F$2739)</f>
        <v>0.27687421727474026</v>
      </c>
    </row>
    <row r="1351" spans="1:9" x14ac:dyDescent="0.3">
      <c r="A1351" t="s">
        <v>11</v>
      </c>
      <c r="B1351" s="3">
        <v>45291</v>
      </c>
      <c r="C1351">
        <f t="shared" si="367"/>
        <v>31</v>
      </c>
      <c r="D1351">
        <f t="shared" si="368"/>
        <v>12</v>
      </c>
      <c r="E1351">
        <f t="shared" si="369"/>
        <v>2023</v>
      </c>
      <c r="F1351" s="2">
        <v>3450</v>
      </c>
      <c r="G1351" t="s">
        <v>19</v>
      </c>
      <c r="H1351" s="4">
        <f>SUMIFS($F$2:$F$2739,$G$2:$G$2739,"Multi-year Contract",$E$2:$E$2739,2023)/SUMIF($E$2:$E$2739,2023,$F$2:$F$2739)</f>
        <v>0.5137784540236352</v>
      </c>
    </row>
    <row r="1352" spans="1:9" x14ac:dyDescent="0.3">
      <c r="A1352" t="s">
        <v>4</v>
      </c>
      <c r="B1352" s="3">
        <v>45292</v>
      </c>
      <c r="C1352">
        <f t="shared" si="367"/>
        <v>1</v>
      </c>
      <c r="D1352">
        <f t="shared" si="368"/>
        <v>1</v>
      </c>
      <c r="E1352">
        <f t="shared" si="369"/>
        <v>2024</v>
      </c>
      <c r="F1352" s="2">
        <v>3807</v>
      </c>
      <c r="G1352" s="2" t="s">
        <v>19</v>
      </c>
      <c r="I1352" s="4">
        <f>SUMIFS($F$2:$F$2739,$G$2:$G$2739,"Multi-year Contract",$E$2:$E$2739,2024)/SUMIF($E$2:$E$2739,2024,$F$2:$F$2739)</f>
        <v>0.71222648320847215</v>
      </c>
    </row>
    <row r="1353" spans="1:9" x14ac:dyDescent="0.3">
      <c r="A1353" t="s">
        <v>5</v>
      </c>
      <c r="B1353" s="3">
        <v>45292</v>
      </c>
      <c r="C1353">
        <f t="shared" si="367"/>
        <v>1</v>
      </c>
      <c r="D1353">
        <f t="shared" si="368"/>
        <v>1</v>
      </c>
      <c r="E1353">
        <f t="shared" si="369"/>
        <v>2024</v>
      </c>
      <c r="F1353" s="2">
        <v>2381</v>
      </c>
      <c r="G1353" t="s">
        <v>19</v>
      </c>
      <c r="I1353" s="4">
        <f>SUMIFS($F$2:$F$2739,$G$2:$G$2739,"Multi-year Contract",$E$2:$E$2739,2024)/SUMIF($E$2:$E$2739,2024,$F$2:$F$2739)</f>
        <v>0.71222648320847215</v>
      </c>
    </row>
    <row r="1354" spans="1:9" x14ac:dyDescent="0.3">
      <c r="A1354" t="s">
        <v>7</v>
      </c>
      <c r="B1354" s="3">
        <v>45292</v>
      </c>
      <c r="C1354">
        <f t="shared" si="367"/>
        <v>1</v>
      </c>
      <c r="D1354">
        <f t="shared" si="368"/>
        <v>1</v>
      </c>
      <c r="E1354">
        <f t="shared" si="369"/>
        <v>2024</v>
      </c>
      <c r="F1354" s="2">
        <v>1188</v>
      </c>
      <c r="G1354" t="s">
        <v>17</v>
      </c>
      <c r="I1354" s="4">
        <f>SUMIFS($F$2:$F$2739,$G$2:$G$2739,"No Contract",$E$2:$E$2739,2024)/SUMIF($E$2:$E$2739,2024,$F$2:$F$2739)</f>
        <v>9.576924485808011E-2</v>
      </c>
    </row>
    <row r="1355" spans="1:9" x14ac:dyDescent="0.3">
      <c r="A1355" t="s">
        <v>7</v>
      </c>
      <c r="B1355" s="3">
        <v>45293</v>
      </c>
      <c r="C1355">
        <f t="shared" si="367"/>
        <v>2</v>
      </c>
      <c r="D1355">
        <f t="shared" si="368"/>
        <v>1</v>
      </c>
      <c r="E1355">
        <f t="shared" si="369"/>
        <v>2024</v>
      </c>
      <c r="F1355" s="2">
        <v>1072</v>
      </c>
      <c r="G1355" t="s">
        <v>17</v>
      </c>
      <c r="I1355" s="4">
        <f>SUMIFS($F$2:$F$2739,$G$2:$G$2739,"No Contract",$E$2:$E$2739,2024)/SUMIF($E$2:$E$2739,2024,$F$2:$F$2739)</f>
        <v>9.576924485808011E-2</v>
      </c>
    </row>
    <row r="1356" spans="1:9" x14ac:dyDescent="0.3">
      <c r="A1356" t="s">
        <v>6</v>
      </c>
      <c r="B1356" s="3">
        <v>45293</v>
      </c>
      <c r="C1356">
        <f t="shared" si="367"/>
        <v>2</v>
      </c>
      <c r="D1356">
        <f t="shared" si="368"/>
        <v>1</v>
      </c>
      <c r="E1356">
        <f t="shared" si="369"/>
        <v>2024</v>
      </c>
      <c r="F1356" s="2">
        <v>640</v>
      </c>
      <c r="G1356" t="s">
        <v>18</v>
      </c>
      <c r="I1356" s="4">
        <f>SUMIFS($F$2:$F$2739,$G$2:$G$2739,"Annual Contract",$E$2:$E$2739,2024)/SUMIF($E$2:$E$2739,2024,$F$2:$F$2739)</f>
        <v>0.19200427193344777</v>
      </c>
    </row>
    <row r="1357" spans="1:9" x14ac:dyDescent="0.3">
      <c r="A1357" t="s">
        <v>10</v>
      </c>
      <c r="B1357" s="3">
        <v>45294</v>
      </c>
      <c r="C1357">
        <f t="shared" si="367"/>
        <v>3</v>
      </c>
      <c r="D1357">
        <f t="shared" si="368"/>
        <v>1</v>
      </c>
      <c r="E1357">
        <f t="shared" si="369"/>
        <v>2024</v>
      </c>
      <c r="F1357" s="2">
        <v>2047</v>
      </c>
      <c r="G1357" t="s">
        <v>19</v>
      </c>
      <c r="I1357" s="4">
        <f t="shared" ref="I1357:I1359" si="370">SUMIFS($F$2:$F$2739,$G$2:$G$2739,"Multi-year Contract",$E$2:$E$2739,2024)/SUMIF($E$2:$E$2739,2024,$F$2:$F$2739)</f>
        <v>0.71222648320847215</v>
      </c>
    </row>
    <row r="1358" spans="1:9" x14ac:dyDescent="0.3">
      <c r="A1358" t="s">
        <v>8</v>
      </c>
      <c r="B1358" s="3">
        <v>45294</v>
      </c>
      <c r="C1358">
        <f t="shared" si="367"/>
        <v>3</v>
      </c>
      <c r="D1358">
        <f t="shared" si="368"/>
        <v>1</v>
      </c>
      <c r="E1358">
        <f t="shared" si="369"/>
        <v>2024</v>
      </c>
      <c r="F1358" s="2">
        <v>2125</v>
      </c>
      <c r="G1358" s="2" t="s">
        <v>19</v>
      </c>
      <c r="I1358" s="4">
        <f t="shared" si="370"/>
        <v>0.71222648320847215</v>
      </c>
    </row>
    <row r="1359" spans="1:9" x14ac:dyDescent="0.3">
      <c r="A1359" t="s">
        <v>12</v>
      </c>
      <c r="B1359" s="3">
        <v>45294</v>
      </c>
      <c r="C1359">
        <f t="shared" si="367"/>
        <v>3</v>
      </c>
      <c r="D1359">
        <f t="shared" si="368"/>
        <v>1</v>
      </c>
      <c r="E1359">
        <f t="shared" si="369"/>
        <v>2024</v>
      </c>
      <c r="F1359" s="2">
        <v>3522</v>
      </c>
      <c r="G1359" s="2" t="s">
        <v>19</v>
      </c>
      <c r="I1359" s="4">
        <f t="shared" si="370"/>
        <v>0.71222648320847215</v>
      </c>
    </row>
    <row r="1360" spans="1:9" x14ac:dyDescent="0.3">
      <c r="A1360" t="s">
        <v>6</v>
      </c>
      <c r="B1360" s="3">
        <v>45295</v>
      </c>
      <c r="C1360">
        <f t="shared" si="367"/>
        <v>4</v>
      </c>
      <c r="D1360">
        <f t="shared" si="368"/>
        <v>1</v>
      </c>
      <c r="E1360">
        <f t="shared" si="369"/>
        <v>2024</v>
      </c>
      <c r="F1360" s="2">
        <v>2343</v>
      </c>
      <c r="G1360" t="s">
        <v>18</v>
      </c>
      <c r="I1360" s="4">
        <f>SUMIFS($F$2:$F$2739,$G$2:$G$2739,"Annual Contract",$E$2:$E$2739,2024)/SUMIF($E$2:$E$2739,2024,$F$2:$F$2739)</f>
        <v>0.19200427193344777</v>
      </c>
    </row>
    <row r="1361" spans="1:9" x14ac:dyDescent="0.3">
      <c r="A1361" t="s">
        <v>12</v>
      </c>
      <c r="B1361" s="3">
        <v>45295</v>
      </c>
      <c r="C1361">
        <f t="shared" si="367"/>
        <v>4</v>
      </c>
      <c r="D1361">
        <f t="shared" si="368"/>
        <v>1</v>
      </c>
      <c r="E1361">
        <f t="shared" si="369"/>
        <v>2024</v>
      </c>
      <c r="F1361" s="2">
        <v>682</v>
      </c>
      <c r="G1361" s="2" t="s">
        <v>19</v>
      </c>
      <c r="I1361" s="4">
        <f>SUMIFS($F$2:$F$2739,$G$2:$G$2739,"Multi-year Contract",$E$2:$E$2739,2024)/SUMIF($E$2:$E$2739,2024,$F$2:$F$2739)</f>
        <v>0.71222648320847215</v>
      </c>
    </row>
    <row r="1362" spans="1:9" x14ac:dyDescent="0.3">
      <c r="A1362" t="s">
        <v>9</v>
      </c>
      <c r="B1362" s="3">
        <v>45295</v>
      </c>
      <c r="C1362">
        <f t="shared" si="367"/>
        <v>4</v>
      </c>
      <c r="D1362">
        <f t="shared" si="368"/>
        <v>1</v>
      </c>
      <c r="E1362">
        <f t="shared" si="369"/>
        <v>2024</v>
      </c>
      <c r="F1362" s="2">
        <v>3875</v>
      </c>
      <c r="G1362" t="s">
        <v>18</v>
      </c>
      <c r="I1362" s="4">
        <f>SUMIFS($F$2:$F$2739,$G$2:$G$2739,"Annual Contract",$E$2:$E$2739,2024)/SUMIF($E$2:$E$2739,2024,$F$2:$F$2739)</f>
        <v>0.19200427193344777</v>
      </c>
    </row>
    <row r="1363" spans="1:9" x14ac:dyDescent="0.3">
      <c r="A1363" t="s">
        <v>10</v>
      </c>
      <c r="B1363" s="3">
        <v>45295</v>
      </c>
      <c r="C1363">
        <f t="shared" si="367"/>
        <v>4</v>
      </c>
      <c r="D1363">
        <f t="shared" si="368"/>
        <v>1</v>
      </c>
      <c r="E1363">
        <f t="shared" si="369"/>
        <v>2024</v>
      </c>
      <c r="F1363" s="2">
        <v>3712</v>
      </c>
      <c r="G1363" t="s">
        <v>19</v>
      </c>
      <c r="I1363" s="4">
        <f>SUMIFS($F$2:$F$2739,$G$2:$G$2739,"Multi-year Contract",$E$2:$E$2739,2024)/SUMIF($E$2:$E$2739,2024,$F$2:$F$2739)</f>
        <v>0.71222648320847215</v>
      </c>
    </row>
    <row r="1364" spans="1:9" x14ac:dyDescent="0.3">
      <c r="A1364" t="s">
        <v>9</v>
      </c>
      <c r="B1364" s="3">
        <v>45295</v>
      </c>
      <c r="C1364">
        <f t="shared" si="367"/>
        <v>4</v>
      </c>
      <c r="D1364">
        <f t="shared" si="368"/>
        <v>1</v>
      </c>
      <c r="E1364">
        <f t="shared" si="369"/>
        <v>2024</v>
      </c>
      <c r="F1364" s="2">
        <v>3299</v>
      </c>
      <c r="G1364" t="s">
        <v>18</v>
      </c>
      <c r="I1364" s="4">
        <f>SUMIFS($F$2:$F$2739,$G$2:$G$2739,"Annual Contract",$E$2:$E$2739,2024)/SUMIF($E$2:$E$2739,2024,$F$2:$F$2739)</f>
        <v>0.19200427193344777</v>
      </c>
    </row>
    <row r="1365" spans="1:9" x14ac:dyDescent="0.3">
      <c r="A1365" t="s">
        <v>12</v>
      </c>
      <c r="B1365" s="3">
        <v>45296</v>
      </c>
      <c r="C1365">
        <f t="shared" si="367"/>
        <v>5</v>
      </c>
      <c r="D1365">
        <f t="shared" si="368"/>
        <v>1</v>
      </c>
      <c r="E1365">
        <f t="shared" si="369"/>
        <v>2024</v>
      </c>
      <c r="F1365" s="2">
        <v>3911</v>
      </c>
      <c r="G1365" s="2" t="s">
        <v>19</v>
      </c>
      <c r="I1365" s="4">
        <f>SUMIFS($F$2:$F$2739,$G$2:$G$2739,"Multi-year Contract",$E$2:$E$2739,2024)/SUMIF($E$2:$E$2739,2024,$F$2:$F$2739)</f>
        <v>0.71222648320847215</v>
      </c>
    </row>
    <row r="1366" spans="1:9" x14ac:dyDescent="0.3">
      <c r="A1366" t="s">
        <v>9</v>
      </c>
      <c r="B1366" s="3">
        <v>45296</v>
      </c>
      <c r="C1366">
        <f t="shared" si="367"/>
        <v>5</v>
      </c>
      <c r="D1366">
        <f t="shared" si="368"/>
        <v>1</v>
      </c>
      <c r="E1366">
        <f t="shared" si="369"/>
        <v>2024</v>
      </c>
      <c r="F1366" s="2">
        <v>1608</v>
      </c>
      <c r="G1366" t="s">
        <v>18</v>
      </c>
      <c r="I1366" s="4">
        <f t="shared" ref="I1366:I1367" si="371">SUMIFS($F$2:$F$2739,$G$2:$G$2739,"Annual Contract",$E$2:$E$2739,2024)/SUMIF($E$2:$E$2739,2024,$F$2:$F$2739)</f>
        <v>0.19200427193344777</v>
      </c>
    </row>
    <row r="1367" spans="1:9" x14ac:dyDescent="0.3">
      <c r="A1367" t="s">
        <v>6</v>
      </c>
      <c r="B1367" s="3">
        <v>45296</v>
      </c>
      <c r="C1367">
        <f t="shared" si="367"/>
        <v>5</v>
      </c>
      <c r="D1367">
        <f t="shared" si="368"/>
        <v>1</v>
      </c>
      <c r="E1367">
        <f t="shared" si="369"/>
        <v>2024</v>
      </c>
      <c r="F1367" s="2">
        <v>2771</v>
      </c>
      <c r="G1367" t="s">
        <v>18</v>
      </c>
      <c r="I1367" s="4">
        <f t="shared" si="371"/>
        <v>0.19200427193344777</v>
      </c>
    </row>
    <row r="1368" spans="1:9" x14ac:dyDescent="0.3">
      <c r="A1368" t="s">
        <v>7</v>
      </c>
      <c r="B1368" s="3">
        <v>45296</v>
      </c>
      <c r="C1368">
        <f t="shared" si="367"/>
        <v>5</v>
      </c>
      <c r="D1368">
        <f t="shared" si="368"/>
        <v>1</v>
      </c>
      <c r="E1368">
        <f t="shared" si="369"/>
        <v>2024</v>
      </c>
      <c r="F1368" s="2">
        <v>621</v>
      </c>
      <c r="G1368" t="s">
        <v>17</v>
      </c>
      <c r="I1368" s="4">
        <f>SUMIFS($F$2:$F$2739,$G$2:$G$2739,"No Contract",$E$2:$E$2739,2024)/SUMIF($E$2:$E$2739,2024,$F$2:$F$2739)</f>
        <v>9.576924485808011E-2</v>
      </c>
    </row>
    <row r="1369" spans="1:9" x14ac:dyDescent="0.3">
      <c r="A1369" t="s">
        <v>6</v>
      </c>
      <c r="B1369" s="3">
        <v>45296</v>
      </c>
      <c r="C1369">
        <f t="shared" si="367"/>
        <v>5</v>
      </c>
      <c r="D1369">
        <f t="shared" si="368"/>
        <v>1</v>
      </c>
      <c r="E1369">
        <f t="shared" si="369"/>
        <v>2024</v>
      </c>
      <c r="F1369" s="2">
        <v>1059</v>
      </c>
      <c r="G1369" t="s">
        <v>18</v>
      </c>
      <c r="I1369" s="4">
        <f>SUMIFS($F$2:$F$2739,$G$2:$G$2739,"Annual Contract",$E$2:$E$2739,2024)/SUMIF($E$2:$E$2739,2024,$F$2:$F$2739)</f>
        <v>0.19200427193344777</v>
      </c>
    </row>
    <row r="1370" spans="1:9" x14ac:dyDescent="0.3">
      <c r="A1370" t="s">
        <v>7</v>
      </c>
      <c r="B1370" s="3">
        <v>45296</v>
      </c>
      <c r="C1370">
        <f t="shared" si="367"/>
        <v>5</v>
      </c>
      <c r="D1370">
        <f t="shared" si="368"/>
        <v>1</v>
      </c>
      <c r="E1370">
        <f t="shared" si="369"/>
        <v>2024</v>
      </c>
      <c r="F1370" s="2">
        <v>1600</v>
      </c>
      <c r="G1370" t="s">
        <v>17</v>
      </c>
      <c r="I1370" s="4">
        <f>SUMIFS($F$2:$F$2739,$G$2:$G$2739,"No Contract",$E$2:$E$2739,2024)/SUMIF($E$2:$E$2739,2024,$F$2:$F$2739)</f>
        <v>9.576924485808011E-2</v>
      </c>
    </row>
    <row r="1371" spans="1:9" x14ac:dyDescent="0.3">
      <c r="A1371" t="s">
        <v>11</v>
      </c>
      <c r="B1371" s="3">
        <v>45297</v>
      </c>
      <c r="C1371">
        <f t="shared" si="367"/>
        <v>6</v>
      </c>
      <c r="D1371">
        <f t="shared" si="368"/>
        <v>1</v>
      </c>
      <c r="E1371">
        <f t="shared" si="369"/>
        <v>2024</v>
      </c>
      <c r="F1371" s="2">
        <v>2170</v>
      </c>
      <c r="G1371" t="s">
        <v>19</v>
      </c>
      <c r="I1371" s="4">
        <f>SUMIFS($F$2:$F$2739,$G$2:$G$2739,"Multi-year Contract",$E$2:$E$2739,2024)/SUMIF($E$2:$E$2739,2024,$F$2:$F$2739)</f>
        <v>0.71222648320847215</v>
      </c>
    </row>
    <row r="1372" spans="1:9" x14ac:dyDescent="0.3">
      <c r="A1372" t="s">
        <v>9</v>
      </c>
      <c r="B1372" s="3">
        <v>45297</v>
      </c>
      <c r="C1372">
        <f t="shared" si="367"/>
        <v>6</v>
      </c>
      <c r="D1372">
        <f t="shared" si="368"/>
        <v>1</v>
      </c>
      <c r="E1372">
        <f t="shared" si="369"/>
        <v>2024</v>
      </c>
      <c r="F1372" s="2">
        <v>1126</v>
      </c>
      <c r="G1372" t="s">
        <v>18</v>
      </c>
      <c r="I1372" s="4">
        <f t="shared" ref="I1372:I1373" si="372">SUMIFS($F$2:$F$2739,$G$2:$G$2739,"Annual Contract",$E$2:$E$2739,2024)/SUMIF($E$2:$E$2739,2024,$F$2:$F$2739)</f>
        <v>0.19200427193344777</v>
      </c>
    </row>
    <row r="1373" spans="1:9" x14ac:dyDescent="0.3">
      <c r="A1373" t="s">
        <v>9</v>
      </c>
      <c r="B1373" s="3">
        <v>45297</v>
      </c>
      <c r="C1373">
        <f t="shared" si="367"/>
        <v>6</v>
      </c>
      <c r="D1373">
        <f t="shared" si="368"/>
        <v>1</v>
      </c>
      <c r="E1373">
        <f t="shared" si="369"/>
        <v>2024</v>
      </c>
      <c r="F1373" s="2">
        <v>605</v>
      </c>
      <c r="G1373" t="s">
        <v>18</v>
      </c>
      <c r="I1373" s="4">
        <f t="shared" si="372"/>
        <v>0.19200427193344777</v>
      </c>
    </row>
    <row r="1374" spans="1:9" x14ac:dyDescent="0.3">
      <c r="A1374" t="s">
        <v>4</v>
      </c>
      <c r="B1374" s="3">
        <v>45297</v>
      </c>
      <c r="C1374">
        <f t="shared" si="367"/>
        <v>6</v>
      </c>
      <c r="D1374">
        <f t="shared" si="368"/>
        <v>1</v>
      </c>
      <c r="E1374">
        <f t="shared" si="369"/>
        <v>2024</v>
      </c>
      <c r="F1374" s="2">
        <v>729</v>
      </c>
      <c r="G1374" s="2" t="s">
        <v>19</v>
      </c>
      <c r="I1374" s="4">
        <f t="shared" ref="I1374:I1377" si="373">SUMIFS($F$2:$F$2739,$G$2:$G$2739,"Multi-year Contract",$E$2:$E$2739,2024)/SUMIF($E$2:$E$2739,2024,$F$2:$F$2739)</f>
        <v>0.71222648320847215</v>
      </c>
    </row>
    <row r="1375" spans="1:9" x14ac:dyDescent="0.3">
      <c r="A1375" t="s">
        <v>12</v>
      </c>
      <c r="B1375" s="3">
        <v>45298</v>
      </c>
      <c r="C1375">
        <f t="shared" si="367"/>
        <v>7</v>
      </c>
      <c r="D1375">
        <f t="shared" si="368"/>
        <v>1</v>
      </c>
      <c r="E1375">
        <f t="shared" si="369"/>
        <v>2024</v>
      </c>
      <c r="F1375" s="2">
        <v>2706</v>
      </c>
      <c r="G1375" s="2" t="s">
        <v>19</v>
      </c>
      <c r="I1375" s="4">
        <f t="shared" si="373"/>
        <v>0.71222648320847215</v>
      </c>
    </row>
    <row r="1376" spans="1:9" x14ac:dyDescent="0.3">
      <c r="A1376" t="s">
        <v>12</v>
      </c>
      <c r="B1376" s="3">
        <v>45298</v>
      </c>
      <c r="C1376">
        <f t="shared" si="367"/>
        <v>7</v>
      </c>
      <c r="D1376">
        <f t="shared" si="368"/>
        <v>1</v>
      </c>
      <c r="E1376">
        <f t="shared" si="369"/>
        <v>2024</v>
      </c>
      <c r="F1376" s="2">
        <v>2138</v>
      </c>
      <c r="G1376" s="2" t="s">
        <v>19</v>
      </c>
      <c r="I1376" s="4">
        <f t="shared" si="373"/>
        <v>0.71222648320847215</v>
      </c>
    </row>
    <row r="1377" spans="1:9" x14ac:dyDescent="0.3">
      <c r="A1377" t="s">
        <v>3</v>
      </c>
      <c r="B1377" s="3">
        <v>45298</v>
      </c>
      <c r="C1377">
        <f t="shared" si="367"/>
        <v>7</v>
      </c>
      <c r="D1377">
        <f t="shared" si="368"/>
        <v>1</v>
      </c>
      <c r="E1377">
        <f t="shared" si="369"/>
        <v>2024</v>
      </c>
      <c r="F1377" s="2">
        <v>2695</v>
      </c>
      <c r="G1377" t="s">
        <v>19</v>
      </c>
      <c r="I1377" s="4">
        <f t="shared" si="373"/>
        <v>0.71222648320847215</v>
      </c>
    </row>
    <row r="1378" spans="1:9" x14ac:dyDescent="0.3">
      <c r="A1378" t="s">
        <v>6</v>
      </c>
      <c r="B1378" s="3">
        <v>45298</v>
      </c>
      <c r="C1378">
        <f t="shared" si="367"/>
        <v>7</v>
      </c>
      <c r="D1378">
        <f t="shared" si="368"/>
        <v>1</v>
      </c>
      <c r="E1378">
        <f t="shared" si="369"/>
        <v>2024</v>
      </c>
      <c r="F1378" s="2">
        <v>1595</v>
      </c>
      <c r="G1378" t="s">
        <v>18</v>
      </c>
      <c r="I1378" s="4">
        <f>SUMIFS($F$2:$F$2739,$G$2:$G$2739,"Annual Contract",$E$2:$E$2739,2024)/SUMIF($E$2:$E$2739,2024,$F$2:$F$2739)</f>
        <v>0.19200427193344777</v>
      </c>
    </row>
    <row r="1379" spans="1:9" x14ac:dyDescent="0.3">
      <c r="A1379" t="s">
        <v>11</v>
      </c>
      <c r="B1379" s="3">
        <v>45298</v>
      </c>
      <c r="C1379">
        <f t="shared" si="367"/>
        <v>7</v>
      </c>
      <c r="D1379">
        <f t="shared" si="368"/>
        <v>1</v>
      </c>
      <c r="E1379">
        <f t="shared" si="369"/>
        <v>2024</v>
      </c>
      <c r="F1379" s="2">
        <v>2068</v>
      </c>
      <c r="G1379" t="s">
        <v>19</v>
      </c>
      <c r="I1379" s="4">
        <f t="shared" ref="I1379:I1382" si="374">SUMIFS($F$2:$F$2739,$G$2:$G$2739,"Multi-year Contract",$E$2:$E$2739,2024)/SUMIF($E$2:$E$2739,2024,$F$2:$F$2739)</f>
        <v>0.71222648320847215</v>
      </c>
    </row>
    <row r="1380" spans="1:9" x14ac:dyDescent="0.3">
      <c r="A1380" t="s">
        <v>11</v>
      </c>
      <c r="B1380" s="3">
        <v>45298</v>
      </c>
      <c r="C1380">
        <f t="shared" si="367"/>
        <v>7</v>
      </c>
      <c r="D1380">
        <f t="shared" si="368"/>
        <v>1</v>
      </c>
      <c r="E1380">
        <f t="shared" si="369"/>
        <v>2024</v>
      </c>
      <c r="F1380" s="2">
        <v>3468</v>
      </c>
      <c r="G1380" t="s">
        <v>19</v>
      </c>
      <c r="I1380" s="4">
        <f t="shared" si="374"/>
        <v>0.71222648320847215</v>
      </c>
    </row>
    <row r="1381" spans="1:9" x14ac:dyDescent="0.3">
      <c r="A1381" t="s">
        <v>12</v>
      </c>
      <c r="B1381" s="3">
        <v>45299</v>
      </c>
      <c r="C1381">
        <f t="shared" si="367"/>
        <v>8</v>
      </c>
      <c r="D1381">
        <f t="shared" si="368"/>
        <v>1</v>
      </c>
      <c r="E1381">
        <f t="shared" si="369"/>
        <v>2024</v>
      </c>
      <c r="F1381" s="2">
        <v>1499</v>
      </c>
      <c r="G1381" s="2" t="s">
        <v>19</v>
      </c>
      <c r="I1381" s="4">
        <f t="shared" si="374"/>
        <v>0.71222648320847215</v>
      </c>
    </row>
    <row r="1382" spans="1:9" x14ac:dyDescent="0.3">
      <c r="A1382" t="s">
        <v>8</v>
      </c>
      <c r="B1382" s="3">
        <v>45299</v>
      </c>
      <c r="C1382">
        <f t="shared" si="367"/>
        <v>8</v>
      </c>
      <c r="D1382">
        <f t="shared" si="368"/>
        <v>1</v>
      </c>
      <c r="E1382">
        <f t="shared" si="369"/>
        <v>2024</v>
      </c>
      <c r="F1382" s="2">
        <v>1310</v>
      </c>
      <c r="G1382" s="2" t="s">
        <v>19</v>
      </c>
      <c r="I1382" s="4">
        <f t="shared" si="374"/>
        <v>0.71222648320847215</v>
      </c>
    </row>
    <row r="1383" spans="1:9" x14ac:dyDescent="0.3">
      <c r="A1383" t="s">
        <v>7</v>
      </c>
      <c r="B1383" s="3">
        <v>45300</v>
      </c>
      <c r="C1383">
        <f t="shared" si="367"/>
        <v>9</v>
      </c>
      <c r="D1383">
        <f t="shared" si="368"/>
        <v>1</v>
      </c>
      <c r="E1383">
        <f t="shared" si="369"/>
        <v>2024</v>
      </c>
      <c r="F1383" s="2">
        <v>2367</v>
      </c>
      <c r="G1383" t="s">
        <v>17</v>
      </c>
      <c r="I1383" s="4">
        <f>SUMIFS($F$2:$F$2739,$G$2:$G$2739,"No Contract",$E$2:$E$2739,2024)/SUMIF($E$2:$E$2739,2024,$F$2:$F$2739)</f>
        <v>9.576924485808011E-2</v>
      </c>
    </row>
    <row r="1384" spans="1:9" x14ac:dyDescent="0.3">
      <c r="A1384" t="s">
        <v>9</v>
      </c>
      <c r="B1384" s="3">
        <v>45300</v>
      </c>
      <c r="C1384">
        <f t="shared" si="367"/>
        <v>9</v>
      </c>
      <c r="D1384">
        <f t="shared" si="368"/>
        <v>1</v>
      </c>
      <c r="E1384">
        <f t="shared" si="369"/>
        <v>2024</v>
      </c>
      <c r="F1384" s="2">
        <v>3839</v>
      </c>
      <c r="G1384" t="s">
        <v>18</v>
      </c>
      <c r="I1384" s="4">
        <f t="shared" ref="I1384:I1386" si="375">SUMIFS($F$2:$F$2739,$G$2:$G$2739,"Annual Contract",$E$2:$E$2739,2024)/SUMIF($E$2:$E$2739,2024,$F$2:$F$2739)</f>
        <v>0.19200427193344777</v>
      </c>
    </row>
    <row r="1385" spans="1:9" x14ac:dyDescent="0.3">
      <c r="A1385" t="s">
        <v>6</v>
      </c>
      <c r="B1385" s="3">
        <v>45300</v>
      </c>
      <c r="C1385">
        <f t="shared" si="367"/>
        <v>9</v>
      </c>
      <c r="D1385">
        <f t="shared" si="368"/>
        <v>1</v>
      </c>
      <c r="E1385">
        <f t="shared" si="369"/>
        <v>2024</v>
      </c>
      <c r="F1385" s="2">
        <v>1743</v>
      </c>
      <c r="G1385" t="s">
        <v>18</v>
      </c>
      <c r="I1385" s="4">
        <f t="shared" si="375"/>
        <v>0.19200427193344777</v>
      </c>
    </row>
    <row r="1386" spans="1:9" x14ac:dyDescent="0.3">
      <c r="A1386" t="s">
        <v>9</v>
      </c>
      <c r="B1386" s="3">
        <v>45300</v>
      </c>
      <c r="C1386">
        <f t="shared" si="367"/>
        <v>9</v>
      </c>
      <c r="D1386">
        <f t="shared" si="368"/>
        <v>1</v>
      </c>
      <c r="E1386">
        <f t="shared" si="369"/>
        <v>2024</v>
      </c>
      <c r="F1386" s="2">
        <v>902</v>
      </c>
      <c r="G1386" t="s">
        <v>18</v>
      </c>
      <c r="I1386" s="4">
        <f t="shared" si="375"/>
        <v>0.19200427193344777</v>
      </c>
    </row>
    <row r="1387" spans="1:9" x14ac:dyDescent="0.3">
      <c r="A1387" t="s">
        <v>10</v>
      </c>
      <c r="B1387" s="3">
        <v>45300</v>
      </c>
      <c r="C1387">
        <f t="shared" si="367"/>
        <v>9</v>
      </c>
      <c r="D1387">
        <f t="shared" si="368"/>
        <v>1</v>
      </c>
      <c r="E1387">
        <f t="shared" si="369"/>
        <v>2024</v>
      </c>
      <c r="F1387" s="2">
        <v>2664</v>
      </c>
      <c r="G1387" t="s">
        <v>19</v>
      </c>
      <c r="I1387" s="4">
        <f t="shared" ref="I1387:I1389" si="376">SUMIFS($F$2:$F$2739,$G$2:$G$2739,"Multi-year Contract",$E$2:$E$2739,2024)/SUMIF($E$2:$E$2739,2024,$F$2:$F$2739)</f>
        <v>0.71222648320847215</v>
      </c>
    </row>
    <row r="1388" spans="1:9" x14ac:dyDescent="0.3">
      <c r="A1388" t="s">
        <v>10</v>
      </c>
      <c r="B1388" s="3">
        <v>45301</v>
      </c>
      <c r="C1388">
        <f t="shared" si="367"/>
        <v>10</v>
      </c>
      <c r="D1388">
        <f t="shared" si="368"/>
        <v>1</v>
      </c>
      <c r="E1388">
        <f t="shared" si="369"/>
        <v>2024</v>
      </c>
      <c r="F1388" s="2">
        <v>1425</v>
      </c>
      <c r="G1388" t="s">
        <v>19</v>
      </c>
      <c r="I1388" s="4">
        <f t="shared" si="376"/>
        <v>0.71222648320847215</v>
      </c>
    </row>
    <row r="1389" spans="1:9" x14ac:dyDescent="0.3">
      <c r="A1389" t="s">
        <v>8</v>
      </c>
      <c r="B1389" s="3">
        <v>45301</v>
      </c>
      <c r="C1389">
        <f t="shared" si="367"/>
        <v>10</v>
      </c>
      <c r="D1389">
        <f t="shared" si="368"/>
        <v>1</v>
      </c>
      <c r="E1389">
        <f t="shared" si="369"/>
        <v>2024</v>
      </c>
      <c r="F1389" s="2">
        <v>2197</v>
      </c>
      <c r="G1389" s="2" t="s">
        <v>19</v>
      </c>
      <c r="I1389" s="4">
        <f t="shared" si="376"/>
        <v>0.71222648320847215</v>
      </c>
    </row>
    <row r="1390" spans="1:9" x14ac:dyDescent="0.3">
      <c r="A1390" t="s">
        <v>9</v>
      </c>
      <c r="B1390" s="3">
        <v>45301</v>
      </c>
      <c r="C1390">
        <f t="shared" si="367"/>
        <v>10</v>
      </c>
      <c r="D1390">
        <f t="shared" si="368"/>
        <v>1</v>
      </c>
      <c r="E1390">
        <f t="shared" si="369"/>
        <v>2024</v>
      </c>
      <c r="F1390" s="2">
        <v>1248</v>
      </c>
      <c r="G1390" t="s">
        <v>18</v>
      </c>
      <c r="I1390" s="4">
        <f>SUMIFS($F$2:$F$2739,$G$2:$G$2739,"Annual Contract",$E$2:$E$2739,2024)/SUMIF($E$2:$E$2739,2024,$F$2:$F$2739)</f>
        <v>0.19200427193344777</v>
      </c>
    </row>
    <row r="1391" spans="1:9" x14ac:dyDescent="0.3">
      <c r="A1391" t="s">
        <v>11</v>
      </c>
      <c r="B1391" s="3">
        <v>45301</v>
      </c>
      <c r="C1391">
        <f t="shared" si="367"/>
        <v>10</v>
      </c>
      <c r="D1391">
        <f t="shared" si="368"/>
        <v>1</v>
      </c>
      <c r="E1391">
        <f t="shared" si="369"/>
        <v>2024</v>
      </c>
      <c r="F1391" s="2">
        <v>2636</v>
      </c>
      <c r="G1391" t="s">
        <v>19</v>
      </c>
      <c r="I1391" s="4">
        <f>SUMIFS($F$2:$F$2739,$G$2:$G$2739,"Multi-year Contract",$E$2:$E$2739,2024)/SUMIF($E$2:$E$2739,2024,$F$2:$F$2739)</f>
        <v>0.71222648320847215</v>
      </c>
    </row>
    <row r="1392" spans="1:9" x14ac:dyDescent="0.3">
      <c r="A1392" t="s">
        <v>7</v>
      </c>
      <c r="B1392" s="3">
        <v>45301</v>
      </c>
      <c r="C1392">
        <f t="shared" si="367"/>
        <v>10</v>
      </c>
      <c r="D1392">
        <f t="shared" si="368"/>
        <v>1</v>
      </c>
      <c r="E1392">
        <f t="shared" si="369"/>
        <v>2024</v>
      </c>
      <c r="F1392" s="2">
        <v>2703</v>
      </c>
      <c r="G1392" t="s">
        <v>17</v>
      </c>
      <c r="I1392" s="4">
        <f>SUMIFS($F$2:$F$2739,$G$2:$G$2739,"No Contract",$E$2:$E$2739,2024)/SUMIF($E$2:$E$2739,2024,$F$2:$F$2739)</f>
        <v>9.576924485808011E-2</v>
      </c>
    </row>
    <row r="1393" spans="1:9" x14ac:dyDescent="0.3">
      <c r="A1393" t="s">
        <v>4</v>
      </c>
      <c r="B1393" s="3">
        <v>45301</v>
      </c>
      <c r="C1393">
        <f t="shared" si="367"/>
        <v>10</v>
      </c>
      <c r="D1393">
        <f t="shared" si="368"/>
        <v>1</v>
      </c>
      <c r="E1393">
        <f t="shared" si="369"/>
        <v>2024</v>
      </c>
      <c r="F1393" s="2">
        <v>987</v>
      </c>
      <c r="G1393" s="2" t="s">
        <v>19</v>
      </c>
      <c r="I1393" s="4">
        <f t="shared" ref="I1393:I1394" si="377">SUMIFS($F$2:$F$2739,$G$2:$G$2739,"Multi-year Contract",$E$2:$E$2739,2024)/SUMIF($E$2:$E$2739,2024,$F$2:$F$2739)</f>
        <v>0.71222648320847215</v>
      </c>
    </row>
    <row r="1394" spans="1:9" x14ac:dyDescent="0.3">
      <c r="A1394" t="s">
        <v>5</v>
      </c>
      <c r="B1394" s="3">
        <v>45302</v>
      </c>
      <c r="C1394">
        <f t="shared" si="367"/>
        <v>11</v>
      </c>
      <c r="D1394">
        <f t="shared" si="368"/>
        <v>1</v>
      </c>
      <c r="E1394">
        <f t="shared" si="369"/>
        <v>2024</v>
      </c>
      <c r="F1394" s="2">
        <v>2912</v>
      </c>
      <c r="G1394" t="s">
        <v>19</v>
      </c>
      <c r="I1394" s="4">
        <f t="shared" si="377"/>
        <v>0.71222648320847215</v>
      </c>
    </row>
    <row r="1395" spans="1:9" x14ac:dyDescent="0.3">
      <c r="A1395" t="s">
        <v>7</v>
      </c>
      <c r="B1395" s="3">
        <v>45302</v>
      </c>
      <c r="C1395">
        <f t="shared" si="367"/>
        <v>11</v>
      </c>
      <c r="D1395">
        <f t="shared" si="368"/>
        <v>1</v>
      </c>
      <c r="E1395">
        <f t="shared" si="369"/>
        <v>2024</v>
      </c>
      <c r="F1395" s="2">
        <v>1732</v>
      </c>
      <c r="G1395" t="s">
        <v>17</v>
      </c>
      <c r="I1395" s="4">
        <f>SUMIFS($F$2:$F$2739,$G$2:$G$2739,"No Contract",$E$2:$E$2739,2024)/SUMIF($E$2:$E$2739,2024,$F$2:$F$2739)</f>
        <v>9.576924485808011E-2</v>
      </c>
    </row>
    <row r="1396" spans="1:9" x14ac:dyDescent="0.3">
      <c r="A1396" t="s">
        <v>4</v>
      </c>
      <c r="B1396" s="3">
        <v>45302</v>
      </c>
      <c r="C1396">
        <f t="shared" si="367"/>
        <v>11</v>
      </c>
      <c r="D1396">
        <f t="shared" si="368"/>
        <v>1</v>
      </c>
      <c r="E1396">
        <f t="shared" si="369"/>
        <v>2024</v>
      </c>
      <c r="F1396" s="2">
        <v>1398</v>
      </c>
      <c r="G1396" s="2" t="s">
        <v>19</v>
      </c>
      <c r="I1396" s="4">
        <f t="shared" ref="I1396:I1403" si="378">SUMIFS($F$2:$F$2739,$G$2:$G$2739,"Multi-year Contract",$E$2:$E$2739,2024)/SUMIF($E$2:$E$2739,2024,$F$2:$F$2739)</f>
        <v>0.71222648320847215</v>
      </c>
    </row>
    <row r="1397" spans="1:9" x14ac:dyDescent="0.3">
      <c r="A1397" t="s">
        <v>12</v>
      </c>
      <c r="B1397" s="3">
        <v>45302</v>
      </c>
      <c r="C1397">
        <f t="shared" si="367"/>
        <v>11</v>
      </c>
      <c r="D1397">
        <f t="shared" si="368"/>
        <v>1</v>
      </c>
      <c r="E1397">
        <f t="shared" si="369"/>
        <v>2024</v>
      </c>
      <c r="F1397" s="2">
        <v>1442</v>
      </c>
      <c r="G1397" s="2" t="s">
        <v>19</v>
      </c>
      <c r="I1397" s="4">
        <f t="shared" si="378"/>
        <v>0.71222648320847215</v>
      </c>
    </row>
    <row r="1398" spans="1:9" x14ac:dyDescent="0.3">
      <c r="A1398" t="s">
        <v>3</v>
      </c>
      <c r="B1398" s="3">
        <v>45303</v>
      </c>
      <c r="C1398">
        <f t="shared" si="367"/>
        <v>12</v>
      </c>
      <c r="D1398">
        <f t="shared" si="368"/>
        <v>1</v>
      </c>
      <c r="E1398">
        <f t="shared" si="369"/>
        <v>2024</v>
      </c>
      <c r="F1398" s="2">
        <v>837</v>
      </c>
      <c r="G1398" t="s">
        <v>19</v>
      </c>
      <c r="I1398" s="4">
        <f t="shared" si="378"/>
        <v>0.71222648320847215</v>
      </c>
    </row>
    <row r="1399" spans="1:9" x14ac:dyDescent="0.3">
      <c r="A1399" t="s">
        <v>5</v>
      </c>
      <c r="B1399" s="3">
        <v>45303</v>
      </c>
      <c r="C1399">
        <f t="shared" si="367"/>
        <v>12</v>
      </c>
      <c r="D1399">
        <f t="shared" si="368"/>
        <v>1</v>
      </c>
      <c r="E1399">
        <f t="shared" si="369"/>
        <v>2024</v>
      </c>
      <c r="F1399" s="2">
        <v>3217</v>
      </c>
      <c r="G1399" t="s">
        <v>19</v>
      </c>
      <c r="I1399" s="4">
        <f t="shared" si="378"/>
        <v>0.71222648320847215</v>
      </c>
    </row>
    <row r="1400" spans="1:9" x14ac:dyDescent="0.3">
      <c r="A1400" t="s">
        <v>5</v>
      </c>
      <c r="B1400" s="3">
        <v>45303</v>
      </c>
      <c r="C1400">
        <f t="shared" si="367"/>
        <v>12</v>
      </c>
      <c r="D1400">
        <f t="shared" si="368"/>
        <v>1</v>
      </c>
      <c r="E1400">
        <f t="shared" si="369"/>
        <v>2024</v>
      </c>
      <c r="F1400" s="2">
        <v>1901</v>
      </c>
      <c r="G1400" t="s">
        <v>19</v>
      </c>
      <c r="I1400" s="4">
        <f t="shared" si="378"/>
        <v>0.71222648320847215</v>
      </c>
    </row>
    <row r="1401" spans="1:9" x14ac:dyDescent="0.3">
      <c r="A1401" t="s">
        <v>12</v>
      </c>
      <c r="B1401" s="3">
        <v>45304</v>
      </c>
      <c r="C1401">
        <f t="shared" si="367"/>
        <v>13</v>
      </c>
      <c r="D1401">
        <f t="shared" si="368"/>
        <v>1</v>
      </c>
      <c r="E1401">
        <f t="shared" si="369"/>
        <v>2024</v>
      </c>
      <c r="F1401" s="2">
        <v>3407</v>
      </c>
      <c r="G1401" s="2" t="s">
        <v>19</v>
      </c>
      <c r="I1401" s="4">
        <f t="shared" si="378"/>
        <v>0.71222648320847215</v>
      </c>
    </row>
    <row r="1402" spans="1:9" x14ac:dyDescent="0.3">
      <c r="A1402" t="s">
        <v>12</v>
      </c>
      <c r="B1402" s="3">
        <v>45304</v>
      </c>
      <c r="C1402">
        <f t="shared" si="367"/>
        <v>13</v>
      </c>
      <c r="D1402">
        <f t="shared" si="368"/>
        <v>1</v>
      </c>
      <c r="E1402">
        <f t="shared" si="369"/>
        <v>2024</v>
      </c>
      <c r="F1402" s="2">
        <v>3480</v>
      </c>
      <c r="G1402" s="2" t="s">
        <v>19</v>
      </c>
      <c r="I1402" s="4">
        <f t="shared" si="378"/>
        <v>0.71222648320847215</v>
      </c>
    </row>
    <row r="1403" spans="1:9" x14ac:dyDescent="0.3">
      <c r="A1403" t="s">
        <v>11</v>
      </c>
      <c r="B1403" s="3">
        <v>45304</v>
      </c>
      <c r="C1403">
        <f t="shared" si="367"/>
        <v>13</v>
      </c>
      <c r="D1403">
        <f t="shared" si="368"/>
        <v>1</v>
      </c>
      <c r="E1403">
        <f t="shared" si="369"/>
        <v>2024</v>
      </c>
      <c r="F1403" s="2">
        <v>905</v>
      </c>
      <c r="G1403" t="s">
        <v>19</v>
      </c>
      <c r="I1403" s="4">
        <f t="shared" si="378"/>
        <v>0.71222648320847215</v>
      </c>
    </row>
    <row r="1404" spans="1:9" x14ac:dyDescent="0.3">
      <c r="A1404" t="s">
        <v>7</v>
      </c>
      <c r="B1404" s="3">
        <v>45304</v>
      </c>
      <c r="C1404">
        <f t="shared" si="367"/>
        <v>13</v>
      </c>
      <c r="D1404">
        <f t="shared" si="368"/>
        <v>1</v>
      </c>
      <c r="E1404">
        <f t="shared" si="369"/>
        <v>2024</v>
      </c>
      <c r="F1404" s="2">
        <v>1330</v>
      </c>
      <c r="G1404" t="s">
        <v>17</v>
      </c>
      <c r="I1404" s="4">
        <f>SUMIFS($F$2:$F$2739,$G$2:$G$2739,"No Contract",$E$2:$E$2739,2024)/SUMIF($E$2:$E$2739,2024,$F$2:$F$2739)</f>
        <v>9.576924485808011E-2</v>
      </c>
    </row>
    <row r="1405" spans="1:9" x14ac:dyDescent="0.3">
      <c r="A1405" t="s">
        <v>11</v>
      </c>
      <c r="B1405" s="3">
        <v>45305</v>
      </c>
      <c r="C1405">
        <f t="shared" si="367"/>
        <v>14</v>
      </c>
      <c r="D1405">
        <f t="shared" si="368"/>
        <v>1</v>
      </c>
      <c r="E1405">
        <f t="shared" si="369"/>
        <v>2024</v>
      </c>
      <c r="F1405" s="2">
        <v>858</v>
      </c>
      <c r="G1405" t="s">
        <v>19</v>
      </c>
      <c r="I1405" s="4">
        <f t="shared" ref="I1405:I1406" si="379">SUMIFS($F$2:$F$2739,$G$2:$G$2739,"Multi-year Contract",$E$2:$E$2739,2024)/SUMIF($E$2:$E$2739,2024,$F$2:$F$2739)</f>
        <v>0.71222648320847215</v>
      </c>
    </row>
    <row r="1406" spans="1:9" x14ac:dyDescent="0.3">
      <c r="A1406" t="s">
        <v>4</v>
      </c>
      <c r="B1406" s="3">
        <v>45305</v>
      </c>
      <c r="C1406">
        <f t="shared" si="367"/>
        <v>14</v>
      </c>
      <c r="D1406">
        <f t="shared" si="368"/>
        <v>1</v>
      </c>
      <c r="E1406">
        <f t="shared" si="369"/>
        <v>2024</v>
      </c>
      <c r="F1406" s="2">
        <v>892</v>
      </c>
      <c r="G1406" s="2" t="s">
        <v>19</v>
      </c>
      <c r="I1406" s="4">
        <f t="shared" si="379"/>
        <v>0.71222648320847215</v>
      </c>
    </row>
    <row r="1407" spans="1:9" x14ac:dyDescent="0.3">
      <c r="A1407" t="s">
        <v>6</v>
      </c>
      <c r="B1407" s="3">
        <v>45305</v>
      </c>
      <c r="C1407">
        <f t="shared" si="367"/>
        <v>14</v>
      </c>
      <c r="D1407">
        <f t="shared" si="368"/>
        <v>1</v>
      </c>
      <c r="E1407">
        <f t="shared" si="369"/>
        <v>2024</v>
      </c>
      <c r="F1407" s="2">
        <v>3700</v>
      </c>
      <c r="G1407" t="s">
        <v>18</v>
      </c>
      <c r="I1407" s="4">
        <f>SUMIFS($F$2:$F$2739,$G$2:$G$2739,"Annual Contract",$E$2:$E$2739,2024)/SUMIF($E$2:$E$2739,2024,$F$2:$F$2739)</f>
        <v>0.19200427193344777</v>
      </c>
    </row>
    <row r="1408" spans="1:9" x14ac:dyDescent="0.3">
      <c r="A1408" t="s">
        <v>11</v>
      </c>
      <c r="B1408" s="3">
        <v>45305</v>
      </c>
      <c r="C1408">
        <f t="shared" si="367"/>
        <v>14</v>
      </c>
      <c r="D1408">
        <f t="shared" si="368"/>
        <v>1</v>
      </c>
      <c r="E1408">
        <f t="shared" si="369"/>
        <v>2024</v>
      </c>
      <c r="F1408" s="2">
        <v>840</v>
      </c>
      <c r="G1408" t="s">
        <v>19</v>
      </c>
      <c r="I1408" s="4">
        <f>SUMIFS($F$2:$F$2739,$G$2:$G$2739,"Multi-year Contract",$E$2:$E$2739,2024)/SUMIF($E$2:$E$2739,2024,$F$2:$F$2739)</f>
        <v>0.71222648320847215</v>
      </c>
    </row>
    <row r="1409" spans="1:9" x14ac:dyDescent="0.3">
      <c r="A1409" t="s">
        <v>7</v>
      </c>
      <c r="B1409" s="3">
        <v>45305</v>
      </c>
      <c r="C1409">
        <f t="shared" si="367"/>
        <v>14</v>
      </c>
      <c r="D1409">
        <f t="shared" si="368"/>
        <v>1</v>
      </c>
      <c r="E1409">
        <f t="shared" si="369"/>
        <v>2024</v>
      </c>
      <c r="F1409" s="2">
        <v>1784</v>
      </c>
      <c r="G1409" t="s">
        <v>17</v>
      </c>
      <c r="I1409" s="4">
        <f>SUMIFS($F$2:$F$2739,$G$2:$G$2739,"No Contract",$E$2:$E$2739,2024)/SUMIF($E$2:$E$2739,2024,$F$2:$F$2739)</f>
        <v>9.576924485808011E-2</v>
      </c>
    </row>
    <row r="1410" spans="1:9" x14ac:dyDescent="0.3">
      <c r="A1410" t="s">
        <v>5</v>
      </c>
      <c r="B1410" s="3">
        <v>45306</v>
      </c>
      <c r="C1410">
        <f t="shared" si="367"/>
        <v>15</v>
      </c>
      <c r="D1410">
        <f t="shared" si="368"/>
        <v>1</v>
      </c>
      <c r="E1410">
        <f t="shared" si="369"/>
        <v>2024</v>
      </c>
      <c r="F1410" s="2">
        <v>1175</v>
      </c>
      <c r="G1410" t="s">
        <v>19</v>
      </c>
      <c r="I1410" s="4">
        <f>SUMIFS($F$2:$F$2739,$G$2:$G$2739,"Multi-year Contract",$E$2:$E$2739,2024)/SUMIF($E$2:$E$2739,2024,$F$2:$F$2739)</f>
        <v>0.71222648320847215</v>
      </c>
    </row>
    <row r="1411" spans="1:9" x14ac:dyDescent="0.3">
      <c r="A1411" t="s">
        <v>7</v>
      </c>
      <c r="B1411" s="3">
        <v>45306</v>
      </c>
      <c r="C1411">
        <f t="shared" ref="C1411:C1474" si="380">DAY(B1411)</f>
        <v>15</v>
      </c>
      <c r="D1411">
        <f t="shared" ref="D1411:D1474" si="381">MONTH(B1411)</f>
        <v>1</v>
      </c>
      <c r="E1411">
        <f t="shared" ref="E1411:E1474" si="382">YEAR(B1411)</f>
        <v>2024</v>
      </c>
      <c r="F1411" s="2">
        <v>2941</v>
      </c>
      <c r="G1411" t="s">
        <v>17</v>
      </c>
      <c r="I1411" s="4">
        <f>SUMIFS($F$2:$F$2739,$G$2:$G$2739,"No Contract",$E$2:$E$2739,2024)/SUMIF($E$2:$E$2739,2024,$F$2:$F$2739)</f>
        <v>9.576924485808011E-2</v>
      </c>
    </row>
    <row r="1412" spans="1:9" x14ac:dyDescent="0.3">
      <c r="A1412" t="s">
        <v>8</v>
      </c>
      <c r="B1412" s="3">
        <v>45306</v>
      </c>
      <c r="C1412">
        <f t="shared" si="380"/>
        <v>15</v>
      </c>
      <c r="D1412">
        <f t="shared" si="381"/>
        <v>1</v>
      </c>
      <c r="E1412">
        <f t="shared" si="382"/>
        <v>2024</v>
      </c>
      <c r="F1412" s="2">
        <v>2421</v>
      </c>
      <c r="G1412" s="2" t="s">
        <v>19</v>
      </c>
      <c r="I1412" s="4">
        <f t="shared" ref="I1412:I1413" si="383">SUMIFS($F$2:$F$2739,$G$2:$G$2739,"Multi-year Contract",$E$2:$E$2739,2024)/SUMIF($E$2:$E$2739,2024,$F$2:$F$2739)</f>
        <v>0.71222648320847215</v>
      </c>
    </row>
    <row r="1413" spans="1:9" x14ac:dyDescent="0.3">
      <c r="A1413" t="s">
        <v>3</v>
      </c>
      <c r="B1413" s="3">
        <v>45307</v>
      </c>
      <c r="C1413">
        <f t="shared" si="380"/>
        <v>16</v>
      </c>
      <c r="D1413">
        <f t="shared" si="381"/>
        <v>1</v>
      </c>
      <c r="E1413">
        <f t="shared" si="382"/>
        <v>2024</v>
      </c>
      <c r="F1413" s="2">
        <v>1290</v>
      </c>
      <c r="G1413" t="s">
        <v>19</v>
      </c>
      <c r="I1413" s="4">
        <f t="shared" si="383"/>
        <v>0.71222648320847215</v>
      </c>
    </row>
    <row r="1414" spans="1:9" x14ac:dyDescent="0.3">
      <c r="A1414" t="s">
        <v>9</v>
      </c>
      <c r="B1414" s="3">
        <v>45307</v>
      </c>
      <c r="C1414">
        <f t="shared" si="380"/>
        <v>16</v>
      </c>
      <c r="D1414">
        <f t="shared" si="381"/>
        <v>1</v>
      </c>
      <c r="E1414">
        <f t="shared" si="382"/>
        <v>2024</v>
      </c>
      <c r="F1414" s="2">
        <v>3556</v>
      </c>
      <c r="G1414" t="s">
        <v>18</v>
      </c>
      <c r="I1414" s="4">
        <f>SUMIFS($F$2:$F$2739,$G$2:$G$2739,"Annual Contract",$E$2:$E$2739,2024)/SUMIF($E$2:$E$2739,2024,$F$2:$F$2739)</f>
        <v>0.19200427193344777</v>
      </c>
    </row>
    <row r="1415" spans="1:9" x14ac:dyDescent="0.3">
      <c r="A1415" t="s">
        <v>7</v>
      </c>
      <c r="B1415" s="3">
        <v>45307</v>
      </c>
      <c r="C1415">
        <f t="shared" si="380"/>
        <v>16</v>
      </c>
      <c r="D1415">
        <f t="shared" si="381"/>
        <v>1</v>
      </c>
      <c r="E1415">
        <f t="shared" si="382"/>
        <v>2024</v>
      </c>
      <c r="F1415" s="2">
        <v>3009</v>
      </c>
      <c r="G1415" t="s">
        <v>17</v>
      </c>
      <c r="I1415" s="4">
        <f>SUMIFS($F$2:$F$2739,$G$2:$G$2739,"No Contract",$E$2:$E$2739,2024)/SUMIF($E$2:$E$2739,2024,$F$2:$F$2739)</f>
        <v>9.576924485808011E-2</v>
      </c>
    </row>
    <row r="1416" spans="1:9" x14ac:dyDescent="0.3">
      <c r="A1416" t="s">
        <v>5</v>
      </c>
      <c r="B1416" s="3">
        <v>45308</v>
      </c>
      <c r="C1416">
        <f t="shared" si="380"/>
        <v>17</v>
      </c>
      <c r="D1416">
        <f t="shared" si="381"/>
        <v>1</v>
      </c>
      <c r="E1416">
        <f t="shared" si="382"/>
        <v>2024</v>
      </c>
      <c r="F1416" s="2">
        <v>2059</v>
      </c>
      <c r="G1416" t="s">
        <v>19</v>
      </c>
      <c r="I1416" s="4">
        <f>SUMIFS($F$2:$F$2739,$G$2:$G$2739,"Multi-year Contract",$E$2:$E$2739,2024)/SUMIF($E$2:$E$2739,2024,$F$2:$F$2739)</f>
        <v>0.71222648320847215</v>
      </c>
    </row>
    <row r="1417" spans="1:9" x14ac:dyDescent="0.3">
      <c r="A1417" t="s">
        <v>9</v>
      </c>
      <c r="B1417" s="3">
        <v>45308</v>
      </c>
      <c r="C1417">
        <f t="shared" si="380"/>
        <v>17</v>
      </c>
      <c r="D1417">
        <f t="shared" si="381"/>
        <v>1</v>
      </c>
      <c r="E1417">
        <f t="shared" si="382"/>
        <v>2024</v>
      </c>
      <c r="F1417" s="2">
        <v>3328</v>
      </c>
      <c r="G1417" t="s">
        <v>18</v>
      </c>
      <c r="I1417" s="4">
        <f>SUMIFS($F$2:$F$2739,$G$2:$G$2739,"Annual Contract",$E$2:$E$2739,2024)/SUMIF($E$2:$E$2739,2024,$F$2:$F$2739)</f>
        <v>0.19200427193344777</v>
      </c>
    </row>
    <row r="1418" spans="1:9" x14ac:dyDescent="0.3">
      <c r="A1418" t="s">
        <v>4</v>
      </c>
      <c r="B1418" s="3">
        <v>45308</v>
      </c>
      <c r="C1418">
        <f t="shared" si="380"/>
        <v>17</v>
      </c>
      <c r="D1418">
        <f t="shared" si="381"/>
        <v>1</v>
      </c>
      <c r="E1418">
        <f t="shared" si="382"/>
        <v>2024</v>
      </c>
      <c r="F1418" s="2">
        <v>1972</v>
      </c>
      <c r="G1418" s="2" t="s">
        <v>19</v>
      </c>
      <c r="I1418" s="4">
        <f t="shared" ref="I1418:I1424" si="384">SUMIFS($F$2:$F$2739,$G$2:$G$2739,"Multi-year Contract",$E$2:$E$2739,2024)/SUMIF($E$2:$E$2739,2024,$F$2:$F$2739)</f>
        <v>0.71222648320847215</v>
      </c>
    </row>
    <row r="1419" spans="1:9" x14ac:dyDescent="0.3">
      <c r="A1419" t="s">
        <v>12</v>
      </c>
      <c r="B1419" s="3">
        <v>45308</v>
      </c>
      <c r="C1419">
        <f t="shared" si="380"/>
        <v>17</v>
      </c>
      <c r="D1419">
        <f t="shared" si="381"/>
        <v>1</v>
      </c>
      <c r="E1419">
        <f t="shared" si="382"/>
        <v>2024</v>
      </c>
      <c r="F1419" s="2">
        <v>1280</v>
      </c>
      <c r="G1419" s="2" t="s">
        <v>19</v>
      </c>
      <c r="I1419" s="4">
        <f t="shared" si="384"/>
        <v>0.71222648320847215</v>
      </c>
    </row>
    <row r="1420" spans="1:9" x14ac:dyDescent="0.3">
      <c r="A1420" t="s">
        <v>8</v>
      </c>
      <c r="B1420" s="3">
        <v>45309</v>
      </c>
      <c r="C1420">
        <f t="shared" si="380"/>
        <v>18</v>
      </c>
      <c r="D1420">
        <f t="shared" si="381"/>
        <v>1</v>
      </c>
      <c r="E1420">
        <f t="shared" si="382"/>
        <v>2024</v>
      </c>
      <c r="F1420" s="2">
        <v>3879</v>
      </c>
      <c r="G1420" s="2" t="s">
        <v>19</v>
      </c>
      <c r="I1420" s="4">
        <f t="shared" si="384"/>
        <v>0.71222648320847215</v>
      </c>
    </row>
    <row r="1421" spans="1:9" x14ac:dyDescent="0.3">
      <c r="A1421" t="s">
        <v>11</v>
      </c>
      <c r="B1421" s="3">
        <v>45309</v>
      </c>
      <c r="C1421">
        <f t="shared" si="380"/>
        <v>18</v>
      </c>
      <c r="D1421">
        <f t="shared" si="381"/>
        <v>1</v>
      </c>
      <c r="E1421">
        <f t="shared" si="382"/>
        <v>2024</v>
      </c>
      <c r="F1421" s="2">
        <v>2867</v>
      </c>
      <c r="G1421" t="s">
        <v>19</v>
      </c>
      <c r="I1421" s="4">
        <f t="shared" si="384"/>
        <v>0.71222648320847215</v>
      </c>
    </row>
    <row r="1422" spans="1:9" x14ac:dyDescent="0.3">
      <c r="A1422" t="s">
        <v>8</v>
      </c>
      <c r="B1422" s="3">
        <v>45309</v>
      </c>
      <c r="C1422">
        <f t="shared" si="380"/>
        <v>18</v>
      </c>
      <c r="D1422">
        <f t="shared" si="381"/>
        <v>1</v>
      </c>
      <c r="E1422">
        <f t="shared" si="382"/>
        <v>2024</v>
      </c>
      <c r="F1422" s="2">
        <v>1059</v>
      </c>
      <c r="G1422" s="2" t="s">
        <v>19</v>
      </c>
      <c r="I1422" s="4">
        <f t="shared" si="384"/>
        <v>0.71222648320847215</v>
      </c>
    </row>
    <row r="1423" spans="1:9" x14ac:dyDescent="0.3">
      <c r="A1423" t="s">
        <v>5</v>
      </c>
      <c r="B1423" s="3">
        <v>45309</v>
      </c>
      <c r="C1423">
        <f t="shared" si="380"/>
        <v>18</v>
      </c>
      <c r="D1423">
        <f t="shared" si="381"/>
        <v>1</v>
      </c>
      <c r="E1423">
        <f t="shared" si="382"/>
        <v>2024</v>
      </c>
      <c r="F1423" s="2">
        <v>1098</v>
      </c>
      <c r="G1423" t="s">
        <v>19</v>
      </c>
      <c r="I1423" s="4">
        <f t="shared" si="384"/>
        <v>0.71222648320847215</v>
      </c>
    </row>
    <row r="1424" spans="1:9" x14ac:dyDescent="0.3">
      <c r="A1424" t="s">
        <v>10</v>
      </c>
      <c r="B1424" s="3">
        <v>45309</v>
      </c>
      <c r="C1424">
        <f t="shared" si="380"/>
        <v>18</v>
      </c>
      <c r="D1424">
        <f t="shared" si="381"/>
        <v>1</v>
      </c>
      <c r="E1424">
        <f t="shared" si="382"/>
        <v>2024</v>
      </c>
      <c r="F1424" s="2">
        <v>1981</v>
      </c>
      <c r="G1424" t="s">
        <v>19</v>
      </c>
      <c r="I1424" s="4">
        <f t="shared" si="384"/>
        <v>0.71222648320847215</v>
      </c>
    </row>
    <row r="1425" spans="1:9" x14ac:dyDescent="0.3">
      <c r="A1425" t="s">
        <v>9</v>
      </c>
      <c r="B1425" s="3">
        <v>45310</v>
      </c>
      <c r="C1425">
        <f t="shared" si="380"/>
        <v>19</v>
      </c>
      <c r="D1425">
        <f t="shared" si="381"/>
        <v>1</v>
      </c>
      <c r="E1425">
        <f t="shared" si="382"/>
        <v>2024</v>
      </c>
      <c r="F1425" s="2">
        <v>1574</v>
      </c>
      <c r="G1425" t="s">
        <v>18</v>
      </c>
      <c r="I1425" s="4">
        <f>SUMIFS($F$2:$F$2739,$G$2:$G$2739,"Annual Contract",$E$2:$E$2739,2024)/SUMIF($E$2:$E$2739,2024,$F$2:$F$2739)</f>
        <v>0.19200427193344777</v>
      </c>
    </row>
    <row r="1426" spans="1:9" x14ac:dyDescent="0.3">
      <c r="A1426" t="s">
        <v>3</v>
      </c>
      <c r="B1426" s="3">
        <v>45310</v>
      </c>
      <c r="C1426">
        <f t="shared" si="380"/>
        <v>19</v>
      </c>
      <c r="D1426">
        <f t="shared" si="381"/>
        <v>1</v>
      </c>
      <c r="E1426">
        <f t="shared" si="382"/>
        <v>2024</v>
      </c>
      <c r="F1426" s="2">
        <v>3667</v>
      </c>
      <c r="G1426" t="s">
        <v>19</v>
      </c>
      <c r="I1426" s="4">
        <f>SUMIFS($F$2:$F$2739,$G$2:$G$2739,"Multi-year Contract",$E$2:$E$2739,2024)/SUMIF($E$2:$E$2739,2024,$F$2:$F$2739)</f>
        <v>0.71222648320847215</v>
      </c>
    </row>
    <row r="1427" spans="1:9" x14ac:dyDescent="0.3">
      <c r="A1427" t="s">
        <v>7</v>
      </c>
      <c r="B1427" s="3">
        <v>45310</v>
      </c>
      <c r="C1427">
        <f t="shared" si="380"/>
        <v>19</v>
      </c>
      <c r="D1427">
        <f t="shared" si="381"/>
        <v>1</v>
      </c>
      <c r="E1427">
        <f t="shared" si="382"/>
        <v>2024</v>
      </c>
      <c r="F1427" s="2">
        <v>1188</v>
      </c>
      <c r="G1427" t="s">
        <v>17</v>
      </c>
      <c r="I1427" s="4">
        <f>SUMIFS($F$2:$F$2739,$G$2:$G$2739,"No Contract",$E$2:$E$2739,2024)/SUMIF($E$2:$E$2739,2024,$F$2:$F$2739)</f>
        <v>9.576924485808011E-2</v>
      </c>
    </row>
    <row r="1428" spans="1:9" x14ac:dyDescent="0.3">
      <c r="A1428" t="s">
        <v>5</v>
      </c>
      <c r="B1428" s="3">
        <v>45311</v>
      </c>
      <c r="C1428">
        <f t="shared" si="380"/>
        <v>20</v>
      </c>
      <c r="D1428">
        <f t="shared" si="381"/>
        <v>1</v>
      </c>
      <c r="E1428">
        <f t="shared" si="382"/>
        <v>2024</v>
      </c>
      <c r="F1428" s="2">
        <v>1033</v>
      </c>
      <c r="G1428" t="s">
        <v>19</v>
      </c>
      <c r="I1428" s="4">
        <f t="shared" ref="I1428:I1429" si="385">SUMIFS($F$2:$F$2739,$G$2:$G$2739,"Multi-year Contract",$E$2:$E$2739,2024)/SUMIF($E$2:$E$2739,2024,$F$2:$F$2739)</f>
        <v>0.71222648320847215</v>
      </c>
    </row>
    <row r="1429" spans="1:9" x14ac:dyDescent="0.3">
      <c r="A1429" t="s">
        <v>3</v>
      </c>
      <c r="B1429" s="3">
        <v>45311</v>
      </c>
      <c r="C1429">
        <f t="shared" si="380"/>
        <v>20</v>
      </c>
      <c r="D1429">
        <f t="shared" si="381"/>
        <v>1</v>
      </c>
      <c r="E1429">
        <f t="shared" si="382"/>
        <v>2024</v>
      </c>
      <c r="F1429" s="2">
        <v>3228</v>
      </c>
      <c r="G1429" t="s">
        <v>19</v>
      </c>
      <c r="I1429" s="4">
        <f t="shared" si="385"/>
        <v>0.71222648320847215</v>
      </c>
    </row>
    <row r="1430" spans="1:9" x14ac:dyDescent="0.3">
      <c r="A1430" t="s">
        <v>9</v>
      </c>
      <c r="B1430" s="3">
        <v>45311</v>
      </c>
      <c r="C1430">
        <f t="shared" si="380"/>
        <v>20</v>
      </c>
      <c r="D1430">
        <f t="shared" si="381"/>
        <v>1</v>
      </c>
      <c r="E1430">
        <f t="shared" si="382"/>
        <v>2024</v>
      </c>
      <c r="F1430" s="2">
        <v>3324</v>
      </c>
      <c r="G1430" t="s">
        <v>18</v>
      </c>
      <c r="I1430" s="4">
        <f>SUMIFS($F$2:$F$2739,$G$2:$G$2739,"Annual Contract",$E$2:$E$2739,2024)/SUMIF($E$2:$E$2739,2024,$F$2:$F$2739)</f>
        <v>0.19200427193344777</v>
      </c>
    </row>
    <row r="1431" spans="1:9" x14ac:dyDescent="0.3">
      <c r="A1431" t="s">
        <v>7</v>
      </c>
      <c r="B1431" s="3">
        <v>45311</v>
      </c>
      <c r="C1431">
        <f t="shared" si="380"/>
        <v>20</v>
      </c>
      <c r="D1431">
        <f t="shared" si="381"/>
        <v>1</v>
      </c>
      <c r="E1431">
        <f t="shared" si="382"/>
        <v>2024</v>
      </c>
      <c r="F1431" s="2">
        <v>3402</v>
      </c>
      <c r="G1431" t="s">
        <v>17</v>
      </c>
      <c r="I1431" s="4">
        <f>SUMIFS($F$2:$F$2739,$G$2:$G$2739,"No Contract",$E$2:$E$2739,2024)/SUMIF($E$2:$E$2739,2024,$F$2:$F$2739)</f>
        <v>9.576924485808011E-2</v>
      </c>
    </row>
    <row r="1432" spans="1:9" x14ac:dyDescent="0.3">
      <c r="A1432" t="s">
        <v>8</v>
      </c>
      <c r="B1432" s="3">
        <v>45312</v>
      </c>
      <c r="C1432">
        <f t="shared" si="380"/>
        <v>21</v>
      </c>
      <c r="D1432">
        <f t="shared" si="381"/>
        <v>1</v>
      </c>
      <c r="E1432">
        <f t="shared" si="382"/>
        <v>2024</v>
      </c>
      <c r="F1432" s="2">
        <v>3669</v>
      </c>
      <c r="G1432" s="2" t="s">
        <v>19</v>
      </c>
      <c r="I1432" s="4">
        <f t="shared" ref="I1432:I1433" si="386">SUMIFS($F$2:$F$2739,$G$2:$G$2739,"Multi-year Contract",$E$2:$E$2739,2024)/SUMIF($E$2:$E$2739,2024,$F$2:$F$2739)</f>
        <v>0.71222648320847215</v>
      </c>
    </row>
    <row r="1433" spans="1:9" x14ac:dyDescent="0.3">
      <c r="A1433" t="s">
        <v>3</v>
      </c>
      <c r="B1433" s="3">
        <v>45312</v>
      </c>
      <c r="C1433">
        <f t="shared" si="380"/>
        <v>21</v>
      </c>
      <c r="D1433">
        <f t="shared" si="381"/>
        <v>1</v>
      </c>
      <c r="E1433">
        <f t="shared" si="382"/>
        <v>2024</v>
      </c>
      <c r="F1433" s="2">
        <v>3340</v>
      </c>
      <c r="G1433" t="s">
        <v>19</v>
      </c>
      <c r="I1433" s="4">
        <f t="shared" si="386"/>
        <v>0.71222648320847215</v>
      </c>
    </row>
    <row r="1434" spans="1:9" x14ac:dyDescent="0.3">
      <c r="A1434" t="s">
        <v>6</v>
      </c>
      <c r="B1434" s="3">
        <v>45312</v>
      </c>
      <c r="C1434">
        <f t="shared" si="380"/>
        <v>21</v>
      </c>
      <c r="D1434">
        <f t="shared" si="381"/>
        <v>1</v>
      </c>
      <c r="E1434">
        <f t="shared" si="382"/>
        <v>2024</v>
      </c>
      <c r="F1434" s="2">
        <v>1747</v>
      </c>
      <c r="G1434" t="s">
        <v>18</v>
      </c>
      <c r="I1434" s="4">
        <f>SUMIFS($F$2:$F$2739,$G$2:$G$2739,"Annual Contract",$E$2:$E$2739,2024)/SUMIF($E$2:$E$2739,2024,$F$2:$F$2739)</f>
        <v>0.19200427193344777</v>
      </c>
    </row>
    <row r="1435" spans="1:9" x14ac:dyDescent="0.3">
      <c r="A1435" t="s">
        <v>11</v>
      </c>
      <c r="B1435" s="3">
        <v>45312</v>
      </c>
      <c r="C1435">
        <f t="shared" si="380"/>
        <v>21</v>
      </c>
      <c r="D1435">
        <f t="shared" si="381"/>
        <v>1</v>
      </c>
      <c r="E1435">
        <f t="shared" si="382"/>
        <v>2024</v>
      </c>
      <c r="F1435" s="2">
        <v>3038</v>
      </c>
      <c r="G1435" t="s">
        <v>19</v>
      </c>
      <c r="I1435" s="4">
        <f t="shared" ref="I1435:I1438" si="387">SUMIFS($F$2:$F$2739,$G$2:$G$2739,"Multi-year Contract",$E$2:$E$2739,2024)/SUMIF($E$2:$E$2739,2024,$F$2:$F$2739)</f>
        <v>0.71222648320847215</v>
      </c>
    </row>
    <row r="1436" spans="1:9" x14ac:dyDescent="0.3">
      <c r="A1436" t="s">
        <v>8</v>
      </c>
      <c r="B1436" s="3">
        <v>45312</v>
      </c>
      <c r="C1436">
        <f t="shared" si="380"/>
        <v>21</v>
      </c>
      <c r="D1436">
        <f t="shared" si="381"/>
        <v>1</v>
      </c>
      <c r="E1436">
        <f t="shared" si="382"/>
        <v>2024</v>
      </c>
      <c r="F1436" s="2">
        <v>2893</v>
      </c>
      <c r="G1436" s="2" t="s">
        <v>19</v>
      </c>
      <c r="I1436" s="4">
        <f t="shared" si="387"/>
        <v>0.71222648320847215</v>
      </c>
    </row>
    <row r="1437" spans="1:9" x14ac:dyDescent="0.3">
      <c r="A1437" t="s">
        <v>12</v>
      </c>
      <c r="B1437" s="3">
        <v>45312</v>
      </c>
      <c r="C1437">
        <f t="shared" si="380"/>
        <v>21</v>
      </c>
      <c r="D1437">
        <f t="shared" si="381"/>
        <v>1</v>
      </c>
      <c r="E1437">
        <f t="shared" si="382"/>
        <v>2024</v>
      </c>
      <c r="F1437" s="2">
        <v>2657</v>
      </c>
      <c r="G1437" s="2" t="s">
        <v>19</v>
      </c>
      <c r="I1437" s="4">
        <f t="shared" si="387"/>
        <v>0.71222648320847215</v>
      </c>
    </row>
    <row r="1438" spans="1:9" x14ac:dyDescent="0.3">
      <c r="A1438" t="s">
        <v>11</v>
      </c>
      <c r="B1438" s="3">
        <v>45312</v>
      </c>
      <c r="C1438">
        <f t="shared" si="380"/>
        <v>21</v>
      </c>
      <c r="D1438">
        <f t="shared" si="381"/>
        <v>1</v>
      </c>
      <c r="E1438">
        <f t="shared" si="382"/>
        <v>2024</v>
      </c>
      <c r="F1438" s="2">
        <v>3542</v>
      </c>
      <c r="G1438" t="s">
        <v>19</v>
      </c>
      <c r="I1438" s="4">
        <f t="shared" si="387"/>
        <v>0.71222648320847215</v>
      </c>
    </row>
    <row r="1439" spans="1:9" x14ac:dyDescent="0.3">
      <c r="A1439" t="s">
        <v>6</v>
      </c>
      <c r="B1439" s="3">
        <v>45313</v>
      </c>
      <c r="C1439">
        <f t="shared" si="380"/>
        <v>22</v>
      </c>
      <c r="D1439">
        <f t="shared" si="381"/>
        <v>1</v>
      </c>
      <c r="E1439">
        <f t="shared" si="382"/>
        <v>2024</v>
      </c>
      <c r="F1439" s="2">
        <v>1737</v>
      </c>
      <c r="G1439" t="s">
        <v>18</v>
      </c>
      <c r="I1439" s="4">
        <f t="shared" ref="I1439:I1441" si="388">SUMIFS($F$2:$F$2739,$G$2:$G$2739,"Annual Contract",$E$2:$E$2739,2024)/SUMIF($E$2:$E$2739,2024,$F$2:$F$2739)</f>
        <v>0.19200427193344777</v>
      </c>
    </row>
    <row r="1440" spans="1:9" x14ac:dyDescent="0.3">
      <c r="A1440" t="s">
        <v>6</v>
      </c>
      <c r="B1440" s="3">
        <v>45313</v>
      </c>
      <c r="C1440">
        <f t="shared" si="380"/>
        <v>22</v>
      </c>
      <c r="D1440">
        <f t="shared" si="381"/>
        <v>1</v>
      </c>
      <c r="E1440">
        <f t="shared" si="382"/>
        <v>2024</v>
      </c>
      <c r="F1440" s="2">
        <v>1506</v>
      </c>
      <c r="G1440" t="s">
        <v>18</v>
      </c>
      <c r="I1440" s="4">
        <f t="shared" si="388"/>
        <v>0.19200427193344777</v>
      </c>
    </row>
    <row r="1441" spans="1:9" x14ac:dyDescent="0.3">
      <c r="A1441" t="s">
        <v>6</v>
      </c>
      <c r="B1441" s="3">
        <v>45313</v>
      </c>
      <c r="C1441">
        <f t="shared" si="380"/>
        <v>22</v>
      </c>
      <c r="D1441">
        <f t="shared" si="381"/>
        <v>1</v>
      </c>
      <c r="E1441">
        <f t="shared" si="382"/>
        <v>2024</v>
      </c>
      <c r="F1441" s="2">
        <v>2272</v>
      </c>
      <c r="G1441" t="s">
        <v>18</v>
      </c>
      <c r="I1441" s="4">
        <f t="shared" si="388"/>
        <v>0.19200427193344777</v>
      </c>
    </row>
    <row r="1442" spans="1:9" x14ac:dyDescent="0.3">
      <c r="A1442" t="s">
        <v>7</v>
      </c>
      <c r="B1442" s="3">
        <v>45313</v>
      </c>
      <c r="C1442">
        <f t="shared" si="380"/>
        <v>22</v>
      </c>
      <c r="D1442">
        <f t="shared" si="381"/>
        <v>1</v>
      </c>
      <c r="E1442">
        <f t="shared" si="382"/>
        <v>2024</v>
      </c>
      <c r="F1442" s="2">
        <v>3927</v>
      </c>
      <c r="G1442" t="s">
        <v>17</v>
      </c>
      <c r="I1442" s="4">
        <f>SUMIFS($F$2:$F$2739,$G$2:$G$2739,"No Contract",$E$2:$E$2739,2024)/SUMIF($E$2:$E$2739,2024,$F$2:$F$2739)</f>
        <v>9.576924485808011E-2</v>
      </c>
    </row>
    <row r="1443" spans="1:9" x14ac:dyDescent="0.3">
      <c r="A1443" t="s">
        <v>8</v>
      </c>
      <c r="B1443" s="3">
        <v>45313</v>
      </c>
      <c r="C1443">
        <f t="shared" si="380"/>
        <v>22</v>
      </c>
      <c r="D1443">
        <f t="shared" si="381"/>
        <v>1</v>
      </c>
      <c r="E1443">
        <f t="shared" si="382"/>
        <v>2024</v>
      </c>
      <c r="F1443" s="2">
        <v>3745</v>
      </c>
      <c r="G1443" s="2" t="s">
        <v>19</v>
      </c>
      <c r="I1443" s="4">
        <f t="shared" ref="I1443:I1444" si="389">SUMIFS($F$2:$F$2739,$G$2:$G$2739,"Multi-year Contract",$E$2:$E$2739,2024)/SUMIF($E$2:$E$2739,2024,$F$2:$F$2739)</f>
        <v>0.71222648320847215</v>
      </c>
    </row>
    <row r="1444" spans="1:9" x14ac:dyDescent="0.3">
      <c r="A1444" t="s">
        <v>10</v>
      </c>
      <c r="B1444" s="3">
        <v>45314</v>
      </c>
      <c r="C1444">
        <f t="shared" si="380"/>
        <v>23</v>
      </c>
      <c r="D1444">
        <f t="shared" si="381"/>
        <v>1</v>
      </c>
      <c r="E1444">
        <f t="shared" si="382"/>
        <v>2024</v>
      </c>
      <c r="F1444" s="2">
        <v>1051</v>
      </c>
      <c r="G1444" t="s">
        <v>19</v>
      </c>
      <c r="I1444" s="4">
        <f t="shared" si="389"/>
        <v>0.71222648320847215</v>
      </c>
    </row>
    <row r="1445" spans="1:9" x14ac:dyDescent="0.3">
      <c r="A1445" t="s">
        <v>7</v>
      </c>
      <c r="B1445" s="3">
        <v>45314</v>
      </c>
      <c r="C1445">
        <f t="shared" si="380"/>
        <v>23</v>
      </c>
      <c r="D1445">
        <f t="shared" si="381"/>
        <v>1</v>
      </c>
      <c r="E1445">
        <f t="shared" si="382"/>
        <v>2024</v>
      </c>
      <c r="F1445" s="2">
        <v>3247</v>
      </c>
      <c r="G1445" t="s">
        <v>17</v>
      </c>
      <c r="I1445" s="4">
        <f>SUMIFS($F$2:$F$2739,$G$2:$G$2739,"No Contract",$E$2:$E$2739,2024)/SUMIF($E$2:$E$2739,2024,$F$2:$F$2739)</f>
        <v>9.576924485808011E-2</v>
      </c>
    </row>
    <row r="1446" spans="1:9" x14ac:dyDescent="0.3">
      <c r="A1446" t="s">
        <v>9</v>
      </c>
      <c r="B1446" s="3">
        <v>45314</v>
      </c>
      <c r="C1446">
        <f t="shared" si="380"/>
        <v>23</v>
      </c>
      <c r="D1446">
        <f t="shared" si="381"/>
        <v>1</v>
      </c>
      <c r="E1446">
        <f t="shared" si="382"/>
        <v>2024</v>
      </c>
      <c r="F1446" s="2">
        <v>2496</v>
      </c>
      <c r="G1446" t="s">
        <v>18</v>
      </c>
      <c r="I1446" s="4">
        <f>SUMIFS($F$2:$F$2739,$G$2:$G$2739,"Annual Contract",$E$2:$E$2739,2024)/SUMIF($E$2:$E$2739,2024,$F$2:$F$2739)</f>
        <v>0.19200427193344777</v>
      </c>
    </row>
    <row r="1447" spans="1:9" x14ac:dyDescent="0.3">
      <c r="A1447" t="s">
        <v>12</v>
      </c>
      <c r="B1447" s="3">
        <v>45314</v>
      </c>
      <c r="C1447">
        <f t="shared" si="380"/>
        <v>23</v>
      </c>
      <c r="D1447">
        <f t="shared" si="381"/>
        <v>1</v>
      </c>
      <c r="E1447">
        <f t="shared" si="382"/>
        <v>2024</v>
      </c>
      <c r="F1447" s="2">
        <v>2112</v>
      </c>
      <c r="G1447" s="2" t="s">
        <v>19</v>
      </c>
      <c r="I1447" s="4">
        <f>SUMIFS($F$2:$F$2739,$G$2:$G$2739,"Multi-year Contract",$E$2:$E$2739,2024)/SUMIF($E$2:$E$2739,2024,$F$2:$F$2739)</f>
        <v>0.71222648320847215</v>
      </c>
    </row>
    <row r="1448" spans="1:9" x14ac:dyDescent="0.3">
      <c r="A1448" t="s">
        <v>6</v>
      </c>
      <c r="B1448" s="3">
        <v>45314</v>
      </c>
      <c r="C1448">
        <f t="shared" si="380"/>
        <v>23</v>
      </c>
      <c r="D1448">
        <f t="shared" si="381"/>
        <v>1</v>
      </c>
      <c r="E1448">
        <f t="shared" si="382"/>
        <v>2024</v>
      </c>
      <c r="F1448" s="2">
        <v>2530</v>
      </c>
      <c r="G1448" t="s">
        <v>18</v>
      </c>
      <c r="I1448" s="4">
        <f>SUMIFS($F$2:$F$2739,$G$2:$G$2739,"Annual Contract",$E$2:$E$2739,2024)/SUMIF($E$2:$E$2739,2024,$F$2:$F$2739)</f>
        <v>0.19200427193344777</v>
      </c>
    </row>
    <row r="1449" spans="1:9" x14ac:dyDescent="0.3">
      <c r="A1449" t="s">
        <v>8</v>
      </c>
      <c r="B1449" s="3">
        <v>45315</v>
      </c>
      <c r="C1449">
        <f t="shared" si="380"/>
        <v>24</v>
      </c>
      <c r="D1449">
        <f t="shared" si="381"/>
        <v>1</v>
      </c>
      <c r="E1449">
        <f t="shared" si="382"/>
        <v>2024</v>
      </c>
      <c r="F1449" s="2">
        <v>1469</v>
      </c>
      <c r="G1449" s="2" t="s">
        <v>19</v>
      </c>
      <c r="I1449" s="4">
        <f t="shared" ref="I1449:I1450" si="390">SUMIFS($F$2:$F$2739,$G$2:$G$2739,"Multi-year Contract",$E$2:$E$2739,2024)/SUMIF($E$2:$E$2739,2024,$F$2:$F$2739)</f>
        <v>0.71222648320847215</v>
      </c>
    </row>
    <row r="1450" spans="1:9" x14ac:dyDescent="0.3">
      <c r="A1450" t="s">
        <v>3</v>
      </c>
      <c r="B1450" s="3">
        <v>45316</v>
      </c>
      <c r="C1450">
        <f t="shared" si="380"/>
        <v>25</v>
      </c>
      <c r="D1450">
        <f t="shared" si="381"/>
        <v>1</v>
      </c>
      <c r="E1450">
        <f t="shared" si="382"/>
        <v>2024</v>
      </c>
      <c r="F1450" s="2">
        <v>2107</v>
      </c>
      <c r="G1450" t="s">
        <v>19</v>
      </c>
      <c r="I1450" s="4">
        <f t="shared" si="390"/>
        <v>0.71222648320847215</v>
      </c>
    </row>
    <row r="1451" spans="1:9" x14ac:dyDescent="0.3">
      <c r="A1451" t="s">
        <v>7</v>
      </c>
      <c r="B1451" s="3">
        <v>45316</v>
      </c>
      <c r="C1451">
        <f t="shared" si="380"/>
        <v>25</v>
      </c>
      <c r="D1451">
        <f t="shared" si="381"/>
        <v>1</v>
      </c>
      <c r="E1451">
        <f t="shared" si="382"/>
        <v>2024</v>
      </c>
      <c r="F1451" s="2">
        <v>1011</v>
      </c>
      <c r="G1451" t="s">
        <v>17</v>
      </c>
      <c r="I1451" s="4">
        <f>SUMIFS($F$2:$F$2739,$G$2:$G$2739,"No Contract",$E$2:$E$2739,2024)/SUMIF($E$2:$E$2739,2024,$F$2:$F$2739)</f>
        <v>9.576924485808011E-2</v>
      </c>
    </row>
    <row r="1452" spans="1:9" x14ac:dyDescent="0.3">
      <c r="A1452" t="s">
        <v>5</v>
      </c>
      <c r="B1452" s="3">
        <v>45316</v>
      </c>
      <c r="C1452">
        <f t="shared" si="380"/>
        <v>25</v>
      </c>
      <c r="D1452">
        <f t="shared" si="381"/>
        <v>1</v>
      </c>
      <c r="E1452">
        <f t="shared" si="382"/>
        <v>2024</v>
      </c>
      <c r="F1452" s="2">
        <v>1839</v>
      </c>
      <c r="G1452" t="s">
        <v>19</v>
      </c>
      <c r="I1452" s="4">
        <f t="shared" ref="I1452:I1454" si="391">SUMIFS($F$2:$F$2739,$G$2:$G$2739,"Multi-year Contract",$E$2:$E$2739,2024)/SUMIF($E$2:$E$2739,2024,$F$2:$F$2739)</f>
        <v>0.71222648320847215</v>
      </c>
    </row>
    <row r="1453" spans="1:9" x14ac:dyDescent="0.3">
      <c r="A1453" t="s">
        <v>5</v>
      </c>
      <c r="B1453" s="3">
        <v>45316</v>
      </c>
      <c r="C1453">
        <f t="shared" si="380"/>
        <v>25</v>
      </c>
      <c r="D1453">
        <f t="shared" si="381"/>
        <v>1</v>
      </c>
      <c r="E1453">
        <f t="shared" si="382"/>
        <v>2024</v>
      </c>
      <c r="F1453" s="2">
        <v>1388</v>
      </c>
      <c r="G1453" t="s">
        <v>19</v>
      </c>
      <c r="I1453" s="4">
        <f t="shared" si="391"/>
        <v>0.71222648320847215</v>
      </c>
    </row>
    <row r="1454" spans="1:9" x14ac:dyDescent="0.3">
      <c r="A1454" t="s">
        <v>10</v>
      </c>
      <c r="B1454" s="3">
        <v>45316</v>
      </c>
      <c r="C1454">
        <f t="shared" si="380"/>
        <v>25</v>
      </c>
      <c r="D1454">
        <f t="shared" si="381"/>
        <v>1</v>
      </c>
      <c r="E1454">
        <f t="shared" si="382"/>
        <v>2024</v>
      </c>
      <c r="F1454" s="2">
        <v>875</v>
      </c>
      <c r="G1454" t="s">
        <v>19</v>
      </c>
      <c r="I1454" s="4">
        <f t="shared" si="391"/>
        <v>0.71222648320847215</v>
      </c>
    </row>
    <row r="1455" spans="1:9" x14ac:dyDescent="0.3">
      <c r="A1455" t="s">
        <v>6</v>
      </c>
      <c r="B1455" s="3">
        <v>45317</v>
      </c>
      <c r="C1455">
        <f t="shared" si="380"/>
        <v>26</v>
      </c>
      <c r="D1455">
        <f t="shared" si="381"/>
        <v>1</v>
      </c>
      <c r="E1455">
        <f t="shared" si="382"/>
        <v>2024</v>
      </c>
      <c r="F1455" s="2">
        <v>3076</v>
      </c>
      <c r="G1455" t="s">
        <v>18</v>
      </c>
      <c r="I1455" s="4">
        <f>SUMIFS($F$2:$F$2739,$G$2:$G$2739,"Annual Contract",$E$2:$E$2739,2024)/SUMIF($E$2:$E$2739,2024,$F$2:$F$2739)</f>
        <v>0.19200427193344777</v>
      </c>
    </row>
    <row r="1456" spans="1:9" x14ac:dyDescent="0.3">
      <c r="A1456" t="s">
        <v>11</v>
      </c>
      <c r="B1456" s="3">
        <v>45317</v>
      </c>
      <c r="C1456">
        <f t="shared" si="380"/>
        <v>26</v>
      </c>
      <c r="D1456">
        <f t="shared" si="381"/>
        <v>1</v>
      </c>
      <c r="E1456">
        <f t="shared" si="382"/>
        <v>2024</v>
      </c>
      <c r="F1456" s="2">
        <v>2763</v>
      </c>
      <c r="G1456" t="s">
        <v>19</v>
      </c>
      <c r="I1456" s="4">
        <f t="shared" ref="I1456:I1457" si="392">SUMIFS($F$2:$F$2739,$G$2:$G$2739,"Multi-year Contract",$E$2:$E$2739,2024)/SUMIF($E$2:$E$2739,2024,$F$2:$F$2739)</f>
        <v>0.71222648320847215</v>
      </c>
    </row>
    <row r="1457" spans="1:9" x14ac:dyDescent="0.3">
      <c r="A1457" t="s">
        <v>4</v>
      </c>
      <c r="B1457" s="3">
        <v>45318</v>
      </c>
      <c r="C1457">
        <f t="shared" si="380"/>
        <v>27</v>
      </c>
      <c r="D1457">
        <f t="shared" si="381"/>
        <v>1</v>
      </c>
      <c r="E1457">
        <f t="shared" si="382"/>
        <v>2024</v>
      </c>
      <c r="F1457" s="2">
        <v>1733</v>
      </c>
      <c r="G1457" s="2" t="s">
        <v>19</v>
      </c>
      <c r="I1457" s="4">
        <f t="shared" si="392"/>
        <v>0.71222648320847215</v>
      </c>
    </row>
    <row r="1458" spans="1:9" x14ac:dyDescent="0.3">
      <c r="A1458" t="s">
        <v>7</v>
      </c>
      <c r="B1458" s="3">
        <v>45318</v>
      </c>
      <c r="C1458">
        <f t="shared" si="380"/>
        <v>27</v>
      </c>
      <c r="D1458">
        <f t="shared" si="381"/>
        <v>1</v>
      </c>
      <c r="E1458">
        <f t="shared" si="382"/>
        <v>2024</v>
      </c>
      <c r="F1458" s="2">
        <v>3665</v>
      </c>
      <c r="G1458" t="s">
        <v>17</v>
      </c>
      <c r="I1458" s="4">
        <f>SUMIFS($F$2:$F$2739,$G$2:$G$2739,"No Contract",$E$2:$E$2739,2024)/SUMIF($E$2:$E$2739,2024,$F$2:$F$2739)</f>
        <v>9.576924485808011E-2</v>
      </c>
    </row>
    <row r="1459" spans="1:9" x14ac:dyDescent="0.3">
      <c r="A1459" t="s">
        <v>9</v>
      </c>
      <c r="B1459" s="3">
        <v>45318</v>
      </c>
      <c r="C1459">
        <f t="shared" si="380"/>
        <v>27</v>
      </c>
      <c r="D1459">
        <f t="shared" si="381"/>
        <v>1</v>
      </c>
      <c r="E1459">
        <f t="shared" si="382"/>
        <v>2024</v>
      </c>
      <c r="F1459" s="2">
        <v>3188</v>
      </c>
      <c r="G1459" t="s">
        <v>18</v>
      </c>
      <c r="I1459" s="4">
        <f>SUMIFS($F$2:$F$2739,$G$2:$G$2739,"Annual Contract",$E$2:$E$2739,2024)/SUMIF($E$2:$E$2739,2024,$F$2:$F$2739)</f>
        <v>0.19200427193344777</v>
      </c>
    </row>
    <row r="1460" spans="1:9" x14ac:dyDescent="0.3">
      <c r="A1460" t="s">
        <v>12</v>
      </c>
      <c r="B1460" s="3">
        <v>45318</v>
      </c>
      <c r="C1460">
        <f t="shared" si="380"/>
        <v>27</v>
      </c>
      <c r="D1460">
        <f t="shared" si="381"/>
        <v>1</v>
      </c>
      <c r="E1460">
        <f t="shared" si="382"/>
        <v>2024</v>
      </c>
      <c r="F1460" s="2">
        <v>3183</v>
      </c>
      <c r="G1460" s="2" t="s">
        <v>19</v>
      </c>
      <c r="I1460" s="4">
        <f t="shared" ref="I1460:I1462" si="393">SUMIFS($F$2:$F$2739,$G$2:$G$2739,"Multi-year Contract",$E$2:$E$2739,2024)/SUMIF($E$2:$E$2739,2024,$F$2:$F$2739)</f>
        <v>0.71222648320847215</v>
      </c>
    </row>
    <row r="1461" spans="1:9" x14ac:dyDescent="0.3">
      <c r="A1461" t="s">
        <v>5</v>
      </c>
      <c r="B1461" s="3">
        <v>45319</v>
      </c>
      <c r="C1461">
        <f t="shared" si="380"/>
        <v>28</v>
      </c>
      <c r="D1461">
        <f t="shared" si="381"/>
        <v>1</v>
      </c>
      <c r="E1461">
        <f t="shared" si="382"/>
        <v>2024</v>
      </c>
      <c r="F1461" s="2">
        <v>3385</v>
      </c>
      <c r="G1461" t="s">
        <v>19</v>
      </c>
      <c r="I1461" s="4">
        <f t="shared" si="393"/>
        <v>0.71222648320847215</v>
      </c>
    </row>
    <row r="1462" spans="1:9" x14ac:dyDescent="0.3">
      <c r="A1462" t="s">
        <v>10</v>
      </c>
      <c r="B1462" s="3">
        <v>45319</v>
      </c>
      <c r="C1462">
        <f t="shared" si="380"/>
        <v>28</v>
      </c>
      <c r="D1462">
        <f t="shared" si="381"/>
        <v>1</v>
      </c>
      <c r="E1462">
        <f t="shared" si="382"/>
        <v>2024</v>
      </c>
      <c r="F1462" s="2">
        <v>2454</v>
      </c>
      <c r="G1462" t="s">
        <v>19</v>
      </c>
      <c r="I1462" s="4">
        <f t="shared" si="393"/>
        <v>0.71222648320847215</v>
      </c>
    </row>
    <row r="1463" spans="1:9" x14ac:dyDescent="0.3">
      <c r="A1463" t="s">
        <v>9</v>
      </c>
      <c r="B1463" s="3">
        <v>45320</v>
      </c>
      <c r="C1463">
        <f t="shared" si="380"/>
        <v>29</v>
      </c>
      <c r="D1463">
        <f t="shared" si="381"/>
        <v>1</v>
      </c>
      <c r="E1463">
        <f t="shared" si="382"/>
        <v>2024</v>
      </c>
      <c r="F1463" s="2">
        <v>2075</v>
      </c>
      <c r="G1463" t="s">
        <v>18</v>
      </c>
      <c r="I1463" s="4">
        <f t="shared" ref="I1463:I1465" si="394">SUMIFS($F$2:$F$2739,$G$2:$G$2739,"Annual Contract",$E$2:$E$2739,2024)/SUMIF($E$2:$E$2739,2024,$F$2:$F$2739)</f>
        <v>0.19200427193344777</v>
      </c>
    </row>
    <row r="1464" spans="1:9" x14ac:dyDescent="0.3">
      <c r="A1464" t="s">
        <v>6</v>
      </c>
      <c r="B1464" s="3">
        <v>45320</v>
      </c>
      <c r="C1464">
        <f t="shared" si="380"/>
        <v>29</v>
      </c>
      <c r="D1464">
        <f t="shared" si="381"/>
        <v>1</v>
      </c>
      <c r="E1464">
        <f t="shared" si="382"/>
        <v>2024</v>
      </c>
      <c r="F1464" s="2">
        <v>3955</v>
      </c>
      <c r="G1464" t="s">
        <v>18</v>
      </c>
      <c r="I1464" s="4">
        <f t="shared" si="394"/>
        <v>0.19200427193344777</v>
      </c>
    </row>
    <row r="1465" spans="1:9" x14ac:dyDescent="0.3">
      <c r="A1465" t="s">
        <v>9</v>
      </c>
      <c r="B1465" s="3">
        <v>45320</v>
      </c>
      <c r="C1465">
        <f t="shared" si="380"/>
        <v>29</v>
      </c>
      <c r="D1465">
        <f t="shared" si="381"/>
        <v>1</v>
      </c>
      <c r="E1465">
        <f t="shared" si="382"/>
        <v>2024</v>
      </c>
      <c r="F1465" s="2">
        <v>3943</v>
      </c>
      <c r="G1465" t="s">
        <v>18</v>
      </c>
      <c r="I1465" s="4">
        <f t="shared" si="394"/>
        <v>0.19200427193344777</v>
      </c>
    </row>
    <row r="1466" spans="1:9" x14ac:dyDescent="0.3">
      <c r="A1466" t="s">
        <v>10</v>
      </c>
      <c r="B1466" s="3">
        <v>45320</v>
      </c>
      <c r="C1466">
        <f t="shared" si="380"/>
        <v>29</v>
      </c>
      <c r="D1466">
        <f t="shared" si="381"/>
        <v>1</v>
      </c>
      <c r="E1466">
        <f t="shared" si="382"/>
        <v>2024</v>
      </c>
      <c r="F1466" s="2">
        <v>2890</v>
      </c>
      <c r="G1466" t="s">
        <v>19</v>
      </c>
      <c r="I1466" s="4">
        <f t="shared" ref="I1466:I1470" si="395">SUMIFS($F$2:$F$2739,$G$2:$G$2739,"Multi-year Contract",$E$2:$E$2739,2024)/SUMIF($E$2:$E$2739,2024,$F$2:$F$2739)</f>
        <v>0.71222648320847215</v>
      </c>
    </row>
    <row r="1467" spans="1:9" x14ac:dyDescent="0.3">
      <c r="A1467" t="s">
        <v>11</v>
      </c>
      <c r="B1467" s="3">
        <v>45320</v>
      </c>
      <c r="C1467">
        <f t="shared" si="380"/>
        <v>29</v>
      </c>
      <c r="D1467">
        <f t="shared" si="381"/>
        <v>1</v>
      </c>
      <c r="E1467">
        <f t="shared" si="382"/>
        <v>2024</v>
      </c>
      <c r="F1467" s="2">
        <v>1798</v>
      </c>
      <c r="G1467" t="s">
        <v>19</v>
      </c>
      <c r="I1467" s="4">
        <f t="shared" si="395"/>
        <v>0.71222648320847215</v>
      </c>
    </row>
    <row r="1468" spans="1:9" x14ac:dyDescent="0.3">
      <c r="A1468" t="s">
        <v>8</v>
      </c>
      <c r="B1468" s="3">
        <v>45320</v>
      </c>
      <c r="C1468">
        <f t="shared" si="380"/>
        <v>29</v>
      </c>
      <c r="D1468">
        <f t="shared" si="381"/>
        <v>1</v>
      </c>
      <c r="E1468">
        <f t="shared" si="382"/>
        <v>2024</v>
      </c>
      <c r="F1468" s="2">
        <v>3055</v>
      </c>
      <c r="G1468" s="2" t="s">
        <v>19</v>
      </c>
      <c r="I1468" s="4">
        <f t="shared" si="395"/>
        <v>0.71222648320847215</v>
      </c>
    </row>
    <row r="1469" spans="1:9" x14ac:dyDescent="0.3">
      <c r="A1469" t="s">
        <v>3</v>
      </c>
      <c r="B1469" s="3">
        <v>45321</v>
      </c>
      <c r="C1469">
        <f t="shared" si="380"/>
        <v>30</v>
      </c>
      <c r="D1469">
        <f t="shared" si="381"/>
        <v>1</v>
      </c>
      <c r="E1469">
        <f t="shared" si="382"/>
        <v>2024</v>
      </c>
      <c r="F1469" s="2">
        <v>3891</v>
      </c>
      <c r="G1469" t="s">
        <v>19</v>
      </c>
      <c r="I1469" s="4">
        <f t="shared" si="395"/>
        <v>0.71222648320847215</v>
      </c>
    </row>
    <row r="1470" spans="1:9" x14ac:dyDescent="0.3">
      <c r="A1470" t="s">
        <v>12</v>
      </c>
      <c r="B1470" s="3">
        <v>45321</v>
      </c>
      <c r="C1470">
        <f t="shared" si="380"/>
        <v>30</v>
      </c>
      <c r="D1470">
        <f t="shared" si="381"/>
        <v>1</v>
      </c>
      <c r="E1470">
        <f t="shared" si="382"/>
        <v>2024</v>
      </c>
      <c r="F1470" s="2">
        <v>2884</v>
      </c>
      <c r="G1470" s="2" t="s">
        <v>19</v>
      </c>
      <c r="I1470" s="4">
        <f t="shared" si="395"/>
        <v>0.71222648320847215</v>
      </c>
    </row>
    <row r="1471" spans="1:9" x14ac:dyDescent="0.3">
      <c r="A1471" t="s">
        <v>9</v>
      </c>
      <c r="B1471" s="3">
        <v>45321</v>
      </c>
      <c r="C1471">
        <f t="shared" si="380"/>
        <v>30</v>
      </c>
      <c r="D1471">
        <f t="shared" si="381"/>
        <v>1</v>
      </c>
      <c r="E1471">
        <f t="shared" si="382"/>
        <v>2024</v>
      </c>
      <c r="F1471" s="2">
        <v>2897</v>
      </c>
      <c r="G1471" t="s">
        <v>18</v>
      </c>
      <c r="I1471" s="4">
        <f>SUMIFS($F$2:$F$2739,$G$2:$G$2739,"Annual Contract",$E$2:$E$2739,2024)/SUMIF($E$2:$E$2739,2024,$F$2:$F$2739)</f>
        <v>0.19200427193344777</v>
      </c>
    </row>
    <row r="1472" spans="1:9" x14ac:dyDescent="0.3">
      <c r="A1472" t="s">
        <v>5</v>
      </c>
      <c r="B1472" s="3">
        <v>45322</v>
      </c>
      <c r="C1472">
        <f t="shared" si="380"/>
        <v>31</v>
      </c>
      <c r="D1472">
        <f t="shared" si="381"/>
        <v>1</v>
      </c>
      <c r="E1472">
        <f t="shared" si="382"/>
        <v>2024</v>
      </c>
      <c r="F1472" s="2">
        <v>2953</v>
      </c>
      <c r="G1472" t="s">
        <v>19</v>
      </c>
      <c r="I1472" s="4">
        <f t="shared" ref="I1472:I1476" si="396">SUMIFS($F$2:$F$2739,$G$2:$G$2739,"Multi-year Contract",$E$2:$E$2739,2024)/SUMIF($E$2:$E$2739,2024,$F$2:$F$2739)</f>
        <v>0.71222648320847215</v>
      </c>
    </row>
    <row r="1473" spans="1:9" x14ac:dyDescent="0.3">
      <c r="A1473" t="s">
        <v>11</v>
      </c>
      <c r="B1473" s="3">
        <v>45322</v>
      </c>
      <c r="C1473">
        <f t="shared" si="380"/>
        <v>31</v>
      </c>
      <c r="D1473">
        <f t="shared" si="381"/>
        <v>1</v>
      </c>
      <c r="E1473">
        <f t="shared" si="382"/>
        <v>2024</v>
      </c>
      <c r="F1473" s="2">
        <v>3135</v>
      </c>
      <c r="G1473" t="s">
        <v>19</v>
      </c>
      <c r="I1473" s="4">
        <f t="shared" si="396"/>
        <v>0.71222648320847215</v>
      </c>
    </row>
    <row r="1474" spans="1:9" x14ac:dyDescent="0.3">
      <c r="A1474" t="s">
        <v>12</v>
      </c>
      <c r="B1474" s="3">
        <v>45322</v>
      </c>
      <c r="C1474">
        <f t="shared" si="380"/>
        <v>31</v>
      </c>
      <c r="D1474">
        <f t="shared" si="381"/>
        <v>1</v>
      </c>
      <c r="E1474">
        <f t="shared" si="382"/>
        <v>2024</v>
      </c>
      <c r="F1474" s="2">
        <v>1653</v>
      </c>
      <c r="G1474" s="2" t="s">
        <v>19</v>
      </c>
      <c r="I1474" s="4">
        <f t="shared" si="396"/>
        <v>0.71222648320847215</v>
      </c>
    </row>
    <row r="1475" spans="1:9" x14ac:dyDescent="0.3">
      <c r="A1475" t="s">
        <v>8</v>
      </c>
      <c r="B1475" s="3">
        <v>45322</v>
      </c>
      <c r="C1475">
        <f t="shared" ref="C1475:C1538" si="397">DAY(B1475)</f>
        <v>31</v>
      </c>
      <c r="D1475">
        <f t="shared" ref="D1475:D1538" si="398">MONTH(B1475)</f>
        <v>1</v>
      </c>
      <c r="E1475">
        <f t="shared" ref="E1475:E1538" si="399">YEAR(B1475)</f>
        <v>2024</v>
      </c>
      <c r="F1475" s="2">
        <v>3435</v>
      </c>
      <c r="G1475" s="2" t="s">
        <v>19</v>
      </c>
      <c r="I1475" s="4">
        <f t="shared" si="396"/>
        <v>0.71222648320847215</v>
      </c>
    </row>
    <row r="1476" spans="1:9" x14ac:dyDescent="0.3">
      <c r="A1476" t="s">
        <v>8</v>
      </c>
      <c r="B1476" s="3">
        <v>45323</v>
      </c>
      <c r="C1476">
        <f t="shared" si="397"/>
        <v>1</v>
      </c>
      <c r="D1476">
        <f t="shared" si="398"/>
        <v>2</v>
      </c>
      <c r="E1476">
        <f t="shared" si="399"/>
        <v>2024</v>
      </c>
      <c r="F1476" s="2">
        <v>898</v>
      </c>
      <c r="G1476" s="2" t="s">
        <v>19</v>
      </c>
      <c r="I1476" s="4">
        <f t="shared" si="396"/>
        <v>0.71222648320847215</v>
      </c>
    </row>
    <row r="1477" spans="1:9" x14ac:dyDescent="0.3">
      <c r="A1477" t="s">
        <v>9</v>
      </c>
      <c r="B1477" s="3">
        <v>45323</v>
      </c>
      <c r="C1477">
        <f t="shared" si="397"/>
        <v>1</v>
      </c>
      <c r="D1477">
        <f t="shared" si="398"/>
        <v>2</v>
      </c>
      <c r="E1477">
        <f t="shared" si="399"/>
        <v>2024</v>
      </c>
      <c r="F1477" s="2">
        <v>3450</v>
      </c>
      <c r="G1477" t="s">
        <v>18</v>
      </c>
      <c r="I1477" s="4">
        <f>SUMIFS($F$2:$F$2739,$G$2:$G$2739,"Annual Contract",$E$2:$E$2739,2024)/SUMIF($E$2:$E$2739,2024,$F$2:$F$2739)</f>
        <v>0.19200427193344777</v>
      </c>
    </row>
    <row r="1478" spans="1:9" x14ac:dyDescent="0.3">
      <c r="A1478" t="s">
        <v>3</v>
      </c>
      <c r="B1478" s="3">
        <v>45323</v>
      </c>
      <c r="C1478">
        <f t="shared" si="397"/>
        <v>1</v>
      </c>
      <c r="D1478">
        <f t="shared" si="398"/>
        <v>2</v>
      </c>
      <c r="E1478">
        <f t="shared" si="399"/>
        <v>2024</v>
      </c>
      <c r="F1478" s="2">
        <v>3547</v>
      </c>
      <c r="G1478" t="s">
        <v>19</v>
      </c>
      <c r="I1478" s="4">
        <f t="shared" ref="I1478:I1479" si="400">SUMIFS($F$2:$F$2739,$G$2:$G$2739,"Multi-year Contract",$E$2:$E$2739,2024)/SUMIF($E$2:$E$2739,2024,$F$2:$F$2739)</f>
        <v>0.71222648320847215</v>
      </c>
    </row>
    <row r="1479" spans="1:9" x14ac:dyDescent="0.3">
      <c r="A1479" t="s">
        <v>5</v>
      </c>
      <c r="B1479" s="3">
        <v>45324</v>
      </c>
      <c r="C1479">
        <f t="shared" si="397"/>
        <v>2</v>
      </c>
      <c r="D1479">
        <f t="shared" si="398"/>
        <v>2</v>
      </c>
      <c r="E1479">
        <f t="shared" si="399"/>
        <v>2024</v>
      </c>
      <c r="F1479" s="2">
        <v>1119</v>
      </c>
      <c r="G1479" t="s">
        <v>19</v>
      </c>
      <c r="I1479" s="4">
        <f t="shared" si="400"/>
        <v>0.71222648320847215</v>
      </c>
    </row>
    <row r="1480" spans="1:9" x14ac:dyDescent="0.3">
      <c r="A1480" t="s">
        <v>7</v>
      </c>
      <c r="B1480" s="3">
        <v>45324</v>
      </c>
      <c r="C1480">
        <f t="shared" si="397"/>
        <v>2</v>
      </c>
      <c r="D1480">
        <f t="shared" si="398"/>
        <v>2</v>
      </c>
      <c r="E1480">
        <f t="shared" si="399"/>
        <v>2024</v>
      </c>
      <c r="F1480" s="2">
        <v>2254</v>
      </c>
      <c r="G1480" t="s">
        <v>17</v>
      </c>
      <c r="I1480" s="4">
        <f>SUMIFS($F$2:$F$2739,$G$2:$G$2739,"No Contract",$E$2:$E$2739,2024)/SUMIF($E$2:$E$2739,2024,$F$2:$F$2739)</f>
        <v>9.576924485808011E-2</v>
      </c>
    </row>
    <row r="1481" spans="1:9" x14ac:dyDescent="0.3">
      <c r="A1481" t="s">
        <v>6</v>
      </c>
      <c r="B1481" s="3">
        <v>45324</v>
      </c>
      <c r="C1481">
        <f t="shared" si="397"/>
        <v>2</v>
      </c>
      <c r="D1481">
        <f t="shared" si="398"/>
        <v>2</v>
      </c>
      <c r="E1481">
        <f t="shared" si="399"/>
        <v>2024</v>
      </c>
      <c r="F1481" s="2">
        <v>2962</v>
      </c>
      <c r="G1481" t="s">
        <v>18</v>
      </c>
      <c r="I1481" s="4">
        <f>SUMIFS($F$2:$F$2739,$G$2:$G$2739,"Annual Contract",$E$2:$E$2739,2024)/SUMIF($E$2:$E$2739,2024,$F$2:$F$2739)</f>
        <v>0.19200427193344777</v>
      </c>
    </row>
    <row r="1482" spans="1:9" x14ac:dyDescent="0.3">
      <c r="A1482" t="s">
        <v>8</v>
      </c>
      <c r="B1482" s="3">
        <v>45324</v>
      </c>
      <c r="C1482">
        <f t="shared" si="397"/>
        <v>2</v>
      </c>
      <c r="D1482">
        <f t="shared" si="398"/>
        <v>2</v>
      </c>
      <c r="E1482">
        <f t="shared" si="399"/>
        <v>2024</v>
      </c>
      <c r="F1482" s="2">
        <v>1802</v>
      </c>
      <c r="G1482" s="2" t="s">
        <v>19</v>
      </c>
      <c r="I1482" s="4">
        <f>SUMIFS($F$2:$F$2739,$G$2:$G$2739,"Multi-year Contract",$E$2:$E$2739,2024)/SUMIF($E$2:$E$2739,2024,$F$2:$F$2739)</f>
        <v>0.71222648320847215</v>
      </c>
    </row>
    <row r="1483" spans="1:9" x14ac:dyDescent="0.3">
      <c r="A1483" t="s">
        <v>7</v>
      </c>
      <c r="B1483" s="3">
        <v>45324</v>
      </c>
      <c r="C1483">
        <f t="shared" si="397"/>
        <v>2</v>
      </c>
      <c r="D1483">
        <f t="shared" si="398"/>
        <v>2</v>
      </c>
      <c r="E1483">
        <f t="shared" si="399"/>
        <v>2024</v>
      </c>
      <c r="F1483" s="2">
        <v>2714</v>
      </c>
      <c r="G1483" t="s">
        <v>17</v>
      </c>
      <c r="I1483" s="4">
        <f>SUMIFS($F$2:$F$2739,$G$2:$G$2739,"No Contract",$E$2:$E$2739,2024)/SUMIF($E$2:$E$2739,2024,$F$2:$F$2739)</f>
        <v>9.576924485808011E-2</v>
      </c>
    </row>
    <row r="1484" spans="1:9" x14ac:dyDescent="0.3">
      <c r="A1484" t="s">
        <v>12</v>
      </c>
      <c r="B1484" s="3">
        <v>45324</v>
      </c>
      <c r="C1484">
        <f t="shared" si="397"/>
        <v>2</v>
      </c>
      <c r="D1484">
        <f t="shared" si="398"/>
        <v>2</v>
      </c>
      <c r="E1484">
        <f t="shared" si="399"/>
        <v>2024</v>
      </c>
      <c r="F1484" s="2">
        <v>2543</v>
      </c>
      <c r="G1484" s="2" t="s">
        <v>19</v>
      </c>
      <c r="I1484" s="4">
        <f t="shared" ref="I1484:I1485" si="401">SUMIFS($F$2:$F$2739,$G$2:$G$2739,"Multi-year Contract",$E$2:$E$2739,2024)/SUMIF($E$2:$E$2739,2024,$F$2:$F$2739)</f>
        <v>0.71222648320847215</v>
      </c>
    </row>
    <row r="1485" spans="1:9" x14ac:dyDescent="0.3">
      <c r="A1485" t="s">
        <v>12</v>
      </c>
      <c r="B1485" s="3">
        <v>45325</v>
      </c>
      <c r="C1485">
        <f t="shared" si="397"/>
        <v>3</v>
      </c>
      <c r="D1485">
        <f t="shared" si="398"/>
        <v>2</v>
      </c>
      <c r="E1485">
        <f t="shared" si="399"/>
        <v>2024</v>
      </c>
      <c r="F1485" s="2">
        <v>1783</v>
      </c>
      <c r="G1485" s="2" t="s">
        <v>19</v>
      </c>
      <c r="I1485" s="4">
        <f t="shared" si="401"/>
        <v>0.71222648320847215</v>
      </c>
    </row>
    <row r="1486" spans="1:9" x14ac:dyDescent="0.3">
      <c r="A1486" t="s">
        <v>9</v>
      </c>
      <c r="B1486" s="3">
        <v>45325</v>
      </c>
      <c r="C1486">
        <f t="shared" si="397"/>
        <v>3</v>
      </c>
      <c r="D1486">
        <f t="shared" si="398"/>
        <v>2</v>
      </c>
      <c r="E1486">
        <f t="shared" si="399"/>
        <v>2024</v>
      </c>
      <c r="F1486" s="2">
        <v>3550</v>
      </c>
      <c r="G1486" t="s">
        <v>18</v>
      </c>
      <c r="I1486" s="4">
        <f>SUMIFS($F$2:$F$2739,$G$2:$G$2739,"Annual Contract",$E$2:$E$2739,2024)/SUMIF($E$2:$E$2739,2024,$F$2:$F$2739)</f>
        <v>0.19200427193344777</v>
      </c>
    </row>
    <row r="1487" spans="1:9" x14ac:dyDescent="0.3">
      <c r="A1487" t="s">
        <v>10</v>
      </c>
      <c r="B1487" s="3">
        <v>45325</v>
      </c>
      <c r="C1487">
        <f t="shared" si="397"/>
        <v>3</v>
      </c>
      <c r="D1487">
        <f t="shared" si="398"/>
        <v>2</v>
      </c>
      <c r="E1487">
        <f t="shared" si="399"/>
        <v>2024</v>
      </c>
      <c r="F1487" s="2">
        <v>2288</v>
      </c>
      <c r="G1487" t="s">
        <v>19</v>
      </c>
      <c r="I1487" s="4">
        <f t="shared" ref="I1487:I1491" si="402">SUMIFS($F$2:$F$2739,$G$2:$G$2739,"Multi-year Contract",$E$2:$E$2739,2024)/SUMIF($E$2:$E$2739,2024,$F$2:$F$2739)</f>
        <v>0.71222648320847215</v>
      </c>
    </row>
    <row r="1488" spans="1:9" x14ac:dyDescent="0.3">
      <c r="A1488" t="s">
        <v>10</v>
      </c>
      <c r="B1488" s="3">
        <v>45325</v>
      </c>
      <c r="C1488">
        <f t="shared" si="397"/>
        <v>3</v>
      </c>
      <c r="D1488">
        <f t="shared" si="398"/>
        <v>2</v>
      </c>
      <c r="E1488">
        <f t="shared" si="399"/>
        <v>2024</v>
      </c>
      <c r="F1488" s="2">
        <v>2891</v>
      </c>
      <c r="G1488" t="s">
        <v>19</v>
      </c>
      <c r="I1488" s="4">
        <f t="shared" si="402"/>
        <v>0.71222648320847215</v>
      </c>
    </row>
    <row r="1489" spans="1:9" x14ac:dyDescent="0.3">
      <c r="A1489" t="s">
        <v>12</v>
      </c>
      <c r="B1489" s="3">
        <v>45325</v>
      </c>
      <c r="C1489">
        <f t="shared" si="397"/>
        <v>3</v>
      </c>
      <c r="D1489">
        <f t="shared" si="398"/>
        <v>2</v>
      </c>
      <c r="E1489">
        <f t="shared" si="399"/>
        <v>2024</v>
      </c>
      <c r="F1489" s="2">
        <v>1995</v>
      </c>
      <c r="G1489" s="2" t="s">
        <v>19</v>
      </c>
      <c r="I1489" s="4">
        <f t="shared" si="402"/>
        <v>0.71222648320847215</v>
      </c>
    </row>
    <row r="1490" spans="1:9" x14ac:dyDescent="0.3">
      <c r="A1490" t="s">
        <v>12</v>
      </c>
      <c r="B1490" s="3">
        <v>45326</v>
      </c>
      <c r="C1490">
        <f t="shared" si="397"/>
        <v>4</v>
      </c>
      <c r="D1490">
        <f t="shared" si="398"/>
        <v>2</v>
      </c>
      <c r="E1490">
        <f t="shared" si="399"/>
        <v>2024</v>
      </c>
      <c r="F1490" s="2">
        <v>1384</v>
      </c>
      <c r="G1490" s="2" t="s">
        <v>19</v>
      </c>
      <c r="I1490" s="4">
        <f t="shared" si="402"/>
        <v>0.71222648320847215</v>
      </c>
    </row>
    <row r="1491" spans="1:9" x14ac:dyDescent="0.3">
      <c r="A1491" t="s">
        <v>8</v>
      </c>
      <c r="B1491" s="3">
        <v>45326</v>
      </c>
      <c r="C1491">
        <f t="shared" si="397"/>
        <v>4</v>
      </c>
      <c r="D1491">
        <f t="shared" si="398"/>
        <v>2</v>
      </c>
      <c r="E1491">
        <f t="shared" si="399"/>
        <v>2024</v>
      </c>
      <c r="F1491" s="2">
        <v>1641</v>
      </c>
      <c r="G1491" s="2" t="s">
        <v>19</v>
      </c>
      <c r="I1491" s="4">
        <f t="shared" si="402"/>
        <v>0.71222648320847215</v>
      </c>
    </row>
    <row r="1492" spans="1:9" x14ac:dyDescent="0.3">
      <c r="A1492" t="s">
        <v>7</v>
      </c>
      <c r="B1492" s="3">
        <v>45326</v>
      </c>
      <c r="C1492">
        <f t="shared" si="397"/>
        <v>4</v>
      </c>
      <c r="D1492">
        <f t="shared" si="398"/>
        <v>2</v>
      </c>
      <c r="E1492">
        <f t="shared" si="399"/>
        <v>2024</v>
      </c>
      <c r="F1492" s="2">
        <v>1714</v>
      </c>
      <c r="G1492" t="s">
        <v>17</v>
      </c>
      <c r="I1492" s="4">
        <f>SUMIFS($F$2:$F$2739,$G$2:$G$2739,"No Contract",$E$2:$E$2739,2024)/SUMIF($E$2:$E$2739,2024,$F$2:$F$2739)</f>
        <v>9.576924485808011E-2</v>
      </c>
    </row>
    <row r="1493" spans="1:9" x14ac:dyDescent="0.3">
      <c r="A1493" t="s">
        <v>5</v>
      </c>
      <c r="B1493" s="3">
        <v>45326</v>
      </c>
      <c r="C1493">
        <f t="shared" si="397"/>
        <v>4</v>
      </c>
      <c r="D1493">
        <f t="shared" si="398"/>
        <v>2</v>
      </c>
      <c r="E1493">
        <f t="shared" si="399"/>
        <v>2024</v>
      </c>
      <c r="F1493" s="2">
        <v>1921</v>
      </c>
      <c r="G1493" t="s">
        <v>19</v>
      </c>
      <c r="I1493" s="4">
        <f t="shared" ref="I1493:I1494" si="403">SUMIFS($F$2:$F$2739,$G$2:$G$2739,"Multi-year Contract",$E$2:$E$2739,2024)/SUMIF($E$2:$E$2739,2024,$F$2:$F$2739)</f>
        <v>0.71222648320847215</v>
      </c>
    </row>
    <row r="1494" spans="1:9" x14ac:dyDescent="0.3">
      <c r="A1494" t="s">
        <v>3</v>
      </c>
      <c r="B1494" s="3">
        <v>45328</v>
      </c>
      <c r="C1494">
        <f t="shared" si="397"/>
        <v>6</v>
      </c>
      <c r="D1494">
        <f t="shared" si="398"/>
        <v>2</v>
      </c>
      <c r="E1494">
        <f t="shared" si="399"/>
        <v>2024</v>
      </c>
      <c r="F1494" s="2">
        <v>967</v>
      </c>
      <c r="G1494" t="s">
        <v>19</v>
      </c>
      <c r="I1494" s="4">
        <f t="shared" si="403"/>
        <v>0.71222648320847215</v>
      </c>
    </row>
    <row r="1495" spans="1:9" x14ac:dyDescent="0.3">
      <c r="A1495" t="s">
        <v>6</v>
      </c>
      <c r="B1495" s="3">
        <v>45328</v>
      </c>
      <c r="C1495">
        <f t="shared" si="397"/>
        <v>6</v>
      </c>
      <c r="D1495">
        <f t="shared" si="398"/>
        <v>2</v>
      </c>
      <c r="E1495">
        <f t="shared" si="399"/>
        <v>2024</v>
      </c>
      <c r="F1495" s="2">
        <v>1966</v>
      </c>
      <c r="G1495" t="s">
        <v>18</v>
      </c>
      <c r="I1495" s="4">
        <f>SUMIFS($F$2:$F$2739,$G$2:$G$2739,"Annual Contract",$E$2:$E$2739,2024)/SUMIF($E$2:$E$2739,2024,$F$2:$F$2739)</f>
        <v>0.19200427193344777</v>
      </c>
    </row>
    <row r="1496" spans="1:9" x14ac:dyDescent="0.3">
      <c r="A1496" t="s">
        <v>3</v>
      </c>
      <c r="B1496" s="3">
        <v>45328</v>
      </c>
      <c r="C1496">
        <f t="shared" si="397"/>
        <v>6</v>
      </c>
      <c r="D1496">
        <f t="shared" si="398"/>
        <v>2</v>
      </c>
      <c r="E1496">
        <f t="shared" si="399"/>
        <v>2024</v>
      </c>
      <c r="F1496" s="2">
        <v>2938</v>
      </c>
      <c r="G1496" t="s">
        <v>19</v>
      </c>
      <c r="I1496" s="4">
        <f t="shared" ref="I1496:I1497" si="404">SUMIFS($F$2:$F$2739,$G$2:$G$2739,"Multi-year Contract",$E$2:$E$2739,2024)/SUMIF($E$2:$E$2739,2024,$F$2:$F$2739)</f>
        <v>0.71222648320847215</v>
      </c>
    </row>
    <row r="1497" spans="1:9" x14ac:dyDescent="0.3">
      <c r="A1497" t="s">
        <v>10</v>
      </c>
      <c r="B1497" s="3">
        <v>45328</v>
      </c>
      <c r="C1497">
        <f t="shared" si="397"/>
        <v>6</v>
      </c>
      <c r="D1497">
        <f t="shared" si="398"/>
        <v>2</v>
      </c>
      <c r="E1497">
        <f t="shared" si="399"/>
        <v>2024</v>
      </c>
      <c r="F1497" s="2">
        <v>1875</v>
      </c>
      <c r="G1497" t="s">
        <v>19</v>
      </c>
      <c r="I1497" s="4">
        <f t="shared" si="404"/>
        <v>0.71222648320847215</v>
      </c>
    </row>
    <row r="1498" spans="1:9" x14ac:dyDescent="0.3">
      <c r="A1498" t="s">
        <v>6</v>
      </c>
      <c r="B1498" s="3">
        <v>45329</v>
      </c>
      <c r="C1498">
        <f t="shared" si="397"/>
        <v>7</v>
      </c>
      <c r="D1498">
        <f t="shared" si="398"/>
        <v>2</v>
      </c>
      <c r="E1498">
        <f t="shared" si="399"/>
        <v>2024</v>
      </c>
      <c r="F1498" s="2">
        <v>769</v>
      </c>
      <c r="G1498" t="s">
        <v>18</v>
      </c>
      <c r="I1498" s="4">
        <f>SUMIFS($F$2:$F$2739,$G$2:$G$2739,"Annual Contract",$E$2:$E$2739,2024)/SUMIF($E$2:$E$2739,2024,$F$2:$F$2739)</f>
        <v>0.19200427193344777</v>
      </c>
    </row>
    <row r="1499" spans="1:9" x14ac:dyDescent="0.3">
      <c r="A1499" t="s">
        <v>5</v>
      </c>
      <c r="B1499" s="3">
        <v>45329</v>
      </c>
      <c r="C1499">
        <f t="shared" si="397"/>
        <v>7</v>
      </c>
      <c r="D1499">
        <f t="shared" si="398"/>
        <v>2</v>
      </c>
      <c r="E1499">
        <f t="shared" si="399"/>
        <v>2024</v>
      </c>
      <c r="F1499" s="2">
        <v>2188</v>
      </c>
      <c r="G1499" t="s">
        <v>19</v>
      </c>
      <c r="I1499" s="4">
        <f>SUMIFS($F$2:$F$2739,$G$2:$G$2739,"Multi-year Contract",$E$2:$E$2739,2024)/SUMIF($E$2:$E$2739,2024,$F$2:$F$2739)</f>
        <v>0.71222648320847215</v>
      </c>
    </row>
    <row r="1500" spans="1:9" x14ac:dyDescent="0.3">
      <c r="A1500" t="s">
        <v>7</v>
      </c>
      <c r="B1500" s="3">
        <v>45329</v>
      </c>
      <c r="C1500">
        <f t="shared" si="397"/>
        <v>7</v>
      </c>
      <c r="D1500">
        <f t="shared" si="398"/>
        <v>2</v>
      </c>
      <c r="E1500">
        <f t="shared" si="399"/>
        <v>2024</v>
      </c>
      <c r="F1500" s="2">
        <v>1660</v>
      </c>
      <c r="G1500" t="s">
        <v>17</v>
      </c>
      <c r="I1500" s="4">
        <f>SUMIFS($F$2:$F$2739,$G$2:$G$2739,"No Contract",$E$2:$E$2739,2024)/SUMIF($E$2:$E$2739,2024,$F$2:$F$2739)</f>
        <v>9.576924485808011E-2</v>
      </c>
    </row>
    <row r="1501" spans="1:9" x14ac:dyDescent="0.3">
      <c r="A1501" t="s">
        <v>3</v>
      </c>
      <c r="B1501" s="3">
        <v>45329</v>
      </c>
      <c r="C1501">
        <f t="shared" si="397"/>
        <v>7</v>
      </c>
      <c r="D1501">
        <f t="shared" si="398"/>
        <v>2</v>
      </c>
      <c r="E1501">
        <f t="shared" si="399"/>
        <v>2024</v>
      </c>
      <c r="F1501" s="2">
        <v>1195</v>
      </c>
      <c r="G1501" t="s">
        <v>19</v>
      </c>
      <c r="I1501" s="4">
        <f>SUMIFS($F$2:$F$2739,$G$2:$G$2739,"Multi-year Contract",$E$2:$E$2739,2024)/SUMIF($E$2:$E$2739,2024,$F$2:$F$2739)</f>
        <v>0.71222648320847215</v>
      </c>
    </row>
    <row r="1502" spans="1:9" x14ac:dyDescent="0.3">
      <c r="A1502" t="s">
        <v>9</v>
      </c>
      <c r="B1502" s="3">
        <v>45329</v>
      </c>
      <c r="C1502">
        <f t="shared" si="397"/>
        <v>7</v>
      </c>
      <c r="D1502">
        <f t="shared" si="398"/>
        <v>2</v>
      </c>
      <c r="E1502">
        <f t="shared" si="399"/>
        <v>2024</v>
      </c>
      <c r="F1502" s="2">
        <v>1065</v>
      </c>
      <c r="G1502" t="s">
        <v>18</v>
      </c>
      <c r="I1502" s="4">
        <f>SUMIFS($F$2:$F$2739,$G$2:$G$2739,"Annual Contract",$E$2:$E$2739,2024)/SUMIF($E$2:$E$2739,2024,$F$2:$F$2739)</f>
        <v>0.19200427193344777</v>
      </c>
    </row>
    <row r="1503" spans="1:9" x14ac:dyDescent="0.3">
      <c r="A1503" t="s">
        <v>12</v>
      </c>
      <c r="B1503" s="3">
        <v>45330</v>
      </c>
      <c r="C1503">
        <f t="shared" si="397"/>
        <v>8</v>
      </c>
      <c r="D1503">
        <f t="shared" si="398"/>
        <v>2</v>
      </c>
      <c r="E1503">
        <f t="shared" si="399"/>
        <v>2024</v>
      </c>
      <c r="F1503" s="2">
        <v>1872</v>
      </c>
      <c r="G1503" s="2" t="s">
        <v>19</v>
      </c>
      <c r="I1503" s="4">
        <f>SUMIFS($F$2:$F$2739,$G$2:$G$2739,"Multi-year Contract",$E$2:$E$2739,2024)/SUMIF($E$2:$E$2739,2024,$F$2:$F$2739)</f>
        <v>0.71222648320847215</v>
      </c>
    </row>
    <row r="1504" spans="1:9" x14ac:dyDescent="0.3">
      <c r="A1504" t="s">
        <v>9</v>
      </c>
      <c r="B1504" s="3">
        <v>45330</v>
      </c>
      <c r="C1504">
        <f t="shared" si="397"/>
        <v>8</v>
      </c>
      <c r="D1504">
        <f t="shared" si="398"/>
        <v>2</v>
      </c>
      <c r="E1504">
        <f t="shared" si="399"/>
        <v>2024</v>
      </c>
      <c r="F1504" s="2">
        <v>648</v>
      </c>
      <c r="G1504" t="s">
        <v>18</v>
      </c>
      <c r="I1504" s="4">
        <f>SUMIFS($F$2:$F$2739,$G$2:$G$2739,"Annual Contract",$E$2:$E$2739,2024)/SUMIF($E$2:$E$2739,2024,$F$2:$F$2739)</f>
        <v>0.19200427193344777</v>
      </c>
    </row>
    <row r="1505" spans="1:9" x14ac:dyDescent="0.3">
      <c r="A1505" t="s">
        <v>4</v>
      </c>
      <c r="B1505" s="3">
        <v>45330</v>
      </c>
      <c r="C1505">
        <f t="shared" si="397"/>
        <v>8</v>
      </c>
      <c r="D1505">
        <f t="shared" si="398"/>
        <v>2</v>
      </c>
      <c r="E1505">
        <f t="shared" si="399"/>
        <v>2024</v>
      </c>
      <c r="F1505" s="2">
        <v>3574</v>
      </c>
      <c r="G1505" s="2" t="s">
        <v>19</v>
      </c>
      <c r="I1505" s="4">
        <f t="shared" ref="I1505:I1506" si="405">SUMIFS($F$2:$F$2739,$G$2:$G$2739,"Multi-year Contract",$E$2:$E$2739,2024)/SUMIF($E$2:$E$2739,2024,$F$2:$F$2739)</f>
        <v>0.71222648320847215</v>
      </c>
    </row>
    <row r="1506" spans="1:9" x14ac:dyDescent="0.3">
      <c r="A1506" t="s">
        <v>8</v>
      </c>
      <c r="B1506" s="3">
        <v>45330</v>
      </c>
      <c r="C1506">
        <f t="shared" si="397"/>
        <v>8</v>
      </c>
      <c r="D1506">
        <f t="shared" si="398"/>
        <v>2</v>
      </c>
      <c r="E1506">
        <f t="shared" si="399"/>
        <v>2024</v>
      </c>
      <c r="F1506" s="2">
        <v>3438</v>
      </c>
      <c r="G1506" s="2" t="s">
        <v>19</v>
      </c>
      <c r="I1506" s="4">
        <f t="shared" si="405"/>
        <v>0.71222648320847215</v>
      </c>
    </row>
    <row r="1507" spans="1:9" x14ac:dyDescent="0.3">
      <c r="A1507" t="s">
        <v>9</v>
      </c>
      <c r="B1507" s="3">
        <v>45330</v>
      </c>
      <c r="C1507">
        <f t="shared" si="397"/>
        <v>8</v>
      </c>
      <c r="D1507">
        <f t="shared" si="398"/>
        <v>2</v>
      </c>
      <c r="E1507">
        <f t="shared" si="399"/>
        <v>2024</v>
      </c>
      <c r="F1507" s="2">
        <v>3629</v>
      </c>
      <c r="G1507" t="s">
        <v>18</v>
      </c>
      <c r="I1507" s="4">
        <f>SUMIFS($F$2:$F$2739,$G$2:$G$2739,"Annual Contract",$E$2:$E$2739,2024)/SUMIF($E$2:$E$2739,2024,$F$2:$F$2739)</f>
        <v>0.19200427193344777</v>
      </c>
    </row>
    <row r="1508" spans="1:9" x14ac:dyDescent="0.3">
      <c r="A1508" t="s">
        <v>11</v>
      </c>
      <c r="B1508" s="3">
        <v>45330</v>
      </c>
      <c r="C1508">
        <f t="shared" si="397"/>
        <v>8</v>
      </c>
      <c r="D1508">
        <f t="shared" si="398"/>
        <v>2</v>
      </c>
      <c r="E1508">
        <f t="shared" si="399"/>
        <v>2024</v>
      </c>
      <c r="F1508" s="2">
        <v>3480</v>
      </c>
      <c r="G1508" t="s">
        <v>19</v>
      </c>
      <c r="I1508" s="4">
        <f t="shared" ref="I1508:I1511" si="406">SUMIFS($F$2:$F$2739,$G$2:$G$2739,"Multi-year Contract",$E$2:$E$2739,2024)/SUMIF($E$2:$E$2739,2024,$F$2:$F$2739)</f>
        <v>0.71222648320847215</v>
      </c>
    </row>
    <row r="1509" spans="1:9" x14ac:dyDescent="0.3">
      <c r="A1509" t="s">
        <v>5</v>
      </c>
      <c r="B1509" s="3">
        <v>45331</v>
      </c>
      <c r="C1509">
        <f t="shared" si="397"/>
        <v>9</v>
      </c>
      <c r="D1509">
        <f t="shared" si="398"/>
        <v>2</v>
      </c>
      <c r="E1509">
        <f t="shared" si="399"/>
        <v>2024</v>
      </c>
      <c r="F1509" s="2">
        <v>2770</v>
      </c>
      <c r="G1509" t="s">
        <v>19</v>
      </c>
      <c r="I1509" s="4">
        <f t="shared" si="406"/>
        <v>0.71222648320847215</v>
      </c>
    </row>
    <row r="1510" spans="1:9" x14ac:dyDescent="0.3">
      <c r="A1510" t="s">
        <v>8</v>
      </c>
      <c r="B1510" s="3">
        <v>45331</v>
      </c>
      <c r="C1510">
        <f t="shared" si="397"/>
        <v>9</v>
      </c>
      <c r="D1510">
        <f t="shared" si="398"/>
        <v>2</v>
      </c>
      <c r="E1510">
        <f t="shared" si="399"/>
        <v>2024</v>
      </c>
      <c r="F1510" s="2">
        <v>1146</v>
      </c>
      <c r="G1510" s="2" t="s">
        <v>19</v>
      </c>
      <c r="I1510" s="4">
        <f t="shared" si="406"/>
        <v>0.71222648320847215</v>
      </c>
    </row>
    <row r="1511" spans="1:9" x14ac:dyDescent="0.3">
      <c r="A1511" t="s">
        <v>3</v>
      </c>
      <c r="B1511" s="3">
        <v>45332</v>
      </c>
      <c r="C1511">
        <f t="shared" si="397"/>
        <v>10</v>
      </c>
      <c r="D1511">
        <f t="shared" si="398"/>
        <v>2</v>
      </c>
      <c r="E1511">
        <f t="shared" si="399"/>
        <v>2024</v>
      </c>
      <c r="F1511" s="2">
        <v>3597</v>
      </c>
      <c r="G1511" t="s">
        <v>19</v>
      </c>
      <c r="I1511" s="4">
        <f t="shared" si="406"/>
        <v>0.71222648320847215</v>
      </c>
    </row>
    <row r="1512" spans="1:9" x14ac:dyDescent="0.3">
      <c r="A1512" t="s">
        <v>6</v>
      </c>
      <c r="B1512" s="3">
        <v>45332</v>
      </c>
      <c r="C1512">
        <f t="shared" si="397"/>
        <v>10</v>
      </c>
      <c r="D1512">
        <f t="shared" si="398"/>
        <v>2</v>
      </c>
      <c r="E1512">
        <f t="shared" si="399"/>
        <v>2024</v>
      </c>
      <c r="F1512" s="2">
        <v>3452</v>
      </c>
      <c r="G1512" t="s">
        <v>18</v>
      </c>
      <c r="I1512" s="4">
        <f t="shared" ref="I1512:I1513" si="407">SUMIFS($F$2:$F$2739,$G$2:$G$2739,"Annual Contract",$E$2:$E$2739,2024)/SUMIF($E$2:$E$2739,2024,$F$2:$F$2739)</f>
        <v>0.19200427193344777</v>
      </c>
    </row>
    <row r="1513" spans="1:9" x14ac:dyDescent="0.3">
      <c r="A1513" t="s">
        <v>9</v>
      </c>
      <c r="B1513" s="3">
        <v>45332</v>
      </c>
      <c r="C1513">
        <f t="shared" si="397"/>
        <v>10</v>
      </c>
      <c r="D1513">
        <f t="shared" si="398"/>
        <v>2</v>
      </c>
      <c r="E1513">
        <f t="shared" si="399"/>
        <v>2024</v>
      </c>
      <c r="F1513" s="2">
        <v>1828</v>
      </c>
      <c r="G1513" t="s">
        <v>18</v>
      </c>
      <c r="I1513" s="4">
        <f t="shared" si="407"/>
        <v>0.19200427193344777</v>
      </c>
    </row>
    <row r="1514" spans="1:9" x14ac:dyDescent="0.3">
      <c r="A1514" t="s">
        <v>7</v>
      </c>
      <c r="B1514" s="3">
        <v>45332</v>
      </c>
      <c r="C1514">
        <f t="shared" si="397"/>
        <v>10</v>
      </c>
      <c r="D1514">
        <f t="shared" si="398"/>
        <v>2</v>
      </c>
      <c r="E1514">
        <f t="shared" si="399"/>
        <v>2024</v>
      </c>
      <c r="F1514" s="2">
        <v>1283</v>
      </c>
      <c r="G1514" t="s">
        <v>17</v>
      </c>
      <c r="I1514" s="4">
        <f>SUMIFS($F$2:$F$2739,$G$2:$G$2739,"No Contract",$E$2:$E$2739,2024)/SUMIF($E$2:$E$2739,2024,$F$2:$F$2739)</f>
        <v>9.576924485808011E-2</v>
      </c>
    </row>
    <row r="1515" spans="1:9" x14ac:dyDescent="0.3">
      <c r="A1515" t="s">
        <v>8</v>
      </c>
      <c r="B1515" s="3">
        <v>45332</v>
      </c>
      <c r="C1515">
        <f t="shared" si="397"/>
        <v>10</v>
      </c>
      <c r="D1515">
        <f t="shared" si="398"/>
        <v>2</v>
      </c>
      <c r="E1515">
        <f t="shared" si="399"/>
        <v>2024</v>
      </c>
      <c r="F1515" s="2">
        <v>2262</v>
      </c>
      <c r="G1515" s="2" t="s">
        <v>19</v>
      </c>
      <c r="I1515" s="4">
        <f t="shared" ref="I1515:I1516" si="408">SUMIFS($F$2:$F$2739,$G$2:$G$2739,"Multi-year Contract",$E$2:$E$2739,2024)/SUMIF($E$2:$E$2739,2024,$F$2:$F$2739)</f>
        <v>0.71222648320847215</v>
      </c>
    </row>
    <row r="1516" spans="1:9" x14ac:dyDescent="0.3">
      <c r="A1516" t="s">
        <v>4</v>
      </c>
      <c r="B1516" s="3">
        <v>45333</v>
      </c>
      <c r="C1516">
        <f t="shared" si="397"/>
        <v>11</v>
      </c>
      <c r="D1516">
        <f t="shared" si="398"/>
        <v>2</v>
      </c>
      <c r="E1516">
        <f t="shared" si="399"/>
        <v>2024</v>
      </c>
      <c r="F1516" s="2">
        <v>2125</v>
      </c>
      <c r="G1516" s="2" t="s">
        <v>19</v>
      </c>
      <c r="I1516" s="4">
        <f t="shared" si="408"/>
        <v>0.71222648320847215</v>
      </c>
    </row>
    <row r="1517" spans="1:9" x14ac:dyDescent="0.3">
      <c r="A1517" t="s">
        <v>9</v>
      </c>
      <c r="B1517" s="3">
        <v>45333</v>
      </c>
      <c r="C1517">
        <f t="shared" si="397"/>
        <v>11</v>
      </c>
      <c r="D1517">
        <f t="shared" si="398"/>
        <v>2</v>
      </c>
      <c r="E1517">
        <f t="shared" si="399"/>
        <v>2024</v>
      </c>
      <c r="F1517" s="2">
        <v>1044</v>
      </c>
      <c r="G1517" t="s">
        <v>18</v>
      </c>
      <c r="I1517" s="4">
        <f t="shared" ref="I1517:I1519" si="409">SUMIFS($F$2:$F$2739,$G$2:$G$2739,"Annual Contract",$E$2:$E$2739,2024)/SUMIF($E$2:$E$2739,2024,$F$2:$F$2739)</f>
        <v>0.19200427193344777</v>
      </c>
    </row>
    <row r="1518" spans="1:9" x14ac:dyDescent="0.3">
      <c r="A1518" t="s">
        <v>6</v>
      </c>
      <c r="B1518" s="3">
        <v>45333</v>
      </c>
      <c r="C1518">
        <f t="shared" si="397"/>
        <v>11</v>
      </c>
      <c r="D1518">
        <f t="shared" si="398"/>
        <v>2</v>
      </c>
      <c r="E1518">
        <f t="shared" si="399"/>
        <v>2024</v>
      </c>
      <c r="F1518" s="2">
        <v>1996</v>
      </c>
      <c r="G1518" t="s">
        <v>18</v>
      </c>
      <c r="I1518" s="4">
        <f t="shared" si="409"/>
        <v>0.19200427193344777</v>
      </c>
    </row>
    <row r="1519" spans="1:9" x14ac:dyDescent="0.3">
      <c r="A1519" t="s">
        <v>9</v>
      </c>
      <c r="B1519" s="3">
        <v>45334</v>
      </c>
      <c r="C1519">
        <f t="shared" si="397"/>
        <v>12</v>
      </c>
      <c r="D1519">
        <f t="shared" si="398"/>
        <v>2</v>
      </c>
      <c r="E1519">
        <f t="shared" si="399"/>
        <v>2024</v>
      </c>
      <c r="F1519" s="2">
        <v>2645</v>
      </c>
      <c r="G1519" t="s">
        <v>18</v>
      </c>
      <c r="I1519" s="4">
        <f t="shared" si="409"/>
        <v>0.19200427193344777</v>
      </c>
    </row>
    <row r="1520" spans="1:9" x14ac:dyDescent="0.3">
      <c r="A1520" t="s">
        <v>8</v>
      </c>
      <c r="B1520" s="3">
        <v>45334</v>
      </c>
      <c r="C1520">
        <f t="shared" si="397"/>
        <v>12</v>
      </c>
      <c r="D1520">
        <f t="shared" si="398"/>
        <v>2</v>
      </c>
      <c r="E1520">
        <f t="shared" si="399"/>
        <v>2024</v>
      </c>
      <c r="F1520" s="2">
        <v>574</v>
      </c>
      <c r="G1520" s="2" t="s">
        <v>19</v>
      </c>
      <c r="I1520" s="4">
        <f t="shared" ref="I1520:I1523" si="410">SUMIFS($F$2:$F$2739,$G$2:$G$2739,"Multi-year Contract",$E$2:$E$2739,2024)/SUMIF($E$2:$E$2739,2024,$F$2:$F$2739)</f>
        <v>0.71222648320847215</v>
      </c>
    </row>
    <row r="1521" spans="1:9" x14ac:dyDescent="0.3">
      <c r="A1521" t="s">
        <v>10</v>
      </c>
      <c r="B1521" s="3">
        <v>45334</v>
      </c>
      <c r="C1521">
        <f t="shared" si="397"/>
        <v>12</v>
      </c>
      <c r="D1521">
        <f t="shared" si="398"/>
        <v>2</v>
      </c>
      <c r="E1521">
        <f t="shared" si="399"/>
        <v>2024</v>
      </c>
      <c r="F1521" s="2">
        <v>3518</v>
      </c>
      <c r="G1521" t="s">
        <v>19</v>
      </c>
      <c r="I1521" s="4">
        <f t="shared" si="410"/>
        <v>0.71222648320847215</v>
      </c>
    </row>
    <row r="1522" spans="1:9" x14ac:dyDescent="0.3">
      <c r="A1522" t="s">
        <v>4</v>
      </c>
      <c r="B1522" s="3">
        <v>45334</v>
      </c>
      <c r="C1522">
        <f t="shared" si="397"/>
        <v>12</v>
      </c>
      <c r="D1522">
        <f t="shared" si="398"/>
        <v>2</v>
      </c>
      <c r="E1522">
        <f t="shared" si="399"/>
        <v>2024</v>
      </c>
      <c r="F1522" s="2">
        <v>2795</v>
      </c>
      <c r="G1522" s="2" t="s">
        <v>19</v>
      </c>
      <c r="I1522" s="4">
        <f t="shared" si="410"/>
        <v>0.71222648320847215</v>
      </c>
    </row>
    <row r="1523" spans="1:9" x14ac:dyDescent="0.3">
      <c r="A1523" t="s">
        <v>12</v>
      </c>
      <c r="B1523" s="3">
        <v>45335</v>
      </c>
      <c r="C1523">
        <f t="shared" si="397"/>
        <v>13</v>
      </c>
      <c r="D1523">
        <f t="shared" si="398"/>
        <v>2</v>
      </c>
      <c r="E1523">
        <f t="shared" si="399"/>
        <v>2024</v>
      </c>
      <c r="F1523" s="2">
        <v>1945</v>
      </c>
      <c r="G1523" s="2" t="s">
        <v>19</v>
      </c>
      <c r="I1523" s="4">
        <f t="shared" si="410"/>
        <v>0.71222648320847215</v>
      </c>
    </row>
    <row r="1524" spans="1:9" x14ac:dyDescent="0.3">
      <c r="A1524" t="s">
        <v>7</v>
      </c>
      <c r="B1524" s="3">
        <v>45335</v>
      </c>
      <c r="C1524">
        <f t="shared" si="397"/>
        <v>13</v>
      </c>
      <c r="D1524">
        <f t="shared" si="398"/>
        <v>2</v>
      </c>
      <c r="E1524">
        <f t="shared" si="399"/>
        <v>2024</v>
      </c>
      <c r="F1524" s="2">
        <v>3105</v>
      </c>
      <c r="G1524" t="s">
        <v>17</v>
      </c>
      <c r="I1524" s="4">
        <f>SUMIFS($F$2:$F$2739,$G$2:$G$2739,"No Contract",$E$2:$E$2739,2024)/SUMIF($E$2:$E$2739,2024,$F$2:$F$2739)</f>
        <v>9.576924485808011E-2</v>
      </c>
    </row>
    <row r="1525" spans="1:9" x14ac:dyDescent="0.3">
      <c r="A1525" t="s">
        <v>12</v>
      </c>
      <c r="B1525" s="3">
        <v>45335</v>
      </c>
      <c r="C1525">
        <f t="shared" si="397"/>
        <v>13</v>
      </c>
      <c r="D1525">
        <f t="shared" si="398"/>
        <v>2</v>
      </c>
      <c r="E1525">
        <f t="shared" si="399"/>
        <v>2024</v>
      </c>
      <c r="F1525" s="2">
        <v>2160</v>
      </c>
      <c r="G1525" s="2" t="s">
        <v>19</v>
      </c>
      <c r="I1525" s="4">
        <f t="shared" ref="I1525:I1526" si="411">SUMIFS($F$2:$F$2739,$G$2:$G$2739,"Multi-year Contract",$E$2:$E$2739,2024)/SUMIF($E$2:$E$2739,2024,$F$2:$F$2739)</f>
        <v>0.71222648320847215</v>
      </c>
    </row>
    <row r="1526" spans="1:9" x14ac:dyDescent="0.3">
      <c r="A1526" t="s">
        <v>12</v>
      </c>
      <c r="B1526" s="3">
        <v>45337</v>
      </c>
      <c r="C1526">
        <f t="shared" si="397"/>
        <v>15</v>
      </c>
      <c r="D1526">
        <f t="shared" si="398"/>
        <v>2</v>
      </c>
      <c r="E1526">
        <f t="shared" si="399"/>
        <v>2024</v>
      </c>
      <c r="F1526" s="2">
        <v>2094</v>
      </c>
      <c r="G1526" s="2" t="s">
        <v>19</v>
      </c>
      <c r="I1526" s="4">
        <f t="shared" si="411"/>
        <v>0.71222648320847215</v>
      </c>
    </row>
    <row r="1527" spans="1:9" x14ac:dyDescent="0.3">
      <c r="A1527" t="s">
        <v>7</v>
      </c>
      <c r="B1527" s="3">
        <v>45337</v>
      </c>
      <c r="C1527">
        <f t="shared" si="397"/>
        <v>15</v>
      </c>
      <c r="D1527">
        <f t="shared" si="398"/>
        <v>2</v>
      </c>
      <c r="E1527">
        <f t="shared" si="399"/>
        <v>2024</v>
      </c>
      <c r="F1527" s="2">
        <v>908</v>
      </c>
      <c r="G1527" t="s">
        <v>17</v>
      </c>
      <c r="I1527" s="4">
        <f>SUMIFS($F$2:$F$2739,$G$2:$G$2739,"No Contract",$E$2:$E$2739,2024)/SUMIF($E$2:$E$2739,2024,$F$2:$F$2739)</f>
        <v>9.576924485808011E-2</v>
      </c>
    </row>
    <row r="1528" spans="1:9" x14ac:dyDescent="0.3">
      <c r="A1528" t="s">
        <v>6</v>
      </c>
      <c r="B1528" s="3">
        <v>45337</v>
      </c>
      <c r="C1528">
        <f t="shared" si="397"/>
        <v>15</v>
      </c>
      <c r="D1528">
        <f t="shared" si="398"/>
        <v>2</v>
      </c>
      <c r="E1528">
        <f t="shared" si="399"/>
        <v>2024</v>
      </c>
      <c r="F1528" s="2">
        <v>2162</v>
      </c>
      <c r="G1528" t="s">
        <v>18</v>
      </c>
      <c r="I1528" s="4">
        <f>SUMIFS($F$2:$F$2739,$G$2:$G$2739,"Annual Contract",$E$2:$E$2739,2024)/SUMIF($E$2:$E$2739,2024,$F$2:$F$2739)</f>
        <v>0.19200427193344777</v>
      </c>
    </row>
    <row r="1529" spans="1:9" x14ac:dyDescent="0.3">
      <c r="A1529" t="s">
        <v>7</v>
      </c>
      <c r="B1529" s="3">
        <v>45337</v>
      </c>
      <c r="C1529">
        <f t="shared" si="397"/>
        <v>15</v>
      </c>
      <c r="D1529">
        <f t="shared" si="398"/>
        <v>2</v>
      </c>
      <c r="E1529">
        <f t="shared" si="399"/>
        <v>2024</v>
      </c>
      <c r="F1529" s="2">
        <v>1395</v>
      </c>
      <c r="G1529" t="s">
        <v>17</v>
      </c>
      <c r="I1529" s="4">
        <f t="shared" ref="I1529:I1530" si="412">SUMIFS($F$2:$F$2739,$G$2:$G$2739,"No Contract",$E$2:$E$2739,2024)/SUMIF($E$2:$E$2739,2024,$F$2:$F$2739)</f>
        <v>9.576924485808011E-2</v>
      </c>
    </row>
    <row r="1530" spans="1:9" x14ac:dyDescent="0.3">
      <c r="A1530" t="s">
        <v>7</v>
      </c>
      <c r="B1530" s="3">
        <v>45338</v>
      </c>
      <c r="C1530">
        <f t="shared" si="397"/>
        <v>16</v>
      </c>
      <c r="D1530">
        <f t="shared" si="398"/>
        <v>2</v>
      </c>
      <c r="E1530">
        <f t="shared" si="399"/>
        <v>2024</v>
      </c>
      <c r="F1530" s="2">
        <v>2733</v>
      </c>
      <c r="G1530" t="s">
        <v>17</v>
      </c>
      <c r="I1530" s="4">
        <f t="shared" si="412"/>
        <v>9.576924485808011E-2</v>
      </c>
    </row>
    <row r="1531" spans="1:9" x14ac:dyDescent="0.3">
      <c r="A1531" t="s">
        <v>11</v>
      </c>
      <c r="B1531" s="3">
        <v>45338</v>
      </c>
      <c r="C1531">
        <f t="shared" si="397"/>
        <v>16</v>
      </c>
      <c r="D1531">
        <f t="shared" si="398"/>
        <v>2</v>
      </c>
      <c r="E1531">
        <f t="shared" si="399"/>
        <v>2024</v>
      </c>
      <c r="F1531" s="2">
        <v>1156</v>
      </c>
      <c r="G1531" t="s">
        <v>19</v>
      </c>
      <c r="I1531" s="4">
        <f t="shared" ref="I1531:I1532" si="413">SUMIFS($F$2:$F$2739,$G$2:$G$2739,"Multi-year Contract",$E$2:$E$2739,2024)/SUMIF($E$2:$E$2739,2024,$F$2:$F$2739)</f>
        <v>0.71222648320847215</v>
      </c>
    </row>
    <row r="1532" spans="1:9" x14ac:dyDescent="0.3">
      <c r="A1532" t="s">
        <v>11</v>
      </c>
      <c r="B1532" s="3">
        <v>45338</v>
      </c>
      <c r="C1532">
        <f t="shared" si="397"/>
        <v>16</v>
      </c>
      <c r="D1532">
        <f t="shared" si="398"/>
        <v>2</v>
      </c>
      <c r="E1532">
        <f t="shared" si="399"/>
        <v>2024</v>
      </c>
      <c r="F1532" s="2">
        <v>3256</v>
      </c>
      <c r="G1532" t="s">
        <v>19</v>
      </c>
      <c r="I1532" s="4">
        <f t="shared" si="413"/>
        <v>0.71222648320847215</v>
      </c>
    </row>
    <row r="1533" spans="1:9" x14ac:dyDescent="0.3">
      <c r="A1533" t="s">
        <v>6</v>
      </c>
      <c r="B1533" s="3">
        <v>45339</v>
      </c>
      <c r="C1533">
        <f t="shared" si="397"/>
        <v>17</v>
      </c>
      <c r="D1533">
        <f t="shared" si="398"/>
        <v>2</v>
      </c>
      <c r="E1533">
        <f t="shared" si="399"/>
        <v>2024</v>
      </c>
      <c r="F1533" s="2">
        <v>2234</v>
      </c>
      <c r="G1533" t="s">
        <v>18</v>
      </c>
      <c r="I1533" s="4">
        <f>SUMIFS($F$2:$F$2739,$G$2:$G$2739,"Annual Contract",$E$2:$E$2739,2024)/SUMIF($E$2:$E$2739,2024,$F$2:$F$2739)</f>
        <v>0.19200427193344777</v>
      </c>
    </row>
    <row r="1534" spans="1:9" x14ac:dyDescent="0.3">
      <c r="A1534" t="s">
        <v>10</v>
      </c>
      <c r="B1534" s="3">
        <v>45339</v>
      </c>
      <c r="C1534">
        <f t="shared" si="397"/>
        <v>17</v>
      </c>
      <c r="D1534">
        <f t="shared" si="398"/>
        <v>2</v>
      </c>
      <c r="E1534">
        <f t="shared" si="399"/>
        <v>2024</v>
      </c>
      <c r="F1534" s="2">
        <v>1286</v>
      </c>
      <c r="G1534" t="s">
        <v>19</v>
      </c>
      <c r="I1534" s="4">
        <f t="shared" ref="I1534:I1539" si="414">SUMIFS($F$2:$F$2739,$G$2:$G$2739,"Multi-year Contract",$E$2:$E$2739,2024)/SUMIF($E$2:$E$2739,2024,$F$2:$F$2739)</f>
        <v>0.71222648320847215</v>
      </c>
    </row>
    <row r="1535" spans="1:9" x14ac:dyDescent="0.3">
      <c r="A1535" t="s">
        <v>4</v>
      </c>
      <c r="B1535" s="3">
        <v>45339</v>
      </c>
      <c r="C1535">
        <f t="shared" si="397"/>
        <v>17</v>
      </c>
      <c r="D1535">
        <f t="shared" si="398"/>
        <v>2</v>
      </c>
      <c r="E1535">
        <f t="shared" si="399"/>
        <v>2024</v>
      </c>
      <c r="F1535" s="2">
        <v>3488</v>
      </c>
      <c r="G1535" s="2" t="s">
        <v>19</v>
      </c>
      <c r="I1535" s="4">
        <f t="shared" si="414"/>
        <v>0.71222648320847215</v>
      </c>
    </row>
    <row r="1536" spans="1:9" x14ac:dyDescent="0.3">
      <c r="A1536" t="s">
        <v>10</v>
      </c>
      <c r="B1536" s="3">
        <v>45339</v>
      </c>
      <c r="C1536">
        <f t="shared" si="397"/>
        <v>17</v>
      </c>
      <c r="D1536">
        <f t="shared" si="398"/>
        <v>2</v>
      </c>
      <c r="E1536">
        <f t="shared" si="399"/>
        <v>2024</v>
      </c>
      <c r="F1536" s="2">
        <v>3428</v>
      </c>
      <c r="G1536" t="s">
        <v>19</v>
      </c>
      <c r="I1536" s="4">
        <f t="shared" si="414"/>
        <v>0.71222648320847215</v>
      </c>
    </row>
    <row r="1537" spans="1:9" x14ac:dyDescent="0.3">
      <c r="A1537" t="s">
        <v>8</v>
      </c>
      <c r="B1537" s="3">
        <v>45339</v>
      </c>
      <c r="C1537">
        <f t="shared" si="397"/>
        <v>17</v>
      </c>
      <c r="D1537">
        <f t="shared" si="398"/>
        <v>2</v>
      </c>
      <c r="E1537">
        <f t="shared" si="399"/>
        <v>2024</v>
      </c>
      <c r="F1537" s="2">
        <v>2468</v>
      </c>
      <c r="G1537" s="2" t="s">
        <v>19</v>
      </c>
      <c r="I1537" s="4">
        <f t="shared" si="414"/>
        <v>0.71222648320847215</v>
      </c>
    </row>
    <row r="1538" spans="1:9" x14ac:dyDescent="0.3">
      <c r="A1538" t="s">
        <v>5</v>
      </c>
      <c r="B1538" s="3">
        <v>45339</v>
      </c>
      <c r="C1538">
        <f t="shared" si="397"/>
        <v>17</v>
      </c>
      <c r="D1538">
        <f t="shared" si="398"/>
        <v>2</v>
      </c>
      <c r="E1538">
        <f t="shared" si="399"/>
        <v>2024</v>
      </c>
      <c r="F1538" s="2">
        <v>1035</v>
      </c>
      <c r="G1538" t="s">
        <v>19</v>
      </c>
      <c r="I1538" s="4">
        <f t="shared" si="414"/>
        <v>0.71222648320847215</v>
      </c>
    </row>
    <row r="1539" spans="1:9" x14ac:dyDescent="0.3">
      <c r="A1539" t="s">
        <v>11</v>
      </c>
      <c r="B1539" s="3">
        <v>45340</v>
      </c>
      <c r="C1539">
        <f t="shared" ref="C1539:C1602" si="415">DAY(B1539)</f>
        <v>18</v>
      </c>
      <c r="D1539">
        <f t="shared" ref="D1539:D1602" si="416">MONTH(B1539)</f>
        <v>2</v>
      </c>
      <c r="E1539">
        <f t="shared" ref="E1539:E1602" si="417">YEAR(B1539)</f>
        <v>2024</v>
      </c>
      <c r="F1539" s="2">
        <v>3099</v>
      </c>
      <c r="G1539" t="s">
        <v>19</v>
      </c>
      <c r="I1539" s="4">
        <f t="shared" si="414"/>
        <v>0.71222648320847215</v>
      </c>
    </row>
    <row r="1540" spans="1:9" x14ac:dyDescent="0.3">
      <c r="A1540" t="s">
        <v>6</v>
      </c>
      <c r="B1540" s="3">
        <v>45340</v>
      </c>
      <c r="C1540">
        <f t="shared" si="415"/>
        <v>18</v>
      </c>
      <c r="D1540">
        <f t="shared" si="416"/>
        <v>2</v>
      </c>
      <c r="E1540">
        <f t="shared" si="417"/>
        <v>2024</v>
      </c>
      <c r="F1540" s="2">
        <v>2392</v>
      </c>
      <c r="G1540" t="s">
        <v>18</v>
      </c>
      <c r="I1540" s="4">
        <f t="shared" ref="I1540:I1541" si="418">SUMIFS($F$2:$F$2739,$G$2:$G$2739,"Annual Contract",$E$2:$E$2739,2024)/SUMIF($E$2:$E$2739,2024,$F$2:$F$2739)</f>
        <v>0.19200427193344777</v>
      </c>
    </row>
    <row r="1541" spans="1:9" x14ac:dyDescent="0.3">
      <c r="A1541" t="s">
        <v>9</v>
      </c>
      <c r="B1541" s="3">
        <v>45341</v>
      </c>
      <c r="C1541">
        <f t="shared" si="415"/>
        <v>19</v>
      </c>
      <c r="D1541">
        <f t="shared" si="416"/>
        <v>2</v>
      </c>
      <c r="E1541">
        <f t="shared" si="417"/>
        <v>2024</v>
      </c>
      <c r="F1541" s="2">
        <v>3518</v>
      </c>
      <c r="G1541" t="s">
        <v>18</v>
      </c>
      <c r="I1541" s="4">
        <f t="shared" si="418"/>
        <v>0.19200427193344777</v>
      </c>
    </row>
    <row r="1542" spans="1:9" x14ac:dyDescent="0.3">
      <c r="A1542" t="s">
        <v>11</v>
      </c>
      <c r="B1542" s="3">
        <v>45341</v>
      </c>
      <c r="C1542">
        <f t="shared" si="415"/>
        <v>19</v>
      </c>
      <c r="D1542">
        <f t="shared" si="416"/>
        <v>2</v>
      </c>
      <c r="E1542">
        <f t="shared" si="417"/>
        <v>2024</v>
      </c>
      <c r="F1542" s="2">
        <v>2177</v>
      </c>
      <c r="G1542" t="s">
        <v>19</v>
      </c>
      <c r="I1542" s="4">
        <f t="shared" ref="I1542:I1544" si="419">SUMIFS($F$2:$F$2739,$G$2:$G$2739,"Multi-year Contract",$E$2:$E$2739,2024)/SUMIF($E$2:$E$2739,2024,$F$2:$F$2739)</f>
        <v>0.71222648320847215</v>
      </c>
    </row>
    <row r="1543" spans="1:9" x14ac:dyDescent="0.3">
      <c r="A1543" t="s">
        <v>4</v>
      </c>
      <c r="B1543" s="3">
        <v>45341</v>
      </c>
      <c r="C1543">
        <f t="shared" si="415"/>
        <v>19</v>
      </c>
      <c r="D1543">
        <f t="shared" si="416"/>
        <v>2</v>
      </c>
      <c r="E1543">
        <f t="shared" si="417"/>
        <v>2024</v>
      </c>
      <c r="F1543" s="2">
        <v>1445</v>
      </c>
      <c r="G1543" s="2" t="s">
        <v>19</v>
      </c>
      <c r="I1543" s="4">
        <f t="shared" si="419"/>
        <v>0.71222648320847215</v>
      </c>
    </row>
    <row r="1544" spans="1:9" x14ac:dyDescent="0.3">
      <c r="A1544" t="s">
        <v>11</v>
      </c>
      <c r="B1544" s="3">
        <v>45342</v>
      </c>
      <c r="C1544">
        <f t="shared" si="415"/>
        <v>20</v>
      </c>
      <c r="D1544">
        <f t="shared" si="416"/>
        <v>2</v>
      </c>
      <c r="E1544">
        <f t="shared" si="417"/>
        <v>2024</v>
      </c>
      <c r="F1544" s="2">
        <v>3207</v>
      </c>
      <c r="G1544" t="s">
        <v>19</v>
      </c>
      <c r="I1544" s="4">
        <f t="shared" si="419"/>
        <v>0.71222648320847215</v>
      </c>
    </row>
    <row r="1545" spans="1:9" x14ac:dyDescent="0.3">
      <c r="A1545" t="s">
        <v>9</v>
      </c>
      <c r="B1545" s="3">
        <v>45342</v>
      </c>
      <c r="C1545">
        <f t="shared" si="415"/>
        <v>20</v>
      </c>
      <c r="D1545">
        <f t="shared" si="416"/>
        <v>2</v>
      </c>
      <c r="E1545">
        <f t="shared" si="417"/>
        <v>2024</v>
      </c>
      <c r="F1545" s="2">
        <v>1486</v>
      </c>
      <c r="G1545" t="s">
        <v>18</v>
      </c>
      <c r="I1545" s="4">
        <f>SUMIFS($F$2:$F$2739,$G$2:$G$2739,"Annual Contract",$E$2:$E$2739,2024)/SUMIF($E$2:$E$2739,2024,$F$2:$F$2739)</f>
        <v>0.19200427193344777</v>
      </c>
    </row>
    <row r="1546" spans="1:9" x14ac:dyDescent="0.3">
      <c r="A1546" t="s">
        <v>8</v>
      </c>
      <c r="B1546" s="3">
        <v>45342</v>
      </c>
      <c r="C1546">
        <f t="shared" si="415"/>
        <v>20</v>
      </c>
      <c r="D1546">
        <f t="shared" si="416"/>
        <v>2</v>
      </c>
      <c r="E1546">
        <f t="shared" si="417"/>
        <v>2024</v>
      </c>
      <c r="F1546" s="2">
        <v>2561</v>
      </c>
      <c r="G1546" s="2" t="s">
        <v>19</v>
      </c>
      <c r="I1546" s="4">
        <f t="shared" ref="I1546:I1547" si="420">SUMIFS($F$2:$F$2739,$G$2:$G$2739,"Multi-year Contract",$E$2:$E$2739,2024)/SUMIF($E$2:$E$2739,2024,$F$2:$F$2739)</f>
        <v>0.71222648320847215</v>
      </c>
    </row>
    <row r="1547" spans="1:9" x14ac:dyDescent="0.3">
      <c r="A1547" t="s">
        <v>5</v>
      </c>
      <c r="B1547" s="3">
        <v>45343</v>
      </c>
      <c r="C1547">
        <f t="shared" si="415"/>
        <v>21</v>
      </c>
      <c r="D1547">
        <f t="shared" si="416"/>
        <v>2</v>
      </c>
      <c r="E1547">
        <f t="shared" si="417"/>
        <v>2024</v>
      </c>
      <c r="F1547" s="2">
        <v>3903</v>
      </c>
      <c r="G1547" t="s">
        <v>19</v>
      </c>
      <c r="I1547" s="4">
        <f t="shared" si="420"/>
        <v>0.71222648320847215</v>
      </c>
    </row>
    <row r="1548" spans="1:9" x14ac:dyDescent="0.3">
      <c r="A1548" t="s">
        <v>7</v>
      </c>
      <c r="B1548" s="3">
        <v>45343</v>
      </c>
      <c r="C1548">
        <f t="shared" si="415"/>
        <v>21</v>
      </c>
      <c r="D1548">
        <f t="shared" si="416"/>
        <v>2</v>
      </c>
      <c r="E1548">
        <f t="shared" si="417"/>
        <v>2024</v>
      </c>
      <c r="F1548" s="2">
        <v>1730</v>
      </c>
      <c r="G1548" t="s">
        <v>17</v>
      </c>
      <c r="I1548" s="4">
        <f>SUMIFS($F$2:$F$2739,$G$2:$G$2739,"No Contract",$E$2:$E$2739,2024)/SUMIF($E$2:$E$2739,2024,$F$2:$F$2739)</f>
        <v>9.576924485808011E-2</v>
      </c>
    </row>
    <row r="1549" spans="1:9" x14ac:dyDescent="0.3">
      <c r="A1549" t="s">
        <v>12</v>
      </c>
      <c r="B1549" s="3">
        <v>45343</v>
      </c>
      <c r="C1549">
        <f t="shared" si="415"/>
        <v>21</v>
      </c>
      <c r="D1549">
        <f t="shared" si="416"/>
        <v>2</v>
      </c>
      <c r="E1549">
        <f t="shared" si="417"/>
        <v>2024</v>
      </c>
      <c r="F1549" s="2">
        <v>748</v>
      </c>
      <c r="G1549" s="2" t="s">
        <v>19</v>
      </c>
      <c r="I1549" s="4">
        <f t="shared" ref="I1549:I1550" si="421">SUMIFS($F$2:$F$2739,$G$2:$G$2739,"Multi-year Contract",$E$2:$E$2739,2024)/SUMIF($E$2:$E$2739,2024,$F$2:$F$2739)</f>
        <v>0.71222648320847215</v>
      </c>
    </row>
    <row r="1550" spans="1:9" x14ac:dyDescent="0.3">
      <c r="A1550" t="s">
        <v>3</v>
      </c>
      <c r="B1550" s="3">
        <v>45343</v>
      </c>
      <c r="C1550">
        <f t="shared" si="415"/>
        <v>21</v>
      </c>
      <c r="D1550">
        <f t="shared" si="416"/>
        <v>2</v>
      </c>
      <c r="E1550">
        <f t="shared" si="417"/>
        <v>2024</v>
      </c>
      <c r="F1550" s="2">
        <v>3799</v>
      </c>
      <c r="G1550" t="s">
        <v>19</v>
      </c>
      <c r="I1550" s="4">
        <f t="shared" si="421"/>
        <v>0.71222648320847215</v>
      </c>
    </row>
    <row r="1551" spans="1:9" x14ac:dyDescent="0.3">
      <c r="A1551" t="s">
        <v>7</v>
      </c>
      <c r="B1551" s="3">
        <v>45344</v>
      </c>
      <c r="C1551">
        <f t="shared" si="415"/>
        <v>22</v>
      </c>
      <c r="D1551">
        <f t="shared" si="416"/>
        <v>2</v>
      </c>
      <c r="E1551">
        <f t="shared" si="417"/>
        <v>2024</v>
      </c>
      <c r="F1551" s="2">
        <v>1643</v>
      </c>
      <c r="G1551" t="s">
        <v>17</v>
      </c>
      <c r="I1551" s="4">
        <f>SUMIFS($F$2:$F$2739,$G$2:$G$2739,"No Contract",$E$2:$E$2739,2024)/SUMIF($E$2:$E$2739,2024,$F$2:$F$2739)</f>
        <v>9.576924485808011E-2</v>
      </c>
    </row>
    <row r="1552" spans="1:9" x14ac:dyDescent="0.3">
      <c r="A1552" t="s">
        <v>8</v>
      </c>
      <c r="B1552" s="3">
        <v>45344</v>
      </c>
      <c r="C1552">
        <f t="shared" si="415"/>
        <v>22</v>
      </c>
      <c r="D1552">
        <f t="shared" si="416"/>
        <v>2</v>
      </c>
      <c r="E1552">
        <f t="shared" si="417"/>
        <v>2024</v>
      </c>
      <c r="F1552" s="2">
        <v>3916</v>
      </c>
      <c r="G1552" s="2" t="s">
        <v>19</v>
      </c>
      <c r="I1552" s="4">
        <f t="shared" ref="I1552:I1554" si="422">SUMIFS($F$2:$F$2739,$G$2:$G$2739,"Multi-year Contract",$E$2:$E$2739,2024)/SUMIF($E$2:$E$2739,2024,$F$2:$F$2739)</f>
        <v>0.71222648320847215</v>
      </c>
    </row>
    <row r="1553" spans="1:9" x14ac:dyDescent="0.3">
      <c r="A1553" t="s">
        <v>3</v>
      </c>
      <c r="B1553" s="3">
        <v>45345</v>
      </c>
      <c r="C1553">
        <f t="shared" si="415"/>
        <v>23</v>
      </c>
      <c r="D1553">
        <f t="shared" si="416"/>
        <v>2</v>
      </c>
      <c r="E1553">
        <f t="shared" si="417"/>
        <v>2024</v>
      </c>
      <c r="F1553" s="2">
        <v>2566</v>
      </c>
      <c r="G1553" t="s">
        <v>19</v>
      </c>
      <c r="I1553" s="4">
        <f t="shared" si="422"/>
        <v>0.71222648320847215</v>
      </c>
    </row>
    <row r="1554" spans="1:9" x14ac:dyDescent="0.3">
      <c r="A1554" t="s">
        <v>3</v>
      </c>
      <c r="B1554" s="3">
        <v>45345</v>
      </c>
      <c r="C1554">
        <f t="shared" si="415"/>
        <v>23</v>
      </c>
      <c r="D1554">
        <f t="shared" si="416"/>
        <v>2</v>
      </c>
      <c r="E1554">
        <f t="shared" si="417"/>
        <v>2024</v>
      </c>
      <c r="F1554" s="2">
        <v>2215</v>
      </c>
      <c r="G1554" t="s">
        <v>19</v>
      </c>
      <c r="I1554" s="4">
        <f t="shared" si="422"/>
        <v>0.71222648320847215</v>
      </c>
    </row>
    <row r="1555" spans="1:9" x14ac:dyDescent="0.3">
      <c r="A1555" t="s">
        <v>6</v>
      </c>
      <c r="B1555" s="3">
        <v>45345</v>
      </c>
      <c r="C1555">
        <f t="shared" si="415"/>
        <v>23</v>
      </c>
      <c r="D1555">
        <f t="shared" si="416"/>
        <v>2</v>
      </c>
      <c r="E1555">
        <f t="shared" si="417"/>
        <v>2024</v>
      </c>
      <c r="F1555" s="2">
        <v>2259</v>
      </c>
      <c r="G1555" t="s">
        <v>18</v>
      </c>
      <c r="I1555" s="4">
        <f>SUMIFS($F$2:$F$2739,$G$2:$G$2739,"Annual Contract",$E$2:$E$2739,2024)/SUMIF($E$2:$E$2739,2024,$F$2:$F$2739)</f>
        <v>0.19200427193344777</v>
      </c>
    </row>
    <row r="1556" spans="1:9" x14ac:dyDescent="0.3">
      <c r="A1556" t="s">
        <v>7</v>
      </c>
      <c r="B1556" s="3">
        <v>45345</v>
      </c>
      <c r="C1556">
        <f t="shared" si="415"/>
        <v>23</v>
      </c>
      <c r="D1556">
        <f t="shared" si="416"/>
        <v>2</v>
      </c>
      <c r="E1556">
        <f t="shared" si="417"/>
        <v>2024</v>
      </c>
      <c r="F1556" s="2">
        <v>694</v>
      </c>
      <c r="G1556" t="s">
        <v>17</v>
      </c>
      <c r="I1556" s="4">
        <f>SUMIFS($F$2:$F$2739,$G$2:$G$2739,"No Contract",$E$2:$E$2739,2024)/SUMIF($E$2:$E$2739,2024,$F$2:$F$2739)</f>
        <v>9.576924485808011E-2</v>
      </c>
    </row>
    <row r="1557" spans="1:9" x14ac:dyDescent="0.3">
      <c r="A1557" t="s">
        <v>3</v>
      </c>
      <c r="B1557" s="3">
        <v>45345</v>
      </c>
      <c r="C1557">
        <f t="shared" si="415"/>
        <v>23</v>
      </c>
      <c r="D1557">
        <f t="shared" si="416"/>
        <v>2</v>
      </c>
      <c r="E1557">
        <f t="shared" si="417"/>
        <v>2024</v>
      </c>
      <c r="F1557" s="2">
        <v>1315</v>
      </c>
      <c r="G1557" t="s">
        <v>19</v>
      </c>
      <c r="I1557" s="4">
        <f>SUMIFS($F$2:$F$2739,$G$2:$G$2739,"Multi-year Contract",$E$2:$E$2739,2024)/SUMIF($E$2:$E$2739,2024,$F$2:$F$2739)</f>
        <v>0.71222648320847215</v>
      </c>
    </row>
    <row r="1558" spans="1:9" x14ac:dyDescent="0.3">
      <c r="A1558" t="s">
        <v>6</v>
      </c>
      <c r="B1558" s="3">
        <v>45345</v>
      </c>
      <c r="C1558">
        <f t="shared" si="415"/>
        <v>23</v>
      </c>
      <c r="D1558">
        <f t="shared" si="416"/>
        <v>2</v>
      </c>
      <c r="E1558">
        <f t="shared" si="417"/>
        <v>2024</v>
      </c>
      <c r="F1558" s="2">
        <v>1923</v>
      </c>
      <c r="G1558" t="s">
        <v>18</v>
      </c>
      <c r="I1558" s="4">
        <f t="shared" ref="I1558:I1560" si="423">SUMIFS($F$2:$F$2739,$G$2:$G$2739,"Annual Contract",$E$2:$E$2739,2024)/SUMIF($E$2:$E$2739,2024,$F$2:$F$2739)</f>
        <v>0.19200427193344777</v>
      </c>
    </row>
    <row r="1559" spans="1:9" x14ac:dyDescent="0.3">
      <c r="A1559" t="s">
        <v>9</v>
      </c>
      <c r="B1559" s="3">
        <v>45345</v>
      </c>
      <c r="C1559">
        <f t="shared" si="415"/>
        <v>23</v>
      </c>
      <c r="D1559">
        <f t="shared" si="416"/>
        <v>2</v>
      </c>
      <c r="E1559">
        <f t="shared" si="417"/>
        <v>2024</v>
      </c>
      <c r="F1559" s="2">
        <v>2093</v>
      </c>
      <c r="G1559" t="s">
        <v>18</v>
      </c>
      <c r="I1559" s="4">
        <f t="shared" si="423"/>
        <v>0.19200427193344777</v>
      </c>
    </row>
    <row r="1560" spans="1:9" x14ac:dyDescent="0.3">
      <c r="A1560" t="s">
        <v>9</v>
      </c>
      <c r="B1560" s="3">
        <v>45345</v>
      </c>
      <c r="C1560">
        <f t="shared" si="415"/>
        <v>23</v>
      </c>
      <c r="D1560">
        <f t="shared" si="416"/>
        <v>2</v>
      </c>
      <c r="E1560">
        <f t="shared" si="417"/>
        <v>2024</v>
      </c>
      <c r="F1560" s="2">
        <v>3683</v>
      </c>
      <c r="G1560" t="s">
        <v>18</v>
      </c>
      <c r="I1560" s="4">
        <f t="shared" si="423"/>
        <v>0.19200427193344777</v>
      </c>
    </row>
    <row r="1561" spans="1:9" x14ac:dyDescent="0.3">
      <c r="A1561" t="s">
        <v>4</v>
      </c>
      <c r="B1561" s="3">
        <v>45345</v>
      </c>
      <c r="C1561">
        <f t="shared" si="415"/>
        <v>23</v>
      </c>
      <c r="D1561">
        <f t="shared" si="416"/>
        <v>2</v>
      </c>
      <c r="E1561">
        <f t="shared" si="417"/>
        <v>2024</v>
      </c>
      <c r="F1561" s="2">
        <v>3683</v>
      </c>
      <c r="G1561" s="2" t="s">
        <v>19</v>
      </c>
      <c r="I1561" s="4">
        <f t="shared" ref="I1561:I1562" si="424">SUMIFS($F$2:$F$2739,$G$2:$G$2739,"Multi-year Contract",$E$2:$E$2739,2024)/SUMIF($E$2:$E$2739,2024,$F$2:$F$2739)</f>
        <v>0.71222648320847215</v>
      </c>
    </row>
    <row r="1562" spans="1:9" x14ac:dyDescent="0.3">
      <c r="A1562" t="s">
        <v>3</v>
      </c>
      <c r="B1562" s="3">
        <v>45346</v>
      </c>
      <c r="C1562">
        <f t="shared" si="415"/>
        <v>24</v>
      </c>
      <c r="D1562">
        <f t="shared" si="416"/>
        <v>2</v>
      </c>
      <c r="E1562">
        <f t="shared" si="417"/>
        <v>2024</v>
      </c>
      <c r="F1562" s="2">
        <v>2391</v>
      </c>
      <c r="G1562" t="s">
        <v>19</v>
      </c>
      <c r="I1562" s="4">
        <f t="shared" si="424"/>
        <v>0.71222648320847215</v>
      </c>
    </row>
    <row r="1563" spans="1:9" x14ac:dyDescent="0.3">
      <c r="A1563" t="s">
        <v>6</v>
      </c>
      <c r="B1563" s="3">
        <v>45346</v>
      </c>
      <c r="C1563">
        <f t="shared" si="415"/>
        <v>24</v>
      </c>
      <c r="D1563">
        <f t="shared" si="416"/>
        <v>2</v>
      </c>
      <c r="E1563">
        <f t="shared" si="417"/>
        <v>2024</v>
      </c>
      <c r="F1563" s="2">
        <v>961</v>
      </c>
      <c r="G1563" t="s">
        <v>18</v>
      </c>
      <c r="I1563" s="4">
        <f>SUMIFS($F$2:$F$2739,$G$2:$G$2739,"Annual Contract",$E$2:$E$2739,2024)/SUMIF($E$2:$E$2739,2024,$F$2:$F$2739)</f>
        <v>0.19200427193344777</v>
      </c>
    </row>
    <row r="1564" spans="1:9" x14ac:dyDescent="0.3">
      <c r="A1564" t="s">
        <v>3</v>
      </c>
      <c r="B1564" s="3">
        <v>45347</v>
      </c>
      <c r="C1564">
        <f t="shared" si="415"/>
        <v>25</v>
      </c>
      <c r="D1564">
        <f t="shared" si="416"/>
        <v>2</v>
      </c>
      <c r="E1564">
        <f t="shared" si="417"/>
        <v>2024</v>
      </c>
      <c r="F1564" s="2">
        <v>2535</v>
      </c>
      <c r="G1564" t="s">
        <v>19</v>
      </c>
      <c r="I1564" s="4">
        <f t="shared" ref="I1564:I1565" si="425">SUMIFS($F$2:$F$2739,$G$2:$G$2739,"Multi-year Contract",$E$2:$E$2739,2024)/SUMIF($E$2:$E$2739,2024,$F$2:$F$2739)</f>
        <v>0.71222648320847215</v>
      </c>
    </row>
    <row r="1565" spans="1:9" x14ac:dyDescent="0.3">
      <c r="A1565" t="s">
        <v>12</v>
      </c>
      <c r="B1565" s="3">
        <v>45347</v>
      </c>
      <c r="C1565">
        <f t="shared" si="415"/>
        <v>25</v>
      </c>
      <c r="D1565">
        <f t="shared" si="416"/>
        <v>2</v>
      </c>
      <c r="E1565">
        <f t="shared" si="417"/>
        <v>2024</v>
      </c>
      <c r="F1565" s="2">
        <v>1256</v>
      </c>
      <c r="G1565" s="2" t="s">
        <v>19</v>
      </c>
      <c r="I1565" s="4">
        <f t="shared" si="425"/>
        <v>0.71222648320847215</v>
      </c>
    </row>
    <row r="1566" spans="1:9" x14ac:dyDescent="0.3">
      <c r="A1566" t="s">
        <v>9</v>
      </c>
      <c r="B1566" s="3">
        <v>45347</v>
      </c>
      <c r="C1566">
        <f t="shared" si="415"/>
        <v>25</v>
      </c>
      <c r="D1566">
        <f t="shared" si="416"/>
        <v>2</v>
      </c>
      <c r="E1566">
        <f t="shared" si="417"/>
        <v>2024</v>
      </c>
      <c r="F1566" s="2">
        <v>1449</v>
      </c>
      <c r="G1566" t="s">
        <v>18</v>
      </c>
      <c r="I1566" s="4">
        <f>SUMIFS($F$2:$F$2739,$G$2:$G$2739,"Annual Contract",$E$2:$E$2739,2024)/SUMIF($E$2:$E$2739,2024,$F$2:$F$2739)</f>
        <v>0.19200427193344777</v>
      </c>
    </row>
    <row r="1567" spans="1:9" x14ac:dyDescent="0.3">
      <c r="A1567" t="s">
        <v>12</v>
      </c>
      <c r="B1567" s="3">
        <v>45347</v>
      </c>
      <c r="C1567">
        <f t="shared" si="415"/>
        <v>25</v>
      </c>
      <c r="D1567">
        <f t="shared" si="416"/>
        <v>2</v>
      </c>
      <c r="E1567">
        <f t="shared" si="417"/>
        <v>2024</v>
      </c>
      <c r="F1567" s="2">
        <v>3948</v>
      </c>
      <c r="G1567" s="2" t="s">
        <v>19</v>
      </c>
      <c r="I1567" s="4">
        <f>SUMIFS($F$2:$F$2739,$G$2:$G$2739,"Multi-year Contract",$E$2:$E$2739,2024)/SUMIF($E$2:$E$2739,2024,$F$2:$F$2739)</f>
        <v>0.71222648320847215</v>
      </c>
    </row>
    <row r="1568" spans="1:9" x14ac:dyDescent="0.3">
      <c r="A1568" t="s">
        <v>9</v>
      </c>
      <c r="B1568" s="3">
        <v>45348</v>
      </c>
      <c r="C1568">
        <f t="shared" si="415"/>
        <v>26</v>
      </c>
      <c r="D1568">
        <f t="shared" si="416"/>
        <v>2</v>
      </c>
      <c r="E1568">
        <f t="shared" si="417"/>
        <v>2024</v>
      </c>
      <c r="F1568" s="2">
        <v>2654</v>
      </c>
      <c r="G1568" t="s">
        <v>18</v>
      </c>
      <c r="I1568" s="4">
        <f>SUMIFS($F$2:$F$2739,$G$2:$G$2739,"Annual Contract",$E$2:$E$2739,2024)/SUMIF($E$2:$E$2739,2024,$F$2:$F$2739)</f>
        <v>0.19200427193344777</v>
      </c>
    </row>
    <row r="1569" spans="1:9" x14ac:dyDescent="0.3">
      <c r="A1569" t="s">
        <v>12</v>
      </c>
      <c r="B1569" s="3">
        <v>45348</v>
      </c>
      <c r="C1569">
        <f t="shared" si="415"/>
        <v>26</v>
      </c>
      <c r="D1569">
        <f t="shared" si="416"/>
        <v>2</v>
      </c>
      <c r="E1569">
        <f t="shared" si="417"/>
        <v>2024</v>
      </c>
      <c r="F1569" s="2">
        <v>3643</v>
      </c>
      <c r="G1569" s="2" t="s">
        <v>19</v>
      </c>
      <c r="I1569" s="4">
        <f t="shared" ref="I1569:I1579" si="426">SUMIFS($F$2:$F$2739,$G$2:$G$2739,"Multi-year Contract",$E$2:$E$2739,2024)/SUMIF($E$2:$E$2739,2024,$F$2:$F$2739)</f>
        <v>0.71222648320847215</v>
      </c>
    </row>
    <row r="1570" spans="1:9" x14ac:dyDescent="0.3">
      <c r="A1570" t="s">
        <v>4</v>
      </c>
      <c r="B1570" s="3">
        <v>45348</v>
      </c>
      <c r="C1570">
        <f t="shared" si="415"/>
        <v>26</v>
      </c>
      <c r="D1570">
        <f t="shared" si="416"/>
        <v>2</v>
      </c>
      <c r="E1570">
        <f t="shared" si="417"/>
        <v>2024</v>
      </c>
      <c r="F1570" s="2">
        <v>3104</v>
      </c>
      <c r="G1570" s="2" t="s">
        <v>19</v>
      </c>
      <c r="I1570" s="4">
        <f t="shared" si="426"/>
        <v>0.71222648320847215</v>
      </c>
    </row>
    <row r="1571" spans="1:9" x14ac:dyDescent="0.3">
      <c r="A1571" t="s">
        <v>4</v>
      </c>
      <c r="B1571" s="3">
        <v>45348</v>
      </c>
      <c r="C1571">
        <f t="shared" si="415"/>
        <v>26</v>
      </c>
      <c r="D1571">
        <f t="shared" si="416"/>
        <v>2</v>
      </c>
      <c r="E1571">
        <f t="shared" si="417"/>
        <v>2024</v>
      </c>
      <c r="F1571" s="2">
        <v>1896</v>
      </c>
      <c r="G1571" s="2" t="s">
        <v>19</v>
      </c>
      <c r="I1571" s="4">
        <f t="shared" si="426"/>
        <v>0.71222648320847215</v>
      </c>
    </row>
    <row r="1572" spans="1:9" x14ac:dyDescent="0.3">
      <c r="A1572" t="s">
        <v>4</v>
      </c>
      <c r="B1572" s="3">
        <v>45348</v>
      </c>
      <c r="C1572">
        <f t="shared" si="415"/>
        <v>26</v>
      </c>
      <c r="D1572">
        <f t="shared" si="416"/>
        <v>2</v>
      </c>
      <c r="E1572">
        <f t="shared" si="417"/>
        <v>2024</v>
      </c>
      <c r="F1572" s="2">
        <v>2547</v>
      </c>
      <c r="G1572" s="2" t="s">
        <v>19</v>
      </c>
      <c r="I1572" s="4">
        <f t="shared" si="426"/>
        <v>0.71222648320847215</v>
      </c>
    </row>
    <row r="1573" spans="1:9" x14ac:dyDescent="0.3">
      <c r="A1573" t="s">
        <v>11</v>
      </c>
      <c r="B1573" s="3">
        <v>45348</v>
      </c>
      <c r="C1573">
        <f t="shared" si="415"/>
        <v>26</v>
      </c>
      <c r="D1573">
        <f t="shared" si="416"/>
        <v>2</v>
      </c>
      <c r="E1573">
        <f t="shared" si="417"/>
        <v>2024</v>
      </c>
      <c r="F1573" s="2">
        <v>641</v>
      </c>
      <c r="G1573" t="s">
        <v>19</v>
      </c>
      <c r="I1573" s="4">
        <f t="shared" si="426"/>
        <v>0.71222648320847215</v>
      </c>
    </row>
    <row r="1574" spans="1:9" x14ac:dyDescent="0.3">
      <c r="A1574" t="s">
        <v>4</v>
      </c>
      <c r="B1574" s="3">
        <v>45348</v>
      </c>
      <c r="C1574">
        <f t="shared" si="415"/>
        <v>26</v>
      </c>
      <c r="D1574">
        <f t="shared" si="416"/>
        <v>2</v>
      </c>
      <c r="E1574">
        <f t="shared" si="417"/>
        <v>2024</v>
      </c>
      <c r="F1574" s="2">
        <v>2555</v>
      </c>
      <c r="G1574" s="2" t="s">
        <v>19</v>
      </c>
      <c r="I1574" s="4">
        <f t="shared" si="426"/>
        <v>0.71222648320847215</v>
      </c>
    </row>
    <row r="1575" spans="1:9" x14ac:dyDescent="0.3">
      <c r="A1575" t="s">
        <v>12</v>
      </c>
      <c r="B1575" s="3">
        <v>45349</v>
      </c>
      <c r="C1575">
        <f t="shared" si="415"/>
        <v>27</v>
      </c>
      <c r="D1575">
        <f t="shared" si="416"/>
        <v>2</v>
      </c>
      <c r="E1575">
        <f t="shared" si="417"/>
        <v>2024</v>
      </c>
      <c r="F1575" s="2">
        <v>3411</v>
      </c>
      <c r="G1575" s="2" t="s">
        <v>19</v>
      </c>
      <c r="I1575" s="4">
        <f t="shared" si="426"/>
        <v>0.71222648320847215</v>
      </c>
    </row>
    <row r="1576" spans="1:9" x14ac:dyDescent="0.3">
      <c r="A1576" t="s">
        <v>8</v>
      </c>
      <c r="B1576" s="3">
        <v>45349</v>
      </c>
      <c r="C1576">
        <f t="shared" si="415"/>
        <v>27</v>
      </c>
      <c r="D1576">
        <f t="shared" si="416"/>
        <v>2</v>
      </c>
      <c r="E1576">
        <f t="shared" si="417"/>
        <v>2024</v>
      </c>
      <c r="F1576" s="2">
        <v>966</v>
      </c>
      <c r="G1576" s="2" t="s">
        <v>19</v>
      </c>
      <c r="I1576" s="4">
        <f t="shared" si="426"/>
        <v>0.71222648320847215</v>
      </c>
    </row>
    <row r="1577" spans="1:9" x14ac:dyDescent="0.3">
      <c r="A1577" t="s">
        <v>12</v>
      </c>
      <c r="B1577" s="3">
        <v>45349</v>
      </c>
      <c r="C1577">
        <f t="shared" si="415"/>
        <v>27</v>
      </c>
      <c r="D1577">
        <f t="shared" si="416"/>
        <v>2</v>
      </c>
      <c r="E1577">
        <f t="shared" si="417"/>
        <v>2024</v>
      </c>
      <c r="F1577" s="2">
        <v>3488</v>
      </c>
      <c r="G1577" s="2" t="s">
        <v>19</v>
      </c>
      <c r="I1577" s="4">
        <f t="shared" si="426"/>
        <v>0.71222648320847215</v>
      </c>
    </row>
    <row r="1578" spans="1:9" x14ac:dyDescent="0.3">
      <c r="A1578" t="s">
        <v>3</v>
      </c>
      <c r="B1578" s="3">
        <v>45350</v>
      </c>
      <c r="C1578">
        <f t="shared" si="415"/>
        <v>28</v>
      </c>
      <c r="D1578">
        <f t="shared" si="416"/>
        <v>2</v>
      </c>
      <c r="E1578">
        <f t="shared" si="417"/>
        <v>2024</v>
      </c>
      <c r="F1578" s="2">
        <v>1809</v>
      </c>
      <c r="G1578" t="s">
        <v>19</v>
      </c>
      <c r="I1578" s="4">
        <f t="shared" si="426"/>
        <v>0.71222648320847215</v>
      </c>
    </row>
    <row r="1579" spans="1:9" x14ac:dyDescent="0.3">
      <c r="A1579" t="s">
        <v>11</v>
      </c>
      <c r="B1579" s="3">
        <v>45350</v>
      </c>
      <c r="C1579">
        <f t="shared" si="415"/>
        <v>28</v>
      </c>
      <c r="D1579">
        <f t="shared" si="416"/>
        <v>2</v>
      </c>
      <c r="E1579">
        <f t="shared" si="417"/>
        <v>2024</v>
      </c>
      <c r="F1579" s="2">
        <v>651</v>
      </c>
      <c r="G1579" t="s">
        <v>19</v>
      </c>
      <c r="I1579" s="4">
        <f t="shared" si="426"/>
        <v>0.71222648320847215</v>
      </c>
    </row>
    <row r="1580" spans="1:9" x14ac:dyDescent="0.3">
      <c r="A1580" t="s">
        <v>7</v>
      </c>
      <c r="B1580" s="3">
        <v>45351</v>
      </c>
      <c r="C1580">
        <f t="shared" si="415"/>
        <v>29</v>
      </c>
      <c r="D1580">
        <f t="shared" si="416"/>
        <v>2</v>
      </c>
      <c r="E1580">
        <f t="shared" si="417"/>
        <v>2024</v>
      </c>
      <c r="F1580" s="2">
        <v>3789</v>
      </c>
      <c r="G1580" t="s">
        <v>17</v>
      </c>
      <c r="I1580" s="4">
        <f>SUMIFS($F$2:$F$2739,$G$2:$G$2739,"No Contract",$E$2:$E$2739,2024)/SUMIF($E$2:$E$2739,2024,$F$2:$F$2739)</f>
        <v>9.576924485808011E-2</v>
      </c>
    </row>
    <row r="1581" spans="1:9" x14ac:dyDescent="0.3">
      <c r="A1581" t="s">
        <v>10</v>
      </c>
      <c r="B1581" s="3">
        <v>45352</v>
      </c>
      <c r="C1581">
        <f t="shared" si="415"/>
        <v>1</v>
      </c>
      <c r="D1581">
        <f t="shared" si="416"/>
        <v>3</v>
      </c>
      <c r="E1581">
        <f t="shared" si="417"/>
        <v>2024</v>
      </c>
      <c r="F1581" s="2">
        <v>3735</v>
      </c>
      <c r="G1581" t="s">
        <v>19</v>
      </c>
      <c r="I1581" s="4">
        <f>SUMIFS($F$2:$F$2739,$G$2:$G$2739,"Multi-year Contract",$E$2:$E$2739,2024)/SUMIF($E$2:$E$2739,2024,$F$2:$F$2739)</f>
        <v>0.71222648320847215</v>
      </c>
    </row>
    <row r="1582" spans="1:9" x14ac:dyDescent="0.3">
      <c r="A1582" t="s">
        <v>9</v>
      </c>
      <c r="B1582" s="3">
        <v>45352</v>
      </c>
      <c r="C1582">
        <f t="shared" si="415"/>
        <v>1</v>
      </c>
      <c r="D1582">
        <f t="shared" si="416"/>
        <v>3</v>
      </c>
      <c r="E1582">
        <f t="shared" si="417"/>
        <v>2024</v>
      </c>
      <c r="F1582" s="2">
        <v>1210</v>
      </c>
      <c r="G1582" t="s">
        <v>18</v>
      </c>
      <c r="I1582" s="4">
        <f>SUMIFS($F$2:$F$2739,$G$2:$G$2739,"Annual Contract",$E$2:$E$2739,2024)/SUMIF($E$2:$E$2739,2024,$F$2:$F$2739)</f>
        <v>0.19200427193344777</v>
      </c>
    </row>
    <row r="1583" spans="1:9" x14ac:dyDescent="0.3">
      <c r="A1583" t="s">
        <v>8</v>
      </c>
      <c r="B1583" s="3">
        <v>45352</v>
      </c>
      <c r="C1583">
        <f t="shared" si="415"/>
        <v>1</v>
      </c>
      <c r="D1583">
        <f t="shared" si="416"/>
        <v>3</v>
      </c>
      <c r="E1583">
        <f t="shared" si="417"/>
        <v>2024</v>
      </c>
      <c r="F1583" s="2">
        <v>1047</v>
      </c>
      <c r="G1583" s="2" t="s">
        <v>19</v>
      </c>
      <c r="I1583" s="4">
        <f t="shared" ref="I1583:I1593" si="427">SUMIFS($F$2:$F$2739,$G$2:$G$2739,"Multi-year Contract",$E$2:$E$2739,2024)/SUMIF($E$2:$E$2739,2024,$F$2:$F$2739)</f>
        <v>0.71222648320847215</v>
      </c>
    </row>
    <row r="1584" spans="1:9" x14ac:dyDescent="0.3">
      <c r="A1584" t="s">
        <v>4</v>
      </c>
      <c r="B1584" s="3">
        <v>45352</v>
      </c>
      <c r="C1584">
        <f t="shared" si="415"/>
        <v>1</v>
      </c>
      <c r="D1584">
        <f t="shared" si="416"/>
        <v>3</v>
      </c>
      <c r="E1584">
        <f t="shared" si="417"/>
        <v>2024</v>
      </c>
      <c r="F1584" s="2">
        <v>2260</v>
      </c>
      <c r="G1584" s="2" t="s">
        <v>19</v>
      </c>
      <c r="I1584" s="4">
        <f t="shared" si="427"/>
        <v>0.71222648320847215</v>
      </c>
    </row>
    <row r="1585" spans="1:9" x14ac:dyDescent="0.3">
      <c r="A1585" t="s">
        <v>4</v>
      </c>
      <c r="B1585" s="3">
        <v>45352</v>
      </c>
      <c r="C1585">
        <f t="shared" si="415"/>
        <v>1</v>
      </c>
      <c r="D1585">
        <f t="shared" si="416"/>
        <v>3</v>
      </c>
      <c r="E1585">
        <f t="shared" si="417"/>
        <v>2024</v>
      </c>
      <c r="F1585" s="2">
        <v>3781</v>
      </c>
      <c r="G1585" s="2" t="s">
        <v>19</v>
      </c>
      <c r="I1585" s="4">
        <f t="shared" si="427"/>
        <v>0.71222648320847215</v>
      </c>
    </row>
    <row r="1586" spans="1:9" x14ac:dyDescent="0.3">
      <c r="A1586" t="s">
        <v>11</v>
      </c>
      <c r="B1586" s="3">
        <v>45352</v>
      </c>
      <c r="C1586">
        <f t="shared" si="415"/>
        <v>1</v>
      </c>
      <c r="D1586">
        <f t="shared" si="416"/>
        <v>3</v>
      </c>
      <c r="E1586">
        <f t="shared" si="417"/>
        <v>2024</v>
      </c>
      <c r="F1586" s="2">
        <v>2491</v>
      </c>
      <c r="G1586" t="s">
        <v>19</v>
      </c>
      <c r="I1586" s="4">
        <f t="shared" si="427"/>
        <v>0.71222648320847215</v>
      </c>
    </row>
    <row r="1587" spans="1:9" x14ac:dyDescent="0.3">
      <c r="A1587" t="s">
        <v>11</v>
      </c>
      <c r="B1587" s="3">
        <v>45353</v>
      </c>
      <c r="C1587">
        <f t="shared" si="415"/>
        <v>2</v>
      </c>
      <c r="D1587">
        <f t="shared" si="416"/>
        <v>3</v>
      </c>
      <c r="E1587">
        <f t="shared" si="417"/>
        <v>2024</v>
      </c>
      <c r="F1587" s="2">
        <v>1097</v>
      </c>
      <c r="G1587" t="s">
        <v>19</v>
      </c>
      <c r="I1587" s="4">
        <f t="shared" si="427"/>
        <v>0.71222648320847215</v>
      </c>
    </row>
    <row r="1588" spans="1:9" x14ac:dyDescent="0.3">
      <c r="A1588" t="s">
        <v>8</v>
      </c>
      <c r="B1588" s="3">
        <v>45353</v>
      </c>
      <c r="C1588">
        <f t="shared" si="415"/>
        <v>2</v>
      </c>
      <c r="D1588">
        <f t="shared" si="416"/>
        <v>3</v>
      </c>
      <c r="E1588">
        <f t="shared" si="417"/>
        <v>2024</v>
      </c>
      <c r="F1588" s="2">
        <v>1188</v>
      </c>
      <c r="G1588" s="2" t="s">
        <v>19</v>
      </c>
      <c r="I1588" s="4">
        <f t="shared" si="427"/>
        <v>0.71222648320847215</v>
      </c>
    </row>
    <row r="1589" spans="1:9" x14ac:dyDescent="0.3">
      <c r="A1589" t="s">
        <v>12</v>
      </c>
      <c r="B1589" s="3">
        <v>45353</v>
      </c>
      <c r="C1589">
        <f t="shared" si="415"/>
        <v>2</v>
      </c>
      <c r="D1589">
        <f t="shared" si="416"/>
        <v>3</v>
      </c>
      <c r="E1589">
        <f t="shared" si="417"/>
        <v>2024</v>
      </c>
      <c r="F1589" s="2">
        <v>2789</v>
      </c>
      <c r="G1589" s="2" t="s">
        <v>19</v>
      </c>
      <c r="I1589" s="4">
        <f t="shared" si="427"/>
        <v>0.71222648320847215</v>
      </c>
    </row>
    <row r="1590" spans="1:9" x14ac:dyDescent="0.3">
      <c r="A1590" t="s">
        <v>3</v>
      </c>
      <c r="B1590" s="3">
        <v>45354</v>
      </c>
      <c r="C1590">
        <f t="shared" si="415"/>
        <v>3</v>
      </c>
      <c r="D1590">
        <f t="shared" si="416"/>
        <v>3</v>
      </c>
      <c r="E1590">
        <f t="shared" si="417"/>
        <v>2024</v>
      </c>
      <c r="F1590" s="2">
        <v>1822</v>
      </c>
      <c r="G1590" t="s">
        <v>19</v>
      </c>
      <c r="I1590" s="4">
        <f t="shared" si="427"/>
        <v>0.71222648320847215</v>
      </c>
    </row>
    <row r="1591" spans="1:9" x14ac:dyDescent="0.3">
      <c r="A1591" t="s">
        <v>8</v>
      </c>
      <c r="B1591" s="3">
        <v>45354</v>
      </c>
      <c r="C1591">
        <f t="shared" si="415"/>
        <v>3</v>
      </c>
      <c r="D1591">
        <f t="shared" si="416"/>
        <v>3</v>
      </c>
      <c r="E1591">
        <f t="shared" si="417"/>
        <v>2024</v>
      </c>
      <c r="F1591" s="2">
        <v>642</v>
      </c>
      <c r="G1591" s="2" t="s">
        <v>19</v>
      </c>
      <c r="I1591" s="4">
        <f t="shared" si="427"/>
        <v>0.71222648320847215</v>
      </c>
    </row>
    <row r="1592" spans="1:9" x14ac:dyDescent="0.3">
      <c r="A1592" t="s">
        <v>8</v>
      </c>
      <c r="B1592" s="3">
        <v>45354</v>
      </c>
      <c r="C1592">
        <f t="shared" si="415"/>
        <v>3</v>
      </c>
      <c r="D1592">
        <f t="shared" si="416"/>
        <v>3</v>
      </c>
      <c r="E1592">
        <f t="shared" si="417"/>
        <v>2024</v>
      </c>
      <c r="F1592" s="2">
        <v>3673</v>
      </c>
      <c r="G1592" s="2" t="s">
        <v>19</v>
      </c>
      <c r="I1592" s="4">
        <f t="shared" si="427"/>
        <v>0.71222648320847215</v>
      </c>
    </row>
    <row r="1593" spans="1:9" x14ac:dyDescent="0.3">
      <c r="A1593" t="s">
        <v>10</v>
      </c>
      <c r="B1593" s="3">
        <v>45355</v>
      </c>
      <c r="C1593">
        <f t="shared" si="415"/>
        <v>4</v>
      </c>
      <c r="D1593">
        <f t="shared" si="416"/>
        <v>3</v>
      </c>
      <c r="E1593">
        <f t="shared" si="417"/>
        <v>2024</v>
      </c>
      <c r="F1593" s="2">
        <v>634</v>
      </c>
      <c r="G1593" t="s">
        <v>19</v>
      </c>
      <c r="I1593" s="4">
        <f t="shared" si="427"/>
        <v>0.71222648320847215</v>
      </c>
    </row>
    <row r="1594" spans="1:9" x14ac:dyDescent="0.3">
      <c r="A1594" t="s">
        <v>6</v>
      </c>
      <c r="B1594" s="3">
        <v>45355</v>
      </c>
      <c r="C1594">
        <f t="shared" si="415"/>
        <v>4</v>
      </c>
      <c r="D1594">
        <f t="shared" si="416"/>
        <v>3</v>
      </c>
      <c r="E1594">
        <f t="shared" si="417"/>
        <v>2024</v>
      </c>
      <c r="F1594" s="2">
        <v>2304</v>
      </c>
      <c r="G1594" t="s">
        <v>18</v>
      </c>
      <c r="I1594" s="4">
        <f>SUMIFS($F$2:$F$2739,$G$2:$G$2739,"Annual Contract",$E$2:$E$2739,2024)/SUMIF($E$2:$E$2739,2024,$F$2:$F$2739)</f>
        <v>0.19200427193344777</v>
      </c>
    </row>
    <row r="1595" spans="1:9" x14ac:dyDescent="0.3">
      <c r="A1595" t="s">
        <v>5</v>
      </c>
      <c r="B1595" s="3">
        <v>45355</v>
      </c>
      <c r="C1595">
        <f t="shared" si="415"/>
        <v>4</v>
      </c>
      <c r="D1595">
        <f t="shared" si="416"/>
        <v>3</v>
      </c>
      <c r="E1595">
        <f t="shared" si="417"/>
        <v>2024</v>
      </c>
      <c r="F1595" s="2">
        <v>2621</v>
      </c>
      <c r="G1595" t="s">
        <v>19</v>
      </c>
      <c r="I1595" s="4">
        <f t="shared" ref="I1595:I1596" si="428">SUMIFS($F$2:$F$2739,$G$2:$G$2739,"Multi-year Contract",$E$2:$E$2739,2024)/SUMIF($E$2:$E$2739,2024,$F$2:$F$2739)</f>
        <v>0.71222648320847215</v>
      </c>
    </row>
    <row r="1596" spans="1:9" x14ac:dyDescent="0.3">
      <c r="A1596" t="s">
        <v>12</v>
      </c>
      <c r="B1596" s="3">
        <v>45355</v>
      </c>
      <c r="C1596">
        <f t="shared" si="415"/>
        <v>4</v>
      </c>
      <c r="D1596">
        <f t="shared" si="416"/>
        <v>3</v>
      </c>
      <c r="E1596">
        <f t="shared" si="417"/>
        <v>2024</v>
      </c>
      <c r="F1596" s="2">
        <v>2144</v>
      </c>
      <c r="G1596" s="2" t="s">
        <v>19</v>
      </c>
      <c r="I1596" s="4">
        <f t="shared" si="428"/>
        <v>0.71222648320847215</v>
      </c>
    </row>
    <row r="1597" spans="1:9" x14ac:dyDescent="0.3">
      <c r="A1597" t="s">
        <v>9</v>
      </c>
      <c r="B1597" s="3">
        <v>45355</v>
      </c>
      <c r="C1597">
        <f t="shared" si="415"/>
        <v>4</v>
      </c>
      <c r="D1597">
        <f t="shared" si="416"/>
        <v>3</v>
      </c>
      <c r="E1597">
        <f t="shared" si="417"/>
        <v>2024</v>
      </c>
      <c r="F1597" s="2">
        <v>992</v>
      </c>
      <c r="G1597" t="s">
        <v>18</v>
      </c>
      <c r="I1597" s="4">
        <f>SUMIFS($F$2:$F$2739,$G$2:$G$2739,"Annual Contract",$E$2:$E$2739,2024)/SUMIF($E$2:$E$2739,2024,$F$2:$F$2739)</f>
        <v>0.19200427193344777</v>
      </c>
    </row>
    <row r="1598" spans="1:9" x14ac:dyDescent="0.3">
      <c r="A1598" t="s">
        <v>7</v>
      </c>
      <c r="B1598" s="3">
        <v>45355</v>
      </c>
      <c r="C1598">
        <f t="shared" si="415"/>
        <v>4</v>
      </c>
      <c r="D1598">
        <f t="shared" si="416"/>
        <v>3</v>
      </c>
      <c r="E1598">
        <f t="shared" si="417"/>
        <v>2024</v>
      </c>
      <c r="F1598" s="2">
        <v>3553</v>
      </c>
      <c r="G1598" t="s">
        <v>17</v>
      </c>
      <c r="I1598" s="4">
        <f>SUMIFS($F$2:$F$2739,$G$2:$G$2739,"No Contract",$E$2:$E$2739,2024)/SUMIF($E$2:$E$2739,2024,$F$2:$F$2739)</f>
        <v>9.576924485808011E-2</v>
      </c>
    </row>
    <row r="1599" spans="1:9" x14ac:dyDescent="0.3">
      <c r="A1599" t="s">
        <v>8</v>
      </c>
      <c r="B1599" s="3">
        <v>45356</v>
      </c>
      <c r="C1599">
        <f t="shared" si="415"/>
        <v>5</v>
      </c>
      <c r="D1599">
        <f t="shared" si="416"/>
        <v>3</v>
      </c>
      <c r="E1599">
        <f t="shared" si="417"/>
        <v>2024</v>
      </c>
      <c r="F1599" s="2">
        <v>2552</v>
      </c>
      <c r="G1599" s="2" t="s">
        <v>19</v>
      </c>
      <c r="I1599" s="4">
        <f t="shared" ref="I1599:I1601" si="429">SUMIFS($F$2:$F$2739,$G$2:$G$2739,"Multi-year Contract",$E$2:$E$2739,2024)/SUMIF($E$2:$E$2739,2024,$F$2:$F$2739)</f>
        <v>0.71222648320847215</v>
      </c>
    </row>
    <row r="1600" spans="1:9" x14ac:dyDescent="0.3">
      <c r="A1600" t="s">
        <v>10</v>
      </c>
      <c r="B1600" s="3">
        <v>45356</v>
      </c>
      <c r="C1600">
        <f t="shared" si="415"/>
        <v>5</v>
      </c>
      <c r="D1600">
        <f t="shared" si="416"/>
        <v>3</v>
      </c>
      <c r="E1600">
        <f t="shared" si="417"/>
        <v>2024</v>
      </c>
      <c r="F1600" s="2">
        <v>1257</v>
      </c>
      <c r="G1600" t="s">
        <v>19</v>
      </c>
      <c r="I1600" s="4">
        <f t="shared" si="429"/>
        <v>0.71222648320847215</v>
      </c>
    </row>
    <row r="1601" spans="1:9" x14ac:dyDescent="0.3">
      <c r="A1601" t="s">
        <v>3</v>
      </c>
      <c r="B1601" s="3">
        <v>45357</v>
      </c>
      <c r="C1601">
        <f t="shared" si="415"/>
        <v>6</v>
      </c>
      <c r="D1601">
        <f t="shared" si="416"/>
        <v>3</v>
      </c>
      <c r="E1601">
        <f t="shared" si="417"/>
        <v>2024</v>
      </c>
      <c r="F1601" s="2">
        <v>1970</v>
      </c>
      <c r="G1601" t="s">
        <v>19</v>
      </c>
      <c r="I1601" s="4">
        <f t="shared" si="429"/>
        <v>0.71222648320847215</v>
      </c>
    </row>
    <row r="1602" spans="1:9" x14ac:dyDescent="0.3">
      <c r="A1602" t="s">
        <v>9</v>
      </c>
      <c r="B1602" s="3">
        <v>45357</v>
      </c>
      <c r="C1602">
        <f t="shared" si="415"/>
        <v>6</v>
      </c>
      <c r="D1602">
        <f t="shared" si="416"/>
        <v>3</v>
      </c>
      <c r="E1602">
        <f t="shared" si="417"/>
        <v>2024</v>
      </c>
      <c r="F1602" s="2">
        <v>872</v>
      </c>
      <c r="G1602" t="s">
        <v>18</v>
      </c>
      <c r="I1602" s="4">
        <f t="shared" ref="I1602:I1603" si="430">SUMIFS($F$2:$F$2739,$G$2:$G$2739,"Annual Contract",$E$2:$E$2739,2024)/SUMIF($E$2:$E$2739,2024,$F$2:$F$2739)</f>
        <v>0.19200427193344777</v>
      </c>
    </row>
    <row r="1603" spans="1:9" x14ac:dyDescent="0.3">
      <c r="A1603" t="s">
        <v>6</v>
      </c>
      <c r="B1603" s="3">
        <v>45357</v>
      </c>
      <c r="C1603">
        <f t="shared" ref="C1603:C1666" si="431">DAY(B1603)</f>
        <v>6</v>
      </c>
      <c r="D1603">
        <f t="shared" ref="D1603:D1666" si="432">MONTH(B1603)</f>
        <v>3</v>
      </c>
      <c r="E1603">
        <f t="shared" ref="E1603:E1666" si="433">YEAR(B1603)</f>
        <v>2024</v>
      </c>
      <c r="F1603" s="2">
        <v>1655</v>
      </c>
      <c r="G1603" t="s">
        <v>18</v>
      </c>
      <c r="I1603" s="4">
        <f t="shared" si="430"/>
        <v>0.19200427193344777</v>
      </c>
    </row>
    <row r="1604" spans="1:9" x14ac:dyDescent="0.3">
      <c r="A1604" t="s">
        <v>8</v>
      </c>
      <c r="B1604" s="3">
        <v>45357</v>
      </c>
      <c r="C1604">
        <f t="shared" si="431"/>
        <v>6</v>
      </c>
      <c r="D1604">
        <f t="shared" si="432"/>
        <v>3</v>
      </c>
      <c r="E1604">
        <f t="shared" si="433"/>
        <v>2024</v>
      </c>
      <c r="F1604" s="2">
        <v>1320</v>
      </c>
      <c r="G1604" s="2" t="s">
        <v>19</v>
      </c>
      <c r="I1604" s="4">
        <f t="shared" ref="I1604:I1605" si="434">SUMIFS($F$2:$F$2739,$G$2:$G$2739,"Multi-year Contract",$E$2:$E$2739,2024)/SUMIF($E$2:$E$2739,2024,$F$2:$F$2739)</f>
        <v>0.71222648320847215</v>
      </c>
    </row>
    <row r="1605" spans="1:9" x14ac:dyDescent="0.3">
      <c r="A1605" t="s">
        <v>8</v>
      </c>
      <c r="B1605" s="3">
        <v>45358</v>
      </c>
      <c r="C1605">
        <f t="shared" si="431"/>
        <v>7</v>
      </c>
      <c r="D1605">
        <f t="shared" si="432"/>
        <v>3</v>
      </c>
      <c r="E1605">
        <f t="shared" si="433"/>
        <v>2024</v>
      </c>
      <c r="F1605" s="2">
        <v>2957</v>
      </c>
      <c r="G1605" s="2" t="s">
        <v>19</v>
      </c>
      <c r="I1605" s="4">
        <f t="shared" si="434"/>
        <v>0.71222648320847215</v>
      </c>
    </row>
    <row r="1606" spans="1:9" x14ac:dyDescent="0.3">
      <c r="A1606" t="s">
        <v>9</v>
      </c>
      <c r="B1606" s="3">
        <v>45358</v>
      </c>
      <c r="C1606">
        <f t="shared" si="431"/>
        <v>7</v>
      </c>
      <c r="D1606">
        <f t="shared" si="432"/>
        <v>3</v>
      </c>
      <c r="E1606">
        <f t="shared" si="433"/>
        <v>2024</v>
      </c>
      <c r="F1606" s="2">
        <v>2260</v>
      </c>
      <c r="G1606" t="s">
        <v>18</v>
      </c>
      <c r="I1606" s="4">
        <f t="shared" ref="I1606:I1607" si="435">SUMIFS($F$2:$F$2739,$G$2:$G$2739,"Annual Contract",$E$2:$E$2739,2024)/SUMIF($E$2:$E$2739,2024,$F$2:$F$2739)</f>
        <v>0.19200427193344777</v>
      </c>
    </row>
    <row r="1607" spans="1:9" x14ac:dyDescent="0.3">
      <c r="A1607" t="s">
        <v>6</v>
      </c>
      <c r="B1607" s="3">
        <v>45358</v>
      </c>
      <c r="C1607">
        <f t="shared" si="431"/>
        <v>7</v>
      </c>
      <c r="D1607">
        <f t="shared" si="432"/>
        <v>3</v>
      </c>
      <c r="E1607">
        <f t="shared" si="433"/>
        <v>2024</v>
      </c>
      <c r="F1607" s="2">
        <v>840</v>
      </c>
      <c r="G1607" t="s">
        <v>18</v>
      </c>
      <c r="I1607" s="4">
        <f t="shared" si="435"/>
        <v>0.19200427193344777</v>
      </c>
    </row>
    <row r="1608" spans="1:9" x14ac:dyDescent="0.3">
      <c r="A1608" t="s">
        <v>3</v>
      </c>
      <c r="B1608" s="3">
        <v>45358</v>
      </c>
      <c r="C1608">
        <f t="shared" si="431"/>
        <v>7</v>
      </c>
      <c r="D1608">
        <f t="shared" si="432"/>
        <v>3</v>
      </c>
      <c r="E1608">
        <f t="shared" si="433"/>
        <v>2024</v>
      </c>
      <c r="F1608" s="2">
        <v>1786</v>
      </c>
      <c r="G1608" t="s">
        <v>19</v>
      </c>
      <c r="I1608" s="4">
        <f t="shared" ref="I1608:I1609" si="436">SUMIFS($F$2:$F$2739,$G$2:$G$2739,"Multi-year Contract",$E$2:$E$2739,2024)/SUMIF($E$2:$E$2739,2024,$F$2:$F$2739)</f>
        <v>0.71222648320847215</v>
      </c>
    </row>
    <row r="1609" spans="1:9" x14ac:dyDescent="0.3">
      <c r="A1609" t="s">
        <v>4</v>
      </c>
      <c r="B1609" s="3">
        <v>45359</v>
      </c>
      <c r="C1609">
        <f t="shared" si="431"/>
        <v>8</v>
      </c>
      <c r="D1609">
        <f t="shared" si="432"/>
        <v>3</v>
      </c>
      <c r="E1609">
        <f t="shared" si="433"/>
        <v>2024</v>
      </c>
      <c r="F1609" s="2">
        <v>2479</v>
      </c>
      <c r="G1609" s="2" t="s">
        <v>19</v>
      </c>
      <c r="I1609" s="4">
        <f t="shared" si="436"/>
        <v>0.71222648320847215</v>
      </c>
    </row>
    <row r="1610" spans="1:9" x14ac:dyDescent="0.3">
      <c r="A1610" t="s">
        <v>7</v>
      </c>
      <c r="B1610" s="3">
        <v>45359</v>
      </c>
      <c r="C1610">
        <f t="shared" si="431"/>
        <v>8</v>
      </c>
      <c r="D1610">
        <f t="shared" si="432"/>
        <v>3</v>
      </c>
      <c r="E1610">
        <f t="shared" si="433"/>
        <v>2024</v>
      </c>
      <c r="F1610" s="2">
        <v>1634</v>
      </c>
      <c r="G1610" t="s">
        <v>17</v>
      </c>
      <c r="I1610" s="4">
        <f t="shared" ref="I1610:I1611" si="437">SUMIFS($F$2:$F$2739,$G$2:$G$2739,"No Contract",$E$2:$E$2739,2024)/SUMIF($E$2:$E$2739,2024,$F$2:$F$2739)</f>
        <v>9.576924485808011E-2</v>
      </c>
    </row>
    <row r="1611" spans="1:9" x14ac:dyDescent="0.3">
      <c r="A1611" t="s">
        <v>7</v>
      </c>
      <c r="B1611" s="3">
        <v>45360</v>
      </c>
      <c r="C1611">
        <f t="shared" si="431"/>
        <v>9</v>
      </c>
      <c r="D1611">
        <f t="shared" si="432"/>
        <v>3</v>
      </c>
      <c r="E1611">
        <f t="shared" si="433"/>
        <v>2024</v>
      </c>
      <c r="F1611" s="2">
        <v>2557</v>
      </c>
      <c r="G1611" t="s">
        <v>17</v>
      </c>
      <c r="I1611" s="4">
        <f t="shared" si="437"/>
        <v>9.576924485808011E-2</v>
      </c>
    </row>
    <row r="1612" spans="1:9" x14ac:dyDescent="0.3">
      <c r="A1612" t="s">
        <v>8</v>
      </c>
      <c r="B1612" s="3">
        <v>45360</v>
      </c>
      <c r="C1612">
        <f t="shared" si="431"/>
        <v>9</v>
      </c>
      <c r="D1612">
        <f t="shared" si="432"/>
        <v>3</v>
      </c>
      <c r="E1612">
        <f t="shared" si="433"/>
        <v>2024</v>
      </c>
      <c r="F1612" s="2">
        <v>1941</v>
      </c>
      <c r="G1612" s="2" t="s">
        <v>19</v>
      </c>
      <c r="I1612" s="4">
        <f t="shared" ref="I1612:I1613" si="438">SUMIFS($F$2:$F$2739,$G$2:$G$2739,"Multi-year Contract",$E$2:$E$2739,2024)/SUMIF($E$2:$E$2739,2024,$F$2:$F$2739)</f>
        <v>0.71222648320847215</v>
      </c>
    </row>
    <row r="1613" spans="1:9" x14ac:dyDescent="0.3">
      <c r="A1613" t="s">
        <v>3</v>
      </c>
      <c r="B1613" s="3">
        <v>45360</v>
      </c>
      <c r="C1613">
        <f t="shared" si="431"/>
        <v>9</v>
      </c>
      <c r="D1613">
        <f t="shared" si="432"/>
        <v>3</v>
      </c>
      <c r="E1613">
        <f t="shared" si="433"/>
        <v>2024</v>
      </c>
      <c r="F1613" s="2">
        <v>3959</v>
      </c>
      <c r="G1613" t="s">
        <v>19</v>
      </c>
      <c r="I1613" s="4">
        <f t="shared" si="438"/>
        <v>0.71222648320847215</v>
      </c>
    </row>
    <row r="1614" spans="1:9" x14ac:dyDescent="0.3">
      <c r="A1614" t="s">
        <v>9</v>
      </c>
      <c r="B1614" s="3">
        <v>45360</v>
      </c>
      <c r="C1614">
        <f t="shared" si="431"/>
        <v>9</v>
      </c>
      <c r="D1614">
        <f t="shared" si="432"/>
        <v>3</v>
      </c>
      <c r="E1614">
        <f t="shared" si="433"/>
        <v>2024</v>
      </c>
      <c r="F1614" s="2">
        <v>3147</v>
      </c>
      <c r="G1614" t="s">
        <v>18</v>
      </c>
      <c r="I1614" s="4">
        <f>SUMIFS($F$2:$F$2739,$G$2:$G$2739,"Annual Contract",$E$2:$E$2739,2024)/SUMIF($E$2:$E$2739,2024,$F$2:$F$2739)</f>
        <v>0.19200427193344777</v>
      </c>
    </row>
    <row r="1615" spans="1:9" x14ac:dyDescent="0.3">
      <c r="A1615" t="s">
        <v>7</v>
      </c>
      <c r="B1615" s="3">
        <v>45361</v>
      </c>
      <c r="C1615">
        <f t="shared" si="431"/>
        <v>10</v>
      </c>
      <c r="D1615">
        <f t="shared" si="432"/>
        <v>3</v>
      </c>
      <c r="E1615">
        <f t="shared" si="433"/>
        <v>2024</v>
      </c>
      <c r="F1615" s="2">
        <v>1360</v>
      </c>
      <c r="G1615" t="s">
        <v>17</v>
      </c>
      <c r="I1615" s="4">
        <f>SUMIFS($F$2:$F$2739,$G$2:$G$2739,"No Contract",$E$2:$E$2739,2024)/SUMIF($E$2:$E$2739,2024,$F$2:$F$2739)</f>
        <v>9.576924485808011E-2</v>
      </c>
    </row>
    <row r="1616" spans="1:9" x14ac:dyDescent="0.3">
      <c r="A1616" t="s">
        <v>11</v>
      </c>
      <c r="B1616" s="3">
        <v>45361</v>
      </c>
      <c r="C1616">
        <f t="shared" si="431"/>
        <v>10</v>
      </c>
      <c r="D1616">
        <f t="shared" si="432"/>
        <v>3</v>
      </c>
      <c r="E1616">
        <f t="shared" si="433"/>
        <v>2024</v>
      </c>
      <c r="F1616" s="2">
        <v>1351</v>
      </c>
      <c r="G1616" t="s">
        <v>19</v>
      </c>
      <c r="I1616" s="4">
        <f>SUMIFS($F$2:$F$2739,$G$2:$G$2739,"Multi-year Contract",$E$2:$E$2739,2024)/SUMIF($E$2:$E$2739,2024,$F$2:$F$2739)</f>
        <v>0.71222648320847215</v>
      </c>
    </row>
    <row r="1617" spans="1:9" x14ac:dyDescent="0.3">
      <c r="A1617" t="s">
        <v>7</v>
      </c>
      <c r="B1617" s="3">
        <v>45361</v>
      </c>
      <c r="C1617">
        <f t="shared" si="431"/>
        <v>10</v>
      </c>
      <c r="D1617">
        <f t="shared" si="432"/>
        <v>3</v>
      </c>
      <c r="E1617">
        <f t="shared" si="433"/>
        <v>2024</v>
      </c>
      <c r="F1617" s="2">
        <v>1826</v>
      </c>
      <c r="G1617" t="s">
        <v>17</v>
      </c>
      <c r="I1617" s="4">
        <f>SUMIFS($F$2:$F$2739,$G$2:$G$2739,"No Contract",$E$2:$E$2739,2024)/SUMIF($E$2:$E$2739,2024,$F$2:$F$2739)</f>
        <v>9.576924485808011E-2</v>
      </c>
    </row>
    <row r="1618" spans="1:9" x14ac:dyDescent="0.3">
      <c r="A1618" t="s">
        <v>3</v>
      </c>
      <c r="B1618" s="3">
        <v>45361</v>
      </c>
      <c r="C1618">
        <f t="shared" si="431"/>
        <v>10</v>
      </c>
      <c r="D1618">
        <f t="shared" si="432"/>
        <v>3</v>
      </c>
      <c r="E1618">
        <f t="shared" si="433"/>
        <v>2024</v>
      </c>
      <c r="F1618" s="2">
        <v>3544</v>
      </c>
      <c r="G1618" t="s">
        <v>19</v>
      </c>
      <c r="I1618" s="4">
        <f>SUMIFS($F$2:$F$2739,$G$2:$G$2739,"Multi-year Contract",$E$2:$E$2739,2024)/SUMIF($E$2:$E$2739,2024,$F$2:$F$2739)</f>
        <v>0.71222648320847215</v>
      </c>
    </row>
    <row r="1619" spans="1:9" x14ac:dyDescent="0.3">
      <c r="A1619" t="s">
        <v>6</v>
      </c>
      <c r="B1619" s="3">
        <v>45361</v>
      </c>
      <c r="C1619">
        <f t="shared" si="431"/>
        <v>10</v>
      </c>
      <c r="D1619">
        <f t="shared" si="432"/>
        <v>3</v>
      </c>
      <c r="E1619">
        <f t="shared" si="433"/>
        <v>2024</v>
      </c>
      <c r="F1619" s="2">
        <v>3566</v>
      </c>
      <c r="G1619" t="s">
        <v>18</v>
      </c>
      <c r="I1619" s="4">
        <f>SUMIFS($F$2:$F$2739,$G$2:$G$2739,"Annual Contract",$E$2:$E$2739,2024)/SUMIF($E$2:$E$2739,2024,$F$2:$F$2739)</f>
        <v>0.19200427193344777</v>
      </c>
    </row>
    <row r="1620" spans="1:9" x14ac:dyDescent="0.3">
      <c r="A1620" t="s">
        <v>4</v>
      </c>
      <c r="B1620" s="3">
        <v>45362</v>
      </c>
      <c r="C1620">
        <f t="shared" si="431"/>
        <v>11</v>
      </c>
      <c r="D1620">
        <f t="shared" si="432"/>
        <v>3</v>
      </c>
      <c r="E1620">
        <f t="shared" si="433"/>
        <v>2024</v>
      </c>
      <c r="F1620" s="2">
        <v>1716</v>
      </c>
      <c r="G1620" s="2" t="s">
        <v>19</v>
      </c>
      <c r="I1620" s="4">
        <f t="shared" ref="I1620:I1622" si="439">SUMIFS($F$2:$F$2739,$G$2:$G$2739,"Multi-year Contract",$E$2:$E$2739,2024)/SUMIF($E$2:$E$2739,2024,$F$2:$F$2739)</f>
        <v>0.71222648320847215</v>
      </c>
    </row>
    <row r="1621" spans="1:9" x14ac:dyDescent="0.3">
      <c r="A1621" t="s">
        <v>5</v>
      </c>
      <c r="B1621" s="3">
        <v>45362</v>
      </c>
      <c r="C1621">
        <f t="shared" si="431"/>
        <v>11</v>
      </c>
      <c r="D1621">
        <f t="shared" si="432"/>
        <v>3</v>
      </c>
      <c r="E1621">
        <f t="shared" si="433"/>
        <v>2024</v>
      </c>
      <c r="F1621" s="2">
        <v>1692</v>
      </c>
      <c r="G1621" t="s">
        <v>19</v>
      </c>
      <c r="I1621" s="4">
        <f t="shared" si="439"/>
        <v>0.71222648320847215</v>
      </c>
    </row>
    <row r="1622" spans="1:9" x14ac:dyDescent="0.3">
      <c r="A1622" t="s">
        <v>12</v>
      </c>
      <c r="B1622" s="3">
        <v>45362</v>
      </c>
      <c r="C1622">
        <f t="shared" si="431"/>
        <v>11</v>
      </c>
      <c r="D1622">
        <f t="shared" si="432"/>
        <v>3</v>
      </c>
      <c r="E1622">
        <f t="shared" si="433"/>
        <v>2024</v>
      </c>
      <c r="F1622" s="2">
        <v>3057</v>
      </c>
      <c r="G1622" s="2" t="s">
        <v>19</v>
      </c>
      <c r="I1622" s="4">
        <f t="shared" si="439"/>
        <v>0.71222648320847215</v>
      </c>
    </row>
    <row r="1623" spans="1:9" x14ac:dyDescent="0.3">
      <c r="A1623" t="s">
        <v>7</v>
      </c>
      <c r="B1623" s="3">
        <v>45362</v>
      </c>
      <c r="C1623">
        <f t="shared" si="431"/>
        <v>11</v>
      </c>
      <c r="D1623">
        <f t="shared" si="432"/>
        <v>3</v>
      </c>
      <c r="E1623">
        <f t="shared" si="433"/>
        <v>2024</v>
      </c>
      <c r="F1623" s="2">
        <v>2742</v>
      </c>
      <c r="G1623" t="s">
        <v>17</v>
      </c>
      <c r="I1623" s="4">
        <f>SUMIFS($F$2:$F$2739,$G$2:$G$2739,"No Contract",$E$2:$E$2739,2024)/SUMIF($E$2:$E$2739,2024,$F$2:$F$2739)</f>
        <v>9.576924485808011E-2</v>
      </c>
    </row>
    <row r="1624" spans="1:9" x14ac:dyDescent="0.3">
      <c r="A1624" t="s">
        <v>3</v>
      </c>
      <c r="B1624" s="3">
        <v>45362</v>
      </c>
      <c r="C1624">
        <f t="shared" si="431"/>
        <v>11</v>
      </c>
      <c r="D1624">
        <f t="shared" si="432"/>
        <v>3</v>
      </c>
      <c r="E1624">
        <f t="shared" si="433"/>
        <v>2024</v>
      </c>
      <c r="F1624" s="2">
        <v>1826</v>
      </c>
      <c r="G1624" t="s">
        <v>19</v>
      </c>
      <c r="I1624" s="4">
        <f t="shared" ref="I1624:I1629" si="440">SUMIFS($F$2:$F$2739,$G$2:$G$2739,"Multi-year Contract",$E$2:$E$2739,2024)/SUMIF($E$2:$E$2739,2024,$F$2:$F$2739)</f>
        <v>0.71222648320847215</v>
      </c>
    </row>
    <row r="1625" spans="1:9" x14ac:dyDescent="0.3">
      <c r="A1625" t="s">
        <v>11</v>
      </c>
      <c r="B1625" s="3">
        <v>45362</v>
      </c>
      <c r="C1625">
        <f t="shared" si="431"/>
        <v>11</v>
      </c>
      <c r="D1625">
        <f t="shared" si="432"/>
        <v>3</v>
      </c>
      <c r="E1625">
        <f t="shared" si="433"/>
        <v>2024</v>
      </c>
      <c r="F1625" s="2">
        <v>3668</v>
      </c>
      <c r="G1625" t="s">
        <v>19</v>
      </c>
      <c r="I1625" s="4">
        <f t="shared" si="440"/>
        <v>0.71222648320847215</v>
      </c>
    </row>
    <row r="1626" spans="1:9" x14ac:dyDescent="0.3">
      <c r="A1626" t="s">
        <v>4</v>
      </c>
      <c r="B1626" s="3">
        <v>45362</v>
      </c>
      <c r="C1626">
        <f t="shared" si="431"/>
        <v>11</v>
      </c>
      <c r="D1626">
        <f t="shared" si="432"/>
        <v>3</v>
      </c>
      <c r="E1626">
        <f t="shared" si="433"/>
        <v>2024</v>
      </c>
      <c r="F1626" s="2">
        <v>2120</v>
      </c>
      <c r="G1626" s="2" t="s">
        <v>19</v>
      </c>
      <c r="I1626" s="4">
        <f t="shared" si="440"/>
        <v>0.71222648320847215</v>
      </c>
    </row>
    <row r="1627" spans="1:9" x14ac:dyDescent="0.3">
      <c r="A1627" t="s">
        <v>4</v>
      </c>
      <c r="B1627" s="3">
        <v>45363</v>
      </c>
      <c r="C1627">
        <f t="shared" si="431"/>
        <v>12</v>
      </c>
      <c r="D1627">
        <f t="shared" si="432"/>
        <v>3</v>
      </c>
      <c r="E1627">
        <f t="shared" si="433"/>
        <v>2024</v>
      </c>
      <c r="F1627" s="2">
        <v>2795</v>
      </c>
      <c r="G1627" s="2" t="s">
        <v>19</v>
      </c>
      <c r="I1627" s="4">
        <f t="shared" si="440"/>
        <v>0.71222648320847215</v>
      </c>
    </row>
    <row r="1628" spans="1:9" x14ac:dyDescent="0.3">
      <c r="A1628" t="s">
        <v>5</v>
      </c>
      <c r="B1628" s="3">
        <v>45363</v>
      </c>
      <c r="C1628">
        <f t="shared" si="431"/>
        <v>12</v>
      </c>
      <c r="D1628">
        <f t="shared" si="432"/>
        <v>3</v>
      </c>
      <c r="E1628">
        <f t="shared" si="433"/>
        <v>2024</v>
      </c>
      <c r="F1628" s="2">
        <v>3464</v>
      </c>
      <c r="G1628" t="s">
        <v>19</v>
      </c>
      <c r="I1628" s="4">
        <f t="shared" si="440"/>
        <v>0.71222648320847215</v>
      </c>
    </row>
    <row r="1629" spans="1:9" x14ac:dyDescent="0.3">
      <c r="A1629" t="s">
        <v>11</v>
      </c>
      <c r="B1629" s="3">
        <v>45363</v>
      </c>
      <c r="C1629">
        <f t="shared" si="431"/>
        <v>12</v>
      </c>
      <c r="D1629">
        <f t="shared" si="432"/>
        <v>3</v>
      </c>
      <c r="E1629">
        <f t="shared" si="433"/>
        <v>2024</v>
      </c>
      <c r="F1629" s="2">
        <v>555</v>
      </c>
      <c r="G1629" t="s">
        <v>19</v>
      </c>
      <c r="I1629" s="4">
        <f t="shared" si="440"/>
        <v>0.71222648320847215</v>
      </c>
    </row>
    <row r="1630" spans="1:9" x14ac:dyDescent="0.3">
      <c r="A1630" t="s">
        <v>7</v>
      </c>
      <c r="B1630" s="3">
        <v>45363</v>
      </c>
      <c r="C1630">
        <f t="shared" si="431"/>
        <v>12</v>
      </c>
      <c r="D1630">
        <f t="shared" si="432"/>
        <v>3</v>
      </c>
      <c r="E1630">
        <f t="shared" si="433"/>
        <v>2024</v>
      </c>
      <c r="F1630" s="2">
        <v>1622</v>
      </c>
      <c r="G1630" t="s">
        <v>17</v>
      </c>
      <c r="I1630" s="4">
        <f>SUMIFS($F$2:$F$2739,$G$2:$G$2739,"No Contract",$E$2:$E$2739,2024)/SUMIF($E$2:$E$2739,2024,$F$2:$F$2739)</f>
        <v>9.576924485808011E-2</v>
      </c>
    </row>
    <row r="1631" spans="1:9" x14ac:dyDescent="0.3">
      <c r="A1631" t="s">
        <v>4</v>
      </c>
      <c r="B1631" s="3">
        <v>45365</v>
      </c>
      <c r="C1631">
        <f t="shared" si="431"/>
        <v>14</v>
      </c>
      <c r="D1631">
        <f t="shared" si="432"/>
        <v>3</v>
      </c>
      <c r="E1631">
        <f t="shared" si="433"/>
        <v>2024</v>
      </c>
      <c r="F1631" s="2">
        <v>1593</v>
      </c>
      <c r="G1631" s="2" t="s">
        <v>19</v>
      </c>
      <c r="I1631" s="4">
        <f t="shared" ref="I1631:I1636" si="441">SUMIFS($F$2:$F$2739,$G$2:$G$2739,"Multi-year Contract",$E$2:$E$2739,2024)/SUMIF($E$2:$E$2739,2024,$F$2:$F$2739)</f>
        <v>0.71222648320847215</v>
      </c>
    </row>
    <row r="1632" spans="1:9" x14ac:dyDescent="0.3">
      <c r="A1632" t="s">
        <v>5</v>
      </c>
      <c r="B1632" s="3">
        <v>45365</v>
      </c>
      <c r="C1632">
        <f t="shared" si="431"/>
        <v>14</v>
      </c>
      <c r="D1632">
        <f t="shared" si="432"/>
        <v>3</v>
      </c>
      <c r="E1632">
        <f t="shared" si="433"/>
        <v>2024</v>
      </c>
      <c r="F1632" s="2">
        <v>2988</v>
      </c>
      <c r="G1632" t="s">
        <v>19</v>
      </c>
      <c r="I1632" s="4">
        <f t="shared" si="441"/>
        <v>0.71222648320847215</v>
      </c>
    </row>
    <row r="1633" spans="1:9" x14ac:dyDescent="0.3">
      <c r="A1633" t="s">
        <v>5</v>
      </c>
      <c r="B1633" s="3">
        <v>45365</v>
      </c>
      <c r="C1633">
        <f t="shared" si="431"/>
        <v>14</v>
      </c>
      <c r="D1633">
        <f t="shared" si="432"/>
        <v>3</v>
      </c>
      <c r="E1633">
        <f t="shared" si="433"/>
        <v>2024</v>
      </c>
      <c r="F1633" s="2">
        <v>2602</v>
      </c>
      <c r="G1633" t="s">
        <v>19</v>
      </c>
      <c r="I1633" s="4">
        <f t="shared" si="441"/>
        <v>0.71222648320847215</v>
      </c>
    </row>
    <row r="1634" spans="1:9" x14ac:dyDescent="0.3">
      <c r="A1634" t="s">
        <v>10</v>
      </c>
      <c r="B1634" s="3">
        <v>45365</v>
      </c>
      <c r="C1634">
        <f t="shared" si="431"/>
        <v>14</v>
      </c>
      <c r="D1634">
        <f t="shared" si="432"/>
        <v>3</v>
      </c>
      <c r="E1634">
        <f t="shared" si="433"/>
        <v>2024</v>
      </c>
      <c r="F1634" s="2">
        <v>2842</v>
      </c>
      <c r="G1634" t="s">
        <v>19</v>
      </c>
      <c r="I1634" s="4">
        <f t="shared" si="441"/>
        <v>0.71222648320847215</v>
      </c>
    </row>
    <row r="1635" spans="1:9" x14ac:dyDescent="0.3">
      <c r="A1635" t="s">
        <v>4</v>
      </c>
      <c r="B1635" s="3">
        <v>45366</v>
      </c>
      <c r="C1635">
        <f t="shared" si="431"/>
        <v>15</v>
      </c>
      <c r="D1635">
        <f t="shared" si="432"/>
        <v>3</v>
      </c>
      <c r="E1635">
        <f t="shared" si="433"/>
        <v>2024</v>
      </c>
      <c r="F1635" s="2">
        <v>1146</v>
      </c>
      <c r="G1635" s="2" t="s">
        <v>19</v>
      </c>
      <c r="I1635" s="4">
        <f t="shared" si="441"/>
        <v>0.71222648320847215</v>
      </c>
    </row>
    <row r="1636" spans="1:9" x14ac:dyDescent="0.3">
      <c r="A1636" t="s">
        <v>11</v>
      </c>
      <c r="B1636" s="3">
        <v>45366</v>
      </c>
      <c r="C1636">
        <f t="shared" si="431"/>
        <v>15</v>
      </c>
      <c r="D1636">
        <f t="shared" si="432"/>
        <v>3</v>
      </c>
      <c r="E1636">
        <f t="shared" si="433"/>
        <v>2024</v>
      </c>
      <c r="F1636" s="2">
        <v>1735</v>
      </c>
      <c r="G1636" t="s">
        <v>19</v>
      </c>
      <c r="I1636" s="4">
        <f t="shared" si="441"/>
        <v>0.71222648320847215</v>
      </c>
    </row>
    <row r="1637" spans="1:9" x14ac:dyDescent="0.3">
      <c r="A1637" t="s">
        <v>9</v>
      </c>
      <c r="B1637" s="3">
        <v>45366</v>
      </c>
      <c r="C1637">
        <f t="shared" si="431"/>
        <v>15</v>
      </c>
      <c r="D1637">
        <f t="shared" si="432"/>
        <v>3</v>
      </c>
      <c r="E1637">
        <f t="shared" si="433"/>
        <v>2024</v>
      </c>
      <c r="F1637" s="2">
        <v>2541</v>
      </c>
      <c r="G1637" t="s">
        <v>18</v>
      </c>
      <c r="I1637" s="4">
        <f>SUMIFS($F$2:$F$2739,$G$2:$G$2739,"Annual Contract",$E$2:$E$2739,2024)/SUMIF($E$2:$E$2739,2024,$F$2:$F$2739)</f>
        <v>0.19200427193344777</v>
      </c>
    </row>
    <row r="1638" spans="1:9" x14ac:dyDescent="0.3">
      <c r="A1638" t="s">
        <v>7</v>
      </c>
      <c r="B1638" s="3">
        <v>45366</v>
      </c>
      <c r="C1638">
        <f t="shared" si="431"/>
        <v>15</v>
      </c>
      <c r="D1638">
        <f t="shared" si="432"/>
        <v>3</v>
      </c>
      <c r="E1638">
        <f t="shared" si="433"/>
        <v>2024</v>
      </c>
      <c r="F1638" s="2">
        <v>1693</v>
      </c>
      <c r="G1638" t="s">
        <v>17</v>
      </c>
      <c r="I1638" s="4">
        <f>SUMIFS($F$2:$F$2739,$G$2:$G$2739,"No Contract",$E$2:$E$2739,2024)/SUMIF($E$2:$E$2739,2024,$F$2:$F$2739)</f>
        <v>9.576924485808011E-2</v>
      </c>
    </row>
    <row r="1639" spans="1:9" x14ac:dyDescent="0.3">
      <c r="A1639" t="s">
        <v>10</v>
      </c>
      <c r="B1639" s="3">
        <v>45367</v>
      </c>
      <c r="C1639">
        <f t="shared" si="431"/>
        <v>16</v>
      </c>
      <c r="D1639">
        <f t="shared" si="432"/>
        <v>3</v>
      </c>
      <c r="E1639">
        <f t="shared" si="433"/>
        <v>2024</v>
      </c>
      <c r="F1639" s="2">
        <v>1926</v>
      </c>
      <c r="G1639" t="s">
        <v>19</v>
      </c>
      <c r="I1639" s="4">
        <f t="shared" ref="I1639:I1644" si="442">SUMIFS($F$2:$F$2739,$G$2:$G$2739,"Multi-year Contract",$E$2:$E$2739,2024)/SUMIF($E$2:$E$2739,2024,$F$2:$F$2739)</f>
        <v>0.71222648320847215</v>
      </c>
    </row>
    <row r="1640" spans="1:9" x14ac:dyDescent="0.3">
      <c r="A1640" t="s">
        <v>11</v>
      </c>
      <c r="B1640" s="3">
        <v>45367</v>
      </c>
      <c r="C1640">
        <f t="shared" si="431"/>
        <v>16</v>
      </c>
      <c r="D1640">
        <f t="shared" si="432"/>
        <v>3</v>
      </c>
      <c r="E1640">
        <f t="shared" si="433"/>
        <v>2024</v>
      </c>
      <c r="F1640" s="2">
        <v>2893</v>
      </c>
      <c r="G1640" t="s">
        <v>19</v>
      </c>
      <c r="I1640" s="4">
        <f t="shared" si="442"/>
        <v>0.71222648320847215</v>
      </c>
    </row>
    <row r="1641" spans="1:9" x14ac:dyDescent="0.3">
      <c r="A1641" t="s">
        <v>8</v>
      </c>
      <c r="B1641" s="3">
        <v>45367</v>
      </c>
      <c r="C1641">
        <f t="shared" si="431"/>
        <v>16</v>
      </c>
      <c r="D1641">
        <f t="shared" si="432"/>
        <v>3</v>
      </c>
      <c r="E1641">
        <f t="shared" si="433"/>
        <v>2024</v>
      </c>
      <c r="F1641" s="2">
        <v>3152</v>
      </c>
      <c r="G1641" s="2" t="s">
        <v>19</v>
      </c>
      <c r="I1641" s="4">
        <f t="shared" si="442"/>
        <v>0.71222648320847215</v>
      </c>
    </row>
    <row r="1642" spans="1:9" x14ac:dyDescent="0.3">
      <c r="A1642" t="s">
        <v>10</v>
      </c>
      <c r="B1642" s="3">
        <v>45367</v>
      </c>
      <c r="C1642">
        <f t="shared" si="431"/>
        <v>16</v>
      </c>
      <c r="D1642">
        <f t="shared" si="432"/>
        <v>3</v>
      </c>
      <c r="E1642">
        <f t="shared" si="433"/>
        <v>2024</v>
      </c>
      <c r="F1642" s="2">
        <v>1965</v>
      </c>
      <c r="G1642" t="s">
        <v>19</v>
      </c>
      <c r="I1642" s="4">
        <f t="shared" si="442"/>
        <v>0.71222648320847215</v>
      </c>
    </row>
    <row r="1643" spans="1:9" x14ac:dyDescent="0.3">
      <c r="A1643" t="s">
        <v>3</v>
      </c>
      <c r="B1643" s="3">
        <v>45368</v>
      </c>
      <c r="C1643">
        <f t="shared" si="431"/>
        <v>17</v>
      </c>
      <c r="D1643">
        <f t="shared" si="432"/>
        <v>3</v>
      </c>
      <c r="E1643">
        <f t="shared" si="433"/>
        <v>2024</v>
      </c>
      <c r="F1643" s="2">
        <v>2136</v>
      </c>
      <c r="G1643" t="s">
        <v>19</v>
      </c>
      <c r="I1643" s="4">
        <f t="shared" si="442"/>
        <v>0.71222648320847215</v>
      </c>
    </row>
    <row r="1644" spans="1:9" x14ac:dyDescent="0.3">
      <c r="A1644" t="s">
        <v>3</v>
      </c>
      <c r="B1644" s="3">
        <v>45368</v>
      </c>
      <c r="C1644">
        <f t="shared" si="431"/>
        <v>17</v>
      </c>
      <c r="D1644">
        <f t="shared" si="432"/>
        <v>3</v>
      </c>
      <c r="E1644">
        <f t="shared" si="433"/>
        <v>2024</v>
      </c>
      <c r="F1644" s="2">
        <v>3100</v>
      </c>
      <c r="G1644" t="s">
        <v>19</v>
      </c>
      <c r="I1644" s="4">
        <f t="shared" si="442"/>
        <v>0.71222648320847215</v>
      </c>
    </row>
    <row r="1645" spans="1:9" x14ac:dyDescent="0.3">
      <c r="A1645" t="s">
        <v>9</v>
      </c>
      <c r="B1645" s="3">
        <v>45368</v>
      </c>
      <c r="C1645">
        <f t="shared" si="431"/>
        <v>17</v>
      </c>
      <c r="D1645">
        <f t="shared" si="432"/>
        <v>3</v>
      </c>
      <c r="E1645">
        <f t="shared" si="433"/>
        <v>2024</v>
      </c>
      <c r="F1645" s="2">
        <v>3992</v>
      </c>
      <c r="G1645" t="s">
        <v>18</v>
      </c>
      <c r="I1645" s="4">
        <f>SUMIFS($F$2:$F$2739,$G$2:$G$2739,"Annual Contract",$E$2:$E$2739,2024)/SUMIF($E$2:$E$2739,2024,$F$2:$F$2739)</f>
        <v>0.19200427193344777</v>
      </c>
    </row>
    <row r="1646" spans="1:9" x14ac:dyDescent="0.3">
      <c r="A1646" t="s">
        <v>3</v>
      </c>
      <c r="B1646" s="3">
        <v>45369</v>
      </c>
      <c r="C1646">
        <f t="shared" si="431"/>
        <v>18</v>
      </c>
      <c r="D1646">
        <f t="shared" si="432"/>
        <v>3</v>
      </c>
      <c r="E1646">
        <f t="shared" si="433"/>
        <v>2024</v>
      </c>
      <c r="F1646" s="2">
        <v>1448</v>
      </c>
      <c r="G1646" t="s">
        <v>19</v>
      </c>
      <c r="I1646" s="4">
        <f>SUMIFS($F$2:$F$2739,$G$2:$G$2739,"Multi-year Contract",$E$2:$E$2739,2024)/SUMIF($E$2:$E$2739,2024,$F$2:$F$2739)</f>
        <v>0.71222648320847215</v>
      </c>
    </row>
    <row r="1647" spans="1:9" x14ac:dyDescent="0.3">
      <c r="A1647" t="s">
        <v>6</v>
      </c>
      <c r="B1647" s="3">
        <v>45369</v>
      </c>
      <c r="C1647">
        <f t="shared" si="431"/>
        <v>18</v>
      </c>
      <c r="D1647">
        <f t="shared" si="432"/>
        <v>3</v>
      </c>
      <c r="E1647">
        <f t="shared" si="433"/>
        <v>2024</v>
      </c>
      <c r="F1647" s="2">
        <v>1747</v>
      </c>
      <c r="G1647" t="s">
        <v>18</v>
      </c>
      <c r="I1647" s="4">
        <f>SUMIFS($F$2:$F$2739,$G$2:$G$2739,"Annual Contract",$E$2:$E$2739,2024)/SUMIF($E$2:$E$2739,2024,$F$2:$F$2739)</f>
        <v>0.19200427193344777</v>
      </c>
    </row>
    <row r="1648" spans="1:9" x14ac:dyDescent="0.3">
      <c r="A1648" t="s">
        <v>12</v>
      </c>
      <c r="B1648" s="3">
        <v>45369</v>
      </c>
      <c r="C1648">
        <f t="shared" si="431"/>
        <v>18</v>
      </c>
      <c r="D1648">
        <f t="shared" si="432"/>
        <v>3</v>
      </c>
      <c r="E1648">
        <f t="shared" si="433"/>
        <v>2024</v>
      </c>
      <c r="F1648" s="2">
        <v>1162</v>
      </c>
      <c r="G1648" s="2" t="s">
        <v>19</v>
      </c>
      <c r="I1648" s="4">
        <f t="shared" ref="I1648:I1653" si="443">SUMIFS($F$2:$F$2739,$G$2:$G$2739,"Multi-year Contract",$E$2:$E$2739,2024)/SUMIF($E$2:$E$2739,2024,$F$2:$F$2739)</f>
        <v>0.71222648320847215</v>
      </c>
    </row>
    <row r="1649" spans="1:9" x14ac:dyDescent="0.3">
      <c r="A1649" t="s">
        <v>8</v>
      </c>
      <c r="B1649" s="3">
        <v>45369</v>
      </c>
      <c r="C1649">
        <f t="shared" si="431"/>
        <v>18</v>
      </c>
      <c r="D1649">
        <f t="shared" si="432"/>
        <v>3</v>
      </c>
      <c r="E1649">
        <f t="shared" si="433"/>
        <v>2024</v>
      </c>
      <c r="F1649" s="2">
        <v>2549</v>
      </c>
      <c r="G1649" s="2" t="s">
        <v>19</v>
      </c>
      <c r="I1649" s="4">
        <f t="shared" si="443"/>
        <v>0.71222648320847215</v>
      </c>
    </row>
    <row r="1650" spans="1:9" x14ac:dyDescent="0.3">
      <c r="A1650" t="s">
        <v>10</v>
      </c>
      <c r="B1650" s="3">
        <v>45369</v>
      </c>
      <c r="C1650">
        <f t="shared" si="431"/>
        <v>18</v>
      </c>
      <c r="D1650">
        <f t="shared" si="432"/>
        <v>3</v>
      </c>
      <c r="E1650">
        <f t="shared" si="433"/>
        <v>2024</v>
      </c>
      <c r="F1650" s="2">
        <v>3958</v>
      </c>
      <c r="G1650" t="s">
        <v>19</v>
      </c>
      <c r="I1650" s="4">
        <f t="shared" si="443"/>
        <v>0.71222648320847215</v>
      </c>
    </row>
    <row r="1651" spans="1:9" x14ac:dyDescent="0.3">
      <c r="A1651" t="s">
        <v>5</v>
      </c>
      <c r="B1651" s="3">
        <v>45369</v>
      </c>
      <c r="C1651">
        <f t="shared" si="431"/>
        <v>18</v>
      </c>
      <c r="D1651">
        <f t="shared" si="432"/>
        <v>3</v>
      </c>
      <c r="E1651">
        <f t="shared" si="433"/>
        <v>2024</v>
      </c>
      <c r="F1651" s="2">
        <v>3916</v>
      </c>
      <c r="G1651" t="s">
        <v>19</v>
      </c>
      <c r="I1651" s="4">
        <f t="shared" si="443"/>
        <v>0.71222648320847215</v>
      </c>
    </row>
    <row r="1652" spans="1:9" x14ac:dyDescent="0.3">
      <c r="A1652" t="s">
        <v>3</v>
      </c>
      <c r="B1652" s="3">
        <v>45369</v>
      </c>
      <c r="C1652">
        <f t="shared" si="431"/>
        <v>18</v>
      </c>
      <c r="D1652">
        <f t="shared" si="432"/>
        <v>3</v>
      </c>
      <c r="E1652">
        <f t="shared" si="433"/>
        <v>2024</v>
      </c>
      <c r="F1652" s="2">
        <v>2808</v>
      </c>
      <c r="G1652" t="s">
        <v>19</v>
      </c>
      <c r="I1652" s="4">
        <f t="shared" si="443"/>
        <v>0.71222648320847215</v>
      </c>
    </row>
    <row r="1653" spans="1:9" x14ac:dyDescent="0.3">
      <c r="A1653" t="s">
        <v>4</v>
      </c>
      <c r="B1653" s="3">
        <v>45369</v>
      </c>
      <c r="C1653">
        <f t="shared" si="431"/>
        <v>18</v>
      </c>
      <c r="D1653">
        <f t="shared" si="432"/>
        <v>3</v>
      </c>
      <c r="E1653">
        <f t="shared" si="433"/>
        <v>2024</v>
      </c>
      <c r="F1653" s="2">
        <v>3264</v>
      </c>
      <c r="G1653" s="2" t="s">
        <v>19</v>
      </c>
      <c r="I1653" s="4">
        <f t="shared" si="443"/>
        <v>0.71222648320847215</v>
      </c>
    </row>
    <row r="1654" spans="1:9" x14ac:dyDescent="0.3">
      <c r="A1654" t="s">
        <v>7</v>
      </c>
      <c r="B1654" s="3">
        <v>45369</v>
      </c>
      <c r="C1654">
        <f t="shared" si="431"/>
        <v>18</v>
      </c>
      <c r="D1654">
        <f t="shared" si="432"/>
        <v>3</v>
      </c>
      <c r="E1654">
        <f t="shared" si="433"/>
        <v>2024</v>
      </c>
      <c r="F1654" s="2">
        <v>968</v>
      </c>
      <c r="G1654" t="s">
        <v>17</v>
      </c>
      <c r="I1654" s="4">
        <f t="shared" ref="I1654:I1655" si="444">SUMIFS($F$2:$F$2739,$G$2:$G$2739,"No Contract",$E$2:$E$2739,2024)/SUMIF($E$2:$E$2739,2024,$F$2:$F$2739)</f>
        <v>9.576924485808011E-2</v>
      </c>
    </row>
    <row r="1655" spans="1:9" x14ac:dyDescent="0.3">
      <c r="A1655" t="s">
        <v>7</v>
      </c>
      <c r="B1655" s="3">
        <v>45369</v>
      </c>
      <c r="C1655">
        <f t="shared" si="431"/>
        <v>18</v>
      </c>
      <c r="D1655">
        <f t="shared" si="432"/>
        <v>3</v>
      </c>
      <c r="E1655">
        <f t="shared" si="433"/>
        <v>2024</v>
      </c>
      <c r="F1655" s="2">
        <v>2107</v>
      </c>
      <c r="G1655" t="s">
        <v>17</v>
      </c>
      <c r="I1655" s="4">
        <f t="shared" si="444"/>
        <v>9.576924485808011E-2</v>
      </c>
    </row>
    <row r="1656" spans="1:9" x14ac:dyDescent="0.3">
      <c r="A1656" t="s">
        <v>5</v>
      </c>
      <c r="B1656" s="3">
        <v>45370</v>
      </c>
      <c r="C1656">
        <f t="shared" si="431"/>
        <v>19</v>
      </c>
      <c r="D1656">
        <f t="shared" si="432"/>
        <v>3</v>
      </c>
      <c r="E1656">
        <f t="shared" si="433"/>
        <v>2024</v>
      </c>
      <c r="F1656" s="2">
        <v>3831</v>
      </c>
      <c r="G1656" t="s">
        <v>19</v>
      </c>
      <c r="I1656" s="4">
        <f t="shared" ref="I1656:I1657" si="445">SUMIFS($F$2:$F$2739,$G$2:$G$2739,"Multi-year Contract",$E$2:$E$2739,2024)/SUMIF($E$2:$E$2739,2024,$F$2:$F$2739)</f>
        <v>0.71222648320847215</v>
      </c>
    </row>
    <row r="1657" spans="1:9" x14ac:dyDescent="0.3">
      <c r="A1657" t="s">
        <v>4</v>
      </c>
      <c r="B1657" s="3">
        <v>45370</v>
      </c>
      <c r="C1657">
        <f t="shared" si="431"/>
        <v>19</v>
      </c>
      <c r="D1657">
        <f t="shared" si="432"/>
        <v>3</v>
      </c>
      <c r="E1657">
        <f t="shared" si="433"/>
        <v>2024</v>
      </c>
      <c r="F1657" s="2">
        <v>2803</v>
      </c>
      <c r="G1657" s="2" t="s">
        <v>19</v>
      </c>
      <c r="I1657" s="4">
        <f t="shared" si="445"/>
        <v>0.71222648320847215</v>
      </c>
    </row>
    <row r="1658" spans="1:9" x14ac:dyDescent="0.3">
      <c r="A1658" t="s">
        <v>6</v>
      </c>
      <c r="B1658" s="3">
        <v>45370</v>
      </c>
      <c r="C1658">
        <f t="shared" si="431"/>
        <v>19</v>
      </c>
      <c r="D1658">
        <f t="shared" si="432"/>
        <v>3</v>
      </c>
      <c r="E1658">
        <f t="shared" si="433"/>
        <v>2024</v>
      </c>
      <c r="F1658" s="2">
        <v>1567</v>
      </c>
      <c r="G1658" t="s">
        <v>18</v>
      </c>
      <c r="I1658" s="4">
        <f>SUMIFS($F$2:$F$2739,$G$2:$G$2739,"Annual Contract",$E$2:$E$2739,2024)/SUMIF($E$2:$E$2739,2024,$F$2:$F$2739)</f>
        <v>0.19200427193344777</v>
      </c>
    </row>
    <row r="1659" spans="1:9" x14ac:dyDescent="0.3">
      <c r="A1659" t="s">
        <v>7</v>
      </c>
      <c r="B1659" s="3">
        <v>45370</v>
      </c>
      <c r="C1659">
        <f t="shared" si="431"/>
        <v>19</v>
      </c>
      <c r="D1659">
        <f t="shared" si="432"/>
        <v>3</v>
      </c>
      <c r="E1659">
        <f t="shared" si="433"/>
        <v>2024</v>
      </c>
      <c r="F1659" s="2">
        <v>3794</v>
      </c>
      <c r="G1659" t="s">
        <v>17</v>
      </c>
      <c r="I1659" s="4">
        <f>SUMIFS($F$2:$F$2739,$G$2:$G$2739,"No Contract",$E$2:$E$2739,2024)/SUMIF($E$2:$E$2739,2024,$F$2:$F$2739)</f>
        <v>9.576924485808011E-2</v>
      </c>
    </row>
    <row r="1660" spans="1:9" x14ac:dyDescent="0.3">
      <c r="A1660" t="s">
        <v>3</v>
      </c>
      <c r="B1660" s="3">
        <v>45370</v>
      </c>
      <c r="C1660">
        <f t="shared" si="431"/>
        <v>19</v>
      </c>
      <c r="D1660">
        <f t="shared" si="432"/>
        <v>3</v>
      </c>
      <c r="E1660">
        <f t="shared" si="433"/>
        <v>2024</v>
      </c>
      <c r="F1660" s="2">
        <v>3233</v>
      </c>
      <c r="G1660" t="s">
        <v>19</v>
      </c>
      <c r="I1660" s="4">
        <f t="shared" ref="I1660:I1665" si="446">SUMIFS($F$2:$F$2739,$G$2:$G$2739,"Multi-year Contract",$E$2:$E$2739,2024)/SUMIF($E$2:$E$2739,2024,$F$2:$F$2739)</f>
        <v>0.71222648320847215</v>
      </c>
    </row>
    <row r="1661" spans="1:9" x14ac:dyDescent="0.3">
      <c r="A1661" t="s">
        <v>5</v>
      </c>
      <c r="B1661" s="3">
        <v>45371</v>
      </c>
      <c r="C1661">
        <f t="shared" si="431"/>
        <v>20</v>
      </c>
      <c r="D1661">
        <f t="shared" si="432"/>
        <v>3</v>
      </c>
      <c r="E1661">
        <f t="shared" si="433"/>
        <v>2024</v>
      </c>
      <c r="F1661" s="2">
        <v>2655</v>
      </c>
      <c r="G1661" t="s">
        <v>19</v>
      </c>
      <c r="I1661" s="4">
        <f t="shared" si="446"/>
        <v>0.71222648320847215</v>
      </c>
    </row>
    <row r="1662" spans="1:9" x14ac:dyDescent="0.3">
      <c r="A1662" t="s">
        <v>5</v>
      </c>
      <c r="B1662" s="3">
        <v>45371</v>
      </c>
      <c r="C1662">
        <f t="shared" si="431"/>
        <v>20</v>
      </c>
      <c r="D1662">
        <f t="shared" si="432"/>
        <v>3</v>
      </c>
      <c r="E1662">
        <f t="shared" si="433"/>
        <v>2024</v>
      </c>
      <c r="F1662" s="2">
        <v>3784</v>
      </c>
      <c r="G1662" t="s">
        <v>19</v>
      </c>
      <c r="I1662" s="4">
        <f t="shared" si="446"/>
        <v>0.71222648320847215</v>
      </c>
    </row>
    <row r="1663" spans="1:9" x14ac:dyDescent="0.3">
      <c r="A1663" t="s">
        <v>11</v>
      </c>
      <c r="B1663" s="3">
        <v>45372</v>
      </c>
      <c r="C1663">
        <f t="shared" si="431"/>
        <v>21</v>
      </c>
      <c r="D1663">
        <f t="shared" si="432"/>
        <v>3</v>
      </c>
      <c r="E1663">
        <f t="shared" si="433"/>
        <v>2024</v>
      </c>
      <c r="F1663" s="2">
        <v>3979</v>
      </c>
      <c r="G1663" t="s">
        <v>19</v>
      </c>
      <c r="I1663" s="4">
        <f t="shared" si="446"/>
        <v>0.71222648320847215</v>
      </c>
    </row>
    <row r="1664" spans="1:9" x14ac:dyDescent="0.3">
      <c r="A1664" t="s">
        <v>8</v>
      </c>
      <c r="B1664" s="3">
        <v>45372</v>
      </c>
      <c r="C1664">
        <f t="shared" si="431"/>
        <v>21</v>
      </c>
      <c r="D1664">
        <f t="shared" si="432"/>
        <v>3</v>
      </c>
      <c r="E1664">
        <f t="shared" si="433"/>
        <v>2024</v>
      </c>
      <c r="F1664" s="2">
        <v>894</v>
      </c>
      <c r="G1664" s="2" t="s">
        <v>19</v>
      </c>
      <c r="I1664" s="4">
        <f t="shared" si="446"/>
        <v>0.71222648320847215</v>
      </c>
    </row>
    <row r="1665" spans="1:9" x14ac:dyDescent="0.3">
      <c r="A1665" t="s">
        <v>3</v>
      </c>
      <c r="B1665" s="3">
        <v>45372</v>
      </c>
      <c r="C1665">
        <f t="shared" si="431"/>
        <v>21</v>
      </c>
      <c r="D1665">
        <f t="shared" si="432"/>
        <v>3</v>
      </c>
      <c r="E1665">
        <f t="shared" si="433"/>
        <v>2024</v>
      </c>
      <c r="F1665" s="2">
        <v>2113</v>
      </c>
      <c r="G1665" t="s">
        <v>19</v>
      </c>
      <c r="I1665" s="4">
        <f t="shared" si="446"/>
        <v>0.71222648320847215</v>
      </c>
    </row>
    <row r="1666" spans="1:9" x14ac:dyDescent="0.3">
      <c r="A1666" t="s">
        <v>7</v>
      </c>
      <c r="B1666" s="3">
        <v>45372</v>
      </c>
      <c r="C1666">
        <f t="shared" si="431"/>
        <v>21</v>
      </c>
      <c r="D1666">
        <f t="shared" si="432"/>
        <v>3</v>
      </c>
      <c r="E1666">
        <f t="shared" si="433"/>
        <v>2024</v>
      </c>
      <c r="F1666" s="2">
        <v>3166</v>
      </c>
      <c r="G1666" t="s">
        <v>17</v>
      </c>
      <c r="I1666" s="4">
        <f>SUMIFS($F$2:$F$2739,$G$2:$G$2739,"No Contract",$E$2:$E$2739,2024)/SUMIF($E$2:$E$2739,2024,$F$2:$F$2739)</f>
        <v>9.576924485808011E-2</v>
      </c>
    </row>
    <row r="1667" spans="1:9" x14ac:dyDescent="0.3">
      <c r="A1667" t="s">
        <v>10</v>
      </c>
      <c r="B1667" s="3">
        <v>45373</v>
      </c>
      <c r="C1667">
        <f t="shared" ref="C1667:C1730" si="447">DAY(B1667)</f>
        <v>22</v>
      </c>
      <c r="D1667">
        <f t="shared" ref="D1667:D1730" si="448">MONTH(B1667)</f>
        <v>3</v>
      </c>
      <c r="E1667">
        <f t="shared" ref="E1667:E1730" si="449">YEAR(B1667)</f>
        <v>2024</v>
      </c>
      <c r="F1667" s="2">
        <v>1925</v>
      </c>
      <c r="G1667" t="s">
        <v>19</v>
      </c>
      <c r="I1667" s="4">
        <f>SUMIFS($F$2:$F$2739,$G$2:$G$2739,"Multi-year Contract",$E$2:$E$2739,2024)/SUMIF($E$2:$E$2739,2024,$F$2:$F$2739)</f>
        <v>0.71222648320847215</v>
      </c>
    </row>
    <row r="1668" spans="1:9" x14ac:dyDescent="0.3">
      <c r="A1668" t="s">
        <v>6</v>
      </c>
      <c r="B1668" s="3">
        <v>45373</v>
      </c>
      <c r="C1668">
        <f t="shared" si="447"/>
        <v>22</v>
      </c>
      <c r="D1668">
        <f t="shared" si="448"/>
        <v>3</v>
      </c>
      <c r="E1668">
        <f t="shared" si="449"/>
        <v>2024</v>
      </c>
      <c r="F1668" s="2">
        <v>2881</v>
      </c>
      <c r="G1668" t="s">
        <v>18</v>
      </c>
      <c r="I1668" s="4">
        <f>SUMIFS($F$2:$F$2739,$G$2:$G$2739,"Annual Contract",$E$2:$E$2739,2024)/SUMIF($E$2:$E$2739,2024,$F$2:$F$2739)</f>
        <v>0.19200427193344777</v>
      </c>
    </row>
    <row r="1669" spans="1:9" x14ac:dyDescent="0.3">
      <c r="A1669" t="s">
        <v>4</v>
      </c>
      <c r="B1669" s="3">
        <v>45375</v>
      </c>
      <c r="C1669">
        <f t="shared" si="447"/>
        <v>24</v>
      </c>
      <c r="D1669">
        <f t="shared" si="448"/>
        <v>3</v>
      </c>
      <c r="E1669">
        <f t="shared" si="449"/>
        <v>2024</v>
      </c>
      <c r="F1669" s="2">
        <v>3938</v>
      </c>
      <c r="G1669" s="2" t="s">
        <v>19</v>
      </c>
      <c r="I1669" s="4">
        <f t="shared" ref="I1669:I1673" si="450">SUMIFS($F$2:$F$2739,$G$2:$G$2739,"Multi-year Contract",$E$2:$E$2739,2024)/SUMIF($E$2:$E$2739,2024,$F$2:$F$2739)</f>
        <v>0.71222648320847215</v>
      </c>
    </row>
    <row r="1670" spans="1:9" x14ac:dyDescent="0.3">
      <c r="A1670" t="s">
        <v>12</v>
      </c>
      <c r="B1670" s="3">
        <v>45375</v>
      </c>
      <c r="C1670">
        <f t="shared" si="447"/>
        <v>24</v>
      </c>
      <c r="D1670">
        <f t="shared" si="448"/>
        <v>3</v>
      </c>
      <c r="E1670">
        <f t="shared" si="449"/>
        <v>2024</v>
      </c>
      <c r="F1670" s="2">
        <v>855</v>
      </c>
      <c r="G1670" s="2" t="s">
        <v>19</v>
      </c>
      <c r="I1670" s="4">
        <f t="shared" si="450"/>
        <v>0.71222648320847215</v>
      </c>
    </row>
    <row r="1671" spans="1:9" x14ac:dyDescent="0.3">
      <c r="A1671" t="s">
        <v>10</v>
      </c>
      <c r="B1671" s="3">
        <v>45375</v>
      </c>
      <c r="C1671">
        <f t="shared" si="447"/>
        <v>24</v>
      </c>
      <c r="D1671">
        <f t="shared" si="448"/>
        <v>3</v>
      </c>
      <c r="E1671">
        <f t="shared" si="449"/>
        <v>2024</v>
      </c>
      <c r="F1671" s="2">
        <v>3531</v>
      </c>
      <c r="G1671" t="s">
        <v>19</v>
      </c>
      <c r="I1671" s="4">
        <f t="shared" si="450"/>
        <v>0.71222648320847215</v>
      </c>
    </row>
    <row r="1672" spans="1:9" x14ac:dyDescent="0.3">
      <c r="A1672" t="s">
        <v>10</v>
      </c>
      <c r="B1672" s="3">
        <v>45375</v>
      </c>
      <c r="C1672">
        <f t="shared" si="447"/>
        <v>24</v>
      </c>
      <c r="D1672">
        <f t="shared" si="448"/>
        <v>3</v>
      </c>
      <c r="E1672">
        <f t="shared" si="449"/>
        <v>2024</v>
      </c>
      <c r="F1672" s="2">
        <v>3380</v>
      </c>
      <c r="G1672" t="s">
        <v>19</v>
      </c>
      <c r="I1672" s="4">
        <f t="shared" si="450"/>
        <v>0.71222648320847215</v>
      </c>
    </row>
    <row r="1673" spans="1:9" x14ac:dyDescent="0.3">
      <c r="A1673" t="s">
        <v>10</v>
      </c>
      <c r="B1673" s="3">
        <v>45375</v>
      </c>
      <c r="C1673">
        <f t="shared" si="447"/>
        <v>24</v>
      </c>
      <c r="D1673">
        <f t="shared" si="448"/>
        <v>3</v>
      </c>
      <c r="E1673">
        <f t="shared" si="449"/>
        <v>2024</v>
      </c>
      <c r="F1673" s="2">
        <v>2500</v>
      </c>
      <c r="G1673" t="s">
        <v>19</v>
      </c>
      <c r="I1673" s="4">
        <f t="shared" si="450"/>
        <v>0.71222648320847215</v>
      </c>
    </row>
    <row r="1674" spans="1:9" x14ac:dyDescent="0.3">
      <c r="A1674" t="s">
        <v>6</v>
      </c>
      <c r="B1674" s="3">
        <v>45376</v>
      </c>
      <c r="C1674">
        <f t="shared" si="447"/>
        <v>25</v>
      </c>
      <c r="D1674">
        <f t="shared" si="448"/>
        <v>3</v>
      </c>
      <c r="E1674">
        <f t="shared" si="449"/>
        <v>2024</v>
      </c>
      <c r="F1674" s="2">
        <v>1384</v>
      </c>
      <c r="G1674" t="s">
        <v>18</v>
      </c>
      <c r="I1674" s="4">
        <f t="shared" ref="I1674:I1675" si="451">SUMIFS($F$2:$F$2739,$G$2:$G$2739,"Annual Contract",$E$2:$E$2739,2024)/SUMIF($E$2:$E$2739,2024,$F$2:$F$2739)</f>
        <v>0.19200427193344777</v>
      </c>
    </row>
    <row r="1675" spans="1:9" x14ac:dyDescent="0.3">
      <c r="A1675" t="s">
        <v>9</v>
      </c>
      <c r="B1675" s="3">
        <v>45376</v>
      </c>
      <c r="C1675">
        <f t="shared" si="447"/>
        <v>25</v>
      </c>
      <c r="D1675">
        <f t="shared" si="448"/>
        <v>3</v>
      </c>
      <c r="E1675">
        <f t="shared" si="449"/>
        <v>2024</v>
      </c>
      <c r="F1675" s="2">
        <v>2786</v>
      </c>
      <c r="G1675" t="s">
        <v>18</v>
      </c>
      <c r="I1675" s="4">
        <f t="shared" si="451"/>
        <v>0.19200427193344777</v>
      </c>
    </row>
    <row r="1676" spans="1:9" x14ac:dyDescent="0.3">
      <c r="A1676" t="s">
        <v>4</v>
      </c>
      <c r="B1676" s="3">
        <v>45376</v>
      </c>
      <c r="C1676">
        <f t="shared" si="447"/>
        <v>25</v>
      </c>
      <c r="D1676">
        <f t="shared" si="448"/>
        <v>3</v>
      </c>
      <c r="E1676">
        <f t="shared" si="449"/>
        <v>2024</v>
      </c>
      <c r="F1676" s="2">
        <v>631</v>
      </c>
      <c r="G1676" s="2" t="s">
        <v>19</v>
      </c>
      <c r="I1676" s="4">
        <f t="shared" ref="I1676:I1679" si="452">SUMIFS($F$2:$F$2739,$G$2:$G$2739,"Multi-year Contract",$E$2:$E$2739,2024)/SUMIF($E$2:$E$2739,2024,$F$2:$F$2739)</f>
        <v>0.71222648320847215</v>
      </c>
    </row>
    <row r="1677" spans="1:9" x14ac:dyDescent="0.3">
      <c r="A1677" t="s">
        <v>11</v>
      </c>
      <c r="B1677" s="3">
        <v>45376</v>
      </c>
      <c r="C1677">
        <f t="shared" si="447"/>
        <v>25</v>
      </c>
      <c r="D1677">
        <f t="shared" si="448"/>
        <v>3</v>
      </c>
      <c r="E1677">
        <f t="shared" si="449"/>
        <v>2024</v>
      </c>
      <c r="F1677" s="2">
        <v>3224</v>
      </c>
      <c r="G1677" t="s">
        <v>19</v>
      </c>
      <c r="I1677" s="4">
        <f t="shared" si="452"/>
        <v>0.71222648320847215</v>
      </c>
    </row>
    <row r="1678" spans="1:9" x14ac:dyDescent="0.3">
      <c r="A1678" t="s">
        <v>8</v>
      </c>
      <c r="B1678" s="3">
        <v>45377</v>
      </c>
      <c r="C1678">
        <f t="shared" si="447"/>
        <v>26</v>
      </c>
      <c r="D1678">
        <f t="shared" si="448"/>
        <v>3</v>
      </c>
      <c r="E1678">
        <f t="shared" si="449"/>
        <v>2024</v>
      </c>
      <c r="F1678" s="2">
        <v>2296</v>
      </c>
      <c r="G1678" s="2" t="s">
        <v>19</v>
      </c>
      <c r="I1678" s="4">
        <f t="shared" si="452"/>
        <v>0.71222648320847215</v>
      </c>
    </row>
    <row r="1679" spans="1:9" x14ac:dyDescent="0.3">
      <c r="A1679" t="s">
        <v>8</v>
      </c>
      <c r="B1679" s="3">
        <v>45377</v>
      </c>
      <c r="C1679">
        <f t="shared" si="447"/>
        <v>26</v>
      </c>
      <c r="D1679">
        <f t="shared" si="448"/>
        <v>3</v>
      </c>
      <c r="E1679">
        <f t="shared" si="449"/>
        <v>2024</v>
      </c>
      <c r="F1679" s="2">
        <v>1970</v>
      </c>
      <c r="G1679" s="2" t="s">
        <v>19</v>
      </c>
      <c r="I1679" s="4">
        <f t="shared" si="452"/>
        <v>0.71222648320847215</v>
      </c>
    </row>
    <row r="1680" spans="1:9" x14ac:dyDescent="0.3">
      <c r="A1680" t="s">
        <v>6</v>
      </c>
      <c r="B1680" s="3">
        <v>45378</v>
      </c>
      <c r="C1680">
        <f t="shared" si="447"/>
        <v>27</v>
      </c>
      <c r="D1680">
        <f t="shared" si="448"/>
        <v>3</v>
      </c>
      <c r="E1680">
        <f t="shared" si="449"/>
        <v>2024</v>
      </c>
      <c r="F1680" s="2">
        <v>2657</v>
      </c>
      <c r="G1680" t="s">
        <v>18</v>
      </c>
      <c r="I1680" s="4">
        <f>SUMIFS($F$2:$F$2739,$G$2:$G$2739,"Annual Contract",$E$2:$E$2739,2024)/SUMIF($E$2:$E$2739,2024,$F$2:$F$2739)</f>
        <v>0.19200427193344777</v>
      </c>
    </row>
    <row r="1681" spans="1:9" x14ac:dyDescent="0.3">
      <c r="A1681" t="s">
        <v>11</v>
      </c>
      <c r="B1681" s="3">
        <v>45379</v>
      </c>
      <c r="C1681">
        <f t="shared" si="447"/>
        <v>28</v>
      </c>
      <c r="D1681">
        <f t="shared" si="448"/>
        <v>3</v>
      </c>
      <c r="E1681">
        <f t="shared" si="449"/>
        <v>2024</v>
      </c>
      <c r="F1681" s="2">
        <v>674</v>
      </c>
      <c r="G1681" t="s">
        <v>19</v>
      </c>
      <c r="I1681" s="4">
        <f>SUMIFS($F$2:$F$2739,$G$2:$G$2739,"Multi-year Contract",$E$2:$E$2739,2024)/SUMIF($E$2:$E$2739,2024,$F$2:$F$2739)</f>
        <v>0.71222648320847215</v>
      </c>
    </row>
    <row r="1682" spans="1:9" x14ac:dyDescent="0.3">
      <c r="A1682" t="s">
        <v>6</v>
      </c>
      <c r="B1682" s="3">
        <v>45379</v>
      </c>
      <c r="C1682">
        <f t="shared" si="447"/>
        <v>28</v>
      </c>
      <c r="D1682">
        <f t="shared" si="448"/>
        <v>3</v>
      </c>
      <c r="E1682">
        <f t="shared" si="449"/>
        <v>2024</v>
      </c>
      <c r="F1682" s="2">
        <v>1768</v>
      </c>
      <c r="G1682" t="s">
        <v>18</v>
      </c>
      <c r="I1682" s="4">
        <f>SUMIFS($F$2:$F$2739,$G$2:$G$2739,"Annual Contract",$E$2:$E$2739,2024)/SUMIF($E$2:$E$2739,2024,$F$2:$F$2739)</f>
        <v>0.19200427193344777</v>
      </c>
    </row>
    <row r="1683" spans="1:9" x14ac:dyDescent="0.3">
      <c r="A1683" t="s">
        <v>8</v>
      </c>
      <c r="B1683" s="3">
        <v>45379</v>
      </c>
      <c r="C1683">
        <f t="shared" si="447"/>
        <v>28</v>
      </c>
      <c r="D1683">
        <f t="shared" si="448"/>
        <v>3</v>
      </c>
      <c r="E1683">
        <f t="shared" si="449"/>
        <v>2024</v>
      </c>
      <c r="F1683" s="2">
        <v>1191</v>
      </c>
      <c r="G1683" s="2" t="s">
        <v>19</v>
      </c>
      <c r="I1683" s="4">
        <f t="shared" ref="I1683:I1689" si="453">SUMIFS($F$2:$F$2739,$G$2:$G$2739,"Multi-year Contract",$E$2:$E$2739,2024)/SUMIF($E$2:$E$2739,2024,$F$2:$F$2739)</f>
        <v>0.71222648320847215</v>
      </c>
    </row>
    <row r="1684" spans="1:9" x14ac:dyDescent="0.3">
      <c r="A1684" t="s">
        <v>12</v>
      </c>
      <c r="B1684" s="3">
        <v>45380</v>
      </c>
      <c r="C1684">
        <f t="shared" si="447"/>
        <v>29</v>
      </c>
      <c r="D1684">
        <f t="shared" si="448"/>
        <v>3</v>
      </c>
      <c r="E1684">
        <f t="shared" si="449"/>
        <v>2024</v>
      </c>
      <c r="F1684" s="2">
        <v>2342</v>
      </c>
      <c r="G1684" s="2" t="s">
        <v>19</v>
      </c>
      <c r="I1684" s="4">
        <f t="shared" si="453"/>
        <v>0.71222648320847215</v>
      </c>
    </row>
    <row r="1685" spans="1:9" x14ac:dyDescent="0.3">
      <c r="A1685" t="s">
        <v>8</v>
      </c>
      <c r="B1685" s="3">
        <v>45380</v>
      </c>
      <c r="C1685">
        <f t="shared" si="447"/>
        <v>29</v>
      </c>
      <c r="D1685">
        <f t="shared" si="448"/>
        <v>3</v>
      </c>
      <c r="E1685">
        <f t="shared" si="449"/>
        <v>2024</v>
      </c>
      <c r="F1685" s="2">
        <v>2940</v>
      </c>
      <c r="G1685" s="2" t="s">
        <v>19</v>
      </c>
      <c r="I1685" s="4">
        <f t="shared" si="453"/>
        <v>0.71222648320847215</v>
      </c>
    </row>
    <row r="1686" spans="1:9" x14ac:dyDescent="0.3">
      <c r="A1686" t="s">
        <v>10</v>
      </c>
      <c r="B1686" s="3">
        <v>45380</v>
      </c>
      <c r="C1686">
        <f t="shared" si="447"/>
        <v>29</v>
      </c>
      <c r="D1686">
        <f t="shared" si="448"/>
        <v>3</v>
      </c>
      <c r="E1686">
        <f t="shared" si="449"/>
        <v>2024</v>
      </c>
      <c r="F1686" s="2">
        <v>2377</v>
      </c>
      <c r="G1686" t="s">
        <v>19</v>
      </c>
      <c r="I1686" s="4">
        <f t="shared" si="453"/>
        <v>0.71222648320847215</v>
      </c>
    </row>
    <row r="1687" spans="1:9" x14ac:dyDescent="0.3">
      <c r="A1687" t="s">
        <v>10</v>
      </c>
      <c r="B1687" s="3">
        <v>45381</v>
      </c>
      <c r="C1687">
        <f t="shared" si="447"/>
        <v>30</v>
      </c>
      <c r="D1687">
        <f t="shared" si="448"/>
        <v>3</v>
      </c>
      <c r="E1687">
        <f t="shared" si="449"/>
        <v>2024</v>
      </c>
      <c r="F1687" s="2">
        <v>2180</v>
      </c>
      <c r="G1687" t="s">
        <v>19</v>
      </c>
      <c r="I1687" s="4">
        <f t="shared" si="453"/>
        <v>0.71222648320847215</v>
      </c>
    </row>
    <row r="1688" spans="1:9" x14ac:dyDescent="0.3">
      <c r="A1688" t="s">
        <v>12</v>
      </c>
      <c r="B1688" s="3">
        <v>45381</v>
      </c>
      <c r="C1688">
        <f t="shared" si="447"/>
        <v>30</v>
      </c>
      <c r="D1688">
        <f t="shared" si="448"/>
        <v>3</v>
      </c>
      <c r="E1688">
        <f t="shared" si="449"/>
        <v>2024</v>
      </c>
      <c r="F1688" s="2">
        <v>976</v>
      </c>
      <c r="G1688" s="2" t="s">
        <v>19</v>
      </c>
      <c r="I1688" s="4">
        <f t="shared" si="453"/>
        <v>0.71222648320847215</v>
      </c>
    </row>
    <row r="1689" spans="1:9" x14ac:dyDescent="0.3">
      <c r="A1689" t="s">
        <v>10</v>
      </c>
      <c r="B1689" s="3">
        <v>45382</v>
      </c>
      <c r="C1689">
        <f t="shared" si="447"/>
        <v>31</v>
      </c>
      <c r="D1689">
        <f t="shared" si="448"/>
        <v>3</v>
      </c>
      <c r="E1689">
        <f t="shared" si="449"/>
        <v>2024</v>
      </c>
      <c r="F1689" s="2">
        <v>3129</v>
      </c>
      <c r="G1689" t="s">
        <v>19</v>
      </c>
      <c r="I1689" s="4">
        <f t="shared" si="453"/>
        <v>0.71222648320847215</v>
      </c>
    </row>
    <row r="1690" spans="1:9" x14ac:dyDescent="0.3">
      <c r="A1690" t="s">
        <v>7</v>
      </c>
      <c r="B1690" s="3">
        <v>45382</v>
      </c>
      <c r="C1690">
        <f t="shared" si="447"/>
        <v>31</v>
      </c>
      <c r="D1690">
        <f t="shared" si="448"/>
        <v>3</v>
      </c>
      <c r="E1690">
        <f t="shared" si="449"/>
        <v>2024</v>
      </c>
      <c r="F1690" s="2">
        <v>1726</v>
      </c>
      <c r="G1690" t="s">
        <v>17</v>
      </c>
      <c r="I1690" s="4">
        <f>SUMIFS($F$2:$F$2739,$G$2:$G$2739,"No Contract",$E$2:$E$2739,2024)/SUMIF($E$2:$E$2739,2024,$F$2:$F$2739)</f>
        <v>9.576924485808011E-2</v>
      </c>
    </row>
    <row r="1691" spans="1:9" x14ac:dyDescent="0.3">
      <c r="A1691" t="s">
        <v>4</v>
      </c>
      <c r="B1691" s="3">
        <v>45382</v>
      </c>
      <c r="C1691">
        <f t="shared" si="447"/>
        <v>31</v>
      </c>
      <c r="D1691">
        <f t="shared" si="448"/>
        <v>3</v>
      </c>
      <c r="E1691">
        <f t="shared" si="449"/>
        <v>2024</v>
      </c>
      <c r="F1691" s="2">
        <v>3728</v>
      </c>
      <c r="G1691" s="2" t="s">
        <v>19</v>
      </c>
      <c r="I1691" s="4">
        <f t="shared" ref="I1691:I1700" si="454">SUMIFS($F$2:$F$2739,$G$2:$G$2739,"Multi-year Contract",$E$2:$E$2739,2024)/SUMIF($E$2:$E$2739,2024,$F$2:$F$2739)</f>
        <v>0.71222648320847215</v>
      </c>
    </row>
    <row r="1692" spans="1:9" x14ac:dyDescent="0.3">
      <c r="A1692" t="s">
        <v>4</v>
      </c>
      <c r="B1692" s="3">
        <v>45382</v>
      </c>
      <c r="C1692">
        <f t="shared" si="447"/>
        <v>31</v>
      </c>
      <c r="D1692">
        <f t="shared" si="448"/>
        <v>3</v>
      </c>
      <c r="E1692">
        <f t="shared" si="449"/>
        <v>2024</v>
      </c>
      <c r="F1692" s="2">
        <v>3033</v>
      </c>
      <c r="G1692" s="2" t="s">
        <v>19</v>
      </c>
      <c r="I1692" s="4">
        <f t="shared" si="454"/>
        <v>0.71222648320847215</v>
      </c>
    </row>
    <row r="1693" spans="1:9" x14ac:dyDescent="0.3">
      <c r="A1693" t="s">
        <v>3</v>
      </c>
      <c r="B1693" s="3">
        <v>45383</v>
      </c>
      <c r="C1693">
        <f t="shared" si="447"/>
        <v>1</v>
      </c>
      <c r="D1693">
        <f t="shared" si="448"/>
        <v>4</v>
      </c>
      <c r="E1693">
        <f t="shared" si="449"/>
        <v>2024</v>
      </c>
      <c r="F1693" s="2">
        <v>1211</v>
      </c>
      <c r="G1693" t="s">
        <v>19</v>
      </c>
      <c r="I1693" s="4">
        <f t="shared" si="454"/>
        <v>0.71222648320847215</v>
      </c>
    </row>
    <row r="1694" spans="1:9" x14ac:dyDescent="0.3">
      <c r="A1694" t="s">
        <v>8</v>
      </c>
      <c r="B1694" s="3">
        <v>45383</v>
      </c>
      <c r="C1694">
        <f t="shared" si="447"/>
        <v>1</v>
      </c>
      <c r="D1694">
        <f t="shared" si="448"/>
        <v>4</v>
      </c>
      <c r="E1694">
        <f t="shared" si="449"/>
        <v>2024</v>
      </c>
      <c r="F1694" s="2">
        <v>2667</v>
      </c>
      <c r="G1694" s="2" t="s">
        <v>19</v>
      </c>
      <c r="I1694" s="4">
        <f t="shared" si="454"/>
        <v>0.71222648320847215</v>
      </c>
    </row>
    <row r="1695" spans="1:9" x14ac:dyDescent="0.3">
      <c r="A1695" t="s">
        <v>10</v>
      </c>
      <c r="B1695" s="3">
        <v>45383</v>
      </c>
      <c r="C1695">
        <f t="shared" si="447"/>
        <v>1</v>
      </c>
      <c r="D1695">
        <f t="shared" si="448"/>
        <v>4</v>
      </c>
      <c r="E1695">
        <f t="shared" si="449"/>
        <v>2024</v>
      </c>
      <c r="F1695" s="2">
        <v>1825</v>
      </c>
      <c r="G1695" t="s">
        <v>19</v>
      </c>
      <c r="I1695" s="4">
        <f t="shared" si="454"/>
        <v>0.71222648320847215</v>
      </c>
    </row>
    <row r="1696" spans="1:9" x14ac:dyDescent="0.3">
      <c r="A1696" t="s">
        <v>4</v>
      </c>
      <c r="B1696" s="3">
        <v>45383</v>
      </c>
      <c r="C1696">
        <f t="shared" si="447"/>
        <v>1</v>
      </c>
      <c r="D1696">
        <f t="shared" si="448"/>
        <v>4</v>
      </c>
      <c r="E1696">
        <f t="shared" si="449"/>
        <v>2024</v>
      </c>
      <c r="F1696" s="2">
        <v>1476</v>
      </c>
      <c r="G1696" s="2" t="s">
        <v>19</v>
      </c>
      <c r="I1696" s="4">
        <f t="shared" si="454"/>
        <v>0.71222648320847215</v>
      </c>
    </row>
    <row r="1697" spans="1:9" x14ac:dyDescent="0.3">
      <c r="A1697" t="s">
        <v>3</v>
      </c>
      <c r="B1697" s="3">
        <v>45383</v>
      </c>
      <c r="C1697">
        <f t="shared" si="447"/>
        <v>1</v>
      </c>
      <c r="D1697">
        <f t="shared" si="448"/>
        <v>4</v>
      </c>
      <c r="E1697">
        <f t="shared" si="449"/>
        <v>2024</v>
      </c>
      <c r="F1697" s="2">
        <v>2609</v>
      </c>
      <c r="G1697" t="s">
        <v>19</v>
      </c>
      <c r="I1697" s="4">
        <f t="shared" si="454"/>
        <v>0.71222648320847215</v>
      </c>
    </row>
    <row r="1698" spans="1:9" x14ac:dyDescent="0.3">
      <c r="A1698" t="s">
        <v>3</v>
      </c>
      <c r="B1698" s="3">
        <v>45383</v>
      </c>
      <c r="C1698">
        <f t="shared" si="447"/>
        <v>1</v>
      </c>
      <c r="D1698">
        <f t="shared" si="448"/>
        <v>4</v>
      </c>
      <c r="E1698">
        <f t="shared" si="449"/>
        <v>2024</v>
      </c>
      <c r="F1698" s="2">
        <v>2287</v>
      </c>
      <c r="G1698" t="s">
        <v>19</v>
      </c>
      <c r="I1698" s="4">
        <f t="shared" si="454"/>
        <v>0.71222648320847215</v>
      </c>
    </row>
    <row r="1699" spans="1:9" x14ac:dyDescent="0.3">
      <c r="A1699" t="s">
        <v>11</v>
      </c>
      <c r="B1699" s="3">
        <v>45384</v>
      </c>
      <c r="C1699">
        <f t="shared" si="447"/>
        <v>2</v>
      </c>
      <c r="D1699">
        <f t="shared" si="448"/>
        <v>4</v>
      </c>
      <c r="E1699">
        <f t="shared" si="449"/>
        <v>2024</v>
      </c>
      <c r="F1699" s="2">
        <v>3151</v>
      </c>
      <c r="G1699" t="s">
        <v>19</v>
      </c>
      <c r="I1699" s="4">
        <f t="shared" si="454"/>
        <v>0.71222648320847215</v>
      </c>
    </row>
    <row r="1700" spans="1:9" x14ac:dyDescent="0.3">
      <c r="A1700" t="s">
        <v>4</v>
      </c>
      <c r="B1700" s="3">
        <v>45384</v>
      </c>
      <c r="C1700">
        <f t="shared" si="447"/>
        <v>2</v>
      </c>
      <c r="D1700">
        <f t="shared" si="448"/>
        <v>4</v>
      </c>
      <c r="E1700">
        <f t="shared" si="449"/>
        <v>2024</v>
      </c>
      <c r="F1700" s="2">
        <v>1909</v>
      </c>
      <c r="G1700" s="2" t="s">
        <v>19</v>
      </c>
      <c r="I1700" s="4">
        <f t="shared" si="454"/>
        <v>0.71222648320847215</v>
      </c>
    </row>
    <row r="1701" spans="1:9" x14ac:dyDescent="0.3">
      <c r="A1701" t="s">
        <v>6</v>
      </c>
      <c r="B1701" s="3">
        <v>45384</v>
      </c>
      <c r="C1701">
        <f t="shared" si="447"/>
        <v>2</v>
      </c>
      <c r="D1701">
        <f t="shared" si="448"/>
        <v>4</v>
      </c>
      <c r="E1701">
        <f t="shared" si="449"/>
        <v>2024</v>
      </c>
      <c r="F1701" s="2">
        <v>3104</v>
      </c>
      <c r="G1701" t="s">
        <v>18</v>
      </c>
      <c r="I1701" s="4">
        <f t="shared" ref="I1701:I1702" si="455">SUMIFS($F$2:$F$2739,$G$2:$G$2739,"Annual Contract",$E$2:$E$2739,2024)/SUMIF($E$2:$E$2739,2024,$F$2:$F$2739)</f>
        <v>0.19200427193344777</v>
      </c>
    </row>
    <row r="1702" spans="1:9" x14ac:dyDescent="0.3">
      <c r="A1702" t="s">
        <v>9</v>
      </c>
      <c r="B1702" s="3">
        <v>45385</v>
      </c>
      <c r="C1702">
        <f t="shared" si="447"/>
        <v>3</v>
      </c>
      <c r="D1702">
        <f t="shared" si="448"/>
        <v>4</v>
      </c>
      <c r="E1702">
        <f t="shared" si="449"/>
        <v>2024</v>
      </c>
      <c r="F1702" s="2">
        <v>1431</v>
      </c>
      <c r="G1702" t="s">
        <v>18</v>
      </c>
      <c r="I1702" s="4">
        <f t="shared" si="455"/>
        <v>0.19200427193344777</v>
      </c>
    </row>
    <row r="1703" spans="1:9" x14ac:dyDescent="0.3">
      <c r="A1703" t="s">
        <v>5</v>
      </c>
      <c r="B1703" s="3">
        <v>45385</v>
      </c>
      <c r="C1703">
        <f t="shared" si="447"/>
        <v>3</v>
      </c>
      <c r="D1703">
        <f t="shared" si="448"/>
        <v>4</v>
      </c>
      <c r="E1703">
        <f t="shared" si="449"/>
        <v>2024</v>
      </c>
      <c r="F1703" s="2">
        <v>3996</v>
      </c>
      <c r="G1703" t="s">
        <v>19</v>
      </c>
      <c r="I1703" s="4">
        <f t="shared" ref="I1703:I1705" si="456">SUMIFS($F$2:$F$2739,$G$2:$G$2739,"Multi-year Contract",$E$2:$E$2739,2024)/SUMIF($E$2:$E$2739,2024,$F$2:$F$2739)</f>
        <v>0.71222648320847215</v>
      </c>
    </row>
    <row r="1704" spans="1:9" x14ac:dyDescent="0.3">
      <c r="A1704" t="s">
        <v>8</v>
      </c>
      <c r="B1704" s="3">
        <v>45386</v>
      </c>
      <c r="C1704">
        <f t="shared" si="447"/>
        <v>4</v>
      </c>
      <c r="D1704">
        <f t="shared" si="448"/>
        <v>4</v>
      </c>
      <c r="E1704">
        <f t="shared" si="449"/>
        <v>2024</v>
      </c>
      <c r="F1704" s="2">
        <v>3729</v>
      </c>
      <c r="G1704" s="2" t="s">
        <v>19</v>
      </c>
      <c r="I1704" s="4">
        <f t="shared" si="456"/>
        <v>0.71222648320847215</v>
      </c>
    </row>
    <row r="1705" spans="1:9" x14ac:dyDescent="0.3">
      <c r="A1705" t="s">
        <v>8</v>
      </c>
      <c r="B1705" s="3">
        <v>45386</v>
      </c>
      <c r="C1705">
        <f t="shared" si="447"/>
        <v>4</v>
      </c>
      <c r="D1705">
        <f t="shared" si="448"/>
        <v>4</v>
      </c>
      <c r="E1705">
        <f t="shared" si="449"/>
        <v>2024</v>
      </c>
      <c r="F1705" s="2">
        <v>2438</v>
      </c>
      <c r="G1705" s="2" t="s">
        <v>19</v>
      </c>
      <c r="I1705" s="4">
        <f t="shared" si="456"/>
        <v>0.71222648320847215</v>
      </c>
    </row>
    <row r="1706" spans="1:9" x14ac:dyDescent="0.3">
      <c r="A1706" t="s">
        <v>6</v>
      </c>
      <c r="B1706" s="3">
        <v>45386</v>
      </c>
      <c r="C1706">
        <f t="shared" si="447"/>
        <v>4</v>
      </c>
      <c r="D1706">
        <f t="shared" si="448"/>
        <v>4</v>
      </c>
      <c r="E1706">
        <f t="shared" si="449"/>
        <v>2024</v>
      </c>
      <c r="F1706" s="2">
        <v>2688</v>
      </c>
      <c r="G1706" t="s">
        <v>18</v>
      </c>
      <c r="I1706" s="4">
        <f>SUMIFS($F$2:$F$2739,$G$2:$G$2739,"Annual Contract",$E$2:$E$2739,2024)/SUMIF($E$2:$E$2739,2024,$F$2:$F$2739)</f>
        <v>0.19200427193344777</v>
      </c>
    </row>
    <row r="1707" spans="1:9" x14ac:dyDescent="0.3">
      <c r="A1707" t="s">
        <v>7</v>
      </c>
      <c r="B1707" s="3">
        <v>45387</v>
      </c>
      <c r="C1707">
        <f t="shared" si="447"/>
        <v>5</v>
      </c>
      <c r="D1707">
        <f t="shared" si="448"/>
        <v>4</v>
      </c>
      <c r="E1707">
        <f t="shared" si="449"/>
        <v>2024</v>
      </c>
      <c r="F1707" s="2">
        <v>2053</v>
      </c>
      <c r="G1707" t="s">
        <v>17</v>
      </c>
      <c r="I1707" s="4">
        <f t="shared" ref="I1707:I1708" si="457">SUMIFS($F$2:$F$2739,$G$2:$G$2739,"No Contract",$E$2:$E$2739,2024)/SUMIF($E$2:$E$2739,2024,$F$2:$F$2739)</f>
        <v>9.576924485808011E-2</v>
      </c>
    </row>
    <row r="1708" spans="1:9" x14ac:dyDescent="0.3">
      <c r="A1708" t="s">
        <v>7</v>
      </c>
      <c r="B1708" s="3">
        <v>45387</v>
      </c>
      <c r="C1708">
        <f t="shared" si="447"/>
        <v>5</v>
      </c>
      <c r="D1708">
        <f t="shared" si="448"/>
        <v>4</v>
      </c>
      <c r="E1708">
        <f t="shared" si="449"/>
        <v>2024</v>
      </c>
      <c r="F1708" s="2">
        <v>571</v>
      </c>
      <c r="G1708" t="s">
        <v>17</v>
      </c>
      <c r="I1708" s="4">
        <f t="shared" si="457"/>
        <v>9.576924485808011E-2</v>
      </c>
    </row>
    <row r="1709" spans="1:9" x14ac:dyDescent="0.3">
      <c r="A1709" t="s">
        <v>8</v>
      </c>
      <c r="B1709" s="3">
        <v>45387</v>
      </c>
      <c r="C1709">
        <f t="shared" si="447"/>
        <v>5</v>
      </c>
      <c r="D1709">
        <f t="shared" si="448"/>
        <v>4</v>
      </c>
      <c r="E1709">
        <f t="shared" si="449"/>
        <v>2024</v>
      </c>
      <c r="F1709" s="2">
        <v>2488</v>
      </c>
      <c r="G1709" s="2" t="s">
        <v>19</v>
      </c>
      <c r="I1709" s="4">
        <f>SUMIFS($F$2:$F$2739,$G$2:$G$2739,"Multi-year Contract",$E$2:$E$2739,2024)/SUMIF($E$2:$E$2739,2024,$F$2:$F$2739)</f>
        <v>0.71222648320847215</v>
      </c>
    </row>
    <row r="1710" spans="1:9" x14ac:dyDescent="0.3">
      <c r="A1710" t="s">
        <v>6</v>
      </c>
      <c r="B1710" s="3">
        <v>45387</v>
      </c>
      <c r="C1710">
        <f t="shared" si="447"/>
        <v>5</v>
      </c>
      <c r="D1710">
        <f t="shared" si="448"/>
        <v>4</v>
      </c>
      <c r="E1710">
        <f t="shared" si="449"/>
        <v>2024</v>
      </c>
      <c r="F1710" s="2">
        <v>2271</v>
      </c>
      <c r="G1710" t="s">
        <v>18</v>
      </c>
      <c r="I1710" s="4">
        <f>SUMIFS($F$2:$F$2739,$G$2:$G$2739,"Annual Contract",$E$2:$E$2739,2024)/SUMIF($E$2:$E$2739,2024,$F$2:$F$2739)</f>
        <v>0.19200427193344777</v>
      </c>
    </row>
    <row r="1711" spans="1:9" x14ac:dyDescent="0.3">
      <c r="A1711" t="s">
        <v>5</v>
      </c>
      <c r="B1711" s="3">
        <v>45388</v>
      </c>
      <c r="C1711">
        <f t="shared" si="447"/>
        <v>6</v>
      </c>
      <c r="D1711">
        <f t="shared" si="448"/>
        <v>4</v>
      </c>
      <c r="E1711">
        <f t="shared" si="449"/>
        <v>2024</v>
      </c>
      <c r="F1711" s="2">
        <v>2915</v>
      </c>
      <c r="G1711" t="s">
        <v>19</v>
      </c>
      <c r="I1711" s="4">
        <f>SUMIFS($F$2:$F$2739,$G$2:$G$2739,"Multi-year Contract",$E$2:$E$2739,2024)/SUMIF($E$2:$E$2739,2024,$F$2:$F$2739)</f>
        <v>0.71222648320847215</v>
      </c>
    </row>
    <row r="1712" spans="1:9" x14ac:dyDescent="0.3">
      <c r="A1712" t="s">
        <v>6</v>
      </c>
      <c r="B1712" s="3">
        <v>45388</v>
      </c>
      <c r="C1712">
        <f t="shared" si="447"/>
        <v>6</v>
      </c>
      <c r="D1712">
        <f t="shared" si="448"/>
        <v>4</v>
      </c>
      <c r="E1712">
        <f t="shared" si="449"/>
        <v>2024</v>
      </c>
      <c r="F1712" s="2">
        <v>3215</v>
      </c>
      <c r="G1712" t="s">
        <v>18</v>
      </c>
      <c r="I1712" s="4">
        <f t="shared" ref="I1712:I1713" si="458">SUMIFS($F$2:$F$2739,$G$2:$G$2739,"Annual Contract",$E$2:$E$2739,2024)/SUMIF($E$2:$E$2739,2024,$F$2:$F$2739)</f>
        <v>0.19200427193344777</v>
      </c>
    </row>
    <row r="1713" spans="1:9" x14ac:dyDescent="0.3">
      <c r="A1713" t="s">
        <v>6</v>
      </c>
      <c r="B1713" s="3">
        <v>45388</v>
      </c>
      <c r="C1713">
        <f t="shared" si="447"/>
        <v>6</v>
      </c>
      <c r="D1713">
        <f t="shared" si="448"/>
        <v>4</v>
      </c>
      <c r="E1713">
        <f t="shared" si="449"/>
        <v>2024</v>
      </c>
      <c r="F1713" s="2">
        <v>3497</v>
      </c>
      <c r="G1713" t="s">
        <v>18</v>
      </c>
      <c r="I1713" s="4">
        <f t="shared" si="458"/>
        <v>0.19200427193344777</v>
      </c>
    </row>
    <row r="1714" spans="1:9" x14ac:dyDescent="0.3">
      <c r="A1714" t="s">
        <v>8</v>
      </c>
      <c r="B1714" s="3">
        <v>45388</v>
      </c>
      <c r="C1714">
        <f t="shared" si="447"/>
        <v>6</v>
      </c>
      <c r="D1714">
        <f t="shared" si="448"/>
        <v>4</v>
      </c>
      <c r="E1714">
        <f t="shared" si="449"/>
        <v>2024</v>
      </c>
      <c r="F1714" s="2">
        <v>2336</v>
      </c>
      <c r="G1714" s="2" t="s">
        <v>19</v>
      </c>
      <c r="I1714" s="4">
        <f>SUMIFS($F$2:$F$2739,$G$2:$G$2739,"Multi-year Contract",$E$2:$E$2739,2024)/SUMIF($E$2:$E$2739,2024,$F$2:$F$2739)</f>
        <v>0.71222648320847215</v>
      </c>
    </row>
    <row r="1715" spans="1:9" x14ac:dyDescent="0.3">
      <c r="A1715" t="s">
        <v>7</v>
      </c>
      <c r="B1715" s="3">
        <v>45389</v>
      </c>
      <c r="C1715">
        <f t="shared" si="447"/>
        <v>7</v>
      </c>
      <c r="D1715">
        <f t="shared" si="448"/>
        <v>4</v>
      </c>
      <c r="E1715">
        <f t="shared" si="449"/>
        <v>2024</v>
      </c>
      <c r="F1715" s="2">
        <v>3184</v>
      </c>
      <c r="G1715" t="s">
        <v>17</v>
      </c>
      <c r="I1715" s="4">
        <f>SUMIFS($F$2:$F$2739,$G$2:$G$2739,"No Contract",$E$2:$E$2739,2024)/SUMIF($E$2:$E$2739,2024,$F$2:$F$2739)</f>
        <v>9.576924485808011E-2</v>
      </c>
    </row>
    <row r="1716" spans="1:9" x14ac:dyDescent="0.3">
      <c r="A1716" t="s">
        <v>9</v>
      </c>
      <c r="B1716" s="3">
        <v>45389</v>
      </c>
      <c r="C1716">
        <f t="shared" si="447"/>
        <v>7</v>
      </c>
      <c r="D1716">
        <f t="shared" si="448"/>
        <v>4</v>
      </c>
      <c r="E1716">
        <f t="shared" si="449"/>
        <v>2024</v>
      </c>
      <c r="F1716" s="2">
        <v>586</v>
      </c>
      <c r="G1716" t="s">
        <v>18</v>
      </c>
      <c r="I1716" s="4">
        <f>SUMIFS($F$2:$F$2739,$G$2:$G$2739,"Annual Contract",$E$2:$E$2739,2024)/SUMIF($E$2:$E$2739,2024,$F$2:$F$2739)</f>
        <v>0.19200427193344777</v>
      </c>
    </row>
    <row r="1717" spans="1:9" x14ac:dyDescent="0.3">
      <c r="A1717" t="s">
        <v>11</v>
      </c>
      <c r="B1717" s="3">
        <v>45390</v>
      </c>
      <c r="C1717">
        <f t="shared" si="447"/>
        <v>8</v>
      </c>
      <c r="D1717">
        <f t="shared" si="448"/>
        <v>4</v>
      </c>
      <c r="E1717">
        <f t="shared" si="449"/>
        <v>2024</v>
      </c>
      <c r="F1717" s="2">
        <v>1473</v>
      </c>
      <c r="G1717" t="s">
        <v>19</v>
      </c>
      <c r="I1717" s="4">
        <f>SUMIFS($F$2:$F$2739,$G$2:$G$2739,"Multi-year Contract",$E$2:$E$2739,2024)/SUMIF($E$2:$E$2739,2024,$F$2:$F$2739)</f>
        <v>0.71222648320847215</v>
      </c>
    </row>
    <row r="1718" spans="1:9" x14ac:dyDescent="0.3">
      <c r="A1718" t="s">
        <v>6</v>
      </c>
      <c r="B1718" s="3">
        <v>45390</v>
      </c>
      <c r="C1718">
        <f t="shared" si="447"/>
        <v>8</v>
      </c>
      <c r="D1718">
        <f t="shared" si="448"/>
        <v>4</v>
      </c>
      <c r="E1718">
        <f t="shared" si="449"/>
        <v>2024</v>
      </c>
      <c r="F1718" s="2">
        <v>3546</v>
      </c>
      <c r="G1718" t="s">
        <v>18</v>
      </c>
      <c r="I1718" s="4">
        <f t="shared" ref="I1718:I1719" si="459">SUMIFS($F$2:$F$2739,$G$2:$G$2739,"Annual Contract",$E$2:$E$2739,2024)/SUMIF($E$2:$E$2739,2024,$F$2:$F$2739)</f>
        <v>0.19200427193344777</v>
      </c>
    </row>
    <row r="1719" spans="1:9" x14ac:dyDescent="0.3">
      <c r="A1719" t="s">
        <v>6</v>
      </c>
      <c r="B1719" s="3">
        <v>45390</v>
      </c>
      <c r="C1719">
        <f t="shared" si="447"/>
        <v>8</v>
      </c>
      <c r="D1719">
        <f t="shared" si="448"/>
        <v>4</v>
      </c>
      <c r="E1719">
        <f t="shared" si="449"/>
        <v>2024</v>
      </c>
      <c r="F1719" s="2">
        <v>2119</v>
      </c>
      <c r="G1719" t="s">
        <v>18</v>
      </c>
      <c r="I1719" s="4">
        <f t="shared" si="459"/>
        <v>0.19200427193344777</v>
      </c>
    </row>
    <row r="1720" spans="1:9" x14ac:dyDescent="0.3">
      <c r="A1720" t="s">
        <v>5</v>
      </c>
      <c r="B1720" s="3">
        <v>45390</v>
      </c>
      <c r="C1720">
        <f t="shared" si="447"/>
        <v>8</v>
      </c>
      <c r="D1720">
        <f t="shared" si="448"/>
        <v>4</v>
      </c>
      <c r="E1720">
        <f t="shared" si="449"/>
        <v>2024</v>
      </c>
      <c r="F1720" s="2">
        <v>852</v>
      </c>
      <c r="G1720" t="s">
        <v>19</v>
      </c>
      <c r="I1720" s="4">
        <f>SUMIFS($F$2:$F$2739,$G$2:$G$2739,"Multi-year Contract",$E$2:$E$2739,2024)/SUMIF($E$2:$E$2739,2024,$F$2:$F$2739)</f>
        <v>0.71222648320847215</v>
      </c>
    </row>
    <row r="1721" spans="1:9" x14ac:dyDescent="0.3">
      <c r="A1721" t="s">
        <v>9</v>
      </c>
      <c r="B1721" s="3">
        <v>45390</v>
      </c>
      <c r="C1721">
        <f t="shared" si="447"/>
        <v>8</v>
      </c>
      <c r="D1721">
        <f t="shared" si="448"/>
        <v>4</v>
      </c>
      <c r="E1721">
        <f t="shared" si="449"/>
        <v>2024</v>
      </c>
      <c r="F1721" s="2">
        <v>2286</v>
      </c>
      <c r="G1721" t="s">
        <v>18</v>
      </c>
      <c r="I1721" s="4">
        <f>SUMIFS($F$2:$F$2739,$G$2:$G$2739,"Annual Contract",$E$2:$E$2739,2024)/SUMIF($E$2:$E$2739,2024,$F$2:$F$2739)</f>
        <v>0.19200427193344777</v>
      </c>
    </row>
    <row r="1722" spans="1:9" x14ac:dyDescent="0.3">
      <c r="A1722" t="s">
        <v>11</v>
      </c>
      <c r="B1722" s="3">
        <v>45390</v>
      </c>
      <c r="C1722">
        <f t="shared" si="447"/>
        <v>8</v>
      </c>
      <c r="D1722">
        <f t="shared" si="448"/>
        <v>4</v>
      </c>
      <c r="E1722">
        <f t="shared" si="449"/>
        <v>2024</v>
      </c>
      <c r="F1722" s="2">
        <v>1557</v>
      </c>
      <c r="G1722" t="s">
        <v>19</v>
      </c>
      <c r="I1722" s="4">
        <f t="shared" ref="I1722:I1726" si="460">SUMIFS($F$2:$F$2739,$G$2:$G$2739,"Multi-year Contract",$E$2:$E$2739,2024)/SUMIF($E$2:$E$2739,2024,$F$2:$F$2739)</f>
        <v>0.71222648320847215</v>
      </c>
    </row>
    <row r="1723" spans="1:9" x14ac:dyDescent="0.3">
      <c r="A1723" t="s">
        <v>3</v>
      </c>
      <c r="B1723" s="3">
        <v>45391</v>
      </c>
      <c r="C1723">
        <f t="shared" si="447"/>
        <v>9</v>
      </c>
      <c r="D1723">
        <f t="shared" si="448"/>
        <v>4</v>
      </c>
      <c r="E1723">
        <f t="shared" si="449"/>
        <v>2024</v>
      </c>
      <c r="F1723" s="2">
        <v>703</v>
      </c>
      <c r="G1723" t="s">
        <v>19</v>
      </c>
      <c r="I1723" s="4">
        <f t="shared" si="460"/>
        <v>0.71222648320847215</v>
      </c>
    </row>
    <row r="1724" spans="1:9" x14ac:dyDescent="0.3">
      <c r="A1724" t="s">
        <v>3</v>
      </c>
      <c r="B1724" s="3">
        <v>45391</v>
      </c>
      <c r="C1724">
        <f t="shared" si="447"/>
        <v>9</v>
      </c>
      <c r="D1724">
        <f t="shared" si="448"/>
        <v>4</v>
      </c>
      <c r="E1724">
        <f t="shared" si="449"/>
        <v>2024</v>
      </c>
      <c r="F1724" s="2">
        <v>1863</v>
      </c>
      <c r="G1724" t="s">
        <v>19</v>
      </c>
      <c r="I1724" s="4">
        <f t="shared" si="460"/>
        <v>0.71222648320847215</v>
      </c>
    </row>
    <row r="1725" spans="1:9" x14ac:dyDescent="0.3">
      <c r="A1725" t="s">
        <v>5</v>
      </c>
      <c r="B1725" s="3">
        <v>45392</v>
      </c>
      <c r="C1725">
        <f t="shared" si="447"/>
        <v>10</v>
      </c>
      <c r="D1725">
        <f t="shared" si="448"/>
        <v>4</v>
      </c>
      <c r="E1725">
        <f t="shared" si="449"/>
        <v>2024</v>
      </c>
      <c r="F1725" s="2">
        <v>3282</v>
      </c>
      <c r="G1725" t="s">
        <v>19</v>
      </c>
      <c r="I1725" s="4">
        <f t="shared" si="460"/>
        <v>0.71222648320847215</v>
      </c>
    </row>
    <row r="1726" spans="1:9" x14ac:dyDescent="0.3">
      <c r="A1726" t="s">
        <v>10</v>
      </c>
      <c r="B1726" s="3">
        <v>45392</v>
      </c>
      <c r="C1726">
        <f t="shared" si="447"/>
        <v>10</v>
      </c>
      <c r="D1726">
        <f t="shared" si="448"/>
        <v>4</v>
      </c>
      <c r="E1726">
        <f t="shared" si="449"/>
        <v>2024</v>
      </c>
      <c r="F1726" s="2">
        <v>1561</v>
      </c>
      <c r="G1726" t="s">
        <v>19</v>
      </c>
      <c r="I1726" s="4">
        <f t="shared" si="460"/>
        <v>0.71222648320847215</v>
      </c>
    </row>
    <row r="1727" spans="1:9" x14ac:dyDescent="0.3">
      <c r="A1727" t="s">
        <v>7</v>
      </c>
      <c r="B1727" s="3">
        <v>45393</v>
      </c>
      <c r="C1727">
        <f t="shared" si="447"/>
        <v>11</v>
      </c>
      <c r="D1727">
        <f t="shared" si="448"/>
        <v>4</v>
      </c>
      <c r="E1727">
        <f t="shared" si="449"/>
        <v>2024</v>
      </c>
      <c r="F1727" s="2">
        <v>1442</v>
      </c>
      <c r="G1727" t="s">
        <v>17</v>
      </c>
      <c r="I1727" s="4">
        <f>SUMIFS($F$2:$F$2739,$G$2:$G$2739,"No Contract",$E$2:$E$2739,2024)/SUMIF($E$2:$E$2739,2024,$F$2:$F$2739)</f>
        <v>9.576924485808011E-2</v>
      </c>
    </row>
    <row r="1728" spans="1:9" x14ac:dyDescent="0.3">
      <c r="A1728" t="s">
        <v>6</v>
      </c>
      <c r="B1728" s="3">
        <v>45393</v>
      </c>
      <c r="C1728">
        <f t="shared" si="447"/>
        <v>11</v>
      </c>
      <c r="D1728">
        <f t="shared" si="448"/>
        <v>4</v>
      </c>
      <c r="E1728">
        <f t="shared" si="449"/>
        <v>2024</v>
      </c>
      <c r="F1728" s="2">
        <v>769</v>
      </c>
      <c r="G1728" t="s">
        <v>18</v>
      </c>
      <c r="I1728" s="4">
        <f>SUMIFS($F$2:$F$2739,$G$2:$G$2739,"Annual Contract",$E$2:$E$2739,2024)/SUMIF($E$2:$E$2739,2024,$F$2:$F$2739)</f>
        <v>0.19200427193344777</v>
      </c>
    </row>
    <row r="1729" spans="1:9" x14ac:dyDescent="0.3">
      <c r="A1729" t="s">
        <v>8</v>
      </c>
      <c r="B1729" s="3">
        <v>45393</v>
      </c>
      <c r="C1729">
        <f t="shared" si="447"/>
        <v>11</v>
      </c>
      <c r="D1729">
        <f t="shared" si="448"/>
        <v>4</v>
      </c>
      <c r="E1729">
        <f t="shared" si="449"/>
        <v>2024</v>
      </c>
      <c r="F1729" s="2">
        <v>1753</v>
      </c>
      <c r="G1729" s="2" t="s">
        <v>19</v>
      </c>
      <c r="I1729" s="4">
        <f>SUMIFS($F$2:$F$2739,$G$2:$G$2739,"Multi-year Contract",$E$2:$E$2739,2024)/SUMIF($E$2:$E$2739,2024,$F$2:$F$2739)</f>
        <v>0.71222648320847215</v>
      </c>
    </row>
    <row r="1730" spans="1:9" x14ac:dyDescent="0.3">
      <c r="A1730" t="s">
        <v>7</v>
      </c>
      <c r="B1730" s="3">
        <v>45393</v>
      </c>
      <c r="C1730">
        <f t="shared" si="447"/>
        <v>11</v>
      </c>
      <c r="D1730">
        <f t="shared" si="448"/>
        <v>4</v>
      </c>
      <c r="E1730">
        <f t="shared" si="449"/>
        <v>2024</v>
      </c>
      <c r="F1730" s="2">
        <v>1045</v>
      </c>
      <c r="G1730" t="s">
        <v>17</v>
      </c>
      <c r="I1730" s="4">
        <f>SUMIFS($F$2:$F$2739,$G$2:$G$2739,"No Contract",$E$2:$E$2739,2024)/SUMIF($E$2:$E$2739,2024,$F$2:$F$2739)</f>
        <v>9.576924485808011E-2</v>
      </c>
    </row>
    <row r="1731" spans="1:9" x14ac:dyDescent="0.3">
      <c r="A1731" t="s">
        <v>12</v>
      </c>
      <c r="B1731" s="3">
        <v>45394</v>
      </c>
      <c r="C1731">
        <f t="shared" ref="C1731:C1794" si="461">DAY(B1731)</f>
        <v>12</v>
      </c>
      <c r="D1731">
        <f t="shared" ref="D1731:D1794" si="462">MONTH(B1731)</f>
        <v>4</v>
      </c>
      <c r="E1731">
        <f t="shared" ref="E1731:E1794" si="463">YEAR(B1731)</f>
        <v>2024</v>
      </c>
      <c r="F1731" s="2">
        <v>3883</v>
      </c>
      <c r="G1731" s="2" t="s">
        <v>19</v>
      </c>
      <c r="I1731" s="4">
        <f t="shared" ref="I1731:I1739" si="464">SUMIFS($F$2:$F$2739,$G$2:$G$2739,"Multi-year Contract",$E$2:$E$2739,2024)/SUMIF($E$2:$E$2739,2024,$F$2:$F$2739)</f>
        <v>0.71222648320847215</v>
      </c>
    </row>
    <row r="1732" spans="1:9" x14ac:dyDescent="0.3">
      <c r="A1732" t="s">
        <v>8</v>
      </c>
      <c r="B1732" s="3">
        <v>45394</v>
      </c>
      <c r="C1732">
        <f t="shared" si="461"/>
        <v>12</v>
      </c>
      <c r="D1732">
        <f t="shared" si="462"/>
        <v>4</v>
      </c>
      <c r="E1732">
        <f t="shared" si="463"/>
        <v>2024</v>
      </c>
      <c r="F1732" s="2">
        <v>1585</v>
      </c>
      <c r="G1732" s="2" t="s">
        <v>19</v>
      </c>
      <c r="I1732" s="4">
        <f t="shared" si="464"/>
        <v>0.71222648320847215</v>
      </c>
    </row>
    <row r="1733" spans="1:9" x14ac:dyDescent="0.3">
      <c r="A1733" t="s">
        <v>5</v>
      </c>
      <c r="B1733" s="3">
        <v>45394</v>
      </c>
      <c r="C1733">
        <f t="shared" si="461"/>
        <v>12</v>
      </c>
      <c r="D1733">
        <f t="shared" si="462"/>
        <v>4</v>
      </c>
      <c r="E1733">
        <f t="shared" si="463"/>
        <v>2024</v>
      </c>
      <c r="F1733" s="2">
        <v>2831</v>
      </c>
      <c r="G1733" t="s">
        <v>19</v>
      </c>
      <c r="I1733" s="4">
        <f t="shared" si="464"/>
        <v>0.71222648320847215</v>
      </c>
    </row>
    <row r="1734" spans="1:9" x14ac:dyDescent="0.3">
      <c r="A1734" t="s">
        <v>12</v>
      </c>
      <c r="B1734" s="3">
        <v>45395</v>
      </c>
      <c r="C1734">
        <f t="shared" si="461"/>
        <v>13</v>
      </c>
      <c r="D1734">
        <f t="shared" si="462"/>
        <v>4</v>
      </c>
      <c r="E1734">
        <f t="shared" si="463"/>
        <v>2024</v>
      </c>
      <c r="F1734" s="2">
        <v>1079</v>
      </c>
      <c r="G1734" s="2" t="s">
        <v>19</v>
      </c>
      <c r="I1734" s="4">
        <f t="shared" si="464"/>
        <v>0.71222648320847215</v>
      </c>
    </row>
    <row r="1735" spans="1:9" x14ac:dyDescent="0.3">
      <c r="A1735" t="s">
        <v>12</v>
      </c>
      <c r="B1735" s="3">
        <v>45395</v>
      </c>
      <c r="C1735">
        <f t="shared" si="461"/>
        <v>13</v>
      </c>
      <c r="D1735">
        <f t="shared" si="462"/>
        <v>4</v>
      </c>
      <c r="E1735">
        <f t="shared" si="463"/>
        <v>2024</v>
      </c>
      <c r="F1735" s="2">
        <v>3807</v>
      </c>
      <c r="G1735" s="2" t="s">
        <v>19</v>
      </c>
      <c r="I1735" s="4">
        <f t="shared" si="464"/>
        <v>0.71222648320847215</v>
      </c>
    </row>
    <row r="1736" spans="1:9" x14ac:dyDescent="0.3">
      <c r="A1736" t="s">
        <v>3</v>
      </c>
      <c r="B1736" s="3">
        <v>45395</v>
      </c>
      <c r="C1736">
        <f t="shared" si="461"/>
        <v>13</v>
      </c>
      <c r="D1736">
        <f t="shared" si="462"/>
        <v>4</v>
      </c>
      <c r="E1736">
        <f t="shared" si="463"/>
        <v>2024</v>
      </c>
      <c r="F1736" s="2">
        <v>1038</v>
      </c>
      <c r="G1736" t="s">
        <v>19</v>
      </c>
      <c r="I1736" s="4">
        <f t="shared" si="464"/>
        <v>0.71222648320847215</v>
      </c>
    </row>
    <row r="1737" spans="1:9" x14ac:dyDescent="0.3">
      <c r="A1737" t="s">
        <v>5</v>
      </c>
      <c r="B1737" s="3">
        <v>45395</v>
      </c>
      <c r="C1737">
        <f t="shared" si="461"/>
        <v>13</v>
      </c>
      <c r="D1737">
        <f t="shared" si="462"/>
        <v>4</v>
      </c>
      <c r="E1737">
        <f t="shared" si="463"/>
        <v>2024</v>
      </c>
      <c r="F1737" s="2">
        <v>2333</v>
      </c>
      <c r="G1737" t="s">
        <v>19</v>
      </c>
      <c r="I1737" s="4">
        <f t="shared" si="464"/>
        <v>0.71222648320847215</v>
      </c>
    </row>
    <row r="1738" spans="1:9" x14ac:dyDescent="0.3">
      <c r="A1738" t="s">
        <v>8</v>
      </c>
      <c r="B1738" s="3">
        <v>45395</v>
      </c>
      <c r="C1738">
        <f t="shared" si="461"/>
        <v>13</v>
      </c>
      <c r="D1738">
        <f t="shared" si="462"/>
        <v>4</v>
      </c>
      <c r="E1738">
        <f t="shared" si="463"/>
        <v>2024</v>
      </c>
      <c r="F1738" s="2">
        <v>3222</v>
      </c>
      <c r="G1738" s="2" t="s">
        <v>19</v>
      </c>
      <c r="I1738" s="4">
        <f t="shared" si="464"/>
        <v>0.71222648320847215</v>
      </c>
    </row>
    <row r="1739" spans="1:9" x14ac:dyDescent="0.3">
      <c r="A1739" t="s">
        <v>10</v>
      </c>
      <c r="B1739" s="3">
        <v>45396</v>
      </c>
      <c r="C1739">
        <f t="shared" si="461"/>
        <v>14</v>
      </c>
      <c r="D1739">
        <f t="shared" si="462"/>
        <v>4</v>
      </c>
      <c r="E1739">
        <f t="shared" si="463"/>
        <v>2024</v>
      </c>
      <c r="F1739" s="2">
        <v>3851</v>
      </c>
      <c r="G1739" t="s">
        <v>19</v>
      </c>
      <c r="I1739" s="4">
        <f t="shared" si="464"/>
        <v>0.71222648320847215</v>
      </c>
    </row>
    <row r="1740" spans="1:9" x14ac:dyDescent="0.3">
      <c r="A1740" t="s">
        <v>9</v>
      </c>
      <c r="B1740" s="3">
        <v>45396</v>
      </c>
      <c r="C1740">
        <f t="shared" si="461"/>
        <v>14</v>
      </c>
      <c r="D1740">
        <f t="shared" si="462"/>
        <v>4</v>
      </c>
      <c r="E1740">
        <f t="shared" si="463"/>
        <v>2024</v>
      </c>
      <c r="F1740" s="2">
        <v>2191</v>
      </c>
      <c r="G1740" t="s">
        <v>18</v>
      </c>
      <c r="I1740" s="4">
        <f>SUMIFS($F$2:$F$2739,$G$2:$G$2739,"Annual Contract",$E$2:$E$2739,2024)/SUMIF($E$2:$E$2739,2024,$F$2:$F$2739)</f>
        <v>0.19200427193344777</v>
      </c>
    </row>
    <row r="1741" spans="1:9" x14ac:dyDescent="0.3">
      <c r="A1741" t="s">
        <v>4</v>
      </c>
      <c r="B1741" s="3">
        <v>45397</v>
      </c>
      <c r="C1741">
        <f t="shared" si="461"/>
        <v>15</v>
      </c>
      <c r="D1741">
        <f t="shared" si="462"/>
        <v>4</v>
      </c>
      <c r="E1741">
        <f t="shared" si="463"/>
        <v>2024</v>
      </c>
      <c r="F1741" s="2">
        <v>2092</v>
      </c>
      <c r="G1741" s="2" t="s">
        <v>19</v>
      </c>
      <c r="I1741" s="4">
        <f t="shared" ref="I1741:I1742" si="465">SUMIFS($F$2:$F$2739,$G$2:$G$2739,"Multi-year Contract",$E$2:$E$2739,2024)/SUMIF($E$2:$E$2739,2024,$F$2:$F$2739)</f>
        <v>0.71222648320847215</v>
      </c>
    </row>
    <row r="1742" spans="1:9" x14ac:dyDescent="0.3">
      <c r="A1742" t="s">
        <v>8</v>
      </c>
      <c r="B1742" s="3">
        <v>45397</v>
      </c>
      <c r="C1742">
        <f t="shared" si="461"/>
        <v>15</v>
      </c>
      <c r="D1742">
        <f t="shared" si="462"/>
        <v>4</v>
      </c>
      <c r="E1742">
        <f t="shared" si="463"/>
        <v>2024</v>
      </c>
      <c r="F1742" s="2">
        <v>1776</v>
      </c>
      <c r="G1742" s="2" t="s">
        <v>19</v>
      </c>
      <c r="I1742" s="4">
        <f t="shared" si="465"/>
        <v>0.71222648320847215</v>
      </c>
    </row>
    <row r="1743" spans="1:9" x14ac:dyDescent="0.3">
      <c r="A1743" t="s">
        <v>9</v>
      </c>
      <c r="B1743" s="3">
        <v>45397</v>
      </c>
      <c r="C1743">
        <f t="shared" si="461"/>
        <v>15</v>
      </c>
      <c r="D1743">
        <f t="shared" si="462"/>
        <v>4</v>
      </c>
      <c r="E1743">
        <f t="shared" si="463"/>
        <v>2024</v>
      </c>
      <c r="F1743" s="2">
        <v>3897</v>
      </c>
      <c r="G1743" t="s">
        <v>18</v>
      </c>
      <c r="I1743" s="4">
        <f>SUMIFS($F$2:$F$2739,$G$2:$G$2739,"Annual Contract",$E$2:$E$2739,2024)/SUMIF($E$2:$E$2739,2024,$F$2:$F$2739)</f>
        <v>0.19200427193344777</v>
      </c>
    </row>
    <row r="1744" spans="1:9" x14ac:dyDescent="0.3">
      <c r="A1744" t="s">
        <v>3</v>
      </c>
      <c r="B1744" s="3">
        <v>45397</v>
      </c>
      <c r="C1744">
        <f t="shared" si="461"/>
        <v>15</v>
      </c>
      <c r="D1744">
        <f t="shared" si="462"/>
        <v>4</v>
      </c>
      <c r="E1744">
        <f t="shared" si="463"/>
        <v>2024</v>
      </c>
      <c r="F1744" s="2">
        <v>1457</v>
      </c>
      <c r="G1744" t="s">
        <v>19</v>
      </c>
      <c r="I1744" s="4">
        <f>SUMIFS($F$2:$F$2739,$G$2:$G$2739,"Multi-year Contract",$E$2:$E$2739,2024)/SUMIF($E$2:$E$2739,2024,$F$2:$F$2739)</f>
        <v>0.71222648320847215</v>
      </c>
    </row>
    <row r="1745" spans="1:9" x14ac:dyDescent="0.3">
      <c r="A1745" t="s">
        <v>6</v>
      </c>
      <c r="B1745" s="3">
        <v>45397</v>
      </c>
      <c r="C1745">
        <f t="shared" si="461"/>
        <v>15</v>
      </c>
      <c r="D1745">
        <f t="shared" si="462"/>
        <v>4</v>
      </c>
      <c r="E1745">
        <f t="shared" si="463"/>
        <v>2024</v>
      </c>
      <c r="F1745" s="2">
        <v>1004</v>
      </c>
      <c r="G1745" t="s">
        <v>18</v>
      </c>
      <c r="I1745" s="4">
        <f>SUMIFS($F$2:$F$2739,$G$2:$G$2739,"Annual Contract",$E$2:$E$2739,2024)/SUMIF($E$2:$E$2739,2024,$F$2:$F$2739)</f>
        <v>0.19200427193344777</v>
      </c>
    </row>
    <row r="1746" spans="1:9" x14ac:dyDescent="0.3">
      <c r="A1746" t="s">
        <v>5</v>
      </c>
      <c r="B1746" s="3">
        <v>45398</v>
      </c>
      <c r="C1746">
        <f t="shared" si="461"/>
        <v>16</v>
      </c>
      <c r="D1746">
        <f t="shared" si="462"/>
        <v>4</v>
      </c>
      <c r="E1746">
        <f t="shared" si="463"/>
        <v>2024</v>
      </c>
      <c r="F1746" s="2">
        <v>2832</v>
      </c>
      <c r="G1746" t="s">
        <v>19</v>
      </c>
      <c r="I1746" s="4">
        <f>SUMIFS($F$2:$F$2739,$G$2:$G$2739,"Multi-year Contract",$E$2:$E$2739,2024)/SUMIF($E$2:$E$2739,2024,$F$2:$F$2739)</f>
        <v>0.71222648320847215</v>
      </c>
    </row>
    <row r="1747" spans="1:9" x14ac:dyDescent="0.3">
      <c r="A1747" t="s">
        <v>9</v>
      </c>
      <c r="B1747" s="3">
        <v>45399</v>
      </c>
      <c r="C1747">
        <f t="shared" si="461"/>
        <v>17</v>
      </c>
      <c r="D1747">
        <f t="shared" si="462"/>
        <v>4</v>
      </c>
      <c r="E1747">
        <f t="shared" si="463"/>
        <v>2024</v>
      </c>
      <c r="F1747" s="2">
        <v>2848</v>
      </c>
      <c r="G1747" t="s">
        <v>18</v>
      </c>
      <c r="I1747" s="4">
        <f>SUMIFS($F$2:$F$2739,$G$2:$G$2739,"Annual Contract",$E$2:$E$2739,2024)/SUMIF($E$2:$E$2739,2024,$F$2:$F$2739)</f>
        <v>0.19200427193344777</v>
      </c>
    </row>
    <row r="1748" spans="1:9" x14ac:dyDescent="0.3">
      <c r="A1748" t="s">
        <v>11</v>
      </c>
      <c r="B1748" s="3">
        <v>45399</v>
      </c>
      <c r="C1748">
        <f t="shared" si="461"/>
        <v>17</v>
      </c>
      <c r="D1748">
        <f t="shared" si="462"/>
        <v>4</v>
      </c>
      <c r="E1748">
        <f t="shared" si="463"/>
        <v>2024</v>
      </c>
      <c r="F1748" s="2">
        <v>2651</v>
      </c>
      <c r="G1748" t="s">
        <v>19</v>
      </c>
      <c r="I1748" s="4">
        <f t="shared" ref="I1748:I1750" si="466">SUMIFS($F$2:$F$2739,$G$2:$G$2739,"Multi-year Contract",$E$2:$E$2739,2024)/SUMIF($E$2:$E$2739,2024,$F$2:$F$2739)</f>
        <v>0.71222648320847215</v>
      </c>
    </row>
    <row r="1749" spans="1:9" x14ac:dyDescent="0.3">
      <c r="A1749" t="s">
        <v>8</v>
      </c>
      <c r="B1749" s="3">
        <v>45399</v>
      </c>
      <c r="C1749">
        <f t="shared" si="461"/>
        <v>17</v>
      </c>
      <c r="D1749">
        <f t="shared" si="462"/>
        <v>4</v>
      </c>
      <c r="E1749">
        <f t="shared" si="463"/>
        <v>2024</v>
      </c>
      <c r="F1749" s="2">
        <v>3180</v>
      </c>
      <c r="G1749" s="2" t="s">
        <v>19</v>
      </c>
      <c r="I1749" s="4">
        <f t="shared" si="466"/>
        <v>0.71222648320847215</v>
      </c>
    </row>
    <row r="1750" spans="1:9" x14ac:dyDescent="0.3">
      <c r="A1750" t="s">
        <v>10</v>
      </c>
      <c r="B1750" s="3">
        <v>45399</v>
      </c>
      <c r="C1750">
        <f t="shared" si="461"/>
        <v>17</v>
      </c>
      <c r="D1750">
        <f t="shared" si="462"/>
        <v>4</v>
      </c>
      <c r="E1750">
        <f t="shared" si="463"/>
        <v>2024</v>
      </c>
      <c r="F1750" s="2">
        <v>2770</v>
      </c>
      <c r="G1750" t="s">
        <v>19</v>
      </c>
      <c r="I1750" s="4">
        <f t="shared" si="466"/>
        <v>0.71222648320847215</v>
      </c>
    </row>
    <row r="1751" spans="1:9" x14ac:dyDescent="0.3">
      <c r="A1751" t="s">
        <v>7</v>
      </c>
      <c r="B1751" s="3">
        <v>45399</v>
      </c>
      <c r="C1751">
        <f t="shared" si="461"/>
        <v>17</v>
      </c>
      <c r="D1751">
        <f t="shared" si="462"/>
        <v>4</v>
      </c>
      <c r="E1751">
        <f t="shared" si="463"/>
        <v>2024</v>
      </c>
      <c r="F1751" s="2">
        <v>2494</v>
      </c>
      <c r="G1751" t="s">
        <v>17</v>
      </c>
      <c r="I1751" s="4">
        <f>SUMIFS($F$2:$F$2739,$G$2:$G$2739,"No Contract",$E$2:$E$2739,2024)/SUMIF($E$2:$E$2739,2024,$F$2:$F$2739)</f>
        <v>9.576924485808011E-2</v>
      </c>
    </row>
    <row r="1752" spans="1:9" x14ac:dyDescent="0.3">
      <c r="A1752" t="s">
        <v>11</v>
      </c>
      <c r="B1752" s="3">
        <v>45399</v>
      </c>
      <c r="C1752">
        <f t="shared" si="461"/>
        <v>17</v>
      </c>
      <c r="D1752">
        <f t="shared" si="462"/>
        <v>4</v>
      </c>
      <c r="E1752">
        <f t="shared" si="463"/>
        <v>2024</v>
      </c>
      <c r="F1752" s="2">
        <v>3408</v>
      </c>
      <c r="G1752" t="s">
        <v>19</v>
      </c>
      <c r="I1752" s="4">
        <f t="shared" ref="I1752:I1758" si="467">SUMIFS($F$2:$F$2739,$G$2:$G$2739,"Multi-year Contract",$E$2:$E$2739,2024)/SUMIF($E$2:$E$2739,2024,$F$2:$F$2739)</f>
        <v>0.71222648320847215</v>
      </c>
    </row>
    <row r="1753" spans="1:9" x14ac:dyDescent="0.3">
      <c r="A1753" t="s">
        <v>3</v>
      </c>
      <c r="B1753" s="3">
        <v>45400</v>
      </c>
      <c r="C1753">
        <f t="shared" si="461"/>
        <v>18</v>
      </c>
      <c r="D1753">
        <f t="shared" si="462"/>
        <v>4</v>
      </c>
      <c r="E1753">
        <f t="shared" si="463"/>
        <v>2024</v>
      </c>
      <c r="F1753" s="2">
        <v>2282</v>
      </c>
      <c r="G1753" t="s">
        <v>19</v>
      </c>
      <c r="I1753" s="4">
        <f t="shared" si="467"/>
        <v>0.71222648320847215</v>
      </c>
    </row>
    <row r="1754" spans="1:9" x14ac:dyDescent="0.3">
      <c r="A1754" t="s">
        <v>5</v>
      </c>
      <c r="B1754" s="3">
        <v>45400</v>
      </c>
      <c r="C1754">
        <f t="shared" si="461"/>
        <v>18</v>
      </c>
      <c r="D1754">
        <f t="shared" si="462"/>
        <v>4</v>
      </c>
      <c r="E1754">
        <f t="shared" si="463"/>
        <v>2024</v>
      </c>
      <c r="F1754" s="2">
        <v>2199</v>
      </c>
      <c r="G1754" t="s">
        <v>19</v>
      </c>
      <c r="I1754" s="4">
        <f t="shared" si="467"/>
        <v>0.71222648320847215</v>
      </c>
    </row>
    <row r="1755" spans="1:9" x14ac:dyDescent="0.3">
      <c r="A1755" t="s">
        <v>3</v>
      </c>
      <c r="B1755" s="3">
        <v>45400</v>
      </c>
      <c r="C1755">
        <f t="shared" si="461"/>
        <v>18</v>
      </c>
      <c r="D1755">
        <f t="shared" si="462"/>
        <v>4</v>
      </c>
      <c r="E1755">
        <f t="shared" si="463"/>
        <v>2024</v>
      </c>
      <c r="F1755" s="2">
        <v>3227</v>
      </c>
      <c r="G1755" t="s">
        <v>19</v>
      </c>
      <c r="I1755" s="4">
        <f t="shared" si="467"/>
        <v>0.71222648320847215</v>
      </c>
    </row>
    <row r="1756" spans="1:9" x14ac:dyDescent="0.3">
      <c r="A1756" t="s">
        <v>11</v>
      </c>
      <c r="B1756" s="3">
        <v>45402</v>
      </c>
      <c r="C1756">
        <f t="shared" si="461"/>
        <v>20</v>
      </c>
      <c r="D1756">
        <f t="shared" si="462"/>
        <v>4</v>
      </c>
      <c r="E1756">
        <f t="shared" si="463"/>
        <v>2024</v>
      </c>
      <c r="F1756" s="2">
        <v>599</v>
      </c>
      <c r="G1756" t="s">
        <v>19</v>
      </c>
      <c r="I1756" s="4">
        <f t="shared" si="467"/>
        <v>0.71222648320847215</v>
      </c>
    </row>
    <row r="1757" spans="1:9" x14ac:dyDescent="0.3">
      <c r="A1757" t="s">
        <v>3</v>
      </c>
      <c r="B1757" s="3">
        <v>45402</v>
      </c>
      <c r="C1757">
        <f t="shared" si="461"/>
        <v>20</v>
      </c>
      <c r="D1757">
        <f t="shared" si="462"/>
        <v>4</v>
      </c>
      <c r="E1757">
        <f t="shared" si="463"/>
        <v>2024</v>
      </c>
      <c r="F1757" s="2">
        <v>682</v>
      </c>
      <c r="G1757" t="s">
        <v>19</v>
      </c>
      <c r="I1757" s="4">
        <f t="shared" si="467"/>
        <v>0.71222648320847215</v>
      </c>
    </row>
    <row r="1758" spans="1:9" x14ac:dyDescent="0.3">
      <c r="A1758" t="s">
        <v>4</v>
      </c>
      <c r="B1758" s="3">
        <v>45402</v>
      </c>
      <c r="C1758">
        <f t="shared" si="461"/>
        <v>20</v>
      </c>
      <c r="D1758">
        <f t="shared" si="462"/>
        <v>4</v>
      </c>
      <c r="E1758">
        <f t="shared" si="463"/>
        <v>2024</v>
      </c>
      <c r="F1758" s="2">
        <v>1366</v>
      </c>
      <c r="G1758" s="2" t="s">
        <v>19</v>
      </c>
      <c r="I1758" s="4">
        <f t="shared" si="467"/>
        <v>0.71222648320847215</v>
      </c>
    </row>
    <row r="1759" spans="1:9" x14ac:dyDescent="0.3">
      <c r="A1759" t="s">
        <v>6</v>
      </c>
      <c r="B1759" s="3">
        <v>45402</v>
      </c>
      <c r="C1759">
        <f t="shared" si="461"/>
        <v>20</v>
      </c>
      <c r="D1759">
        <f t="shared" si="462"/>
        <v>4</v>
      </c>
      <c r="E1759">
        <f t="shared" si="463"/>
        <v>2024</v>
      </c>
      <c r="F1759" s="2">
        <v>843</v>
      </c>
      <c r="G1759" t="s">
        <v>18</v>
      </c>
      <c r="I1759" s="4">
        <f>SUMIFS($F$2:$F$2739,$G$2:$G$2739,"Annual Contract",$E$2:$E$2739,2024)/SUMIF($E$2:$E$2739,2024,$F$2:$F$2739)</f>
        <v>0.19200427193344777</v>
      </c>
    </row>
    <row r="1760" spans="1:9" x14ac:dyDescent="0.3">
      <c r="A1760" t="s">
        <v>11</v>
      </c>
      <c r="B1760" s="3">
        <v>45402</v>
      </c>
      <c r="C1760">
        <f t="shared" si="461"/>
        <v>20</v>
      </c>
      <c r="D1760">
        <f t="shared" si="462"/>
        <v>4</v>
      </c>
      <c r="E1760">
        <f t="shared" si="463"/>
        <v>2024</v>
      </c>
      <c r="F1760" s="2">
        <v>2386</v>
      </c>
      <c r="G1760" t="s">
        <v>19</v>
      </c>
      <c r="I1760" s="4">
        <f t="shared" ref="I1760:I1774" si="468">SUMIFS($F$2:$F$2739,$G$2:$G$2739,"Multi-year Contract",$E$2:$E$2739,2024)/SUMIF($E$2:$E$2739,2024,$F$2:$F$2739)</f>
        <v>0.71222648320847215</v>
      </c>
    </row>
    <row r="1761" spans="1:9" x14ac:dyDescent="0.3">
      <c r="A1761" t="s">
        <v>11</v>
      </c>
      <c r="B1761" s="3">
        <v>45403</v>
      </c>
      <c r="C1761">
        <f t="shared" si="461"/>
        <v>21</v>
      </c>
      <c r="D1761">
        <f t="shared" si="462"/>
        <v>4</v>
      </c>
      <c r="E1761">
        <f t="shared" si="463"/>
        <v>2024</v>
      </c>
      <c r="F1761" s="2">
        <v>3050</v>
      </c>
      <c r="G1761" t="s">
        <v>19</v>
      </c>
      <c r="I1761" s="4">
        <f t="shared" si="468"/>
        <v>0.71222648320847215</v>
      </c>
    </row>
    <row r="1762" spans="1:9" x14ac:dyDescent="0.3">
      <c r="A1762" t="s">
        <v>10</v>
      </c>
      <c r="B1762" s="3">
        <v>45404</v>
      </c>
      <c r="C1762">
        <f t="shared" si="461"/>
        <v>22</v>
      </c>
      <c r="D1762">
        <f t="shared" si="462"/>
        <v>4</v>
      </c>
      <c r="E1762">
        <f t="shared" si="463"/>
        <v>2024</v>
      </c>
      <c r="F1762" s="2">
        <v>1808</v>
      </c>
      <c r="G1762" t="s">
        <v>19</v>
      </c>
      <c r="I1762" s="4">
        <f t="shared" si="468"/>
        <v>0.71222648320847215</v>
      </c>
    </row>
    <row r="1763" spans="1:9" x14ac:dyDescent="0.3">
      <c r="A1763" t="s">
        <v>11</v>
      </c>
      <c r="B1763" s="3">
        <v>45404</v>
      </c>
      <c r="C1763">
        <f t="shared" si="461"/>
        <v>22</v>
      </c>
      <c r="D1763">
        <f t="shared" si="462"/>
        <v>4</v>
      </c>
      <c r="E1763">
        <f t="shared" si="463"/>
        <v>2024</v>
      </c>
      <c r="F1763" s="2">
        <v>1489</v>
      </c>
      <c r="G1763" t="s">
        <v>19</v>
      </c>
      <c r="I1763" s="4">
        <f t="shared" si="468"/>
        <v>0.71222648320847215</v>
      </c>
    </row>
    <row r="1764" spans="1:9" x14ac:dyDescent="0.3">
      <c r="A1764" t="s">
        <v>5</v>
      </c>
      <c r="B1764" s="3">
        <v>45404</v>
      </c>
      <c r="C1764">
        <f t="shared" si="461"/>
        <v>22</v>
      </c>
      <c r="D1764">
        <f t="shared" si="462"/>
        <v>4</v>
      </c>
      <c r="E1764">
        <f t="shared" si="463"/>
        <v>2024</v>
      </c>
      <c r="F1764" s="2">
        <v>1269</v>
      </c>
      <c r="G1764" t="s">
        <v>19</v>
      </c>
      <c r="I1764" s="4">
        <f t="shared" si="468"/>
        <v>0.71222648320847215</v>
      </c>
    </row>
    <row r="1765" spans="1:9" x14ac:dyDescent="0.3">
      <c r="A1765" t="s">
        <v>10</v>
      </c>
      <c r="B1765" s="3">
        <v>45404</v>
      </c>
      <c r="C1765">
        <f t="shared" si="461"/>
        <v>22</v>
      </c>
      <c r="D1765">
        <f t="shared" si="462"/>
        <v>4</v>
      </c>
      <c r="E1765">
        <f t="shared" si="463"/>
        <v>2024</v>
      </c>
      <c r="F1765" s="2">
        <v>2970</v>
      </c>
      <c r="G1765" t="s">
        <v>19</v>
      </c>
      <c r="I1765" s="4">
        <f t="shared" si="468"/>
        <v>0.71222648320847215</v>
      </c>
    </row>
    <row r="1766" spans="1:9" x14ac:dyDescent="0.3">
      <c r="A1766" t="s">
        <v>3</v>
      </c>
      <c r="B1766" s="3">
        <v>45404</v>
      </c>
      <c r="C1766">
        <f t="shared" si="461"/>
        <v>22</v>
      </c>
      <c r="D1766">
        <f t="shared" si="462"/>
        <v>4</v>
      </c>
      <c r="E1766">
        <f t="shared" si="463"/>
        <v>2024</v>
      </c>
      <c r="F1766" s="2">
        <v>1641</v>
      </c>
      <c r="G1766" t="s">
        <v>19</v>
      </c>
      <c r="I1766" s="4">
        <f t="shared" si="468"/>
        <v>0.71222648320847215</v>
      </c>
    </row>
    <row r="1767" spans="1:9" x14ac:dyDescent="0.3">
      <c r="A1767" t="s">
        <v>3</v>
      </c>
      <c r="B1767" s="3">
        <v>45405</v>
      </c>
      <c r="C1767">
        <f t="shared" si="461"/>
        <v>23</v>
      </c>
      <c r="D1767">
        <f t="shared" si="462"/>
        <v>4</v>
      </c>
      <c r="E1767">
        <f t="shared" si="463"/>
        <v>2024</v>
      </c>
      <c r="F1767" s="2">
        <v>3523</v>
      </c>
      <c r="G1767" t="s">
        <v>19</v>
      </c>
      <c r="I1767" s="4">
        <f t="shared" si="468"/>
        <v>0.71222648320847215</v>
      </c>
    </row>
    <row r="1768" spans="1:9" x14ac:dyDescent="0.3">
      <c r="A1768" t="s">
        <v>10</v>
      </c>
      <c r="B1768" s="3">
        <v>45405</v>
      </c>
      <c r="C1768">
        <f t="shared" si="461"/>
        <v>23</v>
      </c>
      <c r="D1768">
        <f t="shared" si="462"/>
        <v>4</v>
      </c>
      <c r="E1768">
        <f t="shared" si="463"/>
        <v>2024</v>
      </c>
      <c r="F1768" s="2">
        <v>3051</v>
      </c>
      <c r="G1768" t="s">
        <v>19</v>
      </c>
      <c r="I1768" s="4">
        <f t="shared" si="468"/>
        <v>0.71222648320847215</v>
      </c>
    </row>
    <row r="1769" spans="1:9" x14ac:dyDescent="0.3">
      <c r="A1769" t="s">
        <v>11</v>
      </c>
      <c r="B1769" s="3">
        <v>45405</v>
      </c>
      <c r="C1769">
        <f t="shared" si="461"/>
        <v>23</v>
      </c>
      <c r="D1769">
        <f t="shared" si="462"/>
        <v>4</v>
      </c>
      <c r="E1769">
        <f t="shared" si="463"/>
        <v>2024</v>
      </c>
      <c r="F1769" s="2">
        <v>1518</v>
      </c>
      <c r="G1769" t="s">
        <v>19</v>
      </c>
      <c r="I1769" s="4">
        <f t="shared" si="468"/>
        <v>0.71222648320847215</v>
      </c>
    </row>
    <row r="1770" spans="1:9" x14ac:dyDescent="0.3">
      <c r="A1770" t="s">
        <v>3</v>
      </c>
      <c r="B1770" s="3">
        <v>45405</v>
      </c>
      <c r="C1770">
        <f t="shared" si="461"/>
        <v>23</v>
      </c>
      <c r="D1770">
        <f t="shared" si="462"/>
        <v>4</v>
      </c>
      <c r="E1770">
        <f t="shared" si="463"/>
        <v>2024</v>
      </c>
      <c r="F1770" s="2">
        <v>1070</v>
      </c>
      <c r="G1770" t="s">
        <v>19</v>
      </c>
      <c r="I1770" s="4">
        <f t="shared" si="468"/>
        <v>0.71222648320847215</v>
      </c>
    </row>
    <row r="1771" spans="1:9" x14ac:dyDescent="0.3">
      <c r="A1771" t="s">
        <v>4</v>
      </c>
      <c r="B1771" s="3">
        <v>45405</v>
      </c>
      <c r="C1771">
        <f t="shared" si="461"/>
        <v>23</v>
      </c>
      <c r="D1771">
        <f t="shared" si="462"/>
        <v>4</v>
      </c>
      <c r="E1771">
        <f t="shared" si="463"/>
        <v>2024</v>
      </c>
      <c r="F1771" s="2">
        <v>2420</v>
      </c>
      <c r="G1771" s="2" t="s">
        <v>19</v>
      </c>
      <c r="I1771" s="4">
        <f t="shared" si="468"/>
        <v>0.71222648320847215</v>
      </c>
    </row>
    <row r="1772" spans="1:9" x14ac:dyDescent="0.3">
      <c r="A1772" t="s">
        <v>5</v>
      </c>
      <c r="B1772" s="3">
        <v>45405</v>
      </c>
      <c r="C1772">
        <f t="shared" si="461"/>
        <v>23</v>
      </c>
      <c r="D1772">
        <f t="shared" si="462"/>
        <v>4</v>
      </c>
      <c r="E1772">
        <f t="shared" si="463"/>
        <v>2024</v>
      </c>
      <c r="F1772" s="2">
        <v>704</v>
      </c>
      <c r="G1772" t="s">
        <v>19</v>
      </c>
      <c r="I1772" s="4">
        <f t="shared" si="468"/>
        <v>0.71222648320847215</v>
      </c>
    </row>
    <row r="1773" spans="1:9" x14ac:dyDescent="0.3">
      <c r="A1773" t="s">
        <v>10</v>
      </c>
      <c r="B1773" s="3">
        <v>45406</v>
      </c>
      <c r="C1773">
        <f t="shared" si="461"/>
        <v>24</v>
      </c>
      <c r="D1773">
        <f t="shared" si="462"/>
        <v>4</v>
      </c>
      <c r="E1773">
        <f t="shared" si="463"/>
        <v>2024</v>
      </c>
      <c r="F1773" s="2">
        <v>1512</v>
      </c>
      <c r="G1773" t="s">
        <v>19</v>
      </c>
      <c r="I1773" s="4">
        <f t="shared" si="468"/>
        <v>0.71222648320847215</v>
      </c>
    </row>
    <row r="1774" spans="1:9" x14ac:dyDescent="0.3">
      <c r="A1774" t="s">
        <v>4</v>
      </c>
      <c r="B1774" s="3">
        <v>45406</v>
      </c>
      <c r="C1774">
        <f t="shared" si="461"/>
        <v>24</v>
      </c>
      <c r="D1774">
        <f t="shared" si="462"/>
        <v>4</v>
      </c>
      <c r="E1774">
        <f t="shared" si="463"/>
        <v>2024</v>
      </c>
      <c r="F1774" s="2">
        <v>2018</v>
      </c>
      <c r="G1774" s="2" t="s">
        <v>19</v>
      </c>
      <c r="I1774" s="4">
        <f t="shared" si="468"/>
        <v>0.71222648320847215</v>
      </c>
    </row>
    <row r="1775" spans="1:9" x14ac:dyDescent="0.3">
      <c r="A1775" t="s">
        <v>9</v>
      </c>
      <c r="B1775" s="3">
        <v>45406</v>
      </c>
      <c r="C1775">
        <f t="shared" si="461"/>
        <v>24</v>
      </c>
      <c r="D1775">
        <f t="shared" si="462"/>
        <v>4</v>
      </c>
      <c r="E1775">
        <f t="shared" si="463"/>
        <v>2024</v>
      </c>
      <c r="F1775" s="2">
        <v>3198</v>
      </c>
      <c r="G1775" t="s">
        <v>18</v>
      </c>
      <c r="I1775" s="4">
        <f>SUMIFS($F$2:$F$2739,$G$2:$G$2739,"Annual Contract",$E$2:$E$2739,2024)/SUMIF($E$2:$E$2739,2024,$F$2:$F$2739)</f>
        <v>0.19200427193344777</v>
      </c>
    </row>
    <row r="1776" spans="1:9" x14ac:dyDescent="0.3">
      <c r="A1776" t="s">
        <v>5</v>
      </c>
      <c r="B1776" s="3">
        <v>45406</v>
      </c>
      <c r="C1776">
        <f t="shared" si="461"/>
        <v>24</v>
      </c>
      <c r="D1776">
        <f t="shared" si="462"/>
        <v>4</v>
      </c>
      <c r="E1776">
        <f t="shared" si="463"/>
        <v>2024</v>
      </c>
      <c r="F1776" s="2">
        <v>2492</v>
      </c>
      <c r="G1776" t="s">
        <v>19</v>
      </c>
      <c r="I1776" s="4">
        <f t="shared" ref="I1776:I1779" si="469">SUMIFS($F$2:$F$2739,$G$2:$G$2739,"Multi-year Contract",$E$2:$E$2739,2024)/SUMIF($E$2:$E$2739,2024,$F$2:$F$2739)</f>
        <v>0.71222648320847215</v>
      </c>
    </row>
    <row r="1777" spans="1:9" x14ac:dyDescent="0.3">
      <c r="A1777" t="s">
        <v>4</v>
      </c>
      <c r="B1777" s="3">
        <v>45406</v>
      </c>
      <c r="C1777">
        <f t="shared" si="461"/>
        <v>24</v>
      </c>
      <c r="D1777">
        <f t="shared" si="462"/>
        <v>4</v>
      </c>
      <c r="E1777">
        <f t="shared" si="463"/>
        <v>2024</v>
      </c>
      <c r="F1777" s="2">
        <v>2563</v>
      </c>
      <c r="G1777" s="2" t="s">
        <v>19</v>
      </c>
      <c r="I1777" s="4">
        <f t="shared" si="469"/>
        <v>0.71222648320847215</v>
      </c>
    </row>
    <row r="1778" spans="1:9" x14ac:dyDescent="0.3">
      <c r="A1778" t="s">
        <v>5</v>
      </c>
      <c r="B1778" s="3">
        <v>45407</v>
      </c>
      <c r="C1778">
        <f t="shared" si="461"/>
        <v>25</v>
      </c>
      <c r="D1778">
        <f t="shared" si="462"/>
        <v>4</v>
      </c>
      <c r="E1778">
        <f t="shared" si="463"/>
        <v>2024</v>
      </c>
      <c r="F1778" s="2">
        <v>722</v>
      </c>
      <c r="G1778" t="s">
        <v>19</v>
      </c>
      <c r="I1778" s="4">
        <f t="shared" si="469"/>
        <v>0.71222648320847215</v>
      </c>
    </row>
    <row r="1779" spans="1:9" x14ac:dyDescent="0.3">
      <c r="A1779" t="s">
        <v>5</v>
      </c>
      <c r="B1779" s="3">
        <v>45407</v>
      </c>
      <c r="C1779">
        <f t="shared" si="461"/>
        <v>25</v>
      </c>
      <c r="D1779">
        <f t="shared" si="462"/>
        <v>4</v>
      </c>
      <c r="E1779">
        <f t="shared" si="463"/>
        <v>2024</v>
      </c>
      <c r="F1779" s="2">
        <v>2910</v>
      </c>
      <c r="G1779" t="s">
        <v>19</v>
      </c>
      <c r="I1779" s="4">
        <f t="shared" si="469"/>
        <v>0.71222648320847215</v>
      </c>
    </row>
    <row r="1780" spans="1:9" x14ac:dyDescent="0.3">
      <c r="A1780" t="s">
        <v>6</v>
      </c>
      <c r="B1780" s="3">
        <v>45407</v>
      </c>
      <c r="C1780">
        <f t="shared" si="461"/>
        <v>25</v>
      </c>
      <c r="D1780">
        <f t="shared" si="462"/>
        <v>4</v>
      </c>
      <c r="E1780">
        <f t="shared" si="463"/>
        <v>2024</v>
      </c>
      <c r="F1780" s="2">
        <v>2485</v>
      </c>
      <c r="G1780" t="s">
        <v>18</v>
      </c>
      <c r="I1780" s="4">
        <f t="shared" ref="I1780:I1781" si="470">SUMIFS($F$2:$F$2739,$G$2:$G$2739,"Annual Contract",$E$2:$E$2739,2024)/SUMIF($E$2:$E$2739,2024,$F$2:$F$2739)</f>
        <v>0.19200427193344777</v>
      </c>
    </row>
    <row r="1781" spans="1:9" x14ac:dyDescent="0.3">
      <c r="A1781" t="s">
        <v>9</v>
      </c>
      <c r="B1781" s="3">
        <v>45407</v>
      </c>
      <c r="C1781">
        <f t="shared" si="461"/>
        <v>25</v>
      </c>
      <c r="D1781">
        <f t="shared" si="462"/>
        <v>4</v>
      </c>
      <c r="E1781">
        <f t="shared" si="463"/>
        <v>2024</v>
      </c>
      <c r="F1781" s="2">
        <v>1432</v>
      </c>
      <c r="G1781" t="s">
        <v>18</v>
      </c>
      <c r="I1781" s="4">
        <f t="shared" si="470"/>
        <v>0.19200427193344777</v>
      </c>
    </row>
    <row r="1782" spans="1:9" x14ac:dyDescent="0.3">
      <c r="A1782" t="s">
        <v>7</v>
      </c>
      <c r="B1782" s="3">
        <v>45407</v>
      </c>
      <c r="C1782">
        <f t="shared" si="461"/>
        <v>25</v>
      </c>
      <c r="D1782">
        <f t="shared" si="462"/>
        <v>4</v>
      </c>
      <c r="E1782">
        <f t="shared" si="463"/>
        <v>2024</v>
      </c>
      <c r="F1782" s="2">
        <v>805</v>
      </c>
      <c r="G1782" t="s">
        <v>17</v>
      </c>
      <c r="I1782" s="4">
        <f>SUMIFS($F$2:$F$2739,$G$2:$G$2739,"No Contract",$E$2:$E$2739,2024)/SUMIF($E$2:$E$2739,2024,$F$2:$F$2739)</f>
        <v>9.576924485808011E-2</v>
      </c>
    </row>
    <row r="1783" spans="1:9" x14ac:dyDescent="0.3">
      <c r="A1783" t="s">
        <v>9</v>
      </c>
      <c r="B1783" s="3">
        <v>45408</v>
      </c>
      <c r="C1783">
        <f t="shared" si="461"/>
        <v>26</v>
      </c>
      <c r="D1783">
        <f t="shared" si="462"/>
        <v>4</v>
      </c>
      <c r="E1783">
        <f t="shared" si="463"/>
        <v>2024</v>
      </c>
      <c r="F1783" s="2">
        <v>2720</v>
      </c>
      <c r="G1783" t="s">
        <v>18</v>
      </c>
      <c r="I1783" s="4">
        <f>SUMIFS($F$2:$F$2739,$G$2:$G$2739,"Annual Contract",$E$2:$E$2739,2024)/SUMIF($E$2:$E$2739,2024,$F$2:$F$2739)</f>
        <v>0.19200427193344777</v>
      </c>
    </row>
    <row r="1784" spans="1:9" x14ac:dyDescent="0.3">
      <c r="A1784" t="s">
        <v>5</v>
      </c>
      <c r="B1784" s="3">
        <v>45408</v>
      </c>
      <c r="C1784">
        <f t="shared" si="461"/>
        <v>26</v>
      </c>
      <c r="D1784">
        <f t="shared" si="462"/>
        <v>4</v>
      </c>
      <c r="E1784">
        <f t="shared" si="463"/>
        <v>2024</v>
      </c>
      <c r="F1784" s="2">
        <v>1987</v>
      </c>
      <c r="G1784" t="s">
        <v>19</v>
      </c>
      <c r="I1784" s="4">
        <f t="shared" ref="I1784:I1791" si="471">SUMIFS($F$2:$F$2739,$G$2:$G$2739,"Multi-year Contract",$E$2:$E$2739,2024)/SUMIF($E$2:$E$2739,2024,$F$2:$F$2739)</f>
        <v>0.71222648320847215</v>
      </c>
    </row>
    <row r="1785" spans="1:9" x14ac:dyDescent="0.3">
      <c r="A1785" t="s">
        <v>11</v>
      </c>
      <c r="B1785" s="3">
        <v>45408</v>
      </c>
      <c r="C1785">
        <f t="shared" si="461"/>
        <v>26</v>
      </c>
      <c r="D1785">
        <f t="shared" si="462"/>
        <v>4</v>
      </c>
      <c r="E1785">
        <f t="shared" si="463"/>
        <v>2024</v>
      </c>
      <c r="F1785" s="2">
        <v>2073</v>
      </c>
      <c r="G1785" t="s">
        <v>19</v>
      </c>
      <c r="I1785" s="4">
        <f t="shared" si="471"/>
        <v>0.71222648320847215</v>
      </c>
    </row>
    <row r="1786" spans="1:9" x14ac:dyDescent="0.3">
      <c r="A1786" t="s">
        <v>11</v>
      </c>
      <c r="B1786" s="3">
        <v>45408</v>
      </c>
      <c r="C1786">
        <f t="shared" si="461"/>
        <v>26</v>
      </c>
      <c r="D1786">
        <f t="shared" si="462"/>
        <v>4</v>
      </c>
      <c r="E1786">
        <f t="shared" si="463"/>
        <v>2024</v>
      </c>
      <c r="F1786" s="2">
        <v>1102</v>
      </c>
      <c r="G1786" t="s">
        <v>19</v>
      </c>
      <c r="I1786" s="4">
        <f t="shared" si="471"/>
        <v>0.71222648320847215</v>
      </c>
    </row>
    <row r="1787" spans="1:9" x14ac:dyDescent="0.3">
      <c r="A1787" t="s">
        <v>11</v>
      </c>
      <c r="B1787" s="3">
        <v>45409</v>
      </c>
      <c r="C1787">
        <f t="shared" si="461"/>
        <v>27</v>
      </c>
      <c r="D1787">
        <f t="shared" si="462"/>
        <v>4</v>
      </c>
      <c r="E1787">
        <f t="shared" si="463"/>
        <v>2024</v>
      </c>
      <c r="F1787" s="2">
        <v>1970</v>
      </c>
      <c r="G1787" t="s">
        <v>19</v>
      </c>
      <c r="I1787" s="4">
        <f t="shared" si="471"/>
        <v>0.71222648320847215</v>
      </c>
    </row>
    <row r="1788" spans="1:9" x14ac:dyDescent="0.3">
      <c r="A1788" t="s">
        <v>12</v>
      </c>
      <c r="B1788" s="3">
        <v>45410</v>
      </c>
      <c r="C1788">
        <f t="shared" si="461"/>
        <v>28</v>
      </c>
      <c r="D1788">
        <f t="shared" si="462"/>
        <v>4</v>
      </c>
      <c r="E1788">
        <f t="shared" si="463"/>
        <v>2024</v>
      </c>
      <c r="F1788" s="2">
        <v>739</v>
      </c>
      <c r="G1788" s="2" t="s">
        <v>19</v>
      </c>
      <c r="I1788" s="4">
        <f t="shared" si="471"/>
        <v>0.71222648320847215</v>
      </c>
    </row>
    <row r="1789" spans="1:9" x14ac:dyDescent="0.3">
      <c r="A1789" t="s">
        <v>10</v>
      </c>
      <c r="B1789" s="3">
        <v>45410</v>
      </c>
      <c r="C1789">
        <f t="shared" si="461"/>
        <v>28</v>
      </c>
      <c r="D1789">
        <f t="shared" si="462"/>
        <v>4</v>
      </c>
      <c r="E1789">
        <f t="shared" si="463"/>
        <v>2024</v>
      </c>
      <c r="F1789" s="2">
        <v>2903</v>
      </c>
      <c r="G1789" t="s">
        <v>19</v>
      </c>
      <c r="I1789" s="4">
        <f t="shared" si="471"/>
        <v>0.71222648320847215</v>
      </c>
    </row>
    <row r="1790" spans="1:9" x14ac:dyDescent="0.3">
      <c r="A1790" t="s">
        <v>4</v>
      </c>
      <c r="B1790" s="3">
        <v>45411</v>
      </c>
      <c r="C1790">
        <f t="shared" si="461"/>
        <v>29</v>
      </c>
      <c r="D1790">
        <f t="shared" si="462"/>
        <v>4</v>
      </c>
      <c r="E1790">
        <f t="shared" si="463"/>
        <v>2024</v>
      </c>
      <c r="F1790" s="2">
        <v>2572</v>
      </c>
      <c r="G1790" s="2" t="s">
        <v>19</v>
      </c>
      <c r="I1790" s="4">
        <f t="shared" si="471"/>
        <v>0.71222648320847215</v>
      </c>
    </row>
    <row r="1791" spans="1:9" x14ac:dyDescent="0.3">
      <c r="A1791" t="s">
        <v>5</v>
      </c>
      <c r="B1791" s="3">
        <v>45411</v>
      </c>
      <c r="C1791">
        <f t="shared" si="461"/>
        <v>29</v>
      </c>
      <c r="D1791">
        <f t="shared" si="462"/>
        <v>4</v>
      </c>
      <c r="E1791">
        <f t="shared" si="463"/>
        <v>2024</v>
      </c>
      <c r="F1791" s="2">
        <v>1589</v>
      </c>
      <c r="G1791" t="s">
        <v>19</v>
      </c>
      <c r="I1791" s="4">
        <f t="shared" si="471"/>
        <v>0.71222648320847215</v>
      </c>
    </row>
    <row r="1792" spans="1:9" x14ac:dyDescent="0.3">
      <c r="A1792" t="s">
        <v>6</v>
      </c>
      <c r="B1792" s="3">
        <v>45411</v>
      </c>
      <c r="C1792">
        <f t="shared" si="461"/>
        <v>29</v>
      </c>
      <c r="D1792">
        <f t="shared" si="462"/>
        <v>4</v>
      </c>
      <c r="E1792">
        <f t="shared" si="463"/>
        <v>2024</v>
      </c>
      <c r="F1792" s="2">
        <v>3109</v>
      </c>
      <c r="G1792" t="s">
        <v>18</v>
      </c>
      <c r="I1792" s="4">
        <f>SUMIFS($F$2:$F$2739,$G$2:$G$2739,"Annual Contract",$E$2:$E$2739,2024)/SUMIF($E$2:$E$2739,2024,$F$2:$F$2739)</f>
        <v>0.19200427193344777</v>
      </c>
    </row>
    <row r="1793" spans="1:9" x14ac:dyDescent="0.3">
      <c r="A1793" t="s">
        <v>5</v>
      </c>
      <c r="B1793" s="3">
        <v>45411</v>
      </c>
      <c r="C1793">
        <f t="shared" si="461"/>
        <v>29</v>
      </c>
      <c r="D1793">
        <f t="shared" si="462"/>
        <v>4</v>
      </c>
      <c r="E1793">
        <f t="shared" si="463"/>
        <v>2024</v>
      </c>
      <c r="F1793" s="2">
        <v>1685</v>
      </c>
      <c r="G1793" t="s">
        <v>19</v>
      </c>
      <c r="I1793" s="4">
        <f>SUMIFS($F$2:$F$2739,$G$2:$G$2739,"Multi-year Contract",$E$2:$E$2739,2024)/SUMIF($E$2:$E$2739,2024,$F$2:$F$2739)</f>
        <v>0.71222648320847215</v>
      </c>
    </row>
    <row r="1794" spans="1:9" x14ac:dyDescent="0.3">
      <c r="A1794" t="s">
        <v>6</v>
      </c>
      <c r="B1794" s="3">
        <v>45411</v>
      </c>
      <c r="C1794">
        <f t="shared" si="461"/>
        <v>29</v>
      </c>
      <c r="D1794">
        <f t="shared" si="462"/>
        <v>4</v>
      </c>
      <c r="E1794">
        <f t="shared" si="463"/>
        <v>2024</v>
      </c>
      <c r="F1794" s="2">
        <v>1374</v>
      </c>
      <c r="G1794" t="s">
        <v>18</v>
      </c>
      <c r="I1794" s="4">
        <f>SUMIFS($F$2:$F$2739,$G$2:$G$2739,"Annual Contract",$E$2:$E$2739,2024)/SUMIF($E$2:$E$2739,2024,$F$2:$F$2739)</f>
        <v>0.19200427193344777</v>
      </c>
    </row>
    <row r="1795" spans="1:9" x14ac:dyDescent="0.3">
      <c r="A1795" t="s">
        <v>3</v>
      </c>
      <c r="B1795" s="3">
        <v>45411</v>
      </c>
      <c r="C1795">
        <f t="shared" ref="C1795:C1858" si="472">DAY(B1795)</f>
        <v>29</v>
      </c>
      <c r="D1795">
        <f t="shared" ref="D1795:D1858" si="473">MONTH(B1795)</f>
        <v>4</v>
      </c>
      <c r="E1795">
        <f t="shared" ref="E1795:E1858" si="474">YEAR(B1795)</f>
        <v>2024</v>
      </c>
      <c r="F1795" s="2">
        <v>2450</v>
      </c>
      <c r="G1795" t="s">
        <v>19</v>
      </c>
      <c r="I1795" s="4">
        <f t="shared" ref="I1795:I1797" si="475">SUMIFS($F$2:$F$2739,$G$2:$G$2739,"Multi-year Contract",$E$2:$E$2739,2024)/SUMIF($E$2:$E$2739,2024,$F$2:$F$2739)</f>
        <v>0.71222648320847215</v>
      </c>
    </row>
    <row r="1796" spans="1:9" x14ac:dyDescent="0.3">
      <c r="A1796" t="s">
        <v>4</v>
      </c>
      <c r="B1796" s="3">
        <v>45412</v>
      </c>
      <c r="C1796">
        <f t="shared" si="472"/>
        <v>30</v>
      </c>
      <c r="D1796">
        <f t="shared" si="473"/>
        <v>4</v>
      </c>
      <c r="E1796">
        <f t="shared" si="474"/>
        <v>2024</v>
      </c>
      <c r="F1796" s="2">
        <v>3497</v>
      </c>
      <c r="G1796" s="2" t="s">
        <v>19</v>
      </c>
      <c r="I1796" s="4">
        <f t="shared" si="475"/>
        <v>0.71222648320847215</v>
      </c>
    </row>
    <row r="1797" spans="1:9" x14ac:dyDescent="0.3">
      <c r="A1797" t="s">
        <v>11</v>
      </c>
      <c r="B1797" s="3">
        <v>45412</v>
      </c>
      <c r="C1797">
        <f t="shared" si="472"/>
        <v>30</v>
      </c>
      <c r="D1797">
        <f t="shared" si="473"/>
        <v>4</v>
      </c>
      <c r="E1797">
        <f t="shared" si="474"/>
        <v>2024</v>
      </c>
      <c r="F1797" s="2">
        <v>1662</v>
      </c>
      <c r="G1797" t="s">
        <v>19</v>
      </c>
      <c r="I1797" s="4">
        <f t="shared" si="475"/>
        <v>0.71222648320847215</v>
      </c>
    </row>
    <row r="1798" spans="1:9" x14ac:dyDescent="0.3">
      <c r="A1798" t="s">
        <v>7</v>
      </c>
      <c r="B1798" s="3">
        <v>45412</v>
      </c>
      <c r="C1798">
        <f t="shared" si="472"/>
        <v>30</v>
      </c>
      <c r="D1798">
        <f t="shared" si="473"/>
        <v>4</v>
      </c>
      <c r="E1798">
        <f t="shared" si="474"/>
        <v>2024</v>
      </c>
      <c r="F1798" s="2">
        <v>1118</v>
      </c>
      <c r="G1798" t="s">
        <v>17</v>
      </c>
      <c r="I1798" s="4">
        <f>SUMIFS($F$2:$F$2739,$G$2:$G$2739,"No Contract",$E$2:$E$2739,2024)/SUMIF($E$2:$E$2739,2024,$F$2:$F$2739)</f>
        <v>9.576924485808011E-2</v>
      </c>
    </row>
    <row r="1799" spans="1:9" x14ac:dyDescent="0.3">
      <c r="A1799" t="s">
        <v>10</v>
      </c>
      <c r="B1799" s="3">
        <v>45412</v>
      </c>
      <c r="C1799">
        <f t="shared" si="472"/>
        <v>30</v>
      </c>
      <c r="D1799">
        <f t="shared" si="473"/>
        <v>4</v>
      </c>
      <c r="E1799">
        <f t="shared" si="474"/>
        <v>2024</v>
      </c>
      <c r="F1799" s="2">
        <v>1858</v>
      </c>
      <c r="G1799" t="s">
        <v>19</v>
      </c>
      <c r="I1799" s="4">
        <f>SUMIFS($F$2:$F$2739,$G$2:$G$2739,"Multi-year Contract",$E$2:$E$2739,2024)/SUMIF($E$2:$E$2739,2024,$F$2:$F$2739)</f>
        <v>0.71222648320847215</v>
      </c>
    </row>
    <row r="1800" spans="1:9" x14ac:dyDescent="0.3">
      <c r="A1800" t="s">
        <v>6</v>
      </c>
      <c r="B1800" s="3">
        <v>45412</v>
      </c>
      <c r="C1800">
        <f t="shared" si="472"/>
        <v>30</v>
      </c>
      <c r="D1800">
        <f t="shared" si="473"/>
        <v>4</v>
      </c>
      <c r="E1800">
        <f t="shared" si="474"/>
        <v>2024</v>
      </c>
      <c r="F1800" s="2">
        <v>2493</v>
      </c>
      <c r="G1800" t="s">
        <v>18</v>
      </c>
      <c r="I1800" s="4">
        <f>SUMIFS($F$2:$F$2739,$G$2:$G$2739,"Annual Contract",$E$2:$E$2739,2024)/SUMIF($E$2:$E$2739,2024,$F$2:$F$2739)</f>
        <v>0.19200427193344777</v>
      </c>
    </row>
    <row r="1801" spans="1:9" x14ac:dyDescent="0.3">
      <c r="A1801" t="s">
        <v>8</v>
      </c>
      <c r="B1801" s="3">
        <v>45413</v>
      </c>
      <c r="C1801">
        <f t="shared" si="472"/>
        <v>1</v>
      </c>
      <c r="D1801">
        <f t="shared" si="473"/>
        <v>5</v>
      </c>
      <c r="E1801">
        <f t="shared" si="474"/>
        <v>2024</v>
      </c>
      <c r="F1801" s="2">
        <v>2911</v>
      </c>
      <c r="G1801" s="2" t="s">
        <v>19</v>
      </c>
      <c r="I1801" s="4">
        <f t="shared" ref="I1801:I1804" si="476">SUMIFS($F$2:$F$2739,$G$2:$G$2739,"Multi-year Contract",$E$2:$E$2739,2024)/SUMIF($E$2:$E$2739,2024,$F$2:$F$2739)</f>
        <v>0.71222648320847215</v>
      </c>
    </row>
    <row r="1802" spans="1:9" x14ac:dyDescent="0.3">
      <c r="A1802" t="s">
        <v>12</v>
      </c>
      <c r="B1802" s="3">
        <v>45413</v>
      </c>
      <c r="C1802">
        <f t="shared" si="472"/>
        <v>1</v>
      </c>
      <c r="D1802">
        <f t="shared" si="473"/>
        <v>5</v>
      </c>
      <c r="E1802">
        <f t="shared" si="474"/>
        <v>2024</v>
      </c>
      <c r="F1802" s="2">
        <v>2969</v>
      </c>
      <c r="G1802" s="2" t="s">
        <v>19</v>
      </c>
      <c r="I1802" s="4">
        <f t="shared" si="476"/>
        <v>0.71222648320847215</v>
      </c>
    </row>
    <row r="1803" spans="1:9" x14ac:dyDescent="0.3">
      <c r="A1803" t="s">
        <v>12</v>
      </c>
      <c r="B1803" s="3">
        <v>45414</v>
      </c>
      <c r="C1803">
        <f t="shared" si="472"/>
        <v>2</v>
      </c>
      <c r="D1803">
        <f t="shared" si="473"/>
        <v>5</v>
      </c>
      <c r="E1803">
        <f t="shared" si="474"/>
        <v>2024</v>
      </c>
      <c r="F1803" s="2">
        <v>3293</v>
      </c>
      <c r="G1803" s="2" t="s">
        <v>19</v>
      </c>
      <c r="I1803" s="4">
        <f t="shared" si="476"/>
        <v>0.71222648320847215</v>
      </c>
    </row>
    <row r="1804" spans="1:9" x14ac:dyDescent="0.3">
      <c r="A1804" t="s">
        <v>3</v>
      </c>
      <c r="B1804" s="3">
        <v>45414</v>
      </c>
      <c r="C1804">
        <f t="shared" si="472"/>
        <v>2</v>
      </c>
      <c r="D1804">
        <f t="shared" si="473"/>
        <v>5</v>
      </c>
      <c r="E1804">
        <f t="shared" si="474"/>
        <v>2024</v>
      </c>
      <c r="F1804" s="2">
        <v>1805</v>
      </c>
      <c r="G1804" t="s">
        <v>19</v>
      </c>
      <c r="I1804" s="4">
        <f t="shared" si="476"/>
        <v>0.71222648320847215</v>
      </c>
    </row>
    <row r="1805" spans="1:9" x14ac:dyDescent="0.3">
      <c r="A1805" t="s">
        <v>7</v>
      </c>
      <c r="B1805" s="3">
        <v>45414</v>
      </c>
      <c r="C1805">
        <f t="shared" si="472"/>
        <v>2</v>
      </c>
      <c r="D1805">
        <f t="shared" si="473"/>
        <v>5</v>
      </c>
      <c r="E1805">
        <f t="shared" si="474"/>
        <v>2024</v>
      </c>
      <c r="F1805" s="2">
        <v>1331</v>
      </c>
      <c r="G1805" t="s">
        <v>17</v>
      </c>
      <c r="I1805" s="4">
        <f>SUMIFS($F$2:$F$2739,$G$2:$G$2739,"No Contract",$E$2:$E$2739,2024)/SUMIF($E$2:$E$2739,2024,$F$2:$F$2739)</f>
        <v>9.576924485808011E-2</v>
      </c>
    </row>
    <row r="1806" spans="1:9" x14ac:dyDescent="0.3">
      <c r="A1806" t="s">
        <v>12</v>
      </c>
      <c r="B1806" s="3">
        <v>45414</v>
      </c>
      <c r="C1806">
        <f t="shared" si="472"/>
        <v>2</v>
      </c>
      <c r="D1806">
        <f t="shared" si="473"/>
        <v>5</v>
      </c>
      <c r="E1806">
        <f t="shared" si="474"/>
        <v>2024</v>
      </c>
      <c r="F1806" s="2">
        <v>1161</v>
      </c>
      <c r="G1806" s="2" t="s">
        <v>19</v>
      </c>
      <c r="I1806" s="4">
        <f t="shared" ref="I1806:I1809" si="477">SUMIFS($F$2:$F$2739,$G$2:$G$2739,"Multi-year Contract",$E$2:$E$2739,2024)/SUMIF($E$2:$E$2739,2024,$F$2:$F$2739)</f>
        <v>0.71222648320847215</v>
      </c>
    </row>
    <row r="1807" spans="1:9" x14ac:dyDescent="0.3">
      <c r="A1807" t="s">
        <v>8</v>
      </c>
      <c r="B1807" s="3">
        <v>45414</v>
      </c>
      <c r="C1807">
        <f t="shared" si="472"/>
        <v>2</v>
      </c>
      <c r="D1807">
        <f t="shared" si="473"/>
        <v>5</v>
      </c>
      <c r="E1807">
        <f t="shared" si="474"/>
        <v>2024</v>
      </c>
      <c r="F1807" s="2">
        <v>3564</v>
      </c>
      <c r="G1807" s="2" t="s">
        <v>19</v>
      </c>
      <c r="I1807" s="4">
        <f t="shared" si="477"/>
        <v>0.71222648320847215</v>
      </c>
    </row>
    <row r="1808" spans="1:9" x14ac:dyDescent="0.3">
      <c r="A1808" t="s">
        <v>3</v>
      </c>
      <c r="B1808" s="3">
        <v>45414</v>
      </c>
      <c r="C1808">
        <f t="shared" si="472"/>
        <v>2</v>
      </c>
      <c r="D1808">
        <f t="shared" si="473"/>
        <v>5</v>
      </c>
      <c r="E1808">
        <f t="shared" si="474"/>
        <v>2024</v>
      </c>
      <c r="F1808" s="2">
        <v>2616</v>
      </c>
      <c r="G1808" t="s">
        <v>19</v>
      </c>
      <c r="I1808" s="4">
        <f t="shared" si="477"/>
        <v>0.71222648320847215</v>
      </c>
    </row>
    <row r="1809" spans="1:9" x14ac:dyDescent="0.3">
      <c r="A1809" t="s">
        <v>8</v>
      </c>
      <c r="B1809" s="3">
        <v>45414</v>
      </c>
      <c r="C1809">
        <f t="shared" si="472"/>
        <v>2</v>
      </c>
      <c r="D1809">
        <f t="shared" si="473"/>
        <v>5</v>
      </c>
      <c r="E1809">
        <f t="shared" si="474"/>
        <v>2024</v>
      </c>
      <c r="F1809" s="2">
        <v>3264</v>
      </c>
      <c r="G1809" s="2" t="s">
        <v>19</v>
      </c>
      <c r="I1809" s="4">
        <f t="shared" si="477"/>
        <v>0.71222648320847215</v>
      </c>
    </row>
    <row r="1810" spans="1:9" x14ac:dyDescent="0.3">
      <c r="A1810" t="s">
        <v>6</v>
      </c>
      <c r="B1810" s="3">
        <v>45415</v>
      </c>
      <c r="C1810">
        <f t="shared" si="472"/>
        <v>3</v>
      </c>
      <c r="D1810">
        <f t="shared" si="473"/>
        <v>5</v>
      </c>
      <c r="E1810">
        <f t="shared" si="474"/>
        <v>2024</v>
      </c>
      <c r="F1810" s="2">
        <v>1841</v>
      </c>
      <c r="G1810" t="s">
        <v>18</v>
      </c>
      <c r="I1810" s="4">
        <f>SUMIFS($F$2:$F$2739,$G$2:$G$2739,"Annual Contract",$E$2:$E$2739,2024)/SUMIF($E$2:$E$2739,2024,$F$2:$F$2739)</f>
        <v>0.19200427193344777</v>
      </c>
    </row>
    <row r="1811" spans="1:9" x14ac:dyDescent="0.3">
      <c r="A1811" t="s">
        <v>4</v>
      </c>
      <c r="B1811" s="3">
        <v>45415</v>
      </c>
      <c r="C1811">
        <f t="shared" si="472"/>
        <v>3</v>
      </c>
      <c r="D1811">
        <f t="shared" si="473"/>
        <v>5</v>
      </c>
      <c r="E1811">
        <f t="shared" si="474"/>
        <v>2024</v>
      </c>
      <c r="F1811" s="2">
        <v>3978</v>
      </c>
      <c r="G1811" s="2" t="s">
        <v>19</v>
      </c>
      <c r="I1811" s="4">
        <f t="shared" ref="I1811:I1823" si="478">SUMIFS($F$2:$F$2739,$G$2:$G$2739,"Multi-year Contract",$E$2:$E$2739,2024)/SUMIF($E$2:$E$2739,2024,$F$2:$F$2739)</f>
        <v>0.71222648320847215</v>
      </c>
    </row>
    <row r="1812" spans="1:9" x14ac:dyDescent="0.3">
      <c r="A1812" t="s">
        <v>4</v>
      </c>
      <c r="B1812" s="3">
        <v>45415</v>
      </c>
      <c r="C1812">
        <f t="shared" si="472"/>
        <v>3</v>
      </c>
      <c r="D1812">
        <f t="shared" si="473"/>
        <v>5</v>
      </c>
      <c r="E1812">
        <f t="shared" si="474"/>
        <v>2024</v>
      </c>
      <c r="F1812" s="2">
        <v>2142</v>
      </c>
      <c r="G1812" s="2" t="s">
        <v>19</v>
      </c>
      <c r="I1812" s="4">
        <f t="shared" si="478"/>
        <v>0.71222648320847215</v>
      </c>
    </row>
    <row r="1813" spans="1:9" x14ac:dyDescent="0.3">
      <c r="A1813" t="s">
        <v>3</v>
      </c>
      <c r="B1813" s="3">
        <v>45415</v>
      </c>
      <c r="C1813">
        <f t="shared" si="472"/>
        <v>3</v>
      </c>
      <c r="D1813">
        <f t="shared" si="473"/>
        <v>5</v>
      </c>
      <c r="E1813">
        <f t="shared" si="474"/>
        <v>2024</v>
      </c>
      <c r="F1813" s="2">
        <v>2815</v>
      </c>
      <c r="G1813" t="s">
        <v>19</v>
      </c>
      <c r="I1813" s="4">
        <f t="shared" si="478"/>
        <v>0.71222648320847215</v>
      </c>
    </row>
    <row r="1814" spans="1:9" x14ac:dyDescent="0.3">
      <c r="A1814" t="s">
        <v>3</v>
      </c>
      <c r="B1814" s="3">
        <v>45415</v>
      </c>
      <c r="C1814">
        <f t="shared" si="472"/>
        <v>3</v>
      </c>
      <c r="D1814">
        <f t="shared" si="473"/>
        <v>5</v>
      </c>
      <c r="E1814">
        <f t="shared" si="474"/>
        <v>2024</v>
      </c>
      <c r="F1814" s="2">
        <v>1100</v>
      </c>
      <c r="G1814" t="s">
        <v>19</v>
      </c>
      <c r="I1814" s="4">
        <f t="shared" si="478"/>
        <v>0.71222648320847215</v>
      </c>
    </row>
    <row r="1815" spans="1:9" x14ac:dyDescent="0.3">
      <c r="A1815" t="s">
        <v>11</v>
      </c>
      <c r="B1815" s="3">
        <v>45415</v>
      </c>
      <c r="C1815">
        <f t="shared" si="472"/>
        <v>3</v>
      </c>
      <c r="D1815">
        <f t="shared" si="473"/>
        <v>5</v>
      </c>
      <c r="E1815">
        <f t="shared" si="474"/>
        <v>2024</v>
      </c>
      <c r="F1815" s="2">
        <v>1854</v>
      </c>
      <c r="G1815" t="s">
        <v>19</v>
      </c>
      <c r="I1815" s="4">
        <f t="shared" si="478"/>
        <v>0.71222648320847215</v>
      </c>
    </row>
    <row r="1816" spans="1:9" x14ac:dyDescent="0.3">
      <c r="A1816" t="s">
        <v>8</v>
      </c>
      <c r="B1816" s="3">
        <v>45415</v>
      </c>
      <c r="C1816">
        <f t="shared" si="472"/>
        <v>3</v>
      </c>
      <c r="D1816">
        <f t="shared" si="473"/>
        <v>5</v>
      </c>
      <c r="E1816">
        <f t="shared" si="474"/>
        <v>2024</v>
      </c>
      <c r="F1816" s="2">
        <v>719</v>
      </c>
      <c r="G1816" s="2" t="s">
        <v>19</v>
      </c>
      <c r="I1816" s="4">
        <f t="shared" si="478"/>
        <v>0.71222648320847215</v>
      </c>
    </row>
    <row r="1817" spans="1:9" x14ac:dyDescent="0.3">
      <c r="A1817" t="s">
        <v>5</v>
      </c>
      <c r="B1817" s="3">
        <v>45415</v>
      </c>
      <c r="C1817">
        <f t="shared" si="472"/>
        <v>3</v>
      </c>
      <c r="D1817">
        <f t="shared" si="473"/>
        <v>5</v>
      </c>
      <c r="E1817">
        <f t="shared" si="474"/>
        <v>2024</v>
      </c>
      <c r="F1817" s="2">
        <v>1768</v>
      </c>
      <c r="G1817" t="s">
        <v>19</v>
      </c>
      <c r="I1817" s="4">
        <f t="shared" si="478"/>
        <v>0.71222648320847215</v>
      </c>
    </row>
    <row r="1818" spans="1:9" x14ac:dyDescent="0.3">
      <c r="A1818" t="s">
        <v>3</v>
      </c>
      <c r="B1818" s="3">
        <v>45415</v>
      </c>
      <c r="C1818">
        <f t="shared" si="472"/>
        <v>3</v>
      </c>
      <c r="D1818">
        <f t="shared" si="473"/>
        <v>5</v>
      </c>
      <c r="E1818">
        <f t="shared" si="474"/>
        <v>2024</v>
      </c>
      <c r="F1818" s="2">
        <v>1213</v>
      </c>
      <c r="G1818" t="s">
        <v>19</v>
      </c>
      <c r="I1818" s="4">
        <f t="shared" si="478"/>
        <v>0.71222648320847215</v>
      </c>
    </row>
    <row r="1819" spans="1:9" x14ac:dyDescent="0.3">
      <c r="A1819" t="s">
        <v>3</v>
      </c>
      <c r="B1819" s="3">
        <v>45415</v>
      </c>
      <c r="C1819">
        <f t="shared" si="472"/>
        <v>3</v>
      </c>
      <c r="D1819">
        <f t="shared" si="473"/>
        <v>5</v>
      </c>
      <c r="E1819">
        <f t="shared" si="474"/>
        <v>2024</v>
      </c>
      <c r="F1819" s="2">
        <v>3811</v>
      </c>
      <c r="G1819" t="s">
        <v>19</v>
      </c>
      <c r="I1819" s="4">
        <f t="shared" si="478"/>
        <v>0.71222648320847215</v>
      </c>
    </row>
    <row r="1820" spans="1:9" x14ac:dyDescent="0.3">
      <c r="A1820" t="s">
        <v>8</v>
      </c>
      <c r="B1820" s="3">
        <v>45416</v>
      </c>
      <c r="C1820">
        <f t="shared" si="472"/>
        <v>4</v>
      </c>
      <c r="D1820">
        <f t="shared" si="473"/>
        <v>5</v>
      </c>
      <c r="E1820">
        <f t="shared" si="474"/>
        <v>2024</v>
      </c>
      <c r="F1820" s="2">
        <v>3058</v>
      </c>
      <c r="G1820" s="2" t="s">
        <v>19</v>
      </c>
      <c r="I1820" s="4">
        <f t="shared" si="478"/>
        <v>0.71222648320847215</v>
      </c>
    </row>
    <row r="1821" spans="1:9" x14ac:dyDescent="0.3">
      <c r="A1821" t="s">
        <v>4</v>
      </c>
      <c r="B1821" s="3">
        <v>45417</v>
      </c>
      <c r="C1821">
        <f t="shared" si="472"/>
        <v>5</v>
      </c>
      <c r="D1821">
        <f t="shared" si="473"/>
        <v>5</v>
      </c>
      <c r="E1821">
        <f t="shared" si="474"/>
        <v>2024</v>
      </c>
      <c r="F1821" s="2">
        <v>1481</v>
      </c>
      <c r="G1821" s="2" t="s">
        <v>19</v>
      </c>
      <c r="I1821" s="4">
        <f t="shared" si="478"/>
        <v>0.71222648320847215</v>
      </c>
    </row>
    <row r="1822" spans="1:9" x14ac:dyDescent="0.3">
      <c r="A1822" t="s">
        <v>3</v>
      </c>
      <c r="B1822" s="3">
        <v>45417</v>
      </c>
      <c r="C1822">
        <f t="shared" si="472"/>
        <v>5</v>
      </c>
      <c r="D1822">
        <f t="shared" si="473"/>
        <v>5</v>
      </c>
      <c r="E1822">
        <f t="shared" si="474"/>
        <v>2024</v>
      </c>
      <c r="F1822" s="2">
        <v>2556</v>
      </c>
      <c r="G1822" t="s">
        <v>19</v>
      </c>
      <c r="I1822" s="4">
        <f t="shared" si="478"/>
        <v>0.71222648320847215</v>
      </c>
    </row>
    <row r="1823" spans="1:9" x14ac:dyDescent="0.3">
      <c r="A1823" t="s">
        <v>10</v>
      </c>
      <c r="B1823" s="3">
        <v>45417</v>
      </c>
      <c r="C1823">
        <f t="shared" si="472"/>
        <v>5</v>
      </c>
      <c r="D1823">
        <f t="shared" si="473"/>
        <v>5</v>
      </c>
      <c r="E1823">
        <f t="shared" si="474"/>
        <v>2024</v>
      </c>
      <c r="F1823" s="2">
        <v>1212</v>
      </c>
      <c r="G1823" t="s">
        <v>19</v>
      </c>
      <c r="I1823" s="4">
        <f t="shared" si="478"/>
        <v>0.71222648320847215</v>
      </c>
    </row>
    <row r="1824" spans="1:9" x14ac:dyDescent="0.3">
      <c r="A1824" t="s">
        <v>9</v>
      </c>
      <c r="B1824" s="3">
        <v>45417</v>
      </c>
      <c r="C1824">
        <f t="shared" si="472"/>
        <v>5</v>
      </c>
      <c r="D1824">
        <f t="shared" si="473"/>
        <v>5</v>
      </c>
      <c r="E1824">
        <f t="shared" si="474"/>
        <v>2024</v>
      </c>
      <c r="F1824" s="2">
        <v>2885</v>
      </c>
      <c r="G1824" t="s">
        <v>18</v>
      </c>
      <c r="I1824" s="4">
        <f>SUMIFS($F$2:$F$2739,$G$2:$G$2739,"Annual Contract",$E$2:$E$2739,2024)/SUMIF($E$2:$E$2739,2024,$F$2:$F$2739)</f>
        <v>0.19200427193344777</v>
      </c>
    </row>
    <row r="1825" spans="1:9" x14ac:dyDescent="0.3">
      <c r="A1825" t="s">
        <v>4</v>
      </c>
      <c r="B1825" s="3">
        <v>45417</v>
      </c>
      <c r="C1825">
        <f t="shared" si="472"/>
        <v>5</v>
      </c>
      <c r="D1825">
        <f t="shared" si="473"/>
        <v>5</v>
      </c>
      <c r="E1825">
        <f t="shared" si="474"/>
        <v>2024</v>
      </c>
      <c r="F1825" s="2">
        <v>2734</v>
      </c>
      <c r="G1825" s="2" t="s">
        <v>19</v>
      </c>
      <c r="I1825" s="4">
        <f t="shared" ref="I1825:I1826" si="479">SUMIFS($F$2:$F$2739,$G$2:$G$2739,"Multi-year Contract",$E$2:$E$2739,2024)/SUMIF($E$2:$E$2739,2024,$F$2:$F$2739)</f>
        <v>0.71222648320847215</v>
      </c>
    </row>
    <row r="1826" spans="1:9" x14ac:dyDescent="0.3">
      <c r="A1826" t="s">
        <v>12</v>
      </c>
      <c r="B1826" s="3">
        <v>45417</v>
      </c>
      <c r="C1826">
        <f t="shared" si="472"/>
        <v>5</v>
      </c>
      <c r="D1826">
        <f t="shared" si="473"/>
        <v>5</v>
      </c>
      <c r="E1826">
        <f t="shared" si="474"/>
        <v>2024</v>
      </c>
      <c r="F1826" s="2">
        <v>2025</v>
      </c>
      <c r="G1826" s="2" t="s">
        <v>19</v>
      </c>
      <c r="I1826" s="4">
        <f t="shared" si="479"/>
        <v>0.71222648320847215</v>
      </c>
    </row>
    <row r="1827" spans="1:9" x14ac:dyDescent="0.3">
      <c r="A1827" t="s">
        <v>7</v>
      </c>
      <c r="B1827" s="3">
        <v>45418</v>
      </c>
      <c r="C1827">
        <f t="shared" si="472"/>
        <v>6</v>
      </c>
      <c r="D1827">
        <f t="shared" si="473"/>
        <v>5</v>
      </c>
      <c r="E1827">
        <f t="shared" si="474"/>
        <v>2024</v>
      </c>
      <c r="F1827" s="2">
        <v>1532</v>
      </c>
      <c r="G1827" t="s">
        <v>17</v>
      </c>
      <c r="I1827" s="4">
        <f>SUMIFS($F$2:$F$2739,$G$2:$G$2739,"No Contract",$E$2:$E$2739,2024)/SUMIF($E$2:$E$2739,2024,$F$2:$F$2739)</f>
        <v>9.576924485808011E-2</v>
      </c>
    </row>
    <row r="1828" spans="1:9" x14ac:dyDescent="0.3">
      <c r="A1828" t="s">
        <v>9</v>
      </c>
      <c r="B1828" s="3">
        <v>45418</v>
      </c>
      <c r="C1828">
        <f t="shared" si="472"/>
        <v>6</v>
      </c>
      <c r="D1828">
        <f t="shared" si="473"/>
        <v>5</v>
      </c>
      <c r="E1828">
        <f t="shared" si="474"/>
        <v>2024</v>
      </c>
      <c r="F1828" s="2">
        <v>2166</v>
      </c>
      <c r="G1828" t="s">
        <v>18</v>
      </c>
      <c r="I1828" s="4">
        <f>SUMIFS($F$2:$F$2739,$G$2:$G$2739,"Annual Contract",$E$2:$E$2739,2024)/SUMIF($E$2:$E$2739,2024,$F$2:$F$2739)</f>
        <v>0.19200427193344777</v>
      </c>
    </row>
    <row r="1829" spans="1:9" x14ac:dyDescent="0.3">
      <c r="A1829" t="s">
        <v>11</v>
      </c>
      <c r="B1829" s="3">
        <v>45418</v>
      </c>
      <c r="C1829">
        <f t="shared" si="472"/>
        <v>6</v>
      </c>
      <c r="D1829">
        <f t="shared" si="473"/>
        <v>5</v>
      </c>
      <c r="E1829">
        <f t="shared" si="474"/>
        <v>2024</v>
      </c>
      <c r="F1829" s="2">
        <v>1071</v>
      </c>
      <c r="G1829" t="s">
        <v>19</v>
      </c>
      <c r="I1829" s="4">
        <f t="shared" ref="I1829:I1832" si="480">SUMIFS($F$2:$F$2739,$G$2:$G$2739,"Multi-year Contract",$E$2:$E$2739,2024)/SUMIF($E$2:$E$2739,2024,$F$2:$F$2739)</f>
        <v>0.71222648320847215</v>
      </c>
    </row>
    <row r="1830" spans="1:9" x14ac:dyDescent="0.3">
      <c r="A1830" t="s">
        <v>11</v>
      </c>
      <c r="B1830" s="3">
        <v>45418</v>
      </c>
      <c r="C1830">
        <f t="shared" si="472"/>
        <v>6</v>
      </c>
      <c r="D1830">
        <f t="shared" si="473"/>
        <v>5</v>
      </c>
      <c r="E1830">
        <f t="shared" si="474"/>
        <v>2024</v>
      </c>
      <c r="F1830" s="2">
        <v>1570</v>
      </c>
      <c r="G1830" t="s">
        <v>19</v>
      </c>
      <c r="I1830" s="4">
        <f t="shared" si="480"/>
        <v>0.71222648320847215</v>
      </c>
    </row>
    <row r="1831" spans="1:9" x14ac:dyDescent="0.3">
      <c r="A1831" t="s">
        <v>3</v>
      </c>
      <c r="B1831" s="3">
        <v>45418</v>
      </c>
      <c r="C1831">
        <f t="shared" si="472"/>
        <v>6</v>
      </c>
      <c r="D1831">
        <f t="shared" si="473"/>
        <v>5</v>
      </c>
      <c r="E1831">
        <f t="shared" si="474"/>
        <v>2024</v>
      </c>
      <c r="F1831" s="2">
        <v>1847</v>
      </c>
      <c r="G1831" t="s">
        <v>19</v>
      </c>
      <c r="I1831" s="4">
        <f t="shared" si="480"/>
        <v>0.71222648320847215</v>
      </c>
    </row>
    <row r="1832" spans="1:9" x14ac:dyDescent="0.3">
      <c r="A1832" t="s">
        <v>11</v>
      </c>
      <c r="B1832" s="3">
        <v>45419</v>
      </c>
      <c r="C1832">
        <f t="shared" si="472"/>
        <v>7</v>
      </c>
      <c r="D1832">
        <f t="shared" si="473"/>
        <v>5</v>
      </c>
      <c r="E1832">
        <f t="shared" si="474"/>
        <v>2024</v>
      </c>
      <c r="F1832" s="2">
        <v>2509</v>
      </c>
      <c r="G1832" t="s">
        <v>19</v>
      </c>
      <c r="I1832" s="4">
        <f t="shared" si="480"/>
        <v>0.71222648320847215</v>
      </c>
    </row>
    <row r="1833" spans="1:9" x14ac:dyDescent="0.3">
      <c r="A1833" t="s">
        <v>9</v>
      </c>
      <c r="B1833" s="3">
        <v>45419</v>
      </c>
      <c r="C1833">
        <f t="shared" si="472"/>
        <v>7</v>
      </c>
      <c r="D1833">
        <f t="shared" si="473"/>
        <v>5</v>
      </c>
      <c r="E1833">
        <f t="shared" si="474"/>
        <v>2024</v>
      </c>
      <c r="F1833" s="2">
        <v>1877</v>
      </c>
      <c r="G1833" t="s">
        <v>18</v>
      </c>
      <c r="I1833" s="4">
        <f>SUMIFS($F$2:$F$2739,$G$2:$G$2739,"Annual Contract",$E$2:$E$2739,2024)/SUMIF($E$2:$E$2739,2024,$F$2:$F$2739)</f>
        <v>0.19200427193344777</v>
      </c>
    </row>
    <row r="1834" spans="1:9" x14ac:dyDescent="0.3">
      <c r="A1834" t="s">
        <v>11</v>
      </c>
      <c r="B1834" s="3">
        <v>45419</v>
      </c>
      <c r="C1834">
        <f t="shared" si="472"/>
        <v>7</v>
      </c>
      <c r="D1834">
        <f t="shared" si="473"/>
        <v>5</v>
      </c>
      <c r="E1834">
        <f t="shared" si="474"/>
        <v>2024</v>
      </c>
      <c r="F1834" s="2">
        <v>3594</v>
      </c>
      <c r="G1834" t="s">
        <v>19</v>
      </c>
      <c r="I1834" s="4">
        <f>SUMIFS($F$2:$F$2739,$G$2:$G$2739,"Multi-year Contract",$E$2:$E$2739,2024)/SUMIF($E$2:$E$2739,2024,$F$2:$F$2739)</f>
        <v>0.71222648320847215</v>
      </c>
    </row>
    <row r="1835" spans="1:9" x14ac:dyDescent="0.3">
      <c r="A1835" t="s">
        <v>7</v>
      </c>
      <c r="B1835" s="3">
        <v>45419</v>
      </c>
      <c r="C1835">
        <f t="shared" si="472"/>
        <v>7</v>
      </c>
      <c r="D1835">
        <f t="shared" si="473"/>
        <v>5</v>
      </c>
      <c r="E1835">
        <f t="shared" si="474"/>
        <v>2024</v>
      </c>
      <c r="F1835" s="2">
        <v>1788</v>
      </c>
      <c r="G1835" t="s">
        <v>17</v>
      </c>
      <c r="I1835" s="4">
        <f>SUMIFS($F$2:$F$2739,$G$2:$G$2739,"No Contract",$E$2:$E$2739,2024)/SUMIF($E$2:$E$2739,2024,$F$2:$F$2739)</f>
        <v>9.576924485808011E-2</v>
      </c>
    </row>
    <row r="1836" spans="1:9" x14ac:dyDescent="0.3">
      <c r="A1836" t="s">
        <v>3</v>
      </c>
      <c r="B1836" s="3">
        <v>45419</v>
      </c>
      <c r="C1836">
        <f t="shared" si="472"/>
        <v>7</v>
      </c>
      <c r="D1836">
        <f t="shared" si="473"/>
        <v>5</v>
      </c>
      <c r="E1836">
        <f t="shared" si="474"/>
        <v>2024</v>
      </c>
      <c r="F1836" s="2">
        <v>1183</v>
      </c>
      <c r="G1836" t="s">
        <v>19</v>
      </c>
      <c r="I1836" s="4">
        <f t="shared" ref="I1836:I1837" si="481">SUMIFS($F$2:$F$2739,$G$2:$G$2739,"Multi-year Contract",$E$2:$E$2739,2024)/SUMIF($E$2:$E$2739,2024,$F$2:$F$2739)</f>
        <v>0.71222648320847215</v>
      </c>
    </row>
    <row r="1837" spans="1:9" x14ac:dyDescent="0.3">
      <c r="A1837" t="s">
        <v>8</v>
      </c>
      <c r="B1837" s="3">
        <v>45420</v>
      </c>
      <c r="C1837">
        <f t="shared" si="472"/>
        <v>8</v>
      </c>
      <c r="D1837">
        <f t="shared" si="473"/>
        <v>5</v>
      </c>
      <c r="E1837">
        <f t="shared" si="474"/>
        <v>2024</v>
      </c>
      <c r="F1837" s="2">
        <v>2904</v>
      </c>
      <c r="G1837" s="2" t="s">
        <v>19</v>
      </c>
      <c r="I1837" s="4">
        <f t="shared" si="481"/>
        <v>0.71222648320847215</v>
      </c>
    </row>
    <row r="1838" spans="1:9" x14ac:dyDescent="0.3">
      <c r="A1838" t="s">
        <v>7</v>
      </c>
      <c r="B1838" s="3">
        <v>45420</v>
      </c>
      <c r="C1838">
        <f t="shared" si="472"/>
        <v>8</v>
      </c>
      <c r="D1838">
        <f t="shared" si="473"/>
        <v>5</v>
      </c>
      <c r="E1838">
        <f t="shared" si="474"/>
        <v>2024</v>
      </c>
      <c r="F1838" s="2">
        <v>1441</v>
      </c>
      <c r="G1838" t="s">
        <v>17</v>
      </c>
      <c r="I1838" s="4">
        <f>SUMIFS($F$2:$F$2739,$G$2:$G$2739,"No Contract",$E$2:$E$2739,2024)/SUMIF($E$2:$E$2739,2024,$F$2:$F$2739)</f>
        <v>9.576924485808011E-2</v>
      </c>
    </row>
    <row r="1839" spans="1:9" x14ac:dyDescent="0.3">
      <c r="A1839" t="s">
        <v>6</v>
      </c>
      <c r="B1839" s="3">
        <v>45420</v>
      </c>
      <c r="C1839">
        <f t="shared" si="472"/>
        <v>8</v>
      </c>
      <c r="D1839">
        <f t="shared" si="473"/>
        <v>5</v>
      </c>
      <c r="E1839">
        <f t="shared" si="474"/>
        <v>2024</v>
      </c>
      <c r="F1839" s="2">
        <v>3250</v>
      </c>
      <c r="G1839" t="s">
        <v>18</v>
      </c>
      <c r="I1839" s="4">
        <f>SUMIFS($F$2:$F$2739,$G$2:$G$2739,"Annual Contract",$E$2:$E$2739,2024)/SUMIF($E$2:$E$2739,2024,$F$2:$F$2739)</f>
        <v>0.19200427193344777</v>
      </c>
    </row>
    <row r="1840" spans="1:9" x14ac:dyDescent="0.3">
      <c r="A1840" t="s">
        <v>4</v>
      </c>
      <c r="B1840" s="3">
        <v>45420</v>
      </c>
      <c r="C1840">
        <f t="shared" si="472"/>
        <v>8</v>
      </c>
      <c r="D1840">
        <f t="shared" si="473"/>
        <v>5</v>
      </c>
      <c r="E1840">
        <f t="shared" si="474"/>
        <v>2024</v>
      </c>
      <c r="F1840" s="2">
        <v>3823</v>
      </c>
      <c r="G1840" s="2" t="s">
        <v>19</v>
      </c>
      <c r="I1840" s="4">
        <f>SUMIFS($F$2:$F$2739,$G$2:$G$2739,"Multi-year Contract",$E$2:$E$2739,2024)/SUMIF($E$2:$E$2739,2024,$F$2:$F$2739)</f>
        <v>0.71222648320847215</v>
      </c>
    </row>
    <row r="1841" spans="1:9" x14ac:dyDescent="0.3">
      <c r="A1841" t="s">
        <v>6</v>
      </c>
      <c r="B1841" s="3">
        <v>45420</v>
      </c>
      <c r="C1841">
        <f t="shared" si="472"/>
        <v>8</v>
      </c>
      <c r="D1841">
        <f t="shared" si="473"/>
        <v>5</v>
      </c>
      <c r="E1841">
        <f t="shared" si="474"/>
        <v>2024</v>
      </c>
      <c r="F1841" s="2">
        <v>3619</v>
      </c>
      <c r="G1841" t="s">
        <v>18</v>
      </c>
      <c r="I1841" s="4">
        <f>SUMIFS($F$2:$F$2739,$G$2:$G$2739,"Annual Contract",$E$2:$E$2739,2024)/SUMIF($E$2:$E$2739,2024,$F$2:$F$2739)</f>
        <v>0.19200427193344777</v>
      </c>
    </row>
    <row r="1842" spans="1:9" x14ac:dyDescent="0.3">
      <c r="A1842" t="s">
        <v>4</v>
      </c>
      <c r="B1842" s="3">
        <v>45420</v>
      </c>
      <c r="C1842">
        <f t="shared" si="472"/>
        <v>8</v>
      </c>
      <c r="D1842">
        <f t="shared" si="473"/>
        <v>5</v>
      </c>
      <c r="E1842">
        <f t="shared" si="474"/>
        <v>2024</v>
      </c>
      <c r="F1842" s="2">
        <v>3272</v>
      </c>
      <c r="G1842" s="2" t="s">
        <v>19</v>
      </c>
      <c r="I1842" s="4">
        <f t="shared" ref="I1842:I1843" si="482">SUMIFS($F$2:$F$2739,$G$2:$G$2739,"Multi-year Contract",$E$2:$E$2739,2024)/SUMIF($E$2:$E$2739,2024,$F$2:$F$2739)</f>
        <v>0.71222648320847215</v>
      </c>
    </row>
    <row r="1843" spans="1:9" x14ac:dyDescent="0.3">
      <c r="A1843" t="s">
        <v>3</v>
      </c>
      <c r="B1843" s="3">
        <v>45421</v>
      </c>
      <c r="C1843">
        <f t="shared" si="472"/>
        <v>9</v>
      </c>
      <c r="D1843">
        <f t="shared" si="473"/>
        <v>5</v>
      </c>
      <c r="E1843">
        <f t="shared" si="474"/>
        <v>2024</v>
      </c>
      <c r="F1843" s="2">
        <v>3486</v>
      </c>
      <c r="G1843" t="s">
        <v>19</v>
      </c>
      <c r="I1843" s="4">
        <f t="shared" si="482"/>
        <v>0.71222648320847215</v>
      </c>
    </row>
    <row r="1844" spans="1:9" x14ac:dyDescent="0.3">
      <c r="A1844" t="s">
        <v>9</v>
      </c>
      <c r="B1844" s="3">
        <v>45421</v>
      </c>
      <c r="C1844">
        <f t="shared" si="472"/>
        <v>9</v>
      </c>
      <c r="D1844">
        <f t="shared" si="473"/>
        <v>5</v>
      </c>
      <c r="E1844">
        <f t="shared" si="474"/>
        <v>2024</v>
      </c>
      <c r="F1844" s="2">
        <v>771</v>
      </c>
      <c r="G1844" t="s">
        <v>18</v>
      </c>
      <c r="I1844" s="4">
        <f>SUMIFS($F$2:$F$2739,$G$2:$G$2739,"Annual Contract",$E$2:$E$2739,2024)/SUMIF($E$2:$E$2739,2024,$F$2:$F$2739)</f>
        <v>0.19200427193344777</v>
      </c>
    </row>
    <row r="1845" spans="1:9" x14ac:dyDescent="0.3">
      <c r="A1845" t="s">
        <v>4</v>
      </c>
      <c r="B1845" s="3">
        <v>45421</v>
      </c>
      <c r="C1845">
        <f t="shared" si="472"/>
        <v>9</v>
      </c>
      <c r="D1845">
        <f t="shared" si="473"/>
        <v>5</v>
      </c>
      <c r="E1845">
        <f t="shared" si="474"/>
        <v>2024</v>
      </c>
      <c r="F1845" s="2">
        <v>2593</v>
      </c>
      <c r="G1845" s="2" t="s">
        <v>19</v>
      </c>
      <c r="I1845" s="4">
        <f t="shared" ref="I1845:I1850" si="483">SUMIFS($F$2:$F$2739,$G$2:$G$2739,"Multi-year Contract",$E$2:$E$2739,2024)/SUMIF($E$2:$E$2739,2024,$F$2:$F$2739)</f>
        <v>0.71222648320847215</v>
      </c>
    </row>
    <row r="1846" spans="1:9" x14ac:dyDescent="0.3">
      <c r="A1846" t="s">
        <v>3</v>
      </c>
      <c r="B1846" s="3">
        <v>45421</v>
      </c>
      <c r="C1846">
        <f t="shared" si="472"/>
        <v>9</v>
      </c>
      <c r="D1846">
        <f t="shared" si="473"/>
        <v>5</v>
      </c>
      <c r="E1846">
        <f t="shared" si="474"/>
        <v>2024</v>
      </c>
      <c r="F1846" s="2">
        <v>1437</v>
      </c>
      <c r="G1846" t="s">
        <v>19</v>
      </c>
      <c r="I1846" s="4">
        <f t="shared" si="483"/>
        <v>0.71222648320847215</v>
      </c>
    </row>
    <row r="1847" spans="1:9" x14ac:dyDescent="0.3">
      <c r="A1847" t="s">
        <v>4</v>
      </c>
      <c r="B1847" s="3">
        <v>45422</v>
      </c>
      <c r="C1847">
        <f t="shared" si="472"/>
        <v>10</v>
      </c>
      <c r="D1847">
        <f t="shared" si="473"/>
        <v>5</v>
      </c>
      <c r="E1847">
        <f t="shared" si="474"/>
        <v>2024</v>
      </c>
      <c r="F1847" s="2">
        <v>2647</v>
      </c>
      <c r="G1847" s="2" t="s">
        <v>19</v>
      </c>
      <c r="I1847" s="4">
        <f t="shared" si="483"/>
        <v>0.71222648320847215</v>
      </c>
    </row>
    <row r="1848" spans="1:9" x14ac:dyDescent="0.3">
      <c r="A1848" t="s">
        <v>10</v>
      </c>
      <c r="B1848" s="3">
        <v>45422</v>
      </c>
      <c r="C1848">
        <f t="shared" si="472"/>
        <v>10</v>
      </c>
      <c r="D1848">
        <f t="shared" si="473"/>
        <v>5</v>
      </c>
      <c r="E1848">
        <f t="shared" si="474"/>
        <v>2024</v>
      </c>
      <c r="F1848" s="2">
        <v>2843</v>
      </c>
      <c r="G1848" t="s">
        <v>19</v>
      </c>
      <c r="I1848" s="4">
        <f t="shared" si="483"/>
        <v>0.71222648320847215</v>
      </c>
    </row>
    <row r="1849" spans="1:9" x14ac:dyDescent="0.3">
      <c r="A1849" t="s">
        <v>10</v>
      </c>
      <c r="B1849" s="3">
        <v>45422</v>
      </c>
      <c r="C1849">
        <f t="shared" si="472"/>
        <v>10</v>
      </c>
      <c r="D1849">
        <f t="shared" si="473"/>
        <v>5</v>
      </c>
      <c r="E1849">
        <f t="shared" si="474"/>
        <v>2024</v>
      </c>
      <c r="F1849" s="2">
        <v>2003</v>
      </c>
      <c r="G1849" t="s">
        <v>19</v>
      </c>
      <c r="I1849" s="4">
        <f t="shared" si="483"/>
        <v>0.71222648320847215</v>
      </c>
    </row>
    <row r="1850" spans="1:9" x14ac:dyDescent="0.3">
      <c r="A1850" t="s">
        <v>8</v>
      </c>
      <c r="B1850" s="3">
        <v>45422</v>
      </c>
      <c r="C1850">
        <f t="shared" si="472"/>
        <v>10</v>
      </c>
      <c r="D1850">
        <f t="shared" si="473"/>
        <v>5</v>
      </c>
      <c r="E1850">
        <f t="shared" si="474"/>
        <v>2024</v>
      </c>
      <c r="F1850" s="2">
        <v>1389</v>
      </c>
      <c r="G1850" s="2" t="s">
        <v>19</v>
      </c>
      <c r="I1850" s="4">
        <f t="shared" si="483"/>
        <v>0.71222648320847215</v>
      </c>
    </row>
    <row r="1851" spans="1:9" x14ac:dyDescent="0.3">
      <c r="A1851" t="s">
        <v>6</v>
      </c>
      <c r="B1851" s="3">
        <v>45422</v>
      </c>
      <c r="C1851">
        <f t="shared" si="472"/>
        <v>10</v>
      </c>
      <c r="D1851">
        <f t="shared" si="473"/>
        <v>5</v>
      </c>
      <c r="E1851">
        <f t="shared" si="474"/>
        <v>2024</v>
      </c>
      <c r="F1851" s="2">
        <v>1152</v>
      </c>
      <c r="G1851" t="s">
        <v>18</v>
      </c>
      <c r="I1851" s="4">
        <f>SUMIFS($F$2:$F$2739,$G$2:$G$2739,"Annual Contract",$E$2:$E$2739,2024)/SUMIF($E$2:$E$2739,2024,$F$2:$F$2739)</f>
        <v>0.19200427193344777</v>
      </c>
    </row>
    <row r="1852" spans="1:9" x14ac:dyDescent="0.3">
      <c r="A1852" t="s">
        <v>5</v>
      </c>
      <c r="B1852" s="3">
        <v>45422</v>
      </c>
      <c r="C1852">
        <f t="shared" si="472"/>
        <v>10</v>
      </c>
      <c r="D1852">
        <f t="shared" si="473"/>
        <v>5</v>
      </c>
      <c r="E1852">
        <f t="shared" si="474"/>
        <v>2024</v>
      </c>
      <c r="F1852" s="2">
        <v>914</v>
      </c>
      <c r="G1852" t="s">
        <v>19</v>
      </c>
      <c r="I1852" s="4">
        <f t="shared" ref="I1852:I1858" si="484">SUMIFS($F$2:$F$2739,$G$2:$G$2739,"Multi-year Contract",$E$2:$E$2739,2024)/SUMIF($E$2:$E$2739,2024,$F$2:$F$2739)</f>
        <v>0.71222648320847215</v>
      </c>
    </row>
    <row r="1853" spans="1:9" x14ac:dyDescent="0.3">
      <c r="A1853" t="s">
        <v>11</v>
      </c>
      <c r="B1853" s="3">
        <v>45422</v>
      </c>
      <c r="C1853">
        <f t="shared" si="472"/>
        <v>10</v>
      </c>
      <c r="D1853">
        <f t="shared" si="473"/>
        <v>5</v>
      </c>
      <c r="E1853">
        <f t="shared" si="474"/>
        <v>2024</v>
      </c>
      <c r="F1853" s="2">
        <v>3620</v>
      </c>
      <c r="G1853" t="s">
        <v>19</v>
      </c>
      <c r="I1853" s="4">
        <f t="shared" si="484"/>
        <v>0.71222648320847215</v>
      </c>
    </row>
    <row r="1854" spans="1:9" x14ac:dyDescent="0.3">
      <c r="A1854" t="s">
        <v>11</v>
      </c>
      <c r="B1854" s="3">
        <v>45423</v>
      </c>
      <c r="C1854">
        <f t="shared" si="472"/>
        <v>11</v>
      </c>
      <c r="D1854">
        <f t="shared" si="473"/>
        <v>5</v>
      </c>
      <c r="E1854">
        <f t="shared" si="474"/>
        <v>2024</v>
      </c>
      <c r="F1854" s="2">
        <v>583</v>
      </c>
      <c r="G1854" t="s">
        <v>19</v>
      </c>
      <c r="I1854" s="4">
        <f t="shared" si="484"/>
        <v>0.71222648320847215</v>
      </c>
    </row>
    <row r="1855" spans="1:9" x14ac:dyDescent="0.3">
      <c r="A1855" t="s">
        <v>5</v>
      </c>
      <c r="B1855" s="3">
        <v>45423</v>
      </c>
      <c r="C1855">
        <f t="shared" si="472"/>
        <v>11</v>
      </c>
      <c r="D1855">
        <f t="shared" si="473"/>
        <v>5</v>
      </c>
      <c r="E1855">
        <f t="shared" si="474"/>
        <v>2024</v>
      </c>
      <c r="F1855" s="2">
        <v>638</v>
      </c>
      <c r="G1855" t="s">
        <v>19</v>
      </c>
      <c r="I1855" s="4">
        <f t="shared" si="484"/>
        <v>0.71222648320847215</v>
      </c>
    </row>
    <row r="1856" spans="1:9" x14ac:dyDescent="0.3">
      <c r="A1856" t="s">
        <v>4</v>
      </c>
      <c r="B1856" s="3">
        <v>45423</v>
      </c>
      <c r="C1856">
        <f t="shared" si="472"/>
        <v>11</v>
      </c>
      <c r="D1856">
        <f t="shared" si="473"/>
        <v>5</v>
      </c>
      <c r="E1856">
        <f t="shared" si="474"/>
        <v>2024</v>
      </c>
      <c r="F1856" s="2">
        <v>2815</v>
      </c>
      <c r="G1856" s="2" t="s">
        <v>19</v>
      </c>
      <c r="I1856" s="4">
        <f t="shared" si="484"/>
        <v>0.71222648320847215</v>
      </c>
    </row>
    <row r="1857" spans="1:9" x14ac:dyDescent="0.3">
      <c r="A1857" t="s">
        <v>11</v>
      </c>
      <c r="B1857" s="3">
        <v>45423</v>
      </c>
      <c r="C1857">
        <f t="shared" si="472"/>
        <v>11</v>
      </c>
      <c r="D1857">
        <f t="shared" si="473"/>
        <v>5</v>
      </c>
      <c r="E1857">
        <f t="shared" si="474"/>
        <v>2024</v>
      </c>
      <c r="F1857" s="2">
        <v>2865</v>
      </c>
      <c r="G1857" t="s">
        <v>19</v>
      </c>
      <c r="I1857" s="4">
        <f t="shared" si="484"/>
        <v>0.71222648320847215</v>
      </c>
    </row>
    <row r="1858" spans="1:9" x14ac:dyDescent="0.3">
      <c r="A1858" t="s">
        <v>11</v>
      </c>
      <c r="B1858" s="3">
        <v>45424</v>
      </c>
      <c r="C1858">
        <f t="shared" si="472"/>
        <v>12</v>
      </c>
      <c r="D1858">
        <f t="shared" si="473"/>
        <v>5</v>
      </c>
      <c r="E1858">
        <f t="shared" si="474"/>
        <v>2024</v>
      </c>
      <c r="F1858" s="2">
        <v>2936</v>
      </c>
      <c r="G1858" t="s">
        <v>19</v>
      </c>
      <c r="I1858" s="4">
        <f t="shared" si="484"/>
        <v>0.71222648320847215</v>
      </c>
    </row>
    <row r="1859" spans="1:9" x14ac:dyDescent="0.3">
      <c r="A1859" t="s">
        <v>6</v>
      </c>
      <c r="B1859" s="3">
        <v>45424</v>
      </c>
      <c r="C1859">
        <f t="shared" ref="C1859:C1922" si="485">DAY(B1859)</f>
        <v>12</v>
      </c>
      <c r="D1859">
        <f t="shared" ref="D1859:D1922" si="486">MONTH(B1859)</f>
        <v>5</v>
      </c>
      <c r="E1859">
        <f t="shared" ref="E1859:E1922" si="487">YEAR(B1859)</f>
        <v>2024</v>
      </c>
      <c r="F1859" s="2">
        <v>2228</v>
      </c>
      <c r="G1859" t="s">
        <v>18</v>
      </c>
      <c r="I1859" s="4">
        <f>SUMIFS($F$2:$F$2739,$G$2:$G$2739,"Annual Contract",$E$2:$E$2739,2024)/SUMIF($E$2:$E$2739,2024,$F$2:$F$2739)</f>
        <v>0.19200427193344777</v>
      </c>
    </row>
    <row r="1860" spans="1:9" x14ac:dyDescent="0.3">
      <c r="A1860" t="s">
        <v>3</v>
      </c>
      <c r="B1860" s="3">
        <v>45425</v>
      </c>
      <c r="C1860">
        <f t="shared" si="485"/>
        <v>13</v>
      </c>
      <c r="D1860">
        <f t="shared" si="486"/>
        <v>5</v>
      </c>
      <c r="E1860">
        <f t="shared" si="487"/>
        <v>2024</v>
      </c>
      <c r="F1860" s="2">
        <v>3076</v>
      </c>
      <c r="G1860" t="s">
        <v>19</v>
      </c>
      <c r="I1860" s="4">
        <f t="shared" ref="I1860:I1863" si="488">SUMIFS($F$2:$F$2739,$G$2:$G$2739,"Multi-year Contract",$E$2:$E$2739,2024)/SUMIF($E$2:$E$2739,2024,$F$2:$F$2739)</f>
        <v>0.71222648320847215</v>
      </c>
    </row>
    <row r="1861" spans="1:9" x14ac:dyDescent="0.3">
      <c r="A1861" t="s">
        <v>11</v>
      </c>
      <c r="B1861" s="3">
        <v>45425</v>
      </c>
      <c r="C1861">
        <f t="shared" si="485"/>
        <v>13</v>
      </c>
      <c r="D1861">
        <f t="shared" si="486"/>
        <v>5</v>
      </c>
      <c r="E1861">
        <f t="shared" si="487"/>
        <v>2024</v>
      </c>
      <c r="F1861" s="2">
        <v>3558</v>
      </c>
      <c r="G1861" t="s">
        <v>19</v>
      </c>
      <c r="I1861" s="4">
        <f t="shared" si="488"/>
        <v>0.71222648320847215</v>
      </c>
    </row>
    <row r="1862" spans="1:9" x14ac:dyDescent="0.3">
      <c r="A1862" t="s">
        <v>8</v>
      </c>
      <c r="B1862" s="3">
        <v>45425</v>
      </c>
      <c r="C1862">
        <f t="shared" si="485"/>
        <v>13</v>
      </c>
      <c r="D1862">
        <f t="shared" si="486"/>
        <v>5</v>
      </c>
      <c r="E1862">
        <f t="shared" si="487"/>
        <v>2024</v>
      </c>
      <c r="F1862" s="2">
        <v>1724</v>
      </c>
      <c r="G1862" s="2" t="s">
        <v>19</v>
      </c>
      <c r="I1862" s="4">
        <f t="shared" si="488"/>
        <v>0.71222648320847215</v>
      </c>
    </row>
    <row r="1863" spans="1:9" x14ac:dyDescent="0.3">
      <c r="A1863" t="s">
        <v>10</v>
      </c>
      <c r="B1863" s="3">
        <v>45425</v>
      </c>
      <c r="C1863">
        <f t="shared" si="485"/>
        <v>13</v>
      </c>
      <c r="D1863">
        <f t="shared" si="486"/>
        <v>5</v>
      </c>
      <c r="E1863">
        <f t="shared" si="487"/>
        <v>2024</v>
      </c>
      <c r="F1863" s="2">
        <v>2767</v>
      </c>
      <c r="G1863" t="s">
        <v>19</v>
      </c>
      <c r="I1863" s="4">
        <f t="shared" si="488"/>
        <v>0.71222648320847215</v>
      </c>
    </row>
    <row r="1864" spans="1:9" x14ac:dyDescent="0.3">
      <c r="A1864" t="s">
        <v>9</v>
      </c>
      <c r="B1864" s="3">
        <v>45425</v>
      </c>
      <c r="C1864">
        <f t="shared" si="485"/>
        <v>13</v>
      </c>
      <c r="D1864">
        <f t="shared" si="486"/>
        <v>5</v>
      </c>
      <c r="E1864">
        <f t="shared" si="487"/>
        <v>2024</v>
      </c>
      <c r="F1864" s="2">
        <v>3985</v>
      </c>
      <c r="G1864" t="s">
        <v>18</v>
      </c>
      <c r="I1864" s="4">
        <f>SUMIFS($F$2:$F$2739,$G$2:$G$2739,"Annual Contract",$E$2:$E$2739,2024)/SUMIF($E$2:$E$2739,2024,$F$2:$F$2739)</f>
        <v>0.19200427193344777</v>
      </c>
    </row>
    <row r="1865" spans="1:9" x14ac:dyDescent="0.3">
      <c r="A1865" t="s">
        <v>7</v>
      </c>
      <c r="B1865" s="3">
        <v>45425</v>
      </c>
      <c r="C1865">
        <f t="shared" si="485"/>
        <v>13</v>
      </c>
      <c r="D1865">
        <f t="shared" si="486"/>
        <v>5</v>
      </c>
      <c r="E1865">
        <f t="shared" si="487"/>
        <v>2024</v>
      </c>
      <c r="F1865" s="2">
        <v>1316</v>
      </c>
      <c r="G1865" t="s">
        <v>17</v>
      </c>
      <c r="I1865" s="4">
        <f>SUMIFS($F$2:$F$2739,$G$2:$G$2739,"No Contract",$E$2:$E$2739,2024)/SUMIF($E$2:$E$2739,2024,$F$2:$F$2739)</f>
        <v>9.576924485808011E-2</v>
      </c>
    </row>
    <row r="1866" spans="1:9" x14ac:dyDescent="0.3">
      <c r="A1866" t="s">
        <v>10</v>
      </c>
      <c r="B1866" s="3">
        <v>45425</v>
      </c>
      <c r="C1866">
        <f t="shared" si="485"/>
        <v>13</v>
      </c>
      <c r="D1866">
        <f t="shared" si="486"/>
        <v>5</v>
      </c>
      <c r="E1866">
        <f t="shared" si="487"/>
        <v>2024</v>
      </c>
      <c r="F1866" s="2">
        <v>2528</v>
      </c>
      <c r="G1866" t="s">
        <v>19</v>
      </c>
      <c r="I1866" s="4">
        <f t="shared" ref="I1866:I1869" si="489">SUMIFS($F$2:$F$2739,$G$2:$G$2739,"Multi-year Contract",$E$2:$E$2739,2024)/SUMIF($E$2:$E$2739,2024,$F$2:$F$2739)</f>
        <v>0.71222648320847215</v>
      </c>
    </row>
    <row r="1867" spans="1:9" x14ac:dyDescent="0.3">
      <c r="A1867" t="s">
        <v>10</v>
      </c>
      <c r="B1867" s="3">
        <v>45425</v>
      </c>
      <c r="C1867">
        <f t="shared" si="485"/>
        <v>13</v>
      </c>
      <c r="D1867">
        <f t="shared" si="486"/>
        <v>5</v>
      </c>
      <c r="E1867">
        <f t="shared" si="487"/>
        <v>2024</v>
      </c>
      <c r="F1867" s="2">
        <v>1057</v>
      </c>
      <c r="G1867" t="s">
        <v>19</v>
      </c>
      <c r="I1867" s="4">
        <f t="shared" si="489"/>
        <v>0.71222648320847215</v>
      </c>
    </row>
    <row r="1868" spans="1:9" x14ac:dyDescent="0.3">
      <c r="A1868" t="s">
        <v>8</v>
      </c>
      <c r="B1868" s="3">
        <v>45426</v>
      </c>
      <c r="C1868">
        <f t="shared" si="485"/>
        <v>14</v>
      </c>
      <c r="D1868">
        <f t="shared" si="486"/>
        <v>5</v>
      </c>
      <c r="E1868">
        <f t="shared" si="487"/>
        <v>2024</v>
      </c>
      <c r="F1868" s="2">
        <v>3383</v>
      </c>
      <c r="G1868" s="2" t="s">
        <v>19</v>
      </c>
      <c r="I1868" s="4">
        <f t="shared" si="489"/>
        <v>0.71222648320847215</v>
      </c>
    </row>
    <row r="1869" spans="1:9" x14ac:dyDescent="0.3">
      <c r="A1869" t="s">
        <v>10</v>
      </c>
      <c r="B1869" s="3">
        <v>45426</v>
      </c>
      <c r="C1869">
        <f t="shared" si="485"/>
        <v>14</v>
      </c>
      <c r="D1869">
        <f t="shared" si="486"/>
        <v>5</v>
      </c>
      <c r="E1869">
        <f t="shared" si="487"/>
        <v>2024</v>
      </c>
      <c r="F1869" s="2">
        <v>3185</v>
      </c>
      <c r="G1869" t="s">
        <v>19</v>
      </c>
      <c r="I1869" s="4">
        <f t="shared" si="489"/>
        <v>0.71222648320847215</v>
      </c>
    </row>
    <row r="1870" spans="1:9" x14ac:dyDescent="0.3">
      <c r="A1870" t="s">
        <v>7</v>
      </c>
      <c r="B1870" s="3">
        <v>45426</v>
      </c>
      <c r="C1870">
        <f t="shared" si="485"/>
        <v>14</v>
      </c>
      <c r="D1870">
        <f t="shared" si="486"/>
        <v>5</v>
      </c>
      <c r="E1870">
        <f t="shared" si="487"/>
        <v>2024</v>
      </c>
      <c r="F1870" s="2">
        <v>1544</v>
      </c>
      <c r="G1870" t="s">
        <v>17</v>
      </c>
      <c r="I1870" s="4">
        <f>SUMIFS($F$2:$F$2739,$G$2:$G$2739,"No Contract",$E$2:$E$2739,2024)/SUMIF($E$2:$E$2739,2024,$F$2:$F$2739)</f>
        <v>9.576924485808011E-2</v>
      </c>
    </row>
    <row r="1871" spans="1:9" x14ac:dyDescent="0.3">
      <c r="A1871" t="s">
        <v>6</v>
      </c>
      <c r="B1871" s="3">
        <v>45426</v>
      </c>
      <c r="C1871">
        <f t="shared" si="485"/>
        <v>14</v>
      </c>
      <c r="D1871">
        <f t="shared" si="486"/>
        <v>5</v>
      </c>
      <c r="E1871">
        <f t="shared" si="487"/>
        <v>2024</v>
      </c>
      <c r="F1871" s="2">
        <v>2479</v>
      </c>
      <c r="G1871" t="s">
        <v>18</v>
      </c>
      <c r="I1871" s="4">
        <f>SUMIFS($F$2:$F$2739,$G$2:$G$2739,"Annual Contract",$E$2:$E$2739,2024)/SUMIF($E$2:$E$2739,2024,$F$2:$F$2739)</f>
        <v>0.19200427193344777</v>
      </c>
    </row>
    <row r="1872" spans="1:9" x14ac:dyDescent="0.3">
      <c r="A1872" t="s">
        <v>5</v>
      </c>
      <c r="B1872" s="3">
        <v>45427</v>
      </c>
      <c r="C1872">
        <f t="shared" si="485"/>
        <v>15</v>
      </c>
      <c r="D1872">
        <f t="shared" si="486"/>
        <v>5</v>
      </c>
      <c r="E1872">
        <f t="shared" si="487"/>
        <v>2024</v>
      </c>
      <c r="F1872" s="2">
        <v>1117</v>
      </c>
      <c r="G1872" t="s">
        <v>19</v>
      </c>
      <c r="I1872" s="4">
        <f t="shared" ref="I1872:I1873" si="490">SUMIFS($F$2:$F$2739,$G$2:$G$2739,"Multi-year Contract",$E$2:$E$2739,2024)/SUMIF($E$2:$E$2739,2024,$F$2:$F$2739)</f>
        <v>0.71222648320847215</v>
      </c>
    </row>
    <row r="1873" spans="1:9" x14ac:dyDescent="0.3">
      <c r="A1873" t="s">
        <v>12</v>
      </c>
      <c r="B1873" s="3">
        <v>45427</v>
      </c>
      <c r="C1873">
        <f t="shared" si="485"/>
        <v>15</v>
      </c>
      <c r="D1873">
        <f t="shared" si="486"/>
        <v>5</v>
      </c>
      <c r="E1873">
        <f t="shared" si="487"/>
        <v>2024</v>
      </c>
      <c r="F1873" s="2">
        <v>2374</v>
      </c>
      <c r="G1873" s="2" t="s">
        <v>19</v>
      </c>
      <c r="I1873" s="4">
        <f t="shared" si="490"/>
        <v>0.71222648320847215</v>
      </c>
    </row>
    <row r="1874" spans="1:9" x14ac:dyDescent="0.3">
      <c r="A1874" t="s">
        <v>6</v>
      </c>
      <c r="B1874" s="3">
        <v>45428</v>
      </c>
      <c r="C1874">
        <f t="shared" si="485"/>
        <v>16</v>
      </c>
      <c r="D1874">
        <f t="shared" si="486"/>
        <v>5</v>
      </c>
      <c r="E1874">
        <f t="shared" si="487"/>
        <v>2024</v>
      </c>
      <c r="F1874" s="2">
        <v>2019</v>
      </c>
      <c r="G1874" t="s">
        <v>18</v>
      </c>
      <c r="I1874" s="4">
        <f>SUMIFS($F$2:$F$2739,$G$2:$G$2739,"Annual Contract",$E$2:$E$2739,2024)/SUMIF($E$2:$E$2739,2024,$F$2:$F$2739)</f>
        <v>0.19200427193344777</v>
      </c>
    </row>
    <row r="1875" spans="1:9" x14ac:dyDescent="0.3">
      <c r="A1875" t="s">
        <v>3</v>
      </c>
      <c r="B1875" s="3">
        <v>45428</v>
      </c>
      <c r="C1875">
        <f t="shared" si="485"/>
        <v>16</v>
      </c>
      <c r="D1875">
        <f t="shared" si="486"/>
        <v>5</v>
      </c>
      <c r="E1875">
        <f t="shared" si="487"/>
        <v>2024</v>
      </c>
      <c r="F1875" s="2">
        <v>2835</v>
      </c>
      <c r="G1875" t="s">
        <v>19</v>
      </c>
      <c r="I1875" s="4">
        <f t="shared" ref="I1875:I1880" si="491">SUMIFS($F$2:$F$2739,$G$2:$G$2739,"Multi-year Contract",$E$2:$E$2739,2024)/SUMIF($E$2:$E$2739,2024,$F$2:$F$2739)</f>
        <v>0.71222648320847215</v>
      </c>
    </row>
    <row r="1876" spans="1:9" x14ac:dyDescent="0.3">
      <c r="A1876" t="s">
        <v>10</v>
      </c>
      <c r="B1876" s="3">
        <v>45428</v>
      </c>
      <c r="C1876">
        <f t="shared" si="485"/>
        <v>16</v>
      </c>
      <c r="D1876">
        <f t="shared" si="486"/>
        <v>5</v>
      </c>
      <c r="E1876">
        <f t="shared" si="487"/>
        <v>2024</v>
      </c>
      <c r="F1876" s="2">
        <v>3973</v>
      </c>
      <c r="G1876" t="s">
        <v>19</v>
      </c>
      <c r="I1876" s="4">
        <f t="shared" si="491"/>
        <v>0.71222648320847215</v>
      </c>
    </row>
    <row r="1877" spans="1:9" x14ac:dyDescent="0.3">
      <c r="A1877" t="s">
        <v>8</v>
      </c>
      <c r="B1877" s="3">
        <v>45428</v>
      </c>
      <c r="C1877">
        <f t="shared" si="485"/>
        <v>16</v>
      </c>
      <c r="D1877">
        <f t="shared" si="486"/>
        <v>5</v>
      </c>
      <c r="E1877">
        <f t="shared" si="487"/>
        <v>2024</v>
      </c>
      <c r="F1877" s="2">
        <v>3094</v>
      </c>
      <c r="G1877" s="2" t="s">
        <v>19</v>
      </c>
      <c r="I1877" s="4">
        <f t="shared" si="491"/>
        <v>0.71222648320847215</v>
      </c>
    </row>
    <row r="1878" spans="1:9" x14ac:dyDescent="0.3">
      <c r="A1878" t="s">
        <v>4</v>
      </c>
      <c r="B1878" s="3">
        <v>45428</v>
      </c>
      <c r="C1878">
        <f t="shared" si="485"/>
        <v>16</v>
      </c>
      <c r="D1878">
        <f t="shared" si="486"/>
        <v>5</v>
      </c>
      <c r="E1878">
        <f t="shared" si="487"/>
        <v>2024</v>
      </c>
      <c r="F1878" s="2">
        <v>2671</v>
      </c>
      <c r="G1878" s="2" t="s">
        <v>19</v>
      </c>
      <c r="I1878" s="4">
        <f t="shared" si="491"/>
        <v>0.71222648320847215</v>
      </c>
    </row>
    <row r="1879" spans="1:9" x14ac:dyDescent="0.3">
      <c r="A1879" t="s">
        <v>12</v>
      </c>
      <c r="B1879" s="3">
        <v>45429</v>
      </c>
      <c r="C1879">
        <f t="shared" si="485"/>
        <v>17</v>
      </c>
      <c r="D1879">
        <f t="shared" si="486"/>
        <v>5</v>
      </c>
      <c r="E1879">
        <f t="shared" si="487"/>
        <v>2024</v>
      </c>
      <c r="F1879" s="2">
        <v>2593</v>
      </c>
      <c r="G1879" s="2" t="s">
        <v>19</v>
      </c>
      <c r="I1879" s="4">
        <f t="shared" si="491"/>
        <v>0.71222648320847215</v>
      </c>
    </row>
    <row r="1880" spans="1:9" x14ac:dyDescent="0.3">
      <c r="A1880" t="s">
        <v>4</v>
      </c>
      <c r="B1880" s="3">
        <v>45429</v>
      </c>
      <c r="C1880">
        <f t="shared" si="485"/>
        <v>17</v>
      </c>
      <c r="D1880">
        <f t="shared" si="486"/>
        <v>5</v>
      </c>
      <c r="E1880">
        <f t="shared" si="487"/>
        <v>2024</v>
      </c>
      <c r="F1880" s="2">
        <v>3753</v>
      </c>
      <c r="G1880" s="2" t="s">
        <v>19</v>
      </c>
      <c r="I1880" s="4">
        <f t="shared" si="491"/>
        <v>0.71222648320847215</v>
      </c>
    </row>
    <row r="1881" spans="1:9" x14ac:dyDescent="0.3">
      <c r="A1881" t="s">
        <v>7</v>
      </c>
      <c r="B1881" s="3">
        <v>45429</v>
      </c>
      <c r="C1881">
        <f t="shared" si="485"/>
        <v>17</v>
      </c>
      <c r="D1881">
        <f t="shared" si="486"/>
        <v>5</v>
      </c>
      <c r="E1881">
        <f t="shared" si="487"/>
        <v>2024</v>
      </c>
      <c r="F1881" s="2">
        <v>933</v>
      </c>
      <c r="G1881" t="s">
        <v>17</v>
      </c>
      <c r="I1881" s="4">
        <f>SUMIFS($F$2:$F$2739,$G$2:$G$2739,"No Contract",$E$2:$E$2739,2024)/SUMIF($E$2:$E$2739,2024,$F$2:$F$2739)</f>
        <v>9.576924485808011E-2</v>
      </c>
    </row>
    <row r="1882" spans="1:9" x14ac:dyDescent="0.3">
      <c r="A1882" t="s">
        <v>8</v>
      </c>
      <c r="B1882" s="3">
        <v>45430</v>
      </c>
      <c r="C1882">
        <f t="shared" si="485"/>
        <v>18</v>
      </c>
      <c r="D1882">
        <f t="shared" si="486"/>
        <v>5</v>
      </c>
      <c r="E1882">
        <f t="shared" si="487"/>
        <v>2024</v>
      </c>
      <c r="F1882" s="2">
        <v>559</v>
      </c>
      <c r="G1882" s="2" t="s">
        <v>19</v>
      </c>
      <c r="I1882" s="4">
        <f t="shared" ref="I1882:I1885" si="492">SUMIFS($F$2:$F$2739,$G$2:$G$2739,"Multi-year Contract",$E$2:$E$2739,2024)/SUMIF($E$2:$E$2739,2024,$F$2:$F$2739)</f>
        <v>0.71222648320847215</v>
      </c>
    </row>
    <row r="1883" spans="1:9" x14ac:dyDescent="0.3">
      <c r="A1883" t="s">
        <v>8</v>
      </c>
      <c r="B1883" s="3">
        <v>45430</v>
      </c>
      <c r="C1883">
        <f t="shared" si="485"/>
        <v>18</v>
      </c>
      <c r="D1883">
        <f t="shared" si="486"/>
        <v>5</v>
      </c>
      <c r="E1883">
        <f t="shared" si="487"/>
        <v>2024</v>
      </c>
      <c r="F1883" s="2">
        <v>3514</v>
      </c>
      <c r="G1883" s="2" t="s">
        <v>19</v>
      </c>
      <c r="I1883" s="4">
        <f t="shared" si="492"/>
        <v>0.71222648320847215</v>
      </c>
    </row>
    <row r="1884" spans="1:9" x14ac:dyDescent="0.3">
      <c r="A1884" t="s">
        <v>4</v>
      </c>
      <c r="B1884" s="3">
        <v>45430</v>
      </c>
      <c r="C1884">
        <f t="shared" si="485"/>
        <v>18</v>
      </c>
      <c r="D1884">
        <f t="shared" si="486"/>
        <v>5</v>
      </c>
      <c r="E1884">
        <f t="shared" si="487"/>
        <v>2024</v>
      </c>
      <c r="F1884" s="2">
        <v>2725</v>
      </c>
      <c r="G1884" s="2" t="s">
        <v>19</v>
      </c>
      <c r="I1884" s="4">
        <f t="shared" si="492"/>
        <v>0.71222648320847215</v>
      </c>
    </row>
    <row r="1885" spans="1:9" x14ac:dyDescent="0.3">
      <c r="A1885" t="s">
        <v>8</v>
      </c>
      <c r="B1885" s="3">
        <v>45430</v>
      </c>
      <c r="C1885">
        <f t="shared" si="485"/>
        <v>18</v>
      </c>
      <c r="D1885">
        <f t="shared" si="486"/>
        <v>5</v>
      </c>
      <c r="E1885">
        <f t="shared" si="487"/>
        <v>2024</v>
      </c>
      <c r="F1885" s="2">
        <v>2417</v>
      </c>
      <c r="G1885" s="2" t="s">
        <v>19</v>
      </c>
      <c r="I1885" s="4">
        <f t="shared" si="492"/>
        <v>0.71222648320847215</v>
      </c>
    </row>
    <row r="1886" spans="1:9" x14ac:dyDescent="0.3">
      <c r="A1886" t="s">
        <v>6</v>
      </c>
      <c r="B1886" s="3">
        <v>45430</v>
      </c>
      <c r="C1886">
        <f t="shared" si="485"/>
        <v>18</v>
      </c>
      <c r="D1886">
        <f t="shared" si="486"/>
        <v>5</v>
      </c>
      <c r="E1886">
        <f t="shared" si="487"/>
        <v>2024</v>
      </c>
      <c r="F1886" s="2">
        <v>2488</v>
      </c>
      <c r="G1886" t="s">
        <v>18</v>
      </c>
      <c r="I1886" s="4">
        <f>SUMIFS($F$2:$F$2739,$G$2:$G$2739,"Annual Contract",$E$2:$E$2739,2024)/SUMIF($E$2:$E$2739,2024,$F$2:$F$2739)</f>
        <v>0.19200427193344777</v>
      </c>
    </row>
    <row r="1887" spans="1:9" x14ac:dyDescent="0.3">
      <c r="A1887" t="s">
        <v>5</v>
      </c>
      <c r="B1887" s="3">
        <v>45430</v>
      </c>
      <c r="C1887">
        <f t="shared" si="485"/>
        <v>18</v>
      </c>
      <c r="D1887">
        <f t="shared" si="486"/>
        <v>5</v>
      </c>
      <c r="E1887">
        <f t="shared" si="487"/>
        <v>2024</v>
      </c>
      <c r="F1887" s="2">
        <v>3399</v>
      </c>
      <c r="G1887" t="s">
        <v>19</v>
      </c>
      <c r="I1887" s="4">
        <f t="shared" ref="I1887:I1889" si="493">SUMIFS($F$2:$F$2739,$G$2:$G$2739,"Multi-year Contract",$E$2:$E$2739,2024)/SUMIF($E$2:$E$2739,2024,$F$2:$F$2739)</f>
        <v>0.71222648320847215</v>
      </c>
    </row>
    <row r="1888" spans="1:9" x14ac:dyDescent="0.3">
      <c r="A1888" t="s">
        <v>8</v>
      </c>
      <c r="B1888" s="3">
        <v>45430</v>
      </c>
      <c r="C1888">
        <f t="shared" si="485"/>
        <v>18</v>
      </c>
      <c r="D1888">
        <f t="shared" si="486"/>
        <v>5</v>
      </c>
      <c r="E1888">
        <f t="shared" si="487"/>
        <v>2024</v>
      </c>
      <c r="F1888" s="2">
        <v>2484</v>
      </c>
      <c r="G1888" s="2" t="s">
        <v>19</v>
      </c>
      <c r="I1888" s="4">
        <f t="shared" si="493"/>
        <v>0.71222648320847215</v>
      </c>
    </row>
    <row r="1889" spans="1:9" x14ac:dyDescent="0.3">
      <c r="A1889" t="s">
        <v>11</v>
      </c>
      <c r="B1889" s="3">
        <v>45430</v>
      </c>
      <c r="C1889">
        <f t="shared" si="485"/>
        <v>18</v>
      </c>
      <c r="D1889">
        <f t="shared" si="486"/>
        <v>5</v>
      </c>
      <c r="E1889">
        <f t="shared" si="487"/>
        <v>2024</v>
      </c>
      <c r="F1889" s="2">
        <v>3920</v>
      </c>
      <c r="G1889" t="s">
        <v>19</v>
      </c>
      <c r="I1889" s="4">
        <f t="shared" si="493"/>
        <v>0.71222648320847215</v>
      </c>
    </row>
    <row r="1890" spans="1:9" x14ac:dyDescent="0.3">
      <c r="A1890" t="s">
        <v>6</v>
      </c>
      <c r="B1890" s="3">
        <v>45431</v>
      </c>
      <c r="C1890">
        <f t="shared" si="485"/>
        <v>19</v>
      </c>
      <c r="D1890">
        <f t="shared" si="486"/>
        <v>5</v>
      </c>
      <c r="E1890">
        <f t="shared" si="487"/>
        <v>2024</v>
      </c>
      <c r="F1890" s="2">
        <v>3123</v>
      </c>
      <c r="G1890" t="s">
        <v>18</v>
      </c>
      <c r="I1890" s="4">
        <f>SUMIFS($F$2:$F$2739,$G$2:$G$2739,"Annual Contract",$E$2:$E$2739,2024)/SUMIF($E$2:$E$2739,2024,$F$2:$F$2739)</f>
        <v>0.19200427193344777</v>
      </c>
    </row>
    <row r="1891" spans="1:9" x14ac:dyDescent="0.3">
      <c r="A1891" t="s">
        <v>7</v>
      </c>
      <c r="B1891" s="3">
        <v>45431</v>
      </c>
      <c r="C1891">
        <f t="shared" si="485"/>
        <v>19</v>
      </c>
      <c r="D1891">
        <f t="shared" si="486"/>
        <v>5</v>
      </c>
      <c r="E1891">
        <f t="shared" si="487"/>
        <v>2024</v>
      </c>
      <c r="F1891" s="2">
        <v>1018</v>
      </c>
      <c r="G1891" t="s">
        <v>17</v>
      </c>
      <c r="I1891" s="4">
        <f>SUMIFS($F$2:$F$2739,$G$2:$G$2739,"No Contract",$E$2:$E$2739,2024)/SUMIF($E$2:$E$2739,2024,$F$2:$F$2739)</f>
        <v>9.576924485808011E-2</v>
      </c>
    </row>
    <row r="1892" spans="1:9" x14ac:dyDescent="0.3">
      <c r="A1892" t="s">
        <v>5</v>
      </c>
      <c r="B1892" s="3">
        <v>45431</v>
      </c>
      <c r="C1892">
        <f t="shared" si="485"/>
        <v>19</v>
      </c>
      <c r="D1892">
        <f t="shared" si="486"/>
        <v>5</v>
      </c>
      <c r="E1892">
        <f t="shared" si="487"/>
        <v>2024</v>
      </c>
      <c r="F1892" s="2">
        <v>1724</v>
      </c>
      <c r="G1892" t="s">
        <v>19</v>
      </c>
      <c r="I1892" s="4">
        <f t="shared" ref="I1892:I1893" si="494">SUMIFS($F$2:$F$2739,$G$2:$G$2739,"Multi-year Contract",$E$2:$E$2739,2024)/SUMIF($E$2:$E$2739,2024,$F$2:$F$2739)</f>
        <v>0.71222648320847215</v>
      </c>
    </row>
    <row r="1893" spans="1:9" x14ac:dyDescent="0.3">
      <c r="A1893" t="s">
        <v>3</v>
      </c>
      <c r="B1893" s="3">
        <v>45431</v>
      </c>
      <c r="C1893">
        <f t="shared" si="485"/>
        <v>19</v>
      </c>
      <c r="D1893">
        <f t="shared" si="486"/>
        <v>5</v>
      </c>
      <c r="E1893">
        <f t="shared" si="487"/>
        <v>2024</v>
      </c>
      <c r="F1893" s="2">
        <v>3773</v>
      </c>
      <c r="G1893" t="s">
        <v>19</v>
      </c>
      <c r="I1893" s="4">
        <f t="shared" si="494"/>
        <v>0.71222648320847215</v>
      </c>
    </row>
    <row r="1894" spans="1:9" x14ac:dyDescent="0.3">
      <c r="A1894" t="s">
        <v>9</v>
      </c>
      <c r="B1894" s="3">
        <v>45432</v>
      </c>
      <c r="C1894">
        <f t="shared" si="485"/>
        <v>20</v>
      </c>
      <c r="D1894">
        <f t="shared" si="486"/>
        <v>5</v>
      </c>
      <c r="E1894">
        <f t="shared" si="487"/>
        <v>2024</v>
      </c>
      <c r="F1894" s="2">
        <v>2423</v>
      </c>
      <c r="G1894" t="s">
        <v>18</v>
      </c>
      <c r="I1894" s="4">
        <f t="shared" ref="I1894:I1895" si="495">SUMIFS($F$2:$F$2739,$G$2:$G$2739,"Annual Contract",$E$2:$E$2739,2024)/SUMIF($E$2:$E$2739,2024,$F$2:$F$2739)</f>
        <v>0.19200427193344777</v>
      </c>
    </row>
    <row r="1895" spans="1:9" x14ac:dyDescent="0.3">
      <c r="A1895" t="s">
        <v>9</v>
      </c>
      <c r="B1895" s="3">
        <v>45432</v>
      </c>
      <c r="C1895">
        <f t="shared" si="485"/>
        <v>20</v>
      </c>
      <c r="D1895">
        <f t="shared" si="486"/>
        <v>5</v>
      </c>
      <c r="E1895">
        <f t="shared" si="487"/>
        <v>2024</v>
      </c>
      <c r="F1895" s="2">
        <v>2436</v>
      </c>
      <c r="G1895" t="s">
        <v>18</v>
      </c>
      <c r="I1895" s="4">
        <f t="shared" si="495"/>
        <v>0.19200427193344777</v>
      </c>
    </row>
    <row r="1896" spans="1:9" x14ac:dyDescent="0.3">
      <c r="A1896" t="s">
        <v>10</v>
      </c>
      <c r="B1896" s="3">
        <v>45432</v>
      </c>
      <c r="C1896">
        <f t="shared" si="485"/>
        <v>20</v>
      </c>
      <c r="D1896">
        <f t="shared" si="486"/>
        <v>5</v>
      </c>
      <c r="E1896">
        <f t="shared" si="487"/>
        <v>2024</v>
      </c>
      <c r="F1896" s="2">
        <v>3533</v>
      </c>
      <c r="G1896" t="s">
        <v>19</v>
      </c>
      <c r="I1896" s="4">
        <f>SUMIFS($F$2:$F$2739,$G$2:$G$2739,"Multi-year Contract",$E$2:$E$2739,2024)/SUMIF($E$2:$E$2739,2024,$F$2:$F$2739)</f>
        <v>0.71222648320847215</v>
      </c>
    </row>
    <row r="1897" spans="1:9" x14ac:dyDescent="0.3">
      <c r="A1897" t="s">
        <v>9</v>
      </c>
      <c r="B1897" s="3">
        <v>45432</v>
      </c>
      <c r="C1897">
        <f t="shared" si="485"/>
        <v>20</v>
      </c>
      <c r="D1897">
        <f t="shared" si="486"/>
        <v>5</v>
      </c>
      <c r="E1897">
        <f t="shared" si="487"/>
        <v>2024</v>
      </c>
      <c r="F1897" s="2">
        <v>3310</v>
      </c>
      <c r="G1897" t="s">
        <v>18</v>
      </c>
      <c r="I1897" s="4">
        <f t="shared" ref="I1897:I1898" si="496">SUMIFS($F$2:$F$2739,$G$2:$G$2739,"Annual Contract",$E$2:$E$2739,2024)/SUMIF($E$2:$E$2739,2024,$F$2:$F$2739)</f>
        <v>0.19200427193344777</v>
      </c>
    </row>
    <row r="1898" spans="1:9" x14ac:dyDescent="0.3">
      <c r="A1898" t="s">
        <v>9</v>
      </c>
      <c r="B1898" s="3">
        <v>45433</v>
      </c>
      <c r="C1898">
        <f t="shared" si="485"/>
        <v>21</v>
      </c>
      <c r="D1898">
        <f t="shared" si="486"/>
        <v>5</v>
      </c>
      <c r="E1898">
        <f t="shared" si="487"/>
        <v>2024</v>
      </c>
      <c r="F1898" s="2">
        <v>1052</v>
      </c>
      <c r="G1898" t="s">
        <v>18</v>
      </c>
      <c r="I1898" s="4">
        <f t="shared" si="496"/>
        <v>0.19200427193344777</v>
      </c>
    </row>
    <row r="1899" spans="1:9" x14ac:dyDescent="0.3">
      <c r="A1899" t="s">
        <v>10</v>
      </c>
      <c r="B1899" s="3">
        <v>45433</v>
      </c>
      <c r="C1899">
        <f t="shared" si="485"/>
        <v>21</v>
      </c>
      <c r="D1899">
        <f t="shared" si="486"/>
        <v>5</v>
      </c>
      <c r="E1899">
        <f t="shared" si="487"/>
        <v>2024</v>
      </c>
      <c r="F1899" s="2">
        <v>2639</v>
      </c>
      <c r="G1899" t="s">
        <v>19</v>
      </c>
      <c r="I1899" s="4">
        <f t="shared" ref="I1899:I1903" si="497">SUMIFS($F$2:$F$2739,$G$2:$G$2739,"Multi-year Contract",$E$2:$E$2739,2024)/SUMIF($E$2:$E$2739,2024,$F$2:$F$2739)</f>
        <v>0.71222648320847215</v>
      </c>
    </row>
    <row r="1900" spans="1:9" x14ac:dyDescent="0.3">
      <c r="A1900" t="s">
        <v>12</v>
      </c>
      <c r="B1900" s="3">
        <v>45434</v>
      </c>
      <c r="C1900">
        <f t="shared" si="485"/>
        <v>22</v>
      </c>
      <c r="D1900">
        <f t="shared" si="486"/>
        <v>5</v>
      </c>
      <c r="E1900">
        <f t="shared" si="487"/>
        <v>2024</v>
      </c>
      <c r="F1900" s="2">
        <v>3624</v>
      </c>
      <c r="G1900" s="2" t="s">
        <v>19</v>
      </c>
      <c r="I1900" s="4">
        <f t="shared" si="497"/>
        <v>0.71222648320847215</v>
      </c>
    </row>
    <row r="1901" spans="1:9" x14ac:dyDescent="0.3">
      <c r="A1901" t="s">
        <v>11</v>
      </c>
      <c r="B1901" s="3">
        <v>45434</v>
      </c>
      <c r="C1901">
        <f t="shared" si="485"/>
        <v>22</v>
      </c>
      <c r="D1901">
        <f t="shared" si="486"/>
        <v>5</v>
      </c>
      <c r="E1901">
        <f t="shared" si="487"/>
        <v>2024</v>
      </c>
      <c r="F1901" s="2">
        <v>3520</v>
      </c>
      <c r="G1901" t="s">
        <v>19</v>
      </c>
      <c r="I1901" s="4">
        <f t="shared" si="497"/>
        <v>0.71222648320847215</v>
      </c>
    </row>
    <row r="1902" spans="1:9" x14ac:dyDescent="0.3">
      <c r="A1902" t="s">
        <v>4</v>
      </c>
      <c r="B1902" s="3">
        <v>45434</v>
      </c>
      <c r="C1902">
        <f t="shared" si="485"/>
        <v>22</v>
      </c>
      <c r="D1902">
        <f t="shared" si="486"/>
        <v>5</v>
      </c>
      <c r="E1902">
        <f t="shared" si="487"/>
        <v>2024</v>
      </c>
      <c r="F1902" s="2">
        <v>3968</v>
      </c>
      <c r="G1902" s="2" t="s">
        <v>19</v>
      </c>
      <c r="I1902" s="4">
        <f t="shared" si="497"/>
        <v>0.71222648320847215</v>
      </c>
    </row>
    <row r="1903" spans="1:9" x14ac:dyDescent="0.3">
      <c r="A1903" t="s">
        <v>8</v>
      </c>
      <c r="B1903" s="3">
        <v>45434</v>
      </c>
      <c r="C1903">
        <f t="shared" si="485"/>
        <v>22</v>
      </c>
      <c r="D1903">
        <f t="shared" si="486"/>
        <v>5</v>
      </c>
      <c r="E1903">
        <f t="shared" si="487"/>
        <v>2024</v>
      </c>
      <c r="F1903" s="2">
        <v>3135</v>
      </c>
      <c r="G1903" s="2" t="s">
        <v>19</v>
      </c>
      <c r="I1903" s="4">
        <f t="shared" si="497"/>
        <v>0.71222648320847215</v>
      </c>
    </row>
    <row r="1904" spans="1:9" x14ac:dyDescent="0.3">
      <c r="A1904" t="s">
        <v>7</v>
      </c>
      <c r="B1904" s="3">
        <v>45434</v>
      </c>
      <c r="C1904">
        <f t="shared" si="485"/>
        <v>22</v>
      </c>
      <c r="D1904">
        <f t="shared" si="486"/>
        <v>5</v>
      </c>
      <c r="E1904">
        <f t="shared" si="487"/>
        <v>2024</v>
      </c>
      <c r="F1904" s="2">
        <v>2363</v>
      </c>
      <c r="G1904" t="s">
        <v>17</v>
      </c>
      <c r="I1904" s="4">
        <f>SUMIFS($F$2:$F$2739,$G$2:$G$2739,"No Contract",$E$2:$E$2739,2024)/SUMIF($E$2:$E$2739,2024,$F$2:$F$2739)</f>
        <v>9.576924485808011E-2</v>
      </c>
    </row>
    <row r="1905" spans="1:9" x14ac:dyDescent="0.3">
      <c r="A1905" t="s">
        <v>8</v>
      </c>
      <c r="B1905" s="3">
        <v>45434</v>
      </c>
      <c r="C1905">
        <f t="shared" si="485"/>
        <v>22</v>
      </c>
      <c r="D1905">
        <f t="shared" si="486"/>
        <v>5</v>
      </c>
      <c r="E1905">
        <f t="shared" si="487"/>
        <v>2024</v>
      </c>
      <c r="F1905" s="2">
        <v>751</v>
      </c>
      <c r="G1905" s="2" t="s">
        <v>19</v>
      </c>
      <c r="I1905" s="4">
        <f t="shared" ref="I1905:I1907" si="498">SUMIFS($F$2:$F$2739,$G$2:$G$2739,"Multi-year Contract",$E$2:$E$2739,2024)/SUMIF($E$2:$E$2739,2024,$F$2:$F$2739)</f>
        <v>0.71222648320847215</v>
      </c>
    </row>
    <row r="1906" spans="1:9" x14ac:dyDescent="0.3">
      <c r="A1906" t="s">
        <v>11</v>
      </c>
      <c r="B1906" s="3">
        <v>45435</v>
      </c>
      <c r="C1906">
        <f t="shared" si="485"/>
        <v>23</v>
      </c>
      <c r="D1906">
        <f t="shared" si="486"/>
        <v>5</v>
      </c>
      <c r="E1906">
        <f t="shared" si="487"/>
        <v>2024</v>
      </c>
      <c r="F1906" s="2">
        <v>3415</v>
      </c>
      <c r="G1906" t="s">
        <v>19</v>
      </c>
      <c r="I1906" s="4">
        <f t="shared" si="498"/>
        <v>0.71222648320847215</v>
      </c>
    </row>
    <row r="1907" spans="1:9" x14ac:dyDescent="0.3">
      <c r="A1907" t="s">
        <v>3</v>
      </c>
      <c r="B1907" s="3">
        <v>45435</v>
      </c>
      <c r="C1907">
        <f t="shared" si="485"/>
        <v>23</v>
      </c>
      <c r="D1907">
        <f t="shared" si="486"/>
        <v>5</v>
      </c>
      <c r="E1907">
        <f t="shared" si="487"/>
        <v>2024</v>
      </c>
      <c r="F1907" s="2">
        <v>3942</v>
      </c>
      <c r="G1907" t="s">
        <v>19</v>
      </c>
      <c r="I1907" s="4">
        <f t="shared" si="498"/>
        <v>0.71222648320847215</v>
      </c>
    </row>
    <row r="1908" spans="1:9" x14ac:dyDescent="0.3">
      <c r="A1908" t="s">
        <v>7</v>
      </c>
      <c r="B1908" s="3">
        <v>45436</v>
      </c>
      <c r="C1908">
        <f t="shared" si="485"/>
        <v>24</v>
      </c>
      <c r="D1908">
        <f t="shared" si="486"/>
        <v>5</v>
      </c>
      <c r="E1908">
        <f t="shared" si="487"/>
        <v>2024</v>
      </c>
      <c r="F1908" s="2">
        <v>749</v>
      </c>
      <c r="G1908" t="s">
        <v>17</v>
      </c>
      <c r="I1908" s="4">
        <f t="shared" ref="I1908:I1910" si="499">SUMIFS($F$2:$F$2739,$G$2:$G$2739,"No Contract",$E$2:$E$2739,2024)/SUMIF($E$2:$E$2739,2024,$F$2:$F$2739)</f>
        <v>9.576924485808011E-2</v>
      </c>
    </row>
    <row r="1909" spans="1:9" x14ac:dyDescent="0.3">
      <c r="A1909" t="s">
        <v>7</v>
      </c>
      <c r="B1909" s="3">
        <v>45436</v>
      </c>
      <c r="C1909">
        <f t="shared" si="485"/>
        <v>24</v>
      </c>
      <c r="D1909">
        <f t="shared" si="486"/>
        <v>5</v>
      </c>
      <c r="E1909">
        <f t="shared" si="487"/>
        <v>2024</v>
      </c>
      <c r="F1909" s="2">
        <v>2137</v>
      </c>
      <c r="G1909" t="s">
        <v>17</v>
      </c>
      <c r="I1909" s="4">
        <f t="shared" si="499"/>
        <v>9.576924485808011E-2</v>
      </c>
    </row>
    <row r="1910" spans="1:9" x14ac:dyDescent="0.3">
      <c r="A1910" t="s">
        <v>7</v>
      </c>
      <c r="B1910" s="3">
        <v>45437</v>
      </c>
      <c r="C1910">
        <f t="shared" si="485"/>
        <v>25</v>
      </c>
      <c r="D1910">
        <f t="shared" si="486"/>
        <v>5</v>
      </c>
      <c r="E1910">
        <f t="shared" si="487"/>
        <v>2024</v>
      </c>
      <c r="F1910" s="2">
        <v>1137</v>
      </c>
      <c r="G1910" t="s">
        <v>17</v>
      </c>
      <c r="I1910" s="4">
        <f t="shared" si="499"/>
        <v>9.576924485808011E-2</v>
      </c>
    </row>
    <row r="1911" spans="1:9" x14ac:dyDescent="0.3">
      <c r="A1911" t="s">
        <v>6</v>
      </c>
      <c r="B1911" s="3">
        <v>45437</v>
      </c>
      <c r="C1911">
        <f t="shared" si="485"/>
        <v>25</v>
      </c>
      <c r="D1911">
        <f t="shared" si="486"/>
        <v>5</v>
      </c>
      <c r="E1911">
        <f t="shared" si="487"/>
        <v>2024</v>
      </c>
      <c r="F1911" s="2">
        <v>2827</v>
      </c>
      <c r="G1911" t="s">
        <v>18</v>
      </c>
      <c r="I1911" s="4">
        <f>SUMIFS($F$2:$F$2739,$G$2:$G$2739,"Annual Contract",$E$2:$E$2739,2024)/SUMIF($E$2:$E$2739,2024,$F$2:$F$2739)</f>
        <v>0.19200427193344777</v>
      </c>
    </row>
    <row r="1912" spans="1:9" x14ac:dyDescent="0.3">
      <c r="A1912" t="s">
        <v>12</v>
      </c>
      <c r="B1912" s="3">
        <v>45437</v>
      </c>
      <c r="C1912">
        <f t="shared" si="485"/>
        <v>25</v>
      </c>
      <c r="D1912">
        <f t="shared" si="486"/>
        <v>5</v>
      </c>
      <c r="E1912">
        <f t="shared" si="487"/>
        <v>2024</v>
      </c>
      <c r="F1912" s="2">
        <v>2858</v>
      </c>
      <c r="G1912" s="2" t="s">
        <v>19</v>
      </c>
      <c r="I1912" s="4">
        <f t="shared" ref="I1912:I1913" si="500">SUMIFS($F$2:$F$2739,$G$2:$G$2739,"Multi-year Contract",$E$2:$E$2739,2024)/SUMIF($E$2:$E$2739,2024,$F$2:$F$2739)</f>
        <v>0.71222648320847215</v>
      </c>
    </row>
    <row r="1913" spans="1:9" x14ac:dyDescent="0.3">
      <c r="A1913" t="s">
        <v>11</v>
      </c>
      <c r="B1913" s="3">
        <v>45438</v>
      </c>
      <c r="C1913">
        <f t="shared" si="485"/>
        <v>26</v>
      </c>
      <c r="D1913">
        <f t="shared" si="486"/>
        <v>5</v>
      </c>
      <c r="E1913">
        <f t="shared" si="487"/>
        <v>2024</v>
      </c>
      <c r="F1913" s="2">
        <v>1922</v>
      </c>
      <c r="G1913" t="s">
        <v>19</v>
      </c>
      <c r="I1913" s="4">
        <f t="shared" si="500"/>
        <v>0.71222648320847215</v>
      </c>
    </row>
    <row r="1914" spans="1:9" x14ac:dyDescent="0.3">
      <c r="A1914" t="s">
        <v>9</v>
      </c>
      <c r="B1914" s="3">
        <v>45438</v>
      </c>
      <c r="C1914">
        <f t="shared" si="485"/>
        <v>26</v>
      </c>
      <c r="D1914">
        <f t="shared" si="486"/>
        <v>5</v>
      </c>
      <c r="E1914">
        <f t="shared" si="487"/>
        <v>2024</v>
      </c>
      <c r="F1914" s="2">
        <v>2974</v>
      </c>
      <c r="G1914" t="s">
        <v>18</v>
      </c>
      <c r="I1914" s="4">
        <f>SUMIFS($F$2:$F$2739,$G$2:$G$2739,"Annual Contract",$E$2:$E$2739,2024)/SUMIF($E$2:$E$2739,2024,$F$2:$F$2739)</f>
        <v>0.19200427193344777</v>
      </c>
    </row>
    <row r="1915" spans="1:9" x14ac:dyDescent="0.3">
      <c r="A1915" t="s">
        <v>4</v>
      </c>
      <c r="B1915" s="3">
        <v>45438</v>
      </c>
      <c r="C1915">
        <f t="shared" si="485"/>
        <v>26</v>
      </c>
      <c r="D1915">
        <f t="shared" si="486"/>
        <v>5</v>
      </c>
      <c r="E1915">
        <f t="shared" si="487"/>
        <v>2024</v>
      </c>
      <c r="F1915" s="2">
        <v>1172</v>
      </c>
      <c r="G1915" s="2" t="s">
        <v>19</v>
      </c>
      <c r="I1915" s="4">
        <f t="shared" ref="I1915:I1921" si="501">SUMIFS($F$2:$F$2739,$G$2:$G$2739,"Multi-year Contract",$E$2:$E$2739,2024)/SUMIF($E$2:$E$2739,2024,$F$2:$F$2739)</f>
        <v>0.71222648320847215</v>
      </c>
    </row>
    <row r="1916" spans="1:9" x14ac:dyDescent="0.3">
      <c r="A1916" t="s">
        <v>3</v>
      </c>
      <c r="B1916" s="3">
        <v>45438</v>
      </c>
      <c r="C1916">
        <f t="shared" si="485"/>
        <v>26</v>
      </c>
      <c r="D1916">
        <f t="shared" si="486"/>
        <v>5</v>
      </c>
      <c r="E1916">
        <f t="shared" si="487"/>
        <v>2024</v>
      </c>
      <c r="F1916" s="2">
        <v>3165</v>
      </c>
      <c r="G1916" t="s">
        <v>19</v>
      </c>
      <c r="I1916" s="4">
        <f t="shared" si="501"/>
        <v>0.71222648320847215</v>
      </c>
    </row>
    <row r="1917" spans="1:9" x14ac:dyDescent="0.3">
      <c r="A1917" t="s">
        <v>8</v>
      </c>
      <c r="B1917" s="3">
        <v>45439</v>
      </c>
      <c r="C1917">
        <f t="shared" si="485"/>
        <v>27</v>
      </c>
      <c r="D1917">
        <f t="shared" si="486"/>
        <v>5</v>
      </c>
      <c r="E1917">
        <f t="shared" si="487"/>
        <v>2024</v>
      </c>
      <c r="F1917" s="2">
        <v>1869</v>
      </c>
      <c r="G1917" s="2" t="s">
        <v>19</v>
      </c>
      <c r="I1917" s="4">
        <f t="shared" si="501"/>
        <v>0.71222648320847215</v>
      </c>
    </row>
    <row r="1918" spans="1:9" x14ac:dyDescent="0.3">
      <c r="A1918" t="s">
        <v>4</v>
      </c>
      <c r="B1918" s="3">
        <v>45439</v>
      </c>
      <c r="C1918">
        <f t="shared" si="485"/>
        <v>27</v>
      </c>
      <c r="D1918">
        <f t="shared" si="486"/>
        <v>5</v>
      </c>
      <c r="E1918">
        <f t="shared" si="487"/>
        <v>2024</v>
      </c>
      <c r="F1918" s="2">
        <v>3657</v>
      </c>
      <c r="G1918" s="2" t="s">
        <v>19</v>
      </c>
      <c r="I1918" s="4">
        <f t="shared" si="501"/>
        <v>0.71222648320847215</v>
      </c>
    </row>
    <row r="1919" spans="1:9" x14ac:dyDescent="0.3">
      <c r="A1919" t="s">
        <v>8</v>
      </c>
      <c r="B1919" s="3">
        <v>45440</v>
      </c>
      <c r="C1919">
        <f t="shared" si="485"/>
        <v>28</v>
      </c>
      <c r="D1919">
        <f t="shared" si="486"/>
        <v>5</v>
      </c>
      <c r="E1919">
        <f t="shared" si="487"/>
        <v>2024</v>
      </c>
      <c r="F1919" s="2">
        <v>1799</v>
      </c>
      <c r="G1919" s="2" t="s">
        <v>19</v>
      </c>
      <c r="I1919" s="4">
        <f t="shared" si="501"/>
        <v>0.71222648320847215</v>
      </c>
    </row>
    <row r="1920" spans="1:9" x14ac:dyDescent="0.3">
      <c r="A1920" t="s">
        <v>12</v>
      </c>
      <c r="B1920" s="3">
        <v>45440</v>
      </c>
      <c r="C1920">
        <f t="shared" si="485"/>
        <v>28</v>
      </c>
      <c r="D1920">
        <f t="shared" si="486"/>
        <v>5</v>
      </c>
      <c r="E1920">
        <f t="shared" si="487"/>
        <v>2024</v>
      </c>
      <c r="F1920" s="2">
        <v>3653</v>
      </c>
      <c r="G1920" s="2" t="s">
        <v>19</v>
      </c>
      <c r="I1920" s="4">
        <f t="shared" si="501"/>
        <v>0.71222648320847215</v>
      </c>
    </row>
    <row r="1921" spans="1:9" x14ac:dyDescent="0.3">
      <c r="A1921" t="s">
        <v>3</v>
      </c>
      <c r="B1921" s="3">
        <v>45440</v>
      </c>
      <c r="C1921">
        <f t="shared" si="485"/>
        <v>28</v>
      </c>
      <c r="D1921">
        <f t="shared" si="486"/>
        <v>5</v>
      </c>
      <c r="E1921">
        <f t="shared" si="487"/>
        <v>2024</v>
      </c>
      <c r="F1921" s="2">
        <v>2604</v>
      </c>
      <c r="G1921" t="s">
        <v>19</v>
      </c>
      <c r="I1921" s="4">
        <f t="shared" si="501"/>
        <v>0.71222648320847215</v>
      </c>
    </row>
    <row r="1922" spans="1:9" x14ac:dyDescent="0.3">
      <c r="A1922" t="s">
        <v>9</v>
      </c>
      <c r="B1922" s="3">
        <v>45440</v>
      </c>
      <c r="C1922">
        <f t="shared" si="485"/>
        <v>28</v>
      </c>
      <c r="D1922">
        <f t="shared" si="486"/>
        <v>5</v>
      </c>
      <c r="E1922">
        <f t="shared" si="487"/>
        <v>2024</v>
      </c>
      <c r="F1922" s="2">
        <v>3683</v>
      </c>
      <c r="G1922" t="s">
        <v>18</v>
      </c>
      <c r="I1922" s="4">
        <f>SUMIFS($F$2:$F$2739,$G$2:$G$2739,"Annual Contract",$E$2:$E$2739,2024)/SUMIF($E$2:$E$2739,2024,$F$2:$F$2739)</f>
        <v>0.19200427193344777</v>
      </c>
    </row>
    <row r="1923" spans="1:9" x14ac:dyDescent="0.3">
      <c r="A1923" t="s">
        <v>10</v>
      </c>
      <c r="B1923" s="3">
        <v>45440</v>
      </c>
      <c r="C1923">
        <f t="shared" ref="C1923:C1986" si="502">DAY(B1923)</f>
        <v>28</v>
      </c>
      <c r="D1923">
        <f t="shared" ref="D1923:D1986" si="503">MONTH(B1923)</f>
        <v>5</v>
      </c>
      <c r="E1923">
        <f t="shared" ref="E1923:E1986" si="504">YEAR(B1923)</f>
        <v>2024</v>
      </c>
      <c r="F1923" s="2">
        <v>2346</v>
      </c>
      <c r="G1923" t="s">
        <v>19</v>
      </c>
      <c r="I1923" s="4">
        <f>SUMIFS($F$2:$F$2739,$G$2:$G$2739,"Multi-year Contract",$E$2:$E$2739,2024)/SUMIF($E$2:$E$2739,2024,$F$2:$F$2739)</f>
        <v>0.71222648320847215</v>
      </c>
    </row>
    <row r="1924" spans="1:9" x14ac:dyDescent="0.3">
      <c r="A1924" t="s">
        <v>7</v>
      </c>
      <c r="B1924" s="3">
        <v>45440</v>
      </c>
      <c r="C1924">
        <f t="shared" si="502"/>
        <v>28</v>
      </c>
      <c r="D1924">
        <f t="shared" si="503"/>
        <v>5</v>
      </c>
      <c r="E1924">
        <f t="shared" si="504"/>
        <v>2024</v>
      </c>
      <c r="F1924" s="2">
        <v>3290</v>
      </c>
      <c r="G1924" t="s">
        <v>17</v>
      </c>
      <c r="I1924" s="4">
        <f>SUMIFS($F$2:$F$2739,$G$2:$G$2739,"No Contract",$E$2:$E$2739,2024)/SUMIF($E$2:$E$2739,2024,$F$2:$F$2739)</f>
        <v>9.576924485808011E-2</v>
      </c>
    </row>
    <row r="1925" spans="1:9" x14ac:dyDescent="0.3">
      <c r="A1925" t="s">
        <v>8</v>
      </c>
      <c r="B1925" s="3">
        <v>45440</v>
      </c>
      <c r="C1925">
        <f t="shared" si="502"/>
        <v>28</v>
      </c>
      <c r="D1925">
        <f t="shared" si="503"/>
        <v>5</v>
      </c>
      <c r="E1925">
        <f t="shared" si="504"/>
        <v>2024</v>
      </c>
      <c r="F1925" s="2">
        <v>3236</v>
      </c>
      <c r="G1925" s="2" t="s">
        <v>19</v>
      </c>
      <c r="I1925" s="4">
        <f t="shared" ref="I1925:I1929" si="505">SUMIFS($F$2:$F$2739,$G$2:$G$2739,"Multi-year Contract",$E$2:$E$2739,2024)/SUMIF($E$2:$E$2739,2024,$F$2:$F$2739)</f>
        <v>0.71222648320847215</v>
      </c>
    </row>
    <row r="1926" spans="1:9" x14ac:dyDescent="0.3">
      <c r="A1926" t="s">
        <v>11</v>
      </c>
      <c r="B1926" s="3">
        <v>45441</v>
      </c>
      <c r="C1926">
        <f t="shared" si="502"/>
        <v>29</v>
      </c>
      <c r="D1926">
        <f t="shared" si="503"/>
        <v>5</v>
      </c>
      <c r="E1926">
        <f t="shared" si="504"/>
        <v>2024</v>
      </c>
      <c r="F1926" s="2">
        <v>3412</v>
      </c>
      <c r="G1926" t="s">
        <v>19</v>
      </c>
      <c r="I1926" s="4">
        <f t="shared" si="505"/>
        <v>0.71222648320847215</v>
      </c>
    </row>
    <row r="1927" spans="1:9" x14ac:dyDescent="0.3">
      <c r="A1927" t="s">
        <v>4</v>
      </c>
      <c r="B1927" s="3">
        <v>45442</v>
      </c>
      <c r="C1927">
        <f t="shared" si="502"/>
        <v>30</v>
      </c>
      <c r="D1927">
        <f t="shared" si="503"/>
        <v>5</v>
      </c>
      <c r="E1927">
        <f t="shared" si="504"/>
        <v>2024</v>
      </c>
      <c r="F1927" s="2">
        <v>1810</v>
      </c>
      <c r="G1927" s="2" t="s">
        <v>19</v>
      </c>
      <c r="I1927" s="4">
        <f t="shared" si="505"/>
        <v>0.71222648320847215</v>
      </c>
    </row>
    <row r="1928" spans="1:9" x14ac:dyDescent="0.3">
      <c r="A1928" t="s">
        <v>4</v>
      </c>
      <c r="B1928" s="3">
        <v>45442</v>
      </c>
      <c r="C1928">
        <f t="shared" si="502"/>
        <v>30</v>
      </c>
      <c r="D1928">
        <f t="shared" si="503"/>
        <v>5</v>
      </c>
      <c r="E1928">
        <f t="shared" si="504"/>
        <v>2024</v>
      </c>
      <c r="F1928" s="2">
        <v>1202</v>
      </c>
      <c r="G1928" s="2" t="s">
        <v>19</v>
      </c>
      <c r="I1928" s="4">
        <f t="shared" si="505"/>
        <v>0.71222648320847215</v>
      </c>
    </row>
    <row r="1929" spans="1:9" x14ac:dyDescent="0.3">
      <c r="A1929" t="s">
        <v>3</v>
      </c>
      <c r="B1929" s="3">
        <v>45442</v>
      </c>
      <c r="C1929">
        <f t="shared" si="502"/>
        <v>30</v>
      </c>
      <c r="D1929">
        <f t="shared" si="503"/>
        <v>5</v>
      </c>
      <c r="E1929">
        <f t="shared" si="504"/>
        <v>2024</v>
      </c>
      <c r="F1929" s="2">
        <v>3754</v>
      </c>
      <c r="G1929" t="s">
        <v>19</v>
      </c>
      <c r="I1929" s="4">
        <f t="shared" si="505"/>
        <v>0.71222648320847215</v>
      </c>
    </row>
    <row r="1930" spans="1:9" x14ac:dyDescent="0.3">
      <c r="A1930" t="s">
        <v>6</v>
      </c>
      <c r="B1930" s="3">
        <v>45442</v>
      </c>
      <c r="C1930">
        <f t="shared" si="502"/>
        <v>30</v>
      </c>
      <c r="D1930">
        <f t="shared" si="503"/>
        <v>5</v>
      </c>
      <c r="E1930">
        <f t="shared" si="504"/>
        <v>2024</v>
      </c>
      <c r="F1930" s="2">
        <v>2384</v>
      </c>
      <c r="G1930" t="s">
        <v>18</v>
      </c>
      <c r="I1930" s="4">
        <f t="shared" ref="I1930:I1931" si="506">SUMIFS($F$2:$F$2739,$G$2:$G$2739,"Annual Contract",$E$2:$E$2739,2024)/SUMIF($E$2:$E$2739,2024,$F$2:$F$2739)</f>
        <v>0.19200427193344777</v>
      </c>
    </row>
    <row r="1931" spans="1:9" x14ac:dyDescent="0.3">
      <c r="A1931" t="s">
        <v>6</v>
      </c>
      <c r="B1931" s="3">
        <v>45442</v>
      </c>
      <c r="C1931">
        <f t="shared" si="502"/>
        <v>30</v>
      </c>
      <c r="D1931">
        <f t="shared" si="503"/>
        <v>5</v>
      </c>
      <c r="E1931">
        <f t="shared" si="504"/>
        <v>2024</v>
      </c>
      <c r="F1931" s="2">
        <v>2828</v>
      </c>
      <c r="G1931" t="s">
        <v>18</v>
      </c>
      <c r="I1931" s="4">
        <f t="shared" si="506"/>
        <v>0.19200427193344777</v>
      </c>
    </row>
    <row r="1932" spans="1:9" x14ac:dyDescent="0.3">
      <c r="A1932" t="s">
        <v>3</v>
      </c>
      <c r="B1932" s="3">
        <v>45443</v>
      </c>
      <c r="C1932">
        <f t="shared" si="502"/>
        <v>31</v>
      </c>
      <c r="D1932">
        <f t="shared" si="503"/>
        <v>5</v>
      </c>
      <c r="E1932">
        <f t="shared" si="504"/>
        <v>2024</v>
      </c>
      <c r="F1932" s="2">
        <v>2592</v>
      </c>
      <c r="G1932" t="s">
        <v>19</v>
      </c>
      <c r="I1932" s="4">
        <f>SUMIFS($F$2:$F$2739,$G$2:$G$2739,"Multi-year Contract",$E$2:$E$2739,2024)/SUMIF($E$2:$E$2739,2024,$F$2:$F$2739)</f>
        <v>0.71222648320847215</v>
      </c>
    </row>
    <row r="1933" spans="1:9" x14ac:dyDescent="0.3">
      <c r="A1933" t="s">
        <v>9</v>
      </c>
      <c r="B1933" s="3">
        <v>45444</v>
      </c>
      <c r="C1933">
        <f t="shared" si="502"/>
        <v>1</v>
      </c>
      <c r="D1933">
        <f t="shared" si="503"/>
        <v>6</v>
      </c>
      <c r="E1933">
        <f t="shared" si="504"/>
        <v>2024</v>
      </c>
      <c r="F1933" s="2">
        <v>3038</v>
      </c>
      <c r="G1933" t="s">
        <v>18</v>
      </c>
      <c r="I1933" s="4">
        <f t="shared" ref="I1933:I1934" si="507">SUMIFS($F$2:$F$2739,$G$2:$G$2739,"Annual Contract",$E$2:$E$2739,2024)/SUMIF($E$2:$E$2739,2024,$F$2:$F$2739)</f>
        <v>0.19200427193344777</v>
      </c>
    </row>
    <row r="1934" spans="1:9" x14ac:dyDescent="0.3">
      <c r="A1934" t="s">
        <v>9</v>
      </c>
      <c r="B1934" s="3">
        <v>45444</v>
      </c>
      <c r="C1934">
        <f t="shared" si="502"/>
        <v>1</v>
      </c>
      <c r="D1934">
        <f t="shared" si="503"/>
        <v>6</v>
      </c>
      <c r="E1934">
        <f t="shared" si="504"/>
        <v>2024</v>
      </c>
      <c r="F1934" s="2">
        <v>3706</v>
      </c>
      <c r="G1934" t="s">
        <v>18</v>
      </c>
      <c r="I1934" s="4">
        <f t="shared" si="507"/>
        <v>0.19200427193344777</v>
      </c>
    </row>
    <row r="1935" spans="1:9" x14ac:dyDescent="0.3">
      <c r="A1935" t="s">
        <v>8</v>
      </c>
      <c r="B1935" s="3">
        <v>45445</v>
      </c>
      <c r="C1935">
        <f t="shared" si="502"/>
        <v>2</v>
      </c>
      <c r="D1935">
        <f t="shared" si="503"/>
        <v>6</v>
      </c>
      <c r="E1935">
        <f t="shared" si="504"/>
        <v>2024</v>
      </c>
      <c r="F1935" s="2">
        <v>582</v>
      </c>
      <c r="G1935" s="2" t="s">
        <v>19</v>
      </c>
      <c r="I1935" s="4">
        <f>SUMIFS($F$2:$F$2739,$G$2:$G$2739,"Multi-year Contract",$E$2:$E$2739,2024)/SUMIF($E$2:$E$2739,2024,$F$2:$F$2739)</f>
        <v>0.71222648320847215</v>
      </c>
    </row>
    <row r="1936" spans="1:9" x14ac:dyDescent="0.3">
      <c r="A1936" t="s">
        <v>9</v>
      </c>
      <c r="B1936" s="3">
        <v>45445</v>
      </c>
      <c r="C1936">
        <f t="shared" si="502"/>
        <v>2</v>
      </c>
      <c r="D1936">
        <f t="shared" si="503"/>
        <v>6</v>
      </c>
      <c r="E1936">
        <f t="shared" si="504"/>
        <v>2024</v>
      </c>
      <c r="F1936" s="2">
        <v>3595</v>
      </c>
      <c r="G1936" t="s">
        <v>18</v>
      </c>
      <c r="I1936" s="4">
        <f>SUMIFS($F$2:$F$2739,$G$2:$G$2739,"Annual Contract",$E$2:$E$2739,2024)/SUMIF($E$2:$E$2739,2024,$F$2:$F$2739)</f>
        <v>0.19200427193344777</v>
      </c>
    </row>
    <row r="1937" spans="1:9" x14ac:dyDescent="0.3">
      <c r="A1937" t="s">
        <v>10</v>
      </c>
      <c r="B1937" s="3">
        <v>45446</v>
      </c>
      <c r="C1937">
        <f t="shared" si="502"/>
        <v>3</v>
      </c>
      <c r="D1937">
        <f t="shared" si="503"/>
        <v>6</v>
      </c>
      <c r="E1937">
        <f t="shared" si="504"/>
        <v>2024</v>
      </c>
      <c r="F1937" s="2">
        <v>3419</v>
      </c>
      <c r="G1937" t="s">
        <v>19</v>
      </c>
      <c r="I1937" s="4">
        <f t="shared" ref="I1937:I1938" si="508">SUMIFS($F$2:$F$2739,$G$2:$G$2739,"Multi-year Contract",$E$2:$E$2739,2024)/SUMIF($E$2:$E$2739,2024,$F$2:$F$2739)</f>
        <v>0.71222648320847215</v>
      </c>
    </row>
    <row r="1938" spans="1:9" x14ac:dyDescent="0.3">
      <c r="A1938" t="s">
        <v>12</v>
      </c>
      <c r="B1938" s="3">
        <v>45446</v>
      </c>
      <c r="C1938">
        <f t="shared" si="502"/>
        <v>3</v>
      </c>
      <c r="D1938">
        <f t="shared" si="503"/>
        <v>6</v>
      </c>
      <c r="E1938">
        <f t="shared" si="504"/>
        <v>2024</v>
      </c>
      <c r="F1938" s="2">
        <v>2201</v>
      </c>
      <c r="G1938" s="2" t="s">
        <v>19</v>
      </c>
      <c r="I1938" s="4">
        <f t="shared" si="508"/>
        <v>0.71222648320847215</v>
      </c>
    </row>
    <row r="1939" spans="1:9" x14ac:dyDescent="0.3">
      <c r="A1939" t="s">
        <v>6</v>
      </c>
      <c r="B1939" s="3">
        <v>45447</v>
      </c>
      <c r="C1939">
        <f t="shared" si="502"/>
        <v>4</v>
      </c>
      <c r="D1939">
        <f t="shared" si="503"/>
        <v>6</v>
      </c>
      <c r="E1939">
        <f t="shared" si="504"/>
        <v>2024</v>
      </c>
      <c r="F1939" s="2">
        <v>2718</v>
      </c>
      <c r="G1939" t="s">
        <v>18</v>
      </c>
      <c r="I1939" s="4">
        <f>SUMIFS($F$2:$F$2739,$G$2:$G$2739,"Annual Contract",$E$2:$E$2739,2024)/SUMIF($E$2:$E$2739,2024,$F$2:$F$2739)</f>
        <v>0.19200427193344777</v>
      </c>
    </row>
    <row r="1940" spans="1:9" x14ac:dyDescent="0.3">
      <c r="A1940" t="s">
        <v>10</v>
      </c>
      <c r="B1940" s="3">
        <v>45447</v>
      </c>
      <c r="C1940">
        <f t="shared" si="502"/>
        <v>4</v>
      </c>
      <c r="D1940">
        <f t="shared" si="503"/>
        <v>6</v>
      </c>
      <c r="E1940">
        <f t="shared" si="504"/>
        <v>2024</v>
      </c>
      <c r="F1940" s="2">
        <v>2121</v>
      </c>
      <c r="G1940" t="s">
        <v>19</v>
      </c>
      <c r="I1940" s="4">
        <f t="shared" ref="I1940:I1945" si="509">SUMIFS($F$2:$F$2739,$G$2:$G$2739,"Multi-year Contract",$E$2:$E$2739,2024)/SUMIF($E$2:$E$2739,2024,$F$2:$F$2739)</f>
        <v>0.71222648320847215</v>
      </c>
    </row>
    <row r="1941" spans="1:9" x14ac:dyDescent="0.3">
      <c r="A1941" t="s">
        <v>5</v>
      </c>
      <c r="B1941" s="3">
        <v>45447</v>
      </c>
      <c r="C1941">
        <f t="shared" si="502"/>
        <v>4</v>
      </c>
      <c r="D1941">
        <f t="shared" si="503"/>
        <v>6</v>
      </c>
      <c r="E1941">
        <f t="shared" si="504"/>
        <v>2024</v>
      </c>
      <c r="F1941" s="2">
        <v>1405</v>
      </c>
      <c r="G1941" t="s">
        <v>19</v>
      </c>
      <c r="I1941" s="4">
        <f t="shared" si="509"/>
        <v>0.71222648320847215</v>
      </c>
    </row>
    <row r="1942" spans="1:9" x14ac:dyDescent="0.3">
      <c r="A1942" t="s">
        <v>3</v>
      </c>
      <c r="B1942" s="3">
        <v>45448</v>
      </c>
      <c r="C1942">
        <f t="shared" si="502"/>
        <v>5</v>
      </c>
      <c r="D1942">
        <f t="shared" si="503"/>
        <v>6</v>
      </c>
      <c r="E1942">
        <f t="shared" si="504"/>
        <v>2024</v>
      </c>
      <c r="F1942" s="2">
        <v>658</v>
      </c>
      <c r="G1942" t="s">
        <v>19</v>
      </c>
      <c r="I1942" s="4">
        <f t="shared" si="509"/>
        <v>0.71222648320847215</v>
      </c>
    </row>
    <row r="1943" spans="1:9" x14ac:dyDescent="0.3">
      <c r="A1943" t="s">
        <v>5</v>
      </c>
      <c r="B1943" s="3">
        <v>45448</v>
      </c>
      <c r="C1943">
        <f t="shared" si="502"/>
        <v>5</v>
      </c>
      <c r="D1943">
        <f t="shared" si="503"/>
        <v>6</v>
      </c>
      <c r="E1943">
        <f t="shared" si="504"/>
        <v>2024</v>
      </c>
      <c r="F1943" s="2">
        <v>2786</v>
      </c>
      <c r="G1943" t="s">
        <v>19</v>
      </c>
      <c r="I1943" s="4">
        <f t="shared" si="509"/>
        <v>0.71222648320847215</v>
      </c>
    </row>
    <row r="1944" spans="1:9" x14ac:dyDescent="0.3">
      <c r="A1944" t="s">
        <v>5</v>
      </c>
      <c r="B1944" s="3">
        <v>45448</v>
      </c>
      <c r="C1944">
        <f t="shared" si="502"/>
        <v>5</v>
      </c>
      <c r="D1944">
        <f t="shared" si="503"/>
        <v>6</v>
      </c>
      <c r="E1944">
        <f t="shared" si="504"/>
        <v>2024</v>
      </c>
      <c r="F1944" s="2">
        <v>2889</v>
      </c>
      <c r="G1944" t="s">
        <v>19</v>
      </c>
      <c r="I1944" s="4">
        <f t="shared" si="509"/>
        <v>0.71222648320847215</v>
      </c>
    </row>
    <row r="1945" spans="1:9" x14ac:dyDescent="0.3">
      <c r="A1945" t="s">
        <v>3</v>
      </c>
      <c r="B1945" s="3">
        <v>45448</v>
      </c>
      <c r="C1945">
        <f t="shared" si="502"/>
        <v>5</v>
      </c>
      <c r="D1945">
        <f t="shared" si="503"/>
        <v>6</v>
      </c>
      <c r="E1945">
        <f t="shared" si="504"/>
        <v>2024</v>
      </c>
      <c r="F1945" s="2">
        <v>2239</v>
      </c>
      <c r="G1945" t="s">
        <v>19</v>
      </c>
      <c r="I1945" s="4">
        <f t="shared" si="509"/>
        <v>0.71222648320847215</v>
      </c>
    </row>
    <row r="1946" spans="1:9" x14ac:dyDescent="0.3">
      <c r="A1946" t="s">
        <v>7</v>
      </c>
      <c r="B1946" s="3">
        <v>45449</v>
      </c>
      <c r="C1946">
        <f t="shared" si="502"/>
        <v>6</v>
      </c>
      <c r="D1946">
        <f t="shared" si="503"/>
        <v>6</v>
      </c>
      <c r="E1946">
        <f t="shared" si="504"/>
        <v>2024</v>
      </c>
      <c r="F1946" s="2">
        <v>3480</v>
      </c>
      <c r="G1946" t="s">
        <v>17</v>
      </c>
      <c r="I1946" s="4">
        <f>SUMIFS($F$2:$F$2739,$G$2:$G$2739,"No Contract",$E$2:$E$2739,2024)/SUMIF($E$2:$E$2739,2024,$F$2:$F$2739)</f>
        <v>9.576924485808011E-2</v>
      </c>
    </row>
    <row r="1947" spans="1:9" x14ac:dyDescent="0.3">
      <c r="A1947" t="s">
        <v>10</v>
      </c>
      <c r="B1947" s="3">
        <v>45449</v>
      </c>
      <c r="C1947">
        <f t="shared" si="502"/>
        <v>6</v>
      </c>
      <c r="D1947">
        <f t="shared" si="503"/>
        <v>6</v>
      </c>
      <c r="E1947">
        <f t="shared" si="504"/>
        <v>2024</v>
      </c>
      <c r="F1947" s="2">
        <v>3560</v>
      </c>
      <c r="G1947" t="s">
        <v>19</v>
      </c>
      <c r="I1947" s="4">
        <f>SUMIFS($F$2:$F$2739,$G$2:$G$2739,"Multi-year Contract",$E$2:$E$2739,2024)/SUMIF($E$2:$E$2739,2024,$F$2:$F$2739)</f>
        <v>0.71222648320847215</v>
      </c>
    </row>
    <row r="1948" spans="1:9" x14ac:dyDescent="0.3">
      <c r="A1948" t="s">
        <v>7</v>
      </c>
      <c r="B1948" s="3">
        <v>45450</v>
      </c>
      <c r="C1948">
        <f t="shared" si="502"/>
        <v>7</v>
      </c>
      <c r="D1948">
        <f t="shared" si="503"/>
        <v>6</v>
      </c>
      <c r="E1948">
        <f t="shared" si="504"/>
        <v>2024</v>
      </c>
      <c r="F1948" s="2">
        <v>3456</v>
      </c>
      <c r="G1948" t="s">
        <v>17</v>
      </c>
      <c r="I1948" s="4">
        <f>SUMIFS($F$2:$F$2739,$G$2:$G$2739,"No Contract",$E$2:$E$2739,2024)/SUMIF($E$2:$E$2739,2024,$F$2:$F$2739)</f>
        <v>9.576924485808011E-2</v>
      </c>
    </row>
    <row r="1949" spans="1:9" x14ac:dyDescent="0.3">
      <c r="A1949" t="s">
        <v>3</v>
      </c>
      <c r="B1949" s="3">
        <v>45450</v>
      </c>
      <c r="C1949">
        <f t="shared" si="502"/>
        <v>7</v>
      </c>
      <c r="D1949">
        <f t="shared" si="503"/>
        <v>6</v>
      </c>
      <c r="E1949">
        <f t="shared" si="504"/>
        <v>2024</v>
      </c>
      <c r="F1949" s="2">
        <v>1914</v>
      </c>
      <c r="G1949" t="s">
        <v>19</v>
      </c>
      <c r="I1949" s="4">
        <f>SUMIFS($F$2:$F$2739,$G$2:$G$2739,"Multi-year Contract",$E$2:$E$2739,2024)/SUMIF($E$2:$E$2739,2024,$F$2:$F$2739)</f>
        <v>0.71222648320847215</v>
      </c>
    </row>
    <row r="1950" spans="1:9" x14ac:dyDescent="0.3">
      <c r="A1950" t="s">
        <v>9</v>
      </c>
      <c r="B1950" s="3">
        <v>45450</v>
      </c>
      <c r="C1950">
        <f t="shared" si="502"/>
        <v>7</v>
      </c>
      <c r="D1950">
        <f t="shared" si="503"/>
        <v>6</v>
      </c>
      <c r="E1950">
        <f t="shared" si="504"/>
        <v>2024</v>
      </c>
      <c r="F1950" s="2">
        <v>2665</v>
      </c>
      <c r="G1950" t="s">
        <v>18</v>
      </c>
      <c r="I1950" s="4">
        <f t="shared" ref="I1950:I1951" si="510">SUMIFS($F$2:$F$2739,$G$2:$G$2739,"Annual Contract",$E$2:$E$2739,2024)/SUMIF($E$2:$E$2739,2024,$F$2:$F$2739)</f>
        <v>0.19200427193344777</v>
      </c>
    </row>
    <row r="1951" spans="1:9" x14ac:dyDescent="0.3">
      <c r="A1951" t="s">
        <v>6</v>
      </c>
      <c r="B1951" s="3">
        <v>45450</v>
      </c>
      <c r="C1951">
        <f t="shared" si="502"/>
        <v>7</v>
      </c>
      <c r="D1951">
        <f t="shared" si="503"/>
        <v>6</v>
      </c>
      <c r="E1951">
        <f t="shared" si="504"/>
        <v>2024</v>
      </c>
      <c r="F1951" s="2">
        <v>1656</v>
      </c>
      <c r="G1951" t="s">
        <v>18</v>
      </c>
      <c r="I1951" s="4">
        <f t="shared" si="510"/>
        <v>0.19200427193344777</v>
      </c>
    </row>
    <row r="1952" spans="1:9" x14ac:dyDescent="0.3">
      <c r="A1952" t="s">
        <v>5</v>
      </c>
      <c r="B1952" s="3">
        <v>45450</v>
      </c>
      <c r="C1952">
        <f t="shared" si="502"/>
        <v>7</v>
      </c>
      <c r="D1952">
        <f t="shared" si="503"/>
        <v>6</v>
      </c>
      <c r="E1952">
        <f t="shared" si="504"/>
        <v>2024</v>
      </c>
      <c r="F1952" s="2">
        <v>3213</v>
      </c>
      <c r="G1952" t="s">
        <v>19</v>
      </c>
      <c r="I1952" s="4">
        <f t="shared" ref="I1952:I1953" si="511">SUMIFS($F$2:$F$2739,$G$2:$G$2739,"Multi-year Contract",$E$2:$E$2739,2024)/SUMIF($E$2:$E$2739,2024,$F$2:$F$2739)</f>
        <v>0.71222648320847215</v>
      </c>
    </row>
    <row r="1953" spans="1:9" x14ac:dyDescent="0.3">
      <c r="A1953" t="s">
        <v>12</v>
      </c>
      <c r="B1953" s="3">
        <v>45450</v>
      </c>
      <c r="C1953">
        <f t="shared" si="502"/>
        <v>7</v>
      </c>
      <c r="D1953">
        <f t="shared" si="503"/>
        <v>6</v>
      </c>
      <c r="E1953">
        <f t="shared" si="504"/>
        <v>2024</v>
      </c>
      <c r="F1953" s="2">
        <v>3211</v>
      </c>
      <c r="G1953" s="2" t="s">
        <v>19</v>
      </c>
      <c r="I1953" s="4">
        <f t="shared" si="511"/>
        <v>0.71222648320847215</v>
      </c>
    </row>
    <row r="1954" spans="1:9" x14ac:dyDescent="0.3">
      <c r="A1954" t="s">
        <v>6</v>
      </c>
      <c r="B1954" s="3">
        <v>45450</v>
      </c>
      <c r="C1954">
        <f t="shared" si="502"/>
        <v>7</v>
      </c>
      <c r="D1954">
        <f t="shared" si="503"/>
        <v>6</v>
      </c>
      <c r="E1954">
        <f t="shared" si="504"/>
        <v>2024</v>
      </c>
      <c r="F1954" s="2">
        <v>816</v>
      </c>
      <c r="G1954" t="s">
        <v>18</v>
      </c>
      <c r="I1954" s="4">
        <f t="shared" ref="I1954:I1955" si="512">SUMIFS($F$2:$F$2739,$G$2:$G$2739,"Annual Contract",$E$2:$E$2739,2024)/SUMIF($E$2:$E$2739,2024,$F$2:$F$2739)</f>
        <v>0.19200427193344777</v>
      </c>
    </row>
    <row r="1955" spans="1:9" x14ac:dyDescent="0.3">
      <c r="A1955" t="s">
        <v>9</v>
      </c>
      <c r="B1955" s="3">
        <v>45451</v>
      </c>
      <c r="C1955">
        <f t="shared" si="502"/>
        <v>8</v>
      </c>
      <c r="D1955">
        <f t="shared" si="503"/>
        <v>6</v>
      </c>
      <c r="E1955">
        <f t="shared" si="504"/>
        <v>2024</v>
      </c>
      <c r="F1955" s="2">
        <v>1949</v>
      </c>
      <c r="G1955" t="s">
        <v>18</v>
      </c>
      <c r="I1955" s="4">
        <f t="shared" si="512"/>
        <v>0.19200427193344777</v>
      </c>
    </row>
    <row r="1956" spans="1:9" x14ac:dyDescent="0.3">
      <c r="A1956" t="s">
        <v>5</v>
      </c>
      <c r="B1956" s="3">
        <v>45451</v>
      </c>
      <c r="C1956">
        <f t="shared" si="502"/>
        <v>8</v>
      </c>
      <c r="D1956">
        <f t="shared" si="503"/>
        <v>6</v>
      </c>
      <c r="E1956">
        <f t="shared" si="504"/>
        <v>2024</v>
      </c>
      <c r="F1956" s="2">
        <v>1993</v>
      </c>
      <c r="G1956" t="s">
        <v>19</v>
      </c>
      <c r="I1956" s="4">
        <f t="shared" ref="I1956:I1957" si="513">SUMIFS($F$2:$F$2739,$G$2:$G$2739,"Multi-year Contract",$E$2:$E$2739,2024)/SUMIF($E$2:$E$2739,2024,$F$2:$F$2739)</f>
        <v>0.71222648320847215</v>
      </c>
    </row>
    <row r="1957" spans="1:9" x14ac:dyDescent="0.3">
      <c r="A1957" t="s">
        <v>5</v>
      </c>
      <c r="B1957" s="3">
        <v>45451</v>
      </c>
      <c r="C1957">
        <f t="shared" si="502"/>
        <v>8</v>
      </c>
      <c r="D1957">
        <f t="shared" si="503"/>
        <v>6</v>
      </c>
      <c r="E1957">
        <f t="shared" si="504"/>
        <v>2024</v>
      </c>
      <c r="F1957" s="2">
        <v>3623</v>
      </c>
      <c r="G1957" t="s">
        <v>19</v>
      </c>
      <c r="I1957" s="4">
        <f t="shared" si="513"/>
        <v>0.71222648320847215</v>
      </c>
    </row>
    <row r="1958" spans="1:9" x14ac:dyDescent="0.3">
      <c r="A1958" t="s">
        <v>7</v>
      </c>
      <c r="B1958" s="3">
        <v>45452</v>
      </c>
      <c r="C1958">
        <f t="shared" si="502"/>
        <v>9</v>
      </c>
      <c r="D1958">
        <f t="shared" si="503"/>
        <v>6</v>
      </c>
      <c r="E1958">
        <f t="shared" si="504"/>
        <v>2024</v>
      </c>
      <c r="F1958" s="2">
        <v>597</v>
      </c>
      <c r="G1958" t="s">
        <v>17</v>
      </c>
      <c r="I1958" s="4">
        <f>SUMIFS($F$2:$F$2739,$G$2:$G$2739,"No Contract",$E$2:$E$2739,2024)/SUMIF($E$2:$E$2739,2024,$F$2:$F$2739)</f>
        <v>9.576924485808011E-2</v>
      </c>
    </row>
    <row r="1959" spans="1:9" x14ac:dyDescent="0.3">
      <c r="A1959" t="s">
        <v>4</v>
      </c>
      <c r="B1959" s="3">
        <v>45452</v>
      </c>
      <c r="C1959">
        <f t="shared" si="502"/>
        <v>9</v>
      </c>
      <c r="D1959">
        <f t="shared" si="503"/>
        <v>6</v>
      </c>
      <c r="E1959">
        <f t="shared" si="504"/>
        <v>2024</v>
      </c>
      <c r="F1959" s="2">
        <v>2878</v>
      </c>
      <c r="G1959" s="2" t="s">
        <v>19</v>
      </c>
      <c r="I1959" s="4">
        <f>SUMIFS($F$2:$F$2739,$G$2:$G$2739,"Multi-year Contract",$E$2:$E$2739,2024)/SUMIF($E$2:$E$2739,2024,$F$2:$F$2739)</f>
        <v>0.71222648320847215</v>
      </c>
    </row>
    <row r="1960" spans="1:9" x14ac:dyDescent="0.3">
      <c r="A1960" t="s">
        <v>7</v>
      </c>
      <c r="B1960" s="3">
        <v>45453</v>
      </c>
      <c r="C1960">
        <f t="shared" si="502"/>
        <v>10</v>
      </c>
      <c r="D1960">
        <f t="shared" si="503"/>
        <v>6</v>
      </c>
      <c r="E1960">
        <f t="shared" si="504"/>
        <v>2024</v>
      </c>
      <c r="F1960" s="2">
        <v>2765</v>
      </c>
      <c r="G1960" t="s">
        <v>17</v>
      </c>
      <c r="I1960" s="4">
        <f>SUMIFS($F$2:$F$2739,$G$2:$G$2739,"No Contract",$E$2:$E$2739,2024)/SUMIF($E$2:$E$2739,2024,$F$2:$F$2739)</f>
        <v>9.576924485808011E-2</v>
      </c>
    </row>
    <row r="1961" spans="1:9" x14ac:dyDescent="0.3">
      <c r="A1961" t="s">
        <v>9</v>
      </c>
      <c r="B1961" s="3">
        <v>45453</v>
      </c>
      <c r="C1961">
        <f t="shared" si="502"/>
        <v>10</v>
      </c>
      <c r="D1961">
        <f t="shared" si="503"/>
        <v>6</v>
      </c>
      <c r="E1961">
        <f t="shared" si="504"/>
        <v>2024</v>
      </c>
      <c r="F1961" s="2">
        <v>1062</v>
      </c>
      <c r="G1961" t="s">
        <v>18</v>
      </c>
      <c r="I1961" s="4">
        <f>SUMIFS($F$2:$F$2739,$G$2:$G$2739,"Annual Contract",$E$2:$E$2739,2024)/SUMIF($E$2:$E$2739,2024,$F$2:$F$2739)</f>
        <v>0.19200427193344777</v>
      </c>
    </row>
    <row r="1962" spans="1:9" x14ac:dyDescent="0.3">
      <c r="A1962" t="s">
        <v>10</v>
      </c>
      <c r="B1962" s="3">
        <v>45453</v>
      </c>
      <c r="C1962">
        <f t="shared" si="502"/>
        <v>10</v>
      </c>
      <c r="D1962">
        <f t="shared" si="503"/>
        <v>6</v>
      </c>
      <c r="E1962">
        <f t="shared" si="504"/>
        <v>2024</v>
      </c>
      <c r="F1962" s="2">
        <v>3814</v>
      </c>
      <c r="G1962" t="s">
        <v>19</v>
      </c>
      <c r="I1962" s="4">
        <f>SUMIFS($F$2:$F$2739,$G$2:$G$2739,"Multi-year Contract",$E$2:$E$2739,2024)/SUMIF($E$2:$E$2739,2024,$F$2:$F$2739)</f>
        <v>0.71222648320847215</v>
      </c>
    </row>
    <row r="1963" spans="1:9" x14ac:dyDescent="0.3">
      <c r="A1963" t="s">
        <v>6</v>
      </c>
      <c r="B1963" s="3">
        <v>45454</v>
      </c>
      <c r="C1963">
        <f t="shared" si="502"/>
        <v>11</v>
      </c>
      <c r="D1963">
        <f t="shared" si="503"/>
        <v>6</v>
      </c>
      <c r="E1963">
        <f t="shared" si="504"/>
        <v>2024</v>
      </c>
      <c r="F1963" s="2">
        <v>3835</v>
      </c>
      <c r="G1963" t="s">
        <v>18</v>
      </c>
      <c r="I1963" s="4">
        <f t="shared" ref="I1963:I1964" si="514">SUMIFS($F$2:$F$2739,$G$2:$G$2739,"Annual Contract",$E$2:$E$2739,2024)/SUMIF($E$2:$E$2739,2024,$F$2:$F$2739)</f>
        <v>0.19200427193344777</v>
      </c>
    </row>
    <row r="1964" spans="1:9" x14ac:dyDescent="0.3">
      <c r="A1964" t="s">
        <v>6</v>
      </c>
      <c r="B1964" s="3">
        <v>45455</v>
      </c>
      <c r="C1964">
        <f t="shared" si="502"/>
        <v>12</v>
      </c>
      <c r="D1964">
        <f t="shared" si="503"/>
        <v>6</v>
      </c>
      <c r="E1964">
        <f t="shared" si="504"/>
        <v>2024</v>
      </c>
      <c r="F1964" s="2">
        <v>2717</v>
      </c>
      <c r="G1964" t="s">
        <v>18</v>
      </c>
      <c r="I1964" s="4">
        <f t="shared" si="514"/>
        <v>0.19200427193344777</v>
      </c>
    </row>
    <row r="1965" spans="1:9" x14ac:dyDescent="0.3">
      <c r="A1965" t="s">
        <v>5</v>
      </c>
      <c r="B1965" s="3">
        <v>45455</v>
      </c>
      <c r="C1965">
        <f t="shared" si="502"/>
        <v>12</v>
      </c>
      <c r="D1965">
        <f t="shared" si="503"/>
        <v>6</v>
      </c>
      <c r="E1965">
        <f t="shared" si="504"/>
        <v>2024</v>
      </c>
      <c r="F1965" s="2">
        <v>2590</v>
      </c>
      <c r="G1965" t="s">
        <v>19</v>
      </c>
      <c r="I1965" s="4">
        <f t="shared" ref="I1965:I1969" si="515">SUMIFS($F$2:$F$2739,$G$2:$G$2739,"Multi-year Contract",$E$2:$E$2739,2024)/SUMIF($E$2:$E$2739,2024,$F$2:$F$2739)</f>
        <v>0.71222648320847215</v>
      </c>
    </row>
    <row r="1966" spans="1:9" x14ac:dyDescent="0.3">
      <c r="A1966" t="s">
        <v>3</v>
      </c>
      <c r="B1966" s="3">
        <v>45455</v>
      </c>
      <c r="C1966">
        <f t="shared" si="502"/>
        <v>12</v>
      </c>
      <c r="D1966">
        <f t="shared" si="503"/>
        <v>6</v>
      </c>
      <c r="E1966">
        <f t="shared" si="504"/>
        <v>2024</v>
      </c>
      <c r="F1966" s="2">
        <v>1390</v>
      </c>
      <c r="G1966" t="s">
        <v>19</v>
      </c>
      <c r="I1966" s="4">
        <f t="shared" si="515"/>
        <v>0.71222648320847215</v>
      </c>
    </row>
    <row r="1967" spans="1:9" x14ac:dyDescent="0.3">
      <c r="A1967" t="s">
        <v>11</v>
      </c>
      <c r="B1967" s="3">
        <v>45456</v>
      </c>
      <c r="C1967">
        <f t="shared" si="502"/>
        <v>13</v>
      </c>
      <c r="D1967">
        <f t="shared" si="503"/>
        <v>6</v>
      </c>
      <c r="E1967">
        <f t="shared" si="504"/>
        <v>2024</v>
      </c>
      <c r="F1967" s="2">
        <v>3208</v>
      </c>
      <c r="G1967" t="s">
        <v>19</v>
      </c>
      <c r="I1967" s="4">
        <f t="shared" si="515"/>
        <v>0.71222648320847215</v>
      </c>
    </row>
    <row r="1968" spans="1:9" x14ac:dyDescent="0.3">
      <c r="A1968" t="s">
        <v>8</v>
      </c>
      <c r="B1968" s="3">
        <v>45456</v>
      </c>
      <c r="C1968">
        <f t="shared" si="502"/>
        <v>13</v>
      </c>
      <c r="D1968">
        <f t="shared" si="503"/>
        <v>6</v>
      </c>
      <c r="E1968">
        <f t="shared" si="504"/>
        <v>2024</v>
      </c>
      <c r="F1968" s="2">
        <v>3012</v>
      </c>
      <c r="G1968" s="2" t="s">
        <v>19</v>
      </c>
      <c r="I1968" s="4">
        <f t="shared" si="515"/>
        <v>0.71222648320847215</v>
      </c>
    </row>
    <row r="1969" spans="1:9" x14ac:dyDescent="0.3">
      <c r="A1969" t="s">
        <v>3</v>
      </c>
      <c r="B1969" s="3">
        <v>45456</v>
      </c>
      <c r="C1969">
        <f t="shared" si="502"/>
        <v>13</v>
      </c>
      <c r="D1969">
        <f t="shared" si="503"/>
        <v>6</v>
      </c>
      <c r="E1969">
        <f t="shared" si="504"/>
        <v>2024</v>
      </c>
      <c r="F1969" s="2">
        <v>949</v>
      </c>
      <c r="G1969" t="s">
        <v>19</v>
      </c>
      <c r="I1969" s="4">
        <f t="shared" si="515"/>
        <v>0.71222648320847215</v>
      </c>
    </row>
    <row r="1970" spans="1:9" x14ac:dyDescent="0.3">
      <c r="A1970" t="s">
        <v>9</v>
      </c>
      <c r="B1970" s="3">
        <v>45456</v>
      </c>
      <c r="C1970">
        <f t="shared" si="502"/>
        <v>13</v>
      </c>
      <c r="D1970">
        <f t="shared" si="503"/>
        <v>6</v>
      </c>
      <c r="E1970">
        <f t="shared" si="504"/>
        <v>2024</v>
      </c>
      <c r="F1970" s="2">
        <v>3951</v>
      </c>
      <c r="G1970" t="s">
        <v>18</v>
      </c>
      <c r="I1970" s="4">
        <f>SUMIFS($F$2:$F$2739,$G$2:$G$2739,"Annual Contract",$E$2:$E$2739,2024)/SUMIF($E$2:$E$2739,2024,$F$2:$F$2739)</f>
        <v>0.19200427193344777</v>
      </c>
    </row>
    <row r="1971" spans="1:9" x14ac:dyDescent="0.3">
      <c r="A1971" t="s">
        <v>12</v>
      </c>
      <c r="B1971" s="3">
        <v>45457</v>
      </c>
      <c r="C1971">
        <f t="shared" si="502"/>
        <v>14</v>
      </c>
      <c r="D1971">
        <f t="shared" si="503"/>
        <v>6</v>
      </c>
      <c r="E1971">
        <f t="shared" si="504"/>
        <v>2024</v>
      </c>
      <c r="F1971" s="2">
        <v>3961</v>
      </c>
      <c r="G1971" s="2" t="s">
        <v>19</v>
      </c>
      <c r="I1971" s="4">
        <f t="shared" ref="I1971:I1979" si="516">SUMIFS($F$2:$F$2739,$G$2:$G$2739,"Multi-year Contract",$E$2:$E$2739,2024)/SUMIF($E$2:$E$2739,2024,$F$2:$F$2739)</f>
        <v>0.71222648320847215</v>
      </c>
    </row>
    <row r="1972" spans="1:9" x14ac:dyDescent="0.3">
      <c r="A1972" t="s">
        <v>10</v>
      </c>
      <c r="B1972" s="3">
        <v>45458</v>
      </c>
      <c r="C1972">
        <f t="shared" si="502"/>
        <v>15</v>
      </c>
      <c r="D1972">
        <f t="shared" si="503"/>
        <v>6</v>
      </c>
      <c r="E1972">
        <f t="shared" si="504"/>
        <v>2024</v>
      </c>
      <c r="F1972" s="2">
        <v>2991</v>
      </c>
      <c r="G1972" t="s">
        <v>19</v>
      </c>
      <c r="I1972" s="4">
        <f t="shared" si="516"/>
        <v>0.71222648320847215</v>
      </c>
    </row>
    <row r="1973" spans="1:9" x14ac:dyDescent="0.3">
      <c r="A1973" t="s">
        <v>8</v>
      </c>
      <c r="B1973" s="3">
        <v>45458</v>
      </c>
      <c r="C1973">
        <f t="shared" si="502"/>
        <v>15</v>
      </c>
      <c r="D1973">
        <f t="shared" si="503"/>
        <v>6</v>
      </c>
      <c r="E1973">
        <f t="shared" si="504"/>
        <v>2024</v>
      </c>
      <c r="F1973" s="2">
        <v>2643</v>
      </c>
      <c r="G1973" s="2" t="s">
        <v>19</v>
      </c>
      <c r="I1973" s="4">
        <f t="shared" si="516"/>
        <v>0.71222648320847215</v>
      </c>
    </row>
    <row r="1974" spans="1:9" x14ac:dyDescent="0.3">
      <c r="A1974" t="s">
        <v>11</v>
      </c>
      <c r="B1974" s="3">
        <v>45458</v>
      </c>
      <c r="C1974">
        <f t="shared" si="502"/>
        <v>15</v>
      </c>
      <c r="D1974">
        <f t="shared" si="503"/>
        <v>6</v>
      </c>
      <c r="E1974">
        <f t="shared" si="504"/>
        <v>2024</v>
      </c>
      <c r="F1974" s="2">
        <v>826</v>
      </c>
      <c r="G1974" t="s">
        <v>19</v>
      </c>
      <c r="I1974" s="4">
        <f t="shared" si="516"/>
        <v>0.71222648320847215</v>
      </c>
    </row>
    <row r="1975" spans="1:9" x14ac:dyDescent="0.3">
      <c r="A1975" t="s">
        <v>3</v>
      </c>
      <c r="B1975" s="3">
        <v>45459</v>
      </c>
      <c r="C1975">
        <f t="shared" si="502"/>
        <v>16</v>
      </c>
      <c r="D1975">
        <f t="shared" si="503"/>
        <v>6</v>
      </c>
      <c r="E1975">
        <f t="shared" si="504"/>
        <v>2024</v>
      </c>
      <c r="F1975" s="2">
        <v>755</v>
      </c>
      <c r="G1975" t="s">
        <v>19</v>
      </c>
      <c r="I1975" s="4">
        <f t="shared" si="516"/>
        <v>0.71222648320847215</v>
      </c>
    </row>
    <row r="1976" spans="1:9" x14ac:dyDescent="0.3">
      <c r="A1976" t="s">
        <v>3</v>
      </c>
      <c r="B1976" s="3">
        <v>45459</v>
      </c>
      <c r="C1976">
        <f t="shared" si="502"/>
        <v>16</v>
      </c>
      <c r="D1976">
        <f t="shared" si="503"/>
        <v>6</v>
      </c>
      <c r="E1976">
        <f t="shared" si="504"/>
        <v>2024</v>
      </c>
      <c r="F1976" s="2">
        <v>3935</v>
      </c>
      <c r="G1976" t="s">
        <v>19</v>
      </c>
      <c r="I1976" s="4">
        <f t="shared" si="516"/>
        <v>0.71222648320847215</v>
      </c>
    </row>
    <row r="1977" spans="1:9" x14ac:dyDescent="0.3">
      <c r="A1977" t="s">
        <v>5</v>
      </c>
      <c r="B1977" s="3">
        <v>45459</v>
      </c>
      <c r="C1977">
        <f t="shared" si="502"/>
        <v>16</v>
      </c>
      <c r="D1977">
        <f t="shared" si="503"/>
        <v>6</v>
      </c>
      <c r="E1977">
        <f t="shared" si="504"/>
        <v>2024</v>
      </c>
      <c r="F1977" s="2">
        <v>2329</v>
      </c>
      <c r="G1977" t="s">
        <v>19</v>
      </c>
      <c r="I1977" s="4">
        <f t="shared" si="516"/>
        <v>0.71222648320847215</v>
      </c>
    </row>
    <row r="1978" spans="1:9" x14ac:dyDescent="0.3">
      <c r="A1978" t="s">
        <v>3</v>
      </c>
      <c r="B1978" s="3">
        <v>45460</v>
      </c>
      <c r="C1978">
        <f t="shared" si="502"/>
        <v>17</v>
      </c>
      <c r="D1978">
        <f t="shared" si="503"/>
        <v>6</v>
      </c>
      <c r="E1978">
        <f t="shared" si="504"/>
        <v>2024</v>
      </c>
      <c r="F1978" s="2">
        <v>3497</v>
      </c>
      <c r="G1978" t="s">
        <v>19</v>
      </c>
      <c r="I1978" s="4">
        <f t="shared" si="516"/>
        <v>0.71222648320847215</v>
      </c>
    </row>
    <row r="1979" spans="1:9" x14ac:dyDescent="0.3">
      <c r="A1979" t="s">
        <v>3</v>
      </c>
      <c r="B1979" s="3">
        <v>45460</v>
      </c>
      <c r="C1979">
        <f t="shared" si="502"/>
        <v>17</v>
      </c>
      <c r="D1979">
        <f t="shared" si="503"/>
        <v>6</v>
      </c>
      <c r="E1979">
        <f t="shared" si="504"/>
        <v>2024</v>
      </c>
      <c r="F1979" s="2">
        <v>2617</v>
      </c>
      <c r="G1979" t="s">
        <v>19</v>
      </c>
      <c r="I1979" s="4">
        <f t="shared" si="516"/>
        <v>0.71222648320847215</v>
      </c>
    </row>
    <row r="1980" spans="1:9" x14ac:dyDescent="0.3">
      <c r="A1980" t="s">
        <v>6</v>
      </c>
      <c r="B1980" s="3">
        <v>45460</v>
      </c>
      <c r="C1980">
        <f t="shared" si="502"/>
        <v>17</v>
      </c>
      <c r="D1980">
        <f t="shared" si="503"/>
        <v>6</v>
      </c>
      <c r="E1980">
        <f t="shared" si="504"/>
        <v>2024</v>
      </c>
      <c r="F1980" s="2">
        <v>2212</v>
      </c>
      <c r="G1980" t="s">
        <v>18</v>
      </c>
      <c r="I1980" s="4">
        <f>SUMIFS($F$2:$F$2739,$G$2:$G$2739,"Annual Contract",$E$2:$E$2739,2024)/SUMIF($E$2:$E$2739,2024,$F$2:$F$2739)</f>
        <v>0.19200427193344777</v>
      </c>
    </row>
    <row r="1981" spans="1:9" x14ac:dyDescent="0.3">
      <c r="A1981" t="s">
        <v>12</v>
      </c>
      <c r="B1981" s="3">
        <v>45460</v>
      </c>
      <c r="C1981">
        <f t="shared" si="502"/>
        <v>17</v>
      </c>
      <c r="D1981">
        <f t="shared" si="503"/>
        <v>6</v>
      </c>
      <c r="E1981">
        <f t="shared" si="504"/>
        <v>2024</v>
      </c>
      <c r="F1981" s="2">
        <v>2196</v>
      </c>
      <c r="G1981" s="2" t="s">
        <v>19</v>
      </c>
      <c r="I1981" s="4">
        <f t="shared" ref="I1981:I1988" si="517">SUMIFS($F$2:$F$2739,$G$2:$G$2739,"Multi-year Contract",$E$2:$E$2739,2024)/SUMIF($E$2:$E$2739,2024,$F$2:$F$2739)</f>
        <v>0.71222648320847215</v>
      </c>
    </row>
    <row r="1982" spans="1:9" x14ac:dyDescent="0.3">
      <c r="A1982" t="s">
        <v>8</v>
      </c>
      <c r="B1982" s="3">
        <v>45461</v>
      </c>
      <c r="C1982">
        <f t="shared" si="502"/>
        <v>18</v>
      </c>
      <c r="D1982">
        <f t="shared" si="503"/>
        <v>6</v>
      </c>
      <c r="E1982">
        <f t="shared" si="504"/>
        <v>2024</v>
      </c>
      <c r="F1982" s="2">
        <v>3185</v>
      </c>
      <c r="G1982" s="2" t="s">
        <v>19</v>
      </c>
      <c r="I1982" s="4">
        <f t="shared" si="517"/>
        <v>0.71222648320847215</v>
      </c>
    </row>
    <row r="1983" spans="1:9" x14ac:dyDescent="0.3">
      <c r="A1983" t="s">
        <v>5</v>
      </c>
      <c r="B1983" s="3">
        <v>45461</v>
      </c>
      <c r="C1983">
        <f t="shared" si="502"/>
        <v>18</v>
      </c>
      <c r="D1983">
        <f t="shared" si="503"/>
        <v>6</v>
      </c>
      <c r="E1983">
        <f t="shared" si="504"/>
        <v>2024</v>
      </c>
      <c r="F1983" s="2">
        <v>1819</v>
      </c>
      <c r="G1983" t="s">
        <v>19</v>
      </c>
      <c r="I1983" s="4">
        <f t="shared" si="517"/>
        <v>0.71222648320847215</v>
      </c>
    </row>
    <row r="1984" spans="1:9" x14ac:dyDescent="0.3">
      <c r="A1984" t="s">
        <v>10</v>
      </c>
      <c r="B1984" s="3">
        <v>45461</v>
      </c>
      <c r="C1984">
        <f t="shared" si="502"/>
        <v>18</v>
      </c>
      <c r="D1984">
        <f t="shared" si="503"/>
        <v>6</v>
      </c>
      <c r="E1984">
        <f t="shared" si="504"/>
        <v>2024</v>
      </c>
      <c r="F1984" s="2">
        <v>1629</v>
      </c>
      <c r="G1984" t="s">
        <v>19</v>
      </c>
      <c r="I1984" s="4">
        <f t="shared" si="517"/>
        <v>0.71222648320847215</v>
      </c>
    </row>
    <row r="1985" spans="1:9" x14ac:dyDescent="0.3">
      <c r="A1985" t="s">
        <v>3</v>
      </c>
      <c r="B1985" s="3">
        <v>45461</v>
      </c>
      <c r="C1985">
        <f t="shared" si="502"/>
        <v>18</v>
      </c>
      <c r="D1985">
        <f t="shared" si="503"/>
        <v>6</v>
      </c>
      <c r="E1985">
        <f t="shared" si="504"/>
        <v>2024</v>
      </c>
      <c r="F1985" s="2">
        <v>854</v>
      </c>
      <c r="G1985" t="s">
        <v>19</v>
      </c>
      <c r="I1985" s="4">
        <f t="shared" si="517"/>
        <v>0.71222648320847215</v>
      </c>
    </row>
    <row r="1986" spans="1:9" x14ac:dyDescent="0.3">
      <c r="A1986" t="s">
        <v>11</v>
      </c>
      <c r="B1986" s="3">
        <v>45461</v>
      </c>
      <c r="C1986">
        <f t="shared" si="502"/>
        <v>18</v>
      </c>
      <c r="D1986">
        <f t="shared" si="503"/>
        <v>6</v>
      </c>
      <c r="E1986">
        <f t="shared" si="504"/>
        <v>2024</v>
      </c>
      <c r="F1986" s="2">
        <v>2617</v>
      </c>
      <c r="G1986" t="s">
        <v>19</v>
      </c>
      <c r="I1986" s="4">
        <f t="shared" si="517"/>
        <v>0.71222648320847215</v>
      </c>
    </row>
    <row r="1987" spans="1:9" x14ac:dyDescent="0.3">
      <c r="A1987" t="s">
        <v>4</v>
      </c>
      <c r="B1987" s="3">
        <v>45462</v>
      </c>
      <c r="C1987">
        <f t="shared" ref="C1987:C2050" si="518">DAY(B1987)</f>
        <v>19</v>
      </c>
      <c r="D1987">
        <f t="shared" ref="D1987:D2050" si="519">MONTH(B1987)</f>
        <v>6</v>
      </c>
      <c r="E1987">
        <f t="shared" ref="E1987:E2050" si="520">YEAR(B1987)</f>
        <v>2024</v>
      </c>
      <c r="F1987" s="2">
        <v>743</v>
      </c>
      <c r="G1987" s="2" t="s">
        <v>19</v>
      </c>
      <c r="I1987" s="4">
        <f t="shared" si="517"/>
        <v>0.71222648320847215</v>
      </c>
    </row>
    <row r="1988" spans="1:9" x14ac:dyDescent="0.3">
      <c r="A1988" t="s">
        <v>11</v>
      </c>
      <c r="B1988" s="3">
        <v>45462</v>
      </c>
      <c r="C1988">
        <f t="shared" si="518"/>
        <v>19</v>
      </c>
      <c r="D1988">
        <f t="shared" si="519"/>
        <v>6</v>
      </c>
      <c r="E1988">
        <f t="shared" si="520"/>
        <v>2024</v>
      </c>
      <c r="F1988" s="2">
        <v>1292</v>
      </c>
      <c r="G1988" t="s">
        <v>19</v>
      </c>
      <c r="I1988" s="4">
        <f t="shared" si="517"/>
        <v>0.71222648320847215</v>
      </c>
    </row>
    <row r="1989" spans="1:9" x14ac:dyDescent="0.3">
      <c r="A1989" t="s">
        <v>9</v>
      </c>
      <c r="B1989" s="3">
        <v>45462</v>
      </c>
      <c r="C1989">
        <f t="shared" si="518"/>
        <v>19</v>
      </c>
      <c r="D1989">
        <f t="shared" si="519"/>
        <v>6</v>
      </c>
      <c r="E1989">
        <f t="shared" si="520"/>
        <v>2024</v>
      </c>
      <c r="F1989" s="2">
        <v>722</v>
      </c>
      <c r="G1989" t="s">
        <v>18</v>
      </c>
      <c r="I1989" s="4">
        <f t="shared" ref="I1989:I1990" si="521">SUMIFS($F$2:$F$2739,$G$2:$G$2739,"Annual Contract",$E$2:$E$2739,2024)/SUMIF($E$2:$E$2739,2024,$F$2:$F$2739)</f>
        <v>0.19200427193344777</v>
      </c>
    </row>
    <row r="1990" spans="1:9" x14ac:dyDescent="0.3">
      <c r="A1990" t="s">
        <v>6</v>
      </c>
      <c r="B1990" s="3">
        <v>45462</v>
      </c>
      <c r="C1990">
        <f t="shared" si="518"/>
        <v>19</v>
      </c>
      <c r="D1990">
        <f t="shared" si="519"/>
        <v>6</v>
      </c>
      <c r="E1990">
        <f t="shared" si="520"/>
        <v>2024</v>
      </c>
      <c r="F1990" s="2">
        <v>2579</v>
      </c>
      <c r="G1990" t="s">
        <v>18</v>
      </c>
      <c r="I1990" s="4">
        <f t="shared" si="521"/>
        <v>0.19200427193344777</v>
      </c>
    </row>
    <row r="1991" spans="1:9" x14ac:dyDescent="0.3">
      <c r="A1991" t="s">
        <v>3</v>
      </c>
      <c r="B1991" s="3">
        <v>45464</v>
      </c>
      <c r="C1991">
        <f t="shared" si="518"/>
        <v>21</v>
      </c>
      <c r="D1991">
        <f t="shared" si="519"/>
        <v>6</v>
      </c>
      <c r="E1991">
        <f t="shared" si="520"/>
        <v>2024</v>
      </c>
      <c r="F1991" s="2">
        <v>2016</v>
      </c>
      <c r="G1991" t="s">
        <v>19</v>
      </c>
      <c r="I1991" s="4">
        <f>SUMIFS($F$2:$F$2739,$G$2:$G$2739,"Multi-year Contract",$E$2:$E$2739,2024)/SUMIF($E$2:$E$2739,2024,$F$2:$F$2739)</f>
        <v>0.71222648320847215</v>
      </c>
    </row>
    <row r="1992" spans="1:9" x14ac:dyDescent="0.3">
      <c r="A1992" t="s">
        <v>7</v>
      </c>
      <c r="B1992" s="3">
        <v>45464</v>
      </c>
      <c r="C1992">
        <f t="shared" si="518"/>
        <v>21</v>
      </c>
      <c r="D1992">
        <f t="shared" si="519"/>
        <v>6</v>
      </c>
      <c r="E1992">
        <f t="shared" si="520"/>
        <v>2024</v>
      </c>
      <c r="F1992" s="2">
        <v>2988</v>
      </c>
      <c r="G1992" t="s">
        <v>17</v>
      </c>
      <c r="I1992" s="4">
        <f>SUMIFS($F$2:$F$2739,$G$2:$G$2739,"No Contract",$E$2:$E$2739,2024)/SUMIF($E$2:$E$2739,2024,$F$2:$F$2739)</f>
        <v>9.576924485808011E-2</v>
      </c>
    </row>
    <row r="1993" spans="1:9" x14ac:dyDescent="0.3">
      <c r="A1993" t="s">
        <v>8</v>
      </c>
      <c r="B1993" s="3">
        <v>45464</v>
      </c>
      <c r="C1993">
        <f t="shared" si="518"/>
        <v>21</v>
      </c>
      <c r="D1993">
        <f t="shared" si="519"/>
        <v>6</v>
      </c>
      <c r="E1993">
        <f t="shared" si="520"/>
        <v>2024</v>
      </c>
      <c r="F1993" s="2">
        <v>3245</v>
      </c>
      <c r="G1993" s="2" t="s">
        <v>19</v>
      </c>
      <c r="I1993" s="4">
        <f t="shared" ref="I1993:I1997" si="522">SUMIFS($F$2:$F$2739,$G$2:$G$2739,"Multi-year Contract",$E$2:$E$2739,2024)/SUMIF($E$2:$E$2739,2024,$F$2:$F$2739)</f>
        <v>0.71222648320847215</v>
      </c>
    </row>
    <row r="1994" spans="1:9" x14ac:dyDescent="0.3">
      <c r="A1994" t="s">
        <v>4</v>
      </c>
      <c r="B1994" s="3">
        <v>45465</v>
      </c>
      <c r="C1994">
        <f t="shared" si="518"/>
        <v>22</v>
      </c>
      <c r="D1994">
        <f t="shared" si="519"/>
        <v>6</v>
      </c>
      <c r="E1994">
        <f t="shared" si="520"/>
        <v>2024</v>
      </c>
      <c r="F1994" s="2">
        <v>2863</v>
      </c>
      <c r="G1994" s="2" t="s">
        <v>19</v>
      </c>
      <c r="I1994" s="4">
        <f t="shared" si="522"/>
        <v>0.71222648320847215</v>
      </c>
    </row>
    <row r="1995" spans="1:9" x14ac:dyDescent="0.3">
      <c r="A1995" t="s">
        <v>5</v>
      </c>
      <c r="B1995" s="3">
        <v>45465</v>
      </c>
      <c r="C1995">
        <f t="shared" si="518"/>
        <v>22</v>
      </c>
      <c r="D1995">
        <f t="shared" si="519"/>
        <v>6</v>
      </c>
      <c r="E1995">
        <f t="shared" si="520"/>
        <v>2024</v>
      </c>
      <c r="F1995" s="2">
        <v>3824</v>
      </c>
      <c r="G1995" t="s">
        <v>19</v>
      </c>
      <c r="I1995" s="4">
        <f t="shared" si="522"/>
        <v>0.71222648320847215</v>
      </c>
    </row>
    <row r="1996" spans="1:9" x14ac:dyDescent="0.3">
      <c r="A1996" t="s">
        <v>10</v>
      </c>
      <c r="B1996" s="3">
        <v>45466</v>
      </c>
      <c r="C1996">
        <f t="shared" si="518"/>
        <v>23</v>
      </c>
      <c r="D1996">
        <f t="shared" si="519"/>
        <v>6</v>
      </c>
      <c r="E1996">
        <f t="shared" si="520"/>
        <v>2024</v>
      </c>
      <c r="F1996" s="2">
        <v>1682</v>
      </c>
      <c r="G1996" t="s">
        <v>19</v>
      </c>
      <c r="I1996" s="4">
        <f t="shared" si="522"/>
        <v>0.71222648320847215</v>
      </c>
    </row>
    <row r="1997" spans="1:9" x14ac:dyDescent="0.3">
      <c r="A1997" t="s">
        <v>12</v>
      </c>
      <c r="B1997" s="3">
        <v>45466</v>
      </c>
      <c r="C1997">
        <f t="shared" si="518"/>
        <v>23</v>
      </c>
      <c r="D1997">
        <f t="shared" si="519"/>
        <v>6</v>
      </c>
      <c r="E1997">
        <f t="shared" si="520"/>
        <v>2024</v>
      </c>
      <c r="F1997" s="2">
        <v>1518</v>
      </c>
      <c r="G1997" s="2" t="s">
        <v>19</v>
      </c>
      <c r="I1997" s="4">
        <f t="shared" si="522"/>
        <v>0.71222648320847215</v>
      </c>
    </row>
    <row r="1998" spans="1:9" x14ac:dyDescent="0.3">
      <c r="A1998" t="s">
        <v>9</v>
      </c>
      <c r="B1998" s="3">
        <v>45466</v>
      </c>
      <c r="C1998">
        <f t="shared" si="518"/>
        <v>23</v>
      </c>
      <c r="D1998">
        <f t="shared" si="519"/>
        <v>6</v>
      </c>
      <c r="E1998">
        <f t="shared" si="520"/>
        <v>2024</v>
      </c>
      <c r="F1998" s="2">
        <v>3642</v>
      </c>
      <c r="G1998" t="s">
        <v>18</v>
      </c>
      <c r="I1998" s="4">
        <f>SUMIFS($F$2:$F$2739,$G$2:$G$2739,"Annual Contract",$E$2:$E$2739,2024)/SUMIF($E$2:$E$2739,2024,$F$2:$F$2739)</f>
        <v>0.19200427193344777</v>
      </c>
    </row>
    <row r="1999" spans="1:9" x14ac:dyDescent="0.3">
      <c r="A1999" t="s">
        <v>10</v>
      </c>
      <c r="B1999" s="3">
        <v>45467</v>
      </c>
      <c r="C1999">
        <f t="shared" si="518"/>
        <v>24</v>
      </c>
      <c r="D1999">
        <f t="shared" si="519"/>
        <v>6</v>
      </c>
      <c r="E1999">
        <f t="shared" si="520"/>
        <v>2024</v>
      </c>
      <c r="F1999" s="2">
        <v>3188</v>
      </c>
      <c r="G1999" t="s">
        <v>19</v>
      </c>
      <c r="I1999" s="4">
        <f t="shared" ref="I1999:I2002" si="523">SUMIFS($F$2:$F$2739,$G$2:$G$2739,"Multi-year Contract",$E$2:$E$2739,2024)/SUMIF($E$2:$E$2739,2024,$F$2:$F$2739)</f>
        <v>0.71222648320847215</v>
      </c>
    </row>
    <row r="2000" spans="1:9" x14ac:dyDescent="0.3">
      <c r="A2000" t="s">
        <v>10</v>
      </c>
      <c r="B2000" s="3">
        <v>45467</v>
      </c>
      <c r="C2000">
        <f t="shared" si="518"/>
        <v>24</v>
      </c>
      <c r="D2000">
        <f t="shared" si="519"/>
        <v>6</v>
      </c>
      <c r="E2000">
        <f t="shared" si="520"/>
        <v>2024</v>
      </c>
      <c r="F2000" s="2">
        <v>2492</v>
      </c>
      <c r="G2000" t="s">
        <v>19</v>
      </c>
      <c r="I2000" s="4">
        <f t="shared" si="523"/>
        <v>0.71222648320847215</v>
      </c>
    </row>
    <row r="2001" spans="1:9" x14ac:dyDescent="0.3">
      <c r="A2001" t="s">
        <v>8</v>
      </c>
      <c r="B2001" s="3">
        <v>45467</v>
      </c>
      <c r="C2001">
        <f t="shared" si="518"/>
        <v>24</v>
      </c>
      <c r="D2001">
        <f t="shared" si="519"/>
        <v>6</v>
      </c>
      <c r="E2001">
        <f t="shared" si="520"/>
        <v>2024</v>
      </c>
      <c r="F2001" s="2">
        <v>1779</v>
      </c>
      <c r="G2001" s="2" t="s">
        <v>19</v>
      </c>
      <c r="I2001" s="4">
        <f t="shared" si="523"/>
        <v>0.71222648320847215</v>
      </c>
    </row>
    <row r="2002" spans="1:9" x14ac:dyDescent="0.3">
      <c r="A2002" t="s">
        <v>10</v>
      </c>
      <c r="B2002" s="3">
        <v>45467</v>
      </c>
      <c r="C2002">
        <f t="shared" si="518"/>
        <v>24</v>
      </c>
      <c r="D2002">
        <f t="shared" si="519"/>
        <v>6</v>
      </c>
      <c r="E2002">
        <f t="shared" si="520"/>
        <v>2024</v>
      </c>
      <c r="F2002" s="2">
        <v>1139</v>
      </c>
      <c r="G2002" t="s">
        <v>19</v>
      </c>
      <c r="I2002" s="4">
        <f t="shared" si="523"/>
        <v>0.71222648320847215</v>
      </c>
    </row>
    <row r="2003" spans="1:9" x14ac:dyDescent="0.3">
      <c r="A2003" t="s">
        <v>9</v>
      </c>
      <c r="B2003" s="3">
        <v>45467</v>
      </c>
      <c r="C2003">
        <f t="shared" si="518"/>
        <v>24</v>
      </c>
      <c r="D2003">
        <f t="shared" si="519"/>
        <v>6</v>
      </c>
      <c r="E2003">
        <f t="shared" si="520"/>
        <v>2024</v>
      </c>
      <c r="F2003" s="2">
        <v>1008</v>
      </c>
      <c r="G2003" t="s">
        <v>18</v>
      </c>
      <c r="I2003" s="4">
        <f>SUMIFS($F$2:$F$2739,$G$2:$G$2739,"Annual Contract",$E$2:$E$2739,2024)/SUMIF($E$2:$E$2739,2024,$F$2:$F$2739)</f>
        <v>0.19200427193344777</v>
      </c>
    </row>
    <row r="2004" spans="1:9" x14ac:dyDescent="0.3">
      <c r="A2004" t="s">
        <v>11</v>
      </c>
      <c r="B2004" s="3">
        <v>45467</v>
      </c>
      <c r="C2004">
        <f t="shared" si="518"/>
        <v>24</v>
      </c>
      <c r="D2004">
        <f t="shared" si="519"/>
        <v>6</v>
      </c>
      <c r="E2004">
        <f t="shared" si="520"/>
        <v>2024</v>
      </c>
      <c r="F2004" s="2">
        <v>2439</v>
      </c>
      <c r="G2004" t="s">
        <v>19</v>
      </c>
      <c r="I2004" s="4">
        <f t="shared" ref="I2004:I2013" si="524">SUMIFS($F$2:$F$2739,$G$2:$G$2739,"Multi-year Contract",$E$2:$E$2739,2024)/SUMIF($E$2:$E$2739,2024,$F$2:$F$2739)</f>
        <v>0.71222648320847215</v>
      </c>
    </row>
    <row r="2005" spans="1:9" x14ac:dyDescent="0.3">
      <c r="A2005" t="s">
        <v>5</v>
      </c>
      <c r="B2005" s="3">
        <v>45468</v>
      </c>
      <c r="C2005">
        <f t="shared" si="518"/>
        <v>25</v>
      </c>
      <c r="D2005">
        <f t="shared" si="519"/>
        <v>6</v>
      </c>
      <c r="E2005">
        <f t="shared" si="520"/>
        <v>2024</v>
      </c>
      <c r="F2005" s="2">
        <v>2382</v>
      </c>
      <c r="G2005" t="s">
        <v>19</v>
      </c>
      <c r="I2005" s="4">
        <f t="shared" si="524"/>
        <v>0.71222648320847215</v>
      </c>
    </row>
    <row r="2006" spans="1:9" x14ac:dyDescent="0.3">
      <c r="A2006" t="s">
        <v>12</v>
      </c>
      <c r="B2006" s="3">
        <v>45468</v>
      </c>
      <c r="C2006">
        <f t="shared" si="518"/>
        <v>25</v>
      </c>
      <c r="D2006">
        <f t="shared" si="519"/>
        <v>6</v>
      </c>
      <c r="E2006">
        <f t="shared" si="520"/>
        <v>2024</v>
      </c>
      <c r="F2006" s="2">
        <v>3343</v>
      </c>
      <c r="G2006" s="2" t="s">
        <v>19</v>
      </c>
      <c r="I2006" s="4">
        <f t="shared" si="524"/>
        <v>0.71222648320847215</v>
      </c>
    </row>
    <row r="2007" spans="1:9" x14ac:dyDescent="0.3">
      <c r="A2007" t="s">
        <v>10</v>
      </c>
      <c r="B2007" s="3">
        <v>45468</v>
      </c>
      <c r="C2007">
        <f t="shared" si="518"/>
        <v>25</v>
      </c>
      <c r="D2007">
        <f t="shared" si="519"/>
        <v>6</v>
      </c>
      <c r="E2007">
        <f t="shared" si="520"/>
        <v>2024</v>
      </c>
      <c r="F2007" s="2">
        <v>3071</v>
      </c>
      <c r="G2007" t="s">
        <v>19</v>
      </c>
      <c r="I2007" s="4">
        <f t="shared" si="524"/>
        <v>0.71222648320847215</v>
      </c>
    </row>
    <row r="2008" spans="1:9" x14ac:dyDescent="0.3">
      <c r="A2008" t="s">
        <v>11</v>
      </c>
      <c r="B2008" s="3">
        <v>45468</v>
      </c>
      <c r="C2008">
        <f t="shared" si="518"/>
        <v>25</v>
      </c>
      <c r="D2008">
        <f t="shared" si="519"/>
        <v>6</v>
      </c>
      <c r="E2008">
        <f t="shared" si="520"/>
        <v>2024</v>
      </c>
      <c r="F2008" s="2">
        <v>3753</v>
      </c>
      <c r="G2008" t="s">
        <v>19</v>
      </c>
      <c r="I2008" s="4">
        <f t="shared" si="524"/>
        <v>0.71222648320847215</v>
      </c>
    </row>
    <row r="2009" spans="1:9" x14ac:dyDescent="0.3">
      <c r="A2009" t="s">
        <v>8</v>
      </c>
      <c r="B2009" s="3">
        <v>45469</v>
      </c>
      <c r="C2009">
        <f t="shared" si="518"/>
        <v>26</v>
      </c>
      <c r="D2009">
        <f t="shared" si="519"/>
        <v>6</v>
      </c>
      <c r="E2009">
        <f t="shared" si="520"/>
        <v>2024</v>
      </c>
      <c r="F2009" s="2">
        <v>2000</v>
      </c>
      <c r="G2009" s="2" t="s">
        <v>19</v>
      </c>
      <c r="I2009" s="4">
        <f t="shared" si="524"/>
        <v>0.71222648320847215</v>
      </c>
    </row>
    <row r="2010" spans="1:9" x14ac:dyDescent="0.3">
      <c r="A2010" t="s">
        <v>5</v>
      </c>
      <c r="B2010" s="3">
        <v>45469</v>
      </c>
      <c r="C2010">
        <f t="shared" si="518"/>
        <v>26</v>
      </c>
      <c r="D2010">
        <f t="shared" si="519"/>
        <v>6</v>
      </c>
      <c r="E2010">
        <f t="shared" si="520"/>
        <v>2024</v>
      </c>
      <c r="F2010" s="2">
        <v>3099</v>
      </c>
      <c r="G2010" t="s">
        <v>19</v>
      </c>
      <c r="I2010" s="4">
        <f t="shared" si="524"/>
        <v>0.71222648320847215</v>
      </c>
    </row>
    <row r="2011" spans="1:9" x14ac:dyDescent="0.3">
      <c r="A2011" t="s">
        <v>8</v>
      </c>
      <c r="B2011" s="3">
        <v>45469</v>
      </c>
      <c r="C2011">
        <f t="shared" si="518"/>
        <v>26</v>
      </c>
      <c r="D2011">
        <f t="shared" si="519"/>
        <v>6</v>
      </c>
      <c r="E2011">
        <f t="shared" si="520"/>
        <v>2024</v>
      </c>
      <c r="F2011" s="2">
        <v>3487</v>
      </c>
      <c r="G2011" s="2" t="s">
        <v>19</v>
      </c>
      <c r="I2011" s="4">
        <f t="shared" si="524"/>
        <v>0.71222648320847215</v>
      </c>
    </row>
    <row r="2012" spans="1:9" x14ac:dyDescent="0.3">
      <c r="A2012" t="s">
        <v>5</v>
      </c>
      <c r="B2012" s="3">
        <v>45469</v>
      </c>
      <c r="C2012">
        <f t="shared" si="518"/>
        <v>26</v>
      </c>
      <c r="D2012">
        <f t="shared" si="519"/>
        <v>6</v>
      </c>
      <c r="E2012">
        <f t="shared" si="520"/>
        <v>2024</v>
      </c>
      <c r="F2012" s="2">
        <v>3620</v>
      </c>
      <c r="G2012" t="s">
        <v>19</v>
      </c>
      <c r="I2012" s="4">
        <f t="shared" si="524"/>
        <v>0.71222648320847215</v>
      </c>
    </row>
    <row r="2013" spans="1:9" x14ac:dyDescent="0.3">
      <c r="A2013" t="s">
        <v>8</v>
      </c>
      <c r="B2013" s="3">
        <v>45469</v>
      </c>
      <c r="C2013">
        <f t="shared" si="518"/>
        <v>26</v>
      </c>
      <c r="D2013">
        <f t="shared" si="519"/>
        <v>6</v>
      </c>
      <c r="E2013">
        <f t="shared" si="520"/>
        <v>2024</v>
      </c>
      <c r="F2013" s="2">
        <v>3832</v>
      </c>
      <c r="G2013" s="2" t="s">
        <v>19</v>
      </c>
      <c r="I2013" s="4">
        <f t="shared" si="524"/>
        <v>0.71222648320847215</v>
      </c>
    </row>
    <row r="2014" spans="1:9" x14ac:dyDescent="0.3">
      <c r="A2014" t="s">
        <v>7</v>
      </c>
      <c r="B2014" s="3">
        <v>45469</v>
      </c>
      <c r="C2014">
        <f t="shared" si="518"/>
        <v>26</v>
      </c>
      <c r="D2014">
        <f t="shared" si="519"/>
        <v>6</v>
      </c>
      <c r="E2014">
        <f t="shared" si="520"/>
        <v>2024</v>
      </c>
      <c r="F2014" s="2">
        <v>1458</v>
      </c>
      <c r="G2014" t="s">
        <v>17</v>
      </c>
      <c r="I2014" s="4">
        <f>SUMIFS($F$2:$F$2739,$G$2:$G$2739,"No Contract",$E$2:$E$2739,2024)/SUMIF($E$2:$E$2739,2024,$F$2:$F$2739)</f>
        <v>9.576924485808011E-2</v>
      </c>
    </row>
    <row r="2015" spans="1:9" x14ac:dyDescent="0.3">
      <c r="A2015" t="s">
        <v>10</v>
      </c>
      <c r="B2015" s="3">
        <v>45470</v>
      </c>
      <c r="C2015">
        <f t="shared" si="518"/>
        <v>27</v>
      </c>
      <c r="D2015">
        <f t="shared" si="519"/>
        <v>6</v>
      </c>
      <c r="E2015">
        <f t="shared" si="520"/>
        <v>2024</v>
      </c>
      <c r="F2015" s="2">
        <v>1258</v>
      </c>
      <c r="G2015" t="s">
        <v>19</v>
      </c>
      <c r="I2015" s="4">
        <f>SUMIFS($F$2:$F$2739,$G$2:$G$2739,"Multi-year Contract",$E$2:$E$2739,2024)/SUMIF($E$2:$E$2739,2024,$F$2:$F$2739)</f>
        <v>0.71222648320847215</v>
      </c>
    </row>
    <row r="2016" spans="1:9" x14ac:dyDescent="0.3">
      <c r="A2016" t="s">
        <v>6</v>
      </c>
      <c r="B2016" s="3">
        <v>45470</v>
      </c>
      <c r="C2016">
        <f t="shared" si="518"/>
        <v>27</v>
      </c>
      <c r="D2016">
        <f t="shared" si="519"/>
        <v>6</v>
      </c>
      <c r="E2016">
        <f t="shared" si="520"/>
        <v>2024</v>
      </c>
      <c r="F2016" s="2">
        <v>2595</v>
      </c>
      <c r="G2016" t="s">
        <v>18</v>
      </c>
      <c r="I2016" s="4">
        <f>SUMIFS($F$2:$F$2739,$G$2:$G$2739,"Annual Contract",$E$2:$E$2739,2024)/SUMIF($E$2:$E$2739,2024,$F$2:$F$2739)</f>
        <v>0.19200427193344777</v>
      </c>
    </row>
    <row r="2017" spans="1:9" x14ac:dyDescent="0.3">
      <c r="A2017" t="s">
        <v>8</v>
      </c>
      <c r="B2017" s="3">
        <v>45470</v>
      </c>
      <c r="C2017">
        <f t="shared" si="518"/>
        <v>27</v>
      </c>
      <c r="D2017">
        <f t="shared" si="519"/>
        <v>6</v>
      </c>
      <c r="E2017">
        <f t="shared" si="520"/>
        <v>2024</v>
      </c>
      <c r="F2017" s="2">
        <v>1734</v>
      </c>
      <c r="G2017" s="2" t="s">
        <v>19</v>
      </c>
      <c r="I2017" s="4">
        <f t="shared" ref="I2017:I2022" si="525">SUMIFS($F$2:$F$2739,$G$2:$G$2739,"Multi-year Contract",$E$2:$E$2739,2024)/SUMIF($E$2:$E$2739,2024,$F$2:$F$2739)</f>
        <v>0.71222648320847215</v>
      </c>
    </row>
    <row r="2018" spans="1:9" x14ac:dyDescent="0.3">
      <c r="A2018" t="s">
        <v>12</v>
      </c>
      <c r="B2018" s="3">
        <v>45471</v>
      </c>
      <c r="C2018">
        <f t="shared" si="518"/>
        <v>28</v>
      </c>
      <c r="D2018">
        <f t="shared" si="519"/>
        <v>6</v>
      </c>
      <c r="E2018">
        <f t="shared" si="520"/>
        <v>2024</v>
      </c>
      <c r="F2018" s="2">
        <v>2791</v>
      </c>
      <c r="G2018" s="2" t="s">
        <v>19</v>
      </c>
      <c r="I2018" s="4">
        <f t="shared" si="525"/>
        <v>0.71222648320847215</v>
      </c>
    </row>
    <row r="2019" spans="1:9" x14ac:dyDescent="0.3">
      <c r="A2019" t="s">
        <v>10</v>
      </c>
      <c r="B2019" s="3">
        <v>45471</v>
      </c>
      <c r="C2019">
        <f t="shared" si="518"/>
        <v>28</v>
      </c>
      <c r="D2019">
        <f t="shared" si="519"/>
        <v>6</v>
      </c>
      <c r="E2019">
        <f t="shared" si="520"/>
        <v>2024</v>
      </c>
      <c r="F2019" s="2">
        <v>1733</v>
      </c>
      <c r="G2019" t="s">
        <v>19</v>
      </c>
      <c r="I2019" s="4">
        <f t="shared" si="525"/>
        <v>0.71222648320847215</v>
      </c>
    </row>
    <row r="2020" spans="1:9" x14ac:dyDescent="0.3">
      <c r="A2020" t="s">
        <v>10</v>
      </c>
      <c r="B2020" s="3">
        <v>45471</v>
      </c>
      <c r="C2020">
        <f t="shared" si="518"/>
        <v>28</v>
      </c>
      <c r="D2020">
        <f t="shared" si="519"/>
        <v>6</v>
      </c>
      <c r="E2020">
        <f t="shared" si="520"/>
        <v>2024</v>
      </c>
      <c r="F2020" s="2">
        <v>3002</v>
      </c>
      <c r="G2020" t="s">
        <v>19</v>
      </c>
      <c r="I2020" s="4">
        <f t="shared" si="525"/>
        <v>0.71222648320847215</v>
      </c>
    </row>
    <row r="2021" spans="1:9" x14ac:dyDescent="0.3">
      <c r="A2021" t="s">
        <v>8</v>
      </c>
      <c r="B2021" s="3">
        <v>45471</v>
      </c>
      <c r="C2021">
        <f t="shared" si="518"/>
        <v>28</v>
      </c>
      <c r="D2021">
        <f t="shared" si="519"/>
        <v>6</v>
      </c>
      <c r="E2021">
        <f t="shared" si="520"/>
        <v>2024</v>
      </c>
      <c r="F2021" s="2">
        <v>1060</v>
      </c>
      <c r="G2021" s="2" t="s">
        <v>19</v>
      </c>
      <c r="I2021" s="4">
        <f t="shared" si="525"/>
        <v>0.71222648320847215</v>
      </c>
    </row>
    <row r="2022" spans="1:9" x14ac:dyDescent="0.3">
      <c r="A2022" t="s">
        <v>11</v>
      </c>
      <c r="B2022" s="3">
        <v>45471</v>
      </c>
      <c r="C2022">
        <f t="shared" si="518"/>
        <v>28</v>
      </c>
      <c r="D2022">
        <f t="shared" si="519"/>
        <v>6</v>
      </c>
      <c r="E2022">
        <f t="shared" si="520"/>
        <v>2024</v>
      </c>
      <c r="F2022" s="2">
        <v>3301</v>
      </c>
      <c r="G2022" t="s">
        <v>19</v>
      </c>
      <c r="I2022" s="4">
        <f t="shared" si="525"/>
        <v>0.71222648320847215</v>
      </c>
    </row>
    <row r="2023" spans="1:9" x14ac:dyDescent="0.3">
      <c r="A2023" t="s">
        <v>9</v>
      </c>
      <c r="B2023" s="3">
        <v>45471</v>
      </c>
      <c r="C2023">
        <f t="shared" si="518"/>
        <v>28</v>
      </c>
      <c r="D2023">
        <f t="shared" si="519"/>
        <v>6</v>
      </c>
      <c r="E2023">
        <f t="shared" si="520"/>
        <v>2024</v>
      </c>
      <c r="F2023" s="2">
        <v>942</v>
      </c>
      <c r="G2023" t="s">
        <v>18</v>
      </c>
      <c r="I2023" s="4">
        <f t="shared" ref="I2023:I2024" si="526">SUMIFS($F$2:$F$2739,$G$2:$G$2739,"Annual Contract",$E$2:$E$2739,2024)/SUMIF($E$2:$E$2739,2024,$F$2:$F$2739)</f>
        <v>0.19200427193344777</v>
      </c>
    </row>
    <row r="2024" spans="1:9" x14ac:dyDescent="0.3">
      <c r="A2024" t="s">
        <v>6</v>
      </c>
      <c r="B2024" s="3">
        <v>45472</v>
      </c>
      <c r="C2024">
        <f t="shared" si="518"/>
        <v>29</v>
      </c>
      <c r="D2024">
        <f t="shared" si="519"/>
        <v>6</v>
      </c>
      <c r="E2024">
        <f t="shared" si="520"/>
        <v>2024</v>
      </c>
      <c r="F2024" s="2">
        <v>2580</v>
      </c>
      <c r="G2024" t="s">
        <v>18</v>
      </c>
      <c r="I2024" s="4">
        <f t="shared" si="526"/>
        <v>0.19200427193344777</v>
      </c>
    </row>
    <row r="2025" spans="1:9" x14ac:dyDescent="0.3">
      <c r="A2025" t="s">
        <v>8</v>
      </c>
      <c r="B2025" s="3">
        <v>45472</v>
      </c>
      <c r="C2025">
        <f t="shared" si="518"/>
        <v>29</v>
      </c>
      <c r="D2025">
        <f t="shared" si="519"/>
        <v>6</v>
      </c>
      <c r="E2025">
        <f t="shared" si="520"/>
        <v>2024</v>
      </c>
      <c r="F2025" s="2">
        <v>2288</v>
      </c>
      <c r="G2025" s="2" t="s">
        <v>19</v>
      </c>
      <c r="I2025" s="4">
        <f t="shared" ref="I2025:I2033" si="527">SUMIFS($F$2:$F$2739,$G$2:$G$2739,"Multi-year Contract",$E$2:$E$2739,2024)/SUMIF($E$2:$E$2739,2024,$F$2:$F$2739)</f>
        <v>0.71222648320847215</v>
      </c>
    </row>
    <row r="2026" spans="1:9" x14ac:dyDescent="0.3">
      <c r="A2026" t="s">
        <v>8</v>
      </c>
      <c r="B2026" s="3">
        <v>45473</v>
      </c>
      <c r="C2026">
        <f t="shared" si="518"/>
        <v>30</v>
      </c>
      <c r="D2026">
        <f t="shared" si="519"/>
        <v>6</v>
      </c>
      <c r="E2026">
        <f t="shared" si="520"/>
        <v>2024</v>
      </c>
      <c r="F2026" s="2">
        <v>1732</v>
      </c>
      <c r="G2026" s="2" t="s">
        <v>19</v>
      </c>
      <c r="I2026" s="4">
        <f t="shared" si="527"/>
        <v>0.71222648320847215</v>
      </c>
    </row>
    <row r="2027" spans="1:9" x14ac:dyDescent="0.3">
      <c r="A2027" t="s">
        <v>12</v>
      </c>
      <c r="B2027" s="3">
        <v>45473</v>
      </c>
      <c r="C2027">
        <f t="shared" si="518"/>
        <v>30</v>
      </c>
      <c r="D2027">
        <f t="shared" si="519"/>
        <v>6</v>
      </c>
      <c r="E2027">
        <f t="shared" si="520"/>
        <v>2024</v>
      </c>
      <c r="F2027" s="2">
        <v>2010</v>
      </c>
      <c r="G2027" s="2" t="s">
        <v>19</v>
      </c>
      <c r="I2027" s="4">
        <f t="shared" si="527"/>
        <v>0.71222648320847215</v>
      </c>
    </row>
    <row r="2028" spans="1:9" x14ac:dyDescent="0.3">
      <c r="A2028" t="s">
        <v>8</v>
      </c>
      <c r="B2028" s="3">
        <v>45473</v>
      </c>
      <c r="C2028">
        <f t="shared" si="518"/>
        <v>30</v>
      </c>
      <c r="D2028">
        <f t="shared" si="519"/>
        <v>6</v>
      </c>
      <c r="E2028">
        <f t="shared" si="520"/>
        <v>2024</v>
      </c>
      <c r="F2028" s="2">
        <v>3372</v>
      </c>
      <c r="G2028" s="2" t="s">
        <v>19</v>
      </c>
      <c r="I2028" s="4">
        <f t="shared" si="527"/>
        <v>0.71222648320847215</v>
      </c>
    </row>
    <row r="2029" spans="1:9" x14ac:dyDescent="0.3">
      <c r="A2029" t="s">
        <v>12</v>
      </c>
      <c r="B2029" s="3">
        <v>45474</v>
      </c>
      <c r="C2029">
        <f t="shared" si="518"/>
        <v>1</v>
      </c>
      <c r="D2029">
        <f t="shared" si="519"/>
        <v>7</v>
      </c>
      <c r="E2029">
        <f t="shared" si="520"/>
        <v>2024</v>
      </c>
      <c r="F2029" s="2">
        <v>1088</v>
      </c>
      <c r="G2029" s="2" t="s">
        <v>19</v>
      </c>
      <c r="I2029" s="4">
        <f t="shared" si="527"/>
        <v>0.71222648320847215</v>
      </c>
    </row>
    <row r="2030" spans="1:9" x14ac:dyDescent="0.3">
      <c r="A2030" t="s">
        <v>5</v>
      </c>
      <c r="B2030" s="3">
        <v>45474</v>
      </c>
      <c r="C2030">
        <f t="shared" si="518"/>
        <v>1</v>
      </c>
      <c r="D2030">
        <f t="shared" si="519"/>
        <v>7</v>
      </c>
      <c r="E2030">
        <f t="shared" si="520"/>
        <v>2024</v>
      </c>
      <c r="F2030" s="2">
        <v>3609</v>
      </c>
      <c r="G2030" t="s">
        <v>19</v>
      </c>
      <c r="I2030" s="4">
        <f t="shared" si="527"/>
        <v>0.71222648320847215</v>
      </c>
    </row>
    <row r="2031" spans="1:9" x14ac:dyDescent="0.3">
      <c r="A2031" t="s">
        <v>8</v>
      </c>
      <c r="B2031" s="3">
        <v>45474</v>
      </c>
      <c r="C2031">
        <f t="shared" si="518"/>
        <v>1</v>
      </c>
      <c r="D2031">
        <f t="shared" si="519"/>
        <v>7</v>
      </c>
      <c r="E2031">
        <f t="shared" si="520"/>
        <v>2024</v>
      </c>
      <c r="F2031" s="2">
        <v>2082</v>
      </c>
      <c r="G2031" s="2" t="s">
        <v>19</v>
      </c>
      <c r="I2031" s="4">
        <f t="shared" si="527"/>
        <v>0.71222648320847215</v>
      </c>
    </row>
    <row r="2032" spans="1:9" x14ac:dyDescent="0.3">
      <c r="A2032" t="s">
        <v>5</v>
      </c>
      <c r="B2032" s="3">
        <v>45474</v>
      </c>
      <c r="C2032">
        <f t="shared" si="518"/>
        <v>1</v>
      </c>
      <c r="D2032">
        <f t="shared" si="519"/>
        <v>7</v>
      </c>
      <c r="E2032">
        <f t="shared" si="520"/>
        <v>2024</v>
      </c>
      <c r="F2032" s="2">
        <v>1571</v>
      </c>
      <c r="G2032" t="s">
        <v>19</v>
      </c>
      <c r="I2032" s="4">
        <f t="shared" si="527"/>
        <v>0.71222648320847215</v>
      </c>
    </row>
    <row r="2033" spans="1:9" x14ac:dyDescent="0.3">
      <c r="A2033" t="s">
        <v>11</v>
      </c>
      <c r="B2033" s="3">
        <v>45474</v>
      </c>
      <c r="C2033">
        <f t="shared" si="518"/>
        <v>1</v>
      </c>
      <c r="D2033">
        <f t="shared" si="519"/>
        <v>7</v>
      </c>
      <c r="E2033">
        <f t="shared" si="520"/>
        <v>2024</v>
      </c>
      <c r="F2033" s="2">
        <v>2467</v>
      </c>
      <c r="G2033" t="s">
        <v>19</v>
      </c>
      <c r="I2033" s="4">
        <f t="shared" si="527"/>
        <v>0.71222648320847215</v>
      </c>
    </row>
    <row r="2034" spans="1:9" x14ac:dyDescent="0.3">
      <c r="A2034" t="s">
        <v>9</v>
      </c>
      <c r="B2034" s="3">
        <v>45474</v>
      </c>
      <c r="C2034">
        <f t="shared" si="518"/>
        <v>1</v>
      </c>
      <c r="D2034">
        <f t="shared" si="519"/>
        <v>7</v>
      </c>
      <c r="E2034">
        <f t="shared" si="520"/>
        <v>2024</v>
      </c>
      <c r="F2034" s="2">
        <v>3115</v>
      </c>
      <c r="G2034" t="s">
        <v>18</v>
      </c>
      <c r="I2034" s="4">
        <f>SUMIFS($F$2:$F$2739,$G$2:$G$2739,"Annual Contract",$E$2:$E$2739,2024)/SUMIF($E$2:$E$2739,2024,$F$2:$F$2739)</f>
        <v>0.19200427193344777</v>
      </c>
    </row>
    <row r="2035" spans="1:9" x14ac:dyDescent="0.3">
      <c r="A2035" t="s">
        <v>11</v>
      </c>
      <c r="B2035" s="3">
        <v>45475</v>
      </c>
      <c r="C2035">
        <f t="shared" si="518"/>
        <v>2</v>
      </c>
      <c r="D2035">
        <f t="shared" si="519"/>
        <v>7</v>
      </c>
      <c r="E2035">
        <f t="shared" si="520"/>
        <v>2024</v>
      </c>
      <c r="F2035" s="2">
        <v>3789</v>
      </c>
      <c r="G2035" t="s">
        <v>19</v>
      </c>
      <c r="I2035" s="4">
        <f t="shared" ref="I2035:I2038" si="528">SUMIFS($F$2:$F$2739,$G$2:$G$2739,"Multi-year Contract",$E$2:$E$2739,2024)/SUMIF($E$2:$E$2739,2024,$F$2:$F$2739)</f>
        <v>0.71222648320847215</v>
      </c>
    </row>
    <row r="2036" spans="1:9" x14ac:dyDescent="0.3">
      <c r="A2036" t="s">
        <v>11</v>
      </c>
      <c r="B2036" s="3">
        <v>45475</v>
      </c>
      <c r="C2036">
        <f t="shared" si="518"/>
        <v>2</v>
      </c>
      <c r="D2036">
        <f t="shared" si="519"/>
        <v>7</v>
      </c>
      <c r="E2036">
        <f t="shared" si="520"/>
        <v>2024</v>
      </c>
      <c r="F2036" s="2">
        <v>1194</v>
      </c>
      <c r="G2036" t="s">
        <v>19</v>
      </c>
      <c r="I2036" s="4">
        <f t="shared" si="528"/>
        <v>0.71222648320847215</v>
      </c>
    </row>
    <row r="2037" spans="1:9" x14ac:dyDescent="0.3">
      <c r="A2037" t="s">
        <v>11</v>
      </c>
      <c r="B2037" s="3">
        <v>45475</v>
      </c>
      <c r="C2037">
        <f t="shared" si="518"/>
        <v>2</v>
      </c>
      <c r="D2037">
        <f t="shared" si="519"/>
        <v>7</v>
      </c>
      <c r="E2037">
        <f t="shared" si="520"/>
        <v>2024</v>
      </c>
      <c r="F2037" s="2">
        <v>3497</v>
      </c>
      <c r="G2037" t="s">
        <v>19</v>
      </c>
      <c r="I2037" s="4">
        <f t="shared" si="528"/>
        <v>0.71222648320847215</v>
      </c>
    </row>
    <row r="2038" spans="1:9" x14ac:dyDescent="0.3">
      <c r="A2038" t="s">
        <v>3</v>
      </c>
      <c r="B2038" s="3">
        <v>45475</v>
      </c>
      <c r="C2038">
        <f t="shared" si="518"/>
        <v>2</v>
      </c>
      <c r="D2038">
        <f t="shared" si="519"/>
        <v>7</v>
      </c>
      <c r="E2038">
        <f t="shared" si="520"/>
        <v>2024</v>
      </c>
      <c r="F2038" s="2">
        <v>2092</v>
      </c>
      <c r="G2038" t="s">
        <v>19</v>
      </c>
      <c r="I2038" s="4">
        <f t="shared" si="528"/>
        <v>0.71222648320847215</v>
      </c>
    </row>
    <row r="2039" spans="1:9" x14ac:dyDescent="0.3">
      <c r="A2039" t="s">
        <v>6</v>
      </c>
      <c r="B2039" s="3">
        <v>45475</v>
      </c>
      <c r="C2039">
        <f t="shared" si="518"/>
        <v>2</v>
      </c>
      <c r="D2039">
        <f t="shared" si="519"/>
        <v>7</v>
      </c>
      <c r="E2039">
        <f t="shared" si="520"/>
        <v>2024</v>
      </c>
      <c r="F2039" s="2">
        <v>1102</v>
      </c>
      <c r="G2039" t="s">
        <v>18</v>
      </c>
      <c r="I2039" s="4">
        <f>SUMIFS($F$2:$F$2739,$G$2:$G$2739,"Annual Contract",$E$2:$E$2739,2024)/SUMIF($E$2:$E$2739,2024,$F$2:$F$2739)</f>
        <v>0.19200427193344777</v>
      </c>
    </row>
    <row r="2040" spans="1:9" x14ac:dyDescent="0.3">
      <c r="A2040" t="s">
        <v>4</v>
      </c>
      <c r="B2040" s="3">
        <v>45475</v>
      </c>
      <c r="C2040">
        <f t="shared" si="518"/>
        <v>2</v>
      </c>
      <c r="D2040">
        <f t="shared" si="519"/>
        <v>7</v>
      </c>
      <c r="E2040">
        <f t="shared" si="520"/>
        <v>2024</v>
      </c>
      <c r="F2040" s="2">
        <v>3175</v>
      </c>
      <c r="G2040" s="2" t="s">
        <v>19</v>
      </c>
      <c r="I2040" s="4">
        <f t="shared" ref="I2040:I2052" si="529">SUMIFS($F$2:$F$2739,$G$2:$G$2739,"Multi-year Contract",$E$2:$E$2739,2024)/SUMIF($E$2:$E$2739,2024,$F$2:$F$2739)</f>
        <v>0.71222648320847215</v>
      </c>
    </row>
    <row r="2041" spans="1:9" x14ac:dyDescent="0.3">
      <c r="A2041" t="s">
        <v>5</v>
      </c>
      <c r="B2041" s="3">
        <v>45475</v>
      </c>
      <c r="C2041">
        <f t="shared" si="518"/>
        <v>2</v>
      </c>
      <c r="D2041">
        <f t="shared" si="519"/>
        <v>7</v>
      </c>
      <c r="E2041">
        <f t="shared" si="520"/>
        <v>2024</v>
      </c>
      <c r="F2041" s="2">
        <v>3901</v>
      </c>
      <c r="G2041" t="s">
        <v>19</v>
      </c>
      <c r="I2041" s="4">
        <f t="shared" si="529"/>
        <v>0.71222648320847215</v>
      </c>
    </row>
    <row r="2042" spans="1:9" x14ac:dyDescent="0.3">
      <c r="A2042" t="s">
        <v>3</v>
      </c>
      <c r="B2042" s="3">
        <v>45475</v>
      </c>
      <c r="C2042">
        <f t="shared" si="518"/>
        <v>2</v>
      </c>
      <c r="D2042">
        <f t="shared" si="519"/>
        <v>7</v>
      </c>
      <c r="E2042">
        <f t="shared" si="520"/>
        <v>2024</v>
      </c>
      <c r="F2042" s="2">
        <v>1307</v>
      </c>
      <c r="G2042" t="s">
        <v>19</v>
      </c>
      <c r="I2042" s="4">
        <f t="shared" si="529"/>
        <v>0.71222648320847215</v>
      </c>
    </row>
    <row r="2043" spans="1:9" x14ac:dyDescent="0.3">
      <c r="A2043" t="s">
        <v>12</v>
      </c>
      <c r="B2043" s="3">
        <v>45475</v>
      </c>
      <c r="C2043">
        <f t="shared" si="518"/>
        <v>2</v>
      </c>
      <c r="D2043">
        <f t="shared" si="519"/>
        <v>7</v>
      </c>
      <c r="E2043">
        <f t="shared" si="520"/>
        <v>2024</v>
      </c>
      <c r="F2043" s="2">
        <v>2713</v>
      </c>
      <c r="G2043" s="2" t="s">
        <v>19</v>
      </c>
      <c r="I2043" s="4">
        <f t="shared" si="529"/>
        <v>0.71222648320847215</v>
      </c>
    </row>
    <row r="2044" spans="1:9" x14ac:dyDescent="0.3">
      <c r="A2044" t="s">
        <v>8</v>
      </c>
      <c r="B2044" s="3">
        <v>45476</v>
      </c>
      <c r="C2044">
        <f t="shared" si="518"/>
        <v>3</v>
      </c>
      <c r="D2044">
        <f t="shared" si="519"/>
        <v>7</v>
      </c>
      <c r="E2044">
        <f t="shared" si="520"/>
        <v>2024</v>
      </c>
      <c r="F2044" s="2">
        <v>3864</v>
      </c>
      <c r="G2044" s="2" t="s">
        <v>19</v>
      </c>
      <c r="I2044" s="4">
        <f t="shared" si="529"/>
        <v>0.71222648320847215</v>
      </c>
    </row>
    <row r="2045" spans="1:9" x14ac:dyDescent="0.3">
      <c r="A2045" t="s">
        <v>12</v>
      </c>
      <c r="B2045" s="3">
        <v>45476</v>
      </c>
      <c r="C2045">
        <f t="shared" si="518"/>
        <v>3</v>
      </c>
      <c r="D2045">
        <f t="shared" si="519"/>
        <v>7</v>
      </c>
      <c r="E2045">
        <f t="shared" si="520"/>
        <v>2024</v>
      </c>
      <c r="F2045" s="2">
        <v>2845</v>
      </c>
      <c r="G2045" s="2" t="s">
        <v>19</v>
      </c>
      <c r="I2045" s="4">
        <f t="shared" si="529"/>
        <v>0.71222648320847215</v>
      </c>
    </row>
    <row r="2046" spans="1:9" x14ac:dyDescent="0.3">
      <c r="A2046" t="s">
        <v>12</v>
      </c>
      <c r="B2046" s="3">
        <v>45476</v>
      </c>
      <c r="C2046">
        <f t="shared" si="518"/>
        <v>3</v>
      </c>
      <c r="D2046">
        <f t="shared" si="519"/>
        <v>7</v>
      </c>
      <c r="E2046">
        <f t="shared" si="520"/>
        <v>2024</v>
      </c>
      <c r="F2046" s="2">
        <v>980</v>
      </c>
      <c r="G2046" s="2" t="s">
        <v>19</v>
      </c>
      <c r="I2046" s="4">
        <f t="shared" si="529"/>
        <v>0.71222648320847215</v>
      </c>
    </row>
    <row r="2047" spans="1:9" x14ac:dyDescent="0.3">
      <c r="A2047" t="s">
        <v>8</v>
      </c>
      <c r="B2047" s="3">
        <v>45477</v>
      </c>
      <c r="C2047">
        <f t="shared" si="518"/>
        <v>4</v>
      </c>
      <c r="D2047">
        <f t="shared" si="519"/>
        <v>7</v>
      </c>
      <c r="E2047">
        <f t="shared" si="520"/>
        <v>2024</v>
      </c>
      <c r="F2047" s="2">
        <v>2608</v>
      </c>
      <c r="G2047" s="2" t="s">
        <v>19</v>
      </c>
      <c r="I2047" s="4">
        <f t="shared" si="529"/>
        <v>0.71222648320847215</v>
      </c>
    </row>
    <row r="2048" spans="1:9" x14ac:dyDescent="0.3">
      <c r="A2048" t="s">
        <v>3</v>
      </c>
      <c r="B2048" s="3">
        <v>45477</v>
      </c>
      <c r="C2048">
        <f t="shared" si="518"/>
        <v>4</v>
      </c>
      <c r="D2048">
        <f t="shared" si="519"/>
        <v>7</v>
      </c>
      <c r="E2048">
        <f t="shared" si="520"/>
        <v>2024</v>
      </c>
      <c r="F2048" s="2">
        <v>2656</v>
      </c>
      <c r="G2048" t="s">
        <v>19</v>
      </c>
      <c r="I2048" s="4">
        <f t="shared" si="529"/>
        <v>0.71222648320847215</v>
      </c>
    </row>
    <row r="2049" spans="1:9" x14ac:dyDescent="0.3">
      <c r="A2049" t="s">
        <v>10</v>
      </c>
      <c r="B2049" s="3">
        <v>45478</v>
      </c>
      <c r="C2049">
        <f t="shared" si="518"/>
        <v>5</v>
      </c>
      <c r="D2049">
        <f t="shared" si="519"/>
        <v>7</v>
      </c>
      <c r="E2049">
        <f t="shared" si="520"/>
        <v>2024</v>
      </c>
      <c r="F2049" s="2">
        <v>1298</v>
      </c>
      <c r="G2049" t="s">
        <v>19</v>
      </c>
      <c r="I2049" s="4">
        <f t="shared" si="529"/>
        <v>0.71222648320847215</v>
      </c>
    </row>
    <row r="2050" spans="1:9" x14ac:dyDescent="0.3">
      <c r="A2050" t="s">
        <v>10</v>
      </c>
      <c r="B2050" s="3">
        <v>45478</v>
      </c>
      <c r="C2050">
        <f t="shared" si="518"/>
        <v>5</v>
      </c>
      <c r="D2050">
        <f t="shared" si="519"/>
        <v>7</v>
      </c>
      <c r="E2050">
        <f t="shared" si="520"/>
        <v>2024</v>
      </c>
      <c r="F2050" s="2">
        <v>3180</v>
      </c>
      <c r="G2050" t="s">
        <v>19</v>
      </c>
      <c r="I2050" s="4">
        <f t="shared" si="529"/>
        <v>0.71222648320847215</v>
      </c>
    </row>
    <row r="2051" spans="1:9" x14ac:dyDescent="0.3">
      <c r="A2051" t="s">
        <v>5</v>
      </c>
      <c r="B2051" s="3">
        <v>45478</v>
      </c>
      <c r="C2051">
        <f t="shared" ref="C2051:C2114" si="530">DAY(B2051)</f>
        <v>5</v>
      </c>
      <c r="D2051">
        <f t="shared" ref="D2051:D2114" si="531">MONTH(B2051)</f>
        <v>7</v>
      </c>
      <c r="E2051">
        <f t="shared" ref="E2051:E2114" si="532">YEAR(B2051)</f>
        <v>2024</v>
      </c>
      <c r="F2051" s="2">
        <v>3535</v>
      </c>
      <c r="G2051" t="s">
        <v>19</v>
      </c>
      <c r="I2051" s="4">
        <f t="shared" si="529"/>
        <v>0.71222648320847215</v>
      </c>
    </row>
    <row r="2052" spans="1:9" x14ac:dyDescent="0.3">
      <c r="A2052" t="s">
        <v>12</v>
      </c>
      <c r="B2052" s="3">
        <v>45479</v>
      </c>
      <c r="C2052">
        <f t="shared" si="530"/>
        <v>6</v>
      </c>
      <c r="D2052">
        <f t="shared" si="531"/>
        <v>7</v>
      </c>
      <c r="E2052">
        <f t="shared" si="532"/>
        <v>2024</v>
      </c>
      <c r="F2052" s="2">
        <v>1277</v>
      </c>
      <c r="G2052" s="2" t="s">
        <v>19</v>
      </c>
      <c r="I2052" s="4">
        <f t="shared" si="529"/>
        <v>0.71222648320847215</v>
      </c>
    </row>
    <row r="2053" spans="1:9" x14ac:dyDescent="0.3">
      <c r="A2053" t="s">
        <v>7</v>
      </c>
      <c r="B2053" s="3">
        <v>45479</v>
      </c>
      <c r="C2053">
        <f t="shared" si="530"/>
        <v>6</v>
      </c>
      <c r="D2053">
        <f t="shared" si="531"/>
        <v>7</v>
      </c>
      <c r="E2053">
        <f t="shared" si="532"/>
        <v>2024</v>
      </c>
      <c r="F2053" s="2">
        <v>1038</v>
      </c>
      <c r="G2053" t="s">
        <v>17</v>
      </c>
      <c r="I2053" s="4">
        <f>SUMIFS($F$2:$F$2739,$G$2:$G$2739,"No Contract",$E$2:$E$2739,2024)/SUMIF($E$2:$E$2739,2024,$F$2:$F$2739)</f>
        <v>9.576924485808011E-2</v>
      </c>
    </row>
    <row r="2054" spans="1:9" x14ac:dyDescent="0.3">
      <c r="A2054" t="s">
        <v>12</v>
      </c>
      <c r="B2054" s="3">
        <v>45479</v>
      </c>
      <c r="C2054">
        <f t="shared" si="530"/>
        <v>6</v>
      </c>
      <c r="D2054">
        <f t="shared" si="531"/>
        <v>7</v>
      </c>
      <c r="E2054">
        <f t="shared" si="532"/>
        <v>2024</v>
      </c>
      <c r="F2054" s="2">
        <v>1052</v>
      </c>
      <c r="G2054" s="2" t="s">
        <v>19</v>
      </c>
      <c r="I2054" s="4">
        <f>SUMIFS($F$2:$F$2739,$G$2:$G$2739,"Multi-year Contract",$E$2:$E$2739,2024)/SUMIF($E$2:$E$2739,2024,$F$2:$F$2739)</f>
        <v>0.71222648320847215</v>
      </c>
    </row>
    <row r="2055" spans="1:9" x14ac:dyDescent="0.3">
      <c r="A2055" t="s">
        <v>7</v>
      </c>
      <c r="B2055" s="3">
        <v>45480</v>
      </c>
      <c r="C2055">
        <f t="shared" si="530"/>
        <v>7</v>
      </c>
      <c r="D2055">
        <f t="shared" si="531"/>
        <v>7</v>
      </c>
      <c r="E2055">
        <f t="shared" si="532"/>
        <v>2024</v>
      </c>
      <c r="F2055" s="2">
        <v>3075</v>
      </c>
      <c r="G2055" t="s">
        <v>17</v>
      </c>
      <c r="I2055" s="4">
        <f>SUMIFS($F$2:$F$2739,$G$2:$G$2739,"No Contract",$E$2:$E$2739,2024)/SUMIF($E$2:$E$2739,2024,$F$2:$F$2739)</f>
        <v>9.576924485808011E-2</v>
      </c>
    </row>
    <row r="2056" spans="1:9" x14ac:dyDescent="0.3">
      <c r="A2056" t="s">
        <v>8</v>
      </c>
      <c r="B2056" s="3">
        <v>45480</v>
      </c>
      <c r="C2056">
        <f t="shared" si="530"/>
        <v>7</v>
      </c>
      <c r="D2056">
        <f t="shared" si="531"/>
        <v>7</v>
      </c>
      <c r="E2056">
        <f t="shared" si="532"/>
        <v>2024</v>
      </c>
      <c r="F2056" s="2">
        <v>746</v>
      </c>
      <c r="G2056" s="2" t="s">
        <v>19</v>
      </c>
      <c r="I2056" s="4">
        <f t="shared" ref="I2056:I2061" si="533">SUMIFS($F$2:$F$2739,$G$2:$G$2739,"Multi-year Contract",$E$2:$E$2739,2024)/SUMIF($E$2:$E$2739,2024,$F$2:$F$2739)</f>
        <v>0.71222648320847215</v>
      </c>
    </row>
    <row r="2057" spans="1:9" x14ac:dyDescent="0.3">
      <c r="A2057" t="s">
        <v>5</v>
      </c>
      <c r="B2057" s="3">
        <v>45481</v>
      </c>
      <c r="C2057">
        <f t="shared" si="530"/>
        <v>8</v>
      </c>
      <c r="D2057">
        <f t="shared" si="531"/>
        <v>7</v>
      </c>
      <c r="E2057">
        <f t="shared" si="532"/>
        <v>2024</v>
      </c>
      <c r="F2057" s="2">
        <v>3918</v>
      </c>
      <c r="G2057" t="s">
        <v>19</v>
      </c>
      <c r="I2057" s="4">
        <f t="shared" si="533"/>
        <v>0.71222648320847215</v>
      </c>
    </row>
    <row r="2058" spans="1:9" x14ac:dyDescent="0.3">
      <c r="A2058" t="s">
        <v>8</v>
      </c>
      <c r="B2058" s="3">
        <v>45481</v>
      </c>
      <c r="C2058">
        <f t="shared" si="530"/>
        <v>8</v>
      </c>
      <c r="D2058">
        <f t="shared" si="531"/>
        <v>7</v>
      </c>
      <c r="E2058">
        <f t="shared" si="532"/>
        <v>2024</v>
      </c>
      <c r="F2058" s="2">
        <v>2416</v>
      </c>
      <c r="G2058" s="2" t="s">
        <v>19</v>
      </c>
      <c r="I2058" s="4">
        <f t="shared" si="533"/>
        <v>0.71222648320847215</v>
      </c>
    </row>
    <row r="2059" spans="1:9" x14ac:dyDescent="0.3">
      <c r="A2059" t="s">
        <v>8</v>
      </c>
      <c r="B2059" s="3">
        <v>45481</v>
      </c>
      <c r="C2059">
        <f t="shared" si="530"/>
        <v>8</v>
      </c>
      <c r="D2059">
        <f t="shared" si="531"/>
        <v>7</v>
      </c>
      <c r="E2059">
        <f t="shared" si="532"/>
        <v>2024</v>
      </c>
      <c r="F2059" s="2">
        <v>2101</v>
      </c>
      <c r="G2059" s="2" t="s">
        <v>19</v>
      </c>
      <c r="I2059" s="4">
        <f t="shared" si="533"/>
        <v>0.71222648320847215</v>
      </c>
    </row>
    <row r="2060" spans="1:9" x14ac:dyDescent="0.3">
      <c r="A2060" t="s">
        <v>3</v>
      </c>
      <c r="B2060" s="3">
        <v>45481</v>
      </c>
      <c r="C2060">
        <f t="shared" si="530"/>
        <v>8</v>
      </c>
      <c r="D2060">
        <f t="shared" si="531"/>
        <v>7</v>
      </c>
      <c r="E2060">
        <f t="shared" si="532"/>
        <v>2024</v>
      </c>
      <c r="F2060" s="2">
        <v>3636</v>
      </c>
      <c r="G2060" t="s">
        <v>19</v>
      </c>
      <c r="I2060" s="4">
        <f t="shared" si="533"/>
        <v>0.71222648320847215</v>
      </c>
    </row>
    <row r="2061" spans="1:9" x14ac:dyDescent="0.3">
      <c r="A2061" t="s">
        <v>11</v>
      </c>
      <c r="B2061" s="3">
        <v>45482</v>
      </c>
      <c r="C2061">
        <f t="shared" si="530"/>
        <v>9</v>
      </c>
      <c r="D2061">
        <f t="shared" si="531"/>
        <v>7</v>
      </c>
      <c r="E2061">
        <f t="shared" si="532"/>
        <v>2024</v>
      </c>
      <c r="F2061" s="2">
        <v>2166</v>
      </c>
      <c r="G2061" t="s">
        <v>19</v>
      </c>
      <c r="I2061" s="4">
        <f t="shared" si="533"/>
        <v>0.71222648320847215</v>
      </c>
    </row>
    <row r="2062" spans="1:9" x14ac:dyDescent="0.3">
      <c r="A2062" t="s">
        <v>7</v>
      </c>
      <c r="B2062" s="3">
        <v>45482</v>
      </c>
      <c r="C2062">
        <f t="shared" si="530"/>
        <v>9</v>
      </c>
      <c r="D2062">
        <f t="shared" si="531"/>
        <v>7</v>
      </c>
      <c r="E2062">
        <f t="shared" si="532"/>
        <v>2024</v>
      </c>
      <c r="F2062" s="2">
        <v>1372</v>
      </c>
      <c r="G2062" t="s">
        <v>17</v>
      </c>
      <c r="I2062" s="4">
        <f t="shared" ref="I2062:I2063" si="534">SUMIFS($F$2:$F$2739,$G$2:$G$2739,"No Contract",$E$2:$E$2739,2024)/SUMIF($E$2:$E$2739,2024,$F$2:$F$2739)</f>
        <v>9.576924485808011E-2</v>
      </c>
    </row>
    <row r="2063" spans="1:9" x14ac:dyDescent="0.3">
      <c r="A2063" t="s">
        <v>7</v>
      </c>
      <c r="B2063" s="3">
        <v>45483</v>
      </c>
      <c r="C2063">
        <f t="shared" si="530"/>
        <v>10</v>
      </c>
      <c r="D2063">
        <f t="shared" si="531"/>
        <v>7</v>
      </c>
      <c r="E2063">
        <f t="shared" si="532"/>
        <v>2024</v>
      </c>
      <c r="F2063" s="2">
        <v>716</v>
      </c>
      <c r="G2063" t="s">
        <v>17</v>
      </c>
      <c r="I2063" s="4">
        <f t="shared" si="534"/>
        <v>9.576924485808011E-2</v>
      </c>
    </row>
    <row r="2064" spans="1:9" x14ac:dyDescent="0.3">
      <c r="A2064" t="s">
        <v>4</v>
      </c>
      <c r="B2064" s="3">
        <v>45483</v>
      </c>
      <c r="C2064">
        <f t="shared" si="530"/>
        <v>10</v>
      </c>
      <c r="D2064">
        <f t="shared" si="531"/>
        <v>7</v>
      </c>
      <c r="E2064">
        <f t="shared" si="532"/>
        <v>2024</v>
      </c>
      <c r="F2064" s="2">
        <v>1466</v>
      </c>
      <c r="G2064" s="2" t="s">
        <v>19</v>
      </c>
      <c r="I2064" s="4">
        <f t="shared" ref="I2064:I2065" si="535">SUMIFS($F$2:$F$2739,$G$2:$G$2739,"Multi-year Contract",$E$2:$E$2739,2024)/SUMIF($E$2:$E$2739,2024,$F$2:$F$2739)</f>
        <v>0.71222648320847215</v>
      </c>
    </row>
    <row r="2065" spans="1:9" x14ac:dyDescent="0.3">
      <c r="A2065" t="s">
        <v>11</v>
      </c>
      <c r="B2065" s="3">
        <v>45483</v>
      </c>
      <c r="C2065">
        <f t="shared" si="530"/>
        <v>10</v>
      </c>
      <c r="D2065">
        <f t="shared" si="531"/>
        <v>7</v>
      </c>
      <c r="E2065">
        <f t="shared" si="532"/>
        <v>2024</v>
      </c>
      <c r="F2065" s="2">
        <v>3971</v>
      </c>
      <c r="G2065" t="s">
        <v>19</v>
      </c>
      <c r="I2065" s="4">
        <f t="shared" si="535"/>
        <v>0.71222648320847215</v>
      </c>
    </row>
    <row r="2066" spans="1:9" x14ac:dyDescent="0.3">
      <c r="A2066" t="s">
        <v>7</v>
      </c>
      <c r="B2066" s="3">
        <v>45483</v>
      </c>
      <c r="C2066">
        <f t="shared" si="530"/>
        <v>10</v>
      </c>
      <c r="D2066">
        <f t="shared" si="531"/>
        <v>7</v>
      </c>
      <c r="E2066">
        <f t="shared" si="532"/>
        <v>2024</v>
      </c>
      <c r="F2066" s="2">
        <v>1531</v>
      </c>
      <c r="G2066" t="s">
        <v>17</v>
      </c>
      <c r="I2066" s="4">
        <f>SUMIFS($F$2:$F$2739,$G$2:$G$2739,"No Contract",$E$2:$E$2739,2024)/SUMIF($E$2:$E$2739,2024,$F$2:$F$2739)</f>
        <v>9.576924485808011E-2</v>
      </c>
    </row>
    <row r="2067" spans="1:9" x14ac:dyDescent="0.3">
      <c r="A2067" t="s">
        <v>5</v>
      </c>
      <c r="B2067" s="3">
        <v>45483</v>
      </c>
      <c r="C2067">
        <f t="shared" si="530"/>
        <v>10</v>
      </c>
      <c r="D2067">
        <f t="shared" si="531"/>
        <v>7</v>
      </c>
      <c r="E2067">
        <f t="shared" si="532"/>
        <v>2024</v>
      </c>
      <c r="F2067" s="2">
        <v>1398</v>
      </c>
      <c r="G2067" t="s">
        <v>19</v>
      </c>
      <c r="I2067" s="4">
        <f>SUMIFS($F$2:$F$2739,$G$2:$G$2739,"Multi-year Contract",$E$2:$E$2739,2024)/SUMIF($E$2:$E$2739,2024,$F$2:$F$2739)</f>
        <v>0.71222648320847215</v>
      </c>
    </row>
    <row r="2068" spans="1:9" x14ac:dyDescent="0.3">
      <c r="A2068" t="s">
        <v>9</v>
      </c>
      <c r="B2068" s="3">
        <v>45483</v>
      </c>
      <c r="C2068">
        <f t="shared" si="530"/>
        <v>10</v>
      </c>
      <c r="D2068">
        <f t="shared" si="531"/>
        <v>7</v>
      </c>
      <c r="E2068">
        <f t="shared" si="532"/>
        <v>2024</v>
      </c>
      <c r="F2068" s="2">
        <v>3214</v>
      </c>
      <c r="G2068" t="s">
        <v>18</v>
      </c>
      <c r="I2068" s="4">
        <f>SUMIFS($F$2:$F$2739,$G$2:$G$2739,"Annual Contract",$E$2:$E$2739,2024)/SUMIF($E$2:$E$2739,2024,$F$2:$F$2739)</f>
        <v>0.19200427193344777</v>
      </c>
    </row>
    <row r="2069" spans="1:9" x14ac:dyDescent="0.3">
      <c r="A2069" t="s">
        <v>4</v>
      </c>
      <c r="B2069" s="3">
        <v>45484</v>
      </c>
      <c r="C2069">
        <f t="shared" si="530"/>
        <v>11</v>
      </c>
      <c r="D2069">
        <f t="shared" si="531"/>
        <v>7</v>
      </c>
      <c r="E2069">
        <f t="shared" si="532"/>
        <v>2024</v>
      </c>
      <c r="F2069" s="2">
        <v>3708</v>
      </c>
      <c r="G2069" s="2" t="s">
        <v>19</v>
      </c>
      <c r="I2069" s="4">
        <f>SUMIFS($F$2:$F$2739,$G$2:$G$2739,"Multi-year Contract",$E$2:$E$2739,2024)/SUMIF($E$2:$E$2739,2024,$F$2:$F$2739)</f>
        <v>0.71222648320847215</v>
      </c>
    </row>
    <row r="2070" spans="1:9" x14ac:dyDescent="0.3">
      <c r="A2070" t="s">
        <v>6</v>
      </c>
      <c r="B2070" s="3">
        <v>45484</v>
      </c>
      <c r="C2070">
        <f t="shared" si="530"/>
        <v>11</v>
      </c>
      <c r="D2070">
        <f t="shared" si="531"/>
        <v>7</v>
      </c>
      <c r="E2070">
        <f t="shared" si="532"/>
        <v>2024</v>
      </c>
      <c r="F2070" s="2">
        <v>624</v>
      </c>
      <c r="G2070" t="s">
        <v>18</v>
      </c>
      <c r="I2070" s="4">
        <f>SUMIFS($F$2:$F$2739,$G$2:$G$2739,"Annual Contract",$E$2:$E$2739,2024)/SUMIF($E$2:$E$2739,2024,$F$2:$F$2739)</f>
        <v>0.19200427193344777</v>
      </c>
    </row>
    <row r="2071" spans="1:9" x14ac:dyDescent="0.3">
      <c r="A2071" t="s">
        <v>4</v>
      </c>
      <c r="B2071" s="3">
        <v>45484</v>
      </c>
      <c r="C2071">
        <f t="shared" si="530"/>
        <v>11</v>
      </c>
      <c r="D2071">
        <f t="shared" si="531"/>
        <v>7</v>
      </c>
      <c r="E2071">
        <f t="shared" si="532"/>
        <v>2024</v>
      </c>
      <c r="F2071" s="2">
        <v>1556</v>
      </c>
      <c r="G2071" s="2" t="s">
        <v>19</v>
      </c>
      <c r="I2071" s="4">
        <f>SUMIFS($F$2:$F$2739,$G$2:$G$2739,"Multi-year Contract",$E$2:$E$2739,2024)/SUMIF($E$2:$E$2739,2024,$F$2:$F$2739)</f>
        <v>0.71222648320847215</v>
      </c>
    </row>
    <row r="2072" spans="1:9" x14ac:dyDescent="0.3">
      <c r="A2072" t="s">
        <v>9</v>
      </c>
      <c r="B2072" s="3">
        <v>45484</v>
      </c>
      <c r="C2072">
        <f t="shared" si="530"/>
        <v>11</v>
      </c>
      <c r="D2072">
        <f t="shared" si="531"/>
        <v>7</v>
      </c>
      <c r="E2072">
        <f t="shared" si="532"/>
        <v>2024</v>
      </c>
      <c r="F2072" s="2">
        <v>1257</v>
      </c>
      <c r="G2072" t="s">
        <v>18</v>
      </c>
      <c r="I2072" s="4">
        <f>SUMIFS($F$2:$F$2739,$G$2:$G$2739,"Annual Contract",$E$2:$E$2739,2024)/SUMIF($E$2:$E$2739,2024,$F$2:$F$2739)</f>
        <v>0.19200427193344777</v>
      </c>
    </row>
    <row r="2073" spans="1:9" x14ac:dyDescent="0.3">
      <c r="A2073" t="s">
        <v>7</v>
      </c>
      <c r="B2073" s="3">
        <v>45485</v>
      </c>
      <c r="C2073">
        <f t="shared" si="530"/>
        <v>12</v>
      </c>
      <c r="D2073">
        <f t="shared" si="531"/>
        <v>7</v>
      </c>
      <c r="E2073">
        <f t="shared" si="532"/>
        <v>2024</v>
      </c>
      <c r="F2073" s="2">
        <v>3973</v>
      </c>
      <c r="G2073" t="s">
        <v>17</v>
      </c>
      <c r="I2073" s="4">
        <f>SUMIFS($F$2:$F$2739,$G$2:$G$2739,"No Contract",$E$2:$E$2739,2024)/SUMIF($E$2:$E$2739,2024,$F$2:$F$2739)</f>
        <v>9.576924485808011E-2</v>
      </c>
    </row>
    <row r="2074" spans="1:9" x14ac:dyDescent="0.3">
      <c r="A2074" t="s">
        <v>10</v>
      </c>
      <c r="B2074" s="3">
        <v>45485</v>
      </c>
      <c r="C2074">
        <f t="shared" si="530"/>
        <v>12</v>
      </c>
      <c r="D2074">
        <f t="shared" si="531"/>
        <v>7</v>
      </c>
      <c r="E2074">
        <f t="shared" si="532"/>
        <v>2024</v>
      </c>
      <c r="F2074" s="2">
        <v>3941</v>
      </c>
      <c r="G2074" t="s">
        <v>19</v>
      </c>
      <c r="I2074" s="4">
        <f>SUMIFS($F$2:$F$2739,$G$2:$G$2739,"Multi-year Contract",$E$2:$E$2739,2024)/SUMIF($E$2:$E$2739,2024,$F$2:$F$2739)</f>
        <v>0.71222648320847215</v>
      </c>
    </row>
    <row r="2075" spans="1:9" x14ac:dyDescent="0.3">
      <c r="A2075" t="s">
        <v>9</v>
      </c>
      <c r="B2075" s="3">
        <v>45485</v>
      </c>
      <c r="C2075">
        <f t="shared" si="530"/>
        <v>12</v>
      </c>
      <c r="D2075">
        <f t="shared" si="531"/>
        <v>7</v>
      </c>
      <c r="E2075">
        <f t="shared" si="532"/>
        <v>2024</v>
      </c>
      <c r="F2075" s="2">
        <v>2291</v>
      </c>
      <c r="G2075" t="s">
        <v>18</v>
      </c>
      <c r="I2075" s="4">
        <f t="shared" ref="I2075:I2076" si="536">SUMIFS($F$2:$F$2739,$G$2:$G$2739,"Annual Contract",$E$2:$E$2739,2024)/SUMIF($E$2:$E$2739,2024,$F$2:$F$2739)</f>
        <v>0.19200427193344777</v>
      </c>
    </row>
    <row r="2076" spans="1:9" x14ac:dyDescent="0.3">
      <c r="A2076" t="s">
        <v>9</v>
      </c>
      <c r="B2076" s="3">
        <v>45485</v>
      </c>
      <c r="C2076">
        <f t="shared" si="530"/>
        <v>12</v>
      </c>
      <c r="D2076">
        <f t="shared" si="531"/>
        <v>7</v>
      </c>
      <c r="E2076">
        <f t="shared" si="532"/>
        <v>2024</v>
      </c>
      <c r="F2076" s="2">
        <v>3118</v>
      </c>
      <c r="G2076" t="s">
        <v>18</v>
      </c>
      <c r="I2076" s="4">
        <f t="shared" si="536"/>
        <v>0.19200427193344777</v>
      </c>
    </row>
    <row r="2077" spans="1:9" x14ac:dyDescent="0.3">
      <c r="A2077" t="s">
        <v>7</v>
      </c>
      <c r="B2077" s="3">
        <v>45486</v>
      </c>
      <c r="C2077">
        <f t="shared" si="530"/>
        <v>13</v>
      </c>
      <c r="D2077">
        <f t="shared" si="531"/>
        <v>7</v>
      </c>
      <c r="E2077">
        <f t="shared" si="532"/>
        <v>2024</v>
      </c>
      <c r="F2077" s="2">
        <v>2105</v>
      </c>
      <c r="G2077" t="s">
        <v>17</v>
      </c>
      <c r="I2077" s="4">
        <f>SUMIFS($F$2:$F$2739,$G$2:$G$2739,"No Contract",$E$2:$E$2739,2024)/SUMIF($E$2:$E$2739,2024,$F$2:$F$2739)</f>
        <v>9.576924485808011E-2</v>
      </c>
    </row>
    <row r="2078" spans="1:9" x14ac:dyDescent="0.3">
      <c r="A2078" t="s">
        <v>9</v>
      </c>
      <c r="B2078" s="3">
        <v>45487</v>
      </c>
      <c r="C2078">
        <f t="shared" si="530"/>
        <v>14</v>
      </c>
      <c r="D2078">
        <f t="shared" si="531"/>
        <v>7</v>
      </c>
      <c r="E2078">
        <f t="shared" si="532"/>
        <v>2024</v>
      </c>
      <c r="F2078" s="2">
        <v>2586</v>
      </c>
      <c r="G2078" t="s">
        <v>18</v>
      </c>
      <c r="I2078" s="4">
        <f>SUMIFS($F$2:$F$2739,$G$2:$G$2739,"Annual Contract",$E$2:$E$2739,2024)/SUMIF($E$2:$E$2739,2024,$F$2:$F$2739)</f>
        <v>0.19200427193344777</v>
      </c>
    </row>
    <row r="2079" spans="1:9" x14ac:dyDescent="0.3">
      <c r="A2079" t="s">
        <v>7</v>
      </c>
      <c r="B2079" s="3">
        <v>45487</v>
      </c>
      <c r="C2079">
        <f t="shared" si="530"/>
        <v>14</v>
      </c>
      <c r="D2079">
        <f t="shared" si="531"/>
        <v>7</v>
      </c>
      <c r="E2079">
        <f t="shared" si="532"/>
        <v>2024</v>
      </c>
      <c r="F2079" s="2">
        <v>3209</v>
      </c>
      <c r="G2079" t="s">
        <v>17</v>
      </c>
      <c r="I2079" s="4">
        <f t="shared" ref="I2079:I2080" si="537">SUMIFS($F$2:$F$2739,$G$2:$G$2739,"No Contract",$E$2:$E$2739,2024)/SUMIF($E$2:$E$2739,2024,$F$2:$F$2739)</f>
        <v>9.576924485808011E-2</v>
      </c>
    </row>
    <row r="2080" spans="1:9" x14ac:dyDescent="0.3">
      <c r="A2080" t="s">
        <v>7</v>
      </c>
      <c r="B2080" s="3">
        <v>45487</v>
      </c>
      <c r="C2080">
        <f t="shared" si="530"/>
        <v>14</v>
      </c>
      <c r="D2080">
        <f t="shared" si="531"/>
        <v>7</v>
      </c>
      <c r="E2080">
        <f t="shared" si="532"/>
        <v>2024</v>
      </c>
      <c r="F2080" s="2">
        <v>889</v>
      </c>
      <c r="G2080" t="s">
        <v>17</v>
      </c>
      <c r="I2080" s="4">
        <f t="shared" si="537"/>
        <v>9.576924485808011E-2</v>
      </c>
    </row>
    <row r="2081" spans="1:9" x14ac:dyDescent="0.3">
      <c r="A2081" t="s">
        <v>4</v>
      </c>
      <c r="B2081" s="3">
        <v>45487</v>
      </c>
      <c r="C2081">
        <f t="shared" si="530"/>
        <v>14</v>
      </c>
      <c r="D2081">
        <f t="shared" si="531"/>
        <v>7</v>
      </c>
      <c r="E2081">
        <f t="shared" si="532"/>
        <v>2024</v>
      </c>
      <c r="F2081" s="2">
        <v>1776</v>
      </c>
      <c r="G2081" s="2" t="s">
        <v>19</v>
      </c>
      <c r="I2081" s="4">
        <f>SUMIFS($F$2:$F$2739,$G$2:$G$2739,"Multi-year Contract",$E$2:$E$2739,2024)/SUMIF($E$2:$E$2739,2024,$F$2:$F$2739)</f>
        <v>0.71222648320847215</v>
      </c>
    </row>
    <row r="2082" spans="1:9" x14ac:dyDescent="0.3">
      <c r="A2082" t="s">
        <v>7</v>
      </c>
      <c r="B2082" s="3">
        <v>45487</v>
      </c>
      <c r="C2082">
        <f t="shared" si="530"/>
        <v>14</v>
      </c>
      <c r="D2082">
        <f t="shared" si="531"/>
        <v>7</v>
      </c>
      <c r="E2082">
        <f t="shared" si="532"/>
        <v>2024</v>
      </c>
      <c r="F2082" s="2">
        <v>2736</v>
      </c>
      <c r="G2082" t="s">
        <v>17</v>
      </c>
      <c r="I2082" s="4">
        <f t="shared" ref="I2082:I2083" si="538">SUMIFS($F$2:$F$2739,$G$2:$G$2739,"No Contract",$E$2:$E$2739,2024)/SUMIF($E$2:$E$2739,2024,$F$2:$F$2739)</f>
        <v>9.576924485808011E-2</v>
      </c>
    </row>
    <row r="2083" spans="1:9" x14ac:dyDescent="0.3">
      <c r="A2083" t="s">
        <v>7</v>
      </c>
      <c r="B2083" s="3">
        <v>45488</v>
      </c>
      <c r="C2083">
        <f t="shared" si="530"/>
        <v>15</v>
      </c>
      <c r="D2083">
        <f t="shared" si="531"/>
        <v>7</v>
      </c>
      <c r="E2083">
        <f t="shared" si="532"/>
        <v>2024</v>
      </c>
      <c r="F2083" s="2">
        <v>2273</v>
      </c>
      <c r="G2083" t="s">
        <v>17</v>
      </c>
      <c r="I2083" s="4">
        <f t="shared" si="538"/>
        <v>9.576924485808011E-2</v>
      </c>
    </row>
    <row r="2084" spans="1:9" x14ac:dyDescent="0.3">
      <c r="A2084" t="s">
        <v>9</v>
      </c>
      <c r="B2084" s="3">
        <v>45488</v>
      </c>
      <c r="C2084">
        <f t="shared" si="530"/>
        <v>15</v>
      </c>
      <c r="D2084">
        <f t="shared" si="531"/>
        <v>7</v>
      </c>
      <c r="E2084">
        <f t="shared" si="532"/>
        <v>2024</v>
      </c>
      <c r="F2084" s="2">
        <v>1043</v>
      </c>
      <c r="G2084" t="s">
        <v>18</v>
      </c>
      <c r="I2084" s="4">
        <f>SUMIFS($F$2:$F$2739,$G$2:$G$2739,"Annual Contract",$E$2:$E$2739,2024)/SUMIF($E$2:$E$2739,2024,$F$2:$F$2739)</f>
        <v>0.19200427193344777</v>
      </c>
    </row>
    <row r="2085" spans="1:9" x14ac:dyDescent="0.3">
      <c r="A2085" t="s">
        <v>11</v>
      </c>
      <c r="B2085" s="3">
        <v>45488</v>
      </c>
      <c r="C2085">
        <f t="shared" si="530"/>
        <v>15</v>
      </c>
      <c r="D2085">
        <f t="shared" si="531"/>
        <v>7</v>
      </c>
      <c r="E2085">
        <f t="shared" si="532"/>
        <v>2024</v>
      </c>
      <c r="F2085" s="2">
        <v>2374</v>
      </c>
      <c r="G2085" t="s">
        <v>19</v>
      </c>
      <c r="I2085" s="4">
        <f t="shared" ref="I2085:I2092" si="539">SUMIFS($F$2:$F$2739,$G$2:$G$2739,"Multi-year Contract",$E$2:$E$2739,2024)/SUMIF($E$2:$E$2739,2024,$F$2:$F$2739)</f>
        <v>0.71222648320847215</v>
      </c>
    </row>
    <row r="2086" spans="1:9" x14ac:dyDescent="0.3">
      <c r="A2086" t="s">
        <v>12</v>
      </c>
      <c r="B2086" s="3">
        <v>45488</v>
      </c>
      <c r="C2086">
        <f t="shared" si="530"/>
        <v>15</v>
      </c>
      <c r="D2086">
        <f t="shared" si="531"/>
        <v>7</v>
      </c>
      <c r="E2086">
        <f t="shared" si="532"/>
        <v>2024</v>
      </c>
      <c r="F2086" s="2">
        <v>2257</v>
      </c>
      <c r="G2086" s="2" t="s">
        <v>19</v>
      </c>
      <c r="I2086" s="4">
        <f t="shared" si="539"/>
        <v>0.71222648320847215</v>
      </c>
    </row>
    <row r="2087" spans="1:9" x14ac:dyDescent="0.3">
      <c r="A2087" t="s">
        <v>5</v>
      </c>
      <c r="B2087" s="3">
        <v>45489</v>
      </c>
      <c r="C2087">
        <f t="shared" si="530"/>
        <v>16</v>
      </c>
      <c r="D2087">
        <f t="shared" si="531"/>
        <v>7</v>
      </c>
      <c r="E2087">
        <f t="shared" si="532"/>
        <v>2024</v>
      </c>
      <c r="F2087" s="2">
        <v>3460</v>
      </c>
      <c r="G2087" t="s">
        <v>19</v>
      </c>
      <c r="I2087" s="4">
        <f t="shared" si="539"/>
        <v>0.71222648320847215</v>
      </c>
    </row>
    <row r="2088" spans="1:9" x14ac:dyDescent="0.3">
      <c r="A2088" t="s">
        <v>11</v>
      </c>
      <c r="B2088" s="3">
        <v>45489</v>
      </c>
      <c r="C2088">
        <f t="shared" si="530"/>
        <v>16</v>
      </c>
      <c r="D2088">
        <f t="shared" si="531"/>
        <v>7</v>
      </c>
      <c r="E2088">
        <f t="shared" si="532"/>
        <v>2024</v>
      </c>
      <c r="F2088" s="2">
        <v>3056</v>
      </c>
      <c r="G2088" t="s">
        <v>19</v>
      </c>
      <c r="I2088" s="4">
        <f t="shared" si="539"/>
        <v>0.71222648320847215</v>
      </c>
    </row>
    <row r="2089" spans="1:9" x14ac:dyDescent="0.3">
      <c r="A2089" t="s">
        <v>3</v>
      </c>
      <c r="B2089" s="3">
        <v>45489</v>
      </c>
      <c r="C2089">
        <f t="shared" si="530"/>
        <v>16</v>
      </c>
      <c r="D2089">
        <f t="shared" si="531"/>
        <v>7</v>
      </c>
      <c r="E2089">
        <f t="shared" si="532"/>
        <v>2024</v>
      </c>
      <c r="F2089" s="2">
        <v>2546</v>
      </c>
      <c r="G2089" t="s">
        <v>19</v>
      </c>
      <c r="I2089" s="4">
        <f t="shared" si="539"/>
        <v>0.71222648320847215</v>
      </c>
    </row>
    <row r="2090" spans="1:9" x14ac:dyDescent="0.3">
      <c r="A2090" t="s">
        <v>10</v>
      </c>
      <c r="B2090" s="3">
        <v>45489</v>
      </c>
      <c r="C2090">
        <f t="shared" si="530"/>
        <v>16</v>
      </c>
      <c r="D2090">
        <f t="shared" si="531"/>
        <v>7</v>
      </c>
      <c r="E2090">
        <f t="shared" si="532"/>
        <v>2024</v>
      </c>
      <c r="F2090" s="2">
        <v>962</v>
      </c>
      <c r="G2090" t="s">
        <v>19</v>
      </c>
      <c r="I2090" s="4">
        <f t="shared" si="539"/>
        <v>0.71222648320847215</v>
      </c>
    </row>
    <row r="2091" spans="1:9" x14ac:dyDescent="0.3">
      <c r="A2091" t="s">
        <v>3</v>
      </c>
      <c r="B2091" s="3">
        <v>45490</v>
      </c>
      <c r="C2091">
        <f t="shared" si="530"/>
        <v>17</v>
      </c>
      <c r="D2091">
        <f t="shared" si="531"/>
        <v>7</v>
      </c>
      <c r="E2091">
        <f t="shared" si="532"/>
        <v>2024</v>
      </c>
      <c r="F2091" s="2">
        <v>1961</v>
      </c>
      <c r="G2091" t="s">
        <v>19</v>
      </c>
      <c r="I2091" s="4">
        <f t="shared" si="539"/>
        <v>0.71222648320847215</v>
      </c>
    </row>
    <row r="2092" spans="1:9" x14ac:dyDescent="0.3">
      <c r="A2092" t="s">
        <v>10</v>
      </c>
      <c r="B2092" s="3">
        <v>45490</v>
      </c>
      <c r="C2092">
        <f t="shared" si="530"/>
        <v>17</v>
      </c>
      <c r="D2092">
        <f t="shared" si="531"/>
        <v>7</v>
      </c>
      <c r="E2092">
        <f t="shared" si="532"/>
        <v>2024</v>
      </c>
      <c r="F2092" s="2">
        <v>1763</v>
      </c>
      <c r="G2092" t="s">
        <v>19</v>
      </c>
      <c r="I2092" s="4">
        <f t="shared" si="539"/>
        <v>0.71222648320847215</v>
      </c>
    </row>
    <row r="2093" spans="1:9" x14ac:dyDescent="0.3">
      <c r="A2093" t="s">
        <v>7</v>
      </c>
      <c r="B2093" s="3">
        <v>45490</v>
      </c>
      <c r="C2093">
        <f t="shared" si="530"/>
        <v>17</v>
      </c>
      <c r="D2093">
        <f t="shared" si="531"/>
        <v>7</v>
      </c>
      <c r="E2093">
        <f t="shared" si="532"/>
        <v>2024</v>
      </c>
      <c r="F2093" s="2">
        <v>2697</v>
      </c>
      <c r="G2093" t="s">
        <v>17</v>
      </c>
      <c r="I2093" s="4">
        <f>SUMIFS($F$2:$F$2739,$G$2:$G$2739,"No Contract",$E$2:$E$2739,2024)/SUMIF($E$2:$E$2739,2024,$F$2:$F$2739)</f>
        <v>9.576924485808011E-2</v>
      </c>
    </row>
    <row r="2094" spans="1:9" x14ac:dyDescent="0.3">
      <c r="A2094" t="s">
        <v>12</v>
      </c>
      <c r="B2094" s="3">
        <v>45490</v>
      </c>
      <c r="C2094">
        <f t="shared" si="530"/>
        <v>17</v>
      </c>
      <c r="D2094">
        <f t="shared" si="531"/>
        <v>7</v>
      </c>
      <c r="E2094">
        <f t="shared" si="532"/>
        <v>2024</v>
      </c>
      <c r="F2094" s="2">
        <v>972</v>
      </c>
      <c r="G2094" s="2" t="s">
        <v>19</v>
      </c>
      <c r="I2094" s="4">
        <f t="shared" ref="I2094:I2114" si="540">SUMIFS($F$2:$F$2739,$G$2:$G$2739,"Multi-year Contract",$E$2:$E$2739,2024)/SUMIF($E$2:$E$2739,2024,$F$2:$F$2739)</f>
        <v>0.71222648320847215</v>
      </c>
    </row>
    <row r="2095" spans="1:9" x14ac:dyDescent="0.3">
      <c r="A2095" t="s">
        <v>8</v>
      </c>
      <c r="B2095" s="3">
        <v>45490</v>
      </c>
      <c r="C2095">
        <f t="shared" si="530"/>
        <v>17</v>
      </c>
      <c r="D2095">
        <f t="shared" si="531"/>
        <v>7</v>
      </c>
      <c r="E2095">
        <f t="shared" si="532"/>
        <v>2024</v>
      </c>
      <c r="F2095" s="2">
        <v>3442</v>
      </c>
      <c r="G2095" s="2" t="s">
        <v>19</v>
      </c>
      <c r="I2095" s="4">
        <f t="shared" si="540"/>
        <v>0.71222648320847215</v>
      </c>
    </row>
    <row r="2096" spans="1:9" x14ac:dyDescent="0.3">
      <c r="A2096" t="s">
        <v>5</v>
      </c>
      <c r="B2096" s="3">
        <v>45491</v>
      </c>
      <c r="C2096">
        <f t="shared" si="530"/>
        <v>18</v>
      </c>
      <c r="D2096">
        <f t="shared" si="531"/>
        <v>7</v>
      </c>
      <c r="E2096">
        <f t="shared" si="532"/>
        <v>2024</v>
      </c>
      <c r="F2096" s="2">
        <v>1089</v>
      </c>
      <c r="G2096" t="s">
        <v>19</v>
      </c>
      <c r="I2096" s="4">
        <f t="shared" si="540"/>
        <v>0.71222648320847215</v>
      </c>
    </row>
    <row r="2097" spans="1:9" x14ac:dyDescent="0.3">
      <c r="A2097" t="s">
        <v>8</v>
      </c>
      <c r="B2097" s="3">
        <v>45491</v>
      </c>
      <c r="C2097">
        <f t="shared" si="530"/>
        <v>18</v>
      </c>
      <c r="D2097">
        <f t="shared" si="531"/>
        <v>7</v>
      </c>
      <c r="E2097">
        <f t="shared" si="532"/>
        <v>2024</v>
      </c>
      <c r="F2097" s="2">
        <v>1217</v>
      </c>
      <c r="G2097" s="2" t="s">
        <v>19</v>
      </c>
      <c r="I2097" s="4">
        <f t="shared" si="540"/>
        <v>0.71222648320847215</v>
      </c>
    </row>
    <row r="2098" spans="1:9" x14ac:dyDescent="0.3">
      <c r="A2098" t="s">
        <v>4</v>
      </c>
      <c r="B2098" s="3">
        <v>45491</v>
      </c>
      <c r="C2098">
        <f t="shared" si="530"/>
        <v>18</v>
      </c>
      <c r="D2098">
        <f t="shared" si="531"/>
        <v>7</v>
      </c>
      <c r="E2098">
        <f t="shared" si="532"/>
        <v>2024</v>
      </c>
      <c r="F2098" s="2">
        <v>3101</v>
      </c>
      <c r="G2098" s="2" t="s">
        <v>19</v>
      </c>
      <c r="I2098" s="4">
        <f t="shared" si="540"/>
        <v>0.71222648320847215</v>
      </c>
    </row>
    <row r="2099" spans="1:9" x14ac:dyDescent="0.3">
      <c r="A2099" t="s">
        <v>11</v>
      </c>
      <c r="B2099" s="3">
        <v>45491</v>
      </c>
      <c r="C2099">
        <f t="shared" si="530"/>
        <v>18</v>
      </c>
      <c r="D2099">
        <f t="shared" si="531"/>
        <v>7</v>
      </c>
      <c r="E2099">
        <f t="shared" si="532"/>
        <v>2024</v>
      </c>
      <c r="F2099" s="2">
        <v>1113</v>
      </c>
      <c r="G2099" t="s">
        <v>19</v>
      </c>
      <c r="I2099" s="4">
        <f t="shared" si="540"/>
        <v>0.71222648320847215</v>
      </c>
    </row>
    <row r="2100" spans="1:9" x14ac:dyDescent="0.3">
      <c r="A2100" t="s">
        <v>11</v>
      </c>
      <c r="B2100" s="3">
        <v>45492</v>
      </c>
      <c r="C2100">
        <f t="shared" si="530"/>
        <v>19</v>
      </c>
      <c r="D2100">
        <f t="shared" si="531"/>
        <v>7</v>
      </c>
      <c r="E2100">
        <f t="shared" si="532"/>
        <v>2024</v>
      </c>
      <c r="F2100" s="2">
        <v>2888</v>
      </c>
      <c r="G2100" t="s">
        <v>19</v>
      </c>
      <c r="I2100" s="4">
        <f t="shared" si="540"/>
        <v>0.71222648320847215</v>
      </c>
    </row>
    <row r="2101" spans="1:9" x14ac:dyDescent="0.3">
      <c r="A2101" t="s">
        <v>4</v>
      </c>
      <c r="B2101" s="3">
        <v>45492</v>
      </c>
      <c r="C2101">
        <f t="shared" si="530"/>
        <v>19</v>
      </c>
      <c r="D2101">
        <f t="shared" si="531"/>
        <v>7</v>
      </c>
      <c r="E2101">
        <f t="shared" si="532"/>
        <v>2024</v>
      </c>
      <c r="F2101" s="2">
        <v>1909</v>
      </c>
      <c r="G2101" s="2" t="s">
        <v>19</v>
      </c>
      <c r="I2101" s="4">
        <f t="shared" si="540"/>
        <v>0.71222648320847215</v>
      </c>
    </row>
    <row r="2102" spans="1:9" x14ac:dyDescent="0.3">
      <c r="A2102" t="s">
        <v>3</v>
      </c>
      <c r="B2102" s="3">
        <v>45492</v>
      </c>
      <c r="C2102">
        <f t="shared" si="530"/>
        <v>19</v>
      </c>
      <c r="D2102">
        <f t="shared" si="531"/>
        <v>7</v>
      </c>
      <c r="E2102">
        <f t="shared" si="532"/>
        <v>2024</v>
      </c>
      <c r="F2102" s="2">
        <v>2606</v>
      </c>
      <c r="G2102" t="s">
        <v>19</v>
      </c>
      <c r="I2102" s="4">
        <f t="shared" si="540"/>
        <v>0.71222648320847215</v>
      </c>
    </row>
    <row r="2103" spans="1:9" x14ac:dyDescent="0.3">
      <c r="A2103" t="s">
        <v>3</v>
      </c>
      <c r="B2103" s="3">
        <v>45492</v>
      </c>
      <c r="C2103">
        <f t="shared" si="530"/>
        <v>19</v>
      </c>
      <c r="D2103">
        <f t="shared" si="531"/>
        <v>7</v>
      </c>
      <c r="E2103">
        <f t="shared" si="532"/>
        <v>2024</v>
      </c>
      <c r="F2103" s="2">
        <v>2816</v>
      </c>
      <c r="G2103" t="s">
        <v>19</v>
      </c>
      <c r="I2103" s="4">
        <f t="shared" si="540"/>
        <v>0.71222648320847215</v>
      </c>
    </row>
    <row r="2104" spans="1:9" x14ac:dyDescent="0.3">
      <c r="A2104" t="s">
        <v>10</v>
      </c>
      <c r="B2104" s="3">
        <v>45492</v>
      </c>
      <c r="C2104">
        <f t="shared" si="530"/>
        <v>19</v>
      </c>
      <c r="D2104">
        <f t="shared" si="531"/>
        <v>7</v>
      </c>
      <c r="E2104">
        <f t="shared" si="532"/>
        <v>2024</v>
      </c>
      <c r="F2104" s="2">
        <v>1435</v>
      </c>
      <c r="G2104" t="s">
        <v>19</v>
      </c>
      <c r="I2104" s="4">
        <f t="shared" si="540"/>
        <v>0.71222648320847215</v>
      </c>
    </row>
    <row r="2105" spans="1:9" x14ac:dyDescent="0.3">
      <c r="A2105" t="s">
        <v>10</v>
      </c>
      <c r="B2105" s="3">
        <v>45492</v>
      </c>
      <c r="C2105">
        <f t="shared" si="530"/>
        <v>19</v>
      </c>
      <c r="D2105">
        <f t="shared" si="531"/>
        <v>7</v>
      </c>
      <c r="E2105">
        <f t="shared" si="532"/>
        <v>2024</v>
      </c>
      <c r="F2105" s="2">
        <v>3695</v>
      </c>
      <c r="G2105" t="s">
        <v>19</v>
      </c>
      <c r="I2105" s="4">
        <f t="shared" si="540"/>
        <v>0.71222648320847215</v>
      </c>
    </row>
    <row r="2106" spans="1:9" x14ac:dyDescent="0.3">
      <c r="A2106" t="s">
        <v>12</v>
      </c>
      <c r="B2106" s="3">
        <v>45493</v>
      </c>
      <c r="C2106">
        <f t="shared" si="530"/>
        <v>20</v>
      </c>
      <c r="D2106">
        <f t="shared" si="531"/>
        <v>7</v>
      </c>
      <c r="E2106">
        <f t="shared" si="532"/>
        <v>2024</v>
      </c>
      <c r="F2106" s="2">
        <v>836</v>
      </c>
      <c r="G2106" s="2" t="s">
        <v>19</v>
      </c>
      <c r="I2106" s="4">
        <f t="shared" si="540"/>
        <v>0.71222648320847215</v>
      </c>
    </row>
    <row r="2107" spans="1:9" x14ac:dyDescent="0.3">
      <c r="A2107" t="s">
        <v>4</v>
      </c>
      <c r="B2107" s="3">
        <v>45494</v>
      </c>
      <c r="C2107">
        <f t="shared" si="530"/>
        <v>21</v>
      </c>
      <c r="D2107">
        <f t="shared" si="531"/>
        <v>7</v>
      </c>
      <c r="E2107">
        <f t="shared" si="532"/>
        <v>2024</v>
      </c>
      <c r="F2107" s="2">
        <v>3494</v>
      </c>
      <c r="G2107" s="2" t="s">
        <v>19</v>
      </c>
      <c r="I2107" s="4">
        <f t="shared" si="540"/>
        <v>0.71222648320847215</v>
      </c>
    </row>
    <row r="2108" spans="1:9" x14ac:dyDescent="0.3">
      <c r="A2108" t="s">
        <v>10</v>
      </c>
      <c r="B2108" s="3">
        <v>45494</v>
      </c>
      <c r="C2108">
        <f t="shared" si="530"/>
        <v>21</v>
      </c>
      <c r="D2108">
        <f t="shared" si="531"/>
        <v>7</v>
      </c>
      <c r="E2108">
        <f t="shared" si="532"/>
        <v>2024</v>
      </c>
      <c r="F2108" s="2">
        <v>2571</v>
      </c>
      <c r="G2108" t="s">
        <v>19</v>
      </c>
      <c r="I2108" s="4">
        <f t="shared" si="540"/>
        <v>0.71222648320847215</v>
      </c>
    </row>
    <row r="2109" spans="1:9" x14ac:dyDescent="0.3">
      <c r="A2109" t="s">
        <v>8</v>
      </c>
      <c r="B2109" s="3">
        <v>45494</v>
      </c>
      <c r="C2109">
        <f t="shared" si="530"/>
        <v>21</v>
      </c>
      <c r="D2109">
        <f t="shared" si="531"/>
        <v>7</v>
      </c>
      <c r="E2109">
        <f t="shared" si="532"/>
        <v>2024</v>
      </c>
      <c r="F2109" s="2">
        <v>3234</v>
      </c>
      <c r="G2109" s="2" t="s">
        <v>19</v>
      </c>
      <c r="I2109" s="4">
        <f t="shared" si="540"/>
        <v>0.71222648320847215</v>
      </c>
    </row>
    <row r="2110" spans="1:9" x14ac:dyDescent="0.3">
      <c r="A2110" t="s">
        <v>5</v>
      </c>
      <c r="B2110" s="3">
        <v>45495</v>
      </c>
      <c r="C2110">
        <f t="shared" si="530"/>
        <v>22</v>
      </c>
      <c r="D2110">
        <f t="shared" si="531"/>
        <v>7</v>
      </c>
      <c r="E2110">
        <f t="shared" si="532"/>
        <v>2024</v>
      </c>
      <c r="F2110" s="2">
        <v>2837</v>
      </c>
      <c r="G2110" t="s">
        <v>19</v>
      </c>
      <c r="I2110" s="4">
        <f t="shared" si="540"/>
        <v>0.71222648320847215</v>
      </c>
    </row>
    <row r="2111" spans="1:9" x14ac:dyDescent="0.3">
      <c r="A2111" t="s">
        <v>12</v>
      </c>
      <c r="B2111" s="3">
        <v>45495</v>
      </c>
      <c r="C2111">
        <f t="shared" si="530"/>
        <v>22</v>
      </c>
      <c r="D2111">
        <f t="shared" si="531"/>
        <v>7</v>
      </c>
      <c r="E2111">
        <f t="shared" si="532"/>
        <v>2024</v>
      </c>
      <c r="F2111" s="2">
        <v>1668</v>
      </c>
      <c r="G2111" s="2" t="s">
        <v>19</v>
      </c>
      <c r="I2111" s="4">
        <f t="shared" si="540"/>
        <v>0.71222648320847215</v>
      </c>
    </row>
    <row r="2112" spans="1:9" x14ac:dyDescent="0.3">
      <c r="A2112" t="s">
        <v>11</v>
      </c>
      <c r="B2112" s="3">
        <v>45495</v>
      </c>
      <c r="C2112">
        <f t="shared" si="530"/>
        <v>22</v>
      </c>
      <c r="D2112">
        <f t="shared" si="531"/>
        <v>7</v>
      </c>
      <c r="E2112">
        <f t="shared" si="532"/>
        <v>2024</v>
      </c>
      <c r="F2112" s="2">
        <v>2587</v>
      </c>
      <c r="G2112" t="s">
        <v>19</v>
      </c>
      <c r="I2112" s="4">
        <f t="shared" si="540"/>
        <v>0.71222648320847215</v>
      </c>
    </row>
    <row r="2113" spans="1:9" x14ac:dyDescent="0.3">
      <c r="A2113" t="s">
        <v>8</v>
      </c>
      <c r="B2113" s="3">
        <v>45496</v>
      </c>
      <c r="C2113">
        <f t="shared" si="530"/>
        <v>23</v>
      </c>
      <c r="D2113">
        <f t="shared" si="531"/>
        <v>7</v>
      </c>
      <c r="E2113">
        <f t="shared" si="532"/>
        <v>2024</v>
      </c>
      <c r="F2113" s="2">
        <v>2080</v>
      </c>
      <c r="G2113" s="2" t="s">
        <v>19</v>
      </c>
      <c r="I2113" s="4">
        <f t="shared" si="540"/>
        <v>0.71222648320847215</v>
      </c>
    </row>
    <row r="2114" spans="1:9" x14ac:dyDescent="0.3">
      <c r="A2114" t="s">
        <v>3</v>
      </c>
      <c r="B2114" s="3">
        <v>45496</v>
      </c>
      <c r="C2114">
        <f t="shared" si="530"/>
        <v>23</v>
      </c>
      <c r="D2114">
        <f t="shared" si="531"/>
        <v>7</v>
      </c>
      <c r="E2114">
        <f t="shared" si="532"/>
        <v>2024</v>
      </c>
      <c r="F2114" s="2">
        <v>769</v>
      </c>
      <c r="G2114" t="s">
        <v>19</v>
      </c>
      <c r="I2114" s="4">
        <f t="shared" si="540"/>
        <v>0.71222648320847215</v>
      </c>
    </row>
    <row r="2115" spans="1:9" x14ac:dyDescent="0.3">
      <c r="A2115" t="s">
        <v>9</v>
      </c>
      <c r="B2115" s="3">
        <v>45496</v>
      </c>
      <c r="C2115">
        <f t="shared" ref="C2115:C2178" si="541">DAY(B2115)</f>
        <v>23</v>
      </c>
      <c r="D2115">
        <f t="shared" ref="D2115:D2178" si="542">MONTH(B2115)</f>
        <v>7</v>
      </c>
      <c r="E2115">
        <f t="shared" ref="E2115:E2178" si="543">YEAR(B2115)</f>
        <v>2024</v>
      </c>
      <c r="F2115" s="2">
        <v>569</v>
      </c>
      <c r="G2115" t="s">
        <v>18</v>
      </c>
      <c r="I2115" s="4">
        <f>SUMIFS($F$2:$F$2739,$G$2:$G$2739,"Annual Contract",$E$2:$E$2739,2024)/SUMIF($E$2:$E$2739,2024,$F$2:$F$2739)</f>
        <v>0.19200427193344777</v>
      </c>
    </row>
    <row r="2116" spans="1:9" x14ac:dyDescent="0.3">
      <c r="A2116" t="s">
        <v>12</v>
      </c>
      <c r="B2116" s="3">
        <v>45496</v>
      </c>
      <c r="C2116">
        <f t="shared" si="541"/>
        <v>23</v>
      </c>
      <c r="D2116">
        <f t="shared" si="542"/>
        <v>7</v>
      </c>
      <c r="E2116">
        <f t="shared" si="543"/>
        <v>2024</v>
      </c>
      <c r="F2116" s="2">
        <v>2568</v>
      </c>
      <c r="G2116" s="2" t="s">
        <v>19</v>
      </c>
      <c r="I2116" s="4">
        <f t="shared" ref="I2116:I2119" si="544">SUMIFS($F$2:$F$2739,$G$2:$G$2739,"Multi-year Contract",$E$2:$E$2739,2024)/SUMIF($E$2:$E$2739,2024,$F$2:$F$2739)</f>
        <v>0.71222648320847215</v>
      </c>
    </row>
    <row r="2117" spans="1:9" x14ac:dyDescent="0.3">
      <c r="A2117" t="s">
        <v>11</v>
      </c>
      <c r="B2117" s="3">
        <v>45496</v>
      </c>
      <c r="C2117">
        <f t="shared" si="541"/>
        <v>23</v>
      </c>
      <c r="D2117">
        <f t="shared" si="542"/>
        <v>7</v>
      </c>
      <c r="E2117">
        <f t="shared" si="543"/>
        <v>2024</v>
      </c>
      <c r="F2117" s="2">
        <v>1201</v>
      </c>
      <c r="G2117" t="s">
        <v>19</v>
      </c>
      <c r="I2117" s="4">
        <f t="shared" si="544"/>
        <v>0.71222648320847215</v>
      </c>
    </row>
    <row r="2118" spans="1:9" x14ac:dyDescent="0.3">
      <c r="A2118" t="s">
        <v>3</v>
      </c>
      <c r="B2118" s="3">
        <v>45497</v>
      </c>
      <c r="C2118">
        <f t="shared" si="541"/>
        <v>24</v>
      </c>
      <c r="D2118">
        <f t="shared" si="542"/>
        <v>7</v>
      </c>
      <c r="E2118">
        <f t="shared" si="543"/>
        <v>2024</v>
      </c>
      <c r="F2118" s="2">
        <v>1513</v>
      </c>
      <c r="G2118" t="s">
        <v>19</v>
      </c>
      <c r="I2118" s="4">
        <f t="shared" si="544"/>
        <v>0.71222648320847215</v>
      </c>
    </row>
    <row r="2119" spans="1:9" x14ac:dyDescent="0.3">
      <c r="A2119" t="s">
        <v>11</v>
      </c>
      <c r="B2119" s="3">
        <v>45497</v>
      </c>
      <c r="C2119">
        <f t="shared" si="541"/>
        <v>24</v>
      </c>
      <c r="D2119">
        <f t="shared" si="542"/>
        <v>7</v>
      </c>
      <c r="E2119">
        <f t="shared" si="543"/>
        <v>2024</v>
      </c>
      <c r="F2119" s="2">
        <v>2175</v>
      </c>
      <c r="G2119" t="s">
        <v>19</v>
      </c>
      <c r="I2119" s="4">
        <f t="shared" si="544"/>
        <v>0.71222648320847215</v>
      </c>
    </row>
    <row r="2120" spans="1:9" x14ac:dyDescent="0.3">
      <c r="A2120" t="s">
        <v>9</v>
      </c>
      <c r="B2120" s="3">
        <v>45497</v>
      </c>
      <c r="C2120">
        <f t="shared" si="541"/>
        <v>24</v>
      </c>
      <c r="D2120">
        <f t="shared" si="542"/>
        <v>7</v>
      </c>
      <c r="E2120">
        <f t="shared" si="543"/>
        <v>2024</v>
      </c>
      <c r="F2120" s="2">
        <v>1964</v>
      </c>
      <c r="G2120" t="s">
        <v>18</v>
      </c>
      <c r="I2120" s="4">
        <f>SUMIFS($F$2:$F$2739,$G$2:$G$2739,"Annual Contract",$E$2:$E$2739,2024)/SUMIF($E$2:$E$2739,2024,$F$2:$F$2739)</f>
        <v>0.19200427193344777</v>
      </c>
    </row>
    <row r="2121" spans="1:9" x14ac:dyDescent="0.3">
      <c r="A2121" t="s">
        <v>8</v>
      </c>
      <c r="B2121" s="3">
        <v>45497</v>
      </c>
      <c r="C2121">
        <f t="shared" si="541"/>
        <v>24</v>
      </c>
      <c r="D2121">
        <f t="shared" si="542"/>
        <v>7</v>
      </c>
      <c r="E2121">
        <f t="shared" si="543"/>
        <v>2024</v>
      </c>
      <c r="F2121" s="2">
        <v>1734</v>
      </c>
      <c r="G2121" s="2" t="s">
        <v>19</v>
      </c>
      <c r="I2121" s="4">
        <f t="shared" ref="I2121:I2127" si="545">SUMIFS($F$2:$F$2739,$G$2:$G$2739,"Multi-year Contract",$E$2:$E$2739,2024)/SUMIF($E$2:$E$2739,2024,$F$2:$F$2739)</f>
        <v>0.71222648320847215</v>
      </c>
    </row>
    <row r="2122" spans="1:9" x14ac:dyDescent="0.3">
      <c r="A2122" t="s">
        <v>8</v>
      </c>
      <c r="B2122" s="3">
        <v>45497</v>
      </c>
      <c r="C2122">
        <f t="shared" si="541"/>
        <v>24</v>
      </c>
      <c r="D2122">
        <f t="shared" si="542"/>
        <v>7</v>
      </c>
      <c r="E2122">
        <f t="shared" si="543"/>
        <v>2024</v>
      </c>
      <c r="F2122" s="2">
        <v>3443</v>
      </c>
      <c r="G2122" s="2" t="s">
        <v>19</v>
      </c>
      <c r="I2122" s="4">
        <f t="shared" si="545"/>
        <v>0.71222648320847215</v>
      </c>
    </row>
    <row r="2123" spans="1:9" x14ac:dyDescent="0.3">
      <c r="A2123" t="s">
        <v>10</v>
      </c>
      <c r="B2123" s="3">
        <v>45497</v>
      </c>
      <c r="C2123">
        <f t="shared" si="541"/>
        <v>24</v>
      </c>
      <c r="D2123">
        <f t="shared" si="542"/>
        <v>7</v>
      </c>
      <c r="E2123">
        <f t="shared" si="543"/>
        <v>2024</v>
      </c>
      <c r="F2123" s="2">
        <v>2459</v>
      </c>
      <c r="G2123" t="s">
        <v>19</v>
      </c>
      <c r="I2123" s="4">
        <f t="shared" si="545"/>
        <v>0.71222648320847215</v>
      </c>
    </row>
    <row r="2124" spans="1:9" x14ac:dyDescent="0.3">
      <c r="A2124" t="s">
        <v>5</v>
      </c>
      <c r="B2124" s="3">
        <v>45498</v>
      </c>
      <c r="C2124">
        <f t="shared" si="541"/>
        <v>25</v>
      </c>
      <c r="D2124">
        <f t="shared" si="542"/>
        <v>7</v>
      </c>
      <c r="E2124">
        <f t="shared" si="543"/>
        <v>2024</v>
      </c>
      <c r="F2124" s="2">
        <v>1139</v>
      </c>
      <c r="G2124" t="s">
        <v>19</v>
      </c>
      <c r="I2124" s="4">
        <f t="shared" si="545"/>
        <v>0.71222648320847215</v>
      </c>
    </row>
    <row r="2125" spans="1:9" x14ac:dyDescent="0.3">
      <c r="A2125" t="s">
        <v>4</v>
      </c>
      <c r="B2125" s="3">
        <v>45498</v>
      </c>
      <c r="C2125">
        <f t="shared" si="541"/>
        <v>25</v>
      </c>
      <c r="D2125">
        <f t="shared" si="542"/>
        <v>7</v>
      </c>
      <c r="E2125">
        <f t="shared" si="543"/>
        <v>2024</v>
      </c>
      <c r="F2125" s="2">
        <v>673</v>
      </c>
      <c r="G2125" s="2" t="s">
        <v>19</v>
      </c>
      <c r="I2125" s="4">
        <f t="shared" si="545"/>
        <v>0.71222648320847215</v>
      </c>
    </row>
    <row r="2126" spans="1:9" x14ac:dyDescent="0.3">
      <c r="A2126" t="s">
        <v>3</v>
      </c>
      <c r="B2126" s="3">
        <v>45499</v>
      </c>
      <c r="C2126">
        <f t="shared" si="541"/>
        <v>26</v>
      </c>
      <c r="D2126">
        <f t="shared" si="542"/>
        <v>7</v>
      </c>
      <c r="E2126">
        <f t="shared" si="543"/>
        <v>2024</v>
      </c>
      <c r="F2126" s="2">
        <v>2614</v>
      </c>
      <c r="G2126" t="s">
        <v>19</v>
      </c>
      <c r="I2126" s="4">
        <f t="shared" si="545"/>
        <v>0.71222648320847215</v>
      </c>
    </row>
    <row r="2127" spans="1:9" x14ac:dyDescent="0.3">
      <c r="A2127" t="s">
        <v>8</v>
      </c>
      <c r="B2127" s="3">
        <v>45499</v>
      </c>
      <c r="C2127">
        <f t="shared" si="541"/>
        <v>26</v>
      </c>
      <c r="D2127">
        <f t="shared" si="542"/>
        <v>7</v>
      </c>
      <c r="E2127">
        <f t="shared" si="543"/>
        <v>2024</v>
      </c>
      <c r="F2127" s="2">
        <v>3697</v>
      </c>
      <c r="G2127" s="2" t="s">
        <v>19</v>
      </c>
      <c r="I2127" s="4">
        <f t="shared" si="545"/>
        <v>0.71222648320847215</v>
      </c>
    </row>
    <row r="2128" spans="1:9" x14ac:dyDescent="0.3">
      <c r="A2128" t="s">
        <v>6</v>
      </c>
      <c r="B2128" s="3">
        <v>45499</v>
      </c>
      <c r="C2128">
        <f t="shared" si="541"/>
        <v>26</v>
      </c>
      <c r="D2128">
        <f t="shared" si="542"/>
        <v>7</v>
      </c>
      <c r="E2128">
        <f t="shared" si="543"/>
        <v>2024</v>
      </c>
      <c r="F2128" s="2">
        <v>761</v>
      </c>
      <c r="G2128" t="s">
        <v>18</v>
      </c>
      <c r="I2128" s="4">
        <f>SUMIFS($F$2:$F$2739,$G$2:$G$2739,"Annual Contract",$E$2:$E$2739,2024)/SUMIF($E$2:$E$2739,2024,$F$2:$F$2739)</f>
        <v>0.19200427193344777</v>
      </c>
    </row>
    <row r="2129" spans="1:9" x14ac:dyDescent="0.3">
      <c r="A2129" t="s">
        <v>5</v>
      </c>
      <c r="B2129" s="3">
        <v>45499</v>
      </c>
      <c r="C2129">
        <f t="shared" si="541"/>
        <v>26</v>
      </c>
      <c r="D2129">
        <f t="shared" si="542"/>
        <v>7</v>
      </c>
      <c r="E2129">
        <f t="shared" si="543"/>
        <v>2024</v>
      </c>
      <c r="F2129" s="2">
        <v>3992</v>
      </c>
      <c r="G2129" t="s">
        <v>19</v>
      </c>
      <c r="I2129" s="4">
        <f t="shared" ref="I2129:I2130" si="546">SUMIFS($F$2:$F$2739,$G$2:$G$2739,"Multi-year Contract",$E$2:$E$2739,2024)/SUMIF($E$2:$E$2739,2024,$F$2:$F$2739)</f>
        <v>0.71222648320847215</v>
      </c>
    </row>
    <row r="2130" spans="1:9" x14ac:dyDescent="0.3">
      <c r="A2130" t="s">
        <v>8</v>
      </c>
      <c r="B2130" s="3">
        <v>45499</v>
      </c>
      <c r="C2130">
        <f t="shared" si="541"/>
        <v>26</v>
      </c>
      <c r="D2130">
        <f t="shared" si="542"/>
        <v>7</v>
      </c>
      <c r="E2130">
        <f t="shared" si="543"/>
        <v>2024</v>
      </c>
      <c r="F2130" s="2">
        <v>3665</v>
      </c>
      <c r="G2130" s="2" t="s">
        <v>19</v>
      </c>
      <c r="I2130" s="4">
        <f t="shared" si="546"/>
        <v>0.71222648320847215</v>
      </c>
    </row>
    <row r="2131" spans="1:9" x14ac:dyDescent="0.3">
      <c r="A2131" t="s">
        <v>6</v>
      </c>
      <c r="B2131" s="3">
        <v>45499</v>
      </c>
      <c r="C2131">
        <f t="shared" si="541"/>
        <v>26</v>
      </c>
      <c r="D2131">
        <f t="shared" si="542"/>
        <v>7</v>
      </c>
      <c r="E2131">
        <f t="shared" si="543"/>
        <v>2024</v>
      </c>
      <c r="F2131" s="2">
        <v>1923</v>
      </c>
      <c r="G2131" t="s">
        <v>18</v>
      </c>
      <c r="I2131" s="4">
        <f>SUMIFS($F$2:$F$2739,$G$2:$G$2739,"Annual Contract",$E$2:$E$2739,2024)/SUMIF($E$2:$E$2739,2024,$F$2:$F$2739)</f>
        <v>0.19200427193344777</v>
      </c>
    </row>
    <row r="2132" spans="1:9" x14ac:dyDescent="0.3">
      <c r="A2132" t="s">
        <v>7</v>
      </c>
      <c r="B2132" s="3">
        <v>45500</v>
      </c>
      <c r="C2132">
        <f t="shared" si="541"/>
        <v>27</v>
      </c>
      <c r="D2132">
        <f t="shared" si="542"/>
        <v>7</v>
      </c>
      <c r="E2132">
        <f t="shared" si="543"/>
        <v>2024</v>
      </c>
      <c r="F2132" s="2">
        <v>2528</v>
      </c>
      <c r="G2132" t="s">
        <v>17</v>
      </c>
      <c r="I2132" s="4">
        <f>SUMIFS($F$2:$F$2739,$G$2:$G$2739,"No Contract",$E$2:$E$2739,2024)/SUMIF($E$2:$E$2739,2024,$F$2:$F$2739)</f>
        <v>9.576924485808011E-2</v>
      </c>
    </row>
    <row r="2133" spans="1:9" x14ac:dyDescent="0.3">
      <c r="A2133" t="s">
        <v>11</v>
      </c>
      <c r="B2133" s="3">
        <v>45500</v>
      </c>
      <c r="C2133">
        <f t="shared" si="541"/>
        <v>27</v>
      </c>
      <c r="D2133">
        <f t="shared" si="542"/>
        <v>7</v>
      </c>
      <c r="E2133">
        <f t="shared" si="543"/>
        <v>2024</v>
      </c>
      <c r="F2133" s="2">
        <v>2537</v>
      </c>
      <c r="G2133" t="s">
        <v>19</v>
      </c>
      <c r="I2133" s="4">
        <f t="shared" ref="I2133:I2134" si="547">SUMIFS($F$2:$F$2739,$G$2:$G$2739,"Multi-year Contract",$E$2:$E$2739,2024)/SUMIF($E$2:$E$2739,2024,$F$2:$F$2739)</f>
        <v>0.71222648320847215</v>
      </c>
    </row>
    <row r="2134" spans="1:9" x14ac:dyDescent="0.3">
      <c r="A2134" t="s">
        <v>3</v>
      </c>
      <c r="B2134" s="3">
        <v>45500</v>
      </c>
      <c r="C2134">
        <f t="shared" si="541"/>
        <v>27</v>
      </c>
      <c r="D2134">
        <f t="shared" si="542"/>
        <v>7</v>
      </c>
      <c r="E2134">
        <f t="shared" si="543"/>
        <v>2024</v>
      </c>
      <c r="F2134" s="2">
        <v>1487</v>
      </c>
      <c r="G2134" t="s">
        <v>19</v>
      </c>
      <c r="I2134" s="4">
        <f t="shared" si="547"/>
        <v>0.71222648320847215</v>
      </c>
    </row>
    <row r="2135" spans="1:9" x14ac:dyDescent="0.3">
      <c r="A2135" t="s">
        <v>6</v>
      </c>
      <c r="B2135" s="3">
        <v>45500</v>
      </c>
      <c r="C2135">
        <f t="shared" si="541"/>
        <v>27</v>
      </c>
      <c r="D2135">
        <f t="shared" si="542"/>
        <v>7</v>
      </c>
      <c r="E2135">
        <f t="shared" si="543"/>
        <v>2024</v>
      </c>
      <c r="F2135" s="2">
        <v>612</v>
      </c>
      <c r="G2135" t="s">
        <v>18</v>
      </c>
      <c r="I2135" s="4">
        <f>SUMIFS($F$2:$F$2739,$G$2:$G$2739,"Annual Contract",$E$2:$E$2739,2024)/SUMIF($E$2:$E$2739,2024,$F$2:$F$2739)</f>
        <v>0.19200427193344777</v>
      </c>
    </row>
    <row r="2136" spans="1:9" x14ac:dyDescent="0.3">
      <c r="A2136" t="s">
        <v>10</v>
      </c>
      <c r="B2136" s="3">
        <v>45501</v>
      </c>
      <c r="C2136">
        <f t="shared" si="541"/>
        <v>28</v>
      </c>
      <c r="D2136">
        <f t="shared" si="542"/>
        <v>7</v>
      </c>
      <c r="E2136">
        <f t="shared" si="543"/>
        <v>2024</v>
      </c>
      <c r="F2136" s="2">
        <v>3826</v>
      </c>
      <c r="G2136" t="s">
        <v>19</v>
      </c>
      <c r="I2136" s="4">
        <f t="shared" ref="I2136:I2138" si="548">SUMIFS($F$2:$F$2739,$G$2:$G$2739,"Multi-year Contract",$E$2:$E$2739,2024)/SUMIF($E$2:$E$2739,2024,$F$2:$F$2739)</f>
        <v>0.71222648320847215</v>
      </c>
    </row>
    <row r="2137" spans="1:9" x14ac:dyDescent="0.3">
      <c r="A2137" t="s">
        <v>10</v>
      </c>
      <c r="B2137" s="3">
        <v>45501</v>
      </c>
      <c r="C2137">
        <f t="shared" si="541"/>
        <v>28</v>
      </c>
      <c r="D2137">
        <f t="shared" si="542"/>
        <v>7</v>
      </c>
      <c r="E2137">
        <f t="shared" si="543"/>
        <v>2024</v>
      </c>
      <c r="F2137" s="2">
        <v>651</v>
      </c>
      <c r="G2137" t="s">
        <v>19</v>
      </c>
      <c r="I2137" s="4">
        <f t="shared" si="548"/>
        <v>0.71222648320847215</v>
      </c>
    </row>
    <row r="2138" spans="1:9" x14ac:dyDescent="0.3">
      <c r="A2138" t="s">
        <v>8</v>
      </c>
      <c r="B2138" s="3">
        <v>45501</v>
      </c>
      <c r="C2138">
        <f t="shared" si="541"/>
        <v>28</v>
      </c>
      <c r="D2138">
        <f t="shared" si="542"/>
        <v>7</v>
      </c>
      <c r="E2138">
        <f t="shared" si="543"/>
        <v>2024</v>
      </c>
      <c r="F2138" s="2">
        <v>1242</v>
      </c>
      <c r="G2138" s="2" t="s">
        <v>19</v>
      </c>
      <c r="I2138" s="4">
        <f t="shared" si="548"/>
        <v>0.71222648320847215</v>
      </c>
    </row>
    <row r="2139" spans="1:9" x14ac:dyDescent="0.3">
      <c r="A2139" t="s">
        <v>7</v>
      </c>
      <c r="B2139" s="3">
        <v>45501</v>
      </c>
      <c r="C2139">
        <f t="shared" si="541"/>
        <v>28</v>
      </c>
      <c r="D2139">
        <f t="shared" si="542"/>
        <v>7</v>
      </c>
      <c r="E2139">
        <f t="shared" si="543"/>
        <v>2024</v>
      </c>
      <c r="F2139" s="2">
        <v>1253</v>
      </c>
      <c r="G2139" t="s">
        <v>17</v>
      </c>
      <c r="I2139" s="4">
        <f>SUMIFS($F$2:$F$2739,$G$2:$G$2739,"No Contract",$E$2:$E$2739,2024)/SUMIF($E$2:$E$2739,2024,$F$2:$F$2739)</f>
        <v>9.576924485808011E-2</v>
      </c>
    </row>
    <row r="2140" spans="1:9" x14ac:dyDescent="0.3">
      <c r="A2140" t="s">
        <v>5</v>
      </c>
      <c r="B2140" s="3">
        <v>45501</v>
      </c>
      <c r="C2140">
        <f t="shared" si="541"/>
        <v>28</v>
      </c>
      <c r="D2140">
        <f t="shared" si="542"/>
        <v>7</v>
      </c>
      <c r="E2140">
        <f t="shared" si="543"/>
        <v>2024</v>
      </c>
      <c r="F2140" s="2">
        <v>1648</v>
      </c>
      <c r="G2140" t="s">
        <v>19</v>
      </c>
      <c r="I2140" s="4">
        <f t="shared" ref="I2140:I2142" si="549">SUMIFS($F$2:$F$2739,$G$2:$G$2739,"Multi-year Contract",$E$2:$E$2739,2024)/SUMIF($E$2:$E$2739,2024,$F$2:$F$2739)</f>
        <v>0.71222648320847215</v>
      </c>
    </row>
    <row r="2141" spans="1:9" x14ac:dyDescent="0.3">
      <c r="A2141" t="s">
        <v>8</v>
      </c>
      <c r="B2141" s="3">
        <v>45502</v>
      </c>
      <c r="C2141">
        <f t="shared" si="541"/>
        <v>29</v>
      </c>
      <c r="D2141">
        <f t="shared" si="542"/>
        <v>7</v>
      </c>
      <c r="E2141">
        <f t="shared" si="543"/>
        <v>2024</v>
      </c>
      <c r="F2141" s="2">
        <v>1401</v>
      </c>
      <c r="G2141" s="2" t="s">
        <v>19</v>
      </c>
      <c r="I2141" s="4">
        <f t="shared" si="549"/>
        <v>0.71222648320847215</v>
      </c>
    </row>
    <row r="2142" spans="1:9" x14ac:dyDescent="0.3">
      <c r="A2142" t="s">
        <v>12</v>
      </c>
      <c r="B2142" s="3">
        <v>45502</v>
      </c>
      <c r="C2142">
        <f t="shared" si="541"/>
        <v>29</v>
      </c>
      <c r="D2142">
        <f t="shared" si="542"/>
        <v>7</v>
      </c>
      <c r="E2142">
        <f t="shared" si="543"/>
        <v>2024</v>
      </c>
      <c r="F2142" s="2">
        <v>940</v>
      </c>
      <c r="G2142" s="2" t="s">
        <v>19</v>
      </c>
      <c r="I2142" s="4">
        <f t="shared" si="549"/>
        <v>0.71222648320847215</v>
      </c>
    </row>
    <row r="2143" spans="1:9" x14ac:dyDescent="0.3">
      <c r="A2143" t="s">
        <v>9</v>
      </c>
      <c r="B2143" s="3">
        <v>45502</v>
      </c>
      <c r="C2143">
        <f t="shared" si="541"/>
        <v>29</v>
      </c>
      <c r="D2143">
        <f t="shared" si="542"/>
        <v>7</v>
      </c>
      <c r="E2143">
        <f t="shared" si="543"/>
        <v>2024</v>
      </c>
      <c r="F2143" s="2">
        <v>3515</v>
      </c>
      <c r="G2143" t="s">
        <v>18</v>
      </c>
      <c r="I2143" s="4">
        <f>SUMIFS($F$2:$F$2739,$G$2:$G$2739,"Annual Contract",$E$2:$E$2739,2024)/SUMIF($E$2:$E$2739,2024,$F$2:$F$2739)</f>
        <v>0.19200427193344777</v>
      </c>
    </row>
    <row r="2144" spans="1:9" x14ac:dyDescent="0.3">
      <c r="A2144" t="s">
        <v>5</v>
      </c>
      <c r="B2144" s="3">
        <v>45502</v>
      </c>
      <c r="C2144">
        <f t="shared" si="541"/>
        <v>29</v>
      </c>
      <c r="D2144">
        <f t="shared" si="542"/>
        <v>7</v>
      </c>
      <c r="E2144">
        <f t="shared" si="543"/>
        <v>2024</v>
      </c>
      <c r="F2144" s="2">
        <v>3625</v>
      </c>
      <c r="G2144" t="s">
        <v>19</v>
      </c>
      <c r="I2144" s="4">
        <f t="shared" ref="I2144:I2150" si="550">SUMIFS($F$2:$F$2739,$G$2:$G$2739,"Multi-year Contract",$E$2:$E$2739,2024)/SUMIF($E$2:$E$2739,2024,$F$2:$F$2739)</f>
        <v>0.71222648320847215</v>
      </c>
    </row>
    <row r="2145" spans="1:9" x14ac:dyDescent="0.3">
      <c r="A2145" t="s">
        <v>11</v>
      </c>
      <c r="B2145" s="3">
        <v>45503</v>
      </c>
      <c r="C2145">
        <f t="shared" si="541"/>
        <v>30</v>
      </c>
      <c r="D2145">
        <f t="shared" si="542"/>
        <v>7</v>
      </c>
      <c r="E2145">
        <f t="shared" si="543"/>
        <v>2024</v>
      </c>
      <c r="F2145" s="2">
        <v>3664</v>
      </c>
      <c r="G2145" t="s">
        <v>19</v>
      </c>
      <c r="I2145" s="4">
        <f t="shared" si="550"/>
        <v>0.71222648320847215</v>
      </c>
    </row>
    <row r="2146" spans="1:9" x14ac:dyDescent="0.3">
      <c r="A2146" t="s">
        <v>10</v>
      </c>
      <c r="B2146" s="3">
        <v>45503</v>
      </c>
      <c r="C2146">
        <f t="shared" si="541"/>
        <v>30</v>
      </c>
      <c r="D2146">
        <f t="shared" si="542"/>
        <v>7</v>
      </c>
      <c r="E2146">
        <f t="shared" si="543"/>
        <v>2024</v>
      </c>
      <c r="F2146" s="2">
        <v>1711</v>
      </c>
      <c r="G2146" t="s">
        <v>19</v>
      </c>
      <c r="I2146" s="4">
        <f t="shared" si="550"/>
        <v>0.71222648320847215</v>
      </c>
    </row>
    <row r="2147" spans="1:9" x14ac:dyDescent="0.3">
      <c r="A2147" t="s">
        <v>4</v>
      </c>
      <c r="B2147" s="3">
        <v>45504</v>
      </c>
      <c r="C2147">
        <f t="shared" si="541"/>
        <v>31</v>
      </c>
      <c r="D2147">
        <f t="shared" si="542"/>
        <v>7</v>
      </c>
      <c r="E2147">
        <f t="shared" si="543"/>
        <v>2024</v>
      </c>
      <c r="F2147" s="2">
        <v>2427</v>
      </c>
      <c r="G2147" s="2" t="s">
        <v>19</v>
      </c>
      <c r="I2147" s="4">
        <f t="shared" si="550"/>
        <v>0.71222648320847215</v>
      </c>
    </row>
    <row r="2148" spans="1:9" x14ac:dyDescent="0.3">
      <c r="A2148" t="s">
        <v>10</v>
      </c>
      <c r="B2148" s="3">
        <v>45504</v>
      </c>
      <c r="C2148">
        <f t="shared" si="541"/>
        <v>31</v>
      </c>
      <c r="D2148">
        <f t="shared" si="542"/>
        <v>7</v>
      </c>
      <c r="E2148">
        <f t="shared" si="543"/>
        <v>2024</v>
      </c>
      <c r="F2148" s="2">
        <v>1414</v>
      </c>
      <c r="G2148" t="s">
        <v>19</v>
      </c>
      <c r="I2148" s="4">
        <f t="shared" si="550"/>
        <v>0.71222648320847215</v>
      </c>
    </row>
    <row r="2149" spans="1:9" x14ac:dyDescent="0.3">
      <c r="A2149" t="s">
        <v>10</v>
      </c>
      <c r="B2149" s="3">
        <v>45505</v>
      </c>
      <c r="C2149">
        <f t="shared" si="541"/>
        <v>1</v>
      </c>
      <c r="D2149">
        <f t="shared" si="542"/>
        <v>8</v>
      </c>
      <c r="E2149">
        <f t="shared" si="543"/>
        <v>2024</v>
      </c>
      <c r="F2149" s="2">
        <v>2731</v>
      </c>
      <c r="G2149" t="s">
        <v>19</v>
      </c>
      <c r="I2149" s="4">
        <f t="shared" si="550"/>
        <v>0.71222648320847215</v>
      </c>
    </row>
    <row r="2150" spans="1:9" x14ac:dyDescent="0.3">
      <c r="A2150" t="s">
        <v>4</v>
      </c>
      <c r="B2150" s="3">
        <v>45505</v>
      </c>
      <c r="C2150">
        <f t="shared" si="541"/>
        <v>1</v>
      </c>
      <c r="D2150">
        <f t="shared" si="542"/>
        <v>8</v>
      </c>
      <c r="E2150">
        <f t="shared" si="543"/>
        <v>2024</v>
      </c>
      <c r="F2150" s="2">
        <v>3838</v>
      </c>
      <c r="G2150" s="2" t="s">
        <v>19</v>
      </c>
      <c r="I2150" s="4">
        <f t="shared" si="550"/>
        <v>0.71222648320847215</v>
      </c>
    </row>
    <row r="2151" spans="1:9" x14ac:dyDescent="0.3">
      <c r="A2151" t="s">
        <v>7</v>
      </c>
      <c r="B2151" s="3">
        <v>45505</v>
      </c>
      <c r="C2151">
        <f t="shared" si="541"/>
        <v>1</v>
      </c>
      <c r="D2151">
        <f t="shared" si="542"/>
        <v>8</v>
      </c>
      <c r="E2151">
        <f t="shared" si="543"/>
        <v>2024</v>
      </c>
      <c r="F2151" s="2">
        <v>1405</v>
      </c>
      <c r="G2151" t="s">
        <v>17</v>
      </c>
      <c r="I2151" s="4">
        <f>SUMIFS($F$2:$F$2739,$G$2:$G$2739,"No Contract",$E$2:$E$2739,2024)/SUMIF($E$2:$E$2739,2024,$F$2:$F$2739)</f>
        <v>9.576924485808011E-2</v>
      </c>
    </row>
    <row r="2152" spans="1:9" x14ac:dyDescent="0.3">
      <c r="A2152" t="s">
        <v>8</v>
      </c>
      <c r="B2152" s="3">
        <v>45505</v>
      </c>
      <c r="C2152">
        <f t="shared" si="541"/>
        <v>1</v>
      </c>
      <c r="D2152">
        <f t="shared" si="542"/>
        <v>8</v>
      </c>
      <c r="E2152">
        <f t="shared" si="543"/>
        <v>2024</v>
      </c>
      <c r="F2152" s="2">
        <v>3285</v>
      </c>
      <c r="G2152" s="2" t="s">
        <v>19</v>
      </c>
      <c r="I2152" s="4">
        <f>SUMIFS($F$2:$F$2739,$G$2:$G$2739,"Multi-year Contract",$E$2:$E$2739,2024)/SUMIF($E$2:$E$2739,2024,$F$2:$F$2739)</f>
        <v>0.71222648320847215</v>
      </c>
    </row>
    <row r="2153" spans="1:9" x14ac:dyDescent="0.3">
      <c r="A2153" t="s">
        <v>9</v>
      </c>
      <c r="B2153" s="3">
        <v>45506</v>
      </c>
      <c r="C2153">
        <f t="shared" si="541"/>
        <v>2</v>
      </c>
      <c r="D2153">
        <f t="shared" si="542"/>
        <v>8</v>
      </c>
      <c r="E2153">
        <f t="shared" si="543"/>
        <v>2024</v>
      </c>
      <c r="F2153" s="2">
        <v>2327</v>
      </c>
      <c r="G2153" t="s">
        <v>18</v>
      </c>
      <c r="I2153" s="4">
        <f>SUMIFS($F$2:$F$2739,$G$2:$G$2739,"Annual Contract",$E$2:$E$2739,2024)/SUMIF($E$2:$E$2739,2024,$F$2:$F$2739)</f>
        <v>0.19200427193344777</v>
      </c>
    </row>
    <row r="2154" spans="1:9" x14ac:dyDescent="0.3">
      <c r="A2154" t="s">
        <v>3</v>
      </c>
      <c r="B2154" s="3">
        <v>45506</v>
      </c>
      <c r="C2154">
        <f t="shared" si="541"/>
        <v>2</v>
      </c>
      <c r="D2154">
        <f t="shared" si="542"/>
        <v>8</v>
      </c>
      <c r="E2154">
        <f t="shared" si="543"/>
        <v>2024</v>
      </c>
      <c r="F2154" s="2">
        <v>1602</v>
      </c>
      <c r="G2154" t="s">
        <v>19</v>
      </c>
      <c r="I2154" s="4">
        <f t="shared" ref="I2154:I2157" si="551">SUMIFS($F$2:$F$2739,$G$2:$G$2739,"Multi-year Contract",$E$2:$E$2739,2024)/SUMIF($E$2:$E$2739,2024,$F$2:$F$2739)</f>
        <v>0.71222648320847215</v>
      </c>
    </row>
    <row r="2155" spans="1:9" x14ac:dyDescent="0.3">
      <c r="A2155" t="s">
        <v>4</v>
      </c>
      <c r="B2155" s="3">
        <v>45506</v>
      </c>
      <c r="C2155">
        <f t="shared" si="541"/>
        <v>2</v>
      </c>
      <c r="D2155">
        <f t="shared" si="542"/>
        <v>8</v>
      </c>
      <c r="E2155">
        <f t="shared" si="543"/>
        <v>2024</v>
      </c>
      <c r="F2155" s="2">
        <v>1688</v>
      </c>
      <c r="G2155" s="2" t="s">
        <v>19</v>
      </c>
      <c r="I2155" s="4">
        <f t="shared" si="551"/>
        <v>0.71222648320847215</v>
      </c>
    </row>
    <row r="2156" spans="1:9" x14ac:dyDescent="0.3">
      <c r="A2156" t="s">
        <v>4</v>
      </c>
      <c r="B2156" s="3">
        <v>45506</v>
      </c>
      <c r="C2156">
        <f t="shared" si="541"/>
        <v>2</v>
      </c>
      <c r="D2156">
        <f t="shared" si="542"/>
        <v>8</v>
      </c>
      <c r="E2156">
        <f t="shared" si="543"/>
        <v>2024</v>
      </c>
      <c r="F2156" s="2">
        <v>2557</v>
      </c>
      <c r="G2156" s="2" t="s">
        <v>19</v>
      </c>
      <c r="I2156" s="4">
        <f t="shared" si="551"/>
        <v>0.71222648320847215</v>
      </c>
    </row>
    <row r="2157" spans="1:9" x14ac:dyDescent="0.3">
      <c r="A2157" t="s">
        <v>5</v>
      </c>
      <c r="B2157" s="3">
        <v>45506</v>
      </c>
      <c r="C2157">
        <f t="shared" si="541"/>
        <v>2</v>
      </c>
      <c r="D2157">
        <f t="shared" si="542"/>
        <v>8</v>
      </c>
      <c r="E2157">
        <f t="shared" si="543"/>
        <v>2024</v>
      </c>
      <c r="F2157" s="2">
        <v>1461</v>
      </c>
      <c r="G2157" t="s">
        <v>19</v>
      </c>
      <c r="I2157" s="4">
        <f t="shared" si="551"/>
        <v>0.71222648320847215</v>
      </c>
    </row>
    <row r="2158" spans="1:9" x14ac:dyDescent="0.3">
      <c r="A2158" t="s">
        <v>7</v>
      </c>
      <c r="B2158" s="3">
        <v>45506</v>
      </c>
      <c r="C2158">
        <f t="shared" si="541"/>
        <v>2</v>
      </c>
      <c r="D2158">
        <f t="shared" si="542"/>
        <v>8</v>
      </c>
      <c r="E2158">
        <f t="shared" si="543"/>
        <v>2024</v>
      </c>
      <c r="F2158" s="2">
        <v>2055</v>
      </c>
      <c r="G2158" t="s">
        <v>17</v>
      </c>
      <c r="I2158" s="4">
        <f t="shared" ref="I2158:I2159" si="552">SUMIFS($F$2:$F$2739,$G$2:$G$2739,"No Contract",$E$2:$E$2739,2024)/SUMIF($E$2:$E$2739,2024,$F$2:$F$2739)</f>
        <v>9.576924485808011E-2</v>
      </c>
    </row>
    <row r="2159" spans="1:9" x14ac:dyDescent="0.3">
      <c r="A2159" t="s">
        <v>7</v>
      </c>
      <c r="B2159" s="3">
        <v>45507</v>
      </c>
      <c r="C2159">
        <f t="shared" si="541"/>
        <v>3</v>
      </c>
      <c r="D2159">
        <f t="shared" si="542"/>
        <v>8</v>
      </c>
      <c r="E2159">
        <f t="shared" si="543"/>
        <v>2024</v>
      </c>
      <c r="F2159" s="2">
        <v>3472</v>
      </c>
      <c r="G2159" t="s">
        <v>17</v>
      </c>
      <c r="I2159" s="4">
        <f t="shared" si="552"/>
        <v>9.576924485808011E-2</v>
      </c>
    </row>
    <row r="2160" spans="1:9" x14ac:dyDescent="0.3">
      <c r="A2160" t="s">
        <v>4</v>
      </c>
      <c r="B2160" s="3">
        <v>45507</v>
      </c>
      <c r="C2160">
        <f t="shared" si="541"/>
        <v>3</v>
      </c>
      <c r="D2160">
        <f t="shared" si="542"/>
        <v>8</v>
      </c>
      <c r="E2160">
        <f t="shared" si="543"/>
        <v>2024</v>
      </c>
      <c r="F2160" s="2">
        <v>3926</v>
      </c>
      <c r="G2160" s="2" t="s">
        <v>19</v>
      </c>
      <c r="I2160" s="4">
        <f>SUMIFS($F$2:$F$2739,$G$2:$G$2739,"Multi-year Contract",$E$2:$E$2739,2024)/SUMIF($E$2:$E$2739,2024,$F$2:$F$2739)</f>
        <v>0.71222648320847215</v>
      </c>
    </row>
    <row r="2161" spans="1:9" x14ac:dyDescent="0.3">
      <c r="A2161" t="s">
        <v>6</v>
      </c>
      <c r="B2161" s="3">
        <v>45507</v>
      </c>
      <c r="C2161">
        <f t="shared" si="541"/>
        <v>3</v>
      </c>
      <c r="D2161">
        <f t="shared" si="542"/>
        <v>8</v>
      </c>
      <c r="E2161">
        <f t="shared" si="543"/>
        <v>2024</v>
      </c>
      <c r="F2161" s="2">
        <v>1567</v>
      </c>
      <c r="G2161" t="s">
        <v>18</v>
      </c>
      <c r="I2161" s="4">
        <f>SUMIFS($F$2:$F$2739,$G$2:$G$2739,"Annual Contract",$E$2:$E$2739,2024)/SUMIF($E$2:$E$2739,2024,$F$2:$F$2739)</f>
        <v>0.19200427193344777</v>
      </c>
    </row>
    <row r="2162" spans="1:9" x14ac:dyDescent="0.3">
      <c r="A2162" t="s">
        <v>7</v>
      </c>
      <c r="B2162" s="3">
        <v>45507</v>
      </c>
      <c r="C2162">
        <f t="shared" si="541"/>
        <v>3</v>
      </c>
      <c r="D2162">
        <f t="shared" si="542"/>
        <v>8</v>
      </c>
      <c r="E2162">
        <f t="shared" si="543"/>
        <v>2024</v>
      </c>
      <c r="F2162" s="2">
        <v>2908</v>
      </c>
      <c r="G2162" t="s">
        <v>17</v>
      </c>
      <c r="I2162" s="4">
        <f t="shared" ref="I2162:I2164" si="553">SUMIFS($F$2:$F$2739,$G$2:$G$2739,"No Contract",$E$2:$E$2739,2024)/SUMIF($E$2:$E$2739,2024,$F$2:$F$2739)</f>
        <v>9.576924485808011E-2</v>
      </c>
    </row>
    <row r="2163" spans="1:9" x14ac:dyDescent="0.3">
      <c r="A2163" t="s">
        <v>7</v>
      </c>
      <c r="B2163" s="3">
        <v>45507</v>
      </c>
      <c r="C2163">
        <f t="shared" si="541"/>
        <v>3</v>
      </c>
      <c r="D2163">
        <f t="shared" si="542"/>
        <v>8</v>
      </c>
      <c r="E2163">
        <f t="shared" si="543"/>
        <v>2024</v>
      </c>
      <c r="F2163" s="2">
        <v>3067</v>
      </c>
      <c r="G2163" t="s">
        <v>17</v>
      </c>
      <c r="I2163" s="4">
        <f t="shared" si="553"/>
        <v>9.576924485808011E-2</v>
      </c>
    </row>
    <row r="2164" spans="1:9" x14ac:dyDescent="0.3">
      <c r="A2164" t="s">
        <v>7</v>
      </c>
      <c r="B2164" s="3">
        <v>45507</v>
      </c>
      <c r="C2164">
        <f t="shared" si="541"/>
        <v>3</v>
      </c>
      <c r="D2164">
        <f t="shared" si="542"/>
        <v>8</v>
      </c>
      <c r="E2164">
        <f t="shared" si="543"/>
        <v>2024</v>
      </c>
      <c r="F2164" s="2">
        <v>2568</v>
      </c>
      <c r="G2164" t="s">
        <v>17</v>
      </c>
      <c r="I2164" s="4">
        <f t="shared" si="553"/>
        <v>9.576924485808011E-2</v>
      </c>
    </row>
    <row r="2165" spans="1:9" x14ac:dyDescent="0.3">
      <c r="A2165" t="s">
        <v>10</v>
      </c>
      <c r="B2165" s="3">
        <v>45508</v>
      </c>
      <c r="C2165">
        <f t="shared" si="541"/>
        <v>4</v>
      </c>
      <c r="D2165">
        <f t="shared" si="542"/>
        <v>8</v>
      </c>
      <c r="E2165">
        <f t="shared" si="543"/>
        <v>2024</v>
      </c>
      <c r="F2165" s="2">
        <v>1071</v>
      </c>
      <c r="G2165" t="s">
        <v>19</v>
      </c>
      <c r="I2165" s="4">
        <f t="shared" ref="I2165:I2171" si="554">SUMIFS($F$2:$F$2739,$G$2:$G$2739,"Multi-year Contract",$E$2:$E$2739,2024)/SUMIF($E$2:$E$2739,2024,$F$2:$F$2739)</f>
        <v>0.71222648320847215</v>
      </c>
    </row>
    <row r="2166" spans="1:9" x14ac:dyDescent="0.3">
      <c r="A2166" t="s">
        <v>11</v>
      </c>
      <c r="B2166" s="3">
        <v>45508</v>
      </c>
      <c r="C2166">
        <f t="shared" si="541"/>
        <v>4</v>
      </c>
      <c r="D2166">
        <f t="shared" si="542"/>
        <v>8</v>
      </c>
      <c r="E2166">
        <f t="shared" si="543"/>
        <v>2024</v>
      </c>
      <c r="F2166" s="2">
        <v>1135</v>
      </c>
      <c r="G2166" t="s">
        <v>19</v>
      </c>
      <c r="I2166" s="4">
        <f t="shared" si="554"/>
        <v>0.71222648320847215</v>
      </c>
    </row>
    <row r="2167" spans="1:9" x14ac:dyDescent="0.3">
      <c r="A2167" t="s">
        <v>5</v>
      </c>
      <c r="B2167" s="3">
        <v>45508</v>
      </c>
      <c r="C2167">
        <f t="shared" si="541"/>
        <v>4</v>
      </c>
      <c r="D2167">
        <f t="shared" si="542"/>
        <v>8</v>
      </c>
      <c r="E2167">
        <f t="shared" si="543"/>
        <v>2024</v>
      </c>
      <c r="F2167" s="2">
        <v>1956</v>
      </c>
      <c r="G2167" t="s">
        <v>19</v>
      </c>
      <c r="I2167" s="4">
        <f t="shared" si="554"/>
        <v>0.71222648320847215</v>
      </c>
    </row>
    <row r="2168" spans="1:9" x14ac:dyDescent="0.3">
      <c r="A2168" t="s">
        <v>12</v>
      </c>
      <c r="B2168" s="3">
        <v>45508</v>
      </c>
      <c r="C2168">
        <f t="shared" si="541"/>
        <v>4</v>
      </c>
      <c r="D2168">
        <f t="shared" si="542"/>
        <v>8</v>
      </c>
      <c r="E2168">
        <f t="shared" si="543"/>
        <v>2024</v>
      </c>
      <c r="F2168" s="2">
        <v>766</v>
      </c>
      <c r="G2168" s="2" t="s">
        <v>19</v>
      </c>
      <c r="I2168" s="4">
        <f t="shared" si="554"/>
        <v>0.71222648320847215</v>
      </c>
    </row>
    <row r="2169" spans="1:9" x14ac:dyDescent="0.3">
      <c r="A2169" t="s">
        <v>4</v>
      </c>
      <c r="B2169" s="3">
        <v>45508</v>
      </c>
      <c r="C2169">
        <f t="shared" si="541"/>
        <v>4</v>
      </c>
      <c r="D2169">
        <f t="shared" si="542"/>
        <v>8</v>
      </c>
      <c r="E2169">
        <f t="shared" si="543"/>
        <v>2024</v>
      </c>
      <c r="F2169" s="2">
        <v>1637</v>
      </c>
      <c r="G2169" s="2" t="s">
        <v>19</v>
      </c>
      <c r="I2169" s="4">
        <f t="shared" si="554"/>
        <v>0.71222648320847215</v>
      </c>
    </row>
    <row r="2170" spans="1:9" x14ac:dyDescent="0.3">
      <c r="A2170" t="s">
        <v>11</v>
      </c>
      <c r="B2170" s="3">
        <v>45509</v>
      </c>
      <c r="C2170">
        <f t="shared" si="541"/>
        <v>5</v>
      </c>
      <c r="D2170">
        <f t="shared" si="542"/>
        <v>8</v>
      </c>
      <c r="E2170">
        <f t="shared" si="543"/>
        <v>2024</v>
      </c>
      <c r="F2170" s="2">
        <v>1287</v>
      </c>
      <c r="G2170" t="s">
        <v>19</v>
      </c>
      <c r="I2170" s="4">
        <f t="shared" si="554"/>
        <v>0.71222648320847215</v>
      </c>
    </row>
    <row r="2171" spans="1:9" x14ac:dyDescent="0.3">
      <c r="A2171" t="s">
        <v>8</v>
      </c>
      <c r="B2171" s="3">
        <v>45509</v>
      </c>
      <c r="C2171">
        <f t="shared" si="541"/>
        <v>5</v>
      </c>
      <c r="D2171">
        <f t="shared" si="542"/>
        <v>8</v>
      </c>
      <c r="E2171">
        <f t="shared" si="543"/>
        <v>2024</v>
      </c>
      <c r="F2171" s="2">
        <v>1867</v>
      </c>
      <c r="G2171" s="2" t="s">
        <v>19</v>
      </c>
      <c r="I2171" s="4">
        <f t="shared" si="554"/>
        <v>0.71222648320847215</v>
      </c>
    </row>
    <row r="2172" spans="1:9" x14ac:dyDescent="0.3">
      <c r="A2172" t="s">
        <v>9</v>
      </c>
      <c r="B2172" s="3">
        <v>45509</v>
      </c>
      <c r="C2172">
        <f t="shared" si="541"/>
        <v>5</v>
      </c>
      <c r="D2172">
        <f t="shared" si="542"/>
        <v>8</v>
      </c>
      <c r="E2172">
        <f t="shared" si="543"/>
        <v>2024</v>
      </c>
      <c r="F2172" s="2">
        <v>1678</v>
      </c>
      <c r="G2172" t="s">
        <v>18</v>
      </c>
      <c r="I2172" s="4">
        <f>SUMIFS($F$2:$F$2739,$G$2:$G$2739,"Annual Contract",$E$2:$E$2739,2024)/SUMIF($E$2:$E$2739,2024,$F$2:$F$2739)</f>
        <v>0.19200427193344777</v>
      </c>
    </row>
    <row r="2173" spans="1:9" x14ac:dyDescent="0.3">
      <c r="A2173" t="s">
        <v>3</v>
      </c>
      <c r="B2173" s="3">
        <v>45509</v>
      </c>
      <c r="C2173">
        <f t="shared" si="541"/>
        <v>5</v>
      </c>
      <c r="D2173">
        <f t="shared" si="542"/>
        <v>8</v>
      </c>
      <c r="E2173">
        <f t="shared" si="543"/>
        <v>2024</v>
      </c>
      <c r="F2173" s="2">
        <v>2631</v>
      </c>
      <c r="G2173" t="s">
        <v>19</v>
      </c>
      <c r="I2173" s="4">
        <f t="shared" ref="I2173:I2182" si="555">SUMIFS($F$2:$F$2739,$G$2:$G$2739,"Multi-year Contract",$E$2:$E$2739,2024)/SUMIF($E$2:$E$2739,2024,$F$2:$F$2739)</f>
        <v>0.71222648320847215</v>
      </c>
    </row>
    <row r="2174" spans="1:9" x14ac:dyDescent="0.3">
      <c r="A2174" t="s">
        <v>12</v>
      </c>
      <c r="B2174" s="3">
        <v>45510</v>
      </c>
      <c r="C2174">
        <f t="shared" si="541"/>
        <v>6</v>
      </c>
      <c r="D2174">
        <f t="shared" si="542"/>
        <v>8</v>
      </c>
      <c r="E2174">
        <f t="shared" si="543"/>
        <v>2024</v>
      </c>
      <c r="F2174" s="2">
        <v>1178</v>
      </c>
      <c r="G2174" s="2" t="s">
        <v>19</v>
      </c>
      <c r="I2174" s="4">
        <f t="shared" si="555"/>
        <v>0.71222648320847215</v>
      </c>
    </row>
    <row r="2175" spans="1:9" x14ac:dyDescent="0.3">
      <c r="A2175" t="s">
        <v>3</v>
      </c>
      <c r="B2175" s="3">
        <v>45510</v>
      </c>
      <c r="C2175">
        <f t="shared" si="541"/>
        <v>6</v>
      </c>
      <c r="D2175">
        <f t="shared" si="542"/>
        <v>8</v>
      </c>
      <c r="E2175">
        <f t="shared" si="543"/>
        <v>2024</v>
      </c>
      <c r="F2175" s="2">
        <v>1762</v>
      </c>
      <c r="G2175" t="s">
        <v>19</v>
      </c>
      <c r="I2175" s="4">
        <f t="shared" si="555"/>
        <v>0.71222648320847215</v>
      </c>
    </row>
    <row r="2176" spans="1:9" x14ac:dyDescent="0.3">
      <c r="A2176" t="s">
        <v>10</v>
      </c>
      <c r="B2176" s="3">
        <v>45510</v>
      </c>
      <c r="C2176">
        <f t="shared" si="541"/>
        <v>6</v>
      </c>
      <c r="D2176">
        <f t="shared" si="542"/>
        <v>8</v>
      </c>
      <c r="E2176">
        <f t="shared" si="543"/>
        <v>2024</v>
      </c>
      <c r="F2176" s="2">
        <v>1696</v>
      </c>
      <c r="G2176" t="s">
        <v>19</v>
      </c>
      <c r="I2176" s="4">
        <f t="shared" si="555"/>
        <v>0.71222648320847215</v>
      </c>
    </row>
    <row r="2177" spans="1:9" x14ac:dyDescent="0.3">
      <c r="A2177" t="s">
        <v>10</v>
      </c>
      <c r="B2177" s="3">
        <v>45511</v>
      </c>
      <c r="C2177">
        <f t="shared" si="541"/>
        <v>7</v>
      </c>
      <c r="D2177">
        <f t="shared" si="542"/>
        <v>8</v>
      </c>
      <c r="E2177">
        <f t="shared" si="543"/>
        <v>2024</v>
      </c>
      <c r="F2177" s="2">
        <v>3884</v>
      </c>
      <c r="G2177" t="s">
        <v>19</v>
      </c>
      <c r="I2177" s="4">
        <f t="shared" si="555"/>
        <v>0.71222648320847215</v>
      </c>
    </row>
    <row r="2178" spans="1:9" x14ac:dyDescent="0.3">
      <c r="A2178" t="s">
        <v>4</v>
      </c>
      <c r="B2178" s="3">
        <v>45511</v>
      </c>
      <c r="C2178">
        <f t="shared" si="541"/>
        <v>7</v>
      </c>
      <c r="D2178">
        <f t="shared" si="542"/>
        <v>8</v>
      </c>
      <c r="E2178">
        <f t="shared" si="543"/>
        <v>2024</v>
      </c>
      <c r="F2178" s="2">
        <v>3035</v>
      </c>
      <c r="G2178" s="2" t="s">
        <v>19</v>
      </c>
      <c r="I2178" s="4">
        <f t="shared" si="555"/>
        <v>0.71222648320847215</v>
      </c>
    </row>
    <row r="2179" spans="1:9" x14ac:dyDescent="0.3">
      <c r="A2179" t="s">
        <v>10</v>
      </c>
      <c r="B2179" s="3">
        <v>45511</v>
      </c>
      <c r="C2179">
        <f t="shared" ref="C2179:C2242" si="556">DAY(B2179)</f>
        <v>7</v>
      </c>
      <c r="D2179">
        <f t="shared" ref="D2179:D2242" si="557">MONTH(B2179)</f>
        <v>8</v>
      </c>
      <c r="E2179">
        <f t="shared" ref="E2179:E2242" si="558">YEAR(B2179)</f>
        <v>2024</v>
      </c>
      <c r="F2179" s="2">
        <v>2580</v>
      </c>
      <c r="G2179" t="s">
        <v>19</v>
      </c>
      <c r="I2179" s="4">
        <f t="shared" si="555"/>
        <v>0.71222648320847215</v>
      </c>
    </row>
    <row r="2180" spans="1:9" x14ac:dyDescent="0.3">
      <c r="A2180" t="s">
        <v>5</v>
      </c>
      <c r="B2180" s="3">
        <v>45511</v>
      </c>
      <c r="C2180">
        <f t="shared" si="556"/>
        <v>7</v>
      </c>
      <c r="D2180">
        <f t="shared" si="557"/>
        <v>8</v>
      </c>
      <c r="E2180">
        <f t="shared" si="558"/>
        <v>2024</v>
      </c>
      <c r="F2180" s="2">
        <v>1081</v>
      </c>
      <c r="G2180" t="s">
        <v>19</v>
      </c>
      <c r="I2180" s="4">
        <f t="shared" si="555"/>
        <v>0.71222648320847215</v>
      </c>
    </row>
    <row r="2181" spans="1:9" x14ac:dyDescent="0.3">
      <c r="A2181" t="s">
        <v>5</v>
      </c>
      <c r="B2181" s="3">
        <v>45512</v>
      </c>
      <c r="C2181">
        <f t="shared" si="556"/>
        <v>8</v>
      </c>
      <c r="D2181">
        <f t="shared" si="557"/>
        <v>8</v>
      </c>
      <c r="E2181">
        <f t="shared" si="558"/>
        <v>2024</v>
      </c>
      <c r="F2181" s="2">
        <v>2168</v>
      </c>
      <c r="G2181" t="s">
        <v>19</v>
      </c>
      <c r="I2181" s="4">
        <f t="shared" si="555"/>
        <v>0.71222648320847215</v>
      </c>
    </row>
    <row r="2182" spans="1:9" x14ac:dyDescent="0.3">
      <c r="A2182" t="s">
        <v>5</v>
      </c>
      <c r="B2182" s="3">
        <v>45512</v>
      </c>
      <c r="C2182">
        <f t="shared" si="556"/>
        <v>8</v>
      </c>
      <c r="D2182">
        <f t="shared" si="557"/>
        <v>8</v>
      </c>
      <c r="E2182">
        <f t="shared" si="558"/>
        <v>2024</v>
      </c>
      <c r="F2182" s="2">
        <v>3240</v>
      </c>
      <c r="G2182" t="s">
        <v>19</v>
      </c>
      <c r="I2182" s="4">
        <f t="shared" si="555"/>
        <v>0.71222648320847215</v>
      </c>
    </row>
    <row r="2183" spans="1:9" x14ac:dyDescent="0.3">
      <c r="A2183" t="s">
        <v>6</v>
      </c>
      <c r="B2183" s="3">
        <v>45513</v>
      </c>
      <c r="C2183">
        <f t="shared" si="556"/>
        <v>9</v>
      </c>
      <c r="D2183">
        <f t="shared" si="557"/>
        <v>8</v>
      </c>
      <c r="E2183">
        <f t="shared" si="558"/>
        <v>2024</v>
      </c>
      <c r="F2183" s="2">
        <v>3713</v>
      </c>
      <c r="G2183" t="s">
        <v>18</v>
      </c>
      <c r="I2183" s="4">
        <f>SUMIFS($F$2:$F$2739,$G$2:$G$2739,"Annual Contract",$E$2:$E$2739,2024)/SUMIF($E$2:$E$2739,2024,$F$2:$F$2739)</f>
        <v>0.19200427193344777</v>
      </c>
    </row>
    <row r="2184" spans="1:9" x14ac:dyDescent="0.3">
      <c r="A2184" t="s">
        <v>10</v>
      </c>
      <c r="B2184" s="3">
        <v>45513</v>
      </c>
      <c r="C2184">
        <f t="shared" si="556"/>
        <v>9</v>
      </c>
      <c r="D2184">
        <f t="shared" si="557"/>
        <v>8</v>
      </c>
      <c r="E2184">
        <f t="shared" si="558"/>
        <v>2024</v>
      </c>
      <c r="F2184" s="2">
        <v>3769</v>
      </c>
      <c r="G2184" t="s">
        <v>19</v>
      </c>
      <c r="I2184" s="4">
        <f>SUMIFS($F$2:$F$2739,$G$2:$G$2739,"Multi-year Contract",$E$2:$E$2739,2024)/SUMIF($E$2:$E$2739,2024,$F$2:$F$2739)</f>
        <v>0.71222648320847215</v>
      </c>
    </row>
    <row r="2185" spans="1:9" x14ac:dyDescent="0.3">
      <c r="A2185" t="s">
        <v>6</v>
      </c>
      <c r="B2185" s="3">
        <v>45513</v>
      </c>
      <c r="C2185">
        <f t="shared" si="556"/>
        <v>9</v>
      </c>
      <c r="D2185">
        <f t="shared" si="557"/>
        <v>8</v>
      </c>
      <c r="E2185">
        <f t="shared" si="558"/>
        <v>2024</v>
      </c>
      <c r="F2185" s="2">
        <v>3537</v>
      </c>
      <c r="G2185" t="s">
        <v>18</v>
      </c>
      <c r="I2185" s="4">
        <f>SUMIFS($F$2:$F$2739,$G$2:$G$2739,"Annual Contract",$E$2:$E$2739,2024)/SUMIF($E$2:$E$2739,2024,$F$2:$F$2739)</f>
        <v>0.19200427193344777</v>
      </c>
    </row>
    <row r="2186" spans="1:9" x14ac:dyDescent="0.3">
      <c r="A2186" t="s">
        <v>11</v>
      </c>
      <c r="B2186" s="3">
        <v>45514</v>
      </c>
      <c r="C2186">
        <f t="shared" si="556"/>
        <v>10</v>
      </c>
      <c r="D2186">
        <f t="shared" si="557"/>
        <v>8</v>
      </c>
      <c r="E2186">
        <f t="shared" si="558"/>
        <v>2024</v>
      </c>
      <c r="F2186" s="2">
        <v>3335</v>
      </c>
      <c r="G2186" t="s">
        <v>19</v>
      </c>
      <c r="I2186" s="4">
        <f t="shared" ref="I2186:I2188" si="559">SUMIFS($F$2:$F$2739,$G$2:$G$2739,"Multi-year Contract",$E$2:$E$2739,2024)/SUMIF($E$2:$E$2739,2024,$F$2:$F$2739)</f>
        <v>0.71222648320847215</v>
      </c>
    </row>
    <row r="2187" spans="1:9" x14ac:dyDescent="0.3">
      <c r="A2187" t="s">
        <v>3</v>
      </c>
      <c r="B2187" s="3">
        <v>45514</v>
      </c>
      <c r="C2187">
        <f t="shared" si="556"/>
        <v>10</v>
      </c>
      <c r="D2187">
        <f t="shared" si="557"/>
        <v>8</v>
      </c>
      <c r="E2187">
        <f t="shared" si="558"/>
        <v>2024</v>
      </c>
      <c r="F2187" s="2">
        <v>3288</v>
      </c>
      <c r="G2187" t="s">
        <v>19</v>
      </c>
      <c r="I2187" s="4">
        <f t="shared" si="559"/>
        <v>0.71222648320847215</v>
      </c>
    </row>
    <row r="2188" spans="1:9" x14ac:dyDescent="0.3">
      <c r="A2188" t="s">
        <v>12</v>
      </c>
      <c r="B2188" s="3">
        <v>45514</v>
      </c>
      <c r="C2188">
        <f t="shared" si="556"/>
        <v>10</v>
      </c>
      <c r="D2188">
        <f t="shared" si="557"/>
        <v>8</v>
      </c>
      <c r="E2188">
        <f t="shared" si="558"/>
        <v>2024</v>
      </c>
      <c r="F2188" s="2">
        <v>2981</v>
      </c>
      <c r="G2188" s="2" t="s">
        <v>19</v>
      </c>
      <c r="I2188" s="4">
        <f t="shared" si="559"/>
        <v>0.71222648320847215</v>
      </c>
    </row>
    <row r="2189" spans="1:9" x14ac:dyDescent="0.3">
      <c r="A2189" t="s">
        <v>7</v>
      </c>
      <c r="B2189" s="3">
        <v>45514</v>
      </c>
      <c r="C2189">
        <f t="shared" si="556"/>
        <v>10</v>
      </c>
      <c r="D2189">
        <f t="shared" si="557"/>
        <v>8</v>
      </c>
      <c r="E2189">
        <f t="shared" si="558"/>
        <v>2024</v>
      </c>
      <c r="F2189" s="2">
        <v>2781</v>
      </c>
      <c r="G2189" t="s">
        <v>17</v>
      </c>
      <c r="I2189" s="4">
        <f>SUMIFS($F$2:$F$2739,$G$2:$G$2739,"No Contract",$E$2:$E$2739,2024)/SUMIF($E$2:$E$2739,2024,$F$2:$F$2739)</f>
        <v>9.576924485808011E-2</v>
      </c>
    </row>
    <row r="2190" spans="1:9" x14ac:dyDescent="0.3">
      <c r="A2190" t="s">
        <v>8</v>
      </c>
      <c r="B2190" s="3">
        <v>45514</v>
      </c>
      <c r="C2190">
        <f t="shared" si="556"/>
        <v>10</v>
      </c>
      <c r="D2190">
        <f t="shared" si="557"/>
        <v>8</v>
      </c>
      <c r="E2190">
        <f t="shared" si="558"/>
        <v>2024</v>
      </c>
      <c r="F2190" s="2">
        <v>3975</v>
      </c>
      <c r="G2190" s="2" t="s">
        <v>19</v>
      </c>
      <c r="I2190" s="4">
        <f t="shared" ref="I2190:I2192" si="560">SUMIFS($F$2:$F$2739,$G$2:$G$2739,"Multi-year Contract",$E$2:$E$2739,2024)/SUMIF($E$2:$E$2739,2024,$F$2:$F$2739)</f>
        <v>0.71222648320847215</v>
      </c>
    </row>
    <row r="2191" spans="1:9" x14ac:dyDescent="0.3">
      <c r="A2191" t="s">
        <v>11</v>
      </c>
      <c r="B2191" s="3">
        <v>45514</v>
      </c>
      <c r="C2191">
        <f t="shared" si="556"/>
        <v>10</v>
      </c>
      <c r="D2191">
        <f t="shared" si="557"/>
        <v>8</v>
      </c>
      <c r="E2191">
        <f t="shared" si="558"/>
        <v>2024</v>
      </c>
      <c r="F2191" s="2">
        <v>3403</v>
      </c>
      <c r="G2191" t="s">
        <v>19</v>
      </c>
      <c r="I2191" s="4">
        <f t="shared" si="560"/>
        <v>0.71222648320847215</v>
      </c>
    </row>
    <row r="2192" spans="1:9" x14ac:dyDescent="0.3">
      <c r="A2192" t="s">
        <v>3</v>
      </c>
      <c r="B2192" s="3">
        <v>45515</v>
      </c>
      <c r="C2192">
        <f t="shared" si="556"/>
        <v>11</v>
      </c>
      <c r="D2192">
        <f t="shared" si="557"/>
        <v>8</v>
      </c>
      <c r="E2192">
        <f t="shared" si="558"/>
        <v>2024</v>
      </c>
      <c r="F2192" s="2">
        <v>963</v>
      </c>
      <c r="G2192" t="s">
        <v>19</v>
      </c>
      <c r="I2192" s="4">
        <f t="shared" si="560"/>
        <v>0.71222648320847215</v>
      </c>
    </row>
    <row r="2193" spans="1:9" x14ac:dyDescent="0.3">
      <c r="A2193" t="s">
        <v>6</v>
      </c>
      <c r="B2193" s="3">
        <v>45515</v>
      </c>
      <c r="C2193">
        <f t="shared" si="556"/>
        <v>11</v>
      </c>
      <c r="D2193">
        <f t="shared" si="557"/>
        <v>8</v>
      </c>
      <c r="E2193">
        <f t="shared" si="558"/>
        <v>2024</v>
      </c>
      <c r="F2193" s="2">
        <v>3616</v>
      </c>
      <c r="G2193" t="s">
        <v>18</v>
      </c>
      <c r="I2193" s="4">
        <f t="shared" ref="I2193:I2194" si="561">SUMIFS($F$2:$F$2739,$G$2:$G$2739,"Annual Contract",$E$2:$E$2739,2024)/SUMIF($E$2:$E$2739,2024,$F$2:$F$2739)</f>
        <v>0.19200427193344777</v>
      </c>
    </row>
    <row r="2194" spans="1:9" x14ac:dyDescent="0.3">
      <c r="A2194" t="s">
        <v>6</v>
      </c>
      <c r="B2194" s="3">
        <v>45515</v>
      </c>
      <c r="C2194">
        <f t="shared" si="556"/>
        <v>11</v>
      </c>
      <c r="D2194">
        <f t="shared" si="557"/>
        <v>8</v>
      </c>
      <c r="E2194">
        <f t="shared" si="558"/>
        <v>2024</v>
      </c>
      <c r="F2194" s="2">
        <v>971</v>
      </c>
      <c r="G2194" t="s">
        <v>18</v>
      </c>
      <c r="I2194" s="4">
        <f t="shared" si="561"/>
        <v>0.19200427193344777</v>
      </c>
    </row>
    <row r="2195" spans="1:9" x14ac:dyDescent="0.3">
      <c r="A2195" t="s">
        <v>4</v>
      </c>
      <c r="B2195" s="3">
        <v>45515</v>
      </c>
      <c r="C2195">
        <f t="shared" si="556"/>
        <v>11</v>
      </c>
      <c r="D2195">
        <f t="shared" si="557"/>
        <v>8</v>
      </c>
      <c r="E2195">
        <f t="shared" si="558"/>
        <v>2024</v>
      </c>
      <c r="F2195" s="2">
        <v>3559</v>
      </c>
      <c r="G2195" s="2" t="s">
        <v>19</v>
      </c>
      <c r="I2195" s="4">
        <f t="shared" ref="I2195:I2200" si="562">SUMIFS($F$2:$F$2739,$G$2:$G$2739,"Multi-year Contract",$E$2:$E$2739,2024)/SUMIF($E$2:$E$2739,2024,$F$2:$F$2739)</f>
        <v>0.71222648320847215</v>
      </c>
    </row>
    <row r="2196" spans="1:9" x14ac:dyDescent="0.3">
      <c r="A2196" t="s">
        <v>12</v>
      </c>
      <c r="B2196" s="3">
        <v>45515</v>
      </c>
      <c r="C2196">
        <f t="shared" si="556"/>
        <v>11</v>
      </c>
      <c r="D2196">
        <f t="shared" si="557"/>
        <v>8</v>
      </c>
      <c r="E2196">
        <f t="shared" si="558"/>
        <v>2024</v>
      </c>
      <c r="F2196" s="2">
        <v>2690</v>
      </c>
      <c r="G2196" s="2" t="s">
        <v>19</v>
      </c>
      <c r="I2196" s="4">
        <f t="shared" si="562"/>
        <v>0.71222648320847215</v>
      </c>
    </row>
    <row r="2197" spans="1:9" x14ac:dyDescent="0.3">
      <c r="A2197" t="s">
        <v>5</v>
      </c>
      <c r="B2197" s="3">
        <v>45516</v>
      </c>
      <c r="C2197">
        <f t="shared" si="556"/>
        <v>12</v>
      </c>
      <c r="D2197">
        <f t="shared" si="557"/>
        <v>8</v>
      </c>
      <c r="E2197">
        <f t="shared" si="558"/>
        <v>2024</v>
      </c>
      <c r="F2197" s="2">
        <v>3917</v>
      </c>
      <c r="G2197" t="s">
        <v>19</v>
      </c>
      <c r="I2197" s="4">
        <f t="shared" si="562"/>
        <v>0.71222648320847215</v>
      </c>
    </row>
    <row r="2198" spans="1:9" x14ac:dyDescent="0.3">
      <c r="A2198" t="s">
        <v>8</v>
      </c>
      <c r="B2198" s="3">
        <v>45517</v>
      </c>
      <c r="C2198">
        <f t="shared" si="556"/>
        <v>13</v>
      </c>
      <c r="D2198">
        <f t="shared" si="557"/>
        <v>8</v>
      </c>
      <c r="E2198">
        <f t="shared" si="558"/>
        <v>2024</v>
      </c>
      <c r="F2198" s="2">
        <v>3265</v>
      </c>
      <c r="G2198" s="2" t="s">
        <v>19</v>
      </c>
      <c r="I2198" s="4">
        <f t="shared" si="562"/>
        <v>0.71222648320847215</v>
      </c>
    </row>
    <row r="2199" spans="1:9" x14ac:dyDescent="0.3">
      <c r="A2199" t="s">
        <v>3</v>
      </c>
      <c r="B2199" s="3">
        <v>45517</v>
      </c>
      <c r="C2199">
        <f t="shared" si="556"/>
        <v>13</v>
      </c>
      <c r="D2199">
        <f t="shared" si="557"/>
        <v>8</v>
      </c>
      <c r="E2199">
        <f t="shared" si="558"/>
        <v>2024</v>
      </c>
      <c r="F2199" s="2">
        <v>3222</v>
      </c>
      <c r="G2199" t="s">
        <v>19</v>
      </c>
      <c r="I2199" s="4">
        <f t="shared" si="562"/>
        <v>0.71222648320847215</v>
      </c>
    </row>
    <row r="2200" spans="1:9" x14ac:dyDescent="0.3">
      <c r="A2200" t="s">
        <v>12</v>
      </c>
      <c r="B2200" s="3">
        <v>45517</v>
      </c>
      <c r="C2200">
        <f t="shared" si="556"/>
        <v>13</v>
      </c>
      <c r="D2200">
        <f t="shared" si="557"/>
        <v>8</v>
      </c>
      <c r="E2200">
        <f t="shared" si="558"/>
        <v>2024</v>
      </c>
      <c r="F2200" s="2">
        <v>3291</v>
      </c>
      <c r="G2200" s="2" t="s">
        <v>19</v>
      </c>
      <c r="I2200" s="4">
        <f t="shared" si="562"/>
        <v>0.71222648320847215</v>
      </c>
    </row>
    <row r="2201" spans="1:9" x14ac:dyDescent="0.3">
      <c r="A2201" t="s">
        <v>9</v>
      </c>
      <c r="B2201" s="3">
        <v>45517</v>
      </c>
      <c r="C2201">
        <f t="shared" si="556"/>
        <v>13</v>
      </c>
      <c r="D2201">
        <f t="shared" si="557"/>
        <v>8</v>
      </c>
      <c r="E2201">
        <f t="shared" si="558"/>
        <v>2024</v>
      </c>
      <c r="F2201" s="2">
        <v>2593</v>
      </c>
      <c r="G2201" t="s">
        <v>18</v>
      </c>
      <c r="I2201" s="4">
        <f>SUMIFS($F$2:$F$2739,$G$2:$G$2739,"Annual Contract",$E$2:$E$2739,2024)/SUMIF($E$2:$E$2739,2024,$F$2:$F$2739)</f>
        <v>0.19200427193344777</v>
      </c>
    </row>
    <row r="2202" spans="1:9" x14ac:dyDescent="0.3">
      <c r="A2202" t="s">
        <v>11</v>
      </c>
      <c r="B2202" s="3">
        <v>45518</v>
      </c>
      <c r="C2202">
        <f t="shared" si="556"/>
        <v>14</v>
      </c>
      <c r="D2202">
        <f t="shared" si="557"/>
        <v>8</v>
      </c>
      <c r="E2202">
        <f t="shared" si="558"/>
        <v>2024</v>
      </c>
      <c r="F2202" s="2">
        <v>1774</v>
      </c>
      <c r="G2202" t="s">
        <v>19</v>
      </c>
      <c r="I2202" s="4">
        <f t="shared" ref="I2202:I2203" si="563">SUMIFS($F$2:$F$2739,$G$2:$G$2739,"Multi-year Contract",$E$2:$E$2739,2024)/SUMIF($E$2:$E$2739,2024,$F$2:$F$2739)</f>
        <v>0.71222648320847215</v>
      </c>
    </row>
    <row r="2203" spans="1:9" x14ac:dyDescent="0.3">
      <c r="A2203" t="s">
        <v>5</v>
      </c>
      <c r="B2203" s="3">
        <v>45518</v>
      </c>
      <c r="C2203">
        <f t="shared" si="556"/>
        <v>14</v>
      </c>
      <c r="D2203">
        <f t="shared" si="557"/>
        <v>8</v>
      </c>
      <c r="E2203">
        <f t="shared" si="558"/>
        <v>2024</v>
      </c>
      <c r="F2203" s="2">
        <v>1364</v>
      </c>
      <c r="G2203" t="s">
        <v>19</v>
      </c>
      <c r="I2203" s="4">
        <f t="shared" si="563"/>
        <v>0.71222648320847215</v>
      </c>
    </row>
    <row r="2204" spans="1:9" x14ac:dyDescent="0.3">
      <c r="A2204" t="s">
        <v>6</v>
      </c>
      <c r="B2204" s="3">
        <v>45518</v>
      </c>
      <c r="C2204">
        <f t="shared" si="556"/>
        <v>14</v>
      </c>
      <c r="D2204">
        <f t="shared" si="557"/>
        <v>8</v>
      </c>
      <c r="E2204">
        <f t="shared" si="558"/>
        <v>2024</v>
      </c>
      <c r="F2204" s="2">
        <v>3655</v>
      </c>
      <c r="G2204" t="s">
        <v>18</v>
      </c>
      <c r="I2204" s="4">
        <f>SUMIFS($F$2:$F$2739,$G$2:$G$2739,"Annual Contract",$E$2:$E$2739,2024)/SUMIF($E$2:$E$2739,2024,$F$2:$F$2739)</f>
        <v>0.19200427193344777</v>
      </c>
    </row>
    <row r="2205" spans="1:9" x14ac:dyDescent="0.3">
      <c r="A2205" t="s">
        <v>4</v>
      </c>
      <c r="B2205" s="3">
        <v>45518</v>
      </c>
      <c r="C2205">
        <f t="shared" si="556"/>
        <v>14</v>
      </c>
      <c r="D2205">
        <f t="shared" si="557"/>
        <v>8</v>
      </c>
      <c r="E2205">
        <f t="shared" si="558"/>
        <v>2024</v>
      </c>
      <c r="F2205" s="2">
        <v>3479</v>
      </c>
      <c r="G2205" s="2" t="s">
        <v>19</v>
      </c>
      <c r="I2205" s="4">
        <f t="shared" ref="I2205:I2208" si="564">SUMIFS($F$2:$F$2739,$G$2:$G$2739,"Multi-year Contract",$E$2:$E$2739,2024)/SUMIF($E$2:$E$2739,2024,$F$2:$F$2739)</f>
        <v>0.71222648320847215</v>
      </c>
    </row>
    <row r="2206" spans="1:9" x14ac:dyDescent="0.3">
      <c r="A2206" t="s">
        <v>3</v>
      </c>
      <c r="B2206" s="3">
        <v>45519</v>
      </c>
      <c r="C2206">
        <f t="shared" si="556"/>
        <v>15</v>
      </c>
      <c r="D2206">
        <f t="shared" si="557"/>
        <v>8</v>
      </c>
      <c r="E2206">
        <f t="shared" si="558"/>
        <v>2024</v>
      </c>
      <c r="F2206" s="2">
        <v>1555</v>
      </c>
      <c r="G2206" t="s">
        <v>19</v>
      </c>
      <c r="I2206" s="4">
        <f t="shared" si="564"/>
        <v>0.71222648320847215</v>
      </c>
    </row>
    <row r="2207" spans="1:9" x14ac:dyDescent="0.3">
      <c r="A2207" t="s">
        <v>10</v>
      </c>
      <c r="B2207" s="3">
        <v>45520</v>
      </c>
      <c r="C2207">
        <f t="shared" si="556"/>
        <v>16</v>
      </c>
      <c r="D2207">
        <f t="shared" si="557"/>
        <v>8</v>
      </c>
      <c r="E2207">
        <f t="shared" si="558"/>
        <v>2024</v>
      </c>
      <c r="F2207" s="2">
        <v>3587</v>
      </c>
      <c r="G2207" t="s">
        <v>19</v>
      </c>
      <c r="I2207" s="4">
        <f t="shared" si="564"/>
        <v>0.71222648320847215</v>
      </c>
    </row>
    <row r="2208" spans="1:9" x14ac:dyDescent="0.3">
      <c r="A2208" t="s">
        <v>5</v>
      </c>
      <c r="B2208" s="3">
        <v>45520</v>
      </c>
      <c r="C2208">
        <f t="shared" si="556"/>
        <v>16</v>
      </c>
      <c r="D2208">
        <f t="shared" si="557"/>
        <v>8</v>
      </c>
      <c r="E2208">
        <f t="shared" si="558"/>
        <v>2024</v>
      </c>
      <c r="F2208" s="2">
        <v>3492</v>
      </c>
      <c r="G2208" t="s">
        <v>19</v>
      </c>
      <c r="I2208" s="4">
        <f t="shared" si="564"/>
        <v>0.71222648320847215</v>
      </c>
    </row>
    <row r="2209" spans="1:9" x14ac:dyDescent="0.3">
      <c r="A2209" t="s">
        <v>9</v>
      </c>
      <c r="B2209" s="3">
        <v>45520</v>
      </c>
      <c r="C2209">
        <f t="shared" si="556"/>
        <v>16</v>
      </c>
      <c r="D2209">
        <f t="shared" si="557"/>
        <v>8</v>
      </c>
      <c r="E2209">
        <f t="shared" si="558"/>
        <v>2024</v>
      </c>
      <c r="F2209" s="2">
        <v>977</v>
      </c>
      <c r="G2209" t="s">
        <v>18</v>
      </c>
      <c r="I2209" s="4">
        <f>SUMIFS($F$2:$F$2739,$G$2:$G$2739,"Annual Contract",$E$2:$E$2739,2024)/SUMIF($E$2:$E$2739,2024,$F$2:$F$2739)</f>
        <v>0.19200427193344777</v>
      </c>
    </row>
    <row r="2210" spans="1:9" x14ac:dyDescent="0.3">
      <c r="A2210" t="s">
        <v>8</v>
      </c>
      <c r="B2210" s="3">
        <v>45521</v>
      </c>
      <c r="C2210">
        <f t="shared" si="556"/>
        <v>17</v>
      </c>
      <c r="D2210">
        <f t="shared" si="557"/>
        <v>8</v>
      </c>
      <c r="E2210">
        <f t="shared" si="558"/>
        <v>2024</v>
      </c>
      <c r="F2210" s="2">
        <v>2585</v>
      </c>
      <c r="G2210" s="2" t="s">
        <v>19</v>
      </c>
      <c r="I2210" s="4">
        <f t="shared" ref="I2210:I2211" si="565">SUMIFS($F$2:$F$2739,$G$2:$G$2739,"Multi-year Contract",$E$2:$E$2739,2024)/SUMIF($E$2:$E$2739,2024,$F$2:$F$2739)</f>
        <v>0.71222648320847215</v>
      </c>
    </row>
    <row r="2211" spans="1:9" x14ac:dyDescent="0.3">
      <c r="A2211" t="s">
        <v>4</v>
      </c>
      <c r="B2211" s="3">
        <v>45521</v>
      </c>
      <c r="C2211">
        <f t="shared" si="556"/>
        <v>17</v>
      </c>
      <c r="D2211">
        <f t="shared" si="557"/>
        <v>8</v>
      </c>
      <c r="E2211">
        <f t="shared" si="558"/>
        <v>2024</v>
      </c>
      <c r="F2211" s="2">
        <v>2244</v>
      </c>
      <c r="G2211" s="2" t="s">
        <v>19</v>
      </c>
      <c r="I2211" s="4">
        <f t="shared" si="565"/>
        <v>0.71222648320847215</v>
      </c>
    </row>
    <row r="2212" spans="1:9" x14ac:dyDescent="0.3">
      <c r="A2212" t="s">
        <v>7</v>
      </c>
      <c r="B2212" s="3">
        <v>45521</v>
      </c>
      <c r="C2212">
        <f t="shared" si="556"/>
        <v>17</v>
      </c>
      <c r="D2212">
        <f t="shared" si="557"/>
        <v>8</v>
      </c>
      <c r="E2212">
        <f t="shared" si="558"/>
        <v>2024</v>
      </c>
      <c r="F2212" s="2">
        <v>1037</v>
      </c>
      <c r="G2212" t="s">
        <v>17</v>
      </c>
      <c r="I2212" s="4">
        <f>SUMIFS($F$2:$F$2739,$G$2:$G$2739,"No Contract",$E$2:$E$2739,2024)/SUMIF($E$2:$E$2739,2024,$F$2:$F$2739)</f>
        <v>9.576924485808011E-2</v>
      </c>
    </row>
    <row r="2213" spans="1:9" x14ac:dyDescent="0.3">
      <c r="A2213" t="s">
        <v>3</v>
      </c>
      <c r="B2213" s="3">
        <v>45521</v>
      </c>
      <c r="C2213">
        <f t="shared" si="556"/>
        <v>17</v>
      </c>
      <c r="D2213">
        <f t="shared" si="557"/>
        <v>8</v>
      </c>
      <c r="E2213">
        <f t="shared" si="558"/>
        <v>2024</v>
      </c>
      <c r="F2213" s="2">
        <v>2021</v>
      </c>
      <c r="G2213" t="s">
        <v>19</v>
      </c>
      <c r="I2213" s="4">
        <f t="shared" ref="I2213:I2217" si="566">SUMIFS($F$2:$F$2739,$G$2:$G$2739,"Multi-year Contract",$E$2:$E$2739,2024)/SUMIF($E$2:$E$2739,2024,$F$2:$F$2739)</f>
        <v>0.71222648320847215</v>
      </c>
    </row>
    <row r="2214" spans="1:9" x14ac:dyDescent="0.3">
      <c r="A2214" t="s">
        <v>4</v>
      </c>
      <c r="B2214" s="3">
        <v>45521</v>
      </c>
      <c r="C2214">
        <f t="shared" si="556"/>
        <v>17</v>
      </c>
      <c r="D2214">
        <f t="shared" si="557"/>
        <v>8</v>
      </c>
      <c r="E2214">
        <f t="shared" si="558"/>
        <v>2024</v>
      </c>
      <c r="F2214" s="2">
        <v>1018</v>
      </c>
      <c r="G2214" s="2" t="s">
        <v>19</v>
      </c>
      <c r="I2214" s="4">
        <f t="shared" si="566"/>
        <v>0.71222648320847215</v>
      </c>
    </row>
    <row r="2215" spans="1:9" x14ac:dyDescent="0.3">
      <c r="A2215" t="s">
        <v>12</v>
      </c>
      <c r="B2215" s="3">
        <v>45522</v>
      </c>
      <c r="C2215">
        <f t="shared" si="556"/>
        <v>18</v>
      </c>
      <c r="D2215">
        <f t="shared" si="557"/>
        <v>8</v>
      </c>
      <c r="E2215">
        <f t="shared" si="558"/>
        <v>2024</v>
      </c>
      <c r="F2215" s="2">
        <v>715</v>
      </c>
      <c r="G2215" s="2" t="s">
        <v>19</v>
      </c>
      <c r="I2215" s="4">
        <f t="shared" si="566"/>
        <v>0.71222648320847215</v>
      </c>
    </row>
    <row r="2216" spans="1:9" x14ac:dyDescent="0.3">
      <c r="A2216" t="s">
        <v>11</v>
      </c>
      <c r="B2216" s="3">
        <v>45522</v>
      </c>
      <c r="C2216">
        <f t="shared" si="556"/>
        <v>18</v>
      </c>
      <c r="D2216">
        <f t="shared" si="557"/>
        <v>8</v>
      </c>
      <c r="E2216">
        <f t="shared" si="558"/>
        <v>2024</v>
      </c>
      <c r="F2216" s="2">
        <v>3172</v>
      </c>
      <c r="G2216" t="s">
        <v>19</v>
      </c>
      <c r="I2216" s="4">
        <f t="shared" si="566"/>
        <v>0.71222648320847215</v>
      </c>
    </row>
    <row r="2217" spans="1:9" x14ac:dyDescent="0.3">
      <c r="A2217" t="s">
        <v>12</v>
      </c>
      <c r="B2217" s="3">
        <v>45522</v>
      </c>
      <c r="C2217">
        <f t="shared" si="556"/>
        <v>18</v>
      </c>
      <c r="D2217">
        <f t="shared" si="557"/>
        <v>8</v>
      </c>
      <c r="E2217">
        <f t="shared" si="558"/>
        <v>2024</v>
      </c>
      <c r="F2217" s="2">
        <v>1134</v>
      </c>
      <c r="G2217" s="2" t="s">
        <v>19</v>
      </c>
      <c r="I2217" s="4">
        <f t="shared" si="566"/>
        <v>0.71222648320847215</v>
      </c>
    </row>
    <row r="2218" spans="1:9" x14ac:dyDescent="0.3">
      <c r="A2218" t="s">
        <v>6</v>
      </c>
      <c r="B2218" s="3">
        <v>45522</v>
      </c>
      <c r="C2218">
        <f t="shared" si="556"/>
        <v>18</v>
      </c>
      <c r="D2218">
        <f t="shared" si="557"/>
        <v>8</v>
      </c>
      <c r="E2218">
        <f t="shared" si="558"/>
        <v>2024</v>
      </c>
      <c r="F2218" s="2">
        <v>1825</v>
      </c>
      <c r="G2218" t="s">
        <v>18</v>
      </c>
      <c r="I2218" s="4">
        <f>SUMIFS($F$2:$F$2739,$G$2:$G$2739,"Annual Contract",$E$2:$E$2739,2024)/SUMIF($E$2:$E$2739,2024,$F$2:$F$2739)</f>
        <v>0.19200427193344777</v>
      </c>
    </row>
    <row r="2219" spans="1:9" x14ac:dyDescent="0.3">
      <c r="A2219" t="s">
        <v>12</v>
      </c>
      <c r="B2219" s="3">
        <v>45522</v>
      </c>
      <c r="C2219">
        <f t="shared" si="556"/>
        <v>18</v>
      </c>
      <c r="D2219">
        <f t="shared" si="557"/>
        <v>8</v>
      </c>
      <c r="E2219">
        <f t="shared" si="558"/>
        <v>2024</v>
      </c>
      <c r="F2219" s="2">
        <v>1672</v>
      </c>
      <c r="G2219" s="2" t="s">
        <v>19</v>
      </c>
      <c r="I2219" s="4">
        <f t="shared" ref="I2219:I2220" si="567">SUMIFS($F$2:$F$2739,$G$2:$G$2739,"Multi-year Contract",$E$2:$E$2739,2024)/SUMIF($E$2:$E$2739,2024,$F$2:$F$2739)</f>
        <v>0.71222648320847215</v>
      </c>
    </row>
    <row r="2220" spans="1:9" x14ac:dyDescent="0.3">
      <c r="A2220" t="s">
        <v>5</v>
      </c>
      <c r="B2220" s="3">
        <v>45522</v>
      </c>
      <c r="C2220">
        <f t="shared" si="556"/>
        <v>18</v>
      </c>
      <c r="D2220">
        <f t="shared" si="557"/>
        <v>8</v>
      </c>
      <c r="E2220">
        <f t="shared" si="558"/>
        <v>2024</v>
      </c>
      <c r="F2220" s="2">
        <v>678</v>
      </c>
      <c r="G2220" t="s">
        <v>19</v>
      </c>
      <c r="I2220" s="4">
        <f t="shared" si="567"/>
        <v>0.71222648320847215</v>
      </c>
    </row>
    <row r="2221" spans="1:9" x14ac:dyDescent="0.3">
      <c r="A2221" t="s">
        <v>6</v>
      </c>
      <c r="B2221" s="3">
        <v>45523</v>
      </c>
      <c r="C2221">
        <f t="shared" si="556"/>
        <v>19</v>
      </c>
      <c r="D2221">
        <f t="shared" si="557"/>
        <v>8</v>
      </c>
      <c r="E2221">
        <f t="shared" si="558"/>
        <v>2024</v>
      </c>
      <c r="F2221" s="2">
        <v>3083</v>
      </c>
      <c r="G2221" t="s">
        <v>18</v>
      </c>
      <c r="I2221" s="4">
        <f>SUMIFS($F$2:$F$2739,$G$2:$G$2739,"Annual Contract",$E$2:$E$2739,2024)/SUMIF($E$2:$E$2739,2024,$F$2:$F$2739)</f>
        <v>0.19200427193344777</v>
      </c>
    </row>
    <row r="2222" spans="1:9" x14ac:dyDescent="0.3">
      <c r="A2222" t="s">
        <v>8</v>
      </c>
      <c r="B2222" s="3">
        <v>45523</v>
      </c>
      <c r="C2222">
        <f t="shared" si="556"/>
        <v>19</v>
      </c>
      <c r="D2222">
        <f t="shared" si="557"/>
        <v>8</v>
      </c>
      <c r="E2222">
        <f t="shared" si="558"/>
        <v>2024</v>
      </c>
      <c r="F2222" s="2">
        <v>2655</v>
      </c>
      <c r="G2222" s="2" t="s">
        <v>19</v>
      </c>
      <c r="I2222" s="4">
        <f>SUMIFS($F$2:$F$2739,$G$2:$G$2739,"Multi-year Contract",$E$2:$E$2739,2024)/SUMIF($E$2:$E$2739,2024,$F$2:$F$2739)</f>
        <v>0.71222648320847215</v>
      </c>
    </row>
    <row r="2223" spans="1:9" x14ac:dyDescent="0.3">
      <c r="A2223" t="s">
        <v>7</v>
      </c>
      <c r="B2223" s="3">
        <v>45523</v>
      </c>
      <c r="C2223">
        <f t="shared" si="556"/>
        <v>19</v>
      </c>
      <c r="D2223">
        <f t="shared" si="557"/>
        <v>8</v>
      </c>
      <c r="E2223">
        <f t="shared" si="558"/>
        <v>2024</v>
      </c>
      <c r="F2223" s="2">
        <v>2651</v>
      </c>
      <c r="G2223" t="s">
        <v>17</v>
      </c>
      <c r="I2223" s="4">
        <f>SUMIFS($F$2:$F$2739,$G$2:$G$2739,"No Contract",$E$2:$E$2739,2024)/SUMIF($E$2:$E$2739,2024,$F$2:$F$2739)</f>
        <v>9.576924485808011E-2</v>
      </c>
    </row>
    <row r="2224" spans="1:9" x14ac:dyDescent="0.3">
      <c r="A2224" t="s">
        <v>10</v>
      </c>
      <c r="B2224" s="3">
        <v>45524</v>
      </c>
      <c r="C2224">
        <f t="shared" si="556"/>
        <v>20</v>
      </c>
      <c r="D2224">
        <f t="shared" si="557"/>
        <v>8</v>
      </c>
      <c r="E2224">
        <f t="shared" si="558"/>
        <v>2024</v>
      </c>
      <c r="F2224" s="2">
        <v>3572</v>
      </c>
      <c r="G2224" t="s">
        <v>19</v>
      </c>
      <c r="I2224" s="4">
        <f t="shared" ref="I2224:I2229" si="568">SUMIFS($F$2:$F$2739,$G$2:$G$2739,"Multi-year Contract",$E$2:$E$2739,2024)/SUMIF($E$2:$E$2739,2024,$F$2:$F$2739)</f>
        <v>0.71222648320847215</v>
      </c>
    </row>
    <row r="2225" spans="1:9" x14ac:dyDescent="0.3">
      <c r="A2225" t="s">
        <v>5</v>
      </c>
      <c r="B2225" s="3">
        <v>45524</v>
      </c>
      <c r="C2225">
        <f t="shared" si="556"/>
        <v>20</v>
      </c>
      <c r="D2225">
        <f t="shared" si="557"/>
        <v>8</v>
      </c>
      <c r="E2225">
        <f t="shared" si="558"/>
        <v>2024</v>
      </c>
      <c r="F2225" s="2">
        <v>3434</v>
      </c>
      <c r="G2225" t="s">
        <v>19</v>
      </c>
      <c r="I2225" s="4">
        <f t="shared" si="568"/>
        <v>0.71222648320847215</v>
      </c>
    </row>
    <row r="2226" spans="1:9" x14ac:dyDescent="0.3">
      <c r="A2226" t="s">
        <v>8</v>
      </c>
      <c r="B2226" s="3">
        <v>45524</v>
      </c>
      <c r="C2226">
        <f t="shared" si="556"/>
        <v>20</v>
      </c>
      <c r="D2226">
        <f t="shared" si="557"/>
        <v>8</v>
      </c>
      <c r="E2226">
        <f t="shared" si="558"/>
        <v>2024</v>
      </c>
      <c r="F2226" s="2">
        <v>567</v>
      </c>
      <c r="G2226" s="2" t="s">
        <v>19</v>
      </c>
      <c r="I2226" s="4">
        <f t="shared" si="568"/>
        <v>0.71222648320847215</v>
      </c>
    </row>
    <row r="2227" spans="1:9" x14ac:dyDescent="0.3">
      <c r="A2227" t="s">
        <v>10</v>
      </c>
      <c r="B2227" s="3">
        <v>45525</v>
      </c>
      <c r="C2227">
        <f t="shared" si="556"/>
        <v>21</v>
      </c>
      <c r="D2227">
        <f t="shared" si="557"/>
        <v>8</v>
      </c>
      <c r="E2227">
        <f t="shared" si="558"/>
        <v>2024</v>
      </c>
      <c r="F2227" s="2">
        <v>1650</v>
      </c>
      <c r="G2227" t="s">
        <v>19</v>
      </c>
      <c r="I2227" s="4">
        <f t="shared" si="568"/>
        <v>0.71222648320847215</v>
      </c>
    </row>
    <row r="2228" spans="1:9" x14ac:dyDescent="0.3">
      <c r="A2228" t="s">
        <v>10</v>
      </c>
      <c r="B2228" s="3">
        <v>45525</v>
      </c>
      <c r="C2228">
        <f t="shared" si="556"/>
        <v>21</v>
      </c>
      <c r="D2228">
        <f t="shared" si="557"/>
        <v>8</v>
      </c>
      <c r="E2228">
        <f t="shared" si="558"/>
        <v>2024</v>
      </c>
      <c r="F2228" s="2">
        <v>3339</v>
      </c>
      <c r="G2228" t="s">
        <v>19</v>
      </c>
      <c r="I2228" s="4">
        <f t="shared" si="568"/>
        <v>0.71222648320847215</v>
      </c>
    </row>
    <row r="2229" spans="1:9" x14ac:dyDescent="0.3">
      <c r="A2229" t="s">
        <v>11</v>
      </c>
      <c r="B2229" s="3">
        <v>45526</v>
      </c>
      <c r="C2229">
        <f t="shared" si="556"/>
        <v>22</v>
      </c>
      <c r="D2229">
        <f t="shared" si="557"/>
        <v>8</v>
      </c>
      <c r="E2229">
        <f t="shared" si="558"/>
        <v>2024</v>
      </c>
      <c r="F2229" s="2">
        <v>580</v>
      </c>
      <c r="G2229" t="s">
        <v>19</v>
      </c>
      <c r="I2229" s="4">
        <f t="shared" si="568"/>
        <v>0.71222648320847215</v>
      </c>
    </row>
    <row r="2230" spans="1:9" x14ac:dyDescent="0.3">
      <c r="A2230" t="s">
        <v>7</v>
      </c>
      <c r="B2230" s="3">
        <v>45526</v>
      </c>
      <c r="C2230">
        <f t="shared" si="556"/>
        <v>22</v>
      </c>
      <c r="D2230">
        <f t="shared" si="557"/>
        <v>8</v>
      </c>
      <c r="E2230">
        <f t="shared" si="558"/>
        <v>2024</v>
      </c>
      <c r="F2230" s="2">
        <v>2475</v>
      </c>
      <c r="G2230" t="s">
        <v>17</v>
      </c>
      <c r="I2230" s="4">
        <f>SUMIFS($F$2:$F$2739,$G$2:$G$2739,"No Contract",$E$2:$E$2739,2024)/SUMIF($E$2:$E$2739,2024,$F$2:$F$2739)</f>
        <v>9.576924485808011E-2</v>
      </c>
    </row>
    <row r="2231" spans="1:9" x14ac:dyDescent="0.3">
      <c r="A2231" t="s">
        <v>6</v>
      </c>
      <c r="B2231" s="3">
        <v>45526</v>
      </c>
      <c r="C2231">
        <f t="shared" si="556"/>
        <v>22</v>
      </c>
      <c r="D2231">
        <f t="shared" si="557"/>
        <v>8</v>
      </c>
      <c r="E2231">
        <f t="shared" si="558"/>
        <v>2024</v>
      </c>
      <c r="F2231" s="2">
        <v>670</v>
      </c>
      <c r="G2231" t="s">
        <v>18</v>
      </c>
      <c r="I2231" s="4">
        <f>SUMIFS($F$2:$F$2739,$G$2:$G$2739,"Annual Contract",$E$2:$E$2739,2024)/SUMIF($E$2:$E$2739,2024,$F$2:$F$2739)</f>
        <v>0.19200427193344777</v>
      </c>
    </row>
    <row r="2232" spans="1:9" x14ac:dyDescent="0.3">
      <c r="A2232" t="s">
        <v>11</v>
      </c>
      <c r="B2232" s="3">
        <v>45526</v>
      </c>
      <c r="C2232">
        <f t="shared" si="556"/>
        <v>22</v>
      </c>
      <c r="D2232">
        <f t="shared" si="557"/>
        <v>8</v>
      </c>
      <c r="E2232">
        <f t="shared" si="558"/>
        <v>2024</v>
      </c>
      <c r="F2232" s="2">
        <v>2604</v>
      </c>
      <c r="G2232" t="s">
        <v>19</v>
      </c>
      <c r="I2232" s="4">
        <f t="shared" ref="I2232:I2237" si="569">SUMIFS($F$2:$F$2739,$G$2:$G$2739,"Multi-year Contract",$E$2:$E$2739,2024)/SUMIF($E$2:$E$2739,2024,$F$2:$F$2739)</f>
        <v>0.71222648320847215</v>
      </c>
    </row>
    <row r="2233" spans="1:9" x14ac:dyDescent="0.3">
      <c r="A2233" t="s">
        <v>5</v>
      </c>
      <c r="B2233" s="3">
        <v>45526</v>
      </c>
      <c r="C2233">
        <f t="shared" si="556"/>
        <v>22</v>
      </c>
      <c r="D2233">
        <f t="shared" si="557"/>
        <v>8</v>
      </c>
      <c r="E2233">
        <f t="shared" si="558"/>
        <v>2024</v>
      </c>
      <c r="F2233" s="2">
        <v>3742</v>
      </c>
      <c r="G2233" t="s">
        <v>19</v>
      </c>
      <c r="I2233" s="4">
        <f t="shared" si="569"/>
        <v>0.71222648320847215</v>
      </c>
    </row>
    <row r="2234" spans="1:9" x14ac:dyDescent="0.3">
      <c r="A2234" t="s">
        <v>12</v>
      </c>
      <c r="B2234" s="3">
        <v>45527</v>
      </c>
      <c r="C2234">
        <f t="shared" si="556"/>
        <v>23</v>
      </c>
      <c r="D2234">
        <f t="shared" si="557"/>
        <v>8</v>
      </c>
      <c r="E2234">
        <f t="shared" si="558"/>
        <v>2024</v>
      </c>
      <c r="F2234" s="2">
        <v>3787</v>
      </c>
      <c r="G2234" s="2" t="s">
        <v>19</v>
      </c>
      <c r="I2234" s="4">
        <f t="shared" si="569"/>
        <v>0.71222648320847215</v>
      </c>
    </row>
    <row r="2235" spans="1:9" x14ac:dyDescent="0.3">
      <c r="A2235" t="s">
        <v>5</v>
      </c>
      <c r="B2235" s="3">
        <v>45527</v>
      </c>
      <c r="C2235">
        <f t="shared" si="556"/>
        <v>23</v>
      </c>
      <c r="D2235">
        <f t="shared" si="557"/>
        <v>8</v>
      </c>
      <c r="E2235">
        <f t="shared" si="558"/>
        <v>2024</v>
      </c>
      <c r="F2235" s="2">
        <v>2729</v>
      </c>
      <c r="G2235" t="s">
        <v>19</v>
      </c>
      <c r="I2235" s="4">
        <f t="shared" si="569"/>
        <v>0.71222648320847215</v>
      </c>
    </row>
    <row r="2236" spans="1:9" x14ac:dyDescent="0.3">
      <c r="A2236" t="s">
        <v>10</v>
      </c>
      <c r="B2236" s="3">
        <v>45527</v>
      </c>
      <c r="C2236">
        <f t="shared" si="556"/>
        <v>23</v>
      </c>
      <c r="D2236">
        <f t="shared" si="557"/>
        <v>8</v>
      </c>
      <c r="E2236">
        <f t="shared" si="558"/>
        <v>2024</v>
      </c>
      <c r="F2236" s="2">
        <v>2639</v>
      </c>
      <c r="G2236" t="s">
        <v>19</v>
      </c>
      <c r="I2236" s="4">
        <f t="shared" si="569"/>
        <v>0.71222648320847215</v>
      </c>
    </row>
    <row r="2237" spans="1:9" x14ac:dyDescent="0.3">
      <c r="A2237" t="s">
        <v>3</v>
      </c>
      <c r="B2237" s="3">
        <v>45527</v>
      </c>
      <c r="C2237">
        <f t="shared" si="556"/>
        <v>23</v>
      </c>
      <c r="D2237">
        <f t="shared" si="557"/>
        <v>8</v>
      </c>
      <c r="E2237">
        <f t="shared" si="558"/>
        <v>2024</v>
      </c>
      <c r="F2237" s="2">
        <v>3795</v>
      </c>
      <c r="G2237" t="s">
        <v>19</v>
      </c>
      <c r="I2237" s="4">
        <f t="shared" si="569"/>
        <v>0.71222648320847215</v>
      </c>
    </row>
    <row r="2238" spans="1:9" x14ac:dyDescent="0.3">
      <c r="A2238" t="s">
        <v>9</v>
      </c>
      <c r="B2238" s="3">
        <v>45527</v>
      </c>
      <c r="C2238">
        <f t="shared" si="556"/>
        <v>23</v>
      </c>
      <c r="D2238">
        <f t="shared" si="557"/>
        <v>8</v>
      </c>
      <c r="E2238">
        <f t="shared" si="558"/>
        <v>2024</v>
      </c>
      <c r="F2238" s="2">
        <v>1959</v>
      </c>
      <c r="G2238" t="s">
        <v>18</v>
      </c>
      <c r="I2238" s="4">
        <f>SUMIFS($F$2:$F$2739,$G$2:$G$2739,"Annual Contract",$E$2:$E$2739,2024)/SUMIF($E$2:$E$2739,2024,$F$2:$F$2739)</f>
        <v>0.19200427193344777</v>
      </c>
    </row>
    <row r="2239" spans="1:9" x14ac:dyDescent="0.3">
      <c r="A2239" t="s">
        <v>3</v>
      </c>
      <c r="B2239" s="3">
        <v>45528</v>
      </c>
      <c r="C2239">
        <f t="shared" si="556"/>
        <v>24</v>
      </c>
      <c r="D2239">
        <f t="shared" si="557"/>
        <v>8</v>
      </c>
      <c r="E2239">
        <f t="shared" si="558"/>
        <v>2024</v>
      </c>
      <c r="F2239" s="2">
        <v>3334</v>
      </c>
      <c r="G2239" t="s">
        <v>19</v>
      </c>
      <c r="I2239" s="4">
        <f t="shared" ref="I2239:I2241" si="570">SUMIFS($F$2:$F$2739,$G$2:$G$2739,"Multi-year Contract",$E$2:$E$2739,2024)/SUMIF($E$2:$E$2739,2024,$F$2:$F$2739)</f>
        <v>0.71222648320847215</v>
      </c>
    </row>
    <row r="2240" spans="1:9" x14ac:dyDescent="0.3">
      <c r="A2240" t="s">
        <v>10</v>
      </c>
      <c r="B2240" s="3">
        <v>45528</v>
      </c>
      <c r="C2240">
        <f t="shared" si="556"/>
        <v>24</v>
      </c>
      <c r="D2240">
        <f t="shared" si="557"/>
        <v>8</v>
      </c>
      <c r="E2240">
        <f t="shared" si="558"/>
        <v>2024</v>
      </c>
      <c r="F2240" s="2">
        <v>3071</v>
      </c>
      <c r="G2240" t="s">
        <v>19</v>
      </c>
      <c r="I2240" s="4">
        <f t="shared" si="570"/>
        <v>0.71222648320847215</v>
      </c>
    </row>
    <row r="2241" spans="1:9" x14ac:dyDescent="0.3">
      <c r="A2241" t="s">
        <v>10</v>
      </c>
      <c r="B2241" s="3">
        <v>45528</v>
      </c>
      <c r="C2241">
        <f t="shared" si="556"/>
        <v>24</v>
      </c>
      <c r="D2241">
        <f t="shared" si="557"/>
        <v>8</v>
      </c>
      <c r="E2241">
        <f t="shared" si="558"/>
        <v>2024</v>
      </c>
      <c r="F2241" s="2">
        <v>3277</v>
      </c>
      <c r="G2241" t="s">
        <v>19</v>
      </c>
      <c r="I2241" s="4">
        <f t="shared" si="570"/>
        <v>0.71222648320847215</v>
      </c>
    </row>
    <row r="2242" spans="1:9" x14ac:dyDescent="0.3">
      <c r="A2242" t="s">
        <v>9</v>
      </c>
      <c r="B2242" s="3">
        <v>45528</v>
      </c>
      <c r="C2242">
        <f t="shared" si="556"/>
        <v>24</v>
      </c>
      <c r="D2242">
        <f t="shared" si="557"/>
        <v>8</v>
      </c>
      <c r="E2242">
        <f t="shared" si="558"/>
        <v>2024</v>
      </c>
      <c r="F2242" s="2">
        <v>3616</v>
      </c>
      <c r="G2242" t="s">
        <v>18</v>
      </c>
      <c r="I2242" s="4">
        <f>SUMIFS($F$2:$F$2739,$G$2:$G$2739,"Annual Contract",$E$2:$E$2739,2024)/SUMIF($E$2:$E$2739,2024,$F$2:$F$2739)</f>
        <v>0.19200427193344777</v>
      </c>
    </row>
    <row r="2243" spans="1:9" x14ac:dyDescent="0.3">
      <c r="A2243" t="s">
        <v>4</v>
      </c>
      <c r="B2243" s="3">
        <v>45528</v>
      </c>
      <c r="C2243">
        <f t="shared" ref="C2243:C2306" si="571">DAY(B2243)</f>
        <v>24</v>
      </c>
      <c r="D2243">
        <f t="shared" ref="D2243:D2306" si="572">MONTH(B2243)</f>
        <v>8</v>
      </c>
      <c r="E2243">
        <f t="shared" ref="E2243:E2306" si="573">YEAR(B2243)</f>
        <v>2024</v>
      </c>
      <c r="F2243" s="2">
        <v>602</v>
      </c>
      <c r="G2243" s="2" t="s">
        <v>19</v>
      </c>
      <c r="I2243" s="4">
        <f t="shared" ref="I2243:I2253" si="574">SUMIFS($F$2:$F$2739,$G$2:$G$2739,"Multi-year Contract",$E$2:$E$2739,2024)/SUMIF($E$2:$E$2739,2024,$F$2:$F$2739)</f>
        <v>0.71222648320847215</v>
      </c>
    </row>
    <row r="2244" spans="1:9" x14ac:dyDescent="0.3">
      <c r="A2244" t="s">
        <v>3</v>
      </c>
      <c r="B2244" s="3">
        <v>45528</v>
      </c>
      <c r="C2244">
        <f t="shared" si="571"/>
        <v>24</v>
      </c>
      <c r="D2244">
        <f t="shared" si="572"/>
        <v>8</v>
      </c>
      <c r="E2244">
        <f t="shared" si="573"/>
        <v>2024</v>
      </c>
      <c r="F2244" s="2">
        <v>1268</v>
      </c>
      <c r="G2244" t="s">
        <v>19</v>
      </c>
      <c r="I2244" s="4">
        <f t="shared" si="574"/>
        <v>0.71222648320847215</v>
      </c>
    </row>
    <row r="2245" spans="1:9" x14ac:dyDescent="0.3">
      <c r="A2245" t="s">
        <v>4</v>
      </c>
      <c r="B2245" s="3">
        <v>45529</v>
      </c>
      <c r="C2245">
        <f t="shared" si="571"/>
        <v>25</v>
      </c>
      <c r="D2245">
        <f t="shared" si="572"/>
        <v>8</v>
      </c>
      <c r="E2245">
        <f t="shared" si="573"/>
        <v>2024</v>
      </c>
      <c r="F2245" s="2">
        <v>1170</v>
      </c>
      <c r="G2245" s="2" t="s">
        <v>19</v>
      </c>
      <c r="I2245" s="4">
        <f t="shared" si="574"/>
        <v>0.71222648320847215</v>
      </c>
    </row>
    <row r="2246" spans="1:9" x14ac:dyDescent="0.3">
      <c r="A2246" t="s">
        <v>3</v>
      </c>
      <c r="B2246" s="3">
        <v>45529</v>
      </c>
      <c r="C2246">
        <f t="shared" si="571"/>
        <v>25</v>
      </c>
      <c r="D2246">
        <f t="shared" si="572"/>
        <v>8</v>
      </c>
      <c r="E2246">
        <f t="shared" si="573"/>
        <v>2024</v>
      </c>
      <c r="F2246" s="2">
        <v>1761</v>
      </c>
      <c r="G2246" t="s">
        <v>19</v>
      </c>
      <c r="I2246" s="4">
        <f t="shared" si="574"/>
        <v>0.71222648320847215</v>
      </c>
    </row>
    <row r="2247" spans="1:9" x14ac:dyDescent="0.3">
      <c r="A2247" t="s">
        <v>8</v>
      </c>
      <c r="B2247" s="3">
        <v>45529</v>
      </c>
      <c r="C2247">
        <f t="shared" si="571"/>
        <v>25</v>
      </c>
      <c r="D2247">
        <f t="shared" si="572"/>
        <v>8</v>
      </c>
      <c r="E2247">
        <f t="shared" si="573"/>
        <v>2024</v>
      </c>
      <c r="F2247" s="2">
        <v>3257</v>
      </c>
      <c r="G2247" s="2" t="s">
        <v>19</v>
      </c>
      <c r="I2247" s="4">
        <f t="shared" si="574"/>
        <v>0.71222648320847215</v>
      </c>
    </row>
    <row r="2248" spans="1:9" x14ac:dyDescent="0.3">
      <c r="A2248" t="s">
        <v>3</v>
      </c>
      <c r="B2248" s="3">
        <v>45530</v>
      </c>
      <c r="C2248">
        <f t="shared" si="571"/>
        <v>26</v>
      </c>
      <c r="D2248">
        <f t="shared" si="572"/>
        <v>8</v>
      </c>
      <c r="E2248">
        <f t="shared" si="573"/>
        <v>2024</v>
      </c>
      <c r="F2248" s="2">
        <v>844</v>
      </c>
      <c r="G2248" t="s">
        <v>19</v>
      </c>
      <c r="I2248" s="4">
        <f t="shared" si="574"/>
        <v>0.71222648320847215</v>
      </c>
    </row>
    <row r="2249" spans="1:9" x14ac:dyDescent="0.3">
      <c r="A2249" t="s">
        <v>3</v>
      </c>
      <c r="B2249" s="3">
        <v>45530</v>
      </c>
      <c r="C2249">
        <f t="shared" si="571"/>
        <v>26</v>
      </c>
      <c r="D2249">
        <f t="shared" si="572"/>
        <v>8</v>
      </c>
      <c r="E2249">
        <f t="shared" si="573"/>
        <v>2024</v>
      </c>
      <c r="F2249" s="2">
        <v>1132</v>
      </c>
      <c r="G2249" t="s">
        <v>19</v>
      </c>
      <c r="I2249" s="4">
        <f t="shared" si="574"/>
        <v>0.71222648320847215</v>
      </c>
    </row>
    <row r="2250" spans="1:9" x14ac:dyDescent="0.3">
      <c r="A2250" t="s">
        <v>5</v>
      </c>
      <c r="B2250" s="3">
        <v>45530</v>
      </c>
      <c r="C2250">
        <f t="shared" si="571"/>
        <v>26</v>
      </c>
      <c r="D2250">
        <f t="shared" si="572"/>
        <v>8</v>
      </c>
      <c r="E2250">
        <f t="shared" si="573"/>
        <v>2024</v>
      </c>
      <c r="F2250" s="2">
        <v>1355</v>
      </c>
      <c r="G2250" t="s">
        <v>19</v>
      </c>
      <c r="I2250" s="4">
        <f t="shared" si="574"/>
        <v>0.71222648320847215</v>
      </c>
    </row>
    <row r="2251" spans="1:9" x14ac:dyDescent="0.3">
      <c r="A2251" t="s">
        <v>12</v>
      </c>
      <c r="B2251" s="3">
        <v>45530</v>
      </c>
      <c r="C2251">
        <f t="shared" si="571"/>
        <v>26</v>
      </c>
      <c r="D2251">
        <f t="shared" si="572"/>
        <v>8</v>
      </c>
      <c r="E2251">
        <f t="shared" si="573"/>
        <v>2024</v>
      </c>
      <c r="F2251" s="2">
        <v>2190</v>
      </c>
      <c r="G2251" s="2" t="s">
        <v>19</v>
      </c>
      <c r="I2251" s="4">
        <f t="shared" si="574"/>
        <v>0.71222648320847215</v>
      </c>
    </row>
    <row r="2252" spans="1:9" x14ac:dyDescent="0.3">
      <c r="A2252" t="s">
        <v>12</v>
      </c>
      <c r="B2252" s="3">
        <v>45530</v>
      </c>
      <c r="C2252">
        <f t="shared" si="571"/>
        <v>26</v>
      </c>
      <c r="D2252">
        <f t="shared" si="572"/>
        <v>8</v>
      </c>
      <c r="E2252">
        <f t="shared" si="573"/>
        <v>2024</v>
      </c>
      <c r="F2252" s="2">
        <v>2860</v>
      </c>
      <c r="G2252" s="2" t="s">
        <v>19</v>
      </c>
      <c r="I2252" s="4">
        <f t="shared" si="574"/>
        <v>0.71222648320847215</v>
      </c>
    </row>
    <row r="2253" spans="1:9" x14ac:dyDescent="0.3">
      <c r="A2253" t="s">
        <v>12</v>
      </c>
      <c r="B2253" s="3">
        <v>45531</v>
      </c>
      <c r="C2253">
        <f t="shared" si="571"/>
        <v>27</v>
      </c>
      <c r="D2253">
        <f t="shared" si="572"/>
        <v>8</v>
      </c>
      <c r="E2253">
        <f t="shared" si="573"/>
        <v>2024</v>
      </c>
      <c r="F2253" s="2">
        <v>2943</v>
      </c>
      <c r="G2253" s="2" t="s">
        <v>19</v>
      </c>
      <c r="I2253" s="4">
        <f t="shared" si="574"/>
        <v>0.71222648320847215</v>
      </c>
    </row>
    <row r="2254" spans="1:9" x14ac:dyDescent="0.3">
      <c r="A2254" t="s">
        <v>6</v>
      </c>
      <c r="B2254" s="3">
        <v>45531</v>
      </c>
      <c r="C2254">
        <f t="shared" si="571"/>
        <v>27</v>
      </c>
      <c r="D2254">
        <f t="shared" si="572"/>
        <v>8</v>
      </c>
      <c r="E2254">
        <f t="shared" si="573"/>
        <v>2024</v>
      </c>
      <c r="F2254" s="2">
        <v>3107</v>
      </c>
      <c r="G2254" t="s">
        <v>18</v>
      </c>
      <c r="I2254" s="4">
        <f t="shared" ref="I2254:I2256" si="575">SUMIFS($F$2:$F$2739,$G$2:$G$2739,"Annual Contract",$E$2:$E$2739,2024)/SUMIF($E$2:$E$2739,2024,$F$2:$F$2739)</f>
        <v>0.19200427193344777</v>
      </c>
    </row>
    <row r="2255" spans="1:9" x14ac:dyDescent="0.3">
      <c r="A2255" t="s">
        <v>9</v>
      </c>
      <c r="B2255" s="3">
        <v>45532</v>
      </c>
      <c r="C2255">
        <f t="shared" si="571"/>
        <v>28</v>
      </c>
      <c r="D2255">
        <f t="shared" si="572"/>
        <v>8</v>
      </c>
      <c r="E2255">
        <f t="shared" si="573"/>
        <v>2024</v>
      </c>
      <c r="F2255" s="2">
        <v>2835</v>
      </c>
      <c r="G2255" t="s">
        <v>18</v>
      </c>
      <c r="I2255" s="4">
        <f t="shared" si="575"/>
        <v>0.19200427193344777</v>
      </c>
    </row>
    <row r="2256" spans="1:9" x14ac:dyDescent="0.3">
      <c r="A2256" t="s">
        <v>6</v>
      </c>
      <c r="B2256" s="3">
        <v>45532</v>
      </c>
      <c r="C2256">
        <f t="shared" si="571"/>
        <v>28</v>
      </c>
      <c r="D2256">
        <f t="shared" si="572"/>
        <v>8</v>
      </c>
      <c r="E2256">
        <f t="shared" si="573"/>
        <v>2024</v>
      </c>
      <c r="F2256" s="2">
        <v>1652</v>
      </c>
      <c r="G2256" t="s">
        <v>18</v>
      </c>
      <c r="I2256" s="4">
        <f t="shared" si="575"/>
        <v>0.19200427193344777</v>
      </c>
    </row>
    <row r="2257" spans="1:9" x14ac:dyDescent="0.3">
      <c r="A2257" t="s">
        <v>4</v>
      </c>
      <c r="B2257" s="3">
        <v>45532</v>
      </c>
      <c r="C2257">
        <f t="shared" si="571"/>
        <v>28</v>
      </c>
      <c r="D2257">
        <f t="shared" si="572"/>
        <v>8</v>
      </c>
      <c r="E2257">
        <f t="shared" si="573"/>
        <v>2024</v>
      </c>
      <c r="F2257" s="2">
        <v>1180</v>
      </c>
      <c r="G2257" s="2" t="s">
        <v>19</v>
      </c>
      <c r="I2257" s="4">
        <f t="shared" ref="I2257:I2259" si="576">SUMIFS($F$2:$F$2739,$G$2:$G$2739,"Multi-year Contract",$E$2:$E$2739,2024)/SUMIF($E$2:$E$2739,2024,$F$2:$F$2739)</f>
        <v>0.71222648320847215</v>
      </c>
    </row>
    <row r="2258" spans="1:9" x14ac:dyDescent="0.3">
      <c r="A2258" t="s">
        <v>12</v>
      </c>
      <c r="B2258" s="3">
        <v>45532</v>
      </c>
      <c r="C2258">
        <f t="shared" si="571"/>
        <v>28</v>
      </c>
      <c r="D2258">
        <f t="shared" si="572"/>
        <v>8</v>
      </c>
      <c r="E2258">
        <f t="shared" si="573"/>
        <v>2024</v>
      </c>
      <c r="F2258" s="2">
        <v>3003</v>
      </c>
      <c r="G2258" s="2" t="s">
        <v>19</v>
      </c>
      <c r="I2258" s="4">
        <f t="shared" si="576"/>
        <v>0.71222648320847215</v>
      </c>
    </row>
    <row r="2259" spans="1:9" x14ac:dyDescent="0.3">
      <c r="A2259" t="s">
        <v>5</v>
      </c>
      <c r="B2259" s="3">
        <v>45532</v>
      </c>
      <c r="C2259">
        <f t="shared" si="571"/>
        <v>28</v>
      </c>
      <c r="D2259">
        <f t="shared" si="572"/>
        <v>8</v>
      </c>
      <c r="E2259">
        <f t="shared" si="573"/>
        <v>2024</v>
      </c>
      <c r="F2259" s="2">
        <v>3653</v>
      </c>
      <c r="G2259" t="s">
        <v>19</v>
      </c>
      <c r="I2259" s="4">
        <f t="shared" si="576"/>
        <v>0.71222648320847215</v>
      </c>
    </row>
    <row r="2260" spans="1:9" x14ac:dyDescent="0.3">
      <c r="A2260" t="s">
        <v>6</v>
      </c>
      <c r="B2260" s="3">
        <v>45533</v>
      </c>
      <c r="C2260">
        <f t="shared" si="571"/>
        <v>29</v>
      </c>
      <c r="D2260">
        <f t="shared" si="572"/>
        <v>8</v>
      </c>
      <c r="E2260">
        <f t="shared" si="573"/>
        <v>2024</v>
      </c>
      <c r="F2260" s="2">
        <v>3445</v>
      </c>
      <c r="G2260" t="s">
        <v>18</v>
      </c>
      <c r="I2260" s="4">
        <f t="shared" ref="I2260:I2261" si="577">SUMIFS($F$2:$F$2739,$G$2:$G$2739,"Annual Contract",$E$2:$E$2739,2024)/SUMIF($E$2:$E$2739,2024,$F$2:$F$2739)</f>
        <v>0.19200427193344777</v>
      </c>
    </row>
    <row r="2261" spans="1:9" x14ac:dyDescent="0.3">
      <c r="A2261" t="s">
        <v>6</v>
      </c>
      <c r="B2261" s="3">
        <v>45533</v>
      </c>
      <c r="C2261">
        <f t="shared" si="571"/>
        <v>29</v>
      </c>
      <c r="D2261">
        <f t="shared" si="572"/>
        <v>8</v>
      </c>
      <c r="E2261">
        <f t="shared" si="573"/>
        <v>2024</v>
      </c>
      <c r="F2261" s="2">
        <v>2836</v>
      </c>
      <c r="G2261" t="s">
        <v>18</v>
      </c>
      <c r="I2261" s="4">
        <f t="shared" si="577"/>
        <v>0.19200427193344777</v>
      </c>
    </row>
    <row r="2262" spans="1:9" x14ac:dyDescent="0.3">
      <c r="A2262" t="s">
        <v>4</v>
      </c>
      <c r="B2262" s="3">
        <v>45533</v>
      </c>
      <c r="C2262">
        <f t="shared" si="571"/>
        <v>29</v>
      </c>
      <c r="D2262">
        <f t="shared" si="572"/>
        <v>8</v>
      </c>
      <c r="E2262">
        <f t="shared" si="573"/>
        <v>2024</v>
      </c>
      <c r="F2262" s="2">
        <v>2313</v>
      </c>
      <c r="G2262" s="2" t="s">
        <v>19</v>
      </c>
      <c r="I2262" s="4">
        <f t="shared" ref="I2262:I2265" si="578">SUMIFS($F$2:$F$2739,$G$2:$G$2739,"Multi-year Contract",$E$2:$E$2739,2024)/SUMIF($E$2:$E$2739,2024,$F$2:$F$2739)</f>
        <v>0.71222648320847215</v>
      </c>
    </row>
    <row r="2263" spans="1:9" x14ac:dyDescent="0.3">
      <c r="A2263" t="s">
        <v>5</v>
      </c>
      <c r="B2263" s="3">
        <v>45533</v>
      </c>
      <c r="C2263">
        <f t="shared" si="571"/>
        <v>29</v>
      </c>
      <c r="D2263">
        <f t="shared" si="572"/>
        <v>8</v>
      </c>
      <c r="E2263">
        <f t="shared" si="573"/>
        <v>2024</v>
      </c>
      <c r="F2263" s="2">
        <v>1303</v>
      </c>
      <c r="G2263" t="s">
        <v>19</v>
      </c>
      <c r="I2263" s="4">
        <f t="shared" si="578"/>
        <v>0.71222648320847215</v>
      </c>
    </row>
    <row r="2264" spans="1:9" x14ac:dyDescent="0.3">
      <c r="A2264" t="s">
        <v>3</v>
      </c>
      <c r="B2264" s="3">
        <v>45533</v>
      </c>
      <c r="C2264">
        <f t="shared" si="571"/>
        <v>29</v>
      </c>
      <c r="D2264">
        <f t="shared" si="572"/>
        <v>8</v>
      </c>
      <c r="E2264">
        <f t="shared" si="573"/>
        <v>2024</v>
      </c>
      <c r="F2264" s="2">
        <v>2306</v>
      </c>
      <c r="G2264" t="s">
        <v>19</v>
      </c>
      <c r="I2264" s="4">
        <f t="shared" si="578"/>
        <v>0.71222648320847215</v>
      </c>
    </row>
    <row r="2265" spans="1:9" x14ac:dyDescent="0.3">
      <c r="A2265" t="s">
        <v>12</v>
      </c>
      <c r="B2265" s="3">
        <v>45533</v>
      </c>
      <c r="C2265">
        <f t="shared" si="571"/>
        <v>29</v>
      </c>
      <c r="D2265">
        <f t="shared" si="572"/>
        <v>8</v>
      </c>
      <c r="E2265">
        <f t="shared" si="573"/>
        <v>2024</v>
      </c>
      <c r="F2265" s="2">
        <v>3298</v>
      </c>
      <c r="G2265" s="2" t="s">
        <v>19</v>
      </c>
      <c r="I2265" s="4">
        <f t="shared" si="578"/>
        <v>0.71222648320847215</v>
      </c>
    </row>
    <row r="2266" spans="1:9" x14ac:dyDescent="0.3">
      <c r="A2266" t="s">
        <v>9</v>
      </c>
      <c r="B2266" s="3">
        <v>45533</v>
      </c>
      <c r="C2266">
        <f t="shared" si="571"/>
        <v>29</v>
      </c>
      <c r="D2266">
        <f t="shared" si="572"/>
        <v>8</v>
      </c>
      <c r="E2266">
        <f t="shared" si="573"/>
        <v>2024</v>
      </c>
      <c r="F2266" s="2">
        <v>1522</v>
      </c>
      <c r="G2266" t="s">
        <v>18</v>
      </c>
      <c r="I2266" s="4">
        <f>SUMIFS($F$2:$F$2739,$G$2:$G$2739,"Annual Contract",$E$2:$E$2739,2024)/SUMIF($E$2:$E$2739,2024,$F$2:$F$2739)</f>
        <v>0.19200427193344777</v>
      </c>
    </row>
    <row r="2267" spans="1:9" x14ac:dyDescent="0.3">
      <c r="A2267" t="s">
        <v>8</v>
      </c>
      <c r="B2267" s="3">
        <v>45534</v>
      </c>
      <c r="C2267">
        <f t="shared" si="571"/>
        <v>30</v>
      </c>
      <c r="D2267">
        <f t="shared" si="572"/>
        <v>8</v>
      </c>
      <c r="E2267">
        <f t="shared" si="573"/>
        <v>2024</v>
      </c>
      <c r="F2267" s="2">
        <v>1918</v>
      </c>
      <c r="G2267" s="2" t="s">
        <v>19</v>
      </c>
      <c r="I2267" s="4">
        <f t="shared" ref="I2267:I2274" si="579">SUMIFS($F$2:$F$2739,$G$2:$G$2739,"Multi-year Contract",$E$2:$E$2739,2024)/SUMIF($E$2:$E$2739,2024,$F$2:$F$2739)</f>
        <v>0.71222648320847215</v>
      </c>
    </row>
    <row r="2268" spans="1:9" x14ac:dyDescent="0.3">
      <c r="A2268" t="s">
        <v>11</v>
      </c>
      <c r="B2268" s="3">
        <v>45534</v>
      </c>
      <c r="C2268">
        <f t="shared" si="571"/>
        <v>30</v>
      </c>
      <c r="D2268">
        <f t="shared" si="572"/>
        <v>8</v>
      </c>
      <c r="E2268">
        <f t="shared" si="573"/>
        <v>2024</v>
      </c>
      <c r="F2268" s="2">
        <v>1688</v>
      </c>
      <c r="G2268" t="s">
        <v>19</v>
      </c>
      <c r="I2268" s="4">
        <f t="shared" si="579"/>
        <v>0.71222648320847215</v>
      </c>
    </row>
    <row r="2269" spans="1:9" x14ac:dyDescent="0.3">
      <c r="A2269" t="s">
        <v>3</v>
      </c>
      <c r="B2269" s="3">
        <v>45534</v>
      </c>
      <c r="C2269">
        <f t="shared" si="571"/>
        <v>30</v>
      </c>
      <c r="D2269">
        <f t="shared" si="572"/>
        <v>8</v>
      </c>
      <c r="E2269">
        <f t="shared" si="573"/>
        <v>2024</v>
      </c>
      <c r="F2269" s="2">
        <v>1635</v>
      </c>
      <c r="G2269" t="s">
        <v>19</v>
      </c>
      <c r="I2269" s="4">
        <f t="shared" si="579"/>
        <v>0.71222648320847215</v>
      </c>
    </row>
    <row r="2270" spans="1:9" x14ac:dyDescent="0.3">
      <c r="A2270" t="s">
        <v>8</v>
      </c>
      <c r="B2270" s="3">
        <v>45534</v>
      </c>
      <c r="C2270">
        <f t="shared" si="571"/>
        <v>30</v>
      </c>
      <c r="D2270">
        <f t="shared" si="572"/>
        <v>8</v>
      </c>
      <c r="E2270">
        <f t="shared" si="573"/>
        <v>2024</v>
      </c>
      <c r="F2270" s="2">
        <v>986</v>
      </c>
      <c r="G2270" s="2" t="s">
        <v>19</v>
      </c>
      <c r="I2270" s="4">
        <f t="shared" si="579"/>
        <v>0.71222648320847215</v>
      </c>
    </row>
    <row r="2271" spans="1:9" x14ac:dyDescent="0.3">
      <c r="A2271" t="s">
        <v>3</v>
      </c>
      <c r="B2271" s="3">
        <v>45534</v>
      </c>
      <c r="C2271">
        <f t="shared" si="571"/>
        <v>30</v>
      </c>
      <c r="D2271">
        <f t="shared" si="572"/>
        <v>8</v>
      </c>
      <c r="E2271">
        <f t="shared" si="573"/>
        <v>2024</v>
      </c>
      <c r="F2271" s="2">
        <v>3539</v>
      </c>
      <c r="G2271" t="s">
        <v>19</v>
      </c>
      <c r="I2271" s="4">
        <f t="shared" si="579"/>
        <v>0.71222648320847215</v>
      </c>
    </row>
    <row r="2272" spans="1:9" x14ac:dyDescent="0.3">
      <c r="A2272" t="s">
        <v>3</v>
      </c>
      <c r="B2272" s="3">
        <v>45535</v>
      </c>
      <c r="C2272">
        <f t="shared" si="571"/>
        <v>31</v>
      </c>
      <c r="D2272">
        <f t="shared" si="572"/>
        <v>8</v>
      </c>
      <c r="E2272">
        <f t="shared" si="573"/>
        <v>2024</v>
      </c>
      <c r="F2272" s="2">
        <v>2597</v>
      </c>
      <c r="G2272" t="s">
        <v>19</v>
      </c>
      <c r="I2272" s="4">
        <f t="shared" si="579"/>
        <v>0.71222648320847215</v>
      </c>
    </row>
    <row r="2273" spans="1:9" x14ac:dyDescent="0.3">
      <c r="A2273" t="s">
        <v>4</v>
      </c>
      <c r="B2273" s="3">
        <v>45535</v>
      </c>
      <c r="C2273">
        <f t="shared" si="571"/>
        <v>31</v>
      </c>
      <c r="D2273">
        <f t="shared" si="572"/>
        <v>8</v>
      </c>
      <c r="E2273">
        <f t="shared" si="573"/>
        <v>2024</v>
      </c>
      <c r="F2273" s="2">
        <v>2755</v>
      </c>
      <c r="G2273" s="2" t="s">
        <v>19</v>
      </c>
      <c r="I2273" s="4">
        <f t="shared" si="579"/>
        <v>0.71222648320847215</v>
      </c>
    </row>
    <row r="2274" spans="1:9" x14ac:dyDescent="0.3">
      <c r="A2274" t="s">
        <v>4</v>
      </c>
      <c r="B2274" s="3">
        <v>45535</v>
      </c>
      <c r="C2274">
        <f t="shared" si="571"/>
        <v>31</v>
      </c>
      <c r="D2274">
        <f t="shared" si="572"/>
        <v>8</v>
      </c>
      <c r="E2274">
        <f t="shared" si="573"/>
        <v>2024</v>
      </c>
      <c r="F2274" s="2">
        <v>2638</v>
      </c>
      <c r="G2274" s="2" t="s">
        <v>19</v>
      </c>
      <c r="I2274" s="4">
        <f t="shared" si="579"/>
        <v>0.71222648320847215</v>
      </c>
    </row>
    <row r="2275" spans="1:9" x14ac:dyDescent="0.3">
      <c r="A2275" t="s">
        <v>6</v>
      </c>
      <c r="B2275" s="3">
        <v>45535</v>
      </c>
      <c r="C2275">
        <f t="shared" si="571"/>
        <v>31</v>
      </c>
      <c r="D2275">
        <f t="shared" si="572"/>
        <v>8</v>
      </c>
      <c r="E2275">
        <f t="shared" si="573"/>
        <v>2024</v>
      </c>
      <c r="F2275" s="2">
        <v>2590</v>
      </c>
      <c r="G2275" t="s">
        <v>18</v>
      </c>
      <c r="I2275" s="4">
        <f>SUMIFS($F$2:$F$2739,$G$2:$G$2739,"Annual Contract",$E$2:$E$2739,2024)/SUMIF($E$2:$E$2739,2024,$F$2:$F$2739)</f>
        <v>0.19200427193344777</v>
      </c>
    </row>
    <row r="2276" spans="1:9" x14ac:dyDescent="0.3">
      <c r="A2276" t="s">
        <v>8</v>
      </c>
      <c r="B2276" s="3">
        <v>45536</v>
      </c>
      <c r="C2276">
        <f t="shared" si="571"/>
        <v>1</v>
      </c>
      <c r="D2276">
        <f t="shared" si="572"/>
        <v>9</v>
      </c>
      <c r="E2276">
        <f t="shared" si="573"/>
        <v>2024</v>
      </c>
      <c r="F2276" s="2">
        <v>2901</v>
      </c>
      <c r="G2276" s="2" t="s">
        <v>19</v>
      </c>
      <c r="I2276" s="4">
        <f t="shared" ref="I2276:I2277" si="580">SUMIFS($F$2:$F$2739,$G$2:$G$2739,"Multi-year Contract",$E$2:$E$2739,2024)/SUMIF($E$2:$E$2739,2024,$F$2:$F$2739)</f>
        <v>0.71222648320847215</v>
      </c>
    </row>
    <row r="2277" spans="1:9" x14ac:dyDescent="0.3">
      <c r="A2277" t="s">
        <v>12</v>
      </c>
      <c r="B2277" s="3">
        <v>45536</v>
      </c>
      <c r="C2277">
        <f t="shared" si="571"/>
        <v>1</v>
      </c>
      <c r="D2277">
        <f t="shared" si="572"/>
        <v>9</v>
      </c>
      <c r="E2277">
        <f t="shared" si="573"/>
        <v>2024</v>
      </c>
      <c r="F2277" s="2">
        <v>1694</v>
      </c>
      <c r="G2277" s="2" t="s">
        <v>19</v>
      </c>
      <c r="I2277" s="4">
        <f t="shared" si="580"/>
        <v>0.71222648320847215</v>
      </c>
    </row>
    <row r="2278" spans="1:9" x14ac:dyDescent="0.3">
      <c r="A2278" t="s">
        <v>7</v>
      </c>
      <c r="B2278" s="3">
        <v>45536</v>
      </c>
      <c r="C2278">
        <f t="shared" si="571"/>
        <v>1</v>
      </c>
      <c r="D2278">
        <f t="shared" si="572"/>
        <v>9</v>
      </c>
      <c r="E2278">
        <f t="shared" si="573"/>
        <v>2024</v>
      </c>
      <c r="F2278" s="2">
        <v>3961</v>
      </c>
      <c r="G2278" t="s">
        <v>17</v>
      </c>
      <c r="I2278" s="4">
        <f>SUMIFS($F$2:$F$2739,$G$2:$G$2739,"No Contract",$E$2:$E$2739,2024)/SUMIF($E$2:$E$2739,2024,$F$2:$F$2739)</f>
        <v>9.576924485808011E-2</v>
      </c>
    </row>
    <row r="2279" spans="1:9" x14ac:dyDescent="0.3">
      <c r="A2279" t="s">
        <v>10</v>
      </c>
      <c r="B2279" s="3">
        <v>45536</v>
      </c>
      <c r="C2279">
        <f t="shared" si="571"/>
        <v>1</v>
      </c>
      <c r="D2279">
        <f t="shared" si="572"/>
        <v>9</v>
      </c>
      <c r="E2279">
        <f t="shared" si="573"/>
        <v>2024</v>
      </c>
      <c r="F2279" s="2">
        <v>2507</v>
      </c>
      <c r="G2279" t="s">
        <v>19</v>
      </c>
      <c r="I2279" s="4">
        <f t="shared" ref="I2279:I2286" si="581">SUMIFS($F$2:$F$2739,$G$2:$G$2739,"Multi-year Contract",$E$2:$E$2739,2024)/SUMIF($E$2:$E$2739,2024,$F$2:$F$2739)</f>
        <v>0.71222648320847215</v>
      </c>
    </row>
    <row r="2280" spans="1:9" x14ac:dyDescent="0.3">
      <c r="A2280" t="s">
        <v>4</v>
      </c>
      <c r="B2280" s="3">
        <v>45537</v>
      </c>
      <c r="C2280">
        <f t="shared" si="571"/>
        <v>2</v>
      </c>
      <c r="D2280">
        <f t="shared" si="572"/>
        <v>9</v>
      </c>
      <c r="E2280">
        <f t="shared" si="573"/>
        <v>2024</v>
      </c>
      <c r="F2280" s="2">
        <v>3677</v>
      </c>
      <c r="G2280" s="2" t="s">
        <v>19</v>
      </c>
      <c r="I2280" s="4">
        <f t="shared" si="581"/>
        <v>0.71222648320847215</v>
      </c>
    </row>
    <row r="2281" spans="1:9" x14ac:dyDescent="0.3">
      <c r="A2281" t="s">
        <v>3</v>
      </c>
      <c r="B2281" s="3">
        <v>45537</v>
      </c>
      <c r="C2281">
        <f t="shared" si="571"/>
        <v>2</v>
      </c>
      <c r="D2281">
        <f t="shared" si="572"/>
        <v>9</v>
      </c>
      <c r="E2281">
        <f t="shared" si="573"/>
        <v>2024</v>
      </c>
      <c r="F2281" s="2">
        <v>823</v>
      </c>
      <c r="G2281" t="s">
        <v>19</v>
      </c>
      <c r="I2281" s="4">
        <f t="shared" si="581"/>
        <v>0.71222648320847215</v>
      </c>
    </row>
    <row r="2282" spans="1:9" x14ac:dyDescent="0.3">
      <c r="A2282" t="s">
        <v>12</v>
      </c>
      <c r="B2282" s="3">
        <v>45537</v>
      </c>
      <c r="C2282">
        <f t="shared" si="571"/>
        <v>2</v>
      </c>
      <c r="D2282">
        <f t="shared" si="572"/>
        <v>9</v>
      </c>
      <c r="E2282">
        <f t="shared" si="573"/>
        <v>2024</v>
      </c>
      <c r="F2282" s="2">
        <v>3097</v>
      </c>
      <c r="G2282" s="2" t="s">
        <v>19</v>
      </c>
      <c r="I2282" s="4">
        <f t="shared" si="581"/>
        <v>0.71222648320847215</v>
      </c>
    </row>
    <row r="2283" spans="1:9" x14ac:dyDescent="0.3">
      <c r="A2283" t="s">
        <v>3</v>
      </c>
      <c r="B2283" s="3">
        <v>45537</v>
      </c>
      <c r="C2283">
        <f t="shared" si="571"/>
        <v>2</v>
      </c>
      <c r="D2283">
        <f t="shared" si="572"/>
        <v>9</v>
      </c>
      <c r="E2283">
        <f t="shared" si="573"/>
        <v>2024</v>
      </c>
      <c r="F2283" s="2">
        <v>734</v>
      </c>
      <c r="G2283" t="s">
        <v>19</v>
      </c>
      <c r="I2283" s="4">
        <f t="shared" si="581"/>
        <v>0.71222648320847215</v>
      </c>
    </row>
    <row r="2284" spans="1:9" x14ac:dyDescent="0.3">
      <c r="A2284" t="s">
        <v>10</v>
      </c>
      <c r="B2284" s="3">
        <v>45538</v>
      </c>
      <c r="C2284">
        <f t="shared" si="571"/>
        <v>3</v>
      </c>
      <c r="D2284">
        <f t="shared" si="572"/>
        <v>9</v>
      </c>
      <c r="E2284">
        <f t="shared" si="573"/>
        <v>2024</v>
      </c>
      <c r="F2284" s="2">
        <v>3920</v>
      </c>
      <c r="G2284" t="s">
        <v>19</v>
      </c>
      <c r="I2284" s="4">
        <f t="shared" si="581"/>
        <v>0.71222648320847215</v>
      </c>
    </row>
    <row r="2285" spans="1:9" x14ac:dyDescent="0.3">
      <c r="A2285" t="s">
        <v>4</v>
      </c>
      <c r="B2285" s="3">
        <v>45538</v>
      </c>
      <c r="C2285">
        <f t="shared" si="571"/>
        <v>3</v>
      </c>
      <c r="D2285">
        <f t="shared" si="572"/>
        <v>9</v>
      </c>
      <c r="E2285">
        <f t="shared" si="573"/>
        <v>2024</v>
      </c>
      <c r="F2285" s="2">
        <v>2266</v>
      </c>
      <c r="G2285" s="2" t="s">
        <v>19</v>
      </c>
      <c r="I2285" s="4">
        <f t="shared" si="581"/>
        <v>0.71222648320847215</v>
      </c>
    </row>
    <row r="2286" spans="1:9" x14ac:dyDescent="0.3">
      <c r="A2286" t="s">
        <v>12</v>
      </c>
      <c r="B2286" s="3">
        <v>45538</v>
      </c>
      <c r="C2286">
        <f t="shared" si="571"/>
        <v>3</v>
      </c>
      <c r="D2286">
        <f t="shared" si="572"/>
        <v>9</v>
      </c>
      <c r="E2286">
        <f t="shared" si="573"/>
        <v>2024</v>
      </c>
      <c r="F2286" s="2">
        <v>2559</v>
      </c>
      <c r="G2286" s="2" t="s">
        <v>19</v>
      </c>
      <c r="I2286" s="4">
        <f t="shared" si="581"/>
        <v>0.71222648320847215</v>
      </c>
    </row>
    <row r="2287" spans="1:9" x14ac:dyDescent="0.3">
      <c r="A2287" t="s">
        <v>6</v>
      </c>
      <c r="B2287" s="3">
        <v>45539</v>
      </c>
      <c r="C2287">
        <f t="shared" si="571"/>
        <v>4</v>
      </c>
      <c r="D2287">
        <f t="shared" si="572"/>
        <v>9</v>
      </c>
      <c r="E2287">
        <f t="shared" si="573"/>
        <v>2024</v>
      </c>
      <c r="F2287" s="2">
        <v>1206</v>
      </c>
      <c r="G2287" t="s">
        <v>18</v>
      </c>
      <c r="I2287" s="4">
        <f>SUMIFS($F$2:$F$2739,$G$2:$G$2739,"Annual Contract",$E$2:$E$2739,2024)/SUMIF($E$2:$E$2739,2024,$F$2:$F$2739)</f>
        <v>0.19200427193344777</v>
      </c>
    </row>
    <row r="2288" spans="1:9" x14ac:dyDescent="0.3">
      <c r="A2288" t="s">
        <v>12</v>
      </c>
      <c r="B2288" s="3">
        <v>45540</v>
      </c>
      <c r="C2288">
        <f t="shared" si="571"/>
        <v>5</v>
      </c>
      <c r="D2288">
        <f t="shared" si="572"/>
        <v>9</v>
      </c>
      <c r="E2288">
        <f t="shared" si="573"/>
        <v>2024</v>
      </c>
      <c r="F2288" s="2">
        <v>780</v>
      </c>
      <c r="G2288" s="2" t="s">
        <v>19</v>
      </c>
      <c r="I2288" s="4">
        <f t="shared" ref="I2288:I2294" si="582">SUMIFS($F$2:$F$2739,$G$2:$G$2739,"Multi-year Contract",$E$2:$E$2739,2024)/SUMIF($E$2:$E$2739,2024,$F$2:$F$2739)</f>
        <v>0.71222648320847215</v>
      </c>
    </row>
    <row r="2289" spans="1:9" x14ac:dyDescent="0.3">
      <c r="A2289" t="s">
        <v>11</v>
      </c>
      <c r="B2289" s="3">
        <v>45540</v>
      </c>
      <c r="C2289">
        <f t="shared" si="571"/>
        <v>5</v>
      </c>
      <c r="D2289">
        <f t="shared" si="572"/>
        <v>9</v>
      </c>
      <c r="E2289">
        <f t="shared" si="573"/>
        <v>2024</v>
      </c>
      <c r="F2289" s="2">
        <v>884</v>
      </c>
      <c r="G2289" t="s">
        <v>19</v>
      </c>
      <c r="I2289" s="4">
        <f t="shared" si="582"/>
        <v>0.71222648320847215</v>
      </c>
    </row>
    <row r="2290" spans="1:9" x14ac:dyDescent="0.3">
      <c r="A2290" t="s">
        <v>10</v>
      </c>
      <c r="B2290" s="3">
        <v>45540</v>
      </c>
      <c r="C2290">
        <f t="shared" si="571"/>
        <v>5</v>
      </c>
      <c r="D2290">
        <f t="shared" si="572"/>
        <v>9</v>
      </c>
      <c r="E2290">
        <f t="shared" si="573"/>
        <v>2024</v>
      </c>
      <c r="F2290" s="2">
        <v>1108</v>
      </c>
      <c r="G2290" t="s">
        <v>19</v>
      </c>
      <c r="I2290" s="4">
        <f t="shared" si="582"/>
        <v>0.71222648320847215</v>
      </c>
    </row>
    <row r="2291" spans="1:9" x14ac:dyDescent="0.3">
      <c r="A2291" t="s">
        <v>4</v>
      </c>
      <c r="B2291" s="3">
        <v>45541</v>
      </c>
      <c r="C2291">
        <f t="shared" si="571"/>
        <v>6</v>
      </c>
      <c r="D2291">
        <f t="shared" si="572"/>
        <v>9</v>
      </c>
      <c r="E2291">
        <f t="shared" si="573"/>
        <v>2024</v>
      </c>
      <c r="F2291" s="2">
        <v>632</v>
      </c>
      <c r="G2291" s="2" t="s">
        <v>19</v>
      </c>
      <c r="I2291" s="4">
        <f t="shared" si="582"/>
        <v>0.71222648320847215</v>
      </c>
    </row>
    <row r="2292" spans="1:9" x14ac:dyDescent="0.3">
      <c r="A2292" t="s">
        <v>4</v>
      </c>
      <c r="B2292" s="3">
        <v>45541</v>
      </c>
      <c r="C2292">
        <f t="shared" si="571"/>
        <v>6</v>
      </c>
      <c r="D2292">
        <f t="shared" si="572"/>
        <v>9</v>
      </c>
      <c r="E2292">
        <f t="shared" si="573"/>
        <v>2024</v>
      </c>
      <c r="F2292" s="2">
        <v>1766</v>
      </c>
      <c r="G2292" s="2" t="s">
        <v>19</v>
      </c>
      <c r="I2292" s="4">
        <f t="shared" si="582"/>
        <v>0.71222648320847215</v>
      </c>
    </row>
    <row r="2293" spans="1:9" x14ac:dyDescent="0.3">
      <c r="A2293" t="s">
        <v>12</v>
      </c>
      <c r="B2293" s="3">
        <v>45541</v>
      </c>
      <c r="C2293">
        <f t="shared" si="571"/>
        <v>6</v>
      </c>
      <c r="D2293">
        <f t="shared" si="572"/>
        <v>9</v>
      </c>
      <c r="E2293">
        <f t="shared" si="573"/>
        <v>2024</v>
      </c>
      <c r="F2293" s="2">
        <v>1408</v>
      </c>
      <c r="G2293" s="2" t="s">
        <v>19</v>
      </c>
      <c r="I2293" s="4">
        <f t="shared" si="582"/>
        <v>0.71222648320847215</v>
      </c>
    </row>
    <row r="2294" spans="1:9" x14ac:dyDescent="0.3">
      <c r="A2294" t="s">
        <v>11</v>
      </c>
      <c r="B2294" s="3">
        <v>45542</v>
      </c>
      <c r="C2294">
        <f t="shared" si="571"/>
        <v>7</v>
      </c>
      <c r="D2294">
        <f t="shared" si="572"/>
        <v>9</v>
      </c>
      <c r="E2294">
        <f t="shared" si="573"/>
        <v>2024</v>
      </c>
      <c r="F2294" s="2">
        <v>607</v>
      </c>
      <c r="G2294" t="s">
        <v>19</v>
      </c>
      <c r="I2294" s="4">
        <f t="shared" si="582"/>
        <v>0.71222648320847215</v>
      </c>
    </row>
    <row r="2295" spans="1:9" x14ac:dyDescent="0.3">
      <c r="A2295" t="s">
        <v>9</v>
      </c>
      <c r="B2295" s="3">
        <v>45542</v>
      </c>
      <c r="C2295">
        <f t="shared" si="571"/>
        <v>7</v>
      </c>
      <c r="D2295">
        <f t="shared" si="572"/>
        <v>9</v>
      </c>
      <c r="E2295">
        <f t="shared" si="573"/>
        <v>2024</v>
      </c>
      <c r="F2295" s="2">
        <v>2419</v>
      </c>
      <c r="G2295" t="s">
        <v>18</v>
      </c>
      <c r="I2295" s="4">
        <f>SUMIFS($F$2:$F$2739,$G$2:$G$2739,"Annual Contract",$E$2:$E$2739,2024)/SUMIF($E$2:$E$2739,2024,$F$2:$F$2739)</f>
        <v>0.19200427193344777</v>
      </c>
    </row>
    <row r="2296" spans="1:9" x14ac:dyDescent="0.3">
      <c r="A2296" t="s">
        <v>11</v>
      </c>
      <c r="B2296" s="3">
        <v>45544</v>
      </c>
      <c r="C2296">
        <f t="shared" si="571"/>
        <v>9</v>
      </c>
      <c r="D2296">
        <f t="shared" si="572"/>
        <v>9</v>
      </c>
      <c r="E2296">
        <f t="shared" si="573"/>
        <v>2024</v>
      </c>
      <c r="F2296" s="2">
        <v>1202</v>
      </c>
      <c r="G2296" t="s">
        <v>19</v>
      </c>
      <c r="I2296" s="4">
        <f>SUMIFS($F$2:$F$2739,$G$2:$G$2739,"Multi-year Contract",$E$2:$E$2739,2024)/SUMIF($E$2:$E$2739,2024,$F$2:$F$2739)</f>
        <v>0.71222648320847215</v>
      </c>
    </row>
    <row r="2297" spans="1:9" x14ac:dyDescent="0.3">
      <c r="A2297" t="s">
        <v>7</v>
      </c>
      <c r="B2297" s="3">
        <v>45544</v>
      </c>
      <c r="C2297">
        <f t="shared" si="571"/>
        <v>9</v>
      </c>
      <c r="D2297">
        <f t="shared" si="572"/>
        <v>9</v>
      </c>
      <c r="E2297">
        <f t="shared" si="573"/>
        <v>2024</v>
      </c>
      <c r="F2297" s="2">
        <v>3122</v>
      </c>
      <c r="G2297" t="s">
        <v>17</v>
      </c>
      <c r="I2297" s="4">
        <f>SUMIFS($F$2:$F$2739,$G$2:$G$2739,"No Contract",$E$2:$E$2739,2024)/SUMIF($E$2:$E$2739,2024,$F$2:$F$2739)</f>
        <v>9.576924485808011E-2</v>
      </c>
    </row>
    <row r="2298" spans="1:9" x14ac:dyDescent="0.3">
      <c r="A2298" t="s">
        <v>9</v>
      </c>
      <c r="B2298" s="3">
        <v>45544</v>
      </c>
      <c r="C2298">
        <f t="shared" si="571"/>
        <v>9</v>
      </c>
      <c r="D2298">
        <f t="shared" si="572"/>
        <v>9</v>
      </c>
      <c r="E2298">
        <f t="shared" si="573"/>
        <v>2024</v>
      </c>
      <c r="F2298" s="2">
        <v>2312</v>
      </c>
      <c r="G2298" t="s">
        <v>18</v>
      </c>
      <c r="I2298" s="4">
        <f>SUMIFS($F$2:$F$2739,$G$2:$G$2739,"Annual Contract",$E$2:$E$2739,2024)/SUMIF($E$2:$E$2739,2024,$F$2:$F$2739)</f>
        <v>0.19200427193344777</v>
      </c>
    </row>
    <row r="2299" spans="1:9" x14ac:dyDescent="0.3">
      <c r="A2299" t="s">
        <v>5</v>
      </c>
      <c r="B2299" s="3">
        <v>45546</v>
      </c>
      <c r="C2299">
        <f t="shared" si="571"/>
        <v>11</v>
      </c>
      <c r="D2299">
        <f t="shared" si="572"/>
        <v>9</v>
      </c>
      <c r="E2299">
        <f t="shared" si="573"/>
        <v>2024</v>
      </c>
      <c r="F2299" s="2">
        <v>1298</v>
      </c>
      <c r="G2299" t="s">
        <v>19</v>
      </c>
      <c r="I2299" s="4">
        <f t="shared" ref="I2299:I2301" si="583">SUMIFS($F$2:$F$2739,$G$2:$G$2739,"Multi-year Contract",$E$2:$E$2739,2024)/SUMIF($E$2:$E$2739,2024,$F$2:$F$2739)</f>
        <v>0.71222648320847215</v>
      </c>
    </row>
    <row r="2300" spans="1:9" x14ac:dyDescent="0.3">
      <c r="A2300" t="s">
        <v>8</v>
      </c>
      <c r="B2300" s="3">
        <v>45547</v>
      </c>
      <c r="C2300">
        <f t="shared" si="571"/>
        <v>12</v>
      </c>
      <c r="D2300">
        <f t="shared" si="572"/>
        <v>9</v>
      </c>
      <c r="E2300">
        <f t="shared" si="573"/>
        <v>2024</v>
      </c>
      <c r="F2300" s="2">
        <v>1450</v>
      </c>
      <c r="G2300" s="2" t="s">
        <v>19</v>
      </c>
      <c r="I2300" s="4">
        <f t="shared" si="583"/>
        <v>0.71222648320847215</v>
      </c>
    </row>
    <row r="2301" spans="1:9" x14ac:dyDescent="0.3">
      <c r="A2301" t="s">
        <v>3</v>
      </c>
      <c r="B2301" s="3">
        <v>45547</v>
      </c>
      <c r="C2301">
        <f t="shared" si="571"/>
        <v>12</v>
      </c>
      <c r="D2301">
        <f t="shared" si="572"/>
        <v>9</v>
      </c>
      <c r="E2301">
        <f t="shared" si="573"/>
        <v>2024</v>
      </c>
      <c r="F2301" s="2">
        <v>2786</v>
      </c>
      <c r="G2301" t="s">
        <v>19</v>
      </c>
      <c r="I2301" s="4">
        <f t="shared" si="583"/>
        <v>0.71222648320847215</v>
      </c>
    </row>
    <row r="2302" spans="1:9" x14ac:dyDescent="0.3">
      <c r="A2302" t="s">
        <v>6</v>
      </c>
      <c r="B2302" s="3">
        <v>45548</v>
      </c>
      <c r="C2302">
        <f t="shared" si="571"/>
        <v>13</v>
      </c>
      <c r="D2302">
        <f t="shared" si="572"/>
        <v>9</v>
      </c>
      <c r="E2302">
        <f t="shared" si="573"/>
        <v>2024</v>
      </c>
      <c r="F2302" s="2">
        <v>3771</v>
      </c>
      <c r="G2302" t="s">
        <v>18</v>
      </c>
      <c r="I2302" s="4">
        <f t="shared" ref="I2302:I2304" si="584">SUMIFS($F$2:$F$2739,$G$2:$G$2739,"Annual Contract",$E$2:$E$2739,2024)/SUMIF($E$2:$E$2739,2024,$F$2:$F$2739)</f>
        <v>0.19200427193344777</v>
      </c>
    </row>
    <row r="2303" spans="1:9" x14ac:dyDescent="0.3">
      <c r="A2303" t="s">
        <v>6</v>
      </c>
      <c r="B2303" s="3">
        <v>45548</v>
      </c>
      <c r="C2303">
        <f t="shared" si="571"/>
        <v>13</v>
      </c>
      <c r="D2303">
        <f t="shared" si="572"/>
        <v>9</v>
      </c>
      <c r="E2303">
        <f t="shared" si="573"/>
        <v>2024</v>
      </c>
      <c r="F2303" s="2">
        <v>557</v>
      </c>
      <c r="G2303" t="s">
        <v>18</v>
      </c>
      <c r="I2303" s="4">
        <f t="shared" si="584"/>
        <v>0.19200427193344777</v>
      </c>
    </row>
    <row r="2304" spans="1:9" x14ac:dyDescent="0.3">
      <c r="A2304" t="s">
        <v>6</v>
      </c>
      <c r="B2304" s="3">
        <v>45549</v>
      </c>
      <c r="C2304">
        <f t="shared" si="571"/>
        <v>14</v>
      </c>
      <c r="D2304">
        <f t="shared" si="572"/>
        <v>9</v>
      </c>
      <c r="E2304">
        <f t="shared" si="573"/>
        <v>2024</v>
      </c>
      <c r="F2304" s="2">
        <v>2240</v>
      </c>
      <c r="G2304" t="s">
        <v>18</v>
      </c>
      <c r="I2304" s="4">
        <f t="shared" si="584"/>
        <v>0.19200427193344777</v>
      </c>
    </row>
    <row r="2305" spans="1:9" x14ac:dyDescent="0.3">
      <c r="A2305" t="s">
        <v>12</v>
      </c>
      <c r="B2305" s="3">
        <v>45549</v>
      </c>
      <c r="C2305">
        <f t="shared" si="571"/>
        <v>14</v>
      </c>
      <c r="D2305">
        <f t="shared" si="572"/>
        <v>9</v>
      </c>
      <c r="E2305">
        <f t="shared" si="573"/>
        <v>2024</v>
      </c>
      <c r="F2305" s="2">
        <v>2384</v>
      </c>
      <c r="G2305" s="2" t="s">
        <v>19</v>
      </c>
      <c r="I2305" s="4">
        <f>SUMIFS($F$2:$F$2739,$G$2:$G$2739,"Multi-year Contract",$E$2:$E$2739,2024)/SUMIF($E$2:$E$2739,2024,$F$2:$F$2739)</f>
        <v>0.71222648320847215</v>
      </c>
    </row>
    <row r="2306" spans="1:9" x14ac:dyDescent="0.3">
      <c r="A2306" t="s">
        <v>7</v>
      </c>
      <c r="B2306" s="3">
        <v>45549</v>
      </c>
      <c r="C2306">
        <f t="shared" si="571"/>
        <v>14</v>
      </c>
      <c r="D2306">
        <f t="shared" si="572"/>
        <v>9</v>
      </c>
      <c r="E2306">
        <f t="shared" si="573"/>
        <v>2024</v>
      </c>
      <c r="F2306" s="2">
        <v>2096</v>
      </c>
      <c r="G2306" t="s">
        <v>17</v>
      </c>
      <c r="I2306" s="4">
        <f>SUMIFS($F$2:$F$2739,$G$2:$G$2739,"No Contract",$E$2:$E$2739,2024)/SUMIF($E$2:$E$2739,2024,$F$2:$F$2739)</f>
        <v>9.576924485808011E-2</v>
      </c>
    </row>
    <row r="2307" spans="1:9" x14ac:dyDescent="0.3">
      <c r="A2307" t="s">
        <v>10</v>
      </c>
      <c r="B2307" s="3">
        <v>45549</v>
      </c>
      <c r="C2307">
        <f t="shared" ref="C2307:C2370" si="585">DAY(B2307)</f>
        <v>14</v>
      </c>
      <c r="D2307">
        <f t="shared" ref="D2307:D2370" si="586">MONTH(B2307)</f>
        <v>9</v>
      </c>
      <c r="E2307">
        <f t="shared" ref="E2307:E2370" si="587">YEAR(B2307)</f>
        <v>2024</v>
      </c>
      <c r="F2307" s="2">
        <v>2928</v>
      </c>
      <c r="G2307" t="s">
        <v>19</v>
      </c>
      <c r="I2307" s="4">
        <f t="shared" ref="I2307:I2308" si="588">SUMIFS($F$2:$F$2739,$G$2:$G$2739,"Multi-year Contract",$E$2:$E$2739,2024)/SUMIF($E$2:$E$2739,2024,$F$2:$F$2739)</f>
        <v>0.71222648320847215</v>
      </c>
    </row>
    <row r="2308" spans="1:9" x14ac:dyDescent="0.3">
      <c r="A2308" t="s">
        <v>12</v>
      </c>
      <c r="B2308" s="3">
        <v>45549</v>
      </c>
      <c r="C2308">
        <f t="shared" si="585"/>
        <v>14</v>
      </c>
      <c r="D2308">
        <f t="shared" si="586"/>
        <v>9</v>
      </c>
      <c r="E2308">
        <f t="shared" si="587"/>
        <v>2024</v>
      </c>
      <c r="F2308" s="2">
        <v>3092</v>
      </c>
      <c r="G2308" s="2" t="s">
        <v>19</v>
      </c>
      <c r="I2308" s="4">
        <f t="shared" si="588"/>
        <v>0.71222648320847215</v>
      </c>
    </row>
    <row r="2309" spans="1:9" x14ac:dyDescent="0.3">
      <c r="A2309" t="s">
        <v>9</v>
      </c>
      <c r="B2309" s="3">
        <v>45550</v>
      </c>
      <c r="C2309">
        <f t="shared" si="585"/>
        <v>15</v>
      </c>
      <c r="D2309">
        <f t="shared" si="586"/>
        <v>9</v>
      </c>
      <c r="E2309">
        <f t="shared" si="587"/>
        <v>2024</v>
      </c>
      <c r="F2309" s="2">
        <v>3329</v>
      </c>
      <c r="G2309" t="s">
        <v>18</v>
      </c>
      <c r="I2309" s="4">
        <f>SUMIFS($F$2:$F$2739,$G$2:$G$2739,"Annual Contract",$E$2:$E$2739,2024)/SUMIF($E$2:$E$2739,2024,$F$2:$F$2739)</f>
        <v>0.19200427193344777</v>
      </c>
    </row>
    <row r="2310" spans="1:9" x14ac:dyDescent="0.3">
      <c r="A2310" t="s">
        <v>12</v>
      </c>
      <c r="B2310" s="3">
        <v>45550</v>
      </c>
      <c r="C2310">
        <f t="shared" si="585"/>
        <v>15</v>
      </c>
      <c r="D2310">
        <f t="shared" si="586"/>
        <v>9</v>
      </c>
      <c r="E2310">
        <f t="shared" si="587"/>
        <v>2024</v>
      </c>
      <c r="F2310" s="2">
        <v>1941</v>
      </c>
      <c r="G2310" s="2" t="s">
        <v>19</v>
      </c>
      <c r="I2310" s="4">
        <f t="shared" ref="I2310:I2323" si="589">SUMIFS($F$2:$F$2739,$G$2:$G$2739,"Multi-year Contract",$E$2:$E$2739,2024)/SUMIF($E$2:$E$2739,2024,$F$2:$F$2739)</f>
        <v>0.71222648320847215</v>
      </c>
    </row>
    <row r="2311" spans="1:9" x14ac:dyDescent="0.3">
      <c r="A2311" t="s">
        <v>5</v>
      </c>
      <c r="B2311" s="3">
        <v>45550</v>
      </c>
      <c r="C2311">
        <f t="shared" si="585"/>
        <v>15</v>
      </c>
      <c r="D2311">
        <f t="shared" si="586"/>
        <v>9</v>
      </c>
      <c r="E2311">
        <f t="shared" si="587"/>
        <v>2024</v>
      </c>
      <c r="F2311" s="2">
        <v>2166</v>
      </c>
      <c r="G2311" t="s">
        <v>19</v>
      </c>
      <c r="I2311" s="4">
        <f t="shared" si="589"/>
        <v>0.71222648320847215</v>
      </c>
    </row>
    <row r="2312" spans="1:9" x14ac:dyDescent="0.3">
      <c r="A2312" t="s">
        <v>10</v>
      </c>
      <c r="B2312" s="3">
        <v>45550</v>
      </c>
      <c r="C2312">
        <f t="shared" si="585"/>
        <v>15</v>
      </c>
      <c r="D2312">
        <f t="shared" si="586"/>
        <v>9</v>
      </c>
      <c r="E2312">
        <f t="shared" si="587"/>
        <v>2024</v>
      </c>
      <c r="F2312" s="2">
        <v>3048</v>
      </c>
      <c r="G2312" t="s">
        <v>19</v>
      </c>
      <c r="I2312" s="4">
        <f t="shared" si="589"/>
        <v>0.71222648320847215</v>
      </c>
    </row>
    <row r="2313" spans="1:9" x14ac:dyDescent="0.3">
      <c r="A2313" t="s">
        <v>10</v>
      </c>
      <c r="B2313" s="3">
        <v>45550</v>
      </c>
      <c r="C2313">
        <f t="shared" si="585"/>
        <v>15</v>
      </c>
      <c r="D2313">
        <f t="shared" si="586"/>
        <v>9</v>
      </c>
      <c r="E2313">
        <f t="shared" si="587"/>
        <v>2024</v>
      </c>
      <c r="F2313" s="2">
        <v>879</v>
      </c>
      <c r="G2313" t="s">
        <v>19</v>
      </c>
      <c r="I2313" s="4">
        <f t="shared" si="589"/>
        <v>0.71222648320847215</v>
      </c>
    </row>
    <row r="2314" spans="1:9" x14ac:dyDescent="0.3">
      <c r="A2314" t="s">
        <v>12</v>
      </c>
      <c r="B2314" s="3">
        <v>45551</v>
      </c>
      <c r="C2314">
        <f t="shared" si="585"/>
        <v>16</v>
      </c>
      <c r="D2314">
        <f t="shared" si="586"/>
        <v>9</v>
      </c>
      <c r="E2314">
        <f t="shared" si="587"/>
        <v>2024</v>
      </c>
      <c r="F2314" s="2">
        <v>586</v>
      </c>
      <c r="G2314" s="2" t="s">
        <v>19</v>
      </c>
      <c r="I2314" s="4">
        <f t="shared" si="589"/>
        <v>0.71222648320847215</v>
      </c>
    </row>
    <row r="2315" spans="1:9" x14ac:dyDescent="0.3">
      <c r="A2315" t="s">
        <v>12</v>
      </c>
      <c r="B2315" s="3">
        <v>45551</v>
      </c>
      <c r="C2315">
        <f t="shared" si="585"/>
        <v>16</v>
      </c>
      <c r="D2315">
        <f t="shared" si="586"/>
        <v>9</v>
      </c>
      <c r="E2315">
        <f t="shared" si="587"/>
        <v>2024</v>
      </c>
      <c r="F2315" s="2">
        <v>1899</v>
      </c>
      <c r="G2315" s="2" t="s">
        <v>19</v>
      </c>
      <c r="I2315" s="4">
        <f t="shared" si="589"/>
        <v>0.71222648320847215</v>
      </c>
    </row>
    <row r="2316" spans="1:9" x14ac:dyDescent="0.3">
      <c r="A2316" t="s">
        <v>5</v>
      </c>
      <c r="B2316" s="3">
        <v>45551</v>
      </c>
      <c r="C2316">
        <f t="shared" si="585"/>
        <v>16</v>
      </c>
      <c r="D2316">
        <f t="shared" si="586"/>
        <v>9</v>
      </c>
      <c r="E2316">
        <f t="shared" si="587"/>
        <v>2024</v>
      </c>
      <c r="F2316" s="2">
        <v>2081</v>
      </c>
      <c r="G2316" t="s">
        <v>19</v>
      </c>
      <c r="I2316" s="4">
        <f t="shared" si="589"/>
        <v>0.71222648320847215</v>
      </c>
    </row>
    <row r="2317" spans="1:9" x14ac:dyDescent="0.3">
      <c r="A2317" t="s">
        <v>11</v>
      </c>
      <c r="B2317" s="3">
        <v>45552</v>
      </c>
      <c r="C2317">
        <f t="shared" si="585"/>
        <v>17</v>
      </c>
      <c r="D2317">
        <f t="shared" si="586"/>
        <v>9</v>
      </c>
      <c r="E2317">
        <f t="shared" si="587"/>
        <v>2024</v>
      </c>
      <c r="F2317" s="2">
        <v>1062</v>
      </c>
      <c r="G2317" t="s">
        <v>19</v>
      </c>
      <c r="I2317" s="4">
        <f t="shared" si="589"/>
        <v>0.71222648320847215</v>
      </c>
    </row>
    <row r="2318" spans="1:9" x14ac:dyDescent="0.3">
      <c r="A2318" t="s">
        <v>4</v>
      </c>
      <c r="B2318" s="3">
        <v>45552</v>
      </c>
      <c r="C2318">
        <f t="shared" si="585"/>
        <v>17</v>
      </c>
      <c r="D2318">
        <f t="shared" si="586"/>
        <v>9</v>
      </c>
      <c r="E2318">
        <f t="shared" si="587"/>
        <v>2024</v>
      </c>
      <c r="F2318" s="2">
        <v>1130</v>
      </c>
      <c r="G2318" s="2" t="s">
        <v>19</v>
      </c>
      <c r="I2318" s="4">
        <f t="shared" si="589"/>
        <v>0.71222648320847215</v>
      </c>
    </row>
    <row r="2319" spans="1:9" x14ac:dyDescent="0.3">
      <c r="A2319" t="s">
        <v>8</v>
      </c>
      <c r="B2319" s="3">
        <v>45552</v>
      </c>
      <c r="C2319">
        <f t="shared" si="585"/>
        <v>17</v>
      </c>
      <c r="D2319">
        <f t="shared" si="586"/>
        <v>9</v>
      </c>
      <c r="E2319">
        <f t="shared" si="587"/>
        <v>2024</v>
      </c>
      <c r="F2319" s="2">
        <v>3142</v>
      </c>
      <c r="G2319" s="2" t="s">
        <v>19</v>
      </c>
      <c r="I2319" s="4">
        <f t="shared" si="589"/>
        <v>0.71222648320847215</v>
      </c>
    </row>
    <row r="2320" spans="1:9" x14ac:dyDescent="0.3">
      <c r="A2320" t="s">
        <v>4</v>
      </c>
      <c r="B2320" s="3">
        <v>45552</v>
      </c>
      <c r="C2320">
        <f t="shared" si="585"/>
        <v>17</v>
      </c>
      <c r="D2320">
        <f t="shared" si="586"/>
        <v>9</v>
      </c>
      <c r="E2320">
        <f t="shared" si="587"/>
        <v>2024</v>
      </c>
      <c r="F2320" s="2">
        <v>714</v>
      </c>
      <c r="G2320" s="2" t="s">
        <v>19</v>
      </c>
      <c r="I2320" s="4">
        <f t="shared" si="589"/>
        <v>0.71222648320847215</v>
      </c>
    </row>
    <row r="2321" spans="1:9" x14ac:dyDescent="0.3">
      <c r="A2321" t="s">
        <v>3</v>
      </c>
      <c r="B2321" s="3">
        <v>45552</v>
      </c>
      <c r="C2321">
        <f t="shared" si="585"/>
        <v>17</v>
      </c>
      <c r="D2321">
        <f t="shared" si="586"/>
        <v>9</v>
      </c>
      <c r="E2321">
        <f t="shared" si="587"/>
        <v>2024</v>
      </c>
      <c r="F2321" s="2">
        <v>2933</v>
      </c>
      <c r="G2321" t="s">
        <v>19</v>
      </c>
      <c r="I2321" s="4">
        <f t="shared" si="589"/>
        <v>0.71222648320847215</v>
      </c>
    </row>
    <row r="2322" spans="1:9" x14ac:dyDescent="0.3">
      <c r="A2322" t="s">
        <v>5</v>
      </c>
      <c r="B2322" s="3">
        <v>45552</v>
      </c>
      <c r="C2322">
        <f t="shared" si="585"/>
        <v>17</v>
      </c>
      <c r="D2322">
        <f t="shared" si="586"/>
        <v>9</v>
      </c>
      <c r="E2322">
        <f t="shared" si="587"/>
        <v>2024</v>
      </c>
      <c r="F2322" s="2">
        <v>1954</v>
      </c>
      <c r="G2322" t="s">
        <v>19</v>
      </c>
      <c r="I2322" s="4">
        <f t="shared" si="589"/>
        <v>0.71222648320847215</v>
      </c>
    </row>
    <row r="2323" spans="1:9" x14ac:dyDescent="0.3">
      <c r="A2323" t="s">
        <v>4</v>
      </c>
      <c r="B2323" s="3">
        <v>45553</v>
      </c>
      <c r="C2323">
        <f t="shared" si="585"/>
        <v>18</v>
      </c>
      <c r="D2323">
        <f t="shared" si="586"/>
        <v>9</v>
      </c>
      <c r="E2323">
        <f t="shared" si="587"/>
        <v>2024</v>
      </c>
      <c r="F2323" s="2">
        <v>3062</v>
      </c>
      <c r="G2323" s="2" t="s">
        <v>19</v>
      </c>
      <c r="I2323" s="4">
        <f t="shared" si="589"/>
        <v>0.71222648320847215</v>
      </c>
    </row>
    <row r="2324" spans="1:9" x14ac:dyDescent="0.3">
      <c r="A2324" t="s">
        <v>6</v>
      </c>
      <c r="B2324" s="3">
        <v>45553</v>
      </c>
      <c r="C2324">
        <f t="shared" si="585"/>
        <v>18</v>
      </c>
      <c r="D2324">
        <f t="shared" si="586"/>
        <v>9</v>
      </c>
      <c r="E2324">
        <f t="shared" si="587"/>
        <v>2024</v>
      </c>
      <c r="F2324" s="2">
        <v>2142</v>
      </c>
      <c r="G2324" t="s">
        <v>18</v>
      </c>
      <c r="I2324" s="4">
        <f t="shared" ref="I2324:I2325" si="590">SUMIFS($F$2:$F$2739,$G$2:$G$2739,"Annual Contract",$E$2:$E$2739,2024)/SUMIF($E$2:$E$2739,2024,$F$2:$F$2739)</f>
        <v>0.19200427193344777</v>
      </c>
    </row>
    <row r="2325" spans="1:9" x14ac:dyDescent="0.3">
      <c r="A2325" t="s">
        <v>9</v>
      </c>
      <c r="B2325" s="3">
        <v>45554</v>
      </c>
      <c r="C2325">
        <f t="shared" si="585"/>
        <v>19</v>
      </c>
      <c r="D2325">
        <f t="shared" si="586"/>
        <v>9</v>
      </c>
      <c r="E2325">
        <f t="shared" si="587"/>
        <v>2024</v>
      </c>
      <c r="F2325" s="2">
        <v>2704</v>
      </c>
      <c r="G2325" t="s">
        <v>18</v>
      </c>
      <c r="I2325" s="4">
        <f t="shared" si="590"/>
        <v>0.19200427193344777</v>
      </c>
    </row>
    <row r="2326" spans="1:9" x14ac:dyDescent="0.3">
      <c r="A2326" t="s">
        <v>3</v>
      </c>
      <c r="B2326" s="3">
        <v>45554</v>
      </c>
      <c r="C2326">
        <f t="shared" si="585"/>
        <v>19</v>
      </c>
      <c r="D2326">
        <f t="shared" si="586"/>
        <v>9</v>
      </c>
      <c r="E2326">
        <f t="shared" si="587"/>
        <v>2024</v>
      </c>
      <c r="F2326" s="2">
        <v>3740</v>
      </c>
      <c r="G2326" t="s">
        <v>19</v>
      </c>
      <c r="I2326" s="4">
        <f>SUMIFS($F$2:$F$2739,$G$2:$G$2739,"Multi-year Contract",$E$2:$E$2739,2024)/SUMIF($E$2:$E$2739,2024,$F$2:$F$2739)</f>
        <v>0.71222648320847215</v>
      </c>
    </row>
    <row r="2327" spans="1:9" x14ac:dyDescent="0.3">
      <c r="A2327" t="s">
        <v>7</v>
      </c>
      <c r="B2327" s="3">
        <v>45554</v>
      </c>
      <c r="C2327">
        <f t="shared" si="585"/>
        <v>19</v>
      </c>
      <c r="D2327">
        <f t="shared" si="586"/>
        <v>9</v>
      </c>
      <c r="E2327">
        <f t="shared" si="587"/>
        <v>2024</v>
      </c>
      <c r="F2327" s="2">
        <v>2103</v>
      </c>
      <c r="G2327" t="s">
        <v>17</v>
      </c>
      <c r="I2327" s="4">
        <f>SUMIFS($F$2:$F$2739,$G$2:$G$2739,"No Contract",$E$2:$E$2739,2024)/SUMIF($E$2:$E$2739,2024,$F$2:$F$2739)</f>
        <v>9.576924485808011E-2</v>
      </c>
    </row>
    <row r="2328" spans="1:9" x14ac:dyDescent="0.3">
      <c r="A2328" t="s">
        <v>8</v>
      </c>
      <c r="B2328" s="3">
        <v>45554</v>
      </c>
      <c r="C2328">
        <f t="shared" si="585"/>
        <v>19</v>
      </c>
      <c r="D2328">
        <f t="shared" si="586"/>
        <v>9</v>
      </c>
      <c r="E2328">
        <f t="shared" si="587"/>
        <v>2024</v>
      </c>
      <c r="F2328" s="2">
        <v>1913</v>
      </c>
      <c r="G2328" s="2" t="s">
        <v>19</v>
      </c>
      <c r="I2328" s="4">
        <f t="shared" ref="I2328:I2334" si="591">SUMIFS($F$2:$F$2739,$G$2:$G$2739,"Multi-year Contract",$E$2:$E$2739,2024)/SUMIF($E$2:$E$2739,2024,$F$2:$F$2739)</f>
        <v>0.71222648320847215</v>
      </c>
    </row>
    <row r="2329" spans="1:9" x14ac:dyDescent="0.3">
      <c r="A2329" t="s">
        <v>11</v>
      </c>
      <c r="B2329" s="3">
        <v>45555</v>
      </c>
      <c r="C2329">
        <f t="shared" si="585"/>
        <v>20</v>
      </c>
      <c r="D2329">
        <f t="shared" si="586"/>
        <v>9</v>
      </c>
      <c r="E2329">
        <f t="shared" si="587"/>
        <v>2024</v>
      </c>
      <c r="F2329" s="2">
        <v>2035</v>
      </c>
      <c r="G2329" t="s">
        <v>19</v>
      </c>
      <c r="I2329" s="4">
        <f t="shared" si="591"/>
        <v>0.71222648320847215</v>
      </c>
    </row>
    <row r="2330" spans="1:9" x14ac:dyDescent="0.3">
      <c r="A2330" t="s">
        <v>4</v>
      </c>
      <c r="B2330" s="3">
        <v>45555</v>
      </c>
      <c r="C2330">
        <f t="shared" si="585"/>
        <v>20</v>
      </c>
      <c r="D2330">
        <f t="shared" si="586"/>
        <v>9</v>
      </c>
      <c r="E2330">
        <f t="shared" si="587"/>
        <v>2024</v>
      </c>
      <c r="F2330" s="2">
        <v>1945</v>
      </c>
      <c r="G2330" s="2" t="s">
        <v>19</v>
      </c>
      <c r="I2330" s="4">
        <f t="shared" si="591"/>
        <v>0.71222648320847215</v>
      </c>
    </row>
    <row r="2331" spans="1:9" x14ac:dyDescent="0.3">
      <c r="A2331" t="s">
        <v>10</v>
      </c>
      <c r="B2331" s="3">
        <v>45555</v>
      </c>
      <c r="C2331">
        <f t="shared" si="585"/>
        <v>20</v>
      </c>
      <c r="D2331">
        <f t="shared" si="586"/>
        <v>9</v>
      </c>
      <c r="E2331">
        <f t="shared" si="587"/>
        <v>2024</v>
      </c>
      <c r="F2331" s="2">
        <v>2587</v>
      </c>
      <c r="G2331" t="s">
        <v>19</v>
      </c>
      <c r="I2331" s="4">
        <f t="shared" si="591"/>
        <v>0.71222648320847215</v>
      </c>
    </row>
    <row r="2332" spans="1:9" x14ac:dyDescent="0.3">
      <c r="A2332" t="s">
        <v>8</v>
      </c>
      <c r="B2332" s="3">
        <v>45555</v>
      </c>
      <c r="C2332">
        <f t="shared" si="585"/>
        <v>20</v>
      </c>
      <c r="D2332">
        <f t="shared" si="586"/>
        <v>9</v>
      </c>
      <c r="E2332">
        <f t="shared" si="587"/>
        <v>2024</v>
      </c>
      <c r="F2332" s="2">
        <v>2447</v>
      </c>
      <c r="G2332" s="2" t="s">
        <v>19</v>
      </c>
      <c r="I2332" s="4">
        <f t="shared" si="591"/>
        <v>0.71222648320847215</v>
      </c>
    </row>
    <row r="2333" spans="1:9" x14ac:dyDescent="0.3">
      <c r="A2333" t="s">
        <v>4</v>
      </c>
      <c r="B2333" s="3">
        <v>45556</v>
      </c>
      <c r="C2333">
        <f t="shared" si="585"/>
        <v>21</v>
      </c>
      <c r="D2333">
        <f t="shared" si="586"/>
        <v>9</v>
      </c>
      <c r="E2333">
        <f t="shared" si="587"/>
        <v>2024</v>
      </c>
      <c r="F2333" s="2">
        <v>1873</v>
      </c>
      <c r="G2333" s="2" t="s">
        <v>19</v>
      </c>
      <c r="I2333" s="4">
        <f t="shared" si="591"/>
        <v>0.71222648320847215</v>
      </c>
    </row>
    <row r="2334" spans="1:9" x14ac:dyDescent="0.3">
      <c r="A2334" t="s">
        <v>5</v>
      </c>
      <c r="B2334" s="3">
        <v>45556</v>
      </c>
      <c r="C2334">
        <f t="shared" si="585"/>
        <v>21</v>
      </c>
      <c r="D2334">
        <f t="shared" si="586"/>
        <v>9</v>
      </c>
      <c r="E2334">
        <f t="shared" si="587"/>
        <v>2024</v>
      </c>
      <c r="F2334" s="2">
        <v>2765</v>
      </c>
      <c r="G2334" t="s">
        <v>19</v>
      </c>
      <c r="I2334" s="4">
        <f t="shared" si="591"/>
        <v>0.71222648320847215</v>
      </c>
    </row>
    <row r="2335" spans="1:9" x14ac:dyDescent="0.3">
      <c r="A2335" t="s">
        <v>6</v>
      </c>
      <c r="B2335" s="3">
        <v>45556</v>
      </c>
      <c r="C2335">
        <f t="shared" si="585"/>
        <v>21</v>
      </c>
      <c r="D2335">
        <f t="shared" si="586"/>
        <v>9</v>
      </c>
      <c r="E2335">
        <f t="shared" si="587"/>
        <v>2024</v>
      </c>
      <c r="F2335" s="2">
        <v>863</v>
      </c>
      <c r="G2335" t="s">
        <v>18</v>
      </c>
      <c r="I2335" s="4">
        <f t="shared" ref="I2335:I2336" si="592">SUMIFS($F$2:$F$2739,$G$2:$G$2739,"Annual Contract",$E$2:$E$2739,2024)/SUMIF($E$2:$E$2739,2024,$F$2:$F$2739)</f>
        <v>0.19200427193344777</v>
      </c>
    </row>
    <row r="2336" spans="1:9" x14ac:dyDescent="0.3">
      <c r="A2336" t="s">
        <v>9</v>
      </c>
      <c r="B2336" s="3">
        <v>45556</v>
      </c>
      <c r="C2336">
        <f t="shared" si="585"/>
        <v>21</v>
      </c>
      <c r="D2336">
        <f t="shared" si="586"/>
        <v>9</v>
      </c>
      <c r="E2336">
        <f t="shared" si="587"/>
        <v>2024</v>
      </c>
      <c r="F2336" s="2">
        <v>3607</v>
      </c>
      <c r="G2336" t="s">
        <v>18</v>
      </c>
      <c r="I2336" s="4">
        <f t="shared" si="592"/>
        <v>0.19200427193344777</v>
      </c>
    </row>
    <row r="2337" spans="1:9" x14ac:dyDescent="0.3">
      <c r="A2337" t="s">
        <v>11</v>
      </c>
      <c r="B2337" s="3">
        <v>45556</v>
      </c>
      <c r="C2337">
        <f t="shared" si="585"/>
        <v>21</v>
      </c>
      <c r="D2337">
        <f t="shared" si="586"/>
        <v>9</v>
      </c>
      <c r="E2337">
        <f t="shared" si="587"/>
        <v>2024</v>
      </c>
      <c r="F2337" s="2">
        <v>3112</v>
      </c>
      <c r="G2337" t="s">
        <v>19</v>
      </c>
      <c r="I2337" s="4">
        <f t="shared" ref="I2337:I2338" si="593">SUMIFS($F$2:$F$2739,$G$2:$G$2739,"Multi-year Contract",$E$2:$E$2739,2024)/SUMIF($E$2:$E$2739,2024,$F$2:$F$2739)</f>
        <v>0.71222648320847215</v>
      </c>
    </row>
    <row r="2338" spans="1:9" x14ac:dyDescent="0.3">
      <c r="A2338" t="s">
        <v>12</v>
      </c>
      <c r="B2338" s="3">
        <v>45556</v>
      </c>
      <c r="C2338">
        <f t="shared" si="585"/>
        <v>21</v>
      </c>
      <c r="D2338">
        <f t="shared" si="586"/>
        <v>9</v>
      </c>
      <c r="E2338">
        <f t="shared" si="587"/>
        <v>2024</v>
      </c>
      <c r="F2338" s="2">
        <v>1406</v>
      </c>
      <c r="G2338" s="2" t="s">
        <v>19</v>
      </c>
      <c r="I2338" s="4">
        <f t="shared" si="593"/>
        <v>0.71222648320847215</v>
      </c>
    </row>
    <row r="2339" spans="1:9" x14ac:dyDescent="0.3">
      <c r="A2339" t="s">
        <v>9</v>
      </c>
      <c r="B2339" s="3">
        <v>45556</v>
      </c>
      <c r="C2339">
        <f t="shared" si="585"/>
        <v>21</v>
      </c>
      <c r="D2339">
        <f t="shared" si="586"/>
        <v>9</v>
      </c>
      <c r="E2339">
        <f t="shared" si="587"/>
        <v>2024</v>
      </c>
      <c r="F2339" s="2">
        <v>3469</v>
      </c>
      <c r="G2339" t="s">
        <v>18</v>
      </c>
      <c r="I2339" s="4">
        <f>SUMIFS($F$2:$F$2739,$G$2:$G$2739,"Annual Contract",$E$2:$E$2739,2024)/SUMIF($E$2:$E$2739,2024,$F$2:$F$2739)</f>
        <v>0.19200427193344777</v>
      </c>
    </row>
    <row r="2340" spans="1:9" x14ac:dyDescent="0.3">
      <c r="A2340" t="s">
        <v>10</v>
      </c>
      <c r="B2340" s="3">
        <v>45557</v>
      </c>
      <c r="C2340">
        <f t="shared" si="585"/>
        <v>22</v>
      </c>
      <c r="D2340">
        <f t="shared" si="586"/>
        <v>9</v>
      </c>
      <c r="E2340">
        <f t="shared" si="587"/>
        <v>2024</v>
      </c>
      <c r="F2340" s="2">
        <v>1193</v>
      </c>
      <c r="G2340" t="s">
        <v>19</v>
      </c>
      <c r="I2340" s="4">
        <f>SUMIFS($F$2:$F$2739,$G$2:$G$2739,"Multi-year Contract",$E$2:$E$2739,2024)/SUMIF($E$2:$E$2739,2024,$F$2:$F$2739)</f>
        <v>0.71222648320847215</v>
      </c>
    </row>
    <row r="2341" spans="1:9" x14ac:dyDescent="0.3">
      <c r="A2341" t="s">
        <v>9</v>
      </c>
      <c r="B2341" s="3">
        <v>45557</v>
      </c>
      <c r="C2341">
        <f t="shared" si="585"/>
        <v>22</v>
      </c>
      <c r="D2341">
        <f t="shared" si="586"/>
        <v>9</v>
      </c>
      <c r="E2341">
        <f t="shared" si="587"/>
        <v>2024</v>
      </c>
      <c r="F2341" s="2">
        <v>3232</v>
      </c>
      <c r="G2341" t="s">
        <v>18</v>
      </c>
      <c r="I2341" s="4">
        <f>SUMIFS($F$2:$F$2739,$G$2:$G$2739,"Annual Contract",$E$2:$E$2739,2024)/SUMIF($E$2:$E$2739,2024,$F$2:$F$2739)</f>
        <v>0.19200427193344777</v>
      </c>
    </row>
    <row r="2342" spans="1:9" x14ac:dyDescent="0.3">
      <c r="A2342" t="s">
        <v>10</v>
      </c>
      <c r="B2342" s="3">
        <v>45557</v>
      </c>
      <c r="C2342">
        <f t="shared" si="585"/>
        <v>22</v>
      </c>
      <c r="D2342">
        <f t="shared" si="586"/>
        <v>9</v>
      </c>
      <c r="E2342">
        <f t="shared" si="587"/>
        <v>2024</v>
      </c>
      <c r="F2342" s="2">
        <v>1639</v>
      </c>
      <c r="G2342" t="s">
        <v>19</v>
      </c>
      <c r="I2342" s="4">
        <f t="shared" ref="I2342:I2343" si="594">SUMIFS($F$2:$F$2739,$G$2:$G$2739,"Multi-year Contract",$E$2:$E$2739,2024)/SUMIF($E$2:$E$2739,2024,$F$2:$F$2739)</f>
        <v>0.71222648320847215</v>
      </c>
    </row>
    <row r="2343" spans="1:9" x14ac:dyDescent="0.3">
      <c r="A2343" t="s">
        <v>4</v>
      </c>
      <c r="B2343" s="3">
        <v>45557</v>
      </c>
      <c r="C2343">
        <f t="shared" si="585"/>
        <v>22</v>
      </c>
      <c r="D2343">
        <f t="shared" si="586"/>
        <v>9</v>
      </c>
      <c r="E2343">
        <f t="shared" si="587"/>
        <v>2024</v>
      </c>
      <c r="F2343" s="2">
        <v>2807</v>
      </c>
      <c r="G2343" s="2" t="s">
        <v>19</v>
      </c>
      <c r="I2343" s="4">
        <f t="shared" si="594"/>
        <v>0.71222648320847215</v>
      </c>
    </row>
    <row r="2344" spans="1:9" x14ac:dyDescent="0.3">
      <c r="A2344" t="s">
        <v>6</v>
      </c>
      <c r="B2344" s="3">
        <v>45557</v>
      </c>
      <c r="C2344">
        <f t="shared" si="585"/>
        <v>22</v>
      </c>
      <c r="D2344">
        <f t="shared" si="586"/>
        <v>9</v>
      </c>
      <c r="E2344">
        <f t="shared" si="587"/>
        <v>2024</v>
      </c>
      <c r="F2344" s="2">
        <v>947</v>
      </c>
      <c r="G2344" t="s">
        <v>18</v>
      </c>
      <c r="I2344" s="4">
        <f t="shared" ref="I2344:I2345" si="595">SUMIFS($F$2:$F$2739,$G$2:$G$2739,"Annual Contract",$E$2:$E$2739,2024)/SUMIF($E$2:$E$2739,2024,$F$2:$F$2739)</f>
        <v>0.19200427193344777</v>
      </c>
    </row>
    <row r="2345" spans="1:9" x14ac:dyDescent="0.3">
      <c r="A2345" t="s">
        <v>9</v>
      </c>
      <c r="B2345" s="3">
        <v>45558</v>
      </c>
      <c r="C2345">
        <f t="shared" si="585"/>
        <v>23</v>
      </c>
      <c r="D2345">
        <f t="shared" si="586"/>
        <v>9</v>
      </c>
      <c r="E2345">
        <f t="shared" si="587"/>
        <v>2024</v>
      </c>
      <c r="F2345" s="2">
        <v>2312</v>
      </c>
      <c r="G2345" t="s">
        <v>18</v>
      </c>
      <c r="I2345" s="4">
        <f t="shared" si="595"/>
        <v>0.19200427193344777</v>
      </c>
    </row>
    <row r="2346" spans="1:9" x14ac:dyDescent="0.3">
      <c r="A2346" t="s">
        <v>8</v>
      </c>
      <c r="B2346" s="3">
        <v>45558</v>
      </c>
      <c r="C2346">
        <f t="shared" si="585"/>
        <v>23</v>
      </c>
      <c r="D2346">
        <f t="shared" si="586"/>
        <v>9</v>
      </c>
      <c r="E2346">
        <f t="shared" si="587"/>
        <v>2024</v>
      </c>
      <c r="F2346" s="2">
        <v>754</v>
      </c>
      <c r="G2346" s="2" t="s">
        <v>19</v>
      </c>
      <c r="I2346" s="4">
        <f>SUMIFS($F$2:$F$2739,$G$2:$G$2739,"Multi-year Contract",$E$2:$E$2739,2024)/SUMIF($E$2:$E$2739,2024,$F$2:$F$2739)</f>
        <v>0.71222648320847215</v>
      </c>
    </row>
    <row r="2347" spans="1:9" x14ac:dyDescent="0.3">
      <c r="A2347" t="s">
        <v>7</v>
      </c>
      <c r="B2347" s="3">
        <v>45558</v>
      </c>
      <c r="C2347">
        <f t="shared" si="585"/>
        <v>23</v>
      </c>
      <c r="D2347">
        <f t="shared" si="586"/>
        <v>9</v>
      </c>
      <c r="E2347">
        <f t="shared" si="587"/>
        <v>2024</v>
      </c>
      <c r="F2347" s="2">
        <v>2161</v>
      </c>
      <c r="G2347" t="s">
        <v>17</v>
      </c>
      <c r="I2347" s="4">
        <f>SUMIFS($F$2:$F$2739,$G$2:$G$2739,"No Contract",$E$2:$E$2739,2024)/SUMIF($E$2:$E$2739,2024,$F$2:$F$2739)</f>
        <v>9.576924485808011E-2</v>
      </c>
    </row>
    <row r="2348" spans="1:9" x14ac:dyDescent="0.3">
      <c r="A2348" t="s">
        <v>4</v>
      </c>
      <c r="B2348" s="3">
        <v>45558</v>
      </c>
      <c r="C2348">
        <f t="shared" si="585"/>
        <v>23</v>
      </c>
      <c r="D2348">
        <f t="shared" si="586"/>
        <v>9</v>
      </c>
      <c r="E2348">
        <f t="shared" si="587"/>
        <v>2024</v>
      </c>
      <c r="F2348" s="2">
        <v>1646</v>
      </c>
      <c r="G2348" s="2" t="s">
        <v>19</v>
      </c>
      <c r="I2348" s="4">
        <f>SUMIFS($F$2:$F$2739,$G$2:$G$2739,"Multi-year Contract",$E$2:$E$2739,2024)/SUMIF($E$2:$E$2739,2024,$F$2:$F$2739)</f>
        <v>0.71222648320847215</v>
      </c>
    </row>
    <row r="2349" spans="1:9" x14ac:dyDescent="0.3">
      <c r="A2349" t="s">
        <v>6</v>
      </c>
      <c r="B2349" s="3">
        <v>45559</v>
      </c>
      <c r="C2349">
        <f t="shared" si="585"/>
        <v>24</v>
      </c>
      <c r="D2349">
        <f t="shared" si="586"/>
        <v>9</v>
      </c>
      <c r="E2349">
        <f t="shared" si="587"/>
        <v>2024</v>
      </c>
      <c r="F2349" s="2">
        <v>794</v>
      </c>
      <c r="G2349" t="s">
        <v>18</v>
      </c>
      <c r="I2349" s="4">
        <f>SUMIFS($F$2:$F$2739,$G$2:$G$2739,"Annual Contract",$E$2:$E$2739,2024)/SUMIF($E$2:$E$2739,2024,$F$2:$F$2739)</f>
        <v>0.19200427193344777</v>
      </c>
    </row>
    <row r="2350" spans="1:9" x14ac:dyDescent="0.3">
      <c r="A2350" t="s">
        <v>5</v>
      </c>
      <c r="B2350" s="3">
        <v>45559</v>
      </c>
      <c r="C2350">
        <f t="shared" si="585"/>
        <v>24</v>
      </c>
      <c r="D2350">
        <f t="shared" si="586"/>
        <v>9</v>
      </c>
      <c r="E2350">
        <f t="shared" si="587"/>
        <v>2024</v>
      </c>
      <c r="F2350" s="2">
        <v>3168</v>
      </c>
      <c r="G2350" t="s">
        <v>19</v>
      </c>
      <c r="I2350" s="4">
        <f t="shared" ref="I2350:I2351" si="596">SUMIFS($F$2:$F$2739,$G$2:$G$2739,"Multi-year Contract",$E$2:$E$2739,2024)/SUMIF($E$2:$E$2739,2024,$F$2:$F$2739)</f>
        <v>0.71222648320847215</v>
      </c>
    </row>
    <row r="2351" spans="1:9" x14ac:dyDescent="0.3">
      <c r="A2351" t="s">
        <v>8</v>
      </c>
      <c r="B2351" s="3">
        <v>45559</v>
      </c>
      <c r="C2351">
        <f t="shared" si="585"/>
        <v>24</v>
      </c>
      <c r="D2351">
        <f t="shared" si="586"/>
        <v>9</v>
      </c>
      <c r="E2351">
        <f t="shared" si="587"/>
        <v>2024</v>
      </c>
      <c r="F2351" s="2">
        <v>2391</v>
      </c>
      <c r="G2351" s="2" t="s">
        <v>19</v>
      </c>
      <c r="I2351" s="4">
        <f t="shared" si="596"/>
        <v>0.71222648320847215</v>
      </c>
    </row>
    <row r="2352" spans="1:9" x14ac:dyDescent="0.3">
      <c r="A2352" t="s">
        <v>9</v>
      </c>
      <c r="B2352" s="3">
        <v>45559</v>
      </c>
      <c r="C2352">
        <f t="shared" si="585"/>
        <v>24</v>
      </c>
      <c r="D2352">
        <f t="shared" si="586"/>
        <v>9</v>
      </c>
      <c r="E2352">
        <f t="shared" si="587"/>
        <v>2024</v>
      </c>
      <c r="F2352" s="2">
        <v>2504</v>
      </c>
      <c r="G2352" t="s">
        <v>18</v>
      </c>
      <c r="I2352" s="4">
        <f>SUMIFS($F$2:$F$2739,$G$2:$G$2739,"Annual Contract",$E$2:$E$2739,2024)/SUMIF($E$2:$E$2739,2024,$F$2:$F$2739)</f>
        <v>0.19200427193344777</v>
      </c>
    </row>
    <row r="2353" spans="1:9" x14ac:dyDescent="0.3">
      <c r="A2353" t="s">
        <v>10</v>
      </c>
      <c r="B2353" s="3">
        <v>45559</v>
      </c>
      <c r="C2353">
        <f t="shared" si="585"/>
        <v>24</v>
      </c>
      <c r="D2353">
        <f t="shared" si="586"/>
        <v>9</v>
      </c>
      <c r="E2353">
        <f t="shared" si="587"/>
        <v>2024</v>
      </c>
      <c r="F2353" s="2">
        <v>3054</v>
      </c>
      <c r="G2353" t="s">
        <v>19</v>
      </c>
      <c r="I2353" s="4">
        <f t="shared" ref="I2353:I2354" si="597">SUMIFS($F$2:$F$2739,$G$2:$G$2739,"Multi-year Contract",$E$2:$E$2739,2024)/SUMIF($E$2:$E$2739,2024,$F$2:$F$2739)</f>
        <v>0.71222648320847215</v>
      </c>
    </row>
    <row r="2354" spans="1:9" x14ac:dyDescent="0.3">
      <c r="A2354" t="s">
        <v>3</v>
      </c>
      <c r="B2354" s="3">
        <v>45559</v>
      </c>
      <c r="C2354">
        <f t="shared" si="585"/>
        <v>24</v>
      </c>
      <c r="D2354">
        <f t="shared" si="586"/>
        <v>9</v>
      </c>
      <c r="E2354">
        <f t="shared" si="587"/>
        <v>2024</v>
      </c>
      <c r="F2354" s="2">
        <v>2942</v>
      </c>
      <c r="G2354" t="s">
        <v>19</v>
      </c>
      <c r="I2354" s="4">
        <f t="shared" si="597"/>
        <v>0.71222648320847215</v>
      </c>
    </row>
    <row r="2355" spans="1:9" x14ac:dyDescent="0.3">
      <c r="A2355" t="s">
        <v>7</v>
      </c>
      <c r="B2355" s="3">
        <v>45559</v>
      </c>
      <c r="C2355">
        <f t="shared" si="585"/>
        <v>24</v>
      </c>
      <c r="D2355">
        <f t="shared" si="586"/>
        <v>9</v>
      </c>
      <c r="E2355">
        <f t="shared" si="587"/>
        <v>2024</v>
      </c>
      <c r="F2355" s="2">
        <v>3131</v>
      </c>
      <c r="G2355" t="s">
        <v>17</v>
      </c>
      <c r="I2355" s="4">
        <f>SUMIFS($F$2:$F$2739,$G$2:$G$2739,"No Contract",$E$2:$E$2739,2024)/SUMIF($E$2:$E$2739,2024,$F$2:$F$2739)</f>
        <v>9.576924485808011E-2</v>
      </c>
    </row>
    <row r="2356" spans="1:9" x14ac:dyDescent="0.3">
      <c r="A2356" t="s">
        <v>11</v>
      </c>
      <c r="B2356" s="3">
        <v>45559</v>
      </c>
      <c r="C2356">
        <f t="shared" si="585"/>
        <v>24</v>
      </c>
      <c r="D2356">
        <f t="shared" si="586"/>
        <v>9</v>
      </c>
      <c r="E2356">
        <f t="shared" si="587"/>
        <v>2024</v>
      </c>
      <c r="F2356" s="2">
        <v>1189</v>
      </c>
      <c r="G2356" t="s">
        <v>19</v>
      </c>
      <c r="I2356" s="4">
        <f>SUMIFS($F$2:$F$2739,$G$2:$G$2739,"Multi-year Contract",$E$2:$E$2739,2024)/SUMIF($E$2:$E$2739,2024,$F$2:$F$2739)</f>
        <v>0.71222648320847215</v>
      </c>
    </row>
    <row r="2357" spans="1:9" x14ac:dyDescent="0.3">
      <c r="A2357" t="s">
        <v>9</v>
      </c>
      <c r="B2357" s="3">
        <v>45560</v>
      </c>
      <c r="C2357">
        <f t="shared" si="585"/>
        <v>25</v>
      </c>
      <c r="D2357">
        <f t="shared" si="586"/>
        <v>9</v>
      </c>
      <c r="E2357">
        <f t="shared" si="587"/>
        <v>2024</v>
      </c>
      <c r="F2357" s="2">
        <v>3483</v>
      </c>
      <c r="G2357" t="s">
        <v>18</v>
      </c>
      <c r="I2357" s="4">
        <f t="shared" ref="I2357:I2358" si="598">SUMIFS($F$2:$F$2739,$G$2:$G$2739,"Annual Contract",$E$2:$E$2739,2024)/SUMIF($E$2:$E$2739,2024,$F$2:$F$2739)</f>
        <v>0.19200427193344777</v>
      </c>
    </row>
    <row r="2358" spans="1:9" x14ac:dyDescent="0.3">
      <c r="A2358" t="s">
        <v>6</v>
      </c>
      <c r="B2358" s="3">
        <v>45560</v>
      </c>
      <c r="C2358">
        <f t="shared" si="585"/>
        <v>25</v>
      </c>
      <c r="D2358">
        <f t="shared" si="586"/>
        <v>9</v>
      </c>
      <c r="E2358">
        <f t="shared" si="587"/>
        <v>2024</v>
      </c>
      <c r="F2358" s="2">
        <v>2384</v>
      </c>
      <c r="G2358" t="s">
        <v>18</v>
      </c>
      <c r="I2358" s="4">
        <f t="shared" si="598"/>
        <v>0.19200427193344777</v>
      </c>
    </row>
    <row r="2359" spans="1:9" x14ac:dyDescent="0.3">
      <c r="A2359" t="s">
        <v>3</v>
      </c>
      <c r="B2359" s="3">
        <v>45560</v>
      </c>
      <c r="C2359">
        <f t="shared" si="585"/>
        <v>25</v>
      </c>
      <c r="D2359">
        <f t="shared" si="586"/>
        <v>9</v>
      </c>
      <c r="E2359">
        <f t="shared" si="587"/>
        <v>2024</v>
      </c>
      <c r="F2359" s="2">
        <v>3751</v>
      </c>
      <c r="G2359" t="s">
        <v>19</v>
      </c>
      <c r="I2359" s="4">
        <f t="shared" ref="I2359:I2360" si="599">SUMIFS($F$2:$F$2739,$G$2:$G$2739,"Multi-year Contract",$E$2:$E$2739,2024)/SUMIF($E$2:$E$2739,2024,$F$2:$F$2739)</f>
        <v>0.71222648320847215</v>
      </c>
    </row>
    <row r="2360" spans="1:9" x14ac:dyDescent="0.3">
      <c r="A2360" t="s">
        <v>3</v>
      </c>
      <c r="B2360" s="3">
        <v>45560</v>
      </c>
      <c r="C2360">
        <f t="shared" si="585"/>
        <v>25</v>
      </c>
      <c r="D2360">
        <f t="shared" si="586"/>
        <v>9</v>
      </c>
      <c r="E2360">
        <f t="shared" si="587"/>
        <v>2024</v>
      </c>
      <c r="F2360" s="2">
        <v>2200</v>
      </c>
      <c r="G2360" t="s">
        <v>19</v>
      </c>
      <c r="I2360" s="4">
        <f t="shared" si="599"/>
        <v>0.71222648320847215</v>
      </c>
    </row>
    <row r="2361" spans="1:9" x14ac:dyDescent="0.3">
      <c r="A2361" t="s">
        <v>7</v>
      </c>
      <c r="B2361" s="3">
        <v>45561</v>
      </c>
      <c r="C2361">
        <f t="shared" si="585"/>
        <v>26</v>
      </c>
      <c r="D2361">
        <f t="shared" si="586"/>
        <v>9</v>
      </c>
      <c r="E2361">
        <f t="shared" si="587"/>
        <v>2024</v>
      </c>
      <c r="F2361" s="2">
        <v>3666</v>
      </c>
      <c r="G2361" t="s">
        <v>17</v>
      </c>
      <c r="I2361" s="4">
        <f>SUMIFS($F$2:$F$2739,$G$2:$G$2739,"No Contract",$E$2:$E$2739,2024)/SUMIF($E$2:$E$2739,2024,$F$2:$F$2739)</f>
        <v>9.576924485808011E-2</v>
      </c>
    </row>
    <row r="2362" spans="1:9" x14ac:dyDescent="0.3">
      <c r="A2362" t="s">
        <v>10</v>
      </c>
      <c r="B2362" s="3">
        <v>45561</v>
      </c>
      <c r="C2362">
        <f t="shared" si="585"/>
        <v>26</v>
      </c>
      <c r="D2362">
        <f t="shared" si="586"/>
        <v>9</v>
      </c>
      <c r="E2362">
        <f t="shared" si="587"/>
        <v>2024</v>
      </c>
      <c r="F2362" s="2">
        <v>3365</v>
      </c>
      <c r="G2362" t="s">
        <v>19</v>
      </c>
      <c r="I2362" s="4">
        <f>SUMIFS($F$2:$F$2739,$G$2:$G$2739,"Multi-year Contract",$E$2:$E$2739,2024)/SUMIF($E$2:$E$2739,2024,$F$2:$F$2739)</f>
        <v>0.71222648320847215</v>
      </c>
    </row>
    <row r="2363" spans="1:9" x14ac:dyDescent="0.3">
      <c r="A2363" t="s">
        <v>7</v>
      </c>
      <c r="B2363" s="3">
        <v>45561</v>
      </c>
      <c r="C2363">
        <f t="shared" si="585"/>
        <v>26</v>
      </c>
      <c r="D2363">
        <f t="shared" si="586"/>
        <v>9</v>
      </c>
      <c r="E2363">
        <f t="shared" si="587"/>
        <v>2024</v>
      </c>
      <c r="F2363" s="2">
        <v>994</v>
      </c>
      <c r="G2363" t="s">
        <v>17</v>
      </c>
      <c r="I2363" s="4">
        <f>SUMIFS($F$2:$F$2739,$G$2:$G$2739,"No Contract",$E$2:$E$2739,2024)/SUMIF($E$2:$E$2739,2024,$F$2:$F$2739)</f>
        <v>9.576924485808011E-2</v>
      </c>
    </row>
    <row r="2364" spans="1:9" x14ac:dyDescent="0.3">
      <c r="A2364" t="s">
        <v>10</v>
      </c>
      <c r="B2364" s="3">
        <v>45561</v>
      </c>
      <c r="C2364">
        <f t="shared" si="585"/>
        <v>26</v>
      </c>
      <c r="D2364">
        <f t="shared" si="586"/>
        <v>9</v>
      </c>
      <c r="E2364">
        <f t="shared" si="587"/>
        <v>2024</v>
      </c>
      <c r="F2364" s="2">
        <v>3570</v>
      </c>
      <c r="G2364" t="s">
        <v>19</v>
      </c>
      <c r="I2364" s="4">
        <f t="shared" ref="I2364:I2365" si="600">SUMIFS($F$2:$F$2739,$G$2:$G$2739,"Multi-year Contract",$E$2:$E$2739,2024)/SUMIF($E$2:$E$2739,2024,$F$2:$F$2739)</f>
        <v>0.71222648320847215</v>
      </c>
    </row>
    <row r="2365" spans="1:9" x14ac:dyDescent="0.3">
      <c r="A2365" t="s">
        <v>5</v>
      </c>
      <c r="B2365" s="3">
        <v>45561</v>
      </c>
      <c r="C2365">
        <f t="shared" si="585"/>
        <v>26</v>
      </c>
      <c r="D2365">
        <f t="shared" si="586"/>
        <v>9</v>
      </c>
      <c r="E2365">
        <f t="shared" si="587"/>
        <v>2024</v>
      </c>
      <c r="F2365" s="2">
        <v>851</v>
      </c>
      <c r="G2365" t="s">
        <v>19</v>
      </c>
      <c r="I2365" s="4">
        <f t="shared" si="600"/>
        <v>0.71222648320847215</v>
      </c>
    </row>
    <row r="2366" spans="1:9" x14ac:dyDescent="0.3">
      <c r="A2366" t="s">
        <v>9</v>
      </c>
      <c r="B2366" s="3">
        <v>45561</v>
      </c>
      <c r="C2366">
        <f t="shared" si="585"/>
        <v>26</v>
      </c>
      <c r="D2366">
        <f t="shared" si="586"/>
        <v>9</v>
      </c>
      <c r="E2366">
        <f t="shared" si="587"/>
        <v>2024</v>
      </c>
      <c r="F2366" s="2">
        <v>3781</v>
      </c>
      <c r="G2366" t="s">
        <v>18</v>
      </c>
      <c r="I2366" s="4">
        <f>SUMIFS($F$2:$F$2739,$G$2:$G$2739,"Annual Contract",$E$2:$E$2739,2024)/SUMIF($E$2:$E$2739,2024,$F$2:$F$2739)</f>
        <v>0.19200427193344777</v>
      </c>
    </row>
    <row r="2367" spans="1:9" x14ac:dyDescent="0.3">
      <c r="A2367" t="s">
        <v>10</v>
      </c>
      <c r="B2367" s="3">
        <v>45561</v>
      </c>
      <c r="C2367">
        <f t="shared" si="585"/>
        <v>26</v>
      </c>
      <c r="D2367">
        <f t="shared" si="586"/>
        <v>9</v>
      </c>
      <c r="E2367">
        <f t="shared" si="587"/>
        <v>2024</v>
      </c>
      <c r="F2367" s="2">
        <v>662</v>
      </c>
      <c r="G2367" t="s">
        <v>19</v>
      </c>
      <c r="I2367" s="4">
        <f t="shared" ref="I2367:I2369" si="601">SUMIFS($F$2:$F$2739,$G$2:$G$2739,"Multi-year Contract",$E$2:$E$2739,2024)/SUMIF($E$2:$E$2739,2024,$F$2:$F$2739)</f>
        <v>0.71222648320847215</v>
      </c>
    </row>
    <row r="2368" spans="1:9" x14ac:dyDescent="0.3">
      <c r="A2368" t="s">
        <v>10</v>
      </c>
      <c r="B2368" s="3">
        <v>45561</v>
      </c>
      <c r="C2368">
        <f t="shared" si="585"/>
        <v>26</v>
      </c>
      <c r="D2368">
        <f t="shared" si="586"/>
        <v>9</v>
      </c>
      <c r="E2368">
        <f t="shared" si="587"/>
        <v>2024</v>
      </c>
      <c r="F2368" s="2">
        <v>2772</v>
      </c>
      <c r="G2368" t="s">
        <v>19</v>
      </c>
      <c r="I2368" s="4">
        <f t="shared" si="601"/>
        <v>0.71222648320847215</v>
      </c>
    </row>
    <row r="2369" spans="1:9" x14ac:dyDescent="0.3">
      <c r="A2369" t="s">
        <v>3</v>
      </c>
      <c r="B2369" s="3">
        <v>45562</v>
      </c>
      <c r="C2369">
        <f t="shared" si="585"/>
        <v>27</v>
      </c>
      <c r="D2369">
        <f t="shared" si="586"/>
        <v>9</v>
      </c>
      <c r="E2369">
        <f t="shared" si="587"/>
        <v>2024</v>
      </c>
      <c r="F2369" s="2">
        <v>2772</v>
      </c>
      <c r="G2369" t="s">
        <v>19</v>
      </c>
      <c r="I2369" s="4">
        <f t="shared" si="601"/>
        <v>0.71222648320847215</v>
      </c>
    </row>
    <row r="2370" spans="1:9" x14ac:dyDescent="0.3">
      <c r="A2370" t="s">
        <v>7</v>
      </c>
      <c r="B2370" s="3">
        <v>45562</v>
      </c>
      <c r="C2370">
        <f t="shared" si="585"/>
        <v>27</v>
      </c>
      <c r="D2370">
        <f t="shared" si="586"/>
        <v>9</v>
      </c>
      <c r="E2370">
        <f t="shared" si="587"/>
        <v>2024</v>
      </c>
      <c r="F2370" s="2">
        <v>2422</v>
      </c>
      <c r="G2370" t="s">
        <v>17</v>
      </c>
      <c r="I2370" s="4">
        <f>SUMIFS($F$2:$F$2739,$G$2:$G$2739,"No Contract",$E$2:$E$2739,2024)/SUMIF($E$2:$E$2739,2024,$F$2:$F$2739)</f>
        <v>9.576924485808011E-2</v>
      </c>
    </row>
    <row r="2371" spans="1:9" x14ac:dyDescent="0.3">
      <c r="A2371" t="s">
        <v>12</v>
      </c>
      <c r="B2371" s="3">
        <v>45562</v>
      </c>
      <c r="C2371">
        <f t="shared" ref="C2371:C2434" si="602">DAY(B2371)</f>
        <v>27</v>
      </c>
      <c r="D2371">
        <f t="shared" ref="D2371:D2434" si="603">MONTH(B2371)</f>
        <v>9</v>
      </c>
      <c r="E2371">
        <f t="shared" ref="E2371:E2434" si="604">YEAR(B2371)</f>
        <v>2024</v>
      </c>
      <c r="F2371" s="2">
        <v>878</v>
      </c>
      <c r="G2371" s="2" t="s">
        <v>19</v>
      </c>
      <c r="I2371" s="4">
        <f>SUMIFS($F$2:$F$2739,$G$2:$G$2739,"Multi-year Contract",$E$2:$E$2739,2024)/SUMIF($E$2:$E$2739,2024,$F$2:$F$2739)</f>
        <v>0.71222648320847215</v>
      </c>
    </row>
    <row r="2372" spans="1:9" x14ac:dyDescent="0.3">
      <c r="A2372" t="s">
        <v>6</v>
      </c>
      <c r="B2372" s="3">
        <v>45562</v>
      </c>
      <c r="C2372">
        <f t="shared" si="602"/>
        <v>27</v>
      </c>
      <c r="D2372">
        <f t="shared" si="603"/>
        <v>9</v>
      </c>
      <c r="E2372">
        <f t="shared" si="604"/>
        <v>2024</v>
      </c>
      <c r="F2372" s="2">
        <v>2318</v>
      </c>
      <c r="G2372" t="s">
        <v>18</v>
      </c>
      <c r="I2372" s="4">
        <f>SUMIFS($F$2:$F$2739,$G$2:$G$2739,"Annual Contract",$E$2:$E$2739,2024)/SUMIF($E$2:$E$2739,2024,$F$2:$F$2739)</f>
        <v>0.19200427193344777</v>
      </c>
    </row>
    <row r="2373" spans="1:9" x14ac:dyDescent="0.3">
      <c r="A2373" t="s">
        <v>4</v>
      </c>
      <c r="B2373" s="3">
        <v>45562</v>
      </c>
      <c r="C2373">
        <f t="shared" si="602"/>
        <v>27</v>
      </c>
      <c r="D2373">
        <f t="shared" si="603"/>
        <v>9</v>
      </c>
      <c r="E2373">
        <f t="shared" si="604"/>
        <v>2024</v>
      </c>
      <c r="F2373" s="2">
        <v>3539</v>
      </c>
      <c r="G2373" s="2" t="s">
        <v>19</v>
      </c>
      <c r="I2373" s="4">
        <f t="shared" ref="I2373:I2374" si="605">SUMIFS($F$2:$F$2739,$G$2:$G$2739,"Multi-year Contract",$E$2:$E$2739,2024)/SUMIF($E$2:$E$2739,2024,$F$2:$F$2739)</f>
        <v>0.71222648320847215</v>
      </c>
    </row>
    <row r="2374" spans="1:9" x14ac:dyDescent="0.3">
      <c r="A2374" t="s">
        <v>10</v>
      </c>
      <c r="B2374" s="3">
        <v>45563</v>
      </c>
      <c r="C2374">
        <f t="shared" si="602"/>
        <v>28</v>
      </c>
      <c r="D2374">
        <f t="shared" si="603"/>
        <v>9</v>
      </c>
      <c r="E2374">
        <f t="shared" si="604"/>
        <v>2024</v>
      </c>
      <c r="F2374" s="2">
        <v>1388</v>
      </c>
      <c r="G2374" t="s">
        <v>19</v>
      </c>
      <c r="I2374" s="4">
        <f t="shared" si="605"/>
        <v>0.71222648320847215</v>
      </c>
    </row>
    <row r="2375" spans="1:9" x14ac:dyDescent="0.3">
      <c r="A2375" t="s">
        <v>7</v>
      </c>
      <c r="B2375" s="3">
        <v>45563</v>
      </c>
      <c r="C2375">
        <f t="shared" si="602"/>
        <v>28</v>
      </c>
      <c r="D2375">
        <f t="shared" si="603"/>
        <v>9</v>
      </c>
      <c r="E2375">
        <f t="shared" si="604"/>
        <v>2024</v>
      </c>
      <c r="F2375" s="2">
        <v>673</v>
      </c>
      <c r="G2375" t="s">
        <v>17</v>
      </c>
      <c r="I2375" s="4">
        <f>SUMIFS($F$2:$F$2739,$G$2:$G$2739,"No Contract",$E$2:$E$2739,2024)/SUMIF($E$2:$E$2739,2024,$F$2:$F$2739)</f>
        <v>9.576924485808011E-2</v>
      </c>
    </row>
    <row r="2376" spans="1:9" x14ac:dyDescent="0.3">
      <c r="A2376" t="s">
        <v>6</v>
      </c>
      <c r="B2376" s="3">
        <v>45563</v>
      </c>
      <c r="C2376">
        <f t="shared" si="602"/>
        <v>28</v>
      </c>
      <c r="D2376">
        <f t="shared" si="603"/>
        <v>9</v>
      </c>
      <c r="E2376">
        <f t="shared" si="604"/>
        <v>2024</v>
      </c>
      <c r="F2376" s="2">
        <v>806</v>
      </c>
      <c r="G2376" t="s">
        <v>18</v>
      </c>
      <c r="I2376" s="4">
        <f>SUMIFS($F$2:$F$2739,$G$2:$G$2739,"Annual Contract",$E$2:$E$2739,2024)/SUMIF($E$2:$E$2739,2024,$F$2:$F$2739)</f>
        <v>0.19200427193344777</v>
      </c>
    </row>
    <row r="2377" spans="1:9" x14ac:dyDescent="0.3">
      <c r="A2377" t="s">
        <v>5</v>
      </c>
      <c r="B2377" s="3">
        <v>45563</v>
      </c>
      <c r="C2377">
        <f t="shared" si="602"/>
        <v>28</v>
      </c>
      <c r="D2377">
        <f t="shared" si="603"/>
        <v>9</v>
      </c>
      <c r="E2377">
        <f t="shared" si="604"/>
        <v>2024</v>
      </c>
      <c r="F2377" s="2">
        <v>1733</v>
      </c>
      <c r="G2377" t="s">
        <v>19</v>
      </c>
      <c r="I2377" s="4">
        <f t="shared" ref="I2377:I2379" si="606">SUMIFS($F$2:$F$2739,$G$2:$G$2739,"Multi-year Contract",$E$2:$E$2739,2024)/SUMIF($E$2:$E$2739,2024,$F$2:$F$2739)</f>
        <v>0.71222648320847215</v>
      </c>
    </row>
    <row r="2378" spans="1:9" x14ac:dyDescent="0.3">
      <c r="A2378" t="s">
        <v>4</v>
      </c>
      <c r="B2378" s="3">
        <v>45564</v>
      </c>
      <c r="C2378">
        <f t="shared" si="602"/>
        <v>29</v>
      </c>
      <c r="D2378">
        <f t="shared" si="603"/>
        <v>9</v>
      </c>
      <c r="E2378">
        <f t="shared" si="604"/>
        <v>2024</v>
      </c>
      <c r="F2378" s="2">
        <v>2655</v>
      </c>
      <c r="G2378" s="2" t="s">
        <v>19</v>
      </c>
      <c r="I2378" s="4">
        <f t="shared" si="606"/>
        <v>0.71222648320847215</v>
      </c>
    </row>
    <row r="2379" spans="1:9" x14ac:dyDescent="0.3">
      <c r="A2379" t="s">
        <v>4</v>
      </c>
      <c r="B2379" s="3">
        <v>45564</v>
      </c>
      <c r="C2379">
        <f t="shared" si="602"/>
        <v>29</v>
      </c>
      <c r="D2379">
        <f t="shared" si="603"/>
        <v>9</v>
      </c>
      <c r="E2379">
        <f t="shared" si="604"/>
        <v>2024</v>
      </c>
      <c r="F2379" s="2">
        <v>2944</v>
      </c>
      <c r="G2379" s="2" t="s">
        <v>19</v>
      </c>
      <c r="I2379" s="4">
        <f t="shared" si="606"/>
        <v>0.71222648320847215</v>
      </c>
    </row>
    <row r="2380" spans="1:9" x14ac:dyDescent="0.3">
      <c r="A2380" t="s">
        <v>9</v>
      </c>
      <c r="B2380" s="3">
        <v>45565</v>
      </c>
      <c r="C2380">
        <f t="shared" si="602"/>
        <v>30</v>
      </c>
      <c r="D2380">
        <f t="shared" si="603"/>
        <v>9</v>
      </c>
      <c r="E2380">
        <f t="shared" si="604"/>
        <v>2024</v>
      </c>
      <c r="F2380" s="2">
        <v>1353</v>
      </c>
      <c r="G2380" t="s">
        <v>18</v>
      </c>
      <c r="I2380" s="4">
        <f>SUMIFS($F$2:$F$2739,$G$2:$G$2739,"Annual Contract",$E$2:$E$2739,2024)/SUMIF($E$2:$E$2739,2024,$F$2:$F$2739)</f>
        <v>0.19200427193344777</v>
      </c>
    </row>
    <row r="2381" spans="1:9" x14ac:dyDescent="0.3">
      <c r="A2381" t="s">
        <v>8</v>
      </c>
      <c r="B2381" s="3">
        <v>45565</v>
      </c>
      <c r="C2381">
        <f t="shared" si="602"/>
        <v>30</v>
      </c>
      <c r="D2381">
        <f t="shared" si="603"/>
        <v>9</v>
      </c>
      <c r="E2381">
        <f t="shared" si="604"/>
        <v>2024</v>
      </c>
      <c r="F2381" s="2">
        <v>1211</v>
      </c>
      <c r="G2381" s="2" t="s">
        <v>19</v>
      </c>
      <c r="I2381" s="4">
        <f t="shared" ref="I2381:I2384" si="607">SUMIFS($F$2:$F$2739,$G$2:$G$2739,"Multi-year Contract",$E$2:$E$2739,2024)/SUMIF($E$2:$E$2739,2024,$F$2:$F$2739)</f>
        <v>0.71222648320847215</v>
      </c>
    </row>
    <row r="2382" spans="1:9" x14ac:dyDescent="0.3">
      <c r="A2382" t="s">
        <v>12</v>
      </c>
      <c r="B2382" s="3">
        <v>45565</v>
      </c>
      <c r="C2382">
        <f t="shared" si="602"/>
        <v>30</v>
      </c>
      <c r="D2382">
        <f t="shared" si="603"/>
        <v>9</v>
      </c>
      <c r="E2382">
        <f t="shared" si="604"/>
        <v>2024</v>
      </c>
      <c r="F2382" s="2">
        <v>2033</v>
      </c>
      <c r="G2382" s="2" t="s">
        <v>19</v>
      </c>
      <c r="I2382" s="4">
        <f t="shared" si="607"/>
        <v>0.71222648320847215</v>
      </c>
    </row>
    <row r="2383" spans="1:9" x14ac:dyDescent="0.3">
      <c r="A2383" t="s">
        <v>8</v>
      </c>
      <c r="B2383" s="3">
        <v>45565</v>
      </c>
      <c r="C2383">
        <f t="shared" si="602"/>
        <v>30</v>
      </c>
      <c r="D2383">
        <f t="shared" si="603"/>
        <v>9</v>
      </c>
      <c r="E2383">
        <f t="shared" si="604"/>
        <v>2024</v>
      </c>
      <c r="F2383" s="2">
        <v>2623</v>
      </c>
      <c r="G2383" s="2" t="s">
        <v>19</v>
      </c>
      <c r="I2383" s="4">
        <f t="shared" si="607"/>
        <v>0.71222648320847215</v>
      </c>
    </row>
    <row r="2384" spans="1:9" x14ac:dyDescent="0.3">
      <c r="A2384" t="s">
        <v>8</v>
      </c>
      <c r="B2384" s="3">
        <v>45566</v>
      </c>
      <c r="C2384">
        <f t="shared" si="602"/>
        <v>1</v>
      </c>
      <c r="D2384">
        <f t="shared" si="603"/>
        <v>10</v>
      </c>
      <c r="E2384">
        <f t="shared" si="604"/>
        <v>2024</v>
      </c>
      <c r="F2384" s="2">
        <v>2290</v>
      </c>
      <c r="G2384" s="2" t="s">
        <v>19</v>
      </c>
      <c r="I2384" s="4">
        <f t="shared" si="607"/>
        <v>0.71222648320847215</v>
      </c>
    </row>
    <row r="2385" spans="1:9" x14ac:dyDescent="0.3">
      <c r="A2385" t="s">
        <v>9</v>
      </c>
      <c r="B2385" s="3">
        <v>45566</v>
      </c>
      <c r="C2385">
        <f t="shared" si="602"/>
        <v>1</v>
      </c>
      <c r="D2385">
        <f t="shared" si="603"/>
        <v>10</v>
      </c>
      <c r="E2385">
        <f t="shared" si="604"/>
        <v>2024</v>
      </c>
      <c r="F2385" s="2">
        <v>2108</v>
      </c>
      <c r="G2385" t="s">
        <v>18</v>
      </c>
      <c r="I2385" s="4">
        <f>SUMIFS($F$2:$F$2739,$G$2:$G$2739,"Annual Contract",$E$2:$E$2739,2024)/SUMIF($E$2:$E$2739,2024,$F$2:$F$2739)</f>
        <v>0.19200427193344777</v>
      </c>
    </row>
    <row r="2386" spans="1:9" x14ac:dyDescent="0.3">
      <c r="A2386" t="s">
        <v>3</v>
      </c>
      <c r="B2386" s="3">
        <v>45566</v>
      </c>
      <c r="C2386">
        <f t="shared" si="602"/>
        <v>1</v>
      </c>
      <c r="D2386">
        <f t="shared" si="603"/>
        <v>10</v>
      </c>
      <c r="E2386">
        <f t="shared" si="604"/>
        <v>2024</v>
      </c>
      <c r="F2386" s="2">
        <v>3379</v>
      </c>
      <c r="G2386" t="s">
        <v>19</v>
      </c>
      <c r="I2386" s="4">
        <f t="shared" ref="I2386:I2391" si="608">SUMIFS($F$2:$F$2739,$G$2:$G$2739,"Multi-year Contract",$E$2:$E$2739,2024)/SUMIF($E$2:$E$2739,2024,$F$2:$F$2739)</f>
        <v>0.71222648320847215</v>
      </c>
    </row>
    <row r="2387" spans="1:9" x14ac:dyDescent="0.3">
      <c r="A2387" t="s">
        <v>3</v>
      </c>
      <c r="B2387" s="3">
        <v>45567</v>
      </c>
      <c r="C2387">
        <f t="shared" si="602"/>
        <v>2</v>
      </c>
      <c r="D2387">
        <f t="shared" si="603"/>
        <v>10</v>
      </c>
      <c r="E2387">
        <f t="shared" si="604"/>
        <v>2024</v>
      </c>
      <c r="F2387" s="2">
        <v>3496</v>
      </c>
      <c r="G2387" t="s">
        <v>19</v>
      </c>
      <c r="I2387" s="4">
        <f t="shared" si="608"/>
        <v>0.71222648320847215</v>
      </c>
    </row>
    <row r="2388" spans="1:9" x14ac:dyDescent="0.3">
      <c r="A2388" t="s">
        <v>10</v>
      </c>
      <c r="B2388" s="3">
        <v>45567</v>
      </c>
      <c r="C2388">
        <f t="shared" si="602"/>
        <v>2</v>
      </c>
      <c r="D2388">
        <f t="shared" si="603"/>
        <v>10</v>
      </c>
      <c r="E2388">
        <f t="shared" si="604"/>
        <v>2024</v>
      </c>
      <c r="F2388" s="2">
        <v>3393</v>
      </c>
      <c r="G2388" t="s">
        <v>19</v>
      </c>
      <c r="I2388" s="4">
        <f t="shared" si="608"/>
        <v>0.71222648320847215</v>
      </c>
    </row>
    <row r="2389" spans="1:9" x14ac:dyDescent="0.3">
      <c r="A2389" t="s">
        <v>4</v>
      </c>
      <c r="B2389" s="3">
        <v>45567</v>
      </c>
      <c r="C2389">
        <f t="shared" si="602"/>
        <v>2</v>
      </c>
      <c r="D2389">
        <f t="shared" si="603"/>
        <v>10</v>
      </c>
      <c r="E2389">
        <f t="shared" si="604"/>
        <v>2024</v>
      </c>
      <c r="F2389" s="2">
        <v>2390</v>
      </c>
      <c r="G2389" s="2" t="s">
        <v>19</v>
      </c>
      <c r="I2389" s="4">
        <f t="shared" si="608"/>
        <v>0.71222648320847215</v>
      </c>
    </row>
    <row r="2390" spans="1:9" x14ac:dyDescent="0.3">
      <c r="A2390" t="s">
        <v>10</v>
      </c>
      <c r="B2390" s="3">
        <v>45567</v>
      </c>
      <c r="C2390">
        <f t="shared" si="602"/>
        <v>2</v>
      </c>
      <c r="D2390">
        <f t="shared" si="603"/>
        <v>10</v>
      </c>
      <c r="E2390">
        <f t="shared" si="604"/>
        <v>2024</v>
      </c>
      <c r="F2390" s="2">
        <v>2124</v>
      </c>
      <c r="G2390" t="s">
        <v>19</v>
      </c>
      <c r="I2390" s="4">
        <f t="shared" si="608"/>
        <v>0.71222648320847215</v>
      </c>
    </row>
    <row r="2391" spans="1:9" x14ac:dyDescent="0.3">
      <c r="A2391" t="s">
        <v>10</v>
      </c>
      <c r="B2391" s="3">
        <v>45568</v>
      </c>
      <c r="C2391">
        <f t="shared" si="602"/>
        <v>3</v>
      </c>
      <c r="D2391">
        <f t="shared" si="603"/>
        <v>10</v>
      </c>
      <c r="E2391">
        <f t="shared" si="604"/>
        <v>2024</v>
      </c>
      <c r="F2391" s="2">
        <v>1260</v>
      </c>
      <c r="G2391" t="s">
        <v>19</v>
      </c>
      <c r="I2391" s="4">
        <f t="shared" si="608"/>
        <v>0.71222648320847215</v>
      </c>
    </row>
    <row r="2392" spans="1:9" x14ac:dyDescent="0.3">
      <c r="A2392" t="s">
        <v>6</v>
      </c>
      <c r="B2392" s="3">
        <v>45568</v>
      </c>
      <c r="C2392">
        <f t="shared" si="602"/>
        <v>3</v>
      </c>
      <c r="D2392">
        <f t="shared" si="603"/>
        <v>10</v>
      </c>
      <c r="E2392">
        <f t="shared" si="604"/>
        <v>2024</v>
      </c>
      <c r="F2392" s="2">
        <v>871</v>
      </c>
      <c r="G2392" t="s">
        <v>18</v>
      </c>
      <c r="I2392" s="4">
        <f>SUMIFS($F$2:$F$2739,$G$2:$G$2739,"Annual Contract",$E$2:$E$2739,2024)/SUMIF($E$2:$E$2739,2024,$F$2:$F$2739)</f>
        <v>0.19200427193344777</v>
      </c>
    </row>
    <row r="2393" spans="1:9" x14ac:dyDescent="0.3">
      <c r="A2393" t="s">
        <v>7</v>
      </c>
      <c r="B2393" s="3">
        <v>45569</v>
      </c>
      <c r="C2393">
        <f t="shared" si="602"/>
        <v>4</v>
      </c>
      <c r="D2393">
        <f t="shared" si="603"/>
        <v>10</v>
      </c>
      <c r="E2393">
        <f t="shared" si="604"/>
        <v>2024</v>
      </c>
      <c r="F2393" s="2">
        <v>2331</v>
      </c>
      <c r="G2393" t="s">
        <v>17</v>
      </c>
      <c r="I2393" s="4">
        <f>SUMIFS($F$2:$F$2739,$G$2:$G$2739,"No Contract",$E$2:$E$2739,2024)/SUMIF($E$2:$E$2739,2024,$F$2:$F$2739)</f>
        <v>9.576924485808011E-2</v>
      </c>
    </row>
    <row r="2394" spans="1:9" x14ac:dyDescent="0.3">
      <c r="A2394" t="s">
        <v>10</v>
      </c>
      <c r="B2394" s="3">
        <v>45569</v>
      </c>
      <c r="C2394">
        <f t="shared" si="602"/>
        <v>4</v>
      </c>
      <c r="D2394">
        <f t="shared" si="603"/>
        <v>10</v>
      </c>
      <c r="E2394">
        <f t="shared" si="604"/>
        <v>2024</v>
      </c>
      <c r="F2394" s="2">
        <v>1241</v>
      </c>
      <c r="G2394" t="s">
        <v>19</v>
      </c>
      <c r="I2394" s="4">
        <f t="shared" ref="I2394:I2396" si="609">SUMIFS($F$2:$F$2739,$G$2:$G$2739,"Multi-year Contract",$E$2:$E$2739,2024)/SUMIF($E$2:$E$2739,2024,$F$2:$F$2739)</f>
        <v>0.71222648320847215</v>
      </c>
    </row>
    <row r="2395" spans="1:9" x14ac:dyDescent="0.3">
      <c r="A2395" t="s">
        <v>11</v>
      </c>
      <c r="B2395" s="3">
        <v>45569</v>
      </c>
      <c r="C2395">
        <f t="shared" si="602"/>
        <v>4</v>
      </c>
      <c r="D2395">
        <f t="shared" si="603"/>
        <v>10</v>
      </c>
      <c r="E2395">
        <f t="shared" si="604"/>
        <v>2024</v>
      </c>
      <c r="F2395" s="2">
        <v>2868</v>
      </c>
      <c r="G2395" t="s">
        <v>19</v>
      </c>
      <c r="I2395" s="4">
        <f t="shared" si="609"/>
        <v>0.71222648320847215</v>
      </c>
    </row>
    <row r="2396" spans="1:9" x14ac:dyDescent="0.3">
      <c r="A2396" t="s">
        <v>8</v>
      </c>
      <c r="B2396" s="3">
        <v>45569</v>
      </c>
      <c r="C2396">
        <f t="shared" si="602"/>
        <v>4</v>
      </c>
      <c r="D2396">
        <f t="shared" si="603"/>
        <v>10</v>
      </c>
      <c r="E2396">
        <f t="shared" si="604"/>
        <v>2024</v>
      </c>
      <c r="F2396" s="2">
        <v>758</v>
      </c>
      <c r="G2396" s="2" t="s">
        <v>19</v>
      </c>
      <c r="I2396" s="4">
        <f t="shared" si="609"/>
        <v>0.71222648320847215</v>
      </c>
    </row>
    <row r="2397" spans="1:9" x14ac:dyDescent="0.3">
      <c r="A2397" t="s">
        <v>7</v>
      </c>
      <c r="B2397" s="3">
        <v>45570</v>
      </c>
      <c r="C2397">
        <f t="shared" si="602"/>
        <v>5</v>
      </c>
      <c r="D2397">
        <f t="shared" si="603"/>
        <v>10</v>
      </c>
      <c r="E2397">
        <f t="shared" si="604"/>
        <v>2024</v>
      </c>
      <c r="F2397" s="2">
        <v>2941</v>
      </c>
      <c r="G2397" t="s">
        <v>17</v>
      </c>
      <c r="I2397" s="4">
        <f>SUMIFS($F$2:$F$2739,$G$2:$G$2739,"No Contract",$E$2:$E$2739,2024)/SUMIF($E$2:$E$2739,2024,$F$2:$F$2739)</f>
        <v>9.576924485808011E-2</v>
      </c>
    </row>
    <row r="2398" spans="1:9" x14ac:dyDescent="0.3">
      <c r="A2398" t="s">
        <v>9</v>
      </c>
      <c r="B2398" s="3">
        <v>45570</v>
      </c>
      <c r="C2398">
        <f t="shared" si="602"/>
        <v>5</v>
      </c>
      <c r="D2398">
        <f t="shared" si="603"/>
        <v>10</v>
      </c>
      <c r="E2398">
        <f t="shared" si="604"/>
        <v>2024</v>
      </c>
      <c r="F2398" s="2">
        <v>1946</v>
      </c>
      <c r="G2398" t="s">
        <v>18</v>
      </c>
      <c r="I2398" s="4">
        <f>SUMIFS($F$2:$F$2739,$G$2:$G$2739,"Annual Contract",$E$2:$E$2739,2024)/SUMIF($E$2:$E$2739,2024,$F$2:$F$2739)</f>
        <v>0.19200427193344777</v>
      </c>
    </row>
    <row r="2399" spans="1:9" x14ac:dyDescent="0.3">
      <c r="A2399" t="s">
        <v>3</v>
      </c>
      <c r="B2399" s="3">
        <v>45571</v>
      </c>
      <c r="C2399">
        <f t="shared" si="602"/>
        <v>6</v>
      </c>
      <c r="D2399">
        <f t="shared" si="603"/>
        <v>10</v>
      </c>
      <c r="E2399">
        <f t="shared" si="604"/>
        <v>2024</v>
      </c>
      <c r="F2399" s="2">
        <v>1685</v>
      </c>
      <c r="G2399" t="s">
        <v>19</v>
      </c>
      <c r="I2399" s="4">
        <f t="shared" ref="I2399:I2412" si="610">SUMIFS($F$2:$F$2739,$G$2:$G$2739,"Multi-year Contract",$E$2:$E$2739,2024)/SUMIF($E$2:$E$2739,2024,$F$2:$F$2739)</f>
        <v>0.71222648320847215</v>
      </c>
    </row>
    <row r="2400" spans="1:9" x14ac:dyDescent="0.3">
      <c r="A2400" t="s">
        <v>4</v>
      </c>
      <c r="B2400" s="3">
        <v>45571</v>
      </c>
      <c r="C2400">
        <f t="shared" si="602"/>
        <v>6</v>
      </c>
      <c r="D2400">
        <f t="shared" si="603"/>
        <v>10</v>
      </c>
      <c r="E2400">
        <f t="shared" si="604"/>
        <v>2024</v>
      </c>
      <c r="F2400" s="2">
        <v>2721</v>
      </c>
      <c r="G2400" s="2" t="s">
        <v>19</v>
      </c>
      <c r="I2400" s="4">
        <f t="shared" si="610"/>
        <v>0.71222648320847215</v>
      </c>
    </row>
    <row r="2401" spans="1:9" x14ac:dyDescent="0.3">
      <c r="A2401" t="s">
        <v>8</v>
      </c>
      <c r="B2401" s="3">
        <v>45571</v>
      </c>
      <c r="C2401">
        <f t="shared" si="602"/>
        <v>6</v>
      </c>
      <c r="D2401">
        <f t="shared" si="603"/>
        <v>10</v>
      </c>
      <c r="E2401">
        <f t="shared" si="604"/>
        <v>2024</v>
      </c>
      <c r="F2401" s="2">
        <v>1574</v>
      </c>
      <c r="G2401" s="2" t="s">
        <v>19</v>
      </c>
      <c r="I2401" s="4">
        <f t="shared" si="610"/>
        <v>0.71222648320847215</v>
      </c>
    </row>
    <row r="2402" spans="1:9" x14ac:dyDescent="0.3">
      <c r="A2402" t="s">
        <v>5</v>
      </c>
      <c r="B2402" s="3">
        <v>45572</v>
      </c>
      <c r="C2402">
        <f t="shared" si="602"/>
        <v>7</v>
      </c>
      <c r="D2402">
        <f t="shared" si="603"/>
        <v>10</v>
      </c>
      <c r="E2402">
        <f t="shared" si="604"/>
        <v>2024</v>
      </c>
      <c r="F2402" s="2">
        <v>3699</v>
      </c>
      <c r="G2402" t="s">
        <v>19</v>
      </c>
      <c r="I2402" s="4">
        <f t="shared" si="610"/>
        <v>0.71222648320847215</v>
      </c>
    </row>
    <row r="2403" spans="1:9" x14ac:dyDescent="0.3">
      <c r="A2403" t="s">
        <v>11</v>
      </c>
      <c r="B2403" s="3">
        <v>45572</v>
      </c>
      <c r="C2403">
        <f t="shared" si="602"/>
        <v>7</v>
      </c>
      <c r="D2403">
        <f t="shared" si="603"/>
        <v>10</v>
      </c>
      <c r="E2403">
        <f t="shared" si="604"/>
        <v>2024</v>
      </c>
      <c r="F2403" s="2">
        <v>968</v>
      </c>
      <c r="G2403" t="s">
        <v>19</v>
      </c>
      <c r="I2403" s="4">
        <f t="shared" si="610"/>
        <v>0.71222648320847215</v>
      </c>
    </row>
    <row r="2404" spans="1:9" x14ac:dyDescent="0.3">
      <c r="A2404" t="s">
        <v>8</v>
      </c>
      <c r="B2404" s="3">
        <v>45572</v>
      </c>
      <c r="C2404">
        <f t="shared" si="602"/>
        <v>7</v>
      </c>
      <c r="D2404">
        <f t="shared" si="603"/>
        <v>10</v>
      </c>
      <c r="E2404">
        <f t="shared" si="604"/>
        <v>2024</v>
      </c>
      <c r="F2404" s="2">
        <v>3753</v>
      </c>
      <c r="G2404" s="2" t="s">
        <v>19</v>
      </c>
      <c r="I2404" s="4">
        <f t="shared" si="610"/>
        <v>0.71222648320847215</v>
      </c>
    </row>
    <row r="2405" spans="1:9" x14ac:dyDescent="0.3">
      <c r="A2405" t="s">
        <v>8</v>
      </c>
      <c r="B2405" s="3">
        <v>45573</v>
      </c>
      <c r="C2405">
        <f t="shared" si="602"/>
        <v>8</v>
      </c>
      <c r="D2405">
        <f t="shared" si="603"/>
        <v>10</v>
      </c>
      <c r="E2405">
        <f t="shared" si="604"/>
        <v>2024</v>
      </c>
      <c r="F2405" s="2">
        <v>864</v>
      </c>
      <c r="G2405" s="2" t="s">
        <v>19</v>
      </c>
      <c r="I2405" s="4">
        <f t="shared" si="610"/>
        <v>0.71222648320847215</v>
      </c>
    </row>
    <row r="2406" spans="1:9" x14ac:dyDescent="0.3">
      <c r="A2406" t="s">
        <v>10</v>
      </c>
      <c r="B2406" s="3">
        <v>45574</v>
      </c>
      <c r="C2406">
        <f t="shared" si="602"/>
        <v>9</v>
      </c>
      <c r="D2406">
        <f t="shared" si="603"/>
        <v>10</v>
      </c>
      <c r="E2406">
        <f t="shared" si="604"/>
        <v>2024</v>
      </c>
      <c r="F2406" s="2">
        <v>3456</v>
      </c>
      <c r="G2406" t="s">
        <v>19</v>
      </c>
      <c r="I2406" s="4">
        <f t="shared" si="610"/>
        <v>0.71222648320847215</v>
      </c>
    </row>
    <row r="2407" spans="1:9" x14ac:dyDescent="0.3">
      <c r="A2407" t="s">
        <v>4</v>
      </c>
      <c r="B2407" s="3">
        <v>45574</v>
      </c>
      <c r="C2407">
        <f t="shared" si="602"/>
        <v>9</v>
      </c>
      <c r="D2407">
        <f t="shared" si="603"/>
        <v>10</v>
      </c>
      <c r="E2407">
        <f t="shared" si="604"/>
        <v>2024</v>
      </c>
      <c r="F2407" s="2">
        <v>759</v>
      </c>
      <c r="G2407" s="2" t="s">
        <v>19</v>
      </c>
      <c r="I2407" s="4">
        <f t="shared" si="610"/>
        <v>0.71222648320847215</v>
      </c>
    </row>
    <row r="2408" spans="1:9" x14ac:dyDescent="0.3">
      <c r="A2408" t="s">
        <v>8</v>
      </c>
      <c r="B2408" s="3">
        <v>45574</v>
      </c>
      <c r="C2408">
        <f t="shared" si="602"/>
        <v>9</v>
      </c>
      <c r="D2408">
        <f t="shared" si="603"/>
        <v>10</v>
      </c>
      <c r="E2408">
        <f t="shared" si="604"/>
        <v>2024</v>
      </c>
      <c r="F2408" s="2">
        <v>2999</v>
      </c>
      <c r="G2408" s="2" t="s">
        <v>19</v>
      </c>
      <c r="I2408" s="4">
        <f t="shared" si="610"/>
        <v>0.71222648320847215</v>
      </c>
    </row>
    <row r="2409" spans="1:9" x14ac:dyDescent="0.3">
      <c r="A2409" t="s">
        <v>3</v>
      </c>
      <c r="B2409" s="3">
        <v>45574</v>
      </c>
      <c r="C2409">
        <f t="shared" si="602"/>
        <v>9</v>
      </c>
      <c r="D2409">
        <f t="shared" si="603"/>
        <v>10</v>
      </c>
      <c r="E2409">
        <f t="shared" si="604"/>
        <v>2024</v>
      </c>
      <c r="F2409" s="2">
        <v>1182</v>
      </c>
      <c r="G2409" t="s">
        <v>19</v>
      </c>
      <c r="I2409" s="4">
        <f t="shared" si="610"/>
        <v>0.71222648320847215</v>
      </c>
    </row>
    <row r="2410" spans="1:9" x14ac:dyDescent="0.3">
      <c r="A2410" t="s">
        <v>12</v>
      </c>
      <c r="B2410" s="3">
        <v>45574</v>
      </c>
      <c r="C2410">
        <f t="shared" si="602"/>
        <v>9</v>
      </c>
      <c r="D2410">
        <f t="shared" si="603"/>
        <v>10</v>
      </c>
      <c r="E2410">
        <f t="shared" si="604"/>
        <v>2024</v>
      </c>
      <c r="F2410" s="2">
        <v>1380</v>
      </c>
      <c r="G2410" s="2" t="s">
        <v>19</v>
      </c>
      <c r="I2410" s="4">
        <f t="shared" si="610"/>
        <v>0.71222648320847215</v>
      </c>
    </row>
    <row r="2411" spans="1:9" x14ac:dyDescent="0.3">
      <c r="A2411" t="s">
        <v>8</v>
      </c>
      <c r="B2411" s="3">
        <v>45574</v>
      </c>
      <c r="C2411">
        <f t="shared" si="602"/>
        <v>9</v>
      </c>
      <c r="D2411">
        <f t="shared" si="603"/>
        <v>10</v>
      </c>
      <c r="E2411">
        <f t="shared" si="604"/>
        <v>2024</v>
      </c>
      <c r="F2411" s="2">
        <v>3199</v>
      </c>
      <c r="G2411" s="2" t="s">
        <v>19</v>
      </c>
      <c r="I2411" s="4">
        <f t="shared" si="610"/>
        <v>0.71222648320847215</v>
      </c>
    </row>
    <row r="2412" spans="1:9" x14ac:dyDescent="0.3">
      <c r="A2412" t="s">
        <v>3</v>
      </c>
      <c r="B2412" s="3">
        <v>45575</v>
      </c>
      <c r="C2412">
        <f t="shared" si="602"/>
        <v>10</v>
      </c>
      <c r="D2412">
        <f t="shared" si="603"/>
        <v>10</v>
      </c>
      <c r="E2412">
        <f t="shared" si="604"/>
        <v>2024</v>
      </c>
      <c r="F2412" s="2">
        <v>1714</v>
      </c>
      <c r="G2412" t="s">
        <v>19</v>
      </c>
      <c r="I2412" s="4">
        <f t="shared" si="610"/>
        <v>0.71222648320847215</v>
      </c>
    </row>
    <row r="2413" spans="1:9" x14ac:dyDescent="0.3">
      <c r="A2413" t="s">
        <v>9</v>
      </c>
      <c r="B2413" s="3">
        <v>45575</v>
      </c>
      <c r="C2413">
        <f t="shared" si="602"/>
        <v>10</v>
      </c>
      <c r="D2413">
        <f t="shared" si="603"/>
        <v>10</v>
      </c>
      <c r="E2413">
        <f t="shared" si="604"/>
        <v>2024</v>
      </c>
      <c r="F2413" s="2">
        <v>2575</v>
      </c>
      <c r="G2413" t="s">
        <v>18</v>
      </c>
      <c r="I2413" s="4">
        <f>SUMIFS($F$2:$F$2739,$G$2:$G$2739,"Annual Contract",$E$2:$E$2739,2024)/SUMIF($E$2:$E$2739,2024,$F$2:$F$2739)</f>
        <v>0.19200427193344777</v>
      </c>
    </row>
    <row r="2414" spans="1:9" x14ac:dyDescent="0.3">
      <c r="A2414" t="s">
        <v>12</v>
      </c>
      <c r="B2414" s="3">
        <v>45575</v>
      </c>
      <c r="C2414">
        <f t="shared" si="602"/>
        <v>10</v>
      </c>
      <c r="D2414">
        <f t="shared" si="603"/>
        <v>10</v>
      </c>
      <c r="E2414">
        <f t="shared" si="604"/>
        <v>2024</v>
      </c>
      <c r="F2414" s="2">
        <v>955</v>
      </c>
      <c r="G2414" s="2" t="s">
        <v>19</v>
      </c>
      <c r="I2414" s="4">
        <f>SUMIFS($F$2:$F$2739,$G$2:$G$2739,"Multi-year Contract",$E$2:$E$2739,2024)/SUMIF($E$2:$E$2739,2024,$F$2:$F$2739)</f>
        <v>0.71222648320847215</v>
      </c>
    </row>
    <row r="2415" spans="1:9" x14ac:dyDescent="0.3">
      <c r="A2415" t="s">
        <v>6</v>
      </c>
      <c r="B2415" s="3">
        <v>45575</v>
      </c>
      <c r="C2415">
        <f t="shared" si="602"/>
        <v>10</v>
      </c>
      <c r="D2415">
        <f t="shared" si="603"/>
        <v>10</v>
      </c>
      <c r="E2415">
        <f t="shared" si="604"/>
        <v>2024</v>
      </c>
      <c r="F2415" s="2">
        <v>3423</v>
      </c>
      <c r="G2415" t="s">
        <v>18</v>
      </c>
      <c r="I2415" s="4">
        <f t="shared" ref="I2415:I2416" si="611">SUMIFS($F$2:$F$2739,$G$2:$G$2739,"Annual Contract",$E$2:$E$2739,2024)/SUMIF($E$2:$E$2739,2024,$F$2:$F$2739)</f>
        <v>0.19200427193344777</v>
      </c>
    </row>
    <row r="2416" spans="1:9" x14ac:dyDescent="0.3">
      <c r="A2416" t="s">
        <v>6</v>
      </c>
      <c r="B2416" s="3">
        <v>45576</v>
      </c>
      <c r="C2416">
        <f t="shared" si="602"/>
        <v>11</v>
      </c>
      <c r="D2416">
        <f t="shared" si="603"/>
        <v>10</v>
      </c>
      <c r="E2416">
        <f t="shared" si="604"/>
        <v>2024</v>
      </c>
      <c r="F2416" s="2">
        <v>595</v>
      </c>
      <c r="G2416" t="s">
        <v>18</v>
      </c>
      <c r="I2416" s="4">
        <f t="shared" si="611"/>
        <v>0.19200427193344777</v>
      </c>
    </row>
    <row r="2417" spans="1:9" x14ac:dyDescent="0.3">
      <c r="A2417" t="s">
        <v>8</v>
      </c>
      <c r="B2417" s="3">
        <v>45576</v>
      </c>
      <c r="C2417">
        <f t="shared" si="602"/>
        <v>11</v>
      </c>
      <c r="D2417">
        <f t="shared" si="603"/>
        <v>10</v>
      </c>
      <c r="E2417">
        <f t="shared" si="604"/>
        <v>2024</v>
      </c>
      <c r="F2417" s="2">
        <v>733</v>
      </c>
      <c r="G2417" s="2" t="s">
        <v>19</v>
      </c>
      <c r="I2417" s="4">
        <f t="shared" ref="I2417:I2418" si="612">SUMIFS($F$2:$F$2739,$G$2:$G$2739,"Multi-year Contract",$E$2:$E$2739,2024)/SUMIF($E$2:$E$2739,2024,$F$2:$F$2739)</f>
        <v>0.71222648320847215</v>
      </c>
    </row>
    <row r="2418" spans="1:9" x14ac:dyDescent="0.3">
      <c r="A2418" t="s">
        <v>5</v>
      </c>
      <c r="B2418" s="3">
        <v>45576</v>
      </c>
      <c r="C2418">
        <f t="shared" si="602"/>
        <v>11</v>
      </c>
      <c r="D2418">
        <f t="shared" si="603"/>
        <v>10</v>
      </c>
      <c r="E2418">
        <f t="shared" si="604"/>
        <v>2024</v>
      </c>
      <c r="F2418" s="2">
        <v>573</v>
      </c>
      <c r="G2418" t="s">
        <v>19</v>
      </c>
      <c r="I2418" s="4">
        <f t="shared" si="612"/>
        <v>0.71222648320847215</v>
      </c>
    </row>
    <row r="2419" spans="1:9" x14ac:dyDescent="0.3">
      <c r="A2419" t="s">
        <v>6</v>
      </c>
      <c r="B2419" s="3">
        <v>45576</v>
      </c>
      <c r="C2419">
        <f t="shared" si="602"/>
        <v>11</v>
      </c>
      <c r="D2419">
        <f t="shared" si="603"/>
        <v>10</v>
      </c>
      <c r="E2419">
        <f t="shared" si="604"/>
        <v>2024</v>
      </c>
      <c r="F2419" s="2">
        <v>2381</v>
      </c>
      <c r="G2419" t="s">
        <v>18</v>
      </c>
      <c r="I2419" s="4">
        <f>SUMIFS($F$2:$F$2739,$G$2:$G$2739,"Annual Contract",$E$2:$E$2739,2024)/SUMIF($E$2:$E$2739,2024,$F$2:$F$2739)</f>
        <v>0.19200427193344777</v>
      </c>
    </row>
    <row r="2420" spans="1:9" x14ac:dyDescent="0.3">
      <c r="A2420" t="s">
        <v>12</v>
      </c>
      <c r="B2420" s="3">
        <v>45577</v>
      </c>
      <c r="C2420">
        <f t="shared" si="602"/>
        <v>12</v>
      </c>
      <c r="D2420">
        <f t="shared" si="603"/>
        <v>10</v>
      </c>
      <c r="E2420">
        <f t="shared" si="604"/>
        <v>2024</v>
      </c>
      <c r="F2420" s="2">
        <v>3957</v>
      </c>
      <c r="G2420" s="2" t="s">
        <v>19</v>
      </c>
      <c r="I2420" s="4">
        <f t="shared" ref="I2420:I2422" si="613">SUMIFS($F$2:$F$2739,$G$2:$G$2739,"Multi-year Contract",$E$2:$E$2739,2024)/SUMIF($E$2:$E$2739,2024,$F$2:$F$2739)</f>
        <v>0.71222648320847215</v>
      </c>
    </row>
    <row r="2421" spans="1:9" x14ac:dyDescent="0.3">
      <c r="A2421" t="s">
        <v>5</v>
      </c>
      <c r="B2421" s="3">
        <v>45578</v>
      </c>
      <c r="C2421">
        <f t="shared" si="602"/>
        <v>13</v>
      </c>
      <c r="D2421">
        <f t="shared" si="603"/>
        <v>10</v>
      </c>
      <c r="E2421">
        <f t="shared" si="604"/>
        <v>2024</v>
      </c>
      <c r="F2421" s="2">
        <v>3379</v>
      </c>
      <c r="G2421" t="s">
        <v>19</v>
      </c>
      <c r="I2421" s="4">
        <f t="shared" si="613"/>
        <v>0.71222648320847215</v>
      </c>
    </row>
    <row r="2422" spans="1:9" x14ac:dyDescent="0.3">
      <c r="A2422" t="s">
        <v>10</v>
      </c>
      <c r="B2422" s="3">
        <v>45578</v>
      </c>
      <c r="C2422">
        <f t="shared" si="602"/>
        <v>13</v>
      </c>
      <c r="D2422">
        <f t="shared" si="603"/>
        <v>10</v>
      </c>
      <c r="E2422">
        <f t="shared" si="604"/>
        <v>2024</v>
      </c>
      <c r="F2422" s="2">
        <v>3055</v>
      </c>
      <c r="G2422" t="s">
        <v>19</v>
      </c>
      <c r="I2422" s="4">
        <f t="shared" si="613"/>
        <v>0.71222648320847215</v>
      </c>
    </row>
    <row r="2423" spans="1:9" x14ac:dyDescent="0.3">
      <c r="A2423" t="s">
        <v>9</v>
      </c>
      <c r="B2423" s="3">
        <v>45578</v>
      </c>
      <c r="C2423">
        <f t="shared" si="602"/>
        <v>13</v>
      </c>
      <c r="D2423">
        <f t="shared" si="603"/>
        <v>10</v>
      </c>
      <c r="E2423">
        <f t="shared" si="604"/>
        <v>2024</v>
      </c>
      <c r="F2423" s="2">
        <v>1279</v>
      </c>
      <c r="G2423" t="s">
        <v>18</v>
      </c>
      <c r="I2423" s="4">
        <f>SUMIFS($F$2:$F$2739,$G$2:$G$2739,"Annual Contract",$E$2:$E$2739,2024)/SUMIF($E$2:$E$2739,2024,$F$2:$F$2739)</f>
        <v>0.19200427193344777</v>
      </c>
    </row>
    <row r="2424" spans="1:9" x14ac:dyDescent="0.3">
      <c r="A2424" t="s">
        <v>11</v>
      </c>
      <c r="B2424" s="3">
        <v>45579</v>
      </c>
      <c r="C2424">
        <f t="shared" si="602"/>
        <v>14</v>
      </c>
      <c r="D2424">
        <f t="shared" si="603"/>
        <v>10</v>
      </c>
      <c r="E2424">
        <f t="shared" si="604"/>
        <v>2024</v>
      </c>
      <c r="F2424" s="2">
        <v>657</v>
      </c>
      <c r="G2424" t="s">
        <v>19</v>
      </c>
      <c r="I2424" s="4">
        <f>SUMIFS($F$2:$F$2739,$G$2:$G$2739,"Multi-year Contract",$E$2:$E$2739,2024)/SUMIF($E$2:$E$2739,2024,$F$2:$F$2739)</f>
        <v>0.71222648320847215</v>
      </c>
    </row>
    <row r="2425" spans="1:9" x14ac:dyDescent="0.3">
      <c r="A2425" t="s">
        <v>9</v>
      </c>
      <c r="B2425" s="3">
        <v>45579</v>
      </c>
      <c r="C2425">
        <f t="shared" si="602"/>
        <v>14</v>
      </c>
      <c r="D2425">
        <f t="shared" si="603"/>
        <v>10</v>
      </c>
      <c r="E2425">
        <f t="shared" si="604"/>
        <v>2024</v>
      </c>
      <c r="F2425" s="2">
        <v>3209</v>
      </c>
      <c r="G2425" t="s">
        <v>18</v>
      </c>
      <c r="I2425" s="4">
        <f t="shared" ref="I2425:I2426" si="614">SUMIFS($F$2:$F$2739,$G$2:$G$2739,"Annual Contract",$E$2:$E$2739,2024)/SUMIF($E$2:$E$2739,2024,$F$2:$F$2739)</f>
        <v>0.19200427193344777</v>
      </c>
    </row>
    <row r="2426" spans="1:9" x14ac:dyDescent="0.3">
      <c r="A2426" t="s">
        <v>9</v>
      </c>
      <c r="B2426" s="3">
        <v>45579</v>
      </c>
      <c r="C2426">
        <f t="shared" si="602"/>
        <v>14</v>
      </c>
      <c r="D2426">
        <f t="shared" si="603"/>
        <v>10</v>
      </c>
      <c r="E2426">
        <f t="shared" si="604"/>
        <v>2024</v>
      </c>
      <c r="F2426" s="2">
        <v>2383</v>
      </c>
      <c r="G2426" t="s">
        <v>18</v>
      </c>
      <c r="I2426" s="4">
        <f t="shared" si="614"/>
        <v>0.19200427193344777</v>
      </c>
    </row>
    <row r="2427" spans="1:9" x14ac:dyDescent="0.3">
      <c r="A2427" t="s">
        <v>12</v>
      </c>
      <c r="B2427" s="3">
        <v>45579</v>
      </c>
      <c r="C2427">
        <f t="shared" si="602"/>
        <v>14</v>
      </c>
      <c r="D2427">
        <f t="shared" si="603"/>
        <v>10</v>
      </c>
      <c r="E2427">
        <f t="shared" si="604"/>
        <v>2024</v>
      </c>
      <c r="F2427" s="2">
        <v>3852</v>
      </c>
      <c r="G2427" s="2" t="s">
        <v>19</v>
      </c>
      <c r="I2427" s="4">
        <f t="shared" ref="I2427:I2430" si="615">SUMIFS($F$2:$F$2739,$G$2:$G$2739,"Multi-year Contract",$E$2:$E$2739,2024)/SUMIF($E$2:$E$2739,2024,$F$2:$F$2739)</f>
        <v>0.71222648320847215</v>
      </c>
    </row>
    <row r="2428" spans="1:9" x14ac:dyDescent="0.3">
      <c r="A2428" t="s">
        <v>3</v>
      </c>
      <c r="B2428" s="3">
        <v>45580</v>
      </c>
      <c r="C2428">
        <f t="shared" si="602"/>
        <v>15</v>
      </c>
      <c r="D2428">
        <f t="shared" si="603"/>
        <v>10</v>
      </c>
      <c r="E2428">
        <f t="shared" si="604"/>
        <v>2024</v>
      </c>
      <c r="F2428" s="2">
        <v>3703</v>
      </c>
      <c r="G2428" t="s">
        <v>19</v>
      </c>
      <c r="I2428" s="4">
        <f t="shared" si="615"/>
        <v>0.71222648320847215</v>
      </c>
    </row>
    <row r="2429" spans="1:9" x14ac:dyDescent="0.3">
      <c r="A2429" t="s">
        <v>11</v>
      </c>
      <c r="B2429" s="3">
        <v>45580</v>
      </c>
      <c r="C2429">
        <f t="shared" si="602"/>
        <v>15</v>
      </c>
      <c r="D2429">
        <f t="shared" si="603"/>
        <v>10</v>
      </c>
      <c r="E2429">
        <f t="shared" si="604"/>
        <v>2024</v>
      </c>
      <c r="F2429" s="2">
        <v>2513</v>
      </c>
      <c r="G2429" t="s">
        <v>19</v>
      </c>
      <c r="I2429" s="4">
        <f t="shared" si="615"/>
        <v>0.71222648320847215</v>
      </c>
    </row>
    <row r="2430" spans="1:9" x14ac:dyDescent="0.3">
      <c r="A2430" t="s">
        <v>10</v>
      </c>
      <c r="B2430" s="3">
        <v>45580</v>
      </c>
      <c r="C2430">
        <f t="shared" si="602"/>
        <v>15</v>
      </c>
      <c r="D2430">
        <f t="shared" si="603"/>
        <v>10</v>
      </c>
      <c r="E2430">
        <f t="shared" si="604"/>
        <v>2024</v>
      </c>
      <c r="F2430" s="2">
        <v>2208</v>
      </c>
      <c r="G2430" t="s">
        <v>19</v>
      </c>
      <c r="I2430" s="4">
        <f t="shared" si="615"/>
        <v>0.71222648320847215</v>
      </c>
    </row>
    <row r="2431" spans="1:9" x14ac:dyDescent="0.3">
      <c r="A2431" t="s">
        <v>6</v>
      </c>
      <c r="B2431" s="3">
        <v>45580</v>
      </c>
      <c r="C2431">
        <f t="shared" si="602"/>
        <v>15</v>
      </c>
      <c r="D2431">
        <f t="shared" si="603"/>
        <v>10</v>
      </c>
      <c r="E2431">
        <f t="shared" si="604"/>
        <v>2024</v>
      </c>
      <c r="F2431" s="2">
        <v>826</v>
      </c>
      <c r="G2431" t="s">
        <v>18</v>
      </c>
      <c r="I2431" s="4">
        <f t="shared" ref="I2431:I2432" si="616">SUMIFS($F$2:$F$2739,$G$2:$G$2739,"Annual Contract",$E$2:$E$2739,2024)/SUMIF($E$2:$E$2739,2024,$F$2:$F$2739)</f>
        <v>0.19200427193344777</v>
      </c>
    </row>
    <row r="2432" spans="1:9" x14ac:dyDescent="0.3">
      <c r="A2432" t="s">
        <v>9</v>
      </c>
      <c r="B2432" s="3">
        <v>45581</v>
      </c>
      <c r="C2432">
        <f t="shared" si="602"/>
        <v>16</v>
      </c>
      <c r="D2432">
        <f t="shared" si="603"/>
        <v>10</v>
      </c>
      <c r="E2432">
        <f t="shared" si="604"/>
        <v>2024</v>
      </c>
      <c r="F2432" s="2">
        <v>2779</v>
      </c>
      <c r="G2432" t="s">
        <v>18</v>
      </c>
      <c r="I2432" s="4">
        <f t="shared" si="616"/>
        <v>0.19200427193344777</v>
      </c>
    </row>
    <row r="2433" spans="1:9" x14ac:dyDescent="0.3">
      <c r="A2433" t="s">
        <v>8</v>
      </c>
      <c r="B2433" s="3">
        <v>45581</v>
      </c>
      <c r="C2433">
        <f t="shared" si="602"/>
        <v>16</v>
      </c>
      <c r="D2433">
        <f t="shared" si="603"/>
        <v>10</v>
      </c>
      <c r="E2433">
        <f t="shared" si="604"/>
        <v>2024</v>
      </c>
      <c r="F2433" s="2">
        <v>1735</v>
      </c>
      <c r="G2433" s="2" t="s">
        <v>19</v>
      </c>
      <c r="I2433" s="4">
        <f t="shared" ref="I2433:I2434" si="617">SUMIFS($F$2:$F$2739,$G$2:$G$2739,"Multi-year Contract",$E$2:$E$2739,2024)/SUMIF($E$2:$E$2739,2024,$F$2:$F$2739)</f>
        <v>0.71222648320847215</v>
      </c>
    </row>
    <row r="2434" spans="1:9" x14ac:dyDescent="0.3">
      <c r="A2434" t="s">
        <v>3</v>
      </c>
      <c r="B2434" s="3">
        <v>45581</v>
      </c>
      <c r="C2434">
        <f t="shared" si="602"/>
        <v>16</v>
      </c>
      <c r="D2434">
        <f t="shared" si="603"/>
        <v>10</v>
      </c>
      <c r="E2434">
        <f t="shared" si="604"/>
        <v>2024</v>
      </c>
      <c r="F2434" s="2">
        <v>2975</v>
      </c>
      <c r="G2434" t="s">
        <v>19</v>
      </c>
      <c r="I2434" s="4">
        <f t="shared" si="617"/>
        <v>0.71222648320847215</v>
      </c>
    </row>
    <row r="2435" spans="1:9" x14ac:dyDescent="0.3">
      <c r="A2435" t="s">
        <v>7</v>
      </c>
      <c r="B2435" s="3">
        <v>45582</v>
      </c>
      <c r="C2435">
        <f t="shared" ref="C2435:C2498" si="618">DAY(B2435)</f>
        <v>17</v>
      </c>
      <c r="D2435">
        <f t="shared" ref="D2435:D2498" si="619">MONTH(B2435)</f>
        <v>10</v>
      </c>
      <c r="E2435">
        <f t="shared" ref="E2435:E2498" si="620">YEAR(B2435)</f>
        <v>2024</v>
      </c>
      <c r="F2435" s="2">
        <v>3922</v>
      </c>
      <c r="G2435" t="s">
        <v>17</v>
      </c>
      <c r="I2435" s="4">
        <f>SUMIFS($F$2:$F$2739,$G$2:$G$2739,"No Contract",$E$2:$E$2739,2024)/SUMIF($E$2:$E$2739,2024,$F$2:$F$2739)</f>
        <v>9.576924485808011E-2</v>
      </c>
    </row>
    <row r="2436" spans="1:9" x14ac:dyDescent="0.3">
      <c r="A2436" t="s">
        <v>6</v>
      </c>
      <c r="B2436" s="3">
        <v>45582</v>
      </c>
      <c r="C2436">
        <f t="shared" si="618"/>
        <v>17</v>
      </c>
      <c r="D2436">
        <f t="shared" si="619"/>
        <v>10</v>
      </c>
      <c r="E2436">
        <f t="shared" si="620"/>
        <v>2024</v>
      </c>
      <c r="F2436" s="2">
        <v>2377</v>
      </c>
      <c r="G2436" t="s">
        <v>18</v>
      </c>
      <c r="I2436" s="4">
        <f>SUMIFS($F$2:$F$2739,$G$2:$G$2739,"Annual Contract",$E$2:$E$2739,2024)/SUMIF($E$2:$E$2739,2024,$F$2:$F$2739)</f>
        <v>0.19200427193344777</v>
      </c>
    </row>
    <row r="2437" spans="1:9" x14ac:dyDescent="0.3">
      <c r="A2437" t="s">
        <v>11</v>
      </c>
      <c r="B2437" s="3">
        <v>45583</v>
      </c>
      <c r="C2437">
        <f t="shared" si="618"/>
        <v>18</v>
      </c>
      <c r="D2437">
        <f t="shared" si="619"/>
        <v>10</v>
      </c>
      <c r="E2437">
        <f t="shared" si="620"/>
        <v>2024</v>
      </c>
      <c r="F2437" s="2">
        <v>2516</v>
      </c>
      <c r="G2437" t="s">
        <v>19</v>
      </c>
      <c r="I2437" s="4">
        <f t="shared" ref="I2437:I2438" si="621">SUMIFS($F$2:$F$2739,$G$2:$G$2739,"Multi-year Contract",$E$2:$E$2739,2024)/SUMIF($E$2:$E$2739,2024,$F$2:$F$2739)</f>
        <v>0.71222648320847215</v>
      </c>
    </row>
    <row r="2438" spans="1:9" x14ac:dyDescent="0.3">
      <c r="A2438" t="s">
        <v>11</v>
      </c>
      <c r="B2438" s="3">
        <v>45583</v>
      </c>
      <c r="C2438">
        <f t="shared" si="618"/>
        <v>18</v>
      </c>
      <c r="D2438">
        <f t="shared" si="619"/>
        <v>10</v>
      </c>
      <c r="E2438">
        <f t="shared" si="620"/>
        <v>2024</v>
      </c>
      <c r="F2438" s="2">
        <v>948</v>
      </c>
      <c r="G2438" t="s">
        <v>19</v>
      </c>
      <c r="I2438" s="4">
        <f t="shared" si="621"/>
        <v>0.71222648320847215</v>
      </c>
    </row>
    <row r="2439" spans="1:9" x14ac:dyDescent="0.3">
      <c r="A2439" t="s">
        <v>7</v>
      </c>
      <c r="B2439" s="3">
        <v>45584</v>
      </c>
      <c r="C2439">
        <f t="shared" si="618"/>
        <v>19</v>
      </c>
      <c r="D2439">
        <f t="shared" si="619"/>
        <v>10</v>
      </c>
      <c r="E2439">
        <f t="shared" si="620"/>
        <v>2024</v>
      </c>
      <c r="F2439" s="2">
        <v>3679</v>
      </c>
      <c r="G2439" t="s">
        <v>17</v>
      </c>
      <c r="I2439" s="4">
        <f>SUMIFS($F$2:$F$2739,$G$2:$G$2739,"No Contract",$E$2:$E$2739,2024)/SUMIF($E$2:$E$2739,2024,$F$2:$F$2739)</f>
        <v>9.576924485808011E-2</v>
      </c>
    </row>
    <row r="2440" spans="1:9" x14ac:dyDescent="0.3">
      <c r="A2440" t="s">
        <v>9</v>
      </c>
      <c r="B2440" s="3">
        <v>45584</v>
      </c>
      <c r="C2440">
        <f t="shared" si="618"/>
        <v>19</v>
      </c>
      <c r="D2440">
        <f t="shared" si="619"/>
        <v>10</v>
      </c>
      <c r="E2440">
        <f t="shared" si="620"/>
        <v>2024</v>
      </c>
      <c r="F2440" s="2">
        <v>3759</v>
      </c>
      <c r="G2440" t="s">
        <v>18</v>
      </c>
      <c r="I2440" s="4">
        <f>SUMIFS($F$2:$F$2739,$G$2:$G$2739,"Annual Contract",$E$2:$E$2739,2024)/SUMIF($E$2:$E$2739,2024,$F$2:$F$2739)</f>
        <v>0.19200427193344777</v>
      </c>
    </row>
    <row r="2441" spans="1:9" x14ac:dyDescent="0.3">
      <c r="A2441" t="s">
        <v>7</v>
      </c>
      <c r="B2441" s="3">
        <v>45584</v>
      </c>
      <c r="C2441">
        <f t="shared" si="618"/>
        <v>19</v>
      </c>
      <c r="D2441">
        <f t="shared" si="619"/>
        <v>10</v>
      </c>
      <c r="E2441">
        <f t="shared" si="620"/>
        <v>2024</v>
      </c>
      <c r="F2441" s="2">
        <v>2742</v>
      </c>
      <c r="G2441" t="s">
        <v>17</v>
      </c>
      <c r="I2441" s="4">
        <f t="shared" ref="I2441:I2443" si="622">SUMIFS($F$2:$F$2739,$G$2:$G$2739,"No Contract",$E$2:$E$2739,2024)/SUMIF($E$2:$E$2739,2024,$F$2:$F$2739)</f>
        <v>9.576924485808011E-2</v>
      </c>
    </row>
    <row r="2442" spans="1:9" x14ac:dyDescent="0.3">
      <c r="A2442" t="s">
        <v>7</v>
      </c>
      <c r="B2442" s="3">
        <v>45585</v>
      </c>
      <c r="C2442">
        <f t="shared" si="618"/>
        <v>20</v>
      </c>
      <c r="D2442">
        <f t="shared" si="619"/>
        <v>10</v>
      </c>
      <c r="E2442">
        <f t="shared" si="620"/>
        <v>2024</v>
      </c>
      <c r="F2442" s="2">
        <v>1280</v>
      </c>
      <c r="G2442" t="s">
        <v>17</v>
      </c>
      <c r="I2442" s="4">
        <f t="shared" si="622"/>
        <v>9.576924485808011E-2</v>
      </c>
    </row>
    <row r="2443" spans="1:9" x14ac:dyDescent="0.3">
      <c r="A2443" t="s">
        <v>7</v>
      </c>
      <c r="B2443" s="3">
        <v>45585</v>
      </c>
      <c r="C2443">
        <f t="shared" si="618"/>
        <v>20</v>
      </c>
      <c r="D2443">
        <f t="shared" si="619"/>
        <v>10</v>
      </c>
      <c r="E2443">
        <f t="shared" si="620"/>
        <v>2024</v>
      </c>
      <c r="F2443" s="2">
        <v>3023</v>
      </c>
      <c r="G2443" t="s">
        <v>17</v>
      </c>
      <c r="I2443" s="4">
        <f t="shared" si="622"/>
        <v>9.576924485808011E-2</v>
      </c>
    </row>
    <row r="2444" spans="1:9" x14ac:dyDescent="0.3">
      <c r="A2444" t="s">
        <v>9</v>
      </c>
      <c r="B2444" s="3">
        <v>45585</v>
      </c>
      <c r="C2444">
        <f t="shared" si="618"/>
        <v>20</v>
      </c>
      <c r="D2444">
        <f t="shared" si="619"/>
        <v>10</v>
      </c>
      <c r="E2444">
        <f t="shared" si="620"/>
        <v>2024</v>
      </c>
      <c r="F2444" s="2">
        <v>2294</v>
      </c>
      <c r="G2444" t="s">
        <v>18</v>
      </c>
      <c r="I2444" s="4">
        <f t="shared" ref="I2444:I2445" si="623">SUMIFS($F$2:$F$2739,$G$2:$G$2739,"Annual Contract",$E$2:$E$2739,2024)/SUMIF($E$2:$E$2739,2024,$F$2:$F$2739)</f>
        <v>0.19200427193344777</v>
      </c>
    </row>
    <row r="2445" spans="1:9" x14ac:dyDescent="0.3">
      <c r="A2445" t="s">
        <v>9</v>
      </c>
      <c r="B2445" s="3">
        <v>45586</v>
      </c>
      <c r="C2445">
        <f t="shared" si="618"/>
        <v>21</v>
      </c>
      <c r="D2445">
        <f t="shared" si="619"/>
        <v>10</v>
      </c>
      <c r="E2445">
        <f t="shared" si="620"/>
        <v>2024</v>
      </c>
      <c r="F2445" s="2">
        <v>3723</v>
      </c>
      <c r="G2445" t="s">
        <v>18</v>
      </c>
      <c r="I2445" s="4">
        <f t="shared" si="623"/>
        <v>0.19200427193344777</v>
      </c>
    </row>
    <row r="2446" spans="1:9" x14ac:dyDescent="0.3">
      <c r="A2446" t="s">
        <v>12</v>
      </c>
      <c r="B2446" s="3">
        <v>45586</v>
      </c>
      <c r="C2446">
        <f t="shared" si="618"/>
        <v>21</v>
      </c>
      <c r="D2446">
        <f t="shared" si="619"/>
        <v>10</v>
      </c>
      <c r="E2446">
        <f t="shared" si="620"/>
        <v>2024</v>
      </c>
      <c r="F2446" s="2">
        <v>3086</v>
      </c>
      <c r="G2446" s="2" t="s">
        <v>19</v>
      </c>
      <c r="I2446" s="4">
        <f t="shared" ref="I2446:I2449" si="624">SUMIFS($F$2:$F$2739,$G$2:$G$2739,"Multi-year Contract",$E$2:$E$2739,2024)/SUMIF($E$2:$E$2739,2024,$F$2:$F$2739)</f>
        <v>0.71222648320847215</v>
      </c>
    </row>
    <row r="2447" spans="1:9" x14ac:dyDescent="0.3">
      <c r="A2447" t="s">
        <v>12</v>
      </c>
      <c r="B2447" s="3">
        <v>45586</v>
      </c>
      <c r="C2447">
        <f t="shared" si="618"/>
        <v>21</v>
      </c>
      <c r="D2447">
        <f t="shared" si="619"/>
        <v>10</v>
      </c>
      <c r="E2447">
        <f t="shared" si="620"/>
        <v>2024</v>
      </c>
      <c r="F2447" s="2">
        <v>1325</v>
      </c>
      <c r="G2447" s="2" t="s">
        <v>19</v>
      </c>
      <c r="I2447" s="4">
        <f t="shared" si="624"/>
        <v>0.71222648320847215</v>
      </c>
    </row>
    <row r="2448" spans="1:9" x14ac:dyDescent="0.3">
      <c r="A2448" t="s">
        <v>12</v>
      </c>
      <c r="B2448" s="3">
        <v>45586</v>
      </c>
      <c r="C2448">
        <f t="shared" si="618"/>
        <v>21</v>
      </c>
      <c r="D2448">
        <f t="shared" si="619"/>
        <v>10</v>
      </c>
      <c r="E2448">
        <f t="shared" si="620"/>
        <v>2024</v>
      </c>
      <c r="F2448" s="2">
        <v>3360</v>
      </c>
      <c r="G2448" s="2" t="s">
        <v>19</v>
      </c>
      <c r="I2448" s="4">
        <f t="shared" si="624"/>
        <v>0.71222648320847215</v>
      </c>
    </row>
    <row r="2449" spans="1:9" x14ac:dyDescent="0.3">
      <c r="A2449" t="s">
        <v>11</v>
      </c>
      <c r="B2449" s="3">
        <v>45586</v>
      </c>
      <c r="C2449">
        <f t="shared" si="618"/>
        <v>21</v>
      </c>
      <c r="D2449">
        <f t="shared" si="619"/>
        <v>10</v>
      </c>
      <c r="E2449">
        <f t="shared" si="620"/>
        <v>2024</v>
      </c>
      <c r="F2449" s="2">
        <v>1919</v>
      </c>
      <c r="G2449" t="s">
        <v>19</v>
      </c>
      <c r="I2449" s="4">
        <f t="shared" si="624"/>
        <v>0.71222648320847215</v>
      </c>
    </row>
    <row r="2450" spans="1:9" x14ac:dyDescent="0.3">
      <c r="A2450" t="s">
        <v>7</v>
      </c>
      <c r="B2450" s="3">
        <v>45587</v>
      </c>
      <c r="C2450">
        <f t="shared" si="618"/>
        <v>22</v>
      </c>
      <c r="D2450">
        <f t="shared" si="619"/>
        <v>10</v>
      </c>
      <c r="E2450">
        <f t="shared" si="620"/>
        <v>2024</v>
      </c>
      <c r="F2450" s="2">
        <v>3021</v>
      </c>
      <c r="G2450" t="s">
        <v>17</v>
      </c>
      <c r="I2450" s="4">
        <f>SUMIFS($F$2:$F$2739,$G$2:$G$2739,"No Contract",$E$2:$E$2739,2024)/SUMIF($E$2:$E$2739,2024,$F$2:$F$2739)</f>
        <v>9.576924485808011E-2</v>
      </c>
    </row>
    <row r="2451" spans="1:9" x14ac:dyDescent="0.3">
      <c r="A2451" t="s">
        <v>11</v>
      </c>
      <c r="B2451" s="3">
        <v>45587</v>
      </c>
      <c r="C2451">
        <f t="shared" si="618"/>
        <v>22</v>
      </c>
      <c r="D2451">
        <f t="shared" si="619"/>
        <v>10</v>
      </c>
      <c r="E2451">
        <f t="shared" si="620"/>
        <v>2024</v>
      </c>
      <c r="F2451" s="2">
        <v>3876</v>
      </c>
      <c r="G2451" t="s">
        <v>19</v>
      </c>
      <c r="I2451" s="4">
        <f t="shared" ref="I2451:I2452" si="625">SUMIFS($F$2:$F$2739,$G$2:$G$2739,"Multi-year Contract",$E$2:$E$2739,2024)/SUMIF($E$2:$E$2739,2024,$F$2:$F$2739)</f>
        <v>0.71222648320847215</v>
      </c>
    </row>
    <row r="2452" spans="1:9" x14ac:dyDescent="0.3">
      <c r="A2452" t="s">
        <v>3</v>
      </c>
      <c r="B2452" s="3">
        <v>45587</v>
      </c>
      <c r="C2452">
        <f t="shared" si="618"/>
        <v>22</v>
      </c>
      <c r="D2452">
        <f t="shared" si="619"/>
        <v>10</v>
      </c>
      <c r="E2452">
        <f t="shared" si="620"/>
        <v>2024</v>
      </c>
      <c r="F2452" s="2">
        <v>1379</v>
      </c>
      <c r="G2452" t="s">
        <v>19</v>
      </c>
      <c r="I2452" s="4">
        <f t="shared" si="625"/>
        <v>0.71222648320847215</v>
      </c>
    </row>
    <row r="2453" spans="1:9" x14ac:dyDescent="0.3">
      <c r="A2453" t="s">
        <v>9</v>
      </c>
      <c r="B2453" s="3">
        <v>45587</v>
      </c>
      <c r="C2453">
        <f t="shared" si="618"/>
        <v>22</v>
      </c>
      <c r="D2453">
        <f t="shared" si="619"/>
        <v>10</v>
      </c>
      <c r="E2453">
        <f t="shared" si="620"/>
        <v>2024</v>
      </c>
      <c r="F2453" s="2">
        <v>1003</v>
      </c>
      <c r="G2453" t="s">
        <v>18</v>
      </c>
      <c r="I2453" s="4">
        <f t="shared" ref="I2453:I2454" si="626">SUMIFS($F$2:$F$2739,$G$2:$G$2739,"Annual Contract",$E$2:$E$2739,2024)/SUMIF($E$2:$E$2739,2024,$F$2:$F$2739)</f>
        <v>0.19200427193344777</v>
      </c>
    </row>
    <row r="2454" spans="1:9" x14ac:dyDescent="0.3">
      <c r="A2454" t="s">
        <v>9</v>
      </c>
      <c r="B2454" s="3">
        <v>45587</v>
      </c>
      <c r="C2454">
        <f t="shared" si="618"/>
        <v>22</v>
      </c>
      <c r="D2454">
        <f t="shared" si="619"/>
        <v>10</v>
      </c>
      <c r="E2454">
        <f t="shared" si="620"/>
        <v>2024</v>
      </c>
      <c r="F2454" s="2">
        <v>1832</v>
      </c>
      <c r="G2454" t="s">
        <v>18</v>
      </c>
      <c r="I2454" s="4">
        <f t="shared" si="626"/>
        <v>0.19200427193344777</v>
      </c>
    </row>
    <row r="2455" spans="1:9" x14ac:dyDescent="0.3">
      <c r="A2455" t="s">
        <v>4</v>
      </c>
      <c r="B2455" s="3">
        <v>45588</v>
      </c>
      <c r="C2455">
        <f t="shared" si="618"/>
        <v>23</v>
      </c>
      <c r="D2455">
        <f t="shared" si="619"/>
        <v>10</v>
      </c>
      <c r="E2455">
        <f t="shared" si="620"/>
        <v>2024</v>
      </c>
      <c r="F2455" s="2">
        <v>1724</v>
      </c>
      <c r="G2455" s="2" t="s">
        <v>19</v>
      </c>
      <c r="I2455" s="4">
        <f t="shared" ref="I2455:I2460" si="627">SUMIFS($F$2:$F$2739,$G$2:$G$2739,"Multi-year Contract",$E$2:$E$2739,2024)/SUMIF($E$2:$E$2739,2024,$F$2:$F$2739)</f>
        <v>0.71222648320847215</v>
      </c>
    </row>
    <row r="2456" spans="1:9" x14ac:dyDescent="0.3">
      <c r="A2456" t="s">
        <v>8</v>
      </c>
      <c r="B2456" s="3">
        <v>45589</v>
      </c>
      <c r="C2456">
        <f t="shared" si="618"/>
        <v>24</v>
      </c>
      <c r="D2456">
        <f t="shared" si="619"/>
        <v>10</v>
      </c>
      <c r="E2456">
        <f t="shared" si="620"/>
        <v>2024</v>
      </c>
      <c r="F2456" s="2">
        <v>3551</v>
      </c>
      <c r="G2456" s="2" t="s">
        <v>19</v>
      </c>
      <c r="I2456" s="4">
        <f t="shared" si="627"/>
        <v>0.71222648320847215</v>
      </c>
    </row>
    <row r="2457" spans="1:9" x14ac:dyDescent="0.3">
      <c r="A2457" t="s">
        <v>11</v>
      </c>
      <c r="B2457" s="3">
        <v>45589</v>
      </c>
      <c r="C2457">
        <f t="shared" si="618"/>
        <v>24</v>
      </c>
      <c r="D2457">
        <f t="shared" si="619"/>
        <v>10</v>
      </c>
      <c r="E2457">
        <f t="shared" si="620"/>
        <v>2024</v>
      </c>
      <c r="F2457" s="2">
        <v>2075</v>
      </c>
      <c r="G2457" t="s">
        <v>19</v>
      </c>
      <c r="I2457" s="4">
        <f t="shared" si="627"/>
        <v>0.71222648320847215</v>
      </c>
    </row>
    <row r="2458" spans="1:9" x14ac:dyDescent="0.3">
      <c r="A2458" t="s">
        <v>11</v>
      </c>
      <c r="B2458" s="3">
        <v>45589</v>
      </c>
      <c r="C2458">
        <f t="shared" si="618"/>
        <v>24</v>
      </c>
      <c r="D2458">
        <f t="shared" si="619"/>
        <v>10</v>
      </c>
      <c r="E2458">
        <f t="shared" si="620"/>
        <v>2024</v>
      </c>
      <c r="F2458" s="2">
        <v>2875</v>
      </c>
      <c r="G2458" t="s">
        <v>19</v>
      </c>
      <c r="I2458" s="4">
        <f t="shared" si="627"/>
        <v>0.71222648320847215</v>
      </c>
    </row>
    <row r="2459" spans="1:9" x14ac:dyDescent="0.3">
      <c r="A2459" t="s">
        <v>3</v>
      </c>
      <c r="B2459" s="3">
        <v>45589</v>
      </c>
      <c r="C2459">
        <f t="shared" si="618"/>
        <v>24</v>
      </c>
      <c r="D2459">
        <f t="shared" si="619"/>
        <v>10</v>
      </c>
      <c r="E2459">
        <f t="shared" si="620"/>
        <v>2024</v>
      </c>
      <c r="F2459" s="2">
        <v>2714</v>
      </c>
      <c r="G2459" t="s">
        <v>19</v>
      </c>
      <c r="I2459" s="4">
        <f t="shared" si="627"/>
        <v>0.71222648320847215</v>
      </c>
    </row>
    <row r="2460" spans="1:9" x14ac:dyDescent="0.3">
      <c r="A2460" t="s">
        <v>5</v>
      </c>
      <c r="B2460" s="3">
        <v>45590</v>
      </c>
      <c r="C2460">
        <f t="shared" si="618"/>
        <v>25</v>
      </c>
      <c r="D2460">
        <f t="shared" si="619"/>
        <v>10</v>
      </c>
      <c r="E2460">
        <f t="shared" si="620"/>
        <v>2024</v>
      </c>
      <c r="F2460" s="2">
        <v>1323</v>
      </c>
      <c r="G2460" t="s">
        <v>19</v>
      </c>
      <c r="I2460" s="4">
        <f t="shared" si="627"/>
        <v>0.71222648320847215</v>
      </c>
    </row>
    <row r="2461" spans="1:9" x14ac:dyDescent="0.3">
      <c r="A2461" t="s">
        <v>6</v>
      </c>
      <c r="B2461" s="3">
        <v>45590</v>
      </c>
      <c r="C2461">
        <f t="shared" si="618"/>
        <v>25</v>
      </c>
      <c r="D2461">
        <f t="shared" si="619"/>
        <v>10</v>
      </c>
      <c r="E2461">
        <f t="shared" si="620"/>
        <v>2024</v>
      </c>
      <c r="F2461" s="2">
        <v>3388</v>
      </c>
      <c r="G2461" t="s">
        <v>18</v>
      </c>
      <c r="I2461" s="4">
        <f t="shared" ref="I2461:I2463" si="628">SUMIFS($F$2:$F$2739,$G$2:$G$2739,"Annual Contract",$E$2:$E$2739,2024)/SUMIF($E$2:$E$2739,2024,$F$2:$F$2739)</f>
        <v>0.19200427193344777</v>
      </c>
    </row>
    <row r="2462" spans="1:9" x14ac:dyDescent="0.3">
      <c r="A2462" t="s">
        <v>9</v>
      </c>
      <c r="B2462" s="3">
        <v>45590</v>
      </c>
      <c r="C2462">
        <f t="shared" si="618"/>
        <v>25</v>
      </c>
      <c r="D2462">
        <f t="shared" si="619"/>
        <v>10</v>
      </c>
      <c r="E2462">
        <f t="shared" si="620"/>
        <v>2024</v>
      </c>
      <c r="F2462" s="2">
        <v>698</v>
      </c>
      <c r="G2462" t="s">
        <v>18</v>
      </c>
      <c r="I2462" s="4">
        <f t="shared" si="628"/>
        <v>0.19200427193344777</v>
      </c>
    </row>
    <row r="2463" spans="1:9" x14ac:dyDescent="0.3">
      <c r="A2463" t="s">
        <v>6</v>
      </c>
      <c r="B2463" s="3">
        <v>45590</v>
      </c>
      <c r="C2463">
        <f t="shared" si="618"/>
        <v>25</v>
      </c>
      <c r="D2463">
        <f t="shared" si="619"/>
        <v>10</v>
      </c>
      <c r="E2463">
        <f t="shared" si="620"/>
        <v>2024</v>
      </c>
      <c r="F2463" s="2">
        <v>3927</v>
      </c>
      <c r="G2463" t="s">
        <v>18</v>
      </c>
      <c r="I2463" s="4">
        <f t="shared" si="628"/>
        <v>0.19200427193344777</v>
      </c>
    </row>
    <row r="2464" spans="1:9" x14ac:dyDescent="0.3">
      <c r="A2464" t="s">
        <v>8</v>
      </c>
      <c r="B2464" s="3">
        <v>45590</v>
      </c>
      <c r="C2464">
        <f t="shared" si="618"/>
        <v>25</v>
      </c>
      <c r="D2464">
        <f t="shared" si="619"/>
        <v>10</v>
      </c>
      <c r="E2464">
        <f t="shared" si="620"/>
        <v>2024</v>
      </c>
      <c r="F2464" s="2">
        <v>3141</v>
      </c>
      <c r="G2464" s="2" t="s">
        <v>19</v>
      </c>
      <c r="I2464" s="4">
        <f t="shared" ref="I2464:I2465" si="629">SUMIFS($F$2:$F$2739,$G$2:$G$2739,"Multi-year Contract",$E$2:$E$2739,2024)/SUMIF($E$2:$E$2739,2024,$F$2:$F$2739)</f>
        <v>0.71222648320847215</v>
      </c>
    </row>
    <row r="2465" spans="1:9" x14ac:dyDescent="0.3">
      <c r="A2465" t="s">
        <v>5</v>
      </c>
      <c r="B2465" s="3">
        <v>45590</v>
      </c>
      <c r="C2465">
        <f t="shared" si="618"/>
        <v>25</v>
      </c>
      <c r="D2465">
        <f t="shared" si="619"/>
        <v>10</v>
      </c>
      <c r="E2465">
        <f t="shared" si="620"/>
        <v>2024</v>
      </c>
      <c r="F2465" s="2">
        <v>2895</v>
      </c>
      <c r="G2465" t="s">
        <v>19</v>
      </c>
      <c r="I2465" s="4">
        <f t="shared" si="629"/>
        <v>0.71222648320847215</v>
      </c>
    </row>
    <row r="2466" spans="1:9" x14ac:dyDescent="0.3">
      <c r="A2466" t="s">
        <v>6</v>
      </c>
      <c r="B2466" s="3">
        <v>45591</v>
      </c>
      <c r="C2466">
        <f t="shared" si="618"/>
        <v>26</v>
      </c>
      <c r="D2466">
        <f t="shared" si="619"/>
        <v>10</v>
      </c>
      <c r="E2466">
        <f t="shared" si="620"/>
        <v>2024</v>
      </c>
      <c r="F2466" s="2">
        <v>2060</v>
      </c>
      <c r="G2466" t="s">
        <v>18</v>
      </c>
      <c r="I2466" s="4">
        <f>SUMIFS($F$2:$F$2739,$G$2:$G$2739,"Annual Contract",$E$2:$E$2739,2024)/SUMIF($E$2:$E$2739,2024,$F$2:$F$2739)</f>
        <v>0.19200427193344777</v>
      </c>
    </row>
    <row r="2467" spans="1:9" x14ac:dyDescent="0.3">
      <c r="A2467" t="s">
        <v>3</v>
      </c>
      <c r="B2467" s="3">
        <v>45591</v>
      </c>
      <c r="C2467">
        <f t="shared" si="618"/>
        <v>26</v>
      </c>
      <c r="D2467">
        <f t="shared" si="619"/>
        <v>10</v>
      </c>
      <c r="E2467">
        <f t="shared" si="620"/>
        <v>2024</v>
      </c>
      <c r="F2467" s="2">
        <v>2194</v>
      </c>
      <c r="G2467" t="s">
        <v>19</v>
      </c>
      <c r="I2467" s="4">
        <f>SUMIFS($F$2:$F$2739,$G$2:$G$2739,"Multi-year Contract",$E$2:$E$2739,2024)/SUMIF($E$2:$E$2739,2024,$F$2:$F$2739)</f>
        <v>0.71222648320847215</v>
      </c>
    </row>
    <row r="2468" spans="1:9" x14ac:dyDescent="0.3">
      <c r="A2468" t="s">
        <v>7</v>
      </c>
      <c r="B2468" s="3">
        <v>45591</v>
      </c>
      <c r="C2468">
        <f t="shared" si="618"/>
        <v>26</v>
      </c>
      <c r="D2468">
        <f t="shared" si="619"/>
        <v>10</v>
      </c>
      <c r="E2468">
        <f t="shared" si="620"/>
        <v>2024</v>
      </c>
      <c r="F2468" s="2">
        <v>3520</v>
      </c>
      <c r="G2468" t="s">
        <v>17</v>
      </c>
      <c r="I2468" s="4">
        <f>SUMIFS($F$2:$F$2739,$G$2:$G$2739,"No Contract",$E$2:$E$2739,2024)/SUMIF($E$2:$E$2739,2024,$F$2:$F$2739)</f>
        <v>9.576924485808011E-2</v>
      </c>
    </row>
    <row r="2469" spans="1:9" x14ac:dyDescent="0.3">
      <c r="A2469" t="s">
        <v>12</v>
      </c>
      <c r="B2469" s="3">
        <v>45591</v>
      </c>
      <c r="C2469">
        <f t="shared" si="618"/>
        <v>26</v>
      </c>
      <c r="D2469">
        <f t="shared" si="619"/>
        <v>10</v>
      </c>
      <c r="E2469">
        <f t="shared" si="620"/>
        <v>2024</v>
      </c>
      <c r="F2469" s="2">
        <v>2162</v>
      </c>
      <c r="G2469" s="2" t="s">
        <v>19</v>
      </c>
      <c r="I2469" s="4">
        <f t="shared" ref="I2469:I2473" si="630">SUMIFS($F$2:$F$2739,$G$2:$G$2739,"Multi-year Contract",$E$2:$E$2739,2024)/SUMIF($E$2:$E$2739,2024,$F$2:$F$2739)</f>
        <v>0.71222648320847215</v>
      </c>
    </row>
    <row r="2470" spans="1:9" x14ac:dyDescent="0.3">
      <c r="A2470" t="s">
        <v>3</v>
      </c>
      <c r="B2470" s="3">
        <v>45591</v>
      </c>
      <c r="C2470">
        <f t="shared" si="618"/>
        <v>26</v>
      </c>
      <c r="D2470">
        <f t="shared" si="619"/>
        <v>10</v>
      </c>
      <c r="E2470">
        <f t="shared" si="620"/>
        <v>2024</v>
      </c>
      <c r="F2470" s="2">
        <v>2004</v>
      </c>
      <c r="G2470" t="s">
        <v>19</v>
      </c>
      <c r="I2470" s="4">
        <f t="shared" si="630"/>
        <v>0.71222648320847215</v>
      </c>
    </row>
    <row r="2471" spans="1:9" x14ac:dyDescent="0.3">
      <c r="A2471" t="s">
        <v>10</v>
      </c>
      <c r="B2471" s="3">
        <v>45591</v>
      </c>
      <c r="C2471">
        <f t="shared" si="618"/>
        <v>26</v>
      </c>
      <c r="D2471">
        <f t="shared" si="619"/>
        <v>10</v>
      </c>
      <c r="E2471">
        <f t="shared" si="620"/>
        <v>2024</v>
      </c>
      <c r="F2471" s="2">
        <v>2536</v>
      </c>
      <c r="G2471" t="s">
        <v>19</v>
      </c>
      <c r="I2471" s="4">
        <f t="shared" si="630"/>
        <v>0.71222648320847215</v>
      </c>
    </row>
    <row r="2472" spans="1:9" x14ac:dyDescent="0.3">
      <c r="A2472" t="s">
        <v>4</v>
      </c>
      <c r="B2472" s="3">
        <v>45591</v>
      </c>
      <c r="C2472">
        <f t="shared" si="618"/>
        <v>26</v>
      </c>
      <c r="D2472">
        <f t="shared" si="619"/>
        <v>10</v>
      </c>
      <c r="E2472">
        <f t="shared" si="620"/>
        <v>2024</v>
      </c>
      <c r="F2472" s="2">
        <v>1422</v>
      </c>
      <c r="G2472" s="2" t="s">
        <v>19</v>
      </c>
      <c r="I2472" s="4">
        <f t="shared" si="630"/>
        <v>0.71222648320847215</v>
      </c>
    </row>
    <row r="2473" spans="1:9" x14ac:dyDescent="0.3">
      <c r="A2473" t="s">
        <v>12</v>
      </c>
      <c r="B2473" s="3">
        <v>45591</v>
      </c>
      <c r="C2473">
        <f t="shared" si="618"/>
        <v>26</v>
      </c>
      <c r="D2473">
        <f t="shared" si="619"/>
        <v>10</v>
      </c>
      <c r="E2473">
        <f t="shared" si="620"/>
        <v>2024</v>
      </c>
      <c r="F2473" s="2">
        <v>3002</v>
      </c>
      <c r="G2473" s="2" t="s">
        <v>19</v>
      </c>
      <c r="I2473" s="4">
        <f t="shared" si="630"/>
        <v>0.71222648320847215</v>
      </c>
    </row>
    <row r="2474" spans="1:9" x14ac:dyDescent="0.3">
      <c r="A2474" t="s">
        <v>7</v>
      </c>
      <c r="B2474" s="3">
        <v>45592</v>
      </c>
      <c r="C2474">
        <f t="shared" si="618"/>
        <v>27</v>
      </c>
      <c r="D2474">
        <f t="shared" si="619"/>
        <v>10</v>
      </c>
      <c r="E2474">
        <f t="shared" si="620"/>
        <v>2024</v>
      </c>
      <c r="F2474" s="2">
        <v>3059</v>
      </c>
      <c r="G2474" t="s">
        <v>17</v>
      </c>
      <c r="I2474" s="4">
        <f>SUMIFS($F$2:$F$2739,$G$2:$G$2739,"No Contract",$E$2:$E$2739,2024)/SUMIF($E$2:$E$2739,2024,$F$2:$F$2739)</f>
        <v>9.576924485808011E-2</v>
      </c>
    </row>
    <row r="2475" spans="1:9" x14ac:dyDescent="0.3">
      <c r="A2475" t="s">
        <v>3</v>
      </c>
      <c r="B2475" s="3">
        <v>45592</v>
      </c>
      <c r="C2475">
        <f t="shared" si="618"/>
        <v>27</v>
      </c>
      <c r="D2475">
        <f t="shared" si="619"/>
        <v>10</v>
      </c>
      <c r="E2475">
        <f t="shared" si="620"/>
        <v>2024</v>
      </c>
      <c r="F2475" s="2">
        <v>3101</v>
      </c>
      <c r="G2475" t="s">
        <v>19</v>
      </c>
      <c r="I2475" s="4">
        <f>SUMIFS($F$2:$F$2739,$G$2:$G$2739,"Multi-year Contract",$E$2:$E$2739,2024)/SUMIF($E$2:$E$2739,2024,$F$2:$F$2739)</f>
        <v>0.71222648320847215</v>
      </c>
    </row>
    <row r="2476" spans="1:9" x14ac:dyDescent="0.3">
      <c r="A2476" t="s">
        <v>6</v>
      </c>
      <c r="B2476" s="3">
        <v>45592</v>
      </c>
      <c r="C2476">
        <f t="shared" si="618"/>
        <v>27</v>
      </c>
      <c r="D2476">
        <f t="shared" si="619"/>
        <v>10</v>
      </c>
      <c r="E2476">
        <f t="shared" si="620"/>
        <v>2024</v>
      </c>
      <c r="F2476" s="2">
        <v>3561</v>
      </c>
      <c r="G2476" t="s">
        <v>18</v>
      </c>
      <c r="I2476" s="4">
        <f>SUMIFS($F$2:$F$2739,$G$2:$G$2739,"Annual Contract",$E$2:$E$2739,2024)/SUMIF($E$2:$E$2739,2024,$F$2:$F$2739)</f>
        <v>0.19200427193344777</v>
      </c>
    </row>
    <row r="2477" spans="1:9" x14ac:dyDescent="0.3">
      <c r="A2477" t="s">
        <v>10</v>
      </c>
      <c r="B2477" s="3">
        <v>45593</v>
      </c>
      <c r="C2477">
        <f t="shared" si="618"/>
        <v>28</v>
      </c>
      <c r="D2477">
        <f t="shared" si="619"/>
        <v>10</v>
      </c>
      <c r="E2477">
        <f t="shared" si="620"/>
        <v>2024</v>
      </c>
      <c r="F2477" s="2">
        <v>697</v>
      </c>
      <c r="G2477" t="s">
        <v>19</v>
      </c>
      <c r="I2477" s="4">
        <f t="shared" ref="I2477:I2478" si="631">SUMIFS($F$2:$F$2739,$G$2:$G$2739,"Multi-year Contract",$E$2:$E$2739,2024)/SUMIF($E$2:$E$2739,2024,$F$2:$F$2739)</f>
        <v>0.71222648320847215</v>
      </c>
    </row>
    <row r="2478" spans="1:9" x14ac:dyDescent="0.3">
      <c r="A2478" t="s">
        <v>10</v>
      </c>
      <c r="B2478" s="3">
        <v>45593</v>
      </c>
      <c r="C2478">
        <f t="shared" si="618"/>
        <v>28</v>
      </c>
      <c r="D2478">
        <f t="shared" si="619"/>
        <v>10</v>
      </c>
      <c r="E2478">
        <f t="shared" si="620"/>
        <v>2024</v>
      </c>
      <c r="F2478" s="2">
        <v>1431</v>
      </c>
      <c r="G2478" t="s">
        <v>19</v>
      </c>
      <c r="I2478" s="4">
        <f t="shared" si="631"/>
        <v>0.71222648320847215</v>
      </c>
    </row>
    <row r="2479" spans="1:9" x14ac:dyDescent="0.3">
      <c r="A2479" t="s">
        <v>9</v>
      </c>
      <c r="B2479" s="3">
        <v>45593</v>
      </c>
      <c r="C2479">
        <f t="shared" si="618"/>
        <v>28</v>
      </c>
      <c r="D2479">
        <f t="shared" si="619"/>
        <v>10</v>
      </c>
      <c r="E2479">
        <f t="shared" si="620"/>
        <v>2024</v>
      </c>
      <c r="F2479" s="2">
        <v>2277</v>
      </c>
      <c r="G2479" t="s">
        <v>18</v>
      </c>
      <c r="I2479" s="4">
        <f>SUMIFS($F$2:$F$2739,$G$2:$G$2739,"Annual Contract",$E$2:$E$2739,2024)/SUMIF($E$2:$E$2739,2024,$F$2:$F$2739)</f>
        <v>0.19200427193344777</v>
      </c>
    </row>
    <row r="2480" spans="1:9" x14ac:dyDescent="0.3">
      <c r="A2480" t="s">
        <v>10</v>
      </c>
      <c r="B2480" s="3">
        <v>45593</v>
      </c>
      <c r="C2480">
        <f t="shared" si="618"/>
        <v>28</v>
      </c>
      <c r="D2480">
        <f t="shared" si="619"/>
        <v>10</v>
      </c>
      <c r="E2480">
        <f t="shared" si="620"/>
        <v>2024</v>
      </c>
      <c r="F2480" s="2">
        <v>1994</v>
      </c>
      <c r="G2480" t="s">
        <v>19</v>
      </c>
      <c r="I2480" s="4">
        <f>SUMIFS($F$2:$F$2739,$G$2:$G$2739,"Multi-year Contract",$E$2:$E$2739,2024)/SUMIF($E$2:$E$2739,2024,$F$2:$F$2739)</f>
        <v>0.71222648320847215</v>
      </c>
    </row>
    <row r="2481" spans="1:9" x14ac:dyDescent="0.3">
      <c r="A2481" t="s">
        <v>7</v>
      </c>
      <c r="B2481" s="3">
        <v>45593</v>
      </c>
      <c r="C2481">
        <f t="shared" si="618"/>
        <v>28</v>
      </c>
      <c r="D2481">
        <f t="shared" si="619"/>
        <v>10</v>
      </c>
      <c r="E2481">
        <f t="shared" si="620"/>
        <v>2024</v>
      </c>
      <c r="F2481" s="2">
        <v>2707</v>
      </c>
      <c r="G2481" t="s">
        <v>17</v>
      </c>
      <c r="I2481" s="4">
        <f>SUMIFS($F$2:$F$2739,$G$2:$G$2739,"No Contract",$E$2:$E$2739,2024)/SUMIF($E$2:$E$2739,2024,$F$2:$F$2739)</f>
        <v>9.576924485808011E-2</v>
      </c>
    </row>
    <row r="2482" spans="1:9" x14ac:dyDescent="0.3">
      <c r="A2482" t="s">
        <v>3</v>
      </c>
      <c r="B2482" s="3">
        <v>45593</v>
      </c>
      <c r="C2482">
        <f t="shared" si="618"/>
        <v>28</v>
      </c>
      <c r="D2482">
        <f t="shared" si="619"/>
        <v>10</v>
      </c>
      <c r="E2482">
        <f t="shared" si="620"/>
        <v>2024</v>
      </c>
      <c r="F2482" s="2">
        <v>2315</v>
      </c>
      <c r="G2482" t="s">
        <v>19</v>
      </c>
      <c r="I2482" s="4">
        <f>SUMIFS($F$2:$F$2739,$G$2:$G$2739,"Multi-year Contract",$E$2:$E$2739,2024)/SUMIF($E$2:$E$2739,2024,$F$2:$F$2739)</f>
        <v>0.71222648320847215</v>
      </c>
    </row>
    <row r="2483" spans="1:9" x14ac:dyDescent="0.3">
      <c r="A2483" t="s">
        <v>7</v>
      </c>
      <c r="B2483" s="3">
        <v>45594</v>
      </c>
      <c r="C2483">
        <f t="shared" si="618"/>
        <v>29</v>
      </c>
      <c r="D2483">
        <f t="shared" si="619"/>
        <v>10</v>
      </c>
      <c r="E2483">
        <f t="shared" si="620"/>
        <v>2024</v>
      </c>
      <c r="F2483" s="2">
        <v>1476</v>
      </c>
      <c r="G2483" t="s">
        <v>17</v>
      </c>
      <c r="I2483" s="4">
        <f>SUMIFS($F$2:$F$2739,$G$2:$G$2739,"No Contract",$E$2:$E$2739,2024)/SUMIF($E$2:$E$2739,2024,$F$2:$F$2739)</f>
        <v>9.576924485808011E-2</v>
      </c>
    </row>
    <row r="2484" spans="1:9" x14ac:dyDescent="0.3">
      <c r="A2484" t="s">
        <v>4</v>
      </c>
      <c r="B2484" s="3">
        <v>45594</v>
      </c>
      <c r="C2484">
        <f t="shared" si="618"/>
        <v>29</v>
      </c>
      <c r="D2484">
        <f t="shared" si="619"/>
        <v>10</v>
      </c>
      <c r="E2484">
        <f t="shared" si="620"/>
        <v>2024</v>
      </c>
      <c r="F2484" s="2">
        <v>3654</v>
      </c>
      <c r="G2484" s="2" t="s">
        <v>19</v>
      </c>
      <c r="I2484" s="4">
        <f t="shared" ref="I2484:I2485" si="632">SUMIFS($F$2:$F$2739,$G$2:$G$2739,"Multi-year Contract",$E$2:$E$2739,2024)/SUMIF($E$2:$E$2739,2024,$F$2:$F$2739)</f>
        <v>0.71222648320847215</v>
      </c>
    </row>
    <row r="2485" spans="1:9" x14ac:dyDescent="0.3">
      <c r="A2485" t="s">
        <v>10</v>
      </c>
      <c r="B2485" s="3">
        <v>45594</v>
      </c>
      <c r="C2485">
        <f t="shared" si="618"/>
        <v>29</v>
      </c>
      <c r="D2485">
        <f t="shared" si="619"/>
        <v>10</v>
      </c>
      <c r="E2485">
        <f t="shared" si="620"/>
        <v>2024</v>
      </c>
      <c r="F2485" s="2">
        <v>1114</v>
      </c>
      <c r="G2485" t="s">
        <v>19</v>
      </c>
      <c r="I2485" s="4">
        <f t="shared" si="632"/>
        <v>0.71222648320847215</v>
      </c>
    </row>
    <row r="2486" spans="1:9" x14ac:dyDescent="0.3">
      <c r="A2486" t="s">
        <v>9</v>
      </c>
      <c r="B2486" s="3">
        <v>45594</v>
      </c>
      <c r="C2486">
        <f t="shared" si="618"/>
        <v>29</v>
      </c>
      <c r="D2486">
        <f t="shared" si="619"/>
        <v>10</v>
      </c>
      <c r="E2486">
        <f t="shared" si="620"/>
        <v>2024</v>
      </c>
      <c r="F2486" s="2">
        <v>955</v>
      </c>
      <c r="G2486" t="s">
        <v>18</v>
      </c>
      <c r="I2486" s="4">
        <f>SUMIFS($F$2:$F$2739,$G$2:$G$2739,"Annual Contract",$E$2:$E$2739,2024)/SUMIF($E$2:$E$2739,2024,$F$2:$F$2739)</f>
        <v>0.19200427193344777</v>
      </c>
    </row>
    <row r="2487" spans="1:9" x14ac:dyDescent="0.3">
      <c r="A2487" t="s">
        <v>10</v>
      </c>
      <c r="B2487" s="3">
        <v>45595</v>
      </c>
      <c r="C2487">
        <f t="shared" si="618"/>
        <v>30</v>
      </c>
      <c r="D2487">
        <f t="shared" si="619"/>
        <v>10</v>
      </c>
      <c r="E2487">
        <f t="shared" si="620"/>
        <v>2024</v>
      </c>
      <c r="F2487" s="2">
        <v>2472</v>
      </c>
      <c r="G2487" t="s">
        <v>19</v>
      </c>
      <c r="I2487" s="4">
        <f>SUMIFS($F$2:$F$2739,$G$2:$G$2739,"Multi-year Contract",$E$2:$E$2739,2024)/SUMIF($E$2:$E$2739,2024,$F$2:$F$2739)</f>
        <v>0.71222648320847215</v>
      </c>
    </row>
    <row r="2488" spans="1:9" x14ac:dyDescent="0.3">
      <c r="A2488" t="s">
        <v>6</v>
      </c>
      <c r="B2488" s="3">
        <v>45595</v>
      </c>
      <c r="C2488">
        <f t="shared" si="618"/>
        <v>30</v>
      </c>
      <c r="D2488">
        <f t="shared" si="619"/>
        <v>10</v>
      </c>
      <c r="E2488">
        <f t="shared" si="620"/>
        <v>2024</v>
      </c>
      <c r="F2488" s="2">
        <v>2393</v>
      </c>
      <c r="G2488" t="s">
        <v>18</v>
      </c>
      <c r="I2488" s="4">
        <f t="shared" ref="I2488:I2489" si="633">SUMIFS($F$2:$F$2739,$G$2:$G$2739,"Annual Contract",$E$2:$E$2739,2024)/SUMIF($E$2:$E$2739,2024,$F$2:$F$2739)</f>
        <v>0.19200427193344777</v>
      </c>
    </row>
    <row r="2489" spans="1:9" x14ac:dyDescent="0.3">
      <c r="A2489" t="s">
        <v>9</v>
      </c>
      <c r="B2489" s="3">
        <v>45595</v>
      </c>
      <c r="C2489">
        <f t="shared" si="618"/>
        <v>30</v>
      </c>
      <c r="D2489">
        <f t="shared" si="619"/>
        <v>10</v>
      </c>
      <c r="E2489">
        <f t="shared" si="620"/>
        <v>2024</v>
      </c>
      <c r="F2489" s="2">
        <v>2496</v>
      </c>
      <c r="G2489" t="s">
        <v>18</v>
      </c>
      <c r="I2489" s="4">
        <f t="shared" si="633"/>
        <v>0.19200427193344777</v>
      </c>
    </row>
    <row r="2490" spans="1:9" x14ac:dyDescent="0.3">
      <c r="A2490" t="s">
        <v>12</v>
      </c>
      <c r="B2490" s="3">
        <v>45596</v>
      </c>
      <c r="C2490">
        <f t="shared" si="618"/>
        <v>31</v>
      </c>
      <c r="D2490">
        <f t="shared" si="619"/>
        <v>10</v>
      </c>
      <c r="E2490">
        <f t="shared" si="620"/>
        <v>2024</v>
      </c>
      <c r="F2490" s="2">
        <v>3121</v>
      </c>
      <c r="G2490" s="2" t="s">
        <v>19</v>
      </c>
      <c r="I2490" s="4">
        <f>SUMIFS($F$2:$F$2739,$G$2:$G$2739,"Multi-year Contract",$E$2:$E$2739,2024)/SUMIF($E$2:$E$2739,2024,$F$2:$F$2739)</f>
        <v>0.71222648320847215</v>
      </c>
    </row>
    <row r="2491" spans="1:9" x14ac:dyDescent="0.3">
      <c r="A2491" t="s">
        <v>9</v>
      </c>
      <c r="B2491" s="3">
        <v>45596</v>
      </c>
      <c r="C2491">
        <f t="shared" si="618"/>
        <v>31</v>
      </c>
      <c r="D2491">
        <f t="shared" si="619"/>
        <v>10</v>
      </c>
      <c r="E2491">
        <f t="shared" si="620"/>
        <v>2024</v>
      </c>
      <c r="F2491" s="2">
        <v>1864</v>
      </c>
      <c r="G2491" t="s">
        <v>18</v>
      </c>
      <c r="I2491" s="4">
        <f t="shared" ref="I2491:I2492" si="634">SUMIFS($F$2:$F$2739,$G$2:$G$2739,"Annual Contract",$E$2:$E$2739,2024)/SUMIF($E$2:$E$2739,2024,$F$2:$F$2739)</f>
        <v>0.19200427193344777</v>
      </c>
    </row>
    <row r="2492" spans="1:9" x14ac:dyDescent="0.3">
      <c r="A2492" t="s">
        <v>9</v>
      </c>
      <c r="B2492" s="3">
        <v>45596</v>
      </c>
      <c r="C2492">
        <f t="shared" si="618"/>
        <v>31</v>
      </c>
      <c r="D2492">
        <f t="shared" si="619"/>
        <v>10</v>
      </c>
      <c r="E2492">
        <f t="shared" si="620"/>
        <v>2024</v>
      </c>
      <c r="F2492" s="2">
        <v>628</v>
      </c>
      <c r="G2492" t="s">
        <v>18</v>
      </c>
      <c r="I2492" s="4">
        <f t="shared" si="634"/>
        <v>0.19200427193344777</v>
      </c>
    </row>
    <row r="2493" spans="1:9" x14ac:dyDescent="0.3">
      <c r="A2493" t="s">
        <v>4</v>
      </c>
      <c r="B2493" s="3">
        <v>45596</v>
      </c>
      <c r="C2493">
        <f t="shared" si="618"/>
        <v>31</v>
      </c>
      <c r="D2493">
        <f t="shared" si="619"/>
        <v>10</v>
      </c>
      <c r="E2493">
        <f t="shared" si="620"/>
        <v>2024</v>
      </c>
      <c r="F2493" s="2">
        <v>2019</v>
      </c>
      <c r="G2493" s="2" t="s">
        <v>19</v>
      </c>
      <c r="I2493" s="4">
        <f t="shared" ref="I2493:I2496" si="635">SUMIFS($F$2:$F$2739,$G$2:$G$2739,"Multi-year Contract",$E$2:$E$2739,2024)/SUMIF($E$2:$E$2739,2024,$F$2:$F$2739)</f>
        <v>0.71222648320847215</v>
      </c>
    </row>
    <row r="2494" spans="1:9" x14ac:dyDescent="0.3">
      <c r="A2494" t="s">
        <v>8</v>
      </c>
      <c r="B2494" s="3">
        <v>45596</v>
      </c>
      <c r="C2494">
        <f t="shared" si="618"/>
        <v>31</v>
      </c>
      <c r="D2494">
        <f t="shared" si="619"/>
        <v>10</v>
      </c>
      <c r="E2494">
        <f t="shared" si="620"/>
        <v>2024</v>
      </c>
      <c r="F2494" s="2">
        <v>3041</v>
      </c>
      <c r="G2494" s="2" t="s">
        <v>19</v>
      </c>
      <c r="I2494" s="4">
        <f t="shared" si="635"/>
        <v>0.71222648320847215</v>
      </c>
    </row>
    <row r="2495" spans="1:9" x14ac:dyDescent="0.3">
      <c r="A2495" t="s">
        <v>4</v>
      </c>
      <c r="B2495" s="3">
        <v>45596</v>
      </c>
      <c r="C2495">
        <f t="shared" si="618"/>
        <v>31</v>
      </c>
      <c r="D2495">
        <f t="shared" si="619"/>
        <v>10</v>
      </c>
      <c r="E2495">
        <f t="shared" si="620"/>
        <v>2024</v>
      </c>
      <c r="F2495" s="2">
        <v>905</v>
      </c>
      <c r="G2495" s="2" t="s">
        <v>19</v>
      </c>
      <c r="I2495" s="4">
        <f t="shared" si="635"/>
        <v>0.71222648320847215</v>
      </c>
    </row>
    <row r="2496" spans="1:9" x14ac:dyDescent="0.3">
      <c r="A2496" t="s">
        <v>12</v>
      </c>
      <c r="B2496" s="3">
        <v>45597</v>
      </c>
      <c r="C2496">
        <f t="shared" si="618"/>
        <v>1</v>
      </c>
      <c r="D2496">
        <f t="shared" si="619"/>
        <v>11</v>
      </c>
      <c r="E2496">
        <f t="shared" si="620"/>
        <v>2024</v>
      </c>
      <c r="F2496" s="2">
        <v>2900</v>
      </c>
      <c r="G2496" s="2" t="s">
        <v>19</v>
      </c>
      <c r="I2496" s="4">
        <f t="shared" si="635"/>
        <v>0.71222648320847215</v>
      </c>
    </row>
    <row r="2497" spans="1:9" x14ac:dyDescent="0.3">
      <c r="A2497" t="s">
        <v>6</v>
      </c>
      <c r="B2497" s="3">
        <v>45597</v>
      </c>
      <c r="C2497">
        <f t="shared" si="618"/>
        <v>1</v>
      </c>
      <c r="D2497">
        <f t="shared" si="619"/>
        <v>11</v>
      </c>
      <c r="E2497">
        <f t="shared" si="620"/>
        <v>2024</v>
      </c>
      <c r="F2497" s="2">
        <v>1041</v>
      </c>
      <c r="G2497" t="s">
        <v>18</v>
      </c>
      <c r="I2497" s="4">
        <f>SUMIFS($F$2:$F$2739,$G$2:$G$2739,"Annual Contract",$E$2:$E$2739,2024)/SUMIF($E$2:$E$2739,2024,$F$2:$F$2739)</f>
        <v>0.19200427193344777</v>
      </c>
    </row>
    <row r="2498" spans="1:9" x14ac:dyDescent="0.3">
      <c r="A2498" t="s">
        <v>5</v>
      </c>
      <c r="B2498" s="3">
        <v>45597</v>
      </c>
      <c r="C2498">
        <f t="shared" si="618"/>
        <v>1</v>
      </c>
      <c r="D2498">
        <f t="shared" si="619"/>
        <v>11</v>
      </c>
      <c r="E2498">
        <f t="shared" si="620"/>
        <v>2024</v>
      </c>
      <c r="F2498" s="2">
        <v>1846</v>
      </c>
      <c r="G2498" t="s">
        <v>19</v>
      </c>
      <c r="I2498" s="4">
        <f t="shared" ref="I2498:I2504" si="636">SUMIFS($F$2:$F$2739,$G$2:$G$2739,"Multi-year Contract",$E$2:$E$2739,2024)/SUMIF($E$2:$E$2739,2024,$F$2:$F$2739)</f>
        <v>0.71222648320847215</v>
      </c>
    </row>
    <row r="2499" spans="1:9" x14ac:dyDescent="0.3">
      <c r="A2499" t="s">
        <v>12</v>
      </c>
      <c r="B2499" s="3">
        <v>45597</v>
      </c>
      <c r="C2499">
        <f t="shared" ref="C2499:C2562" si="637">DAY(B2499)</f>
        <v>1</v>
      </c>
      <c r="D2499">
        <f t="shared" ref="D2499:D2562" si="638">MONTH(B2499)</f>
        <v>11</v>
      </c>
      <c r="E2499">
        <f t="shared" ref="E2499:E2562" si="639">YEAR(B2499)</f>
        <v>2024</v>
      </c>
      <c r="F2499" s="2">
        <v>756</v>
      </c>
      <c r="G2499" s="2" t="s">
        <v>19</v>
      </c>
      <c r="I2499" s="4">
        <f t="shared" si="636"/>
        <v>0.71222648320847215</v>
      </c>
    </row>
    <row r="2500" spans="1:9" x14ac:dyDescent="0.3">
      <c r="A2500" t="s">
        <v>8</v>
      </c>
      <c r="B2500" s="3">
        <v>45598</v>
      </c>
      <c r="C2500">
        <f t="shared" si="637"/>
        <v>2</v>
      </c>
      <c r="D2500">
        <f t="shared" si="638"/>
        <v>11</v>
      </c>
      <c r="E2500">
        <f t="shared" si="639"/>
        <v>2024</v>
      </c>
      <c r="F2500" s="2">
        <v>3639</v>
      </c>
      <c r="G2500" s="2" t="s">
        <v>19</v>
      </c>
      <c r="I2500" s="4">
        <f t="shared" si="636"/>
        <v>0.71222648320847215</v>
      </c>
    </row>
    <row r="2501" spans="1:9" x14ac:dyDescent="0.3">
      <c r="A2501" t="s">
        <v>8</v>
      </c>
      <c r="B2501" s="3">
        <v>45598</v>
      </c>
      <c r="C2501">
        <f t="shared" si="637"/>
        <v>2</v>
      </c>
      <c r="D2501">
        <f t="shared" si="638"/>
        <v>11</v>
      </c>
      <c r="E2501">
        <f t="shared" si="639"/>
        <v>2024</v>
      </c>
      <c r="F2501" s="2">
        <v>1153</v>
      </c>
      <c r="G2501" s="2" t="s">
        <v>19</v>
      </c>
      <c r="I2501" s="4">
        <f t="shared" si="636"/>
        <v>0.71222648320847215</v>
      </c>
    </row>
    <row r="2502" spans="1:9" x14ac:dyDescent="0.3">
      <c r="A2502" t="s">
        <v>10</v>
      </c>
      <c r="B2502" s="3">
        <v>45598</v>
      </c>
      <c r="C2502">
        <f t="shared" si="637"/>
        <v>2</v>
      </c>
      <c r="D2502">
        <f t="shared" si="638"/>
        <v>11</v>
      </c>
      <c r="E2502">
        <f t="shared" si="639"/>
        <v>2024</v>
      </c>
      <c r="F2502" s="2">
        <v>1169</v>
      </c>
      <c r="G2502" t="s">
        <v>19</v>
      </c>
      <c r="I2502" s="4">
        <f t="shared" si="636"/>
        <v>0.71222648320847215</v>
      </c>
    </row>
    <row r="2503" spans="1:9" x14ac:dyDescent="0.3">
      <c r="A2503" t="s">
        <v>3</v>
      </c>
      <c r="B2503" s="3">
        <v>45599</v>
      </c>
      <c r="C2503">
        <f t="shared" si="637"/>
        <v>3</v>
      </c>
      <c r="D2503">
        <f t="shared" si="638"/>
        <v>11</v>
      </c>
      <c r="E2503">
        <f t="shared" si="639"/>
        <v>2024</v>
      </c>
      <c r="F2503" s="2">
        <v>1462</v>
      </c>
      <c r="G2503" t="s">
        <v>19</v>
      </c>
      <c r="I2503" s="4">
        <f t="shared" si="636"/>
        <v>0.71222648320847215</v>
      </c>
    </row>
    <row r="2504" spans="1:9" x14ac:dyDescent="0.3">
      <c r="A2504" t="s">
        <v>4</v>
      </c>
      <c r="B2504" s="3">
        <v>45599</v>
      </c>
      <c r="C2504">
        <f t="shared" si="637"/>
        <v>3</v>
      </c>
      <c r="D2504">
        <f t="shared" si="638"/>
        <v>11</v>
      </c>
      <c r="E2504">
        <f t="shared" si="639"/>
        <v>2024</v>
      </c>
      <c r="F2504" s="2">
        <v>1861</v>
      </c>
      <c r="G2504" s="2" t="s">
        <v>19</v>
      </c>
      <c r="I2504" s="4">
        <f t="shared" si="636"/>
        <v>0.71222648320847215</v>
      </c>
    </row>
    <row r="2505" spans="1:9" x14ac:dyDescent="0.3">
      <c r="A2505" t="s">
        <v>9</v>
      </c>
      <c r="B2505" s="3">
        <v>45599</v>
      </c>
      <c r="C2505">
        <f t="shared" si="637"/>
        <v>3</v>
      </c>
      <c r="D2505">
        <f t="shared" si="638"/>
        <v>11</v>
      </c>
      <c r="E2505">
        <f t="shared" si="639"/>
        <v>2024</v>
      </c>
      <c r="F2505" s="2">
        <v>1240</v>
      </c>
      <c r="G2505" t="s">
        <v>18</v>
      </c>
      <c r="I2505" s="4">
        <f>SUMIFS($F$2:$F$2739,$G$2:$G$2739,"Annual Contract",$E$2:$E$2739,2024)/SUMIF($E$2:$E$2739,2024,$F$2:$F$2739)</f>
        <v>0.19200427193344777</v>
      </c>
    </row>
    <row r="2506" spans="1:9" x14ac:dyDescent="0.3">
      <c r="A2506" t="s">
        <v>4</v>
      </c>
      <c r="B2506" s="3">
        <v>45600</v>
      </c>
      <c r="C2506">
        <f t="shared" si="637"/>
        <v>4</v>
      </c>
      <c r="D2506">
        <f t="shared" si="638"/>
        <v>11</v>
      </c>
      <c r="E2506">
        <f t="shared" si="639"/>
        <v>2024</v>
      </c>
      <c r="F2506" s="2">
        <v>3934</v>
      </c>
      <c r="G2506" s="2" t="s">
        <v>19</v>
      </c>
      <c r="I2506" s="4">
        <f>SUMIFS($F$2:$F$2739,$G$2:$G$2739,"Multi-year Contract",$E$2:$E$2739,2024)/SUMIF($E$2:$E$2739,2024,$F$2:$F$2739)</f>
        <v>0.71222648320847215</v>
      </c>
    </row>
    <row r="2507" spans="1:9" x14ac:dyDescent="0.3">
      <c r="A2507" t="s">
        <v>9</v>
      </c>
      <c r="B2507" s="3">
        <v>45600</v>
      </c>
      <c r="C2507">
        <f t="shared" si="637"/>
        <v>4</v>
      </c>
      <c r="D2507">
        <f t="shared" si="638"/>
        <v>11</v>
      </c>
      <c r="E2507">
        <f t="shared" si="639"/>
        <v>2024</v>
      </c>
      <c r="F2507" s="2">
        <v>2597</v>
      </c>
      <c r="G2507" t="s">
        <v>18</v>
      </c>
      <c r="I2507" s="4">
        <f t="shared" ref="I2507:I2508" si="640">SUMIFS($F$2:$F$2739,$G$2:$G$2739,"Annual Contract",$E$2:$E$2739,2024)/SUMIF($E$2:$E$2739,2024,$F$2:$F$2739)</f>
        <v>0.19200427193344777</v>
      </c>
    </row>
    <row r="2508" spans="1:9" x14ac:dyDescent="0.3">
      <c r="A2508" t="s">
        <v>6</v>
      </c>
      <c r="B2508" s="3">
        <v>45601</v>
      </c>
      <c r="C2508">
        <f t="shared" si="637"/>
        <v>5</v>
      </c>
      <c r="D2508">
        <f t="shared" si="638"/>
        <v>11</v>
      </c>
      <c r="E2508">
        <f t="shared" si="639"/>
        <v>2024</v>
      </c>
      <c r="F2508" s="2">
        <v>3151</v>
      </c>
      <c r="G2508" t="s">
        <v>18</v>
      </c>
      <c r="I2508" s="4">
        <f t="shared" si="640"/>
        <v>0.19200427193344777</v>
      </c>
    </row>
    <row r="2509" spans="1:9" x14ac:dyDescent="0.3">
      <c r="A2509" t="s">
        <v>11</v>
      </c>
      <c r="B2509" s="3">
        <v>45601</v>
      </c>
      <c r="C2509">
        <f t="shared" si="637"/>
        <v>5</v>
      </c>
      <c r="D2509">
        <f t="shared" si="638"/>
        <v>11</v>
      </c>
      <c r="E2509">
        <f t="shared" si="639"/>
        <v>2024</v>
      </c>
      <c r="F2509" s="2">
        <v>1831</v>
      </c>
      <c r="G2509" t="s">
        <v>19</v>
      </c>
      <c r="I2509" s="4">
        <f t="shared" ref="I2509:I2510" si="641">SUMIFS($F$2:$F$2739,$G$2:$G$2739,"Multi-year Contract",$E$2:$E$2739,2024)/SUMIF($E$2:$E$2739,2024,$F$2:$F$2739)</f>
        <v>0.71222648320847215</v>
      </c>
    </row>
    <row r="2510" spans="1:9" x14ac:dyDescent="0.3">
      <c r="A2510" t="s">
        <v>12</v>
      </c>
      <c r="B2510" s="3">
        <v>45601</v>
      </c>
      <c r="C2510">
        <f t="shared" si="637"/>
        <v>5</v>
      </c>
      <c r="D2510">
        <f t="shared" si="638"/>
        <v>11</v>
      </c>
      <c r="E2510">
        <f t="shared" si="639"/>
        <v>2024</v>
      </c>
      <c r="F2510" s="2">
        <v>1754</v>
      </c>
      <c r="G2510" s="2" t="s">
        <v>19</v>
      </c>
      <c r="I2510" s="4">
        <f t="shared" si="641"/>
        <v>0.71222648320847215</v>
      </c>
    </row>
    <row r="2511" spans="1:9" x14ac:dyDescent="0.3">
      <c r="A2511" t="s">
        <v>7</v>
      </c>
      <c r="B2511" s="3">
        <v>45602</v>
      </c>
      <c r="C2511">
        <f t="shared" si="637"/>
        <v>6</v>
      </c>
      <c r="D2511">
        <f t="shared" si="638"/>
        <v>11</v>
      </c>
      <c r="E2511">
        <f t="shared" si="639"/>
        <v>2024</v>
      </c>
      <c r="F2511" s="2">
        <v>3427</v>
      </c>
      <c r="G2511" t="s">
        <v>17</v>
      </c>
      <c r="I2511" s="4">
        <f>SUMIFS($F$2:$F$2739,$G$2:$G$2739,"No Contract",$E$2:$E$2739,2024)/SUMIF($E$2:$E$2739,2024,$F$2:$F$2739)</f>
        <v>9.576924485808011E-2</v>
      </c>
    </row>
    <row r="2512" spans="1:9" x14ac:dyDescent="0.3">
      <c r="A2512" t="s">
        <v>9</v>
      </c>
      <c r="B2512" s="3">
        <v>45602</v>
      </c>
      <c r="C2512">
        <f t="shared" si="637"/>
        <v>6</v>
      </c>
      <c r="D2512">
        <f t="shared" si="638"/>
        <v>11</v>
      </c>
      <c r="E2512">
        <f t="shared" si="639"/>
        <v>2024</v>
      </c>
      <c r="F2512" s="2">
        <v>2994</v>
      </c>
      <c r="G2512" t="s">
        <v>18</v>
      </c>
      <c r="I2512" s="4">
        <f>SUMIFS($F$2:$F$2739,$G$2:$G$2739,"Annual Contract",$E$2:$E$2739,2024)/SUMIF($E$2:$E$2739,2024,$F$2:$F$2739)</f>
        <v>0.19200427193344777</v>
      </c>
    </row>
    <row r="2513" spans="1:9" x14ac:dyDescent="0.3">
      <c r="A2513" t="s">
        <v>7</v>
      </c>
      <c r="B2513" s="3">
        <v>45602</v>
      </c>
      <c r="C2513">
        <f t="shared" si="637"/>
        <v>6</v>
      </c>
      <c r="D2513">
        <f t="shared" si="638"/>
        <v>11</v>
      </c>
      <c r="E2513">
        <f t="shared" si="639"/>
        <v>2024</v>
      </c>
      <c r="F2513" s="2">
        <v>2739</v>
      </c>
      <c r="G2513" t="s">
        <v>17</v>
      </c>
      <c r="I2513" s="4">
        <f t="shared" ref="I2513:I2514" si="642">SUMIFS($F$2:$F$2739,$G$2:$G$2739,"No Contract",$E$2:$E$2739,2024)/SUMIF($E$2:$E$2739,2024,$F$2:$F$2739)</f>
        <v>9.576924485808011E-2</v>
      </c>
    </row>
    <row r="2514" spans="1:9" x14ac:dyDescent="0.3">
      <c r="A2514" t="s">
        <v>7</v>
      </c>
      <c r="B2514" s="3">
        <v>45602</v>
      </c>
      <c r="C2514">
        <f t="shared" si="637"/>
        <v>6</v>
      </c>
      <c r="D2514">
        <f t="shared" si="638"/>
        <v>11</v>
      </c>
      <c r="E2514">
        <f t="shared" si="639"/>
        <v>2024</v>
      </c>
      <c r="F2514" s="2">
        <v>957</v>
      </c>
      <c r="G2514" t="s">
        <v>17</v>
      </c>
      <c r="I2514" s="4">
        <f t="shared" si="642"/>
        <v>9.576924485808011E-2</v>
      </c>
    </row>
    <row r="2515" spans="1:9" x14ac:dyDescent="0.3">
      <c r="A2515" t="s">
        <v>5</v>
      </c>
      <c r="B2515" s="3">
        <v>45603</v>
      </c>
      <c r="C2515">
        <f t="shared" si="637"/>
        <v>7</v>
      </c>
      <c r="D2515">
        <f t="shared" si="638"/>
        <v>11</v>
      </c>
      <c r="E2515">
        <f t="shared" si="639"/>
        <v>2024</v>
      </c>
      <c r="F2515" s="2">
        <v>1297</v>
      </c>
      <c r="G2515" t="s">
        <v>19</v>
      </c>
      <c r="I2515" s="4">
        <f>SUMIFS($F$2:$F$2739,$G$2:$G$2739,"Multi-year Contract",$E$2:$E$2739,2024)/SUMIF($E$2:$E$2739,2024,$F$2:$F$2739)</f>
        <v>0.71222648320847215</v>
      </c>
    </row>
    <row r="2516" spans="1:9" x14ac:dyDescent="0.3">
      <c r="A2516" t="s">
        <v>9</v>
      </c>
      <c r="B2516" s="3">
        <v>45604</v>
      </c>
      <c r="C2516">
        <f t="shared" si="637"/>
        <v>8</v>
      </c>
      <c r="D2516">
        <f t="shared" si="638"/>
        <v>11</v>
      </c>
      <c r="E2516">
        <f t="shared" si="639"/>
        <v>2024</v>
      </c>
      <c r="F2516" s="2">
        <v>3191</v>
      </c>
      <c r="G2516" t="s">
        <v>18</v>
      </c>
      <c r="I2516" s="4">
        <f>SUMIFS($F$2:$F$2739,$G$2:$G$2739,"Annual Contract",$E$2:$E$2739,2024)/SUMIF($E$2:$E$2739,2024,$F$2:$F$2739)</f>
        <v>0.19200427193344777</v>
      </c>
    </row>
    <row r="2517" spans="1:9" x14ac:dyDescent="0.3">
      <c r="A2517" t="s">
        <v>10</v>
      </c>
      <c r="B2517" s="3">
        <v>45605</v>
      </c>
      <c r="C2517">
        <f t="shared" si="637"/>
        <v>9</v>
      </c>
      <c r="D2517">
        <f t="shared" si="638"/>
        <v>11</v>
      </c>
      <c r="E2517">
        <f t="shared" si="639"/>
        <v>2024</v>
      </c>
      <c r="F2517" s="2">
        <v>2537</v>
      </c>
      <c r="G2517" t="s">
        <v>19</v>
      </c>
      <c r="I2517" s="4">
        <f t="shared" ref="I2517:I2522" si="643">SUMIFS($F$2:$F$2739,$G$2:$G$2739,"Multi-year Contract",$E$2:$E$2739,2024)/SUMIF($E$2:$E$2739,2024,$F$2:$F$2739)</f>
        <v>0.71222648320847215</v>
      </c>
    </row>
    <row r="2518" spans="1:9" x14ac:dyDescent="0.3">
      <c r="A2518" t="s">
        <v>5</v>
      </c>
      <c r="B2518" s="3">
        <v>45605</v>
      </c>
      <c r="C2518">
        <f t="shared" si="637"/>
        <v>9</v>
      </c>
      <c r="D2518">
        <f t="shared" si="638"/>
        <v>11</v>
      </c>
      <c r="E2518">
        <f t="shared" si="639"/>
        <v>2024</v>
      </c>
      <c r="F2518" s="2">
        <v>2219</v>
      </c>
      <c r="G2518" t="s">
        <v>19</v>
      </c>
      <c r="I2518" s="4">
        <f t="shared" si="643"/>
        <v>0.71222648320847215</v>
      </c>
    </row>
    <row r="2519" spans="1:9" x14ac:dyDescent="0.3">
      <c r="A2519" t="s">
        <v>5</v>
      </c>
      <c r="B2519" s="3">
        <v>45605</v>
      </c>
      <c r="C2519">
        <f t="shared" si="637"/>
        <v>9</v>
      </c>
      <c r="D2519">
        <f t="shared" si="638"/>
        <v>11</v>
      </c>
      <c r="E2519">
        <f t="shared" si="639"/>
        <v>2024</v>
      </c>
      <c r="F2519" s="2">
        <v>2438</v>
      </c>
      <c r="G2519" t="s">
        <v>19</v>
      </c>
      <c r="I2519" s="4">
        <f t="shared" si="643"/>
        <v>0.71222648320847215</v>
      </c>
    </row>
    <row r="2520" spans="1:9" x14ac:dyDescent="0.3">
      <c r="A2520" t="s">
        <v>12</v>
      </c>
      <c r="B2520" s="3">
        <v>45605</v>
      </c>
      <c r="C2520">
        <f t="shared" si="637"/>
        <v>9</v>
      </c>
      <c r="D2520">
        <f t="shared" si="638"/>
        <v>11</v>
      </c>
      <c r="E2520">
        <f t="shared" si="639"/>
        <v>2024</v>
      </c>
      <c r="F2520" s="2">
        <v>746</v>
      </c>
      <c r="G2520" s="2" t="s">
        <v>19</v>
      </c>
      <c r="I2520" s="4">
        <f t="shared" si="643"/>
        <v>0.71222648320847215</v>
      </c>
    </row>
    <row r="2521" spans="1:9" x14ac:dyDescent="0.3">
      <c r="A2521" t="s">
        <v>10</v>
      </c>
      <c r="B2521" s="3">
        <v>45606</v>
      </c>
      <c r="C2521">
        <f t="shared" si="637"/>
        <v>10</v>
      </c>
      <c r="D2521">
        <f t="shared" si="638"/>
        <v>11</v>
      </c>
      <c r="E2521">
        <f t="shared" si="639"/>
        <v>2024</v>
      </c>
      <c r="F2521" s="2">
        <v>2215</v>
      </c>
      <c r="G2521" t="s">
        <v>19</v>
      </c>
      <c r="I2521" s="4">
        <f t="shared" si="643"/>
        <v>0.71222648320847215</v>
      </c>
    </row>
    <row r="2522" spans="1:9" x14ac:dyDescent="0.3">
      <c r="A2522" t="s">
        <v>4</v>
      </c>
      <c r="B2522" s="3">
        <v>45606</v>
      </c>
      <c r="C2522">
        <f t="shared" si="637"/>
        <v>10</v>
      </c>
      <c r="D2522">
        <f t="shared" si="638"/>
        <v>11</v>
      </c>
      <c r="E2522">
        <f t="shared" si="639"/>
        <v>2024</v>
      </c>
      <c r="F2522" s="2">
        <v>2505</v>
      </c>
      <c r="G2522" s="2" t="s">
        <v>19</v>
      </c>
      <c r="I2522" s="4">
        <f t="shared" si="643"/>
        <v>0.71222648320847215</v>
      </c>
    </row>
    <row r="2523" spans="1:9" x14ac:dyDescent="0.3">
      <c r="A2523" t="s">
        <v>9</v>
      </c>
      <c r="B2523" s="3">
        <v>45606</v>
      </c>
      <c r="C2523">
        <f t="shared" si="637"/>
        <v>10</v>
      </c>
      <c r="D2523">
        <f t="shared" si="638"/>
        <v>11</v>
      </c>
      <c r="E2523">
        <f t="shared" si="639"/>
        <v>2024</v>
      </c>
      <c r="F2523" s="2">
        <v>2356</v>
      </c>
      <c r="G2523" t="s">
        <v>18</v>
      </c>
      <c r="I2523" s="4">
        <f>SUMIFS($F$2:$F$2739,$G$2:$G$2739,"Annual Contract",$E$2:$E$2739,2024)/SUMIF($E$2:$E$2739,2024,$F$2:$F$2739)</f>
        <v>0.19200427193344777</v>
      </c>
    </row>
    <row r="2524" spans="1:9" x14ac:dyDescent="0.3">
      <c r="A2524" t="s">
        <v>8</v>
      </c>
      <c r="B2524" s="3">
        <v>45606</v>
      </c>
      <c r="C2524">
        <f t="shared" si="637"/>
        <v>10</v>
      </c>
      <c r="D2524">
        <f t="shared" si="638"/>
        <v>11</v>
      </c>
      <c r="E2524">
        <f t="shared" si="639"/>
        <v>2024</v>
      </c>
      <c r="F2524" s="2">
        <v>2473</v>
      </c>
      <c r="G2524" s="2" t="s">
        <v>19</v>
      </c>
      <c r="I2524" s="4">
        <f>SUMIFS($F$2:$F$2739,$G$2:$G$2739,"Multi-year Contract",$E$2:$E$2739,2024)/SUMIF($E$2:$E$2739,2024,$F$2:$F$2739)</f>
        <v>0.71222648320847215</v>
      </c>
    </row>
    <row r="2525" spans="1:9" x14ac:dyDescent="0.3">
      <c r="A2525" t="s">
        <v>6</v>
      </c>
      <c r="B2525" s="3">
        <v>45606</v>
      </c>
      <c r="C2525">
        <f t="shared" si="637"/>
        <v>10</v>
      </c>
      <c r="D2525">
        <f t="shared" si="638"/>
        <v>11</v>
      </c>
      <c r="E2525">
        <f t="shared" si="639"/>
        <v>2024</v>
      </c>
      <c r="F2525" s="2">
        <v>2522</v>
      </c>
      <c r="G2525" t="s">
        <v>18</v>
      </c>
      <c r="I2525" s="4">
        <f>SUMIFS($F$2:$F$2739,$G$2:$G$2739,"Annual Contract",$E$2:$E$2739,2024)/SUMIF($E$2:$E$2739,2024,$F$2:$F$2739)</f>
        <v>0.19200427193344777</v>
      </c>
    </row>
    <row r="2526" spans="1:9" x14ac:dyDescent="0.3">
      <c r="A2526" t="s">
        <v>5</v>
      </c>
      <c r="B2526" s="3">
        <v>45607</v>
      </c>
      <c r="C2526">
        <f t="shared" si="637"/>
        <v>11</v>
      </c>
      <c r="D2526">
        <f t="shared" si="638"/>
        <v>11</v>
      </c>
      <c r="E2526">
        <f t="shared" si="639"/>
        <v>2024</v>
      </c>
      <c r="F2526" s="2">
        <v>2382</v>
      </c>
      <c r="G2526" t="s">
        <v>19</v>
      </c>
      <c r="I2526" s="4">
        <f>SUMIFS($F$2:$F$2739,$G$2:$G$2739,"Multi-year Contract",$E$2:$E$2739,2024)/SUMIF($E$2:$E$2739,2024,$F$2:$F$2739)</f>
        <v>0.71222648320847215</v>
      </c>
    </row>
    <row r="2527" spans="1:9" x14ac:dyDescent="0.3">
      <c r="A2527" t="s">
        <v>9</v>
      </c>
      <c r="B2527" s="3">
        <v>45607</v>
      </c>
      <c r="C2527">
        <f t="shared" si="637"/>
        <v>11</v>
      </c>
      <c r="D2527">
        <f t="shared" si="638"/>
        <v>11</v>
      </c>
      <c r="E2527">
        <f t="shared" si="639"/>
        <v>2024</v>
      </c>
      <c r="F2527" s="2">
        <v>3124</v>
      </c>
      <c r="G2527" t="s">
        <v>18</v>
      </c>
      <c r="I2527" s="4">
        <f>SUMIFS($F$2:$F$2739,$G$2:$G$2739,"Annual Contract",$E$2:$E$2739,2024)/SUMIF($E$2:$E$2739,2024,$F$2:$F$2739)</f>
        <v>0.19200427193344777</v>
      </c>
    </row>
    <row r="2528" spans="1:9" x14ac:dyDescent="0.3">
      <c r="A2528" t="s">
        <v>11</v>
      </c>
      <c r="B2528" s="3">
        <v>45607</v>
      </c>
      <c r="C2528">
        <f t="shared" si="637"/>
        <v>11</v>
      </c>
      <c r="D2528">
        <f t="shared" si="638"/>
        <v>11</v>
      </c>
      <c r="E2528">
        <f t="shared" si="639"/>
        <v>2024</v>
      </c>
      <c r="F2528" s="2">
        <v>1439</v>
      </c>
      <c r="G2528" t="s">
        <v>19</v>
      </c>
      <c r="I2528" s="4">
        <f t="shared" ref="I2528:I2538" si="644">SUMIFS($F$2:$F$2739,$G$2:$G$2739,"Multi-year Contract",$E$2:$E$2739,2024)/SUMIF($E$2:$E$2739,2024,$F$2:$F$2739)</f>
        <v>0.71222648320847215</v>
      </c>
    </row>
    <row r="2529" spans="1:9" x14ac:dyDescent="0.3">
      <c r="A2529" t="s">
        <v>8</v>
      </c>
      <c r="B2529" s="3">
        <v>45607</v>
      </c>
      <c r="C2529">
        <f t="shared" si="637"/>
        <v>11</v>
      </c>
      <c r="D2529">
        <f t="shared" si="638"/>
        <v>11</v>
      </c>
      <c r="E2529">
        <f t="shared" si="639"/>
        <v>2024</v>
      </c>
      <c r="F2529" s="2">
        <v>1464</v>
      </c>
      <c r="G2529" s="2" t="s">
        <v>19</v>
      </c>
      <c r="I2529" s="4">
        <f t="shared" si="644"/>
        <v>0.71222648320847215</v>
      </c>
    </row>
    <row r="2530" spans="1:9" x14ac:dyDescent="0.3">
      <c r="A2530" t="s">
        <v>5</v>
      </c>
      <c r="B2530" s="3">
        <v>45608</v>
      </c>
      <c r="C2530">
        <f t="shared" si="637"/>
        <v>12</v>
      </c>
      <c r="D2530">
        <f t="shared" si="638"/>
        <v>11</v>
      </c>
      <c r="E2530">
        <f t="shared" si="639"/>
        <v>2024</v>
      </c>
      <c r="F2530" s="2">
        <v>3461</v>
      </c>
      <c r="G2530" t="s">
        <v>19</v>
      </c>
      <c r="I2530" s="4">
        <f t="shared" si="644"/>
        <v>0.71222648320847215</v>
      </c>
    </row>
    <row r="2531" spans="1:9" x14ac:dyDescent="0.3">
      <c r="A2531" t="s">
        <v>8</v>
      </c>
      <c r="B2531" s="3">
        <v>45608</v>
      </c>
      <c r="C2531">
        <f t="shared" si="637"/>
        <v>12</v>
      </c>
      <c r="D2531">
        <f t="shared" si="638"/>
        <v>11</v>
      </c>
      <c r="E2531">
        <f t="shared" si="639"/>
        <v>2024</v>
      </c>
      <c r="F2531" s="2">
        <v>3531</v>
      </c>
      <c r="G2531" s="2" t="s">
        <v>19</v>
      </c>
      <c r="I2531" s="4">
        <f t="shared" si="644"/>
        <v>0.71222648320847215</v>
      </c>
    </row>
    <row r="2532" spans="1:9" x14ac:dyDescent="0.3">
      <c r="A2532" t="s">
        <v>11</v>
      </c>
      <c r="B2532" s="3">
        <v>45609</v>
      </c>
      <c r="C2532">
        <f t="shared" si="637"/>
        <v>13</v>
      </c>
      <c r="D2532">
        <f t="shared" si="638"/>
        <v>11</v>
      </c>
      <c r="E2532">
        <f t="shared" si="639"/>
        <v>2024</v>
      </c>
      <c r="F2532" s="2">
        <v>2642</v>
      </c>
      <c r="G2532" t="s">
        <v>19</v>
      </c>
      <c r="I2532" s="4">
        <f t="shared" si="644"/>
        <v>0.71222648320847215</v>
      </c>
    </row>
    <row r="2533" spans="1:9" x14ac:dyDescent="0.3">
      <c r="A2533" t="s">
        <v>8</v>
      </c>
      <c r="B2533" s="3">
        <v>45609</v>
      </c>
      <c r="C2533">
        <f t="shared" si="637"/>
        <v>13</v>
      </c>
      <c r="D2533">
        <f t="shared" si="638"/>
        <v>11</v>
      </c>
      <c r="E2533">
        <f t="shared" si="639"/>
        <v>2024</v>
      </c>
      <c r="F2533" s="2">
        <v>2568</v>
      </c>
      <c r="G2533" s="2" t="s">
        <v>19</v>
      </c>
      <c r="I2533" s="4">
        <f t="shared" si="644"/>
        <v>0.71222648320847215</v>
      </c>
    </row>
    <row r="2534" spans="1:9" x14ac:dyDescent="0.3">
      <c r="A2534" t="s">
        <v>8</v>
      </c>
      <c r="B2534" s="3">
        <v>45609</v>
      </c>
      <c r="C2534">
        <f t="shared" si="637"/>
        <v>13</v>
      </c>
      <c r="D2534">
        <f t="shared" si="638"/>
        <v>11</v>
      </c>
      <c r="E2534">
        <f t="shared" si="639"/>
        <v>2024</v>
      </c>
      <c r="F2534" s="2">
        <v>1569</v>
      </c>
      <c r="G2534" s="2" t="s">
        <v>19</v>
      </c>
      <c r="I2534" s="4">
        <f t="shared" si="644"/>
        <v>0.71222648320847215</v>
      </c>
    </row>
    <row r="2535" spans="1:9" x14ac:dyDescent="0.3">
      <c r="A2535" t="s">
        <v>4</v>
      </c>
      <c r="B2535" s="3">
        <v>45609</v>
      </c>
      <c r="C2535">
        <f t="shared" si="637"/>
        <v>13</v>
      </c>
      <c r="D2535">
        <f t="shared" si="638"/>
        <v>11</v>
      </c>
      <c r="E2535">
        <f t="shared" si="639"/>
        <v>2024</v>
      </c>
      <c r="F2535" s="2">
        <v>3239</v>
      </c>
      <c r="G2535" s="2" t="s">
        <v>19</v>
      </c>
      <c r="I2535" s="4">
        <f t="shared" si="644"/>
        <v>0.71222648320847215</v>
      </c>
    </row>
    <row r="2536" spans="1:9" x14ac:dyDescent="0.3">
      <c r="A2536" t="s">
        <v>3</v>
      </c>
      <c r="B2536" s="3">
        <v>45610</v>
      </c>
      <c r="C2536">
        <f t="shared" si="637"/>
        <v>14</v>
      </c>
      <c r="D2536">
        <f t="shared" si="638"/>
        <v>11</v>
      </c>
      <c r="E2536">
        <f t="shared" si="639"/>
        <v>2024</v>
      </c>
      <c r="F2536" s="2">
        <v>2232</v>
      </c>
      <c r="G2536" t="s">
        <v>19</v>
      </c>
      <c r="I2536" s="4">
        <f t="shared" si="644"/>
        <v>0.71222648320847215</v>
      </c>
    </row>
    <row r="2537" spans="1:9" x14ac:dyDescent="0.3">
      <c r="A2537" t="s">
        <v>4</v>
      </c>
      <c r="B2537" s="3">
        <v>45610</v>
      </c>
      <c r="C2537">
        <f t="shared" si="637"/>
        <v>14</v>
      </c>
      <c r="D2537">
        <f t="shared" si="638"/>
        <v>11</v>
      </c>
      <c r="E2537">
        <f t="shared" si="639"/>
        <v>2024</v>
      </c>
      <c r="F2537" s="2">
        <v>1304</v>
      </c>
      <c r="G2537" s="2" t="s">
        <v>19</v>
      </c>
      <c r="I2537" s="4">
        <f t="shared" si="644"/>
        <v>0.71222648320847215</v>
      </c>
    </row>
    <row r="2538" spans="1:9" x14ac:dyDescent="0.3">
      <c r="A2538" t="s">
        <v>3</v>
      </c>
      <c r="B2538" s="3">
        <v>45610</v>
      </c>
      <c r="C2538">
        <f t="shared" si="637"/>
        <v>14</v>
      </c>
      <c r="D2538">
        <f t="shared" si="638"/>
        <v>11</v>
      </c>
      <c r="E2538">
        <f t="shared" si="639"/>
        <v>2024</v>
      </c>
      <c r="F2538" s="2">
        <v>1054</v>
      </c>
      <c r="G2538" t="s">
        <v>19</v>
      </c>
      <c r="I2538" s="4">
        <f t="shared" si="644"/>
        <v>0.71222648320847215</v>
      </c>
    </row>
    <row r="2539" spans="1:9" x14ac:dyDescent="0.3">
      <c r="A2539" t="s">
        <v>7</v>
      </c>
      <c r="B2539" s="3">
        <v>45610</v>
      </c>
      <c r="C2539">
        <f t="shared" si="637"/>
        <v>14</v>
      </c>
      <c r="D2539">
        <f t="shared" si="638"/>
        <v>11</v>
      </c>
      <c r="E2539">
        <f t="shared" si="639"/>
        <v>2024</v>
      </c>
      <c r="F2539" s="2">
        <v>1235</v>
      </c>
      <c r="G2539" t="s">
        <v>17</v>
      </c>
      <c r="I2539" s="4">
        <f>SUMIFS($F$2:$F$2739,$G$2:$G$2739,"No Contract",$E$2:$E$2739,2024)/SUMIF($E$2:$E$2739,2024,$F$2:$F$2739)</f>
        <v>9.576924485808011E-2</v>
      </c>
    </row>
    <row r="2540" spans="1:9" x14ac:dyDescent="0.3">
      <c r="A2540" t="s">
        <v>4</v>
      </c>
      <c r="B2540" s="3">
        <v>45611</v>
      </c>
      <c r="C2540">
        <f t="shared" si="637"/>
        <v>15</v>
      </c>
      <c r="D2540">
        <f t="shared" si="638"/>
        <v>11</v>
      </c>
      <c r="E2540">
        <f t="shared" si="639"/>
        <v>2024</v>
      </c>
      <c r="F2540" s="2">
        <v>696</v>
      </c>
      <c r="G2540" s="2" t="s">
        <v>19</v>
      </c>
      <c r="I2540" s="4">
        <f t="shared" ref="I2540:I2543" si="645">SUMIFS($F$2:$F$2739,$G$2:$G$2739,"Multi-year Contract",$E$2:$E$2739,2024)/SUMIF($E$2:$E$2739,2024,$F$2:$F$2739)</f>
        <v>0.71222648320847215</v>
      </c>
    </row>
    <row r="2541" spans="1:9" x14ac:dyDescent="0.3">
      <c r="A2541" t="s">
        <v>4</v>
      </c>
      <c r="B2541" s="3">
        <v>45611</v>
      </c>
      <c r="C2541">
        <f t="shared" si="637"/>
        <v>15</v>
      </c>
      <c r="D2541">
        <f t="shared" si="638"/>
        <v>11</v>
      </c>
      <c r="E2541">
        <f t="shared" si="639"/>
        <v>2024</v>
      </c>
      <c r="F2541" s="2">
        <v>2404</v>
      </c>
      <c r="G2541" s="2" t="s">
        <v>19</v>
      </c>
      <c r="I2541" s="4">
        <f t="shared" si="645"/>
        <v>0.71222648320847215</v>
      </c>
    </row>
    <row r="2542" spans="1:9" x14ac:dyDescent="0.3">
      <c r="A2542" t="s">
        <v>3</v>
      </c>
      <c r="B2542" s="3">
        <v>45612</v>
      </c>
      <c r="C2542">
        <f t="shared" si="637"/>
        <v>16</v>
      </c>
      <c r="D2542">
        <f t="shared" si="638"/>
        <v>11</v>
      </c>
      <c r="E2542">
        <f t="shared" si="639"/>
        <v>2024</v>
      </c>
      <c r="F2542" s="2">
        <v>2123</v>
      </c>
      <c r="G2542" t="s">
        <v>19</v>
      </c>
      <c r="I2542" s="4">
        <f t="shared" si="645"/>
        <v>0.71222648320847215</v>
      </c>
    </row>
    <row r="2543" spans="1:9" x14ac:dyDescent="0.3">
      <c r="A2543" t="s">
        <v>10</v>
      </c>
      <c r="B2543" s="3">
        <v>45612</v>
      </c>
      <c r="C2543">
        <f t="shared" si="637"/>
        <v>16</v>
      </c>
      <c r="D2543">
        <f t="shared" si="638"/>
        <v>11</v>
      </c>
      <c r="E2543">
        <f t="shared" si="639"/>
        <v>2024</v>
      </c>
      <c r="F2543" s="2">
        <v>2031</v>
      </c>
      <c r="G2543" t="s">
        <v>19</v>
      </c>
      <c r="I2543" s="4">
        <f t="shared" si="645"/>
        <v>0.71222648320847215</v>
      </c>
    </row>
    <row r="2544" spans="1:9" x14ac:dyDescent="0.3">
      <c r="A2544" t="s">
        <v>7</v>
      </c>
      <c r="B2544" s="3">
        <v>45613</v>
      </c>
      <c r="C2544">
        <f t="shared" si="637"/>
        <v>17</v>
      </c>
      <c r="D2544">
        <f t="shared" si="638"/>
        <v>11</v>
      </c>
      <c r="E2544">
        <f t="shared" si="639"/>
        <v>2024</v>
      </c>
      <c r="F2544" s="2">
        <v>1457</v>
      </c>
      <c r="G2544" t="s">
        <v>17</v>
      </c>
      <c r="I2544" s="4">
        <f>SUMIFS($F$2:$F$2739,$G$2:$G$2739,"No Contract",$E$2:$E$2739,2024)/SUMIF($E$2:$E$2739,2024,$F$2:$F$2739)</f>
        <v>9.576924485808011E-2</v>
      </c>
    </row>
    <row r="2545" spans="1:9" x14ac:dyDescent="0.3">
      <c r="A2545" t="s">
        <v>6</v>
      </c>
      <c r="B2545" s="3">
        <v>45613</v>
      </c>
      <c r="C2545">
        <f t="shared" si="637"/>
        <v>17</v>
      </c>
      <c r="D2545">
        <f t="shared" si="638"/>
        <v>11</v>
      </c>
      <c r="E2545">
        <f t="shared" si="639"/>
        <v>2024</v>
      </c>
      <c r="F2545" s="2">
        <v>3743</v>
      </c>
      <c r="G2545" t="s">
        <v>18</v>
      </c>
      <c r="I2545" s="4">
        <f>SUMIFS($F$2:$F$2739,$G$2:$G$2739,"Annual Contract",$E$2:$E$2739,2024)/SUMIF($E$2:$E$2739,2024,$F$2:$F$2739)</f>
        <v>0.19200427193344777</v>
      </c>
    </row>
    <row r="2546" spans="1:9" x14ac:dyDescent="0.3">
      <c r="A2546" t="s">
        <v>3</v>
      </c>
      <c r="B2546" s="3">
        <v>45613</v>
      </c>
      <c r="C2546">
        <f t="shared" si="637"/>
        <v>17</v>
      </c>
      <c r="D2546">
        <f t="shared" si="638"/>
        <v>11</v>
      </c>
      <c r="E2546">
        <f t="shared" si="639"/>
        <v>2024</v>
      </c>
      <c r="F2546" s="2">
        <v>3875</v>
      </c>
      <c r="G2546" t="s">
        <v>19</v>
      </c>
      <c r="I2546" s="4">
        <f t="shared" ref="I2546:I2548" si="646">SUMIFS($F$2:$F$2739,$G$2:$G$2739,"Multi-year Contract",$E$2:$E$2739,2024)/SUMIF($E$2:$E$2739,2024,$F$2:$F$2739)</f>
        <v>0.71222648320847215</v>
      </c>
    </row>
    <row r="2547" spans="1:9" x14ac:dyDescent="0.3">
      <c r="A2547" t="s">
        <v>5</v>
      </c>
      <c r="B2547" s="3">
        <v>45614</v>
      </c>
      <c r="C2547">
        <f t="shared" si="637"/>
        <v>18</v>
      </c>
      <c r="D2547">
        <f t="shared" si="638"/>
        <v>11</v>
      </c>
      <c r="E2547">
        <f t="shared" si="639"/>
        <v>2024</v>
      </c>
      <c r="F2547" s="2">
        <v>3963</v>
      </c>
      <c r="G2547" t="s">
        <v>19</v>
      </c>
      <c r="I2547" s="4">
        <f t="shared" si="646"/>
        <v>0.71222648320847215</v>
      </c>
    </row>
    <row r="2548" spans="1:9" x14ac:dyDescent="0.3">
      <c r="A2548" t="s">
        <v>3</v>
      </c>
      <c r="B2548" s="3">
        <v>45614</v>
      </c>
      <c r="C2548">
        <f t="shared" si="637"/>
        <v>18</v>
      </c>
      <c r="D2548">
        <f t="shared" si="638"/>
        <v>11</v>
      </c>
      <c r="E2548">
        <f t="shared" si="639"/>
        <v>2024</v>
      </c>
      <c r="F2548" s="2">
        <v>1656</v>
      </c>
      <c r="G2548" t="s">
        <v>19</v>
      </c>
      <c r="I2548" s="4">
        <f t="shared" si="646"/>
        <v>0.71222648320847215</v>
      </c>
    </row>
    <row r="2549" spans="1:9" x14ac:dyDescent="0.3">
      <c r="A2549" t="s">
        <v>9</v>
      </c>
      <c r="B2549" s="3">
        <v>45614</v>
      </c>
      <c r="C2549">
        <f t="shared" si="637"/>
        <v>18</v>
      </c>
      <c r="D2549">
        <f t="shared" si="638"/>
        <v>11</v>
      </c>
      <c r="E2549">
        <f t="shared" si="639"/>
        <v>2024</v>
      </c>
      <c r="F2549" s="2">
        <v>2186</v>
      </c>
      <c r="G2549" t="s">
        <v>18</v>
      </c>
      <c r="I2549" s="4">
        <f>SUMIFS($F$2:$F$2739,$G$2:$G$2739,"Annual Contract",$E$2:$E$2739,2024)/SUMIF($E$2:$E$2739,2024,$F$2:$F$2739)</f>
        <v>0.19200427193344777</v>
      </c>
    </row>
    <row r="2550" spans="1:9" x14ac:dyDescent="0.3">
      <c r="A2550" t="s">
        <v>12</v>
      </c>
      <c r="B2550" s="3">
        <v>45614</v>
      </c>
      <c r="C2550">
        <f t="shared" si="637"/>
        <v>18</v>
      </c>
      <c r="D2550">
        <f t="shared" si="638"/>
        <v>11</v>
      </c>
      <c r="E2550">
        <f t="shared" si="639"/>
        <v>2024</v>
      </c>
      <c r="F2550" s="2">
        <v>3598</v>
      </c>
      <c r="G2550" s="2" t="s">
        <v>19</v>
      </c>
      <c r="I2550" s="4">
        <f>SUMIFS($F$2:$F$2739,$G$2:$G$2739,"Multi-year Contract",$E$2:$E$2739,2024)/SUMIF($E$2:$E$2739,2024,$F$2:$F$2739)</f>
        <v>0.71222648320847215</v>
      </c>
    </row>
    <row r="2551" spans="1:9" x14ac:dyDescent="0.3">
      <c r="A2551" t="s">
        <v>6</v>
      </c>
      <c r="B2551" s="3">
        <v>45615</v>
      </c>
      <c r="C2551">
        <f t="shared" si="637"/>
        <v>19</v>
      </c>
      <c r="D2551">
        <f t="shared" si="638"/>
        <v>11</v>
      </c>
      <c r="E2551">
        <f t="shared" si="639"/>
        <v>2024</v>
      </c>
      <c r="F2551" s="2">
        <v>662</v>
      </c>
      <c r="G2551" t="s">
        <v>18</v>
      </c>
      <c r="I2551" s="4">
        <f>SUMIFS($F$2:$F$2739,$G$2:$G$2739,"Annual Contract",$E$2:$E$2739,2024)/SUMIF($E$2:$E$2739,2024,$F$2:$F$2739)</f>
        <v>0.19200427193344777</v>
      </c>
    </row>
    <row r="2552" spans="1:9" x14ac:dyDescent="0.3">
      <c r="A2552" t="s">
        <v>10</v>
      </c>
      <c r="B2552" s="3">
        <v>45615</v>
      </c>
      <c r="C2552">
        <f t="shared" si="637"/>
        <v>19</v>
      </c>
      <c r="D2552">
        <f t="shared" si="638"/>
        <v>11</v>
      </c>
      <c r="E2552">
        <f t="shared" si="639"/>
        <v>2024</v>
      </c>
      <c r="F2552" s="2">
        <v>3733</v>
      </c>
      <c r="G2552" t="s">
        <v>19</v>
      </c>
      <c r="I2552" s="4">
        <f t="shared" ref="I2552:I2561" si="647">SUMIFS($F$2:$F$2739,$G$2:$G$2739,"Multi-year Contract",$E$2:$E$2739,2024)/SUMIF($E$2:$E$2739,2024,$F$2:$F$2739)</f>
        <v>0.71222648320847215</v>
      </c>
    </row>
    <row r="2553" spans="1:9" x14ac:dyDescent="0.3">
      <c r="A2553" t="s">
        <v>11</v>
      </c>
      <c r="B2553" s="3">
        <v>45615</v>
      </c>
      <c r="C2553">
        <f t="shared" si="637"/>
        <v>19</v>
      </c>
      <c r="D2553">
        <f t="shared" si="638"/>
        <v>11</v>
      </c>
      <c r="E2553">
        <f t="shared" si="639"/>
        <v>2024</v>
      </c>
      <c r="F2553" s="2">
        <v>1206</v>
      </c>
      <c r="G2553" t="s">
        <v>19</v>
      </c>
      <c r="I2553" s="4">
        <f t="shared" si="647"/>
        <v>0.71222648320847215</v>
      </c>
    </row>
    <row r="2554" spans="1:9" x14ac:dyDescent="0.3">
      <c r="A2554" t="s">
        <v>8</v>
      </c>
      <c r="B2554" s="3">
        <v>45616</v>
      </c>
      <c r="C2554">
        <f t="shared" si="637"/>
        <v>20</v>
      </c>
      <c r="D2554">
        <f t="shared" si="638"/>
        <v>11</v>
      </c>
      <c r="E2554">
        <f t="shared" si="639"/>
        <v>2024</v>
      </c>
      <c r="F2554" s="2">
        <v>3590</v>
      </c>
      <c r="G2554" s="2" t="s">
        <v>19</v>
      </c>
      <c r="I2554" s="4">
        <f t="shared" si="647"/>
        <v>0.71222648320847215</v>
      </c>
    </row>
    <row r="2555" spans="1:9" x14ac:dyDescent="0.3">
      <c r="A2555" t="s">
        <v>5</v>
      </c>
      <c r="B2555" s="3">
        <v>45616</v>
      </c>
      <c r="C2555">
        <f t="shared" si="637"/>
        <v>20</v>
      </c>
      <c r="D2555">
        <f t="shared" si="638"/>
        <v>11</v>
      </c>
      <c r="E2555">
        <f t="shared" si="639"/>
        <v>2024</v>
      </c>
      <c r="F2555" s="2">
        <v>1264</v>
      </c>
      <c r="G2555" t="s">
        <v>19</v>
      </c>
      <c r="I2555" s="4">
        <f t="shared" si="647"/>
        <v>0.71222648320847215</v>
      </c>
    </row>
    <row r="2556" spans="1:9" x14ac:dyDescent="0.3">
      <c r="A2556" t="s">
        <v>11</v>
      </c>
      <c r="B2556" s="3">
        <v>45616</v>
      </c>
      <c r="C2556">
        <f t="shared" si="637"/>
        <v>20</v>
      </c>
      <c r="D2556">
        <f t="shared" si="638"/>
        <v>11</v>
      </c>
      <c r="E2556">
        <f t="shared" si="639"/>
        <v>2024</v>
      </c>
      <c r="F2556" s="2">
        <v>2366</v>
      </c>
      <c r="G2556" t="s">
        <v>19</v>
      </c>
      <c r="I2556" s="4">
        <f t="shared" si="647"/>
        <v>0.71222648320847215</v>
      </c>
    </row>
    <row r="2557" spans="1:9" x14ac:dyDescent="0.3">
      <c r="A2557" t="s">
        <v>5</v>
      </c>
      <c r="B2557" s="3">
        <v>45616</v>
      </c>
      <c r="C2557">
        <f t="shared" si="637"/>
        <v>20</v>
      </c>
      <c r="D2557">
        <f t="shared" si="638"/>
        <v>11</v>
      </c>
      <c r="E2557">
        <f t="shared" si="639"/>
        <v>2024</v>
      </c>
      <c r="F2557" s="2">
        <v>2521</v>
      </c>
      <c r="G2557" t="s">
        <v>19</v>
      </c>
      <c r="I2557" s="4">
        <f t="shared" si="647"/>
        <v>0.71222648320847215</v>
      </c>
    </row>
    <row r="2558" spans="1:9" x14ac:dyDescent="0.3">
      <c r="A2558" t="s">
        <v>4</v>
      </c>
      <c r="B2558" s="3">
        <v>45616</v>
      </c>
      <c r="C2558">
        <f t="shared" si="637"/>
        <v>20</v>
      </c>
      <c r="D2558">
        <f t="shared" si="638"/>
        <v>11</v>
      </c>
      <c r="E2558">
        <f t="shared" si="639"/>
        <v>2024</v>
      </c>
      <c r="F2558" s="2">
        <v>2182</v>
      </c>
      <c r="G2558" s="2" t="s">
        <v>19</v>
      </c>
      <c r="I2558" s="4">
        <f t="shared" si="647"/>
        <v>0.71222648320847215</v>
      </c>
    </row>
    <row r="2559" spans="1:9" x14ac:dyDescent="0.3">
      <c r="A2559" t="s">
        <v>8</v>
      </c>
      <c r="B2559" s="3">
        <v>45616</v>
      </c>
      <c r="C2559">
        <f t="shared" si="637"/>
        <v>20</v>
      </c>
      <c r="D2559">
        <f t="shared" si="638"/>
        <v>11</v>
      </c>
      <c r="E2559">
        <f t="shared" si="639"/>
        <v>2024</v>
      </c>
      <c r="F2559" s="2">
        <v>615</v>
      </c>
      <c r="G2559" s="2" t="s">
        <v>19</v>
      </c>
      <c r="I2559" s="4">
        <f t="shared" si="647"/>
        <v>0.71222648320847215</v>
      </c>
    </row>
    <row r="2560" spans="1:9" x14ac:dyDescent="0.3">
      <c r="A2560" t="s">
        <v>8</v>
      </c>
      <c r="B2560" s="3">
        <v>45616</v>
      </c>
      <c r="C2560">
        <f t="shared" si="637"/>
        <v>20</v>
      </c>
      <c r="D2560">
        <f t="shared" si="638"/>
        <v>11</v>
      </c>
      <c r="E2560">
        <f t="shared" si="639"/>
        <v>2024</v>
      </c>
      <c r="F2560" s="2">
        <v>3294</v>
      </c>
      <c r="G2560" s="2" t="s">
        <v>19</v>
      </c>
      <c r="I2560" s="4">
        <f t="shared" si="647"/>
        <v>0.71222648320847215</v>
      </c>
    </row>
    <row r="2561" spans="1:9" x14ac:dyDescent="0.3">
      <c r="A2561" t="s">
        <v>5</v>
      </c>
      <c r="B2561" s="3">
        <v>45616</v>
      </c>
      <c r="C2561">
        <f t="shared" si="637"/>
        <v>20</v>
      </c>
      <c r="D2561">
        <f t="shared" si="638"/>
        <v>11</v>
      </c>
      <c r="E2561">
        <f t="shared" si="639"/>
        <v>2024</v>
      </c>
      <c r="F2561" s="2">
        <v>798</v>
      </c>
      <c r="G2561" t="s">
        <v>19</v>
      </c>
      <c r="I2561" s="4">
        <f t="shared" si="647"/>
        <v>0.71222648320847215</v>
      </c>
    </row>
    <row r="2562" spans="1:9" x14ac:dyDescent="0.3">
      <c r="A2562" t="s">
        <v>7</v>
      </c>
      <c r="B2562" s="3">
        <v>45616</v>
      </c>
      <c r="C2562">
        <f t="shared" si="637"/>
        <v>20</v>
      </c>
      <c r="D2562">
        <f t="shared" si="638"/>
        <v>11</v>
      </c>
      <c r="E2562">
        <f t="shared" si="639"/>
        <v>2024</v>
      </c>
      <c r="F2562" s="2">
        <v>3080</v>
      </c>
      <c r="G2562" t="s">
        <v>17</v>
      </c>
      <c r="I2562" s="4">
        <f>SUMIFS($F$2:$F$2739,$G$2:$G$2739,"No Contract",$E$2:$E$2739,2024)/SUMIF($E$2:$E$2739,2024,$F$2:$F$2739)</f>
        <v>9.576924485808011E-2</v>
      </c>
    </row>
    <row r="2563" spans="1:9" x14ac:dyDescent="0.3">
      <c r="A2563" t="s">
        <v>9</v>
      </c>
      <c r="B2563" s="3">
        <v>45616</v>
      </c>
      <c r="C2563">
        <f t="shared" ref="C2563:C2626" si="648">DAY(B2563)</f>
        <v>20</v>
      </c>
      <c r="D2563">
        <f t="shared" ref="D2563:D2626" si="649">MONTH(B2563)</f>
        <v>11</v>
      </c>
      <c r="E2563">
        <f t="shared" ref="E2563:E2626" si="650">YEAR(B2563)</f>
        <v>2024</v>
      </c>
      <c r="F2563" s="2">
        <v>2050</v>
      </c>
      <c r="G2563" t="s">
        <v>18</v>
      </c>
      <c r="I2563" s="4">
        <f>SUMIFS($F$2:$F$2739,$G$2:$G$2739,"Annual Contract",$E$2:$E$2739,2024)/SUMIF($E$2:$E$2739,2024,$F$2:$F$2739)</f>
        <v>0.19200427193344777</v>
      </c>
    </row>
    <row r="2564" spans="1:9" x14ac:dyDescent="0.3">
      <c r="A2564" t="s">
        <v>8</v>
      </c>
      <c r="B2564" s="3">
        <v>45617</v>
      </c>
      <c r="C2564">
        <f t="shared" si="648"/>
        <v>21</v>
      </c>
      <c r="D2564">
        <f t="shared" si="649"/>
        <v>11</v>
      </c>
      <c r="E2564">
        <f t="shared" si="650"/>
        <v>2024</v>
      </c>
      <c r="F2564" s="2">
        <v>3363</v>
      </c>
      <c r="G2564" s="2" t="s">
        <v>19</v>
      </c>
      <c r="I2564" s="4">
        <f t="shared" ref="I2564:I2568" si="651">SUMIFS($F$2:$F$2739,$G$2:$G$2739,"Multi-year Contract",$E$2:$E$2739,2024)/SUMIF($E$2:$E$2739,2024,$F$2:$F$2739)</f>
        <v>0.71222648320847215</v>
      </c>
    </row>
    <row r="2565" spans="1:9" x14ac:dyDescent="0.3">
      <c r="A2565" t="s">
        <v>12</v>
      </c>
      <c r="B2565" s="3">
        <v>45617</v>
      </c>
      <c r="C2565">
        <f t="shared" si="648"/>
        <v>21</v>
      </c>
      <c r="D2565">
        <f t="shared" si="649"/>
        <v>11</v>
      </c>
      <c r="E2565">
        <f t="shared" si="650"/>
        <v>2024</v>
      </c>
      <c r="F2565" s="2">
        <v>2351</v>
      </c>
      <c r="G2565" s="2" t="s">
        <v>19</v>
      </c>
      <c r="I2565" s="4">
        <f t="shared" si="651"/>
        <v>0.71222648320847215</v>
      </c>
    </row>
    <row r="2566" spans="1:9" x14ac:dyDescent="0.3">
      <c r="A2566" t="s">
        <v>4</v>
      </c>
      <c r="B2566" s="3">
        <v>45617</v>
      </c>
      <c r="C2566">
        <f t="shared" si="648"/>
        <v>21</v>
      </c>
      <c r="D2566">
        <f t="shared" si="649"/>
        <v>11</v>
      </c>
      <c r="E2566">
        <f t="shared" si="650"/>
        <v>2024</v>
      </c>
      <c r="F2566" s="2">
        <v>3330</v>
      </c>
      <c r="G2566" s="2" t="s">
        <v>19</v>
      </c>
      <c r="I2566" s="4">
        <f t="shared" si="651"/>
        <v>0.71222648320847215</v>
      </c>
    </row>
    <row r="2567" spans="1:9" x14ac:dyDescent="0.3">
      <c r="A2567" t="s">
        <v>4</v>
      </c>
      <c r="B2567" s="3">
        <v>45617</v>
      </c>
      <c r="C2567">
        <f t="shared" si="648"/>
        <v>21</v>
      </c>
      <c r="D2567">
        <f t="shared" si="649"/>
        <v>11</v>
      </c>
      <c r="E2567">
        <f t="shared" si="650"/>
        <v>2024</v>
      </c>
      <c r="F2567" s="2">
        <v>1428</v>
      </c>
      <c r="G2567" s="2" t="s">
        <v>19</v>
      </c>
      <c r="I2567" s="4">
        <f t="shared" si="651"/>
        <v>0.71222648320847215</v>
      </c>
    </row>
    <row r="2568" spans="1:9" x14ac:dyDescent="0.3">
      <c r="A2568" t="s">
        <v>3</v>
      </c>
      <c r="B2568" s="3">
        <v>45617</v>
      </c>
      <c r="C2568">
        <f t="shared" si="648"/>
        <v>21</v>
      </c>
      <c r="D2568">
        <f t="shared" si="649"/>
        <v>11</v>
      </c>
      <c r="E2568">
        <f t="shared" si="650"/>
        <v>2024</v>
      </c>
      <c r="F2568" s="2">
        <v>2707</v>
      </c>
      <c r="G2568" t="s">
        <v>19</v>
      </c>
      <c r="I2568" s="4">
        <f t="shared" si="651"/>
        <v>0.71222648320847215</v>
      </c>
    </row>
    <row r="2569" spans="1:9" x14ac:dyDescent="0.3">
      <c r="A2569" t="s">
        <v>9</v>
      </c>
      <c r="B2569" s="3">
        <v>45617</v>
      </c>
      <c r="C2569">
        <f t="shared" si="648"/>
        <v>21</v>
      </c>
      <c r="D2569">
        <f t="shared" si="649"/>
        <v>11</v>
      </c>
      <c r="E2569">
        <f t="shared" si="650"/>
        <v>2024</v>
      </c>
      <c r="F2569" s="2">
        <v>825</v>
      </c>
      <c r="G2569" t="s">
        <v>18</v>
      </c>
      <c r="I2569" s="4">
        <f>SUMIFS($F$2:$F$2739,$G$2:$G$2739,"Annual Contract",$E$2:$E$2739,2024)/SUMIF($E$2:$E$2739,2024,$F$2:$F$2739)</f>
        <v>0.19200427193344777</v>
      </c>
    </row>
    <row r="2570" spans="1:9" x14ac:dyDescent="0.3">
      <c r="A2570" t="s">
        <v>8</v>
      </c>
      <c r="B2570" s="3">
        <v>45617</v>
      </c>
      <c r="C2570">
        <f t="shared" si="648"/>
        <v>21</v>
      </c>
      <c r="D2570">
        <f t="shared" si="649"/>
        <v>11</v>
      </c>
      <c r="E2570">
        <f t="shared" si="650"/>
        <v>2024</v>
      </c>
      <c r="F2570" s="2">
        <v>3281</v>
      </c>
      <c r="G2570" s="2" t="s">
        <v>19</v>
      </c>
      <c r="I2570" s="4">
        <f t="shared" ref="I2570:I2575" si="652">SUMIFS($F$2:$F$2739,$G$2:$G$2739,"Multi-year Contract",$E$2:$E$2739,2024)/SUMIF($E$2:$E$2739,2024,$F$2:$F$2739)</f>
        <v>0.71222648320847215</v>
      </c>
    </row>
    <row r="2571" spans="1:9" x14ac:dyDescent="0.3">
      <c r="A2571" t="s">
        <v>12</v>
      </c>
      <c r="B2571" s="3">
        <v>45618</v>
      </c>
      <c r="C2571">
        <f t="shared" si="648"/>
        <v>22</v>
      </c>
      <c r="D2571">
        <f t="shared" si="649"/>
        <v>11</v>
      </c>
      <c r="E2571">
        <f t="shared" si="650"/>
        <v>2024</v>
      </c>
      <c r="F2571" s="2">
        <v>1117</v>
      </c>
      <c r="G2571" s="2" t="s">
        <v>19</v>
      </c>
      <c r="I2571" s="4">
        <f t="shared" si="652"/>
        <v>0.71222648320847215</v>
      </c>
    </row>
    <row r="2572" spans="1:9" x14ac:dyDescent="0.3">
      <c r="A2572" t="s">
        <v>3</v>
      </c>
      <c r="B2572" s="3">
        <v>45618</v>
      </c>
      <c r="C2572">
        <f t="shared" si="648"/>
        <v>22</v>
      </c>
      <c r="D2572">
        <f t="shared" si="649"/>
        <v>11</v>
      </c>
      <c r="E2572">
        <f t="shared" si="650"/>
        <v>2024</v>
      </c>
      <c r="F2572" s="2">
        <v>3449</v>
      </c>
      <c r="G2572" t="s">
        <v>19</v>
      </c>
      <c r="I2572" s="4">
        <f t="shared" si="652"/>
        <v>0.71222648320847215</v>
      </c>
    </row>
    <row r="2573" spans="1:9" x14ac:dyDescent="0.3">
      <c r="A2573" t="s">
        <v>4</v>
      </c>
      <c r="B2573" s="3">
        <v>45618</v>
      </c>
      <c r="C2573">
        <f t="shared" si="648"/>
        <v>22</v>
      </c>
      <c r="D2573">
        <f t="shared" si="649"/>
        <v>11</v>
      </c>
      <c r="E2573">
        <f t="shared" si="650"/>
        <v>2024</v>
      </c>
      <c r="F2573" s="2">
        <v>3027</v>
      </c>
      <c r="G2573" s="2" t="s">
        <v>19</v>
      </c>
      <c r="I2573" s="4">
        <f t="shared" si="652"/>
        <v>0.71222648320847215</v>
      </c>
    </row>
    <row r="2574" spans="1:9" x14ac:dyDescent="0.3">
      <c r="A2574" t="s">
        <v>11</v>
      </c>
      <c r="B2574" s="3">
        <v>45618</v>
      </c>
      <c r="C2574">
        <f t="shared" si="648"/>
        <v>22</v>
      </c>
      <c r="D2574">
        <f t="shared" si="649"/>
        <v>11</v>
      </c>
      <c r="E2574">
        <f t="shared" si="650"/>
        <v>2024</v>
      </c>
      <c r="F2574" s="2">
        <v>2735</v>
      </c>
      <c r="G2574" t="s">
        <v>19</v>
      </c>
      <c r="I2574" s="4">
        <f t="shared" si="652"/>
        <v>0.71222648320847215</v>
      </c>
    </row>
    <row r="2575" spans="1:9" x14ac:dyDescent="0.3">
      <c r="A2575" t="s">
        <v>10</v>
      </c>
      <c r="B2575" s="3">
        <v>45619</v>
      </c>
      <c r="C2575">
        <f t="shared" si="648"/>
        <v>23</v>
      </c>
      <c r="D2575">
        <f t="shared" si="649"/>
        <v>11</v>
      </c>
      <c r="E2575">
        <f t="shared" si="650"/>
        <v>2024</v>
      </c>
      <c r="F2575" s="2">
        <v>1764</v>
      </c>
      <c r="G2575" t="s">
        <v>19</v>
      </c>
      <c r="I2575" s="4">
        <f t="shared" si="652"/>
        <v>0.71222648320847215</v>
      </c>
    </row>
    <row r="2576" spans="1:9" x14ac:dyDescent="0.3">
      <c r="A2576" t="s">
        <v>7</v>
      </c>
      <c r="B2576" s="3">
        <v>45619</v>
      </c>
      <c r="C2576">
        <f t="shared" si="648"/>
        <v>23</v>
      </c>
      <c r="D2576">
        <f t="shared" si="649"/>
        <v>11</v>
      </c>
      <c r="E2576">
        <f t="shared" si="650"/>
        <v>2024</v>
      </c>
      <c r="F2576" s="2">
        <v>3428</v>
      </c>
      <c r="G2576" t="s">
        <v>17</v>
      </c>
      <c r="I2576" s="4">
        <f>SUMIFS($F$2:$F$2739,$G$2:$G$2739,"No Contract",$E$2:$E$2739,2024)/SUMIF($E$2:$E$2739,2024,$F$2:$F$2739)</f>
        <v>9.576924485808011E-2</v>
      </c>
    </row>
    <row r="2577" spans="1:9" x14ac:dyDescent="0.3">
      <c r="A2577" t="s">
        <v>3</v>
      </c>
      <c r="B2577" s="3">
        <v>45619</v>
      </c>
      <c r="C2577">
        <f t="shared" si="648"/>
        <v>23</v>
      </c>
      <c r="D2577">
        <f t="shared" si="649"/>
        <v>11</v>
      </c>
      <c r="E2577">
        <f t="shared" si="650"/>
        <v>2024</v>
      </c>
      <c r="F2577" s="2">
        <v>1961</v>
      </c>
      <c r="G2577" t="s">
        <v>19</v>
      </c>
      <c r="I2577" s="4">
        <f>SUMIFS($F$2:$F$2739,$G$2:$G$2739,"Multi-year Contract",$E$2:$E$2739,2024)/SUMIF($E$2:$E$2739,2024,$F$2:$F$2739)</f>
        <v>0.71222648320847215</v>
      </c>
    </row>
    <row r="2578" spans="1:9" x14ac:dyDescent="0.3">
      <c r="A2578" t="s">
        <v>9</v>
      </c>
      <c r="B2578" s="3">
        <v>45619</v>
      </c>
      <c r="C2578">
        <f t="shared" si="648"/>
        <v>23</v>
      </c>
      <c r="D2578">
        <f t="shared" si="649"/>
        <v>11</v>
      </c>
      <c r="E2578">
        <f t="shared" si="650"/>
        <v>2024</v>
      </c>
      <c r="F2578" s="2">
        <v>626</v>
      </c>
      <c r="G2578" t="s">
        <v>18</v>
      </c>
      <c r="I2578" s="4">
        <f>SUMIFS($F$2:$F$2739,$G$2:$G$2739,"Annual Contract",$E$2:$E$2739,2024)/SUMIF($E$2:$E$2739,2024,$F$2:$F$2739)</f>
        <v>0.19200427193344777</v>
      </c>
    </row>
    <row r="2579" spans="1:9" x14ac:dyDescent="0.3">
      <c r="A2579" t="s">
        <v>5</v>
      </c>
      <c r="B2579" s="3">
        <v>45619</v>
      </c>
      <c r="C2579">
        <f t="shared" si="648"/>
        <v>23</v>
      </c>
      <c r="D2579">
        <f t="shared" si="649"/>
        <v>11</v>
      </c>
      <c r="E2579">
        <f t="shared" si="650"/>
        <v>2024</v>
      </c>
      <c r="F2579" s="2">
        <v>3714</v>
      </c>
      <c r="G2579" t="s">
        <v>19</v>
      </c>
      <c r="I2579" s="4">
        <f t="shared" ref="I2579:I2593" si="653">SUMIFS($F$2:$F$2739,$G$2:$G$2739,"Multi-year Contract",$E$2:$E$2739,2024)/SUMIF($E$2:$E$2739,2024,$F$2:$F$2739)</f>
        <v>0.71222648320847215</v>
      </c>
    </row>
    <row r="2580" spans="1:9" x14ac:dyDescent="0.3">
      <c r="A2580" t="s">
        <v>4</v>
      </c>
      <c r="B2580" s="3">
        <v>45620</v>
      </c>
      <c r="C2580">
        <f t="shared" si="648"/>
        <v>24</v>
      </c>
      <c r="D2580">
        <f t="shared" si="649"/>
        <v>11</v>
      </c>
      <c r="E2580">
        <f t="shared" si="650"/>
        <v>2024</v>
      </c>
      <c r="F2580" s="2">
        <v>1316</v>
      </c>
      <c r="G2580" s="2" t="s">
        <v>19</v>
      </c>
      <c r="I2580" s="4">
        <f t="shared" si="653"/>
        <v>0.71222648320847215</v>
      </c>
    </row>
    <row r="2581" spans="1:9" x14ac:dyDescent="0.3">
      <c r="A2581" t="s">
        <v>5</v>
      </c>
      <c r="B2581" s="3">
        <v>45620</v>
      </c>
      <c r="C2581">
        <f t="shared" si="648"/>
        <v>24</v>
      </c>
      <c r="D2581">
        <f t="shared" si="649"/>
        <v>11</v>
      </c>
      <c r="E2581">
        <f t="shared" si="650"/>
        <v>2024</v>
      </c>
      <c r="F2581" s="2">
        <v>1246</v>
      </c>
      <c r="G2581" t="s">
        <v>19</v>
      </c>
      <c r="I2581" s="4">
        <f t="shared" si="653"/>
        <v>0.71222648320847215</v>
      </c>
    </row>
    <row r="2582" spans="1:9" x14ac:dyDescent="0.3">
      <c r="A2582" t="s">
        <v>11</v>
      </c>
      <c r="B2582" s="3">
        <v>45620</v>
      </c>
      <c r="C2582">
        <f t="shared" si="648"/>
        <v>24</v>
      </c>
      <c r="D2582">
        <f t="shared" si="649"/>
        <v>11</v>
      </c>
      <c r="E2582">
        <f t="shared" si="650"/>
        <v>2024</v>
      </c>
      <c r="F2582" s="2">
        <v>2945</v>
      </c>
      <c r="G2582" t="s">
        <v>19</v>
      </c>
      <c r="I2582" s="4">
        <f t="shared" si="653"/>
        <v>0.71222648320847215</v>
      </c>
    </row>
    <row r="2583" spans="1:9" x14ac:dyDescent="0.3">
      <c r="A2583" t="s">
        <v>10</v>
      </c>
      <c r="B2583" s="3">
        <v>45621</v>
      </c>
      <c r="C2583">
        <f t="shared" si="648"/>
        <v>25</v>
      </c>
      <c r="D2583">
        <f t="shared" si="649"/>
        <v>11</v>
      </c>
      <c r="E2583">
        <f t="shared" si="650"/>
        <v>2024</v>
      </c>
      <c r="F2583" s="2">
        <v>1919</v>
      </c>
      <c r="G2583" t="s">
        <v>19</v>
      </c>
      <c r="I2583" s="4">
        <f t="shared" si="653"/>
        <v>0.71222648320847215</v>
      </c>
    </row>
    <row r="2584" spans="1:9" x14ac:dyDescent="0.3">
      <c r="A2584" t="s">
        <v>12</v>
      </c>
      <c r="B2584" s="3">
        <v>45621</v>
      </c>
      <c r="C2584">
        <f t="shared" si="648"/>
        <v>25</v>
      </c>
      <c r="D2584">
        <f t="shared" si="649"/>
        <v>11</v>
      </c>
      <c r="E2584">
        <f t="shared" si="650"/>
        <v>2024</v>
      </c>
      <c r="F2584" s="2">
        <v>1756</v>
      </c>
      <c r="G2584" s="2" t="s">
        <v>19</v>
      </c>
      <c r="I2584" s="4">
        <f t="shared" si="653"/>
        <v>0.71222648320847215</v>
      </c>
    </row>
    <row r="2585" spans="1:9" x14ac:dyDescent="0.3">
      <c r="A2585" t="s">
        <v>4</v>
      </c>
      <c r="B2585" s="3">
        <v>45621</v>
      </c>
      <c r="C2585">
        <f t="shared" si="648"/>
        <v>25</v>
      </c>
      <c r="D2585">
        <f t="shared" si="649"/>
        <v>11</v>
      </c>
      <c r="E2585">
        <f t="shared" si="650"/>
        <v>2024</v>
      </c>
      <c r="F2585" s="2">
        <v>2364</v>
      </c>
      <c r="G2585" s="2" t="s">
        <v>19</v>
      </c>
      <c r="I2585" s="4">
        <f t="shared" si="653"/>
        <v>0.71222648320847215</v>
      </c>
    </row>
    <row r="2586" spans="1:9" x14ac:dyDescent="0.3">
      <c r="A2586" t="s">
        <v>8</v>
      </c>
      <c r="B2586" s="3">
        <v>45621</v>
      </c>
      <c r="C2586">
        <f t="shared" si="648"/>
        <v>25</v>
      </c>
      <c r="D2586">
        <f t="shared" si="649"/>
        <v>11</v>
      </c>
      <c r="E2586">
        <f t="shared" si="650"/>
        <v>2024</v>
      </c>
      <c r="F2586" s="2">
        <v>1057</v>
      </c>
      <c r="G2586" s="2" t="s">
        <v>19</v>
      </c>
      <c r="I2586" s="4">
        <f t="shared" si="653"/>
        <v>0.71222648320847215</v>
      </c>
    </row>
    <row r="2587" spans="1:9" x14ac:dyDescent="0.3">
      <c r="A2587" t="s">
        <v>3</v>
      </c>
      <c r="B2587" s="3">
        <v>45622</v>
      </c>
      <c r="C2587">
        <f t="shared" si="648"/>
        <v>26</v>
      </c>
      <c r="D2587">
        <f t="shared" si="649"/>
        <v>11</v>
      </c>
      <c r="E2587">
        <f t="shared" si="650"/>
        <v>2024</v>
      </c>
      <c r="F2587" s="2">
        <v>1812</v>
      </c>
      <c r="G2587" t="s">
        <v>19</v>
      </c>
      <c r="I2587" s="4">
        <f t="shared" si="653"/>
        <v>0.71222648320847215</v>
      </c>
    </row>
    <row r="2588" spans="1:9" x14ac:dyDescent="0.3">
      <c r="A2588" t="s">
        <v>3</v>
      </c>
      <c r="B2588" s="3">
        <v>45622</v>
      </c>
      <c r="C2588">
        <f t="shared" si="648"/>
        <v>26</v>
      </c>
      <c r="D2588">
        <f t="shared" si="649"/>
        <v>11</v>
      </c>
      <c r="E2588">
        <f t="shared" si="650"/>
        <v>2024</v>
      </c>
      <c r="F2588" s="2">
        <v>2417</v>
      </c>
      <c r="G2588" t="s">
        <v>19</v>
      </c>
      <c r="I2588" s="4">
        <f t="shared" si="653"/>
        <v>0.71222648320847215</v>
      </c>
    </row>
    <row r="2589" spans="1:9" x14ac:dyDescent="0.3">
      <c r="A2589" t="s">
        <v>10</v>
      </c>
      <c r="B2589" s="3">
        <v>45622</v>
      </c>
      <c r="C2589">
        <f t="shared" si="648"/>
        <v>26</v>
      </c>
      <c r="D2589">
        <f t="shared" si="649"/>
        <v>11</v>
      </c>
      <c r="E2589">
        <f t="shared" si="650"/>
        <v>2024</v>
      </c>
      <c r="F2589" s="2">
        <v>726</v>
      </c>
      <c r="G2589" t="s">
        <v>19</v>
      </c>
      <c r="I2589" s="4">
        <f t="shared" si="653"/>
        <v>0.71222648320847215</v>
      </c>
    </row>
    <row r="2590" spans="1:9" x14ac:dyDescent="0.3">
      <c r="A2590" t="s">
        <v>4</v>
      </c>
      <c r="B2590" s="3">
        <v>45622</v>
      </c>
      <c r="C2590">
        <f t="shared" si="648"/>
        <v>26</v>
      </c>
      <c r="D2590">
        <f t="shared" si="649"/>
        <v>11</v>
      </c>
      <c r="E2590">
        <f t="shared" si="650"/>
        <v>2024</v>
      </c>
      <c r="F2590" s="2">
        <v>1083</v>
      </c>
      <c r="G2590" s="2" t="s">
        <v>19</v>
      </c>
      <c r="I2590" s="4">
        <f t="shared" si="653"/>
        <v>0.71222648320847215</v>
      </c>
    </row>
    <row r="2591" spans="1:9" x14ac:dyDescent="0.3">
      <c r="A2591" t="s">
        <v>12</v>
      </c>
      <c r="B2591" s="3">
        <v>45622</v>
      </c>
      <c r="C2591">
        <f t="shared" si="648"/>
        <v>26</v>
      </c>
      <c r="D2591">
        <f t="shared" si="649"/>
        <v>11</v>
      </c>
      <c r="E2591">
        <f t="shared" si="650"/>
        <v>2024</v>
      </c>
      <c r="F2591" s="2">
        <v>696</v>
      </c>
      <c r="G2591" s="2" t="s">
        <v>19</v>
      </c>
      <c r="I2591" s="4">
        <f t="shared" si="653"/>
        <v>0.71222648320847215</v>
      </c>
    </row>
    <row r="2592" spans="1:9" x14ac:dyDescent="0.3">
      <c r="A2592" t="s">
        <v>3</v>
      </c>
      <c r="B2592" s="3">
        <v>45622</v>
      </c>
      <c r="C2592">
        <f t="shared" si="648"/>
        <v>26</v>
      </c>
      <c r="D2592">
        <f t="shared" si="649"/>
        <v>11</v>
      </c>
      <c r="E2592">
        <f t="shared" si="650"/>
        <v>2024</v>
      </c>
      <c r="F2592" s="2">
        <v>2634</v>
      </c>
      <c r="G2592" t="s">
        <v>19</v>
      </c>
      <c r="I2592" s="4">
        <f t="shared" si="653"/>
        <v>0.71222648320847215</v>
      </c>
    </row>
    <row r="2593" spans="1:9" x14ac:dyDescent="0.3">
      <c r="A2593" t="s">
        <v>3</v>
      </c>
      <c r="B2593" s="3">
        <v>45622</v>
      </c>
      <c r="C2593">
        <f t="shared" si="648"/>
        <v>26</v>
      </c>
      <c r="D2593">
        <f t="shared" si="649"/>
        <v>11</v>
      </c>
      <c r="E2593">
        <f t="shared" si="650"/>
        <v>2024</v>
      </c>
      <c r="F2593" s="2">
        <v>1793</v>
      </c>
      <c r="G2593" t="s">
        <v>19</v>
      </c>
      <c r="I2593" s="4">
        <f t="shared" si="653"/>
        <v>0.71222648320847215</v>
      </c>
    </row>
    <row r="2594" spans="1:9" x14ac:dyDescent="0.3">
      <c r="A2594" t="s">
        <v>9</v>
      </c>
      <c r="B2594" s="3">
        <v>45623</v>
      </c>
      <c r="C2594">
        <f t="shared" si="648"/>
        <v>27</v>
      </c>
      <c r="D2594">
        <f t="shared" si="649"/>
        <v>11</v>
      </c>
      <c r="E2594">
        <f t="shared" si="650"/>
        <v>2024</v>
      </c>
      <c r="F2594" s="2">
        <v>2682</v>
      </c>
      <c r="G2594" t="s">
        <v>18</v>
      </c>
      <c r="I2594" s="4">
        <f>SUMIFS($F$2:$F$2739,$G$2:$G$2739,"Annual Contract",$E$2:$E$2739,2024)/SUMIF($E$2:$E$2739,2024,$F$2:$F$2739)</f>
        <v>0.19200427193344777</v>
      </c>
    </row>
    <row r="2595" spans="1:9" x14ac:dyDescent="0.3">
      <c r="A2595" t="s">
        <v>4</v>
      </c>
      <c r="B2595" s="3">
        <v>45623</v>
      </c>
      <c r="C2595">
        <f t="shared" si="648"/>
        <v>27</v>
      </c>
      <c r="D2595">
        <f t="shared" si="649"/>
        <v>11</v>
      </c>
      <c r="E2595">
        <f t="shared" si="650"/>
        <v>2024</v>
      </c>
      <c r="F2595" s="2">
        <v>2428</v>
      </c>
      <c r="G2595" s="2" t="s">
        <v>19</v>
      </c>
      <c r="I2595" s="4">
        <f t="shared" ref="I2595:I2600" si="654">SUMIFS($F$2:$F$2739,$G$2:$G$2739,"Multi-year Contract",$E$2:$E$2739,2024)/SUMIF($E$2:$E$2739,2024,$F$2:$F$2739)</f>
        <v>0.71222648320847215</v>
      </c>
    </row>
    <row r="2596" spans="1:9" x14ac:dyDescent="0.3">
      <c r="A2596" t="s">
        <v>12</v>
      </c>
      <c r="B2596" s="3">
        <v>45623</v>
      </c>
      <c r="C2596">
        <f t="shared" si="648"/>
        <v>27</v>
      </c>
      <c r="D2596">
        <f t="shared" si="649"/>
        <v>11</v>
      </c>
      <c r="E2596">
        <f t="shared" si="650"/>
        <v>2024</v>
      </c>
      <c r="F2596" s="2">
        <v>2357</v>
      </c>
      <c r="G2596" s="2" t="s">
        <v>19</v>
      </c>
      <c r="I2596" s="4">
        <f t="shared" si="654"/>
        <v>0.71222648320847215</v>
      </c>
    </row>
    <row r="2597" spans="1:9" x14ac:dyDescent="0.3">
      <c r="A2597" t="s">
        <v>12</v>
      </c>
      <c r="B2597" s="3">
        <v>45623</v>
      </c>
      <c r="C2597">
        <f t="shared" si="648"/>
        <v>27</v>
      </c>
      <c r="D2597">
        <f t="shared" si="649"/>
        <v>11</v>
      </c>
      <c r="E2597">
        <f t="shared" si="650"/>
        <v>2024</v>
      </c>
      <c r="F2597" s="2">
        <v>2183</v>
      </c>
      <c r="G2597" s="2" t="s">
        <v>19</v>
      </c>
      <c r="I2597" s="4">
        <f t="shared" si="654"/>
        <v>0.71222648320847215</v>
      </c>
    </row>
    <row r="2598" spans="1:9" x14ac:dyDescent="0.3">
      <c r="A2598" t="s">
        <v>8</v>
      </c>
      <c r="B2598" s="3">
        <v>45623</v>
      </c>
      <c r="C2598">
        <f t="shared" si="648"/>
        <v>27</v>
      </c>
      <c r="D2598">
        <f t="shared" si="649"/>
        <v>11</v>
      </c>
      <c r="E2598">
        <f t="shared" si="650"/>
        <v>2024</v>
      </c>
      <c r="F2598" s="2">
        <v>1466</v>
      </c>
      <c r="G2598" s="2" t="s">
        <v>19</v>
      </c>
      <c r="I2598" s="4">
        <f t="shared" si="654"/>
        <v>0.71222648320847215</v>
      </c>
    </row>
    <row r="2599" spans="1:9" x14ac:dyDescent="0.3">
      <c r="A2599" t="s">
        <v>10</v>
      </c>
      <c r="B2599" s="3">
        <v>45624</v>
      </c>
      <c r="C2599">
        <f t="shared" si="648"/>
        <v>28</v>
      </c>
      <c r="D2599">
        <f t="shared" si="649"/>
        <v>11</v>
      </c>
      <c r="E2599">
        <f t="shared" si="650"/>
        <v>2024</v>
      </c>
      <c r="F2599" s="2">
        <v>3983</v>
      </c>
      <c r="G2599" t="s">
        <v>19</v>
      </c>
      <c r="I2599" s="4">
        <f t="shared" si="654"/>
        <v>0.71222648320847215</v>
      </c>
    </row>
    <row r="2600" spans="1:9" x14ac:dyDescent="0.3">
      <c r="A2600" t="s">
        <v>4</v>
      </c>
      <c r="B2600" s="3">
        <v>45624</v>
      </c>
      <c r="C2600">
        <f t="shared" si="648"/>
        <v>28</v>
      </c>
      <c r="D2600">
        <f t="shared" si="649"/>
        <v>11</v>
      </c>
      <c r="E2600">
        <f t="shared" si="650"/>
        <v>2024</v>
      </c>
      <c r="F2600" s="2">
        <v>2630</v>
      </c>
      <c r="G2600" s="2" t="s">
        <v>19</v>
      </c>
      <c r="I2600" s="4">
        <f t="shared" si="654"/>
        <v>0.71222648320847215</v>
      </c>
    </row>
    <row r="2601" spans="1:9" x14ac:dyDescent="0.3">
      <c r="A2601" t="s">
        <v>7</v>
      </c>
      <c r="B2601" s="3">
        <v>45624</v>
      </c>
      <c r="C2601">
        <f t="shared" si="648"/>
        <v>28</v>
      </c>
      <c r="D2601">
        <f t="shared" si="649"/>
        <v>11</v>
      </c>
      <c r="E2601">
        <f t="shared" si="650"/>
        <v>2024</v>
      </c>
      <c r="F2601" s="2">
        <v>3183</v>
      </c>
      <c r="G2601" t="s">
        <v>17</v>
      </c>
      <c r="I2601" s="4">
        <f>SUMIFS($F$2:$F$2739,$G$2:$G$2739,"No Contract",$E$2:$E$2739,2024)/SUMIF($E$2:$E$2739,2024,$F$2:$F$2739)</f>
        <v>9.576924485808011E-2</v>
      </c>
    </row>
    <row r="2602" spans="1:9" x14ac:dyDescent="0.3">
      <c r="A2602" t="s">
        <v>10</v>
      </c>
      <c r="B2602" s="3">
        <v>45625</v>
      </c>
      <c r="C2602">
        <f t="shared" si="648"/>
        <v>29</v>
      </c>
      <c r="D2602">
        <f t="shared" si="649"/>
        <v>11</v>
      </c>
      <c r="E2602">
        <f t="shared" si="650"/>
        <v>2024</v>
      </c>
      <c r="F2602" s="2">
        <v>2085</v>
      </c>
      <c r="G2602" t="s">
        <v>19</v>
      </c>
      <c r="I2602" s="4">
        <f t="shared" ref="I2602:I2607" si="655">SUMIFS($F$2:$F$2739,$G$2:$G$2739,"Multi-year Contract",$E$2:$E$2739,2024)/SUMIF($E$2:$E$2739,2024,$F$2:$F$2739)</f>
        <v>0.71222648320847215</v>
      </c>
    </row>
    <row r="2603" spans="1:9" x14ac:dyDescent="0.3">
      <c r="A2603" t="s">
        <v>12</v>
      </c>
      <c r="B2603" s="3">
        <v>45625</v>
      </c>
      <c r="C2603">
        <f t="shared" si="648"/>
        <v>29</v>
      </c>
      <c r="D2603">
        <f t="shared" si="649"/>
        <v>11</v>
      </c>
      <c r="E2603">
        <f t="shared" si="650"/>
        <v>2024</v>
      </c>
      <c r="F2603" s="2">
        <v>3720</v>
      </c>
      <c r="G2603" s="2" t="s">
        <v>19</v>
      </c>
      <c r="I2603" s="4">
        <f t="shared" si="655"/>
        <v>0.71222648320847215</v>
      </c>
    </row>
    <row r="2604" spans="1:9" x14ac:dyDescent="0.3">
      <c r="A2604" t="s">
        <v>8</v>
      </c>
      <c r="B2604" s="3">
        <v>45626</v>
      </c>
      <c r="C2604">
        <f t="shared" si="648"/>
        <v>30</v>
      </c>
      <c r="D2604">
        <f t="shared" si="649"/>
        <v>11</v>
      </c>
      <c r="E2604">
        <f t="shared" si="650"/>
        <v>2024</v>
      </c>
      <c r="F2604" s="2">
        <v>2048</v>
      </c>
      <c r="G2604" s="2" t="s">
        <v>19</v>
      </c>
      <c r="I2604" s="4">
        <f t="shared" si="655"/>
        <v>0.71222648320847215</v>
      </c>
    </row>
    <row r="2605" spans="1:9" x14ac:dyDescent="0.3">
      <c r="A2605" t="s">
        <v>4</v>
      </c>
      <c r="B2605" s="3">
        <v>45626</v>
      </c>
      <c r="C2605">
        <f t="shared" si="648"/>
        <v>30</v>
      </c>
      <c r="D2605">
        <f t="shared" si="649"/>
        <v>11</v>
      </c>
      <c r="E2605">
        <f t="shared" si="650"/>
        <v>2024</v>
      </c>
      <c r="F2605" s="2">
        <v>3876</v>
      </c>
      <c r="G2605" s="2" t="s">
        <v>19</v>
      </c>
      <c r="I2605" s="4">
        <f t="shared" si="655"/>
        <v>0.71222648320847215</v>
      </c>
    </row>
    <row r="2606" spans="1:9" x14ac:dyDescent="0.3">
      <c r="A2606" t="s">
        <v>5</v>
      </c>
      <c r="B2606" s="3">
        <v>45626</v>
      </c>
      <c r="C2606">
        <f t="shared" si="648"/>
        <v>30</v>
      </c>
      <c r="D2606">
        <f t="shared" si="649"/>
        <v>11</v>
      </c>
      <c r="E2606">
        <f t="shared" si="650"/>
        <v>2024</v>
      </c>
      <c r="F2606" s="2">
        <v>835</v>
      </c>
      <c r="G2606" t="s">
        <v>19</v>
      </c>
      <c r="I2606" s="4">
        <f t="shared" si="655"/>
        <v>0.71222648320847215</v>
      </c>
    </row>
    <row r="2607" spans="1:9" x14ac:dyDescent="0.3">
      <c r="A2607" t="s">
        <v>10</v>
      </c>
      <c r="B2607" s="3">
        <v>45626</v>
      </c>
      <c r="C2607">
        <f t="shared" si="648"/>
        <v>30</v>
      </c>
      <c r="D2607">
        <f t="shared" si="649"/>
        <v>11</v>
      </c>
      <c r="E2607">
        <f t="shared" si="650"/>
        <v>2024</v>
      </c>
      <c r="F2607" s="2">
        <v>3919</v>
      </c>
      <c r="G2607" t="s">
        <v>19</v>
      </c>
      <c r="I2607" s="4">
        <f t="shared" si="655"/>
        <v>0.71222648320847215</v>
      </c>
    </row>
    <row r="2608" spans="1:9" x14ac:dyDescent="0.3">
      <c r="A2608" t="s">
        <v>6</v>
      </c>
      <c r="B2608" s="3">
        <v>45626</v>
      </c>
      <c r="C2608">
        <f t="shared" si="648"/>
        <v>30</v>
      </c>
      <c r="D2608">
        <f t="shared" si="649"/>
        <v>11</v>
      </c>
      <c r="E2608">
        <f t="shared" si="650"/>
        <v>2024</v>
      </c>
      <c r="F2608" s="2">
        <v>2405</v>
      </c>
      <c r="G2608" t="s">
        <v>18</v>
      </c>
      <c r="I2608" s="4">
        <f>SUMIFS($F$2:$F$2739,$G$2:$G$2739,"Annual Contract",$E$2:$E$2739,2024)/SUMIF($E$2:$E$2739,2024,$F$2:$F$2739)</f>
        <v>0.19200427193344777</v>
      </c>
    </row>
    <row r="2609" spans="1:9" x14ac:dyDescent="0.3">
      <c r="A2609" t="s">
        <v>4</v>
      </c>
      <c r="B2609" s="3">
        <v>45627</v>
      </c>
      <c r="C2609">
        <f t="shared" si="648"/>
        <v>1</v>
      </c>
      <c r="D2609">
        <f t="shared" si="649"/>
        <v>12</v>
      </c>
      <c r="E2609">
        <f t="shared" si="650"/>
        <v>2024</v>
      </c>
      <c r="F2609" s="2">
        <v>3247</v>
      </c>
      <c r="G2609" s="2" t="s">
        <v>19</v>
      </c>
      <c r="I2609" s="4">
        <f t="shared" ref="I2609:I2612" si="656">SUMIFS($F$2:$F$2739,$G$2:$G$2739,"Multi-year Contract",$E$2:$E$2739,2024)/SUMIF($E$2:$E$2739,2024,$F$2:$F$2739)</f>
        <v>0.71222648320847215</v>
      </c>
    </row>
    <row r="2610" spans="1:9" x14ac:dyDescent="0.3">
      <c r="A2610" t="s">
        <v>10</v>
      </c>
      <c r="B2610" s="3">
        <v>45627</v>
      </c>
      <c r="C2610">
        <f t="shared" si="648"/>
        <v>1</v>
      </c>
      <c r="D2610">
        <f t="shared" si="649"/>
        <v>12</v>
      </c>
      <c r="E2610">
        <f t="shared" si="650"/>
        <v>2024</v>
      </c>
      <c r="F2610" s="2">
        <v>1203</v>
      </c>
      <c r="G2610" t="s">
        <v>19</v>
      </c>
      <c r="I2610" s="4">
        <f t="shared" si="656"/>
        <v>0.71222648320847215</v>
      </c>
    </row>
    <row r="2611" spans="1:9" x14ac:dyDescent="0.3">
      <c r="A2611" t="s">
        <v>12</v>
      </c>
      <c r="B2611" s="3">
        <v>45627</v>
      </c>
      <c r="C2611">
        <f t="shared" si="648"/>
        <v>1</v>
      </c>
      <c r="D2611">
        <f t="shared" si="649"/>
        <v>12</v>
      </c>
      <c r="E2611">
        <f t="shared" si="650"/>
        <v>2024</v>
      </c>
      <c r="F2611" s="2">
        <v>3303</v>
      </c>
      <c r="G2611" s="2" t="s">
        <v>19</v>
      </c>
      <c r="I2611" s="4">
        <f t="shared" si="656"/>
        <v>0.71222648320847215</v>
      </c>
    </row>
    <row r="2612" spans="1:9" x14ac:dyDescent="0.3">
      <c r="A2612" t="s">
        <v>4</v>
      </c>
      <c r="B2612" s="3">
        <v>45628</v>
      </c>
      <c r="C2612">
        <f t="shared" si="648"/>
        <v>2</v>
      </c>
      <c r="D2612">
        <f t="shared" si="649"/>
        <v>12</v>
      </c>
      <c r="E2612">
        <f t="shared" si="650"/>
        <v>2024</v>
      </c>
      <c r="F2612" s="2">
        <v>1917</v>
      </c>
      <c r="G2612" s="2" t="s">
        <v>19</v>
      </c>
      <c r="I2612" s="4">
        <f t="shared" si="656"/>
        <v>0.71222648320847215</v>
      </c>
    </row>
    <row r="2613" spans="1:9" x14ac:dyDescent="0.3">
      <c r="A2613" t="s">
        <v>7</v>
      </c>
      <c r="B2613" s="3">
        <v>45628</v>
      </c>
      <c r="C2613">
        <f t="shared" si="648"/>
        <v>2</v>
      </c>
      <c r="D2613">
        <f t="shared" si="649"/>
        <v>12</v>
      </c>
      <c r="E2613">
        <f t="shared" si="650"/>
        <v>2024</v>
      </c>
      <c r="F2613" s="2">
        <v>1283</v>
      </c>
      <c r="G2613" t="s">
        <v>17</v>
      </c>
      <c r="I2613" s="4">
        <f>SUMIFS($F$2:$F$2739,$G$2:$G$2739,"No Contract",$E$2:$E$2739,2024)/SUMIF($E$2:$E$2739,2024,$F$2:$F$2739)</f>
        <v>9.576924485808011E-2</v>
      </c>
    </row>
    <row r="2614" spans="1:9" x14ac:dyDescent="0.3">
      <c r="A2614" t="s">
        <v>12</v>
      </c>
      <c r="B2614" s="3">
        <v>45628</v>
      </c>
      <c r="C2614">
        <f t="shared" si="648"/>
        <v>2</v>
      </c>
      <c r="D2614">
        <f t="shared" si="649"/>
        <v>12</v>
      </c>
      <c r="E2614">
        <f t="shared" si="650"/>
        <v>2024</v>
      </c>
      <c r="F2614" s="2">
        <v>2544</v>
      </c>
      <c r="G2614" s="2" t="s">
        <v>19</v>
      </c>
      <c r="I2614" s="4">
        <f t="shared" ref="I2614:I2617" si="657">SUMIFS($F$2:$F$2739,$G$2:$G$2739,"Multi-year Contract",$E$2:$E$2739,2024)/SUMIF($E$2:$E$2739,2024,$F$2:$F$2739)</f>
        <v>0.71222648320847215</v>
      </c>
    </row>
    <row r="2615" spans="1:9" x14ac:dyDescent="0.3">
      <c r="A2615" t="s">
        <v>12</v>
      </c>
      <c r="B2615" s="3">
        <v>45628</v>
      </c>
      <c r="C2615">
        <f t="shared" si="648"/>
        <v>2</v>
      </c>
      <c r="D2615">
        <f t="shared" si="649"/>
        <v>12</v>
      </c>
      <c r="E2615">
        <f t="shared" si="650"/>
        <v>2024</v>
      </c>
      <c r="F2615" s="2">
        <v>1048</v>
      </c>
      <c r="G2615" s="2" t="s">
        <v>19</v>
      </c>
      <c r="I2615" s="4">
        <f t="shared" si="657"/>
        <v>0.71222648320847215</v>
      </c>
    </row>
    <row r="2616" spans="1:9" x14ac:dyDescent="0.3">
      <c r="A2616" t="s">
        <v>4</v>
      </c>
      <c r="B2616" s="3">
        <v>45628</v>
      </c>
      <c r="C2616">
        <f t="shared" si="648"/>
        <v>2</v>
      </c>
      <c r="D2616">
        <f t="shared" si="649"/>
        <v>12</v>
      </c>
      <c r="E2616">
        <f t="shared" si="650"/>
        <v>2024</v>
      </c>
      <c r="F2616" s="2">
        <v>3540</v>
      </c>
      <c r="G2616" s="2" t="s">
        <v>19</v>
      </c>
      <c r="I2616" s="4">
        <f t="shared" si="657"/>
        <v>0.71222648320847215</v>
      </c>
    </row>
    <row r="2617" spans="1:9" x14ac:dyDescent="0.3">
      <c r="A2617" t="s">
        <v>4</v>
      </c>
      <c r="B2617" s="3">
        <v>45628</v>
      </c>
      <c r="C2617">
        <f t="shared" si="648"/>
        <v>2</v>
      </c>
      <c r="D2617">
        <f t="shared" si="649"/>
        <v>12</v>
      </c>
      <c r="E2617">
        <f t="shared" si="650"/>
        <v>2024</v>
      </c>
      <c r="F2617" s="2">
        <v>3783</v>
      </c>
      <c r="G2617" s="2" t="s">
        <v>19</v>
      </c>
      <c r="I2617" s="4">
        <f t="shared" si="657"/>
        <v>0.71222648320847215</v>
      </c>
    </row>
    <row r="2618" spans="1:9" x14ac:dyDescent="0.3">
      <c r="A2618" t="s">
        <v>6</v>
      </c>
      <c r="B2618" s="3">
        <v>45629</v>
      </c>
      <c r="C2618">
        <f t="shared" si="648"/>
        <v>3</v>
      </c>
      <c r="D2618">
        <f t="shared" si="649"/>
        <v>12</v>
      </c>
      <c r="E2618">
        <f t="shared" si="650"/>
        <v>2024</v>
      </c>
      <c r="F2618" s="2">
        <v>1142</v>
      </c>
      <c r="G2618" t="s">
        <v>18</v>
      </c>
      <c r="I2618" s="4">
        <f>SUMIFS($F$2:$F$2739,$G$2:$G$2739,"Annual Contract",$E$2:$E$2739,2024)/SUMIF($E$2:$E$2739,2024,$F$2:$F$2739)</f>
        <v>0.19200427193344777</v>
      </c>
    </row>
    <row r="2619" spans="1:9" x14ac:dyDescent="0.3">
      <c r="A2619" t="s">
        <v>7</v>
      </c>
      <c r="B2619" s="3">
        <v>45629</v>
      </c>
      <c r="C2619">
        <f t="shared" si="648"/>
        <v>3</v>
      </c>
      <c r="D2619">
        <f t="shared" si="649"/>
        <v>12</v>
      </c>
      <c r="E2619">
        <f t="shared" si="650"/>
        <v>2024</v>
      </c>
      <c r="F2619" s="2">
        <v>1629</v>
      </c>
      <c r="G2619" t="s">
        <v>17</v>
      </c>
      <c r="I2619" s="4">
        <f>SUMIFS($F$2:$F$2739,$G$2:$G$2739,"No Contract",$E$2:$E$2739,2024)/SUMIF($E$2:$E$2739,2024,$F$2:$F$2739)</f>
        <v>9.576924485808011E-2</v>
      </c>
    </row>
    <row r="2620" spans="1:9" x14ac:dyDescent="0.3">
      <c r="A2620" t="s">
        <v>10</v>
      </c>
      <c r="B2620" s="3">
        <v>45629</v>
      </c>
      <c r="C2620">
        <f t="shared" si="648"/>
        <v>3</v>
      </c>
      <c r="D2620">
        <f t="shared" si="649"/>
        <v>12</v>
      </c>
      <c r="E2620">
        <f t="shared" si="650"/>
        <v>2024</v>
      </c>
      <c r="F2620" s="2">
        <v>3683</v>
      </c>
      <c r="G2620" t="s">
        <v>19</v>
      </c>
      <c r="I2620" s="4">
        <f t="shared" ref="I2620:I2622" si="658">SUMIFS($F$2:$F$2739,$G$2:$G$2739,"Multi-year Contract",$E$2:$E$2739,2024)/SUMIF($E$2:$E$2739,2024,$F$2:$F$2739)</f>
        <v>0.71222648320847215</v>
      </c>
    </row>
    <row r="2621" spans="1:9" x14ac:dyDescent="0.3">
      <c r="A2621" t="s">
        <v>12</v>
      </c>
      <c r="B2621" s="3">
        <v>45629</v>
      </c>
      <c r="C2621">
        <f t="shared" si="648"/>
        <v>3</v>
      </c>
      <c r="D2621">
        <f t="shared" si="649"/>
        <v>12</v>
      </c>
      <c r="E2621">
        <f t="shared" si="650"/>
        <v>2024</v>
      </c>
      <c r="F2621" s="2">
        <v>2521</v>
      </c>
      <c r="G2621" s="2" t="s">
        <v>19</v>
      </c>
      <c r="I2621" s="4">
        <f t="shared" si="658"/>
        <v>0.71222648320847215</v>
      </c>
    </row>
    <row r="2622" spans="1:9" x14ac:dyDescent="0.3">
      <c r="A2622" t="s">
        <v>4</v>
      </c>
      <c r="B2622" s="3">
        <v>45629</v>
      </c>
      <c r="C2622">
        <f t="shared" si="648"/>
        <v>3</v>
      </c>
      <c r="D2622">
        <f t="shared" si="649"/>
        <v>12</v>
      </c>
      <c r="E2622">
        <f t="shared" si="650"/>
        <v>2024</v>
      </c>
      <c r="F2622" s="2">
        <v>671</v>
      </c>
      <c r="G2622" s="2" t="s">
        <v>19</v>
      </c>
      <c r="I2622" s="4">
        <f t="shared" si="658"/>
        <v>0.71222648320847215</v>
      </c>
    </row>
    <row r="2623" spans="1:9" x14ac:dyDescent="0.3">
      <c r="A2623" t="s">
        <v>7</v>
      </c>
      <c r="B2623" s="3">
        <v>45630</v>
      </c>
      <c r="C2623">
        <f t="shared" si="648"/>
        <v>4</v>
      </c>
      <c r="D2623">
        <f t="shared" si="649"/>
        <v>12</v>
      </c>
      <c r="E2623">
        <f t="shared" si="650"/>
        <v>2024</v>
      </c>
      <c r="F2623" s="2">
        <v>621</v>
      </c>
      <c r="G2623" t="s">
        <v>17</v>
      </c>
      <c r="I2623" s="4">
        <f>SUMIFS($F$2:$F$2739,$G$2:$G$2739,"No Contract",$E$2:$E$2739,2024)/SUMIF($E$2:$E$2739,2024,$F$2:$F$2739)</f>
        <v>9.576924485808011E-2</v>
      </c>
    </row>
    <row r="2624" spans="1:9" x14ac:dyDescent="0.3">
      <c r="A2624" t="s">
        <v>8</v>
      </c>
      <c r="B2624" s="3">
        <v>45630</v>
      </c>
      <c r="C2624">
        <f t="shared" si="648"/>
        <v>4</v>
      </c>
      <c r="D2624">
        <f t="shared" si="649"/>
        <v>12</v>
      </c>
      <c r="E2624">
        <f t="shared" si="650"/>
        <v>2024</v>
      </c>
      <c r="F2624" s="2">
        <v>2935</v>
      </c>
      <c r="G2624" s="2" t="s">
        <v>19</v>
      </c>
      <c r="I2624" s="4">
        <f t="shared" ref="I2624:I2627" si="659">SUMIFS($F$2:$F$2739,$G$2:$G$2739,"Multi-year Contract",$E$2:$E$2739,2024)/SUMIF($E$2:$E$2739,2024,$F$2:$F$2739)</f>
        <v>0.71222648320847215</v>
      </c>
    </row>
    <row r="2625" spans="1:9" x14ac:dyDescent="0.3">
      <c r="A2625" t="s">
        <v>10</v>
      </c>
      <c r="B2625" s="3">
        <v>45631</v>
      </c>
      <c r="C2625">
        <f t="shared" si="648"/>
        <v>5</v>
      </c>
      <c r="D2625">
        <f t="shared" si="649"/>
        <v>12</v>
      </c>
      <c r="E2625">
        <f t="shared" si="650"/>
        <v>2024</v>
      </c>
      <c r="F2625" s="2">
        <v>3098</v>
      </c>
      <c r="G2625" t="s">
        <v>19</v>
      </c>
      <c r="I2625" s="4">
        <f t="shared" si="659"/>
        <v>0.71222648320847215</v>
      </c>
    </row>
    <row r="2626" spans="1:9" x14ac:dyDescent="0.3">
      <c r="A2626" t="s">
        <v>12</v>
      </c>
      <c r="B2626" s="3">
        <v>45631</v>
      </c>
      <c r="C2626">
        <f t="shared" si="648"/>
        <v>5</v>
      </c>
      <c r="D2626">
        <f t="shared" si="649"/>
        <v>12</v>
      </c>
      <c r="E2626">
        <f t="shared" si="650"/>
        <v>2024</v>
      </c>
      <c r="F2626" s="2">
        <v>1880</v>
      </c>
      <c r="G2626" s="2" t="s">
        <v>19</v>
      </c>
      <c r="I2626" s="4">
        <f t="shared" si="659"/>
        <v>0.71222648320847215</v>
      </c>
    </row>
    <row r="2627" spans="1:9" x14ac:dyDescent="0.3">
      <c r="A2627" t="s">
        <v>8</v>
      </c>
      <c r="B2627" s="3">
        <v>45631</v>
      </c>
      <c r="C2627">
        <f t="shared" ref="C2627:C2690" si="660">DAY(B2627)</f>
        <v>5</v>
      </c>
      <c r="D2627">
        <f t="shared" ref="D2627:D2690" si="661">MONTH(B2627)</f>
        <v>12</v>
      </c>
      <c r="E2627">
        <f t="shared" ref="E2627:E2690" si="662">YEAR(B2627)</f>
        <v>2024</v>
      </c>
      <c r="F2627" s="2">
        <v>2866</v>
      </c>
      <c r="G2627" s="2" t="s">
        <v>19</v>
      </c>
      <c r="I2627" s="4">
        <f t="shared" si="659"/>
        <v>0.71222648320847215</v>
      </c>
    </row>
    <row r="2628" spans="1:9" x14ac:dyDescent="0.3">
      <c r="A2628" t="s">
        <v>7</v>
      </c>
      <c r="B2628" s="3">
        <v>45631</v>
      </c>
      <c r="C2628">
        <f t="shared" si="660"/>
        <v>5</v>
      </c>
      <c r="D2628">
        <f t="shared" si="661"/>
        <v>12</v>
      </c>
      <c r="E2628">
        <f t="shared" si="662"/>
        <v>2024</v>
      </c>
      <c r="F2628" s="2">
        <v>2831</v>
      </c>
      <c r="G2628" t="s">
        <v>17</v>
      </c>
      <c r="I2628" s="4">
        <f>SUMIFS($F$2:$F$2739,$G$2:$G$2739,"No Contract",$E$2:$E$2739,2024)/SUMIF($E$2:$E$2739,2024,$F$2:$F$2739)</f>
        <v>9.576924485808011E-2</v>
      </c>
    </row>
    <row r="2629" spans="1:9" x14ac:dyDescent="0.3">
      <c r="A2629" t="s">
        <v>11</v>
      </c>
      <c r="B2629" s="3">
        <v>45631</v>
      </c>
      <c r="C2629">
        <f t="shared" si="660"/>
        <v>5</v>
      </c>
      <c r="D2629">
        <f t="shared" si="661"/>
        <v>12</v>
      </c>
      <c r="E2629">
        <f t="shared" si="662"/>
        <v>2024</v>
      </c>
      <c r="F2629" s="2">
        <v>2228</v>
      </c>
      <c r="G2629" t="s">
        <v>19</v>
      </c>
      <c r="I2629" s="4">
        <f t="shared" ref="I2629:I2630" si="663">SUMIFS($F$2:$F$2739,$G$2:$G$2739,"Multi-year Contract",$E$2:$E$2739,2024)/SUMIF($E$2:$E$2739,2024,$F$2:$F$2739)</f>
        <v>0.71222648320847215</v>
      </c>
    </row>
    <row r="2630" spans="1:9" x14ac:dyDescent="0.3">
      <c r="A2630" t="s">
        <v>10</v>
      </c>
      <c r="B2630" s="3">
        <v>45632</v>
      </c>
      <c r="C2630">
        <f t="shared" si="660"/>
        <v>6</v>
      </c>
      <c r="D2630">
        <f t="shared" si="661"/>
        <v>12</v>
      </c>
      <c r="E2630">
        <f t="shared" si="662"/>
        <v>2024</v>
      </c>
      <c r="F2630" s="2">
        <v>1195</v>
      </c>
      <c r="G2630" t="s">
        <v>19</v>
      </c>
      <c r="I2630" s="4">
        <f t="shared" si="663"/>
        <v>0.71222648320847215</v>
      </c>
    </row>
    <row r="2631" spans="1:9" x14ac:dyDescent="0.3">
      <c r="A2631" t="s">
        <v>6</v>
      </c>
      <c r="B2631" s="3">
        <v>45632</v>
      </c>
      <c r="C2631">
        <f t="shared" si="660"/>
        <v>6</v>
      </c>
      <c r="D2631">
        <f t="shared" si="661"/>
        <v>12</v>
      </c>
      <c r="E2631">
        <f t="shared" si="662"/>
        <v>2024</v>
      </c>
      <c r="F2631" s="2">
        <v>1324</v>
      </c>
      <c r="G2631" t="s">
        <v>18</v>
      </c>
      <c r="I2631" s="4">
        <f>SUMIFS($F$2:$F$2739,$G$2:$G$2739,"Annual Contract",$E$2:$E$2739,2024)/SUMIF($E$2:$E$2739,2024,$F$2:$F$2739)</f>
        <v>0.19200427193344777</v>
      </c>
    </row>
    <row r="2632" spans="1:9" x14ac:dyDescent="0.3">
      <c r="A2632" t="s">
        <v>5</v>
      </c>
      <c r="B2632" s="3">
        <v>45632</v>
      </c>
      <c r="C2632">
        <f t="shared" si="660"/>
        <v>6</v>
      </c>
      <c r="D2632">
        <f t="shared" si="661"/>
        <v>12</v>
      </c>
      <c r="E2632">
        <f t="shared" si="662"/>
        <v>2024</v>
      </c>
      <c r="F2632" s="2">
        <v>2167</v>
      </c>
      <c r="G2632" t="s">
        <v>19</v>
      </c>
      <c r="I2632" s="4">
        <f>SUMIFS($F$2:$F$2739,$G$2:$G$2739,"Multi-year Contract",$E$2:$E$2739,2024)/SUMIF($E$2:$E$2739,2024,$F$2:$F$2739)</f>
        <v>0.71222648320847215</v>
      </c>
    </row>
    <row r="2633" spans="1:9" x14ac:dyDescent="0.3">
      <c r="A2633" t="s">
        <v>7</v>
      </c>
      <c r="B2633" s="3">
        <v>45632</v>
      </c>
      <c r="C2633">
        <f t="shared" si="660"/>
        <v>6</v>
      </c>
      <c r="D2633">
        <f t="shared" si="661"/>
        <v>12</v>
      </c>
      <c r="E2633">
        <f t="shared" si="662"/>
        <v>2024</v>
      </c>
      <c r="F2633" s="2">
        <v>1624</v>
      </c>
      <c r="G2633" t="s">
        <v>17</v>
      </c>
      <c r="I2633" s="4">
        <f>SUMIFS($F$2:$F$2739,$G$2:$G$2739,"No Contract",$E$2:$E$2739,2024)/SUMIF($E$2:$E$2739,2024,$F$2:$F$2739)</f>
        <v>9.576924485808011E-2</v>
      </c>
    </row>
    <row r="2634" spans="1:9" x14ac:dyDescent="0.3">
      <c r="A2634" t="s">
        <v>10</v>
      </c>
      <c r="B2634" s="3">
        <v>45632</v>
      </c>
      <c r="C2634">
        <f t="shared" si="660"/>
        <v>6</v>
      </c>
      <c r="D2634">
        <f t="shared" si="661"/>
        <v>12</v>
      </c>
      <c r="E2634">
        <f t="shared" si="662"/>
        <v>2024</v>
      </c>
      <c r="F2634" s="2">
        <v>2713</v>
      </c>
      <c r="G2634" t="s">
        <v>19</v>
      </c>
      <c r="I2634" s="4">
        <f t="shared" ref="I2634:I2636" si="664">SUMIFS($F$2:$F$2739,$G$2:$G$2739,"Multi-year Contract",$E$2:$E$2739,2024)/SUMIF($E$2:$E$2739,2024,$F$2:$F$2739)</f>
        <v>0.71222648320847215</v>
      </c>
    </row>
    <row r="2635" spans="1:9" x14ac:dyDescent="0.3">
      <c r="A2635" t="s">
        <v>5</v>
      </c>
      <c r="B2635" s="3">
        <v>45633</v>
      </c>
      <c r="C2635">
        <f t="shared" si="660"/>
        <v>7</v>
      </c>
      <c r="D2635">
        <f t="shared" si="661"/>
        <v>12</v>
      </c>
      <c r="E2635">
        <f t="shared" si="662"/>
        <v>2024</v>
      </c>
      <c r="F2635" s="2">
        <v>1454</v>
      </c>
      <c r="G2635" t="s">
        <v>19</v>
      </c>
      <c r="I2635" s="4">
        <f t="shared" si="664"/>
        <v>0.71222648320847215</v>
      </c>
    </row>
    <row r="2636" spans="1:9" x14ac:dyDescent="0.3">
      <c r="A2636" t="s">
        <v>10</v>
      </c>
      <c r="B2636" s="3">
        <v>45633</v>
      </c>
      <c r="C2636">
        <f t="shared" si="660"/>
        <v>7</v>
      </c>
      <c r="D2636">
        <f t="shared" si="661"/>
        <v>12</v>
      </c>
      <c r="E2636">
        <f t="shared" si="662"/>
        <v>2024</v>
      </c>
      <c r="F2636" s="2">
        <v>1933</v>
      </c>
      <c r="G2636" t="s">
        <v>19</v>
      </c>
      <c r="I2636" s="4">
        <f t="shared" si="664"/>
        <v>0.71222648320847215</v>
      </c>
    </row>
    <row r="2637" spans="1:9" x14ac:dyDescent="0.3">
      <c r="A2637" t="s">
        <v>6</v>
      </c>
      <c r="B2637" s="3">
        <v>45633</v>
      </c>
      <c r="C2637">
        <f t="shared" si="660"/>
        <v>7</v>
      </c>
      <c r="D2637">
        <f t="shared" si="661"/>
        <v>12</v>
      </c>
      <c r="E2637">
        <f t="shared" si="662"/>
        <v>2024</v>
      </c>
      <c r="F2637" s="2">
        <v>634</v>
      </c>
      <c r="G2637" t="s">
        <v>18</v>
      </c>
      <c r="I2637" s="4">
        <f>SUMIFS($F$2:$F$2739,$G$2:$G$2739,"Annual Contract",$E$2:$E$2739,2024)/SUMIF($E$2:$E$2739,2024,$F$2:$F$2739)</f>
        <v>0.19200427193344777</v>
      </c>
    </row>
    <row r="2638" spans="1:9" x14ac:dyDescent="0.3">
      <c r="A2638" t="s">
        <v>7</v>
      </c>
      <c r="B2638" s="3">
        <v>45633</v>
      </c>
      <c r="C2638">
        <f t="shared" si="660"/>
        <v>7</v>
      </c>
      <c r="D2638">
        <f t="shared" si="661"/>
        <v>12</v>
      </c>
      <c r="E2638">
        <f t="shared" si="662"/>
        <v>2024</v>
      </c>
      <c r="F2638" s="2">
        <v>711</v>
      </c>
      <c r="G2638" t="s">
        <v>17</v>
      </c>
      <c r="I2638" s="4">
        <f>SUMIFS($F$2:$F$2739,$G$2:$G$2739,"No Contract",$E$2:$E$2739,2024)/SUMIF($E$2:$E$2739,2024,$F$2:$F$2739)</f>
        <v>9.576924485808011E-2</v>
      </c>
    </row>
    <row r="2639" spans="1:9" x14ac:dyDescent="0.3">
      <c r="A2639" t="s">
        <v>3</v>
      </c>
      <c r="B2639" s="3">
        <v>45634</v>
      </c>
      <c r="C2639">
        <f t="shared" si="660"/>
        <v>8</v>
      </c>
      <c r="D2639">
        <f t="shared" si="661"/>
        <v>12</v>
      </c>
      <c r="E2639">
        <f t="shared" si="662"/>
        <v>2024</v>
      </c>
      <c r="F2639" s="2">
        <v>3837</v>
      </c>
      <c r="G2639" t="s">
        <v>19</v>
      </c>
      <c r="I2639" s="4">
        <f>SUMIFS($F$2:$F$2739,$G$2:$G$2739,"Multi-year Contract",$E$2:$E$2739,2024)/SUMIF($E$2:$E$2739,2024,$F$2:$F$2739)</f>
        <v>0.71222648320847215</v>
      </c>
    </row>
    <row r="2640" spans="1:9" x14ac:dyDescent="0.3">
      <c r="A2640" t="s">
        <v>6</v>
      </c>
      <c r="B2640" s="3">
        <v>45634</v>
      </c>
      <c r="C2640">
        <f t="shared" si="660"/>
        <v>8</v>
      </c>
      <c r="D2640">
        <f t="shared" si="661"/>
        <v>12</v>
      </c>
      <c r="E2640">
        <f t="shared" si="662"/>
        <v>2024</v>
      </c>
      <c r="F2640" s="2">
        <v>1601</v>
      </c>
      <c r="G2640" t="s">
        <v>18</v>
      </c>
      <c r="I2640" s="4">
        <f t="shared" ref="I2640:I2641" si="665">SUMIFS($F$2:$F$2739,$G$2:$G$2739,"Annual Contract",$E$2:$E$2739,2024)/SUMIF($E$2:$E$2739,2024,$F$2:$F$2739)</f>
        <v>0.19200427193344777</v>
      </c>
    </row>
    <row r="2641" spans="1:9" x14ac:dyDescent="0.3">
      <c r="A2641" t="s">
        <v>6</v>
      </c>
      <c r="B2641" s="3">
        <v>45634</v>
      </c>
      <c r="C2641">
        <f t="shared" si="660"/>
        <v>8</v>
      </c>
      <c r="D2641">
        <f t="shared" si="661"/>
        <v>12</v>
      </c>
      <c r="E2641">
        <f t="shared" si="662"/>
        <v>2024</v>
      </c>
      <c r="F2641" s="2">
        <v>2778</v>
      </c>
      <c r="G2641" t="s">
        <v>18</v>
      </c>
      <c r="I2641" s="4">
        <f t="shared" si="665"/>
        <v>0.19200427193344777</v>
      </c>
    </row>
    <row r="2642" spans="1:9" x14ac:dyDescent="0.3">
      <c r="A2642" t="s">
        <v>5</v>
      </c>
      <c r="B2642" s="3">
        <v>45635</v>
      </c>
      <c r="C2642">
        <f t="shared" si="660"/>
        <v>9</v>
      </c>
      <c r="D2642">
        <f t="shared" si="661"/>
        <v>12</v>
      </c>
      <c r="E2642">
        <f t="shared" si="662"/>
        <v>2024</v>
      </c>
      <c r="F2642" s="2">
        <v>1672</v>
      </c>
      <c r="G2642" t="s">
        <v>19</v>
      </c>
      <c r="I2642" s="4">
        <f t="shared" ref="I2642:I2645" si="666">SUMIFS($F$2:$F$2739,$G$2:$G$2739,"Multi-year Contract",$E$2:$E$2739,2024)/SUMIF($E$2:$E$2739,2024,$F$2:$F$2739)</f>
        <v>0.71222648320847215</v>
      </c>
    </row>
    <row r="2643" spans="1:9" x14ac:dyDescent="0.3">
      <c r="A2643" t="s">
        <v>3</v>
      </c>
      <c r="B2643" s="3">
        <v>45635</v>
      </c>
      <c r="C2643">
        <f t="shared" si="660"/>
        <v>9</v>
      </c>
      <c r="D2643">
        <f t="shared" si="661"/>
        <v>12</v>
      </c>
      <c r="E2643">
        <f t="shared" si="662"/>
        <v>2024</v>
      </c>
      <c r="F2643" s="2">
        <v>1329</v>
      </c>
      <c r="G2643" t="s">
        <v>19</v>
      </c>
      <c r="I2643" s="4">
        <f t="shared" si="666"/>
        <v>0.71222648320847215</v>
      </c>
    </row>
    <row r="2644" spans="1:9" x14ac:dyDescent="0.3">
      <c r="A2644" t="s">
        <v>12</v>
      </c>
      <c r="B2644" s="3">
        <v>45636</v>
      </c>
      <c r="C2644">
        <f t="shared" si="660"/>
        <v>10</v>
      </c>
      <c r="D2644">
        <f t="shared" si="661"/>
        <v>12</v>
      </c>
      <c r="E2644">
        <f t="shared" si="662"/>
        <v>2024</v>
      </c>
      <c r="F2644" s="2">
        <v>3884</v>
      </c>
      <c r="G2644" s="2" t="s">
        <v>19</v>
      </c>
      <c r="I2644" s="4">
        <f t="shared" si="666"/>
        <v>0.71222648320847215</v>
      </c>
    </row>
    <row r="2645" spans="1:9" x14ac:dyDescent="0.3">
      <c r="A2645" t="s">
        <v>3</v>
      </c>
      <c r="B2645" s="3">
        <v>45636</v>
      </c>
      <c r="C2645">
        <f t="shared" si="660"/>
        <v>10</v>
      </c>
      <c r="D2645">
        <f t="shared" si="661"/>
        <v>12</v>
      </c>
      <c r="E2645">
        <f t="shared" si="662"/>
        <v>2024</v>
      </c>
      <c r="F2645" s="2">
        <v>3269</v>
      </c>
      <c r="G2645" t="s">
        <v>19</v>
      </c>
      <c r="I2645" s="4">
        <f t="shared" si="666"/>
        <v>0.71222648320847215</v>
      </c>
    </row>
    <row r="2646" spans="1:9" x14ac:dyDescent="0.3">
      <c r="A2646" t="s">
        <v>9</v>
      </c>
      <c r="B2646" s="3">
        <v>45636</v>
      </c>
      <c r="C2646">
        <f t="shared" si="660"/>
        <v>10</v>
      </c>
      <c r="D2646">
        <f t="shared" si="661"/>
        <v>12</v>
      </c>
      <c r="E2646">
        <f t="shared" si="662"/>
        <v>2024</v>
      </c>
      <c r="F2646" s="2">
        <v>2537</v>
      </c>
      <c r="G2646" t="s">
        <v>18</v>
      </c>
      <c r="I2646" s="4">
        <f>SUMIFS($F$2:$F$2739,$G$2:$G$2739,"Annual Contract",$E$2:$E$2739,2024)/SUMIF($E$2:$E$2739,2024,$F$2:$F$2739)</f>
        <v>0.19200427193344777</v>
      </c>
    </row>
    <row r="2647" spans="1:9" x14ac:dyDescent="0.3">
      <c r="A2647" t="s">
        <v>11</v>
      </c>
      <c r="B2647" s="3">
        <v>45636</v>
      </c>
      <c r="C2647">
        <f t="shared" si="660"/>
        <v>10</v>
      </c>
      <c r="D2647">
        <f t="shared" si="661"/>
        <v>12</v>
      </c>
      <c r="E2647">
        <f t="shared" si="662"/>
        <v>2024</v>
      </c>
      <c r="F2647" s="2">
        <v>3869</v>
      </c>
      <c r="G2647" t="s">
        <v>19</v>
      </c>
      <c r="I2647" s="4">
        <f t="shared" ref="I2647:I2651" si="667">SUMIFS($F$2:$F$2739,$G$2:$G$2739,"Multi-year Contract",$E$2:$E$2739,2024)/SUMIF($E$2:$E$2739,2024,$F$2:$F$2739)</f>
        <v>0.71222648320847215</v>
      </c>
    </row>
    <row r="2648" spans="1:9" x14ac:dyDescent="0.3">
      <c r="A2648" t="s">
        <v>11</v>
      </c>
      <c r="B2648" s="3">
        <v>45637</v>
      </c>
      <c r="C2648">
        <f t="shared" si="660"/>
        <v>11</v>
      </c>
      <c r="D2648">
        <f t="shared" si="661"/>
        <v>12</v>
      </c>
      <c r="E2648">
        <f t="shared" si="662"/>
        <v>2024</v>
      </c>
      <c r="F2648" s="2">
        <v>1877</v>
      </c>
      <c r="G2648" t="s">
        <v>19</v>
      </c>
      <c r="I2648" s="4">
        <f t="shared" si="667"/>
        <v>0.71222648320847215</v>
      </c>
    </row>
    <row r="2649" spans="1:9" x14ac:dyDescent="0.3">
      <c r="A2649" t="s">
        <v>10</v>
      </c>
      <c r="B2649" s="3">
        <v>45637</v>
      </c>
      <c r="C2649">
        <f t="shared" si="660"/>
        <v>11</v>
      </c>
      <c r="D2649">
        <f t="shared" si="661"/>
        <v>12</v>
      </c>
      <c r="E2649">
        <f t="shared" si="662"/>
        <v>2024</v>
      </c>
      <c r="F2649" s="2">
        <v>1822</v>
      </c>
      <c r="G2649" t="s">
        <v>19</v>
      </c>
      <c r="I2649" s="4">
        <f t="shared" si="667"/>
        <v>0.71222648320847215</v>
      </c>
    </row>
    <row r="2650" spans="1:9" x14ac:dyDescent="0.3">
      <c r="A2650" t="s">
        <v>12</v>
      </c>
      <c r="B2650" s="3">
        <v>45638</v>
      </c>
      <c r="C2650">
        <f t="shared" si="660"/>
        <v>12</v>
      </c>
      <c r="D2650">
        <f t="shared" si="661"/>
        <v>12</v>
      </c>
      <c r="E2650">
        <f t="shared" si="662"/>
        <v>2024</v>
      </c>
      <c r="F2650" s="2">
        <v>2435</v>
      </c>
      <c r="G2650" s="2" t="s">
        <v>19</v>
      </c>
      <c r="I2650" s="4">
        <f t="shared" si="667"/>
        <v>0.71222648320847215</v>
      </c>
    </row>
    <row r="2651" spans="1:9" x14ac:dyDescent="0.3">
      <c r="A2651" t="s">
        <v>4</v>
      </c>
      <c r="B2651" s="3">
        <v>45638</v>
      </c>
      <c r="C2651">
        <f t="shared" si="660"/>
        <v>12</v>
      </c>
      <c r="D2651">
        <f t="shared" si="661"/>
        <v>12</v>
      </c>
      <c r="E2651">
        <f t="shared" si="662"/>
        <v>2024</v>
      </c>
      <c r="F2651" s="2">
        <v>3302</v>
      </c>
      <c r="G2651" s="2" t="s">
        <v>19</v>
      </c>
      <c r="I2651" s="4">
        <f t="shared" si="667"/>
        <v>0.71222648320847215</v>
      </c>
    </row>
    <row r="2652" spans="1:9" x14ac:dyDescent="0.3">
      <c r="A2652" t="s">
        <v>9</v>
      </c>
      <c r="B2652" s="3">
        <v>45638</v>
      </c>
      <c r="C2652">
        <f t="shared" si="660"/>
        <v>12</v>
      </c>
      <c r="D2652">
        <f t="shared" si="661"/>
        <v>12</v>
      </c>
      <c r="E2652">
        <f t="shared" si="662"/>
        <v>2024</v>
      </c>
      <c r="F2652" s="2">
        <v>836</v>
      </c>
      <c r="G2652" t="s">
        <v>18</v>
      </c>
      <c r="I2652" s="4">
        <f>SUMIFS($F$2:$F$2739,$G$2:$G$2739,"Annual Contract",$E$2:$E$2739,2024)/SUMIF($E$2:$E$2739,2024,$F$2:$F$2739)</f>
        <v>0.19200427193344777</v>
      </c>
    </row>
    <row r="2653" spans="1:9" x14ac:dyDescent="0.3">
      <c r="A2653" t="s">
        <v>11</v>
      </c>
      <c r="B2653" s="3">
        <v>45638</v>
      </c>
      <c r="C2653">
        <f t="shared" si="660"/>
        <v>12</v>
      </c>
      <c r="D2653">
        <f t="shared" si="661"/>
        <v>12</v>
      </c>
      <c r="E2653">
        <f t="shared" si="662"/>
        <v>2024</v>
      </c>
      <c r="F2653" s="2">
        <v>1117</v>
      </c>
      <c r="G2653" t="s">
        <v>19</v>
      </c>
      <c r="I2653" s="4">
        <f t="shared" ref="I2653:I2657" si="668">SUMIFS($F$2:$F$2739,$G$2:$G$2739,"Multi-year Contract",$E$2:$E$2739,2024)/SUMIF($E$2:$E$2739,2024,$F$2:$F$2739)</f>
        <v>0.71222648320847215</v>
      </c>
    </row>
    <row r="2654" spans="1:9" x14ac:dyDescent="0.3">
      <c r="A2654" t="s">
        <v>5</v>
      </c>
      <c r="B2654" s="3">
        <v>45638</v>
      </c>
      <c r="C2654">
        <f t="shared" si="660"/>
        <v>12</v>
      </c>
      <c r="D2654">
        <f t="shared" si="661"/>
        <v>12</v>
      </c>
      <c r="E2654">
        <f t="shared" si="662"/>
        <v>2024</v>
      </c>
      <c r="F2654" s="2">
        <v>711</v>
      </c>
      <c r="G2654" t="s">
        <v>19</v>
      </c>
      <c r="I2654" s="4">
        <f t="shared" si="668"/>
        <v>0.71222648320847215</v>
      </c>
    </row>
    <row r="2655" spans="1:9" x14ac:dyDescent="0.3">
      <c r="A2655" t="s">
        <v>3</v>
      </c>
      <c r="B2655" s="3">
        <v>45639</v>
      </c>
      <c r="C2655">
        <f t="shared" si="660"/>
        <v>13</v>
      </c>
      <c r="D2655">
        <f t="shared" si="661"/>
        <v>12</v>
      </c>
      <c r="E2655">
        <f t="shared" si="662"/>
        <v>2024</v>
      </c>
      <c r="F2655" s="2">
        <v>571</v>
      </c>
      <c r="G2655" t="s">
        <v>19</v>
      </c>
      <c r="I2655" s="4">
        <f t="shared" si="668"/>
        <v>0.71222648320847215</v>
      </c>
    </row>
    <row r="2656" spans="1:9" x14ac:dyDescent="0.3">
      <c r="A2656" t="s">
        <v>3</v>
      </c>
      <c r="B2656" s="3">
        <v>45639</v>
      </c>
      <c r="C2656">
        <f t="shared" si="660"/>
        <v>13</v>
      </c>
      <c r="D2656">
        <f t="shared" si="661"/>
        <v>12</v>
      </c>
      <c r="E2656">
        <f t="shared" si="662"/>
        <v>2024</v>
      </c>
      <c r="F2656" s="2">
        <v>2051</v>
      </c>
      <c r="G2656" t="s">
        <v>19</v>
      </c>
      <c r="I2656" s="4">
        <f t="shared" si="668"/>
        <v>0.71222648320847215</v>
      </c>
    </row>
    <row r="2657" spans="1:9" x14ac:dyDescent="0.3">
      <c r="A2657" t="s">
        <v>11</v>
      </c>
      <c r="B2657" s="3">
        <v>45639</v>
      </c>
      <c r="C2657">
        <f t="shared" si="660"/>
        <v>13</v>
      </c>
      <c r="D2657">
        <f t="shared" si="661"/>
        <v>12</v>
      </c>
      <c r="E2657">
        <f t="shared" si="662"/>
        <v>2024</v>
      </c>
      <c r="F2657" s="2">
        <v>3095</v>
      </c>
      <c r="G2657" t="s">
        <v>19</v>
      </c>
      <c r="I2657" s="4">
        <f t="shared" si="668"/>
        <v>0.71222648320847215</v>
      </c>
    </row>
    <row r="2658" spans="1:9" x14ac:dyDescent="0.3">
      <c r="A2658" t="s">
        <v>6</v>
      </c>
      <c r="B2658" s="3">
        <v>45639</v>
      </c>
      <c r="C2658">
        <f t="shared" si="660"/>
        <v>13</v>
      </c>
      <c r="D2658">
        <f t="shared" si="661"/>
        <v>12</v>
      </c>
      <c r="E2658">
        <f t="shared" si="662"/>
        <v>2024</v>
      </c>
      <c r="F2658" s="2">
        <v>1021</v>
      </c>
      <c r="G2658" t="s">
        <v>18</v>
      </c>
      <c r="I2658" s="4">
        <f>SUMIFS($F$2:$F$2739,$G$2:$G$2739,"Annual Contract",$E$2:$E$2739,2024)/SUMIF($E$2:$E$2739,2024,$F$2:$F$2739)</f>
        <v>0.19200427193344777</v>
      </c>
    </row>
    <row r="2659" spans="1:9" x14ac:dyDescent="0.3">
      <c r="A2659" t="s">
        <v>7</v>
      </c>
      <c r="B2659" s="3">
        <v>45639</v>
      </c>
      <c r="C2659">
        <f t="shared" si="660"/>
        <v>13</v>
      </c>
      <c r="D2659">
        <f t="shared" si="661"/>
        <v>12</v>
      </c>
      <c r="E2659">
        <f t="shared" si="662"/>
        <v>2024</v>
      </c>
      <c r="F2659" s="2">
        <v>3068</v>
      </c>
      <c r="G2659" t="s">
        <v>17</v>
      </c>
      <c r="I2659" s="4">
        <f>SUMIFS($F$2:$F$2739,$G$2:$G$2739,"No Contract",$E$2:$E$2739,2024)/SUMIF($E$2:$E$2739,2024,$F$2:$F$2739)</f>
        <v>9.576924485808011E-2</v>
      </c>
    </row>
    <row r="2660" spans="1:9" x14ac:dyDescent="0.3">
      <c r="A2660" t="s">
        <v>12</v>
      </c>
      <c r="B2660" s="3">
        <v>45639</v>
      </c>
      <c r="C2660">
        <f t="shared" si="660"/>
        <v>13</v>
      </c>
      <c r="D2660">
        <f t="shared" si="661"/>
        <v>12</v>
      </c>
      <c r="E2660">
        <f t="shared" si="662"/>
        <v>2024</v>
      </c>
      <c r="F2660" s="2">
        <v>3031</v>
      </c>
      <c r="G2660" s="2" t="s">
        <v>19</v>
      </c>
      <c r="I2660" s="4">
        <f>SUMIFS($F$2:$F$2739,$G$2:$G$2739,"Multi-year Contract",$E$2:$E$2739,2024)/SUMIF($E$2:$E$2739,2024,$F$2:$F$2739)</f>
        <v>0.71222648320847215</v>
      </c>
    </row>
    <row r="2661" spans="1:9" x14ac:dyDescent="0.3">
      <c r="A2661" t="s">
        <v>6</v>
      </c>
      <c r="B2661" s="3">
        <v>45639</v>
      </c>
      <c r="C2661">
        <f t="shared" si="660"/>
        <v>13</v>
      </c>
      <c r="D2661">
        <f t="shared" si="661"/>
        <v>12</v>
      </c>
      <c r="E2661">
        <f t="shared" si="662"/>
        <v>2024</v>
      </c>
      <c r="F2661" s="2">
        <v>2426</v>
      </c>
      <c r="G2661" t="s">
        <v>18</v>
      </c>
      <c r="I2661" s="4">
        <f>SUMIFS($F$2:$F$2739,$G$2:$G$2739,"Annual Contract",$E$2:$E$2739,2024)/SUMIF($E$2:$E$2739,2024,$F$2:$F$2739)</f>
        <v>0.19200427193344777</v>
      </c>
    </row>
    <row r="2662" spans="1:9" x14ac:dyDescent="0.3">
      <c r="A2662" t="s">
        <v>5</v>
      </c>
      <c r="B2662" s="3">
        <v>45640</v>
      </c>
      <c r="C2662">
        <f t="shared" si="660"/>
        <v>14</v>
      </c>
      <c r="D2662">
        <f t="shared" si="661"/>
        <v>12</v>
      </c>
      <c r="E2662">
        <f t="shared" si="662"/>
        <v>2024</v>
      </c>
      <c r="F2662" s="2">
        <v>2240</v>
      </c>
      <c r="G2662" t="s">
        <v>19</v>
      </c>
      <c r="I2662" s="4">
        <f t="shared" ref="I2662:I2671" si="669">SUMIFS($F$2:$F$2739,$G$2:$G$2739,"Multi-year Contract",$E$2:$E$2739,2024)/SUMIF($E$2:$E$2739,2024,$F$2:$F$2739)</f>
        <v>0.71222648320847215</v>
      </c>
    </row>
    <row r="2663" spans="1:9" x14ac:dyDescent="0.3">
      <c r="A2663" t="s">
        <v>10</v>
      </c>
      <c r="B2663" s="3">
        <v>45640</v>
      </c>
      <c r="C2663">
        <f t="shared" si="660"/>
        <v>14</v>
      </c>
      <c r="D2663">
        <f t="shared" si="661"/>
        <v>12</v>
      </c>
      <c r="E2663">
        <f t="shared" si="662"/>
        <v>2024</v>
      </c>
      <c r="F2663" s="2">
        <v>1267</v>
      </c>
      <c r="G2663" t="s">
        <v>19</v>
      </c>
      <c r="I2663" s="4">
        <f t="shared" si="669"/>
        <v>0.71222648320847215</v>
      </c>
    </row>
    <row r="2664" spans="1:9" x14ac:dyDescent="0.3">
      <c r="A2664" t="s">
        <v>11</v>
      </c>
      <c r="B2664" s="3">
        <v>45640</v>
      </c>
      <c r="C2664">
        <f t="shared" si="660"/>
        <v>14</v>
      </c>
      <c r="D2664">
        <f t="shared" si="661"/>
        <v>12</v>
      </c>
      <c r="E2664">
        <f t="shared" si="662"/>
        <v>2024</v>
      </c>
      <c r="F2664" s="2">
        <v>2642</v>
      </c>
      <c r="G2664" t="s">
        <v>19</v>
      </c>
      <c r="I2664" s="4">
        <f t="shared" si="669"/>
        <v>0.71222648320847215</v>
      </c>
    </row>
    <row r="2665" spans="1:9" x14ac:dyDescent="0.3">
      <c r="A2665" t="s">
        <v>10</v>
      </c>
      <c r="B2665" s="3">
        <v>45641</v>
      </c>
      <c r="C2665">
        <f t="shared" si="660"/>
        <v>15</v>
      </c>
      <c r="D2665">
        <f t="shared" si="661"/>
        <v>12</v>
      </c>
      <c r="E2665">
        <f t="shared" si="662"/>
        <v>2024</v>
      </c>
      <c r="F2665" s="2">
        <v>1570</v>
      </c>
      <c r="G2665" t="s">
        <v>19</v>
      </c>
      <c r="I2665" s="4">
        <f t="shared" si="669"/>
        <v>0.71222648320847215</v>
      </c>
    </row>
    <row r="2666" spans="1:9" x14ac:dyDescent="0.3">
      <c r="A2666" t="s">
        <v>8</v>
      </c>
      <c r="B2666" s="3">
        <v>45641</v>
      </c>
      <c r="C2666">
        <f t="shared" si="660"/>
        <v>15</v>
      </c>
      <c r="D2666">
        <f t="shared" si="661"/>
        <v>12</v>
      </c>
      <c r="E2666">
        <f t="shared" si="662"/>
        <v>2024</v>
      </c>
      <c r="F2666" s="2">
        <v>2137</v>
      </c>
      <c r="G2666" s="2" t="s">
        <v>19</v>
      </c>
      <c r="I2666" s="4">
        <f t="shared" si="669"/>
        <v>0.71222648320847215</v>
      </c>
    </row>
    <row r="2667" spans="1:9" x14ac:dyDescent="0.3">
      <c r="A2667" t="s">
        <v>3</v>
      </c>
      <c r="B2667" s="3">
        <v>45641</v>
      </c>
      <c r="C2667">
        <f t="shared" si="660"/>
        <v>15</v>
      </c>
      <c r="D2667">
        <f t="shared" si="661"/>
        <v>12</v>
      </c>
      <c r="E2667">
        <f t="shared" si="662"/>
        <v>2024</v>
      </c>
      <c r="F2667" s="2">
        <v>3413</v>
      </c>
      <c r="G2667" t="s">
        <v>19</v>
      </c>
      <c r="I2667" s="4">
        <f t="shared" si="669"/>
        <v>0.71222648320847215</v>
      </c>
    </row>
    <row r="2668" spans="1:9" x14ac:dyDescent="0.3">
      <c r="A2668" t="s">
        <v>4</v>
      </c>
      <c r="B2668" s="3">
        <v>45641</v>
      </c>
      <c r="C2668">
        <f t="shared" si="660"/>
        <v>15</v>
      </c>
      <c r="D2668">
        <f t="shared" si="661"/>
        <v>12</v>
      </c>
      <c r="E2668">
        <f t="shared" si="662"/>
        <v>2024</v>
      </c>
      <c r="F2668" s="2">
        <v>867</v>
      </c>
      <c r="G2668" s="2" t="s">
        <v>19</v>
      </c>
      <c r="I2668" s="4">
        <f t="shared" si="669"/>
        <v>0.71222648320847215</v>
      </c>
    </row>
    <row r="2669" spans="1:9" x14ac:dyDescent="0.3">
      <c r="A2669" t="s">
        <v>5</v>
      </c>
      <c r="B2669" s="3">
        <v>45642</v>
      </c>
      <c r="C2669">
        <f t="shared" si="660"/>
        <v>16</v>
      </c>
      <c r="D2669">
        <f t="shared" si="661"/>
        <v>12</v>
      </c>
      <c r="E2669">
        <f t="shared" si="662"/>
        <v>2024</v>
      </c>
      <c r="F2669" s="2">
        <v>3479</v>
      </c>
      <c r="G2669" t="s">
        <v>19</v>
      </c>
      <c r="I2669" s="4">
        <f t="shared" si="669"/>
        <v>0.71222648320847215</v>
      </c>
    </row>
    <row r="2670" spans="1:9" x14ac:dyDescent="0.3">
      <c r="A2670" t="s">
        <v>5</v>
      </c>
      <c r="B2670" s="3">
        <v>45642</v>
      </c>
      <c r="C2670">
        <f t="shared" si="660"/>
        <v>16</v>
      </c>
      <c r="D2670">
        <f t="shared" si="661"/>
        <v>12</v>
      </c>
      <c r="E2670">
        <f t="shared" si="662"/>
        <v>2024</v>
      </c>
      <c r="F2670" s="2">
        <v>1928</v>
      </c>
      <c r="G2670" t="s">
        <v>19</v>
      </c>
      <c r="I2670" s="4">
        <f t="shared" si="669"/>
        <v>0.71222648320847215</v>
      </c>
    </row>
    <row r="2671" spans="1:9" x14ac:dyDescent="0.3">
      <c r="A2671" t="s">
        <v>8</v>
      </c>
      <c r="B2671" s="3">
        <v>45642</v>
      </c>
      <c r="C2671">
        <f t="shared" si="660"/>
        <v>16</v>
      </c>
      <c r="D2671">
        <f t="shared" si="661"/>
        <v>12</v>
      </c>
      <c r="E2671">
        <f t="shared" si="662"/>
        <v>2024</v>
      </c>
      <c r="F2671" s="2">
        <v>3637</v>
      </c>
      <c r="G2671" s="2" t="s">
        <v>19</v>
      </c>
      <c r="I2671" s="4">
        <f t="shared" si="669"/>
        <v>0.71222648320847215</v>
      </c>
    </row>
    <row r="2672" spans="1:9" x14ac:dyDescent="0.3">
      <c r="A2672" t="s">
        <v>7</v>
      </c>
      <c r="B2672" s="3">
        <v>45642</v>
      </c>
      <c r="C2672">
        <f t="shared" si="660"/>
        <v>16</v>
      </c>
      <c r="D2672">
        <f t="shared" si="661"/>
        <v>12</v>
      </c>
      <c r="E2672">
        <f t="shared" si="662"/>
        <v>2024</v>
      </c>
      <c r="F2672" s="2">
        <v>1741</v>
      </c>
      <c r="G2672" t="s">
        <v>17</v>
      </c>
      <c r="I2672" s="4">
        <f t="shared" ref="I2672:I2673" si="670">SUMIFS($F$2:$F$2739,$G$2:$G$2739,"No Contract",$E$2:$E$2739,2024)/SUMIF($E$2:$E$2739,2024,$F$2:$F$2739)</f>
        <v>9.576924485808011E-2</v>
      </c>
    </row>
    <row r="2673" spans="1:9" x14ac:dyDescent="0.3">
      <c r="A2673" t="s">
        <v>7</v>
      </c>
      <c r="B2673" s="3">
        <v>45642</v>
      </c>
      <c r="C2673">
        <f t="shared" si="660"/>
        <v>16</v>
      </c>
      <c r="D2673">
        <f t="shared" si="661"/>
        <v>12</v>
      </c>
      <c r="E2673">
        <f t="shared" si="662"/>
        <v>2024</v>
      </c>
      <c r="F2673" s="2">
        <v>3927</v>
      </c>
      <c r="G2673" t="s">
        <v>17</v>
      </c>
      <c r="I2673" s="4">
        <f t="shared" si="670"/>
        <v>9.576924485808011E-2</v>
      </c>
    </row>
    <row r="2674" spans="1:9" x14ac:dyDescent="0.3">
      <c r="A2674" t="s">
        <v>10</v>
      </c>
      <c r="B2674" s="3">
        <v>45642</v>
      </c>
      <c r="C2674">
        <f t="shared" si="660"/>
        <v>16</v>
      </c>
      <c r="D2674">
        <f t="shared" si="661"/>
        <v>12</v>
      </c>
      <c r="E2674">
        <f t="shared" si="662"/>
        <v>2024</v>
      </c>
      <c r="F2674" s="2">
        <v>3902</v>
      </c>
      <c r="G2674" t="s">
        <v>19</v>
      </c>
      <c r="I2674" s="4">
        <f>SUMIFS($F$2:$F$2739,$G$2:$G$2739,"Multi-year Contract",$E$2:$E$2739,2024)/SUMIF($E$2:$E$2739,2024,$F$2:$F$2739)</f>
        <v>0.71222648320847215</v>
      </c>
    </row>
    <row r="2675" spans="1:9" x14ac:dyDescent="0.3">
      <c r="A2675" t="s">
        <v>6</v>
      </c>
      <c r="B2675" s="3">
        <v>45642</v>
      </c>
      <c r="C2675">
        <f t="shared" si="660"/>
        <v>16</v>
      </c>
      <c r="D2675">
        <f t="shared" si="661"/>
        <v>12</v>
      </c>
      <c r="E2675">
        <f t="shared" si="662"/>
        <v>2024</v>
      </c>
      <c r="F2675" s="2">
        <v>2199</v>
      </c>
      <c r="G2675" t="s">
        <v>18</v>
      </c>
      <c r="I2675" s="4">
        <f>SUMIFS($F$2:$F$2739,$G$2:$G$2739,"Annual Contract",$E$2:$E$2739,2024)/SUMIF($E$2:$E$2739,2024,$F$2:$F$2739)</f>
        <v>0.19200427193344777</v>
      </c>
    </row>
    <row r="2676" spans="1:9" x14ac:dyDescent="0.3">
      <c r="A2676" t="s">
        <v>7</v>
      </c>
      <c r="B2676" s="3">
        <v>45643</v>
      </c>
      <c r="C2676">
        <f t="shared" si="660"/>
        <v>17</v>
      </c>
      <c r="D2676">
        <f t="shared" si="661"/>
        <v>12</v>
      </c>
      <c r="E2676">
        <f t="shared" si="662"/>
        <v>2024</v>
      </c>
      <c r="F2676" s="2">
        <v>2121</v>
      </c>
      <c r="G2676" t="s">
        <v>17</v>
      </c>
      <c r="I2676" s="4">
        <f t="shared" ref="I2676:I2677" si="671">SUMIFS($F$2:$F$2739,$G$2:$G$2739,"No Contract",$E$2:$E$2739,2024)/SUMIF($E$2:$E$2739,2024,$F$2:$F$2739)</f>
        <v>9.576924485808011E-2</v>
      </c>
    </row>
    <row r="2677" spans="1:9" x14ac:dyDescent="0.3">
      <c r="A2677" t="s">
        <v>7</v>
      </c>
      <c r="B2677" s="3">
        <v>45643</v>
      </c>
      <c r="C2677">
        <f t="shared" si="660"/>
        <v>17</v>
      </c>
      <c r="D2677">
        <f t="shared" si="661"/>
        <v>12</v>
      </c>
      <c r="E2677">
        <f t="shared" si="662"/>
        <v>2024</v>
      </c>
      <c r="F2677" s="2">
        <v>1301</v>
      </c>
      <c r="G2677" t="s">
        <v>17</v>
      </c>
      <c r="I2677" s="4">
        <f t="shared" si="671"/>
        <v>9.576924485808011E-2</v>
      </c>
    </row>
    <row r="2678" spans="1:9" x14ac:dyDescent="0.3">
      <c r="A2678" t="s">
        <v>11</v>
      </c>
      <c r="B2678" s="3">
        <v>45643</v>
      </c>
      <c r="C2678">
        <f t="shared" si="660"/>
        <v>17</v>
      </c>
      <c r="D2678">
        <f t="shared" si="661"/>
        <v>12</v>
      </c>
      <c r="E2678">
        <f t="shared" si="662"/>
        <v>2024</v>
      </c>
      <c r="F2678" s="2">
        <v>937</v>
      </c>
      <c r="G2678" t="s">
        <v>19</v>
      </c>
      <c r="I2678" s="4">
        <f>SUMIFS($F$2:$F$2739,$G$2:$G$2739,"Multi-year Contract",$E$2:$E$2739,2024)/SUMIF($E$2:$E$2739,2024,$F$2:$F$2739)</f>
        <v>0.71222648320847215</v>
      </c>
    </row>
    <row r="2679" spans="1:9" x14ac:dyDescent="0.3">
      <c r="A2679" t="s">
        <v>6</v>
      </c>
      <c r="B2679" s="3">
        <v>45643</v>
      </c>
      <c r="C2679">
        <f t="shared" si="660"/>
        <v>17</v>
      </c>
      <c r="D2679">
        <f t="shared" si="661"/>
        <v>12</v>
      </c>
      <c r="E2679">
        <f t="shared" si="662"/>
        <v>2024</v>
      </c>
      <c r="F2679" s="2">
        <v>2710</v>
      </c>
      <c r="G2679" t="s">
        <v>18</v>
      </c>
      <c r="I2679" s="4">
        <f>SUMIFS($F$2:$F$2739,$G$2:$G$2739,"Annual Contract",$E$2:$E$2739,2024)/SUMIF($E$2:$E$2739,2024,$F$2:$F$2739)</f>
        <v>0.19200427193344777</v>
      </c>
    </row>
    <row r="2680" spans="1:9" x14ac:dyDescent="0.3">
      <c r="A2680" t="s">
        <v>10</v>
      </c>
      <c r="B2680" s="3">
        <v>45643</v>
      </c>
      <c r="C2680">
        <f t="shared" si="660"/>
        <v>17</v>
      </c>
      <c r="D2680">
        <f t="shared" si="661"/>
        <v>12</v>
      </c>
      <c r="E2680">
        <f t="shared" si="662"/>
        <v>2024</v>
      </c>
      <c r="F2680" s="2">
        <v>884</v>
      </c>
      <c r="G2680" t="s">
        <v>19</v>
      </c>
      <c r="I2680" s="4">
        <f>SUMIFS($F$2:$F$2739,$G$2:$G$2739,"Multi-year Contract",$E$2:$E$2739,2024)/SUMIF($E$2:$E$2739,2024,$F$2:$F$2739)</f>
        <v>0.71222648320847215</v>
      </c>
    </row>
    <row r="2681" spans="1:9" x14ac:dyDescent="0.3">
      <c r="A2681" t="s">
        <v>9</v>
      </c>
      <c r="B2681" s="3">
        <v>45643</v>
      </c>
      <c r="C2681">
        <f t="shared" si="660"/>
        <v>17</v>
      </c>
      <c r="D2681">
        <f t="shared" si="661"/>
        <v>12</v>
      </c>
      <c r="E2681">
        <f t="shared" si="662"/>
        <v>2024</v>
      </c>
      <c r="F2681" s="2">
        <v>907</v>
      </c>
      <c r="G2681" t="s">
        <v>18</v>
      </c>
      <c r="I2681" s="4">
        <f>SUMIFS($F$2:$F$2739,$G$2:$G$2739,"Annual Contract",$E$2:$E$2739,2024)/SUMIF($E$2:$E$2739,2024,$F$2:$F$2739)</f>
        <v>0.19200427193344777</v>
      </c>
    </row>
    <row r="2682" spans="1:9" x14ac:dyDescent="0.3">
      <c r="A2682" t="s">
        <v>3</v>
      </c>
      <c r="B2682" s="3">
        <v>45643</v>
      </c>
      <c r="C2682">
        <f t="shared" si="660"/>
        <v>17</v>
      </c>
      <c r="D2682">
        <f t="shared" si="661"/>
        <v>12</v>
      </c>
      <c r="E2682">
        <f t="shared" si="662"/>
        <v>2024</v>
      </c>
      <c r="F2682" s="2">
        <v>927</v>
      </c>
      <c r="G2682" t="s">
        <v>19</v>
      </c>
      <c r="I2682" s="4">
        <f>SUMIFS($F$2:$F$2739,$G$2:$G$2739,"Multi-year Contract",$E$2:$E$2739,2024)/SUMIF($E$2:$E$2739,2024,$F$2:$F$2739)</f>
        <v>0.71222648320847215</v>
      </c>
    </row>
    <row r="2683" spans="1:9" x14ac:dyDescent="0.3">
      <c r="A2683" t="s">
        <v>6</v>
      </c>
      <c r="B2683" s="3">
        <v>45644</v>
      </c>
      <c r="C2683">
        <f t="shared" si="660"/>
        <v>18</v>
      </c>
      <c r="D2683">
        <f t="shared" si="661"/>
        <v>12</v>
      </c>
      <c r="E2683">
        <f t="shared" si="662"/>
        <v>2024</v>
      </c>
      <c r="F2683" s="2">
        <v>2573</v>
      </c>
      <c r="G2683" t="s">
        <v>18</v>
      </c>
      <c r="I2683" s="4">
        <f t="shared" ref="I2683:I2684" si="672">SUMIFS($F$2:$F$2739,$G$2:$G$2739,"Annual Contract",$E$2:$E$2739,2024)/SUMIF($E$2:$E$2739,2024,$F$2:$F$2739)</f>
        <v>0.19200427193344777</v>
      </c>
    </row>
    <row r="2684" spans="1:9" x14ac:dyDescent="0.3">
      <c r="A2684" t="s">
        <v>9</v>
      </c>
      <c r="B2684" s="3">
        <v>45644</v>
      </c>
      <c r="C2684">
        <f t="shared" si="660"/>
        <v>18</v>
      </c>
      <c r="D2684">
        <f t="shared" si="661"/>
        <v>12</v>
      </c>
      <c r="E2684">
        <f t="shared" si="662"/>
        <v>2024</v>
      </c>
      <c r="F2684" s="2">
        <v>2738</v>
      </c>
      <c r="G2684" t="s">
        <v>18</v>
      </c>
      <c r="I2684" s="4">
        <f t="shared" si="672"/>
        <v>0.19200427193344777</v>
      </c>
    </row>
    <row r="2685" spans="1:9" x14ac:dyDescent="0.3">
      <c r="A2685" t="s">
        <v>11</v>
      </c>
      <c r="B2685" s="3">
        <v>45644</v>
      </c>
      <c r="C2685">
        <f t="shared" si="660"/>
        <v>18</v>
      </c>
      <c r="D2685">
        <f t="shared" si="661"/>
        <v>12</v>
      </c>
      <c r="E2685">
        <f t="shared" si="662"/>
        <v>2024</v>
      </c>
      <c r="F2685" s="2">
        <v>3872</v>
      </c>
      <c r="G2685" t="s">
        <v>19</v>
      </c>
      <c r="I2685" s="4">
        <f t="shared" ref="I2685:I2695" si="673">SUMIFS($F$2:$F$2739,$G$2:$G$2739,"Multi-year Contract",$E$2:$E$2739,2024)/SUMIF($E$2:$E$2739,2024,$F$2:$F$2739)</f>
        <v>0.71222648320847215</v>
      </c>
    </row>
    <row r="2686" spans="1:9" x14ac:dyDescent="0.3">
      <c r="A2686" t="s">
        <v>4</v>
      </c>
      <c r="B2686" s="3">
        <v>45645</v>
      </c>
      <c r="C2686">
        <f t="shared" si="660"/>
        <v>19</v>
      </c>
      <c r="D2686">
        <f t="shared" si="661"/>
        <v>12</v>
      </c>
      <c r="E2686">
        <f t="shared" si="662"/>
        <v>2024</v>
      </c>
      <c r="F2686" s="2">
        <v>852</v>
      </c>
      <c r="G2686" s="2" t="s">
        <v>19</v>
      </c>
      <c r="I2686" s="4">
        <f t="shared" si="673"/>
        <v>0.71222648320847215</v>
      </c>
    </row>
    <row r="2687" spans="1:9" x14ac:dyDescent="0.3">
      <c r="A2687" t="s">
        <v>3</v>
      </c>
      <c r="B2687" s="3">
        <v>45645</v>
      </c>
      <c r="C2687">
        <f t="shared" si="660"/>
        <v>19</v>
      </c>
      <c r="D2687">
        <f t="shared" si="661"/>
        <v>12</v>
      </c>
      <c r="E2687">
        <f t="shared" si="662"/>
        <v>2024</v>
      </c>
      <c r="F2687" s="2">
        <v>2399</v>
      </c>
      <c r="G2687" t="s">
        <v>19</v>
      </c>
      <c r="I2687" s="4">
        <f t="shared" si="673"/>
        <v>0.71222648320847215</v>
      </c>
    </row>
    <row r="2688" spans="1:9" x14ac:dyDescent="0.3">
      <c r="A2688" t="s">
        <v>3</v>
      </c>
      <c r="B2688" s="3">
        <v>45645</v>
      </c>
      <c r="C2688">
        <f t="shared" si="660"/>
        <v>19</v>
      </c>
      <c r="D2688">
        <f t="shared" si="661"/>
        <v>12</v>
      </c>
      <c r="E2688">
        <f t="shared" si="662"/>
        <v>2024</v>
      </c>
      <c r="F2688" s="2">
        <v>3961</v>
      </c>
      <c r="G2688" t="s">
        <v>19</v>
      </c>
      <c r="I2688" s="4">
        <f t="shared" si="673"/>
        <v>0.71222648320847215</v>
      </c>
    </row>
    <row r="2689" spans="1:9" x14ac:dyDescent="0.3">
      <c r="A2689" t="s">
        <v>3</v>
      </c>
      <c r="B2689" s="3">
        <v>45645</v>
      </c>
      <c r="C2689">
        <f t="shared" si="660"/>
        <v>19</v>
      </c>
      <c r="D2689">
        <f t="shared" si="661"/>
        <v>12</v>
      </c>
      <c r="E2689">
        <f t="shared" si="662"/>
        <v>2024</v>
      </c>
      <c r="F2689" s="2">
        <v>1893</v>
      </c>
      <c r="G2689" t="s">
        <v>19</v>
      </c>
      <c r="I2689" s="4">
        <f t="shared" si="673"/>
        <v>0.71222648320847215</v>
      </c>
    </row>
    <row r="2690" spans="1:9" x14ac:dyDescent="0.3">
      <c r="A2690" t="s">
        <v>11</v>
      </c>
      <c r="B2690" s="3">
        <v>45645</v>
      </c>
      <c r="C2690">
        <f t="shared" si="660"/>
        <v>19</v>
      </c>
      <c r="D2690">
        <f t="shared" si="661"/>
        <v>12</v>
      </c>
      <c r="E2690">
        <f t="shared" si="662"/>
        <v>2024</v>
      </c>
      <c r="F2690" s="2">
        <v>723</v>
      </c>
      <c r="G2690" t="s">
        <v>19</v>
      </c>
      <c r="I2690" s="4">
        <f t="shared" si="673"/>
        <v>0.71222648320847215</v>
      </c>
    </row>
    <row r="2691" spans="1:9" x14ac:dyDescent="0.3">
      <c r="A2691" t="s">
        <v>12</v>
      </c>
      <c r="B2691" s="3">
        <v>45646</v>
      </c>
      <c r="C2691">
        <f t="shared" ref="C2691:C2739" si="674">DAY(B2691)</f>
        <v>20</v>
      </c>
      <c r="D2691">
        <f t="shared" ref="D2691:D2739" si="675">MONTH(B2691)</f>
        <v>12</v>
      </c>
      <c r="E2691">
        <f t="shared" ref="E2691:E2739" si="676">YEAR(B2691)</f>
        <v>2024</v>
      </c>
      <c r="F2691" s="2">
        <v>3307</v>
      </c>
      <c r="G2691" s="2" t="s">
        <v>19</v>
      </c>
      <c r="I2691" s="4">
        <f t="shared" si="673"/>
        <v>0.71222648320847215</v>
      </c>
    </row>
    <row r="2692" spans="1:9" x14ac:dyDescent="0.3">
      <c r="A2692" t="s">
        <v>8</v>
      </c>
      <c r="B2692" s="3">
        <v>45646</v>
      </c>
      <c r="C2692">
        <f t="shared" si="674"/>
        <v>20</v>
      </c>
      <c r="D2692">
        <f t="shared" si="675"/>
        <v>12</v>
      </c>
      <c r="E2692">
        <f t="shared" si="676"/>
        <v>2024</v>
      </c>
      <c r="F2692" s="2">
        <v>710</v>
      </c>
      <c r="G2692" s="2" t="s">
        <v>19</v>
      </c>
      <c r="I2692" s="4">
        <f t="shared" si="673"/>
        <v>0.71222648320847215</v>
      </c>
    </row>
    <row r="2693" spans="1:9" x14ac:dyDescent="0.3">
      <c r="A2693" t="s">
        <v>12</v>
      </c>
      <c r="B2693" s="3">
        <v>45646</v>
      </c>
      <c r="C2693">
        <f t="shared" si="674"/>
        <v>20</v>
      </c>
      <c r="D2693">
        <f t="shared" si="675"/>
        <v>12</v>
      </c>
      <c r="E2693">
        <f t="shared" si="676"/>
        <v>2024</v>
      </c>
      <c r="F2693" s="2">
        <v>2960</v>
      </c>
      <c r="G2693" s="2" t="s">
        <v>19</v>
      </c>
      <c r="I2693" s="4">
        <f t="shared" si="673"/>
        <v>0.71222648320847215</v>
      </c>
    </row>
    <row r="2694" spans="1:9" x14ac:dyDescent="0.3">
      <c r="A2694" t="s">
        <v>5</v>
      </c>
      <c r="B2694" s="3">
        <v>45647</v>
      </c>
      <c r="C2694">
        <f t="shared" si="674"/>
        <v>21</v>
      </c>
      <c r="D2694">
        <f t="shared" si="675"/>
        <v>12</v>
      </c>
      <c r="E2694">
        <f t="shared" si="676"/>
        <v>2024</v>
      </c>
      <c r="F2694" s="2">
        <v>1233</v>
      </c>
      <c r="G2694" t="s">
        <v>19</v>
      </c>
      <c r="I2694" s="4">
        <f t="shared" si="673"/>
        <v>0.71222648320847215</v>
      </c>
    </row>
    <row r="2695" spans="1:9" x14ac:dyDescent="0.3">
      <c r="A2695" t="s">
        <v>5</v>
      </c>
      <c r="B2695" s="3">
        <v>45647</v>
      </c>
      <c r="C2695">
        <f t="shared" si="674"/>
        <v>21</v>
      </c>
      <c r="D2695">
        <f t="shared" si="675"/>
        <v>12</v>
      </c>
      <c r="E2695">
        <f t="shared" si="676"/>
        <v>2024</v>
      </c>
      <c r="F2695" s="2">
        <v>3949</v>
      </c>
      <c r="G2695" t="s">
        <v>19</v>
      </c>
      <c r="I2695" s="4">
        <f t="shared" si="673"/>
        <v>0.71222648320847215</v>
      </c>
    </row>
    <row r="2696" spans="1:9" x14ac:dyDescent="0.3">
      <c r="A2696" t="s">
        <v>7</v>
      </c>
      <c r="B2696" s="3">
        <v>45647</v>
      </c>
      <c r="C2696">
        <f t="shared" si="674"/>
        <v>21</v>
      </c>
      <c r="D2696">
        <f t="shared" si="675"/>
        <v>12</v>
      </c>
      <c r="E2696">
        <f t="shared" si="676"/>
        <v>2024</v>
      </c>
      <c r="F2696" s="2">
        <v>1867</v>
      </c>
      <c r="G2696" t="s">
        <v>17</v>
      </c>
      <c r="I2696" s="4">
        <f>SUMIFS($F$2:$F$2739,$G$2:$G$2739,"No Contract",$E$2:$E$2739,2024)/SUMIF($E$2:$E$2739,2024,$F$2:$F$2739)</f>
        <v>9.576924485808011E-2</v>
      </c>
    </row>
    <row r="2697" spans="1:9" x14ac:dyDescent="0.3">
      <c r="A2697" t="s">
        <v>4</v>
      </c>
      <c r="B2697" s="3">
        <v>45647</v>
      </c>
      <c r="C2697">
        <f t="shared" si="674"/>
        <v>21</v>
      </c>
      <c r="D2697">
        <f t="shared" si="675"/>
        <v>12</v>
      </c>
      <c r="E2697">
        <f t="shared" si="676"/>
        <v>2024</v>
      </c>
      <c r="F2697" s="2">
        <v>761</v>
      </c>
      <c r="G2697" s="2" t="s">
        <v>19</v>
      </c>
      <c r="I2697" s="4">
        <f t="shared" ref="I2697:I2699" si="677">SUMIFS($F$2:$F$2739,$G$2:$G$2739,"Multi-year Contract",$E$2:$E$2739,2024)/SUMIF($E$2:$E$2739,2024,$F$2:$F$2739)</f>
        <v>0.71222648320847215</v>
      </c>
    </row>
    <row r="2698" spans="1:9" x14ac:dyDescent="0.3">
      <c r="A2698" t="s">
        <v>3</v>
      </c>
      <c r="B2698" s="3">
        <v>45647</v>
      </c>
      <c r="C2698">
        <f t="shared" si="674"/>
        <v>21</v>
      </c>
      <c r="D2698">
        <f t="shared" si="675"/>
        <v>12</v>
      </c>
      <c r="E2698">
        <f t="shared" si="676"/>
        <v>2024</v>
      </c>
      <c r="F2698" s="2">
        <v>923</v>
      </c>
      <c r="G2698" t="s">
        <v>19</v>
      </c>
      <c r="I2698" s="4">
        <f t="shared" si="677"/>
        <v>0.71222648320847215</v>
      </c>
    </row>
    <row r="2699" spans="1:9" x14ac:dyDescent="0.3">
      <c r="A2699" t="s">
        <v>8</v>
      </c>
      <c r="B2699" s="3">
        <v>45647</v>
      </c>
      <c r="C2699">
        <f t="shared" si="674"/>
        <v>21</v>
      </c>
      <c r="D2699">
        <f t="shared" si="675"/>
        <v>12</v>
      </c>
      <c r="E2699">
        <f t="shared" si="676"/>
        <v>2024</v>
      </c>
      <c r="F2699" s="2">
        <v>3390</v>
      </c>
      <c r="G2699" s="2" t="s">
        <v>19</v>
      </c>
      <c r="I2699" s="4">
        <f t="shared" si="677"/>
        <v>0.71222648320847215</v>
      </c>
    </row>
    <row r="2700" spans="1:9" x14ac:dyDescent="0.3">
      <c r="A2700" t="s">
        <v>9</v>
      </c>
      <c r="B2700" s="3">
        <v>45647</v>
      </c>
      <c r="C2700">
        <f t="shared" si="674"/>
        <v>21</v>
      </c>
      <c r="D2700">
        <f t="shared" si="675"/>
        <v>12</v>
      </c>
      <c r="E2700">
        <f t="shared" si="676"/>
        <v>2024</v>
      </c>
      <c r="F2700" s="2">
        <v>2759</v>
      </c>
      <c r="G2700" t="s">
        <v>18</v>
      </c>
      <c r="I2700" s="4">
        <f t="shared" ref="I2700:I2701" si="678">SUMIFS($F$2:$F$2739,$G$2:$G$2739,"Annual Contract",$E$2:$E$2739,2024)/SUMIF($E$2:$E$2739,2024,$F$2:$F$2739)</f>
        <v>0.19200427193344777</v>
      </c>
    </row>
    <row r="2701" spans="1:9" x14ac:dyDescent="0.3">
      <c r="A2701" t="s">
        <v>6</v>
      </c>
      <c r="B2701" s="3">
        <v>45647</v>
      </c>
      <c r="C2701">
        <f t="shared" si="674"/>
        <v>21</v>
      </c>
      <c r="D2701">
        <f t="shared" si="675"/>
        <v>12</v>
      </c>
      <c r="E2701">
        <f t="shared" si="676"/>
        <v>2024</v>
      </c>
      <c r="F2701" s="2">
        <v>1205</v>
      </c>
      <c r="G2701" t="s">
        <v>18</v>
      </c>
      <c r="I2701" s="4">
        <f t="shared" si="678"/>
        <v>0.19200427193344777</v>
      </c>
    </row>
    <row r="2702" spans="1:9" x14ac:dyDescent="0.3">
      <c r="A2702" t="s">
        <v>8</v>
      </c>
      <c r="B2702" s="3">
        <v>45647</v>
      </c>
      <c r="C2702">
        <f t="shared" si="674"/>
        <v>21</v>
      </c>
      <c r="D2702">
        <f t="shared" si="675"/>
        <v>12</v>
      </c>
      <c r="E2702">
        <f t="shared" si="676"/>
        <v>2024</v>
      </c>
      <c r="F2702" s="2">
        <v>1885</v>
      </c>
      <c r="G2702" s="2" t="s">
        <v>19</v>
      </c>
      <c r="I2702" s="4">
        <f t="shared" ref="I2702:I2705" si="679">SUMIFS($F$2:$F$2739,$G$2:$G$2739,"Multi-year Contract",$E$2:$E$2739,2024)/SUMIF($E$2:$E$2739,2024,$F$2:$F$2739)</f>
        <v>0.71222648320847215</v>
      </c>
    </row>
    <row r="2703" spans="1:9" x14ac:dyDescent="0.3">
      <c r="A2703" t="s">
        <v>11</v>
      </c>
      <c r="B2703" s="3">
        <v>45648</v>
      </c>
      <c r="C2703">
        <f t="shared" si="674"/>
        <v>22</v>
      </c>
      <c r="D2703">
        <f t="shared" si="675"/>
        <v>12</v>
      </c>
      <c r="E2703">
        <f t="shared" si="676"/>
        <v>2024</v>
      </c>
      <c r="F2703" s="2">
        <v>1399</v>
      </c>
      <c r="G2703" t="s">
        <v>19</v>
      </c>
      <c r="I2703" s="4">
        <f t="shared" si="679"/>
        <v>0.71222648320847215</v>
      </c>
    </row>
    <row r="2704" spans="1:9" x14ac:dyDescent="0.3">
      <c r="A2704" t="s">
        <v>10</v>
      </c>
      <c r="B2704" s="3">
        <v>45648</v>
      </c>
      <c r="C2704">
        <f t="shared" si="674"/>
        <v>22</v>
      </c>
      <c r="D2704">
        <f t="shared" si="675"/>
        <v>12</v>
      </c>
      <c r="E2704">
        <f t="shared" si="676"/>
        <v>2024</v>
      </c>
      <c r="F2704" s="2">
        <v>686</v>
      </c>
      <c r="G2704" t="s">
        <v>19</v>
      </c>
      <c r="I2704" s="4">
        <f t="shared" si="679"/>
        <v>0.71222648320847215</v>
      </c>
    </row>
    <row r="2705" spans="1:9" x14ac:dyDescent="0.3">
      <c r="A2705" t="s">
        <v>12</v>
      </c>
      <c r="B2705" s="3">
        <v>45648</v>
      </c>
      <c r="C2705">
        <f t="shared" si="674"/>
        <v>22</v>
      </c>
      <c r="D2705">
        <f t="shared" si="675"/>
        <v>12</v>
      </c>
      <c r="E2705">
        <f t="shared" si="676"/>
        <v>2024</v>
      </c>
      <c r="F2705" s="2">
        <v>2288</v>
      </c>
      <c r="G2705" s="2" t="s">
        <v>19</v>
      </c>
      <c r="I2705" s="4">
        <f t="shared" si="679"/>
        <v>0.71222648320847215</v>
      </c>
    </row>
    <row r="2706" spans="1:9" x14ac:dyDescent="0.3">
      <c r="A2706" t="s">
        <v>6</v>
      </c>
      <c r="B2706" s="3">
        <v>45648</v>
      </c>
      <c r="C2706">
        <f t="shared" si="674"/>
        <v>22</v>
      </c>
      <c r="D2706">
        <f t="shared" si="675"/>
        <v>12</v>
      </c>
      <c r="E2706">
        <f t="shared" si="676"/>
        <v>2024</v>
      </c>
      <c r="F2706" s="2">
        <v>622</v>
      </c>
      <c r="G2706" t="s">
        <v>18</v>
      </c>
      <c r="I2706" s="4">
        <f>SUMIFS($F$2:$F$2739,$G$2:$G$2739,"Annual Contract",$E$2:$E$2739,2024)/SUMIF($E$2:$E$2739,2024,$F$2:$F$2739)</f>
        <v>0.19200427193344777</v>
      </c>
    </row>
    <row r="2707" spans="1:9" x14ac:dyDescent="0.3">
      <c r="A2707" t="s">
        <v>7</v>
      </c>
      <c r="B2707" s="3">
        <v>45648</v>
      </c>
      <c r="C2707">
        <f t="shared" si="674"/>
        <v>22</v>
      </c>
      <c r="D2707">
        <f t="shared" si="675"/>
        <v>12</v>
      </c>
      <c r="E2707">
        <f t="shared" si="676"/>
        <v>2024</v>
      </c>
      <c r="F2707" s="2">
        <v>3744</v>
      </c>
      <c r="G2707" t="s">
        <v>17</v>
      </c>
      <c r="I2707" s="4">
        <f>SUMIFS($F$2:$F$2739,$G$2:$G$2739,"No Contract",$E$2:$E$2739,2024)/SUMIF($E$2:$E$2739,2024,$F$2:$F$2739)</f>
        <v>9.576924485808011E-2</v>
      </c>
    </row>
    <row r="2708" spans="1:9" x14ac:dyDescent="0.3">
      <c r="A2708" t="s">
        <v>11</v>
      </c>
      <c r="B2708" s="3">
        <v>45650</v>
      </c>
      <c r="C2708">
        <f t="shared" si="674"/>
        <v>24</v>
      </c>
      <c r="D2708">
        <f t="shared" si="675"/>
        <v>12</v>
      </c>
      <c r="E2708">
        <f t="shared" si="676"/>
        <v>2024</v>
      </c>
      <c r="F2708" s="2">
        <v>1887</v>
      </c>
      <c r="G2708" t="s">
        <v>19</v>
      </c>
      <c r="I2708" s="4">
        <f>SUMIFS($F$2:$F$2739,$G$2:$G$2739,"Multi-year Contract",$E$2:$E$2739,2024)/SUMIF($E$2:$E$2739,2024,$F$2:$F$2739)</f>
        <v>0.71222648320847215</v>
      </c>
    </row>
    <row r="2709" spans="1:9" x14ac:dyDescent="0.3">
      <c r="A2709" t="s">
        <v>7</v>
      </c>
      <c r="B2709" s="3">
        <v>45651</v>
      </c>
      <c r="C2709">
        <f t="shared" si="674"/>
        <v>25</v>
      </c>
      <c r="D2709">
        <f t="shared" si="675"/>
        <v>12</v>
      </c>
      <c r="E2709">
        <f t="shared" si="676"/>
        <v>2024</v>
      </c>
      <c r="F2709" s="2">
        <v>1056</v>
      </c>
      <c r="G2709" t="s">
        <v>17</v>
      </c>
      <c r="I2709" s="4">
        <f>SUMIFS($F$2:$F$2739,$G$2:$G$2739,"No Contract",$E$2:$E$2739,2024)/SUMIF($E$2:$E$2739,2024,$F$2:$F$2739)</f>
        <v>9.576924485808011E-2</v>
      </c>
    </row>
    <row r="2710" spans="1:9" x14ac:dyDescent="0.3">
      <c r="A2710" t="s">
        <v>12</v>
      </c>
      <c r="B2710" s="3">
        <v>45651</v>
      </c>
      <c r="C2710">
        <f t="shared" si="674"/>
        <v>25</v>
      </c>
      <c r="D2710">
        <f t="shared" si="675"/>
        <v>12</v>
      </c>
      <c r="E2710">
        <f t="shared" si="676"/>
        <v>2024</v>
      </c>
      <c r="F2710" s="2">
        <v>3430</v>
      </c>
      <c r="G2710" s="2" t="s">
        <v>19</v>
      </c>
      <c r="I2710" s="4">
        <f t="shared" ref="I2710:I2711" si="680">SUMIFS($F$2:$F$2739,$G$2:$G$2739,"Multi-year Contract",$E$2:$E$2739,2024)/SUMIF($E$2:$E$2739,2024,$F$2:$F$2739)</f>
        <v>0.71222648320847215</v>
      </c>
    </row>
    <row r="2711" spans="1:9" x14ac:dyDescent="0.3">
      <c r="A2711" t="s">
        <v>5</v>
      </c>
      <c r="B2711" s="3">
        <v>45651</v>
      </c>
      <c r="C2711">
        <f t="shared" si="674"/>
        <v>25</v>
      </c>
      <c r="D2711">
        <f t="shared" si="675"/>
        <v>12</v>
      </c>
      <c r="E2711">
        <f t="shared" si="676"/>
        <v>2024</v>
      </c>
      <c r="F2711" s="2">
        <v>2088</v>
      </c>
      <c r="G2711" t="s">
        <v>19</v>
      </c>
      <c r="I2711" s="4">
        <f t="shared" si="680"/>
        <v>0.71222648320847215</v>
      </c>
    </row>
    <row r="2712" spans="1:9" x14ac:dyDescent="0.3">
      <c r="A2712" t="s">
        <v>6</v>
      </c>
      <c r="B2712" s="3">
        <v>45652</v>
      </c>
      <c r="C2712">
        <f t="shared" si="674"/>
        <v>26</v>
      </c>
      <c r="D2712">
        <f t="shared" si="675"/>
        <v>12</v>
      </c>
      <c r="E2712">
        <f t="shared" si="676"/>
        <v>2024</v>
      </c>
      <c r="F2712" s="2">
        <v>2680</v>
      </c>
      <c r="G2712" t="s">
        <v>18</v>
      </c>
      <c r="I2712" s="4">
        <f>SUMIFS($F$2:$F$2739,$G$2:$G$2739,"Annual Contract",$E$2:$E$2739,2024)/SUMIF($E$2:$E$2739,2024,$F$2:$F$2739)</f>
        <v>0.19200427193344777</v>
      </c>
    </row>
    <row r="2713" spans="1:9" x14ac:dyDescent="0.3">
      <c r="A2713" t="s">
        <v>12</v>
      </c>
      <c r="B2713" s="3">
        <v>45652</v>
      </c>
      <c r="C2713">
        <f t="shared" si="674"/>
        <v>26</v>
      </c>
      <c r="D2713">
        <f t="shared" si="675"/>
        <v>12</v>
      </c>
      <c r="E2713">
        <f t="shared" si="676"/>
        <v>2024</v>
      </c>
      <c r="F2713" s="2">
        <v>2355</v>
      </c>
      <c r="G2713" s="2" t="s">
        <v>19</v>
      </c>
      <c r="I2713" s="4">
        <f>SUMIFS($F$2:$F$2739,$G$2:$G$2739,"Multi-year Contract",$E$2:$E$2739,2024)/SUMIF($E$2:$E$2739,2024,$F$2:$F$2739)</f>
        <v>0.71222648320847215</v>
      </c>
    </row>
    <row r="2714" spans="1:9" x14ac:dyDescent="0.3">
      <c r="A2714" t="s">
        <v>7</v>
      </c>
      <c r="B2714" s="3">
        <v>45652</v>
      </c>
      <c r="C2714">
        <f t="shared" si="674"/>
        <v>26</v>
      </c>
      <c r="D2714">
        <f t="shared" si="675"/>
        <v>12</v>
      </c>
      <c r="E2714">
        <f t="shared" si="676"/>
        <v>2024</v>
      </c>
      <c r="F2714" s="2">
        <v>555</v>
      </c>
      <c r="G2714" t="s">
        <v>17</v>
      </c>
      <c r="I2714" s="4">
        <f>SUMIFS($F$2:$F$2739,$G$2:$G$2739,"No Contract",$E$2:$E$2739,2024)/SUMIF($E$2:$E$2739,2024,$F$2:$F$2739)</f>
        <v>9.576924485808011E-2</v>
      </c>
    </row>
    <row r="2715" spans="1:9" x14ac:dyDescent="0.3">
      <c r="A2715" t="s">
        <v>9</v>
      </c>
      <c r="B2715" s="3">
        <v>45652</v>
      </c>
      <c r="C2715">
        <f t="shared" si="674"/>
        <v>26</v>
      </c>
      <c r="D2715">
        <f t="shared" si="675"/>
        <v>12</v>
      </c>
      <c r="E2715">
        <f t="shared" si="676"/>
        <v>2024</v>
      </c>
      <c r="F2715" s="2">
        <v>1539</v>
      </c>
      <c r="G2715" t="s">
        <v>18</v>
      </c>
      <c r="I2715" s="4">
        <f>SUMIFS($F$2:$F$2739,$G$2:$G$2739,"Annual Contract",$E$2:$E$2739,2024)/SUMIF($E$2:$E$2739,2024,$F$2:$F$2739)</f>
        <v>0.19200427193344777</v>
      </c>
    </row>
    <row r="2716" spans="1:9" x14ac:dyDescent="0.3">
      <c r="A2716" t="s">
        <v>7</v>
      </c>
      <c r="B2716" s="3">
        <v>45652</v>
      </c>
      <c r="C2716">
        <f t="shared" si="674"/>
        <v>26</v>
      </c>
      <c r="D2716">
        <f t="shared" si="675"/>
        <v>12</v>
      </c>
      <c r="E2716">
        <f t="shared" si="676"/>
        <v>2024</v>
      </c>
      <c r="F2716" s="2">
        <v>2209</v>
      </c>
      <c r="G2716" t="s">
        <v>17</v>
      </c>
      <c r="I2716" s="4">
        <f>SUMIFS($F$2:$F$2739,$G$2:$G$2739,"No Contract",$E$2:$E$2739,2024)/SUMIF($E$2:$E$2739,2024,$F$2:$F$2739)</f>
        <v>9.576924485808011E-2</v>
      </c>
    </row>
    <row r="2717" spans="1:9" x14ac:dyDescent="0.3">
      <c r="A2717" t="s">
        <v>3</v>
      </c>
      <c r="B2717" s="3">
        <v>45653</v>
      </c>
      <c r="C2717">
        <f t="shared" si="674"/>
        <v>27</v>
      </c>
      <c r="D2717">
        <f t="shared" si="675"/>
        <v>12</v>
      </c>
      <c r="E2717">
        <f t="shared" si="676"/>
        <v>2024</v>
      </c>
      <c r="F2717" s="2">
        <v>961</v>
      </c>
      <c r="G2717" t="s">
        <v>19</v>
      </c>
      <c r="I2717" s="4">
        <f>SUMIFS($F$2:$F$2739,$G$2:$G$2739,"Multi-year Contract",$E$2:$E$2739,2024)/SUMIF($E$2:$E$2739,2024,$F$2:$F$2739)</f>
        <v>0.71222648320847215</v>
      </c>
    </row>
    <row r="2718" spans="1:9" x14ac:dyDescent="0.3">
      <c r="A2718" t="s">
        <v>9</v>
      </c>
      <c r="B2718" s="3">
        <v>45653</v>
      </c>
      <c r="C2718">
        <f t="shared" si="674"/>
        <v>27</v>
      </c>
      <c r="D2718">
        <f t="shared" si="675"/>
        <v>12</v>
      </c>
      <c r="E2718">
        <f t="shared" si="676"/>
        <v>2024</v>
      </c>
      <c r="F2718" s="2">
        <v>1676</v>
      </c>
      <c r="G2718" t="s">
        <v>18</v>
      </c>
      <c r="I2718" s="4">
        <f>SUMIFS($F$2:$F$2739,$G$2:$G$2739,"Annual Contract",$E$2:$E$2739,2024)/SUMIF($E$2:$E$2739,2024,$F$2:$F$2739)</f>
        <v>0.19200427193344777</v>
      </c>
    </row>
    <row r="2719" spans="1:9" x14ac:dyDescent="0.3">
      <c r="A2719" t="s">
        <v>11</v>
      </c>
      <c r="B2719" s="3">
        <v>45653</v>
      </c>
      <c r="C2719">
        <f t="shared" si="674"/>
        <v>27</v>
      </c>
      <c r="D2719">
        <f t="shared" si="675"/>
        <v>12</v>
      </c>
      <c r="E2719">
        <f t="shared" si="676"/>
        <v>2024</v>
      </c>
      <c r="F2719" s="2">
        <v>2113</v>
      </c>
      <c r="G2719" t="s">
        <v>19</v>
      </c>
      <c r="I2719" s="4">
        <f>SUMIFS($F$2:$F$2739,$G$2:$G$2739,"Multi-year Contract",$E$2:$E$2739,2024)/SUMIF($E$2:$E$2739,2024,$F$2:$F$2739)</f>
        <v>0.71222648320847215</v>
      </c>
    </row>
    <row r="2720" spans="1:9" x14ac:dyDescent="0.3">
      <c r="A2720" t="s">
        <v>9</v>
      </c>
      <c r="B2720" s="3">
        <v>45653</v>
      </c>
      <c r="C2720">
        <f t="shared" si="674"/>
        <v>27</v>
      </c>
      <c r="D2720">
        <f t="shared" si="675"/>
        <v>12</v>
      </c>
      <c r="E2720">
        <f t="shared" si="676"/>
        <v>2024</v>
      </c>
      <c r="F2720" s="2">
        <v>1414</v>
      </c>
      <c r="G2720" t="s">
        <v>18</v>
      </c>
      <c r="I2720" s="4">
        <f>SUMIFS($F$2:$F$2739,$G$2:$G$2739,"Annual Contract",$E$2:$E$2739,2024)/SUMIF($E$2:$E$2739,2024,$F$2:$F$2739)</f>
        <v>0.19200427193344777</v>
      </c>
    </row>
    <row r="2721" spans="1:9" x14ac:dyDescent="0.3">
      <c r="A2721" t="s">
        <v>7</v>
      </c>
      <c r="B2721" s="3">
        <v>45654</v>
      </c>
      <c r="C2721">
        <f t="shared" si="674"/>
        <v>28</v>
      </c>
      <c r="D2721">
        <f t="shared" si="675"/>
        <v>12</v>
      </c>
      <c r="E2721">
        <f t="shared" si="676"/>
        <v>2024</v>
      </c>
      <c r="F2721" s="2">
        <v>1088</v>
      </c>
      <c r="G2721" t="s">
        <v>17</v>
      </c>
      <c r="I2721" s="4">
        <f>SUMIFS($F$2:$F$2739,$G$2:$G$2739,"No Contract",$E$2:$E$2739,2024)/SUMIF($E$2:$E$2739,2024,$F$2:$F$2739)</f>
        <v>9.576924485808011E-2</v>
      </c>
    </row>
    <row r="2722" spans="1:9" x14ac:dyDescent="0.3">
      <c r="A2722" t="s">
        <v>6</v>
      </c>
      <c r="B2722" s="3">
        <v>45654</v>
      </c>
      <c r="C2722">
        <f t="shared" si="674"/>
        <v>28</v>
      </c>
      <c r="D2722">
        <f t="shared" si="675"/>
        <v>12</v>
      </c>
      <c r="E2722">
        <f t="shared" si="676"/>
        <v>2024</v>
      </c>
      <c r="F2722" s="2">
        <v>1429</v>
      </c>
      <c r="G2722" t="s">
        <v>18</v>
      </c>
      <c r="I2722" s="4">
        <f t="shared" ref="I2722:I2723" si="681">SUMIFS($F$2:$F$2739,$G$2:$G$2739,"Annual Contract",$E$2:$E$2739,2024)/SUMIF($E$2:$E$2739,2024,$F$2:$F$2739)</f>
        <v>0.19200427193344777</v>
      </c>
    </row>
    <row r="2723" spans="1:9" x14ac:dyDescent="0.3">
      <c r="A2723" t="s">
        <v>9</v>
      </c>
      <c r="B2723" s="3">
        <v>45654</v>
      </c>
      <c r="C2723">
        <f t="shared" si="674"/>
        <v>28</v>
      </c>
      <c r="D2723">
        <f t="shared" si="675"/>
        <v>12</v>
      </c>
      <c r="E2723">
        <f t="shared" si="676"/>
        <v>2024</v>
      </c>
      <c r="F2723" s="2">
        <v>2796</v>
      </c>
      <c r="G2723" t="s">
        <v>18</v>
      </c>
      <c r="I2723" s="4">
        <f t="shared" si="681"/>
        <v>0.19200427193344777</v>
      </c>
    </row>
    <row r="2724" spans="1:9" x14ac:dyDescent="0.3">
      <c r="A2724" t="s">
        <v>3</v>
      </c>
      <c r="B2724" s="3">
        <v>45654</v>
      </c>
      <c r="C2724">
        <f t="shared" si="674"/>
        <v>28</v>
      </c>
      <c r="D2724">
        <f t="shared" si="675"/>
        <v>12</v>
      </c>
      <c r="E2724">
        <f t="shared" si="676"/>
        <v>2024</v>
      </c>
      <c r="F2724" s="2">
        <v>3667</v>
      </c>
      <c r="G2724" t="s">
        <v>19</v>
      </c>
      <c r="I2724" s="4">
        <f t="shared" ref="I2724:I2729" si="682">SUMIFS($F$2:$F$2739,$G$2:$G$2739,"Multi-year Contract",$E$2:$E$2739,2024)/SUMIF($E$2:$E$2739,2024,$F$2:$F$2739)</f>
        <v>0.71222648320847215</v>
      </c>
    </row>
    <row r="2725" spans="1:9" x14ac:dyDescent="0.3">
      <c r="A2725" t="s">
        <v>4</v>
      </c>
      <c r="B2725" s="3">
        <v>45654</v>
      </c>
      <c r="C2725">
        <f t="shared" si="674"/>
        <v>28</v>
      </c>
      <c r="D2725">
        <f t="shared" si="675"/>
        <v>12</v>
      </c>
      <c r="E2725">
        <f t="shared" si="676"/>
        <v>2024</v>
      </c>
      <c r="F2725" s="2">
        <v>941</v>
      </c>
      <c r="G2725" s="2" t="s">
        <v>19</v>
      </c>
      <c r="I2725" s="4">
        <f t="shared" si="682"/>
        <v>0.71222648320847215</v>
      </c>
    </row>
    <row r="2726" spans="1:9" x14ac:dyDescent="0.3">
      <c r="A2726" t="s">
        <v>12</v>
      </c>
      <c r="B2726" s="3">
        <v>45654</v>
      </c>
      <c r="C2726">
        <f t="shared" si="674"/>
        <v>28</v>
      </c>
      <c r="D2726">
        <f t="shared" si="675"/>
        <v>12</v>
      </c>
      <c r="E2726">
        <f t="shared" si="676"/>
        <v>2024</v>
      </c>
      <c r="F2726" s="2">
        <v>2216</v>
      </c>
      <c r="G2726" s="2" t="s">
        <v>19</v>
      </c>
      <c r="I2726" s="4">
        <f t="shared" si="682"/>
        <v>0.71222648320847215</v>
      </c>
    </row>
    <row r="2727" spans="1:9" x14ac:dyDescent="0.3">
      <c r="A2727" t="s">
        <v>3</v>
      </c>
      <c r="B2727" s="3">
        <v>45654</v>
      </c>
      <c r="C2727">
        <f t="shared" si="674"/>
        <v>28</v>
      </c>
      <c r="D2727">
        <f t="shared" si="675"/>
        <v>12</v>
      </c>
      <c r="E2727">
        <f t="shared" si="676"/>
        <v>2024</v>
      </c>
      <c r="F2727" s="2">
        <v>2596</v>
      </c>
      <c r="G2727" t="s">
        <v>19</v>
      </c>
      <c r="I2727" s="4">
        <f t="shared" si="682"/>
        <v>0.71222648320847215</v>
      </c>
    </row>
    <row r="2728" spans="1:9" x14ac:dyDescent="0.3">
      <c r="A2728" t="s">
        <v>3</v>
      </c>
      <c r="B2728" s="3">
        <v>45655</v>
      </c>
      <c r="C2728">
        <f t="shared" si="674"/>
        <v>29</v>
      </c>
      <c r="D2728">
        <f t="shared" si="675"/>
        <v>12</v>
      </c>
      <c r="E2728">
        <f t="shared" si="676"/>
        <v>2024</v>
      </c>
      <c r="F2728" s="2">
        <v>3560</v>
      </c>
      <c r="G2728" t="s">
        <v>19</v>
      </c>
      <c r="I2728" s="4">
        <f t="shared" si="682"/>
        <v>0.71222648320847215</v>
      </c>
    </row>
    <row r="2729" spans="1:9" x14ac:dyDescent="0.3">
      <c r="A2729" t="s">
        <v>11</v>
      </c>
      <c r="B2729" s="3">
        <v>45655</v>
      </c>
      <c r="C2729">
        <f t="shared" si="674"/>
        <v>29</v>
      </c>
      <c r="D2729">
        <f t="shared" si="675"/>
        <v>12</v>
      </c>
      <c r="E2729">
        <f t="shared" si="676"/>
        <v>2024</v>
      </c>
      <c r="F2729" s="2">
        <v>2704</v>
      </c>
      <c r="G2729" t="s">
        <v>19</v>
      </c>
      <c r="I2729" s="4">
        <f t="shared" si="682"/>
        <v>0.71222648320847215</v>
      </c>
    </row>
    <row r="2730" spans="1:9" x14ac:dyDescent="0.3">
      <c r="A2730" t="s">
        <v>9</v>
      </c>
      <c r="B2730" s="3">
        <v>45655</v>
      </c>
      <c r="C2730">
        <f t="shared" si="674"/>
        <v>29</v>
      </c>
      <c r="D2730">
        <f t="shared" si="675"/>
        <v>12</v>
      </c>
      <c r="E2730">
        <f t="shared" si="676"/>
        <v>2024</v>
      </c>
      <c r="F2730" s="2">
        <v>3441</v>
      </c>
      <c r="G2730" t="s">
        <v>18</v>
      </c>
      <c r="I2730" s="4">
        <f t="shared" ref="I2730:I2731" si="683">SUMIFS($F$2:$F$2739,$G$2:$G$2739,"Annual Contract",$E$2:$E$2739,2024)/SUMIF($E$2:$E$2739,2024,$F$2:$F$2739)</f>
        <v>0.19200427193344777</v>
      </c>
    </row>
    <row r="2731" spans="1:9" x14ac:dyDescent="0.3">
      <c r="A2731" t="s">
        <v>6</v>
      </c>
      <c r="B2731" s="3">
        <v>45656</v>
      </c>
      <c r="C2731">
        <f t="shared" si="674"/>
        <v>30</v>
      </c>
      <c r="D2731">
        <f t="shared" si="675"/>
        <v>12</v>
      </c>
      <c r="E2731">
        <f t="shared" si="676"/>
        <v>2024</v>
      </c>
      <c r="F2731" s="2">
        <v>1592</v>
      </c>
      <c r="G2731" t="s">
        <v>18</v>
      </c>
      <c r="I2731" s="4">
        <f t="shared" si="683"/>
        <v>0.19200427193344777</v>
      </c>
    </row>
    <row r="2732" spans="1:9" x14ac:dyDescent="0.3">
      <c r="A2732" t="s">
        <v>12</v>
      </c>
      <c r="B2732" s="3">
        <v>45656</v>
      </c>
      <c r="C2732">
        <f t="shared" si="674"/>
        <v>30</v>
      </c>
      <c r="D2732">
        <f t="shared" si="675"/>
        <v>12</v>
      </c>
      <c r="E2732">
        <f t="shared" si="676"/>
        <v>2024</v>
      </c>
      <c r="F2732" s="2">
        <v>2461</v>
      </c>
      <c r="G2732" s="2" t="s">
        <v>19</v>
      </c>
      <c r="I2732" s="4">
        <f>SUMIFS($F$2:$F$2739,$G$2:$G$2739,"Multi-year Contract",$E$2:$E$2739,2024)/SUMIF($E$2:$E$2739,2024,$F$2:$F$2739)</f>
        <v>0.71222648320847215</v>
      </c>
    </row>
    <row r="2733" spans="1:9" x14ac:dyDescent="0.3">
      <c r="A2733" t="s">
        <v>7</v>
      </c>
      <c r="B2733" s="3">
        <v>45656</v>
      </c>
      <c r="C2733">
        <f t="shared" si="674"/>
        <v>30</v>
      </c>
      <c r="D2733">
        <f t="shared" si="675"/>
        <v>12</v>
      </c>
      <c r="E2733">
        <f t="shared" si="676"/>
        <v>2024</v>
      </c>
      <c r="F2733" s="2">
        <v>1356</v>
      </c>
      <c r="G2733" t="s">
        <v>17</v>
      </c>
      <c r="I2733" s="4">
        <f>SUMIFS($F$2:$F$2739,$G$2:$G$2739,"No Contract",$E$2:$E$2739,2024)/SUMIF($E$2:$E$2739,2024,$F$2:$F$2739)</f>
        <v>9.576924485808011E-2</v>
      </c>
    </row>
    <row r="2734" spans="1:9" x14ac:dyDescent="0.3">
      <c r="A2734" t="s">
        <v>10</v>
      </c>
      <c r="B2734" s="3">
        <v>45656</v>
      </c>
      <c r="C2734">
        <f t="shared" si="674"/>
        <v>30</v>
      </c>
      <c r="D2734">
        <f t="shared" si="675"/>
        <v>12</v>
      </c>
      <c r="E2734">
        <f t="shared" si="676"/>
        <v>2024</v>
      </c>
      <c r="F2734" s="2">
        <v>2333</v>
      </c>
      <c r="G2734" t="s">
        <v>19</v>
      </c>
      <c r="I2734" s="4">
        <f t="shared" ref="I2734:I2739" si="684">SUMIFS($F$2:$F$2739,$G$2:$G$2739,"Multi-year Contract",$E$2:$E$2739,2024)/SUMIF($E$2:$E$2739,2024,$F$2:$F$2739)</f>
        <v>0.71222648320847215</v>
      </c>
    </row>
    <row r="2735" spans="1:9" x14ac:dyDescent="0.3">
      <c r="A2735" t="s">
        <v>3</v>
      </c>
      <c r="B2735" s="3">
        <v>45656</v>
      </c>
      <c r="C2735">
        <f t="shared" si="674"/>
        <v>30</v>
      </c>
      <c r="D2735">
        <f t="shared" si="675"/>
        <v>12</v>
      </c>
      <c r="E2735">
        <f t="shared" si="676"/>
        <v>2024</v>
      </c>
      <c r="F2735" s="2">
        <v>1451</v>
      </c>
      <c r="G2735" t="s">
        <v>19</v>
      </c>
      <c r="I2735" s="4">
        <f t="shared" si="684"/>
        <v>0.71222648320847215</v>
      </c>
    </row>
    <row r="2736" spans="1:9" x14ac:dyDescent="0.3">
      <c r="A2736" t="s">
        <v>3</v>
      </c>
      <c r="B2736" s="3">
        <v>45656</v>
      </c>
      <c r="C2736">
        <f t="shared" si="674"/>
        <v>30</v>
      </c>
      <c r="D2736">
        <f t="shared" si="675"/>
        <v>12</v>
      </c>
      <c r="E2736">
        <f t="shared" si="676"/>
        <v>2024</v>
      </c>
      <c r="F2736" s="2">
        <v>3233</v>
      </c>
      <c r="G2736" t="s">
        <v>19</v>
      </c>
      <c r="I2736" s="4">
        <f t="shared" si="684"/>
        <v>0.71222648320847215</v>
      </c>
    </row>
    <row r="2737" spans="1:9" x14ac:dyDescent="0.3">
      <c r="A2737" t="s">
        <v>10</v>
      </c>
      <c r="B2737" s="3">
        <v>45657</v>
      </c>
      <c r="C2737">
        <f t="shared" si="674"/>
        <v>31</v>
      </c>
      <c r="D2737">
        <f t="shared" si="675"/>
        <v>12</v>
      </c>
      <c r="E2737">
        <f t="shared" si="676"/>
        <v>2024</v>
      </c>
      <c r="F2737" s="2">
        <v>560</v>
      </c>
      <c r="G2737" t="s">
        <v>19</v>
      </c>
      <c r="I2737" s="4">
        <f t="shared" si="684"/>
        <v>0.71222648320847215</v>
      </c>
    </row>
    <row r="2738" spans="1:9" x14ac:dyDescent="0.3">
      <c r="A2738" t="s">
        <v>10</v>
      </c>
      <c r="B2738" s="3">
        <v>45657</v>
      </c>
      <c r="C2738">
        <f t="shared" si="674"/>
        <v>31</v>
      </c>
      <c r="D2738">
        <f t="shared" si="675"/>
        <v>12</v>
      </c>
      <c r="E2738">
        <f t="shared" si="676"/>
        <v>2024</v>
      </c>
      <c r="F2738" s="2">
        <v>2009</v>
      </c>
      <c r="G2738" t="s">
        <v>19</v>
      </c>
      <c r="I2738" s="4">
        <f t="shared" si="684"/>
        <v>0.71222648320847215</v>
      </c>
    </row>
    <row r="2739" spans="1:9" x14ac:dyDescent="0.3">
      <c r="A2739" t="s">
        <v>5</v>
      </c>
      <c r="B2739" s="3">
        <v>45657</v>
      </c>
      <c r="C2739">
        <f t="shared" si="674"/>
        <v>31</v>
      </c>
      <c r="D2739">
        <f t="shared" si="675"/>
        <v>12</v>
      </c>
      <c r="E2739">
        <f t="shared" si="676"/>
        <v>2024</v>
      </c>
      <c r="F2739" s="2">
        <v>2581</v>
      </c>
      <c r="G2739" t="s">
        <v>19</v>
      </c>
      <c r="I2739" s="4">
        <f t="shared" si="684"/>
        <v>0.71222648320847215</v>
      </c>
    </row>
  </sheetData>
  <autoFilter ref="A1:I2739" xr:uid="{00000000-0001-0000-0000-000000000000}"/>
  <sortState xmlns:xlrd2="http://schemas.microsoft.com/office/spreadsheetml/2017/richdata2" ref="A2:F2739">
    <sortCondition ref="B2:B2739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Spend_Data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Dylan Butterfield 2025 (N1423084)</cp:lastModifiedBy>
  <dcterms:created xsi:type="dcterms:W3CDTF">2026-01-04T10:33:23Z</dcterms:created>
  <dcterms:modified xsi:type="dcterms:W3CDTF">2026-01-21T10:50:42Z</dcterms:modified>
</cp:coreProperties>
</file>